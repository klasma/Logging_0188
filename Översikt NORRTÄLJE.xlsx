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45994</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45994</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45994</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45994</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45994</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45994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45994</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45994</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45994</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45994</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45994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45994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45994</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45994</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3472-2023</t>
        </is>
      </c>
      <c r="B19" s="1" t="n">
        <v>44949</v>
      </c>
      <c r="C19" s="1" t="n">
        <v>45994</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11231-2021</t>
        </is>
      </c>
      <c r="B20" s="1" t="n">
        <v>44263</v>
      </c>
      <c r="C20" s="1" t="n">
        <v>45994</v>
      </c>
      <c r="D20" t="inlineStr">
        <is>
          <t>STOCKHOLMS LÄN</t>
        </is>
      </c>
      <c r="E20" t="inlineStr">
        <is>
          <t>NORRTÄLJE</t>
        </is>
      </c>
      <c r="F20" t="inlineStr">
        <is>
          <t>Holmen skog AB</t>
        </is>
      </c>
      <c r="G20" t="n">
        <v>12</v>
      </c>
      <c r="H20" t="n">
        <v>6</v>
      </c>
      <c r="I20" t="n">
        <v>2</v>
      </c>
      <c r="J20" t="n">
        <v>5</v>
      </c>
      <c r="K20" t="n">
        <v>0</v>
      </c>
      <c r="L20" t="n">
        <v>2</v>
      </c>
      <c r="M20" t="n">
        <v>0</v>
      </c>
      <c r="N20" t="n">
        <v>0</v>
      </c>
      <c r="O20" t="n">
        <v>7</v>
      </c>
      <c r="P20" t="n">
        <v>2</v>
      </c>
      <c r="Q20" t="n">
        <v>10</v>
      </c>
      <c r="R20" s="2" t="inlineStr">
        <is>
          <t>Grönfink
Tornseglare
Fiskmås
Havsörn
Motaggsvamp
Talltita
Vedskivlav
Björksplintborre
Dropptaggsvamp
Tjäder</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44847-2023</t>
        </is>
      </c>
      <c r="B21" s="1" t="n">
        <v>45190</v>
      </c>
      <c r="C21" s="1" t="n">
        <v>45994</v>
      </c>
      <c r="D21" t="inlineStr">
        <is>
          <t>STOCKHOLMS LÄN</t>
        </is>
      </c>
      <c r="E21" t="inlineStr">
        <is>
          <t>NORRTÄLJE</t>
        </is>
      </c>
      <c r="G21" t="n">
        <v>8.5</v>
      </c>
      <c r="H21" t="n">
        <v>10</v>
      </c>
      <c r="I21" t="n">
        <v>0</v>
      </c>
      <c r="J21" t="n">
        <v>4</v>
      </c>
      <c r="K21" t="n">
        <v>4</v>
      </c>
      <c r="L21" t="n">
        <v>1</v>
      </c>
      <c r="M21" t="n">
        <v>0</v>
      </c>
      <c r="N21" t="n">
        <v>0</v>
      </c>
      <c r="O21" t="n">
        <v>9</v>
      </c>
      <c r="P21" t="n">
        <v>5</v>
      </c>
      <c r="Q21" t="n">
        <v>10</v>
      </c>
      <c r="R21" s="2" t="inlineStr">
        <is>
          <t>Ejder
Gråtrut
Havstrut
Knärot
Stare
Fiskmås
Havsörn
Skrattmås
Strandskata
Gråkråka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20722-2024</t>
        </is>
      </c>
      <c r="B22" s="1" t="n">
        <v>45436</v>
      </c>
      <c r="C22" s="1" t="n">
        <v>45994</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52815-2021</t>
        </is>
      </c>
      <c r="B23" s="1" t="n">
        <v>44467</v>
      </c>
      <c r="C23" s="1" t="n">
        <v>45994</v>
      </c>
      <c r="D23" t="inlineStr">
        <is>
          <t>STOCKHOLMS LÄN</t>
        </is>
      </c>
      <c r="E23" t="inlineStr">
        <is>
          <t>NORRTÄLJE</t>
        </is>
      </c>
      <c r="G23" t="n">
        <v>2.8</v>
      </c>
      <c r="H23" t="n">
        <v>0</v>
      </c>
      <c r="I23" t="n">
        <v>2</v>
      </c>
      <c r="J23" t="n">
        <v>2</v>
      </c>
      <c r="K23" t="n">
        <v>4</v>
      </c>
      <c r="L23" t="n">
        <v>1</v>
      </c>
      <c r="M23" t="n">
        <v>0</v>
      </c>
      <c r="N23" t="n">
        <v>0</v>
      </c>
      <c r="O23" t="n">
        <v>7</v>
      </c>
      <c r="P23" t="n">
        <v>5</v>
      </c>
      <c r="Q23" t="n">
        <v>9</v>
      </c>
      <c r="R23" s="2" t="inlineStr">
        <is>
          <t>Raggtaggsvamp
Gul lammticka
Koppartaggsvamp
Spricktaggsvamp
Svartfjällig musseron
Bittermusseron
Flattoppad klubbsvamp
Diskvaxskivling
Fjällig taggsvamp s.str.</t>
        </is>
      </c>
      <c r="S23">
        <f>HYPERLINK("https://klasma.github.io/Logging_0188/artfynd/A 52815-2021 artfynd.xlsx", "A 52815-2021")</f>
        <v/>
      </c>
      <c r="T23">
        <f>HYPERLINK("https://klasma.github.io/Logging_0188/kartor/A 52815-2021 karta.png", "A 52815-2021")</f>
        <v/>
      </c>
      <c r="V23">
        <f>HYPERLINK("https://klasma.github.io/Logging_0188/klagomål/A 52815-2021 FSC-klagomål.docx", "A 52815-2021")</f>
        <v/>
      </c>
      <c r="W23">
        <f>HYPERLINK("https://klasma.github.io/Logging_0188/klagomålsmail/A 52815-2021 FSC-klagomål mail.docx", "A 52815-2021")</f>
        <v/>
      </c>
      <c r="X23">
        <f>HYPERLINK("https://klasma.github.io/Logging_0188/tillsyn/A 52815-2021 tillsynsbegäran.docx", "A 52815-2021")</f>
        <v/>
      </c>
      <c r="Y23">
        <f>HYPERLINK("https://klasma.github.io/Logging_0188/tillsynsmail/A 52815-2021 tillsynsbegäran mail.docx", "A 52815-2021")</f>
        <v/>
      </c>
    </row>
    <row r="24" ht="15" customHeight="1">
      <c r="A24" t="inlineStr">
        <is>
          <t>A 50326-2024</t>
        </is>
      </c>
      <c r="B24" s="1" t="n">
        <v>45600</v>
      </c>
      <c r="C24" s="1" t="n">
        <v>45994</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45994</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45994</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25732-2025</t>
        </is>
      </c>
      <c r="B27" s="1" t="n">
        <v>45800</v>
      </c>
      <c r="C27" s="1" t="n">
        <v>45994</v>
      </c>
      <c r="D27" t="inlineStr">
        <is>
          <t>STOCKHOLMS LÄN</t>
        </is>
      </c>
      <c r="E27" t="inlineStr">
        <is>
          <t>NORRTÄLJE</t>
        </is>
      </c>
      <c r="G27" t="n">
        <v>7.4</v>
      </c>
      <c r="H27" t="n">
        <v>4</v>
      </c>
      <c r="I27" t="n">
        <v>3</v>
      </c>
      <c r="J27" t="n">
        <v>3</v>
      </c>
      <c r="K27" t="n">
        <v>1</v>
      </c>
      <c r="L27" t="n">
        <v>0</v>
      </c>
      <c r="M27" t="n">
        <v>0</v>
      </c>
      <c r="N27" t="n">
        <v>0</v>
      </c>
      <c r="O27" t="n">
        <v>4</v>
      </c>
      <c r="P27" t="n">
        <v>1</v>
      </c>
      <c r="Q27" t="n">
        <v>8</v>
      </c>
      <c r="R27" s="2" t="inlineStr">
        <is>
          <t>Knärot
Blå taggsvamp
Skrovlig taggsvamp
Spillkråka
Björksplintborre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59582-2024</t>
        </is>
      </c>
      <c r="B28" s="1" t="n">
        <v>45638</v>
      </c>
      <c r="C28" s="1" t="n">
        <v>45994</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45994</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45811-2022</t>
        </is>
      </c>
      <c r="B30" s="1" t="n">
        <v>44846</v>
      </c>
      <c r="C30" s="1" t="n">
        <v>45994</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45994</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45994</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13933-2022</t>
        </is>
      </c>
      <c r="B33" s="1" t="n">
        <v>44650</v>
      </c>
      <c r="C33" s="1" t="n">
        <v>45994</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45994</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34528-2025</t>
        </is>
      </c>
      <c r="B35" s="1" t="n">
        <v>45847.48436342592</v>
      </c>
      <c r="C35" s="1" t="n">
        <v>45994</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45994</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72111-2021</t>
        </is>
      </c>
      <c r="B37" s="1" t="n">
        <v>44544</v>
      </c>
      <c r="C37" s="1" t="n">
        <v>45994</v>
      </c>
      <c r="D37" t="inlineStr">
        <is>
          <t>STOCKHOLMS LÄN</t>
        </is>
      </c>
      <c r="E37" t="inlineStr">
        <is>
          <t>NORRTÄLJE</t>
        </is>
      </c>
      <c r="G37" t="n">
        <v>5.1</v>
      </c>
      <c r="H37" t="n">
        <v>1</v>
      </c>
      <c r="I37" t="n">
        <v>3</v>
      </c>
      <c r="J37" t="n">
        <v>1</v>
      </c>
      <c r="K37" t="n">
        <v>0</v>
      </c>
      <c r="L37" t="n">
        <v>0</v>
      </c>
      <c r="M37" t="n">
        <v>0</v>
      </c>
      <c r="N37" t="n">
        <v>0</v>
      </c>
      <c r="O37" t="n">
        <v>1</v>
      </c>
      <c r="P37" t="n">
        <v>0</v>
      </c>
      <c r="Q37" t="n">
        <v>5</v>
      </c>
      <c r="R37" s="2" t="inlineStr">
        <is>
          <t>Lunglav
Scharlakansvårskål agg.
Sårläka
Vårärt
Blåsippa</t>
        </is>
      </c>
      <c r="S37">
        <f>HYPERLINK("https://klasma.github.io/Logging_0188/artfynd/A 72111-2021 artfynd.xlsx", "A 72111-2021")</f>
        <v/>
      </c>
      <c r="T37">
        <f>HYPERLINK("https://klasma.github.io/Logging_0188/kartor/A 72111-2021 karta.png", "A 72111-2021")</f>
        <v/>
      </c>
      <c r="V37">
        <f>HYPERLINK("https://klasma.github.io/Logging_0188/klagomål/A 72111-2021 FSC-klagomål.docx", "A 72111-2021")</f>
        <v/>
      </c>
      <c r="W37">
        <f>HYPERLINK("https://klasma.github.io/Logging_0188/klagomålsmail/A 72111-2021 FSC-klagomål mail.docx", "A 72111-2021")</f>
        <v/>
      </c>
      <c r="X37">
        <f>HYPERLINK("https://klasma.github.io/Logging_0188/tillsyn/A 72111-2021 tillsynsbegäran.docx", "A 72111-2021")</f>
        <v/>
      </c>
      <c r="Y37">
        <f>HYPERLINK("https://klasma.github.io/Logging_0188/tillsynsmail/A 72111-2021 tillsynsbegäran mail.docx", "A 72111-2021")</f>
        <v/>
      </c>
    </row>
    <row r="38" ht="15" customHeight="1">
      <c r="A38" t="inlineStr">
        <is>
          <t>A 15804-2025</t>
        </is>
      </c>
      <c r="B38" s="1" t="n">
        <v>45748.6521875</v>
      </c>
      <c r="C38" s="1" t="n">
        <v>45994</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21922-2023</t>
        </is>
      </c>
      <c r="B39" s="1" t="n">
        <v>45068</v>
      </c>
      <c r="C39" s="1" t="n">
        <v>45994</v>
      </c>
      <c r="D39" t="inlineStr">
        <is>
          <t>STOCKHOLMS LÄN</t>
        </is>
      </c>
      <c r="E39" t="inlineStr">
        <is>
          <t>NORRTÄLJE</t>
        </is>
      </c>
      <c r="G39" t="n">
        <v>4.9</v>
      </c>
      <c r="H39" t="n">
        <v>2</v>
      </c>
      <c r="I39" t="n">
        <v>2</v>
      </c>
      <c r="J39" t="n">
        <v>1</v>
      </c>
      <c r="K39" t="n">
        <v>0</v>
      </c>
      <c r="L39" t="n">
        <v>0</v>
      </c>
      <c r="M39" t="n">
        <v>0</v>
      </c>
      <c r="N39" t="n">
        <v>0</v>
      </c>
      <c r="O39" t="n">
        <v>1</v>
      </c>
      <c r="P39" t="n">
        <v>0</v>
      </c>
      <c r="Q39" t="n">
        <v>5</v>
      </c>
      <c r="R39" s="2" t="inlineStr">
        <is>
          <t>Asppraktbagge
Stor aspticka
Svavelriska
Blåsippa
Gullviva</t>
        </is>
      </c>
      <c r="S39">
        <f>HYPERLINK("https://klasma.github.io/Logging_0188/artfynd/A 21922-2023 artfynd.xlsx", "A 21922-2023")</f>
        <v/>
      </c>
      <c r="T39">
        <f>HYPERLINK("https://klasma.github.io/Logging_0188/kartor/A 21922-2023 karta.png", "A 21922-2023")</f>
        <v/>
      </c>
      <c r="V39">
        <f>HYPERLINK("https://klasma.github.io/Logging_0188/klagomål/A 21922-2023 FSC-klagomål.docx", "A 21922-2023")</f>
        <v/>
      </c>
      <c r="W39">
        <f>HYPERLINK("https://klasma.github.io/Logging_0188/klagomålsmail/A 21922-2023 FSC-klagomål mail.docx", "A 21922-2023")</f>
        <v/>
      </c>
      <c r="X39">
        <f>HYPERLINK("https://klasma.github.io/Logging_0188/tillsyn/A 21922-2023 tillsynsbegäran.docx", "A 21922-2023")</f>
        <v/>
      </c>
      <c r="Y39">
        <f>HYPERLINK("https://klasma.github.io/Logging_0188/tillsynsmail/A 21922-2023 tillsynsbegäran mail.docx", "A 21922-2023")</f>
        <v/>
      </c>
    </row>
    <row r="40" ht="15" customHeight="1">
      <c r="A40" t="inlineStr">
        <is>
          <t>A 3444-2023</t>
        </is>
      </c>
      <c r="B40" s="1" t="n">
        <v>44949</v>
      </c>
      <c r="C40" s="1" t="n">
        <v>45994</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45994</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56791-2025</t>
        </is>
      </c>
      <c r="B42" s="1" t="n">
        <v>45978</v>
      </c>
      <c r="C42" s="1" t="n">
        <v>45994</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22071-2022</t>
        </is>
      </c>
      <c r="B43" s="1" t="n">
        <v>44711</v>
      </c>
      <c r="C43" s="1" t="n">
        <v>45994</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21730-2025</t>
        </is>
      </c>
      <c r="B44" s="1" t="n">
        <v>45783.58123842593</v>
      </c>
      <c r="C44" s="1" t="n">
        <v>45994</v>
      </c>
      <c r="D44" t="inlineStr">
        <is>
          <t>STOCKHOLMS LÄN</t>
        </is>
      </c>
      <c r="E44" t="inlineStr">
        <is>
          <t>NORRTÄLJE</t>
        </is>
      </c>
      <c r="G44" t="n">
        <v>4.2</v>
      </c>
      <c r="H44" t="n">
        <v>2</v>
      </c>
      <c r="I44" t="n">
        <v>2</v>
      </c>
      <c r="J44" t="n">
        <v>0</v>
      </c>
      <c r="K44" t="n">
        <v>0</v>
      </c>
      <c r="L44" t="n">
        <v>0</v>
      </c>
      <c r="M44" t="n">
        <v>0</v>
      </c>
      <c r="N44" t="n">
        <v>0</v>
      </c>
      <c r="O44" t="n">
        <v>0</v>
      </c>
      <c r="P44" t="n">
        <v>0</v>
      </c>
      <c r="Q44" t="n">
        <v>4</v>
      </c>
      <c r="R44" s="2" t="inlineStr">
        <is>
          <t>Blåmossa
Brandticka
Blåsippa
Revlummer</t>
        </is>
      </c>
      <c r="S44">
        <f>HYPERLINK("https://klasma.github.io/Logging_0188/artfynd/A 21730-2025 artfynd.xlsx", "A 21730-2025")</f>
        <v/>
      </c>
      <c r="T44">
        <f>HYPERLINK("https://klasma.github.io/Logging_0188/kartor/A 21730-2025 karta.png", "A 21730-2025")</f>
        <v/>
      </c>
      <c r="V44">
        <f>HYPERLINK("https://klasma.github.io/Logging_0188/klagomål/A 21730-2025 FSC-klagomål.docx", "A 21730-2025")</f>
        <v/>
      </c>
      <c r="W44">
        <f>HYPERLINK("https://klasma.github.io/Logging_0188/klagomålsmail/A 21730-2025 FSC-klagomål mail.docx", "A 21730-2025")</f>
        <v/>
      </c>
      <c r="X44">
        <f>HYPERLINK("https://klasma.github.io/Logging_0188/tillsyn/A 21730-2025 tillsynsbegäran.docx", "A 21730-2025")</f>
        <v/>
      </c>
      <c r="Y44">
        <f>HYPERLINK("https://klasma.github.io/Logging_0188/tillsynsmail/A 21730-2025 tillsynsbegäran mail.docx", "A 21730-2025")</f>
        <v/>
      </c>
    </row>
    <row r="45" ht="15" customHeight="1">
      <c r="A45" t="inlineStr">
        <is>
          <t>A 44709-2022</t>
        </is>
      </c>
      <c r="B45" s="1" t="n">
        <v>44839</v>
      </c>
      <c r="C45" s="1" t="n">
        <v>45994</v>
      </c>
      <c r="D45" t="inlineStr">
        <is>
          <t>STOCKHOLMS LÄN</t>
        </is>
      </c>
      <c r="E45" t="inlineStr">
        <is>
          <t>NORRTÄLJE</t>
        </is>
      </c>
      <c r="G45" t="n">
        <v>16.3</v>
      </c>
      <c r="H45" t="n">
        <v>3</v>
      </c>
      <c r="I45" t="n">
        <v>0</v>
      </c>
      <c r="J45" t="n">
        <v>2</v>
      </c>
      <c r="K45" t="n">
        <v>0</v>
      </c>
      <c r="L45" t="n">
        <v>0</v>
      </c>
      <c r="M45" t="n">
        <v>0</v>
      </c>
      <c r="N45" t="n">
        <v>0</v>
      </c>
      <c r="O45" t="n">
        <v>2</v>
      </c>
      <c r="P45" t="n">
        <v>0</v>
      </c>
      <c r="Q45" t="n">
        <v>4</v>
      </c>
      <c r="R45" s="2" t="inlineStr">
        <is>
          <t>Asppraktbagge
Spillkråka
Enkelbeckasin
Orre</t>
        </is>
      </c>
      <c r="S45">
        <f>HYPERLINK("https://klasma.github.io/Logging_0188/artfynd/A 44709-2022 artfynd.xlsx", "A 44709-2022")</f>
        <v/>
      </c>
      <c r="T45">
        <f>HYPERLINK("https://klasma.github.io/Logging_0188/kartor/A 44709-2022 karta.png", "A 44709-2022")</f>
        <v/>
      </c>
      <c r="V45">
        <f>HYPERLINK("https://klasma.github.io/Logging_0188/klagomål/A 44709-2022 FSC-klagomål.docx", "A 44709-2022")</f>
        <v/>
      </c>
      <c r="W45">
        <f>HYPERLINK("https://klasma.github.io/Logging_0188/klagomålsmail/A 44709-2022 FSC-klagomål mail.docx", "A 44709-2022")</f>
        <v/>
      </c>
      <c r="X45">
        <f>HYPERLINK("https://klasma.github.io/Logging_0188/tillsyn/A 44709-2022 tillsynsbegäran.docx", "A 44709-2022")</f>
        <v/>
      </c>
      <c r="Y45">
        <f>HYPERLINK("https://klasma.github.io/Logging_0188/tillsynsmail/A 44709-2022 tillsynsbegäran mail.docx", "A 44709-2022")</f>
        <v/>
      </c>
      <c r="Z45">
        <f>HYPERLINK("https://klasma.github.io/Logging_0188/fåglar/A 44709-2022 prioriterade fågelarter.docx", "A 44709-2022")</f>
        <v/>
      </c>
    </row>
    <row r="46" ht="15" customHeight="1">
      <c r="A46" t="inlineStr">
        <is>
          <t>A 72305-2021</t>
        </is>
      </c>
      <c r="B46" s="1" t="n">
        <v>44545</v>
      </c>
      <c r="C46" s="1" t="n">
        <v>45994</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41276-2025</t>
        </is>
      </c>
      <c r="B47" s="1" t="n">
        <v>45898.62723379629</v>
      </c>
      <c r="C47" s="1" t="n">
        <v>45994</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24052-2021</t>
        </is>
      </c>
      <c r="B48" s="1" t="n">
        <v>44336</v>
      </c>
      <c r="C48" s="1" t="n">
        <v>45994</v>
      </c>
      <c r="D48" t="inlineStr">
        <is>
          <t>STOCKHOLMS LÄN</t>
        </is>
      </c>
      <c r="E48" t="inlineStr">
        <is>
          <t>NORRTÄLJE</t>
        </is>
      </c>
      <c r="G48" t="n">
        <v>8.6</v>
      </c>
      <c r="H48" t="n">
        <v>4</v>
      </c>
      <c r="I48" t="n">
        <v>0</v>
      </c>
      <c r="J48" t="n">
        <v>2</v>
      </c>
      <c r="K48" t="n">
        <v>0</v>
      </c>
      <c r="L48" t="n">
        <v>0</v>
      </c>
      <c r="M48" t="n">
        <v>0</v>
      </c>
      <c r="N48" t="n">
        <v>0</v>
      </c>
      <c r="O48" t="n">
        <v>2</v>
      </c>
      <c r="P48" t="n">
        <v>0</v>
      </c>
      <c r="Q48" t="n">
        <v>4</v>
      </c>
      <c r="R48" s="2" t="inlineStr">
        <is>
          <t>Brunlångöra
Nordfladdermus
Dvärgpipistrell
Större brunfladdermus</t>
        </is>
      </c>
      <c r="S48">
        <f>HYPERLINK("https://klasma.github.io/Logging_0188/artfynd/A 24052-2021 artfynd.xlsx", "A 24052-2021")</f>
        <v/>
      </c>
      <c r="T48">
        <f>HYPERLINK("https://klasma.github.io/Logging_0188/kartor/A 24052-2021 karta.png", "A 24052-2021")</f>
        <v/>
      </c>
      <c r="V48">
        <f>HYPERLINK("https://klasma.github.io/Logging_0188/klagomål/A 24052-2021 FSC-klagomål.docx", "A 24052-2021")</f>
        <v/>
      </c>
      <c r="W48">
        <f>HYPERLINK("https://klasma.github.io/Logging_0188/klagomålsmail/A 24052-2021 FSC-klagomål mail.docx", "A 24052-2021")</f>
        <v/>
      </c>
      <c r="X48">
        <f>HYPERLINK("https://klasma.github.io/Logging_0188/tillsyn/A 24052-2021 tillsynsbegäran.docx", "A 24052-2021")</f>
        <v/>
      </c>
      <c r="Y48">
        <f>HYPERLINK("https://klasma.github.io/Logging_0188/tillsynsmail/A 24052-2021 tillsynsbegäran mail.docx", "A 24052-2021")</f>
        <v/>
      </c>
    </row>
    <row r="49" ht="15" customHeight="1">
      <c r="A49" t="inlineStr">
        <is>
          <t>A 10876-2025</t>
        </is>
      </c>
      <c r="B49" s="1" t="n">
        <v>45722</v>
      </c>
      <c r="C49" s="1" t="n">
        <v>45994</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25687-2025</t>
        </is>
      </c>
      <c r="B50" s="1" t="n">
        <v>45800</v>
      </c>
      <c r="C50" s="1" t="n">
        <v>45994</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47212-2025</t>
        </is>
      </c>
      <c r="B51" s="1" t="n">
        <v>45930</v>
      </c>
      <c r="C51" s="1" t="n">
        <v>45994</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34521-2025</t>
        </is>
      </c>
      <c r="B52" s="1" t="n">
        <v>45847.47052083333</v>
      </c>
      <c r="C52" s="1" t="n">
        <v>45994</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17673-2021</t>
        </is>
      </c>
      <c r="B53" s="1" t="n">
        <v>44300</v>
      </c>
      <c r="C53" s="1" t="n">
        <v>45994</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45994</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14560-2021</t>
        </is>
      </c>
      <c r="B55" s="1" t="n">
        <v>44279</v>
      </c>
      <c r="C55" s="1" t="n">
        <v>45994</v>
      </c>
      <c r="D55" t="inlineStr">
        <is>
          <t>STOCKHOLMS LÄN</t>
        </is>
      </c>
      <c r="E55" t="inlineStr">
        <is>
          <t>NORRTÄLJE</t>
        </is>
      </c>
      <c r="G55" t="n">
        <v>1.8</v>
      </c>
      <c r="H55" t="n">
        <v>0</v>
      </c>
      <c r="I55" t="n">
        <v>2</v>
      </c>
      <c r="J55" t="n">
        <v>1</v>
      </c>
      <c r="K55" t="n">
        <v>0</v>
      </c>
      <c r="L55" t="n">
        <v>0</v>
      </c>
      <c r="M55" t="n">
        <v>0</v>
      </c>
      <c r="N55" t="n">
        <v>0</v>
      </c>
      <c r="O55" t="n">
        <v>1</v>
      </c>
      <c r="P55" t="n">
        <v>0</v>
      </c>
      <c r="Q55" t="n">
        <v>3</v>
      </c>
      <c r="R55" s="2" t="inlineStr">
        <is>
          <t>Vit vedfingersvamp
Stor aspticka
Vedticka</t>
        </is>
      </c>
      <c r="S55">
        <f>HYPERLINK("https://klasma.github.io/Logging_0188/artfynd/A 14560-2021 artfynd.xlsx", "A 14560-2021")</f>
        <v/>
      </c>
      <c r="T55">
        <f>HYPERLINK("https://klasma.github.io/Logging_0188/kartor/A 14560-2021 karta.png", "A 14560-2021")</f>
        <v/>
      </c>
      <c r="V55">
        <f>HYPERLINK("https://klasma.github.io/Logging_0188/klagomål/A 14560-2021 FSC-klagomål.docx", "A 14560-2021")</f>
        <v/>
      </c>
      <c r="W55">
        <f>HYPERLINK("https://klasma.github.io/Logging_0188/klagomålsmail/A 14560-2021 FSC-klagomål mail.docx", "A 14560-2021")</f>
        <v/>
      </c>
      <c r="X55">
        <f>HYPERLINK("https://klasma.github.io/Logging_0188/tillsyn/A 14560-2021 tillsynsbegäran.docx", "A 14560-2021")</f>
        <v/>
      </c>
      <c r="Y55">
        <f>HYPERLINK("https://klasma.github.io/Logging_0188/tillsynsmail/A 14560-2021 tillsynsbegäran mail.docx", "A 14560-2021")</f>
        <v/>
      </c>
    </row>
    <row r="56" ht="15" customHeight="1">
      <c r="A56" t="inlineStr">
        <is>
          <t>A 28836-2022</t>
        </is>
      </c>
      <c r="B56" s="1" t="n">
        <v>44749</v>
      </c>
      <c r="C56" s="1" t="n">
        <v>45994</v>
      </c>
      <c r="D56" t="inlineStr">
        <is>
          <t>STOCKHOLMS LÄN</t>
        </is>
      </c>
      <c r="E56" t="inlineStr">
        <is>
          <t>NORRTÄLJE</t>
        </is>
      </c>
      <c r="G56" t="n">
        <v>25</v>
      </c>
      <c r="H56" t="n">
        <v>2</v>
      </c>
      <c r="I56" t="n">
        <v>0</v>
      </c>
      <c r="J56" t="n">
        <v>2</v>
      </c>
      <c r="K56" t="n">
        <v>0</v>
      </c>
      <c r="L56" t="n">
        <v>0</v>
      </c>
      <c r="M56" t="n">
        <v>0</v>
      </c>
      <c r="N56" t="n">
        <v>0</v>
      </c>
      <c r="O56" t="n">
        <v>2</v>
      </c>
      <c r="P56" t="n">
        <v>0</v>
      </c>
      <c r="Q56" t="n">
        <v>3</v>
      </c>
      <c r="R56" s="2" t="inlineStr">
        <is>
          <t>Backklöver
Svartvit flugsnappare
Skogsödla</t>
        </is>
      </c>
      <c r="S56">
        <f>HYPERLINK("https://klasma.github.io/Logging_0188/artfynd/A 28836-2022 artfynd.xlsx", "A 28836-2022")</f>
        <v/>
      </c>
      <c r="T56">
        <f>HYPERLINK("https://klasma.github.io/Logging_0188/kartor/A 28836-2022 karta.png", "A 28836-2022")</f>
        <v/>
      </c>
      <c r="V56">
        <f>HYPERLINK("https://klasma.github.io/Logging_0188/klagomål/A 28836-2022 FSC-klagomål.docx", "A 28836-2022")</f>
        <v/>
      </c>
      <c r="W56">
        <f>HYPERLINK("https://klasma.github.io/Logging_0188/klagomålsmail/A 28836-2022 FSC-klagomål mail.docx", "A 28836-2022")</f>
        <v/>
      </c>
      <c r="X56">
        <f>HYPERLINK("https://klasma.github.io/Logging_0188/tillsyn/A 28836-2022 tillsynsbegäran.docx", "A 28836-2022")</f>
        <v/>
      </c>
      <c r="Y56">
        <f>HYPERLINK("https://klasma.github.io/Logging_0188/tillsynsmail/A 28836-2022 tillsynsbegäran mail.docx", "A 28836-2022")</f>
        <v/>
      </c>
      <c r="Z56">
        <f>HYPERLINK("https://klasma.github.io/Logging_0188/fåglar/A 28836-2022 prioriterade fågelarter.docx", "A 28836-2022")</f>
        <v/>
      </c>
    </row>
    <row r="57" ht="15" customHeight="1">
      <c r="A57" t="inlineStr">
        <is>
          <t>A 53065-2024</t>
        </is>
      </c>
      <c r="B57" s="1" t="n">
        <v>45611.47233796296</v>
      </c>
      <c r="C57" s="1" t="n">
        <v>45994</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27870-2022</t>
        </is>
      </c>
      <c r="B58" s="1" t="n">
        <v>44743.64592592593</v>
      </c>
      <c r="C58" s="1" t="n">
        <v>45994</v>
      </c>
      <c r="D58" t="inlineStr">
        <is>
          <t>STOCKHOLMS LÄN</t>
        </is>
      </c>
      <c r="E58" t="inlineStr">
        <is>
          <t>NORRTÄLJE</t>
        </is>
      </c>
      <c r="F58" t="inlineStr">
        <is>
          <t>Holmen skog AB</t>
        </is>
      </c>
      <c r="G58" t="n">
        <v>1.8</v>
      </c>
      <c r="H58" t="n">
        <v>3</v>
      </c>
      <c r="I58" t="n">
        <v>0</v>
      </c>
      <c r="J58" t="n">
        <v>1</v>
      </c>
      <c r="K58" t="n">
        <v>0</v>
      </c>
      <c r="L58" t="n">
        <v>0</v>
      </c>
      <c r="M58" t="n">
        <v>0</v>
      </c>
      <c r="N58" t="n">
        <v>0</v>
      </c>
      <c r="O58" t="n">
        <v>1</v>
      </c>
      <c r="P58" t="n">
        <v>0</v>
      </c>
      <c r="Q58" t="n">
        <v>3</v>
      </c>
      <c r="R58" s="2" t="inlineStr">
        <is>
          <t>Nordfladdermus
Dvärgpipistrell
Större brunfladdermus</t>
        </is>
      </c>
      <c r="S58">
        <f>HYPERLINK("https://klasma.github.io/Logging_0188/artfynd/A 27870-2022 artfynd.xlsx", "A 27870-2022")</f>
        <v/>
      </c>
      <c r="T58">
        <f>HYPERLINK("https://klasma.github.io/Logging_0188/kartor/A 27870-2022 karta.png", "A 27870-2022")</f>
        <v/>
      </c>
      <c r="V58">
        <f>HYPERLINK("https://klasma.github.io/Logging_0188/klagomål/A 27870-2022 FSC-klagomål.docx", "A 27870-2022")</f>
        <v/>
      </c>
      <c r="W58">
        <f>HYPERLINK("https://klasma.github.io/Logging_0188/klagomålsmail/A 27870-2022 FSC-klagomål mail.docx", "A 27870-2022")</f>
        <v/>
      </c>
      <c r="X58">
        <f>HYPERLINK("https://klasma.github.io/Logging_0188/tillsyn/A 27870-2022 tillsynsbegäran.docx", "A 27870-2022")</f>
        <v/>
      </c>
      <c r="Y58">
        <f>HYPERLINK("https://klasma.github.io/Logging_0188/tillsynsmail/A 27870-2022 tillsynsbegäran mail.docx", "A 27870-2022")</f>
        <v/>
      </c>
    </row>
    <row r="59" ht="15" customHeight="1">
      <c r="A59" t="inlineStr">
        <is>
          <t>A 20185-2022</t>
        </is>
      </c>
      <c r="B59" s="1" t="n">
        <v>44698</v>
      </c>
      <c r="C59" s="1" t="n">
        <v>45994</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50618-2022</t>
        </is>
      </c>
      <c r="B60" s="1" t="n">
        <v>44866</v>
      </c>
      <c r="C60" s="1" t="n">
        <v>45994</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2851-2023</t>
        </is>
      </c>
      <c r="B61" s="1" t="n">
        <v>44945</v>
      </c>
      <c r="C61" s="1" t="n">
        <v>45994</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54110-2024</t>
        </is>
      </c>
      <c r="B62" s="1" t="n">
        <v>45616.54866898148</v>
      </c>
      <c r="C62" s="1" t="n">
        <v>45994</v>
      </c>
      <c r="D62" t="inlineStr">
        <is>
          <t>STOCKHOLMS LÄN</t>
        </is>
      </c>
      <c r="E62" t="inlineStr">
        <is>
          <t>NORRTÄLJE</t>
        </is>
      </c>
      <c r="G62" t="n">
        <v>6.7</v>
      </c>
      <c r="H62" t="n">
        <v>2</v>
      </c>
      <c r="I62" t="n">
        <v>0</v>
      </c>
      <c r="J62" t="n">
        <v>1</v>
      </c>
      <c r="K62" t="n">
        <v>0</v>
      </c>
      <c r="L62" t="n">
        <v>0</v>
      </c>
      <c r="M62" t="n">
        <v>0</v>
      </c>
      <c r="N62" t="n">
        <v>0</v>
      </c>
      <c r="O62" t="n">
        <v>1</v>
      </c>
      <c r="P62" t="n">
        <v>0</v>
      </c>
      <c r="Q62" t="n">
        <v>3</v>
      </c>
      <c r="R62" s="2" t="inlineStr">
        <is>
          <t>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25270-2025</t>
        </is>
      </c>
      <c r="B63" s="1" t="n">
        <v>45800</v>
      </c>
      <c r="C63" s="1" t="n">
        <v>45994</v>
      </c>
      <c r="D63" t="inlineStr">
        <is>
          <t>STOCKHOLMS LÄN</t>
        </is>
      </c>
      <c r="E63" t="inlineStr">
        <is>
          <t>NORRTÄLJE</t>
        </is>
      </c>
      <c r="F63" t="inlineStr">
        <is>
          <t>Övriga Aktiebolag</t>
        </is>
      </c>
      <c r="G63" t="n">
        <v>30</v>
      </c>
      <c r="H63" t="n">
        <v>0</v>
      </c>
      <c r="I63" t="n">
        <v>2</v>
      </c>
      <c r="J63" t="n">
        <v>1</v>
      </c>
      <c r="K63" t="n">
        <v>0</v>
      </c>
      <c r="L63" t="n">
        <v>0</v>
      </c>
      <c r="M63" t="n">
        <v>0</v>
      </c>
      <c r="N63" t="n">
        <v>0</v>
      </c>
      <c r="O63" t="n">
        <v>1</v>
      </c>
      <c r="P63" t="n">
        <v>0</v>
      </c>
      <c r="Q63" t="n">
        <v>3</v>
      </c>
      <c r="R63" s="2" t="inlineStr">
        <is>
          <t>Kandelabersvamp
Fjällig taggsvamp s.str.
Skarp dropptaggsvamp</t>
        </is>
      </c>
      <c r="S63">
        <f>HYPERLINK("https://klasma.github.io/Logging_0188/artfynd/A 25270-2025 artfynd.xlsx", "A 25270-2025")</f>
        <v/>
      </c>
      <c r="T63">
        <f>HYPERLINK("https://klasma.github.io/Logging_0188/kartor/A 25270-2025 karta.png", "A 25270-2025")</f>
        <v/>
      </c>
      <c r="V63">
        <f>HYPERLINK("https://klasma.github.io/Logging_0188/klagomål/A 25270-2025 FSC-klagomål.docx", "A 25270-2025")</f>
        <v/>
      </c>
      <c r="W63">
        <f>HYPERLINK("https://klasma.github.io/Logging_0188/klagomålsmail/A 25270-2025 FSC-klagomål mail.docx", "A 25270-2025")</f>
        <v/>
      </c>
      <c r="X63">
        <f>HYPERLINK("https://klasma.github.io/Logging_0188/tillsyn/A 25270-2025 tillsynsbegäran.docx", "A 25270-2025")</f>
        <v/>
      </c>
      <c r="Y63">
        <f>HYPERLINK("https://klasma.github.io/Logging_0188/tillsynsmail/A 25270-2025 tillsynsbegäran mail.docx", "A 25270-2025")</f>
        <v/>
      </c>
    </row>
    <row r="64" ht="15" customHeight="1">
      <c r="A64" t="inlineStr">
        <is>
          <t>A 29185-2025</t>
        </is>
      </c>
      <c r="B64" s="1" t="n">
        <v>45821</v>
      </c>
      <c r="C64" s="1" t="n">
        <v>45994</v>
      </c>
      <c r="D64" t="inlineStr">
        <is>
          <t>STOCKHOLMS LÄN</t>
        </is>
      </c>
      <c r="E64" t="inlineStr">
        <is>
          <t>NORRTÄLJE</t>
        </is>
      </c>
      <c r="F64" t="inlineStr">
        <is>
          <t>Övriga Aktiebolag</t>
        </is>
      </c>
      <c r="G64" t="n">
        <v>8.5</v>
      </c>
      <c r="H64" t="n">
        <v>2</v>
      </c>
      <c r="I64" t="n">
        <v>1</v>
      </c>
      <c r="J64" t="n">
        <v>0</v>
      </c>
      <c r="K64" t="n">
        <v>0</v>
      </c>
      <c r="L64" t="n">
        <v>0</v>
      </c>
      <c r="M64" t="n">
        <v>0</v>
      </c>
      <c r="N64" t="n">
        <v>0</v>
      </c>
      <c r="O64" t="n">
        <v>0</v>
      </c>
      <c r="P64" t="n">
        <v>0</v>
      </c>
      <c r="Q64" t="n">
        <v>3</v>
      </c>
      <c r="R64" s="2" t="inlineStr">
        <is>
          <t>Vårärt
Fläcknycklar
Blåsippa</t>
        </is>
      </c>
      <c r="S64">
        <f>HYPERLINK("https://klasma.github.io/Logging_0188/artfynd/A 29185-2025 artfynd.xlsx", "A 29185-2025")</f>
        <v/>
      </c>
      <c r="T64">
        <f>HYPERLINK("https://klasma.github.io/Logging_0188/kartor/A 29185-2025 karta.png", "A 29185-2025")</f>
        <v/>
      </c>
      <c r="V64">
        <f>HYPERLINK("https://klasma.github.io/Logging_0188/klagomål/A 29185-2025 FSC-klagomål.docx", "A 29185-2025")</f>
        <v/>
      </c>
      <c r="W64">
        <f>HYPERLINK("https://klasma.github.io/Logging_0188/klagomålsmail/A 29185-2025 FSC-klagomål mail.docx", "A 29185-2025")</f>
        <v/>
      </c>
      <c r="X64">
        <f>HYPERLINK("https://klasma.github.io/Logging_0188/tillsyn/A 29185-2025 tillsynsbegäran.docx", "A 29185-2025")</f>
        <v/>
      </c>
      <c r="Y64">
        <f>HYPERLINK("https://klasma.github.io/Logging_0188/tillsynsmail/A 29185-2025 tillsynsbegäran mail.docx", "A 29185-2025")</f>
        <v/>
      </c>
    </row>
    <row r="65" ht="15" customHeight="1">
      <c r="A65" t="inlineStr">
        <is>
          <t>A 34524-2025</t>
        </is>
      </c>
      <c r="B65" s="1" t="n">
        <v>45847.47685185185</v>
      </c>
      <c r="C65" s="1" t="n">
        <v>45994</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52726-2025</t>
        </is>
      </c>
      <c r="B66" s="1" t="n">
        <v>45957.34722222222</v>
      </c>
      <c r="C66" s="1" t="n">
        <v>45994</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52133-2022</t>
        </is>
      </c>
      <c r="B67" s="1" t="n">
        <v>44868</v>
      </c>
      <c r="C67" s="1" t="n">
        <v>45994</v>
      </c>
      <c r="D67" t="inlineStr">
        <is>
          <t>STOCKHOLMS LÄN</t>
        </is>
      </c>
      <c r="E67" t="inlineStr">
        <is>
          <t>NORRTÄLJE</t>
        </is>
      </c>
      <c r="G67" t="n">
        <v>11.5</v>
      </c>
      <c r="H67" t="n">
        <v>1</v>
      </c>
      <c r="I67" t="n">
        <v>0</v>
      </c>
      <c r="J67" t="n">
        <v>1</v>
      </c>
      <c r="K67" t="n">
        <v>1</v>
      </c>
      <c r="L67" t="n">
        <v>0</v>
      </c>
      <c r="M67" t="n">
        <v>0</v>
      </c>
      <c r="N67" t="n">
        <v>0</v>
      </c>
      <c r="O67" t="n">
        <v>2</v>
      </c>
      <c r="P67" t="n">
        <v>1</v>
      </c>
      <c r="Q67" t="n">
        <v>2</v>
      </c>
      <c r="R67" s="2" t="inlineStr">
        <is>
          <t>Knärot
Grön aspvedbock</t>
        </is>
      </c>
      <c r="S67">
        <f>HYPERLINK("https://klasma.github.io/Logging_0188/artfynd/A 52133-2022 artfynd.xlsx", "A 52133-2022")</f>
        <v/>
      </c>
      <c r="T67">
        <f>HYPERLINK("https://klasma.github.io/Logging_0188/kartor/A 52133-2022 karta.png", "A 52133-2022")</f>
        <v/>
      </c>
      <c r="U67">
        <f>HYPERLINK("https://klasma.github.io/Logging_0188/knärot/A 52133-2022 karta knärot.png", "A 52133-2022")</f>
        <v/>
      </c>
      <c r="V67">
        <f>HYPERLINK("https://klasma.github.io/Logging_0188/klagomål/A 52133-2022 FSC-klagomål.docx", "A 52133-2022")</f>
        <v/>
      </c>
      <c r="W67">
        <f>HYPERLINK("https://klasma.github.io/Logging_0188/klagomålsmail/A 52133-2022 FSC-klagomål mail.docx", "A 52133-2022")</f>
        <v/>
      </c>
      <c r="X67">
        <f>HYPERLINK("https://klasma.github.io/Logging_0188/tillsyn/A 52133-2022 tillsynsbegäran.docx", "A 52133-2022")</f>
        <v/>
      </c>
      <c r="Y67">
        <f>HYPERLINK("https://klasma.github.io/Logging_0188/tillsynsmail/A 52133-2022 tillsynsbegäran mail.docx", "A 52133-2022")</f>
        <v/>
      </c>
    </row>
    <row r="68" ht="15" customHeight="1">
      <c r="A68" t="inlineStr">
        <is>
          <t>A 31803-2021</t>
        </is>
      </c>
      <c r="B68" s="1" t="n">
        <v>44370</v>
      </c>
      <c r="C68" s="1" t="n">
        <v>45994</v>
      </c>
      <c r="D68" t="inlineStr">
        <is>
          <t>STOCKHOLMS LÄN</t>
        </is>
      </c>
      <c r="E68" t="inlineStr">
        <is>
          <t>NORRTÄLJE</t>
        </is>
      </c>
      <c r="G68" t="n">
        <v>4.6</v>
      </c>
      <c r="H68" t="n">
        <v>0</v>
      </c>
      <c r="I68" t="n">
        <v>1</v>
      </c>
      <c r="J68" t="n">
        <v>1</v>
      </c>
      <c r="K68" t="n">
        <v>0</v>
      </c>
      <c r="L68" t="n">
        <v>0</v>
      </c>
      <c r="M68" t="n">
        <v>0</v>
      </c>
      <c r="N68" t="n">
        <v>0</v>
      </c>
      <c r="O68" t="n">
        <v>1</v>
      </c>
      <c r="P68" t="n">
        <v>0</v>
      </c>
      <c r="Q68" t="n">
        <v>2</v>
      </c>
      <c r="R68" s="2" t="inlineStr">
        <is>
          <t>Slåtterfibbla
Vårärt</t>
        </is>
      </c>
      <c r="S68">
        <f>HYPERLINK("https://klasma.github.io/Logging_0188/artfynd/A 31803-2021 artfynd.xlsx", "A 31803-2021")</f>
        <v/>
      </c>
      <c r="T68">
        <f>HYPERLINK("https://klasma.github.io/Logging_0188/kartor/A 31803-2021 karta.png", "A 31803-2021")</f>
        <v/>
      </c>
      <c r="V68">
        <f>HYPERLINK("https://klasma.github.io/Logging_0188/klagomål/A 31803-2021 FSC-klagomål.docx", "A 31803-2021")</f>
        <v/>
      </c>
      <c r="W68">
        <f>HYPERLINK("https://klasma.github.io/Logging_0188/klagomålsmail/A 31803-2021 FSC-klagomål mail.docx", "A 31803-2021")</f>
        <v/>
      </c>
      <c r="X68">
        <f>HYPERLINK("https://klasma.github.io/Logging_0188/tillsyn/A 31803-2021 tillsynsbegäran.docx", "A 31803-2021")</f>
        <v/>
      </c>
      <c r="Y68">
        <f>HYPERLINK("https://klasma.github.io/Logging_0188/tillsynsmail/A 31803-2021 tillsynsbegäran mail.docx", "A 31803-2021")</f>
        <v/>
      </c>
    </row>
    <row r="69" ht="15" customHeight="1">
      <c r="A69" t="inlineStr">
        <is>
          <t>A 4634-2021</t>
        </is>
      </c>
      <c r="B69" s="1" t="n">
        <v>44224</v>
      </c>
      <c r="C69" s="1" t="n">
        <v>45994</v>
      </c>
      <c r="D69" t="inlineStr">
        <is>
          <t>STOCKHOLMS LÄN</t>
        </is>
      </c>
      <c r="E69" t="inlineStr">
        <is>
          <t>NORRTÄLJE</t>
        </is>
      </c>
      <c r="G69" t="n">
        <v>3.7</v>
      </c>
      <c r="H69" t="n">
        <v>2</v>
      </c>
      <c r="I69" t="n">
        <v>1</v>
      </c>
      <c r="J69" t="n">
        <v>0</v>
      </c>
      <c r="K69" t="n">
        <v>0</v>
      </c>
      <c r="L69" t="n">
        <v>0</v>
      </c>
      <c r="M69" t="n">
        <v>0</v>
      </c>
      <c r="N69" t="n">
        <v>0</v>
      </c>
      <c r="O69" t="n">
        <v>0</v>
      </c>
      <c r="P69" t="n">
        <v>0</v>
      </c>
      <c r="Q69" t="n">
        <v>2</v>
      </c>
      <c r="R69" s="2" t="inlineStr">
        <is>
          <t>Grön sköldmossa
Tjäder</t>
        </is>
      </c>
      <c r="S69">
        <f>HYPERLINK("https://klasma.github.io/Logging_0188/artfynd/A 4634-2021 artfynd.xlsx", "A 4634-2021")</f>
        <v/>
      </c>
      <c r="T69">
        <f>HYPERLINK("https://klasma.github.io/Logging_0188/kartor/A 4634-2021 karta.png", "A 4634-2021")</f>
        <v/>
      </c>
      <c r="V69">
        <f>HYPERLINK("https://klasma.github.io/Logging_0188/klagomål/A 4634-2021 FSC-klagomål.docx", "A 4634-2021")</f>
        <v/>
      </c>
      <c r="W69">
        <f>HYPERLINK("https://klasma.github.io/Logging_0188/klagomålsmail/A 4634-2021 FSC-klagomål mail.docx", "A 4634-2021")</f>
        <v/>
      </c>
      <c r="X69">
        <f>HYPERLINK("https://klasma.github.io/Logging_0188/tillsyn/A 4634-2021 tillsynsbegäran.docx", "A 4634-2021")</f>
        <v/>
      </c>
      <c r="Y69">
        <f>HYPERLINK("https://klasma.github.io/Logging_0188/tillsynsmail/A 4634-2021 tillsynsbegäran mail.docx", "A 4634-2021")</f>
        <v/>
      </c>
      <c r="Z69">
        <f>HYPERLINK("https://klasma.github.io/Logging_0188/fåglar/A 4634-2021 prioriterade fågelarter.docx", "A 4634-2021")</f>
        <v/>
      </c>
    </row>
    <row r="70" ht="15" customHeight="1">
      <c r="A70" t="inlineStr">
        <is>
          <t>A 58676-2021</t>
        </is>
      </c>
      <c r="B70" s="1" t="n">
        <v>44489</v>
      </c>
      <c r="C70" s="1" t="n">
        <v>45994</v>
      </c>
      <c r="D70" t="inlineStr">
        <is>
          <t>STOCKHOLMS LÄN</t>
        </is>
      </c>
      <c r="E70" t="inlineStr">
        <is>
          <t>NORRTÄLJE</t>
        </is>
      </c>
      <c r="G70" t="n">
        <v>0.6</v>
      </c>
      <c r="H70" t="n">
        <v>2</v>
      </c>
      <c r="I70" t="n">
        <v>0</v>
      </c>
      <c r="J70" t="n">
        <v>0</v>
      </c>
      <c r="K70" t="n">
        <v>0</v>
      </c>
      <c r="L70" t="n">
        <v>0</v>
      </c>
      <c r="M70" t="n">
        <v>0</v>
      </c>
      <c r="N70" t="n">
        <v>0</v>
      </c>
      <c r="O70" t="n">
        <v>0</v>
      </c>
      <c r="P70" t="n">
        <v>0</v>
      </c>
      <c r="Q70" t="n">
        <v>2</v>
      </c>
      <c r="R70" s="2" t="inlineStr">
        <is>
          <t>Nattviol
Blåsippa</t>
        </is>
      </c>
      <c r="S70">
        <f>HYPERLINK("https://klasma.github.io/Logging_0188/artfynd/A 58676-2021 artfynd.xlsx", "A 58676-2021")</f>
        <v/>
      </c>
      <c r="T70">
        <f>HYPERLINK("https://klasma.github.io/Logging_0188/kartor/A 58676-2021 karta.png", "A 58676-2021")</f>
        <v/>
      </c>
      <c r="V70">
        <f>HYPERLINK("https://klasma.github.io/Logging_0188/klagomål/A 58676-2021 FSC-klagomål.docx", "A 58676-2021")</f>
        <v/>
      </c>
      <c r="W70">
        <f>HYPERLINK("https://klasma.github.io/Logging_0188/klagomålsmail/A 58676-2021 FSC-klagomål mail.docx", "A 58676-2021")</f>
        <v/>
      </c>
      <c r="X70">
        <f>HYPERLINK("https://klasma.github.io/Logging_0188/tillsyn/A 58676-2021 tillsynsbegäran.docx", "A 58676-2021")</f>
        <v/>
      </c>
      <c r="Y70">
        <f>HYPERLINK("https://klasma.github.io/Logging_0188/tillsynsmail/A 58676-2021 tillsynsbegäran mail.docx", "A 58676-2021")</f>
        <v/>
      </c>
    </row>
    <row r="71" ht="15" customHeight="1">
      <c r="A71" t="inlineStr">
        <is>
          <t>A 38991-2022</t>
        </is>
      </c>
      <c r="B71" s="1" t="n">
        <v>44816.89569444444</v>
      </c>
      <c r="C71" s="1" t="n">
        <v>45994</v>
      </c>
      <c r="D71" t="inlineStr">
        <is>
          <t>STOCKHOLMS LÄN</t>
        </is>
      </c>
      <c r="E71" t="inlineStr">
        <is>
          <t>NORRTÄLJE</t>
        </is>
      </c>
      <c r="G71" t="n">
        <v>1.9</v>
      </c>
      <c r="H71" t="n">
        <v>0</v>
      </c>
      <c r="I71" t="n">
        <v>2</v>
      </c>
      <c r="J71" t="n">
        <v>0</v>
      </c>
      <c r="K71" t="n">
        <v>0</v>
      </c>
      <c r="L71" t="n">
        <v>0</v>
      </c>
      <c r="M71" t="n">
        <v>0</v>
      </c>
      <c r="N71" t="n">
        <v>0</v>
      </c>
      <c r="O71" t="n">
        <v>0</v>
      </c>
      <c r="P71" t="n">
        <v>0</v>
      </c>
      <c r="Q71" t="n">
        <v>2</v>
      </c>
      <c r="R71" s="2" t="inlineStr">
        <is>
          <t>Bronshjon
Grovticka</t>
        </is>
      </c>
      <c r="S71">
        <f>HYPERLINK("https://klasma.github.io/Logging_0188/artfynd/A 38991-2022 artfynd.xlsx", "A 38991-2022")</f>
        <v/>
      </c>
      <c r="T71">
        <f>HYPERLINK("https://klasma.github.io/Logging_0188/kartor/A 38991-2022 karta.png", "A 38991-2022")</f>
        <v/>
      </c>
      <c r="V71">
        <f>HYPERLINK("https://klasma.github.io/Logging_0188/klagomål/A 38991-2022 FSC-klagomål.docx", "A 38991-2022")</f>
        <v/>
      </c>
      <c r="W71">
        <f>HYPERLINK("https://klasma.github.io/Logging_0188/klagomålsmail/A 38991-2022 FSC-klagomål mail.docx", "A 38991-2022")</f>
        <v/>
      </c>
      <c r="X71">
        <f>HYPERLINK("https://klasma.github.io/Logging_0188/tillsyn/A 38991-2022 tillsynsbegäran.docx", "A 38991-2022")</f>
        <v/>
      </c>
      <c r="Y71">
        <f>HYPERLINK("https://klasma.github.io/Logging_0188/tillsynsmail/A 38991-2022 tillsynsbegäran mail.docx", "A 38991-2022")</f>
        <v/>
      </c>
    </row>
    <row r="72" ht="15" customHeight="1">
      <c r="A72" t="inlineStr">
        <is>
          <t>A 52825-2023</t>
        </is>
      </c>
      <c r="B72" s="1" t="n">
        <v>45226</v>
      </c>
      <c r="C72" s="1" t="n">
        <v>45994</v>
      </c>
      <c r="D72" t="inlineStr">
        <is>
          <t>STOCKHOLMS LÄN</t>
        </is>
      </c>
      <c r="E72" t="inlineStr">
        <is>
          <t>NORRTÄLJE</t>
        </is>
      </c>
      <c r="G72" t="n">
        <v>1</v>
      </c>
      <c r="H72" t="n">
        <v>0</v>
      </c>
      <c r="I72" t="n">
        <v>2</v>
      </c>
      <c r="J72" t="n">
        <v>0</v>
      </c>
      <c r="K72" t="n">
        <v>0</v>
      </c>
      <c r="L72" t="n">
        <v>0</v>
      </c>
      <c r="M72" t="n">
        <v>0</v>
      </c>
      <c r="N72" t="n">
        <v>0</v>
      </c>
      <c r="O72" t="n">
        <v>0</v>
      </c>
      <c r="P72" t="n">
        <v>0</v>
      </c>
      <c r="Q72" t="n">
        <v>2</v>
      </c>
      <c r="R72" s="2" t="inlineStr">
        <is>
          <t>Fjällig taggsvamp s.str.
Strimspindling</t>
        </is>
      </c>
      <c r="S72">
        <f>HYPERLINK("https://klasma.github.io/Logging_0188/artfynd/A 52825-2023 artfynd.xlsx", "A 52825-2023")</f>
        <v/>
      </c>
      <c r="T72">
        <f>HYPERLINK("https://klasma.github.io/Logging_0188/kartor/A 52825-2023 karta.png", "A 52825-2023")</f>
        <v/>
      </c>
      <c r="V72">
        <f>HYPERLINK("https://klasma.github.io/Logging_0188/klagomål/A 52825-2023 FSC-klagomål.docx", "A 52825-2023")</f>
        <v/>
      </c>
      <c r="W72">
        <f>HYPERLINK("https://klasma.github.io/Logging_0188/klagomålsmail/A 52825-2023 FSC-klagomål mail.docx", "A 52825-2023")</f>
        <v/>
      </c>
      <c r="X72">
        <f>HYPERLINK("https://klasma.github.io/Logging_0188/tillsyn/A 52825-2023 tillsynsbegäran.docx", "A 52825-2023")</f>
        <v/>
      </c>
      <c r="Y72">
        <f>HYPERLINK("https://klasma.github.io/Logging_0188/tillsynsmail/A 52825-2023 tillsynsbegäran mail.docx", "A 52825-2023")</f>
        <v/>
      </c>
    </row>
    <row r="73" ht="15" customHeight="1">
      <c r="A73" t="inlineStr">
        <is>
          <t>A 22190-2024</t>
        </is>
      </c>
      <c r="B73" s="1" t="n">
        <v>45446.35888888889</v>
      </c>
      <c r="C73" s="1" t="n">
        <v>45994</v>
      </c>
      <c r="D73" t="inlineStr">
        <is>
          <t>STOCKHOLMS LÄN</t>
        </is>
      </c>
      <c r="E73" t="inlineStr">
        <is>
          <t>NORRTÄLJE</t>
        </is>
      </c>
      <c r="G73" t="n">
        <v>2.8</v>
      </c>
      <c r="H73" t="n">
        <v>2</v>
      </c>
      <c r="I73" t="n">
        <v>1</v>
      </c>
      <c r="J73" t="n">
        <v>0</v>
      </c>
      <c r="K73" t="n">
        <v>0</v>
      </c>
      <c r="L73" t="n">
        <v>0</v>
      </c>
      <c r="M73" t="n">
        <v>0</v>
      </c>
      <c r="N73" t="n">
        <v>0</v>
      </c>
      <c r="O73" t="n">
        <v>0</v>
      </c>
      <c r="P73" t="n">
        <v>0</v>
      </c>
      <c r="Q73" t="n">
        <v>2</v>
      </c>
      <c r="R73" s="2" t="inlineStr">
        <is>
          <t>Skogsknipprot
Vanlig groda</t>
        </is>
      </c>
      <c r="S73">
        <f>HYPERLINK("https://klasma.github.io/Logging_0188/artfynd/A 22190-2024 artfynd.xlsx", "A 22190-2024")</f>
        <v/>
      </c>
      <c r="T73">
        <f>HYPERLINK("https://klasma.github.io/Logging_0188/kartor/A 22190-2024 karta.png", "A 22190-2024")</f>
        <v/>
      </c>
      <c r="V73">
        <f>HYPERLINK("https://klasma.github.io/Logging_0188/klagomål/A 22190-2024 FSC-klagomål.docx", "A 22190-2024")</f>
        <v/>
      </c>
      <c r="W73">
        <f>HYPERLINK("https://klasma.github.io/Logging_0188/klagomålsmail/A 22190-2024 FSC-klagomål mail.docx", "A 22190-2024")</f>
        <v/>
      </c>
      <c r="X73">
        <f>HYPERLINK("https://klasma.github.io/Logging_0188/tillsyn/A 22190-2024 tillsynsbegäran.docx", "A 22190-2024")</f>
        <v/>
      </c>
      <c r="Y73">
        <f>HYPERLINK("https://klasma.github.io/Logging_0188/tillsynsmail/A 22190-2024 tillsynsbegäran mail.docx", "A 22190-2024")</f>
        <v/>
      </c>
    </row>
    <row r="74" ht="15" customHeight="1">
      <c r="A74" t="inlineStr">
        <is>
          <t>A 16260-2022</t>
        </is>
      </c>
      <c r="B74" s="1" t="n">
        <v>44670</v>
      </c>
      <c r="C74" s="1" t="n">
        <v>45994</v>
      </c>
      <c r="D74" t="inlineStr">
        <is>
          <t>STOCKHOLMS LÄN</t>
        </is>
      </c>
      <c r="E74" t="inlineStr">
        <is>
          <t>NORRTÄLJE</t>
        </is>
      </c>
      <c r="G74" t="n">
        <v>6.6</v>
      </c>
      <c r="H74" t="n">
        <v>1</v>
      </c>
      <c r="I74" t="n">
        <v>2</v>
      </c>
      <c r="J74" t="n">
        <v>0</v>
      </c>
      <c r="K74" t="n">
        <v>0</v>
      </c>
      <c r="L74" t="n">
        <v>0</v>
      </c>
      <c r="M74" t="n">
        <v>0</v>
      </c>
      <c r="N74" t="n">
        <v>0</v>
      </c>
      <c r="O74" t="n">
        <v>0</v>
      </c>
      <c r="P74" t="n">
        <v>0</v>
      </c>
      <c r="Q74" t="n">
        <v>2</v>
      </c>
      <c r="R74" s="2" t="inlineStr">
        <is>
          <t>Nästrot
Vårärt</t>
        </is>
      </c>
      <c r="S74">
        <f>HYPERLINK("https://klasma.github.io/Logging_0188/artfynd/A 16260-2022 artfynd.xlsx", "A 16260-2022")</f>
        <v/>
      </c>
      <c r="T74">
        <f>HYPERLINK("https://klasma.github.io/Logging_0188/kartor/A 16260-2022 karta.png", "A 16260-2022")</f>
        <v/>
      </c>
      <c r="V74">
        <f>HYPERLINK("https://klasma.github.io/Logging_0188/klagomål/A 16260-2022 FSC-klagomål.docx", "A 16260-2022")</f>
        <v/>
      </c>
      <c r="W74">
        <f>HYPERLINK("https://klasma.github.io/Logging_0188/klagomålsmail/A 16260-2022 FSC-klagomål mail.docx", "A 16260-2022")</f>
        <v/>
      </c>
      <c r="X74">
        <f>HYPERLINK("https://klasma.github.io/Logging_0188/tillsyn/A 16260-2022 tillsynsbegäran.docx", "A 16260-2022")</f>
        <v/>
      </c>
      <c r="Y74">
        <f>HYPERLINK("https://klasma.github.io/Logging_0188/tillsynsmail/A 16260-2022 tillsynsbegäran mail.docx", "A 16260-2022")</f>
        <v/>
      </c>
    </row>
    <row r="75" ht="15" customHeight="1">
      <c r="A75" t="inlineStr">
        <is>
          <t>A 52360-2024</t>
        </is>
      </c>
      <c r="B75" s="1" t="n">
        <v>45609.37094907407</v>
      </c>
      <c r="C75" s="1" t="n">
        <v>45994</v>
      </c>
      <c r="D75" t="inlineStr">
        <is>
          <t>STOCKHOLMS LÄN</t>
        </is>
      </c>
      <c r="E75" t="inlineStr">
        <is>
          <t>NORRTÄLJE</t>
        </is>
      </c>
      <c r="G75" t="n">
        <v>2.2</v>
      </c>
      <c r="H75" t="n">
        <v>1</v>
      </c>
      <c r="I75" t="n">
        <v>1</v>
      </c>
      <c r="J75" t="n">
        <v>0</v>
      </c>
      <c r="K75" t="n">
        <v>0</v>
      </c>
      <c r="L75" t="n">
        <v>0</v>
      </c>
      <c r="M75" t="n">
        <v>0</v>
      </c>
      <c r="N75" t="n">
        <v>0</v>
      </c>
      <c r="O75" t="n">
        <v>0</v>
      </c>
      <c r="P75" t="n">
        <v>0</v>
      </c>
      <c r="Q75" t="n">
        <v>2</v>
      </c>
      <c r="R75" s="2" t="inlineStr">
        <is>
          <t>Brandticka
Blåsippa</t>
        </is>
      </c>
      <c r="S75">
        <f>HYPERLINK("https://klasma.github.io/Logging_0188/artfynd/A 52360-2024 artfynd.xlsx", "A 52360-2024")</f>
        <v/>
      </c>
      <c r="T75">
        <f>HYPERLINK("https://klasma.github.io/Logging_0188/kartor/A 52360-2024 karta.png", "A 52360-2024")</f>
        <v/>
      </c>
      <c r="V75">
        <f>HYPERLINK("https://klasma.github.io/Logging_0188/klagomål/A 52360-2024 FSC-klagomål.docx", "A 52360-2024")</f>
        <v/>
      </c>
      <c r="W75">
        <f>HYPERLINK("https://klasma.github.io/Logging_0188/klagomålsmail/A 52360-2024 FSC-klagomål mail.docx", "A 52360-2024")</f>
        <v/>
      </c>
      <c r="X75">
        <f>HYPERLINK("https://klasma.github.io/Logging_0188/tillsyn/A 52360-2024 tillsynsbegäran.docx", "A 52360-2024")</f>
        <v/>
      </c>
      <c r="Y75">
        <f>HYPERLINK("https://klasma.github.io/Logging_0188/tillsynsmail/A 52360-2024 tillsynsbegäran mail.docx", "A 52360-2024")</f>
        <v/>
      </c>
    </row>
    <row r="76" ht="15" customHeight="1">
      <c r="A76" t="inlineStr">
        <is>
          <t>A 30693-2022</t>
        </is>
      </c>
      <c r="B76" s="1" t="n">
        <v>44763</v>
      </c>
      <c r="C76" s="1" t="n">
        <v>45994</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51980-2022</t>
        </is>
      </c>
      <c r="B77" s="1" t="n">
        <v>44872</v>
      </c>
      <c r="C77" s="1" t="n">
        <v>45994</v>
      </c>
      <c r="D77" t="inlineStr">
        <is>
          <t>STOCKHOLMS LÄN</t>
        </is>
      </c>
      <c r="E77" t="inlineStr">
        <is>
          <t>NORRTÄLJE</t>
        </is>
      </c>
      <c r="G77" t="n">
        <v>7.9</v>
      </c>
      <c r="H77" t="n">
        <v>1</v>
      </c>
      <c r="I77" t="n">
        <v>2</v>
      </c>
      <c r="J77" t="n">
        <v>0</v>
      </c>
      <c r="K77" t="n">
        <v>0</v>
      </c>
      <c r="L77" t="n">
        <v>0</v>
      </c>
      <c r="M77" t="n">
        <v>0</v>
      </c>
      <c r="N77" t="n">
        <v>0</v>
      </c>
      <c r="O77" t="n">
        <v>0</v>
      </c>
      <c r="P77" t="n">
        <v>0</v>
      </c>
      <c r="Q77" t="n">
        <v>2</v>
      </c>
      <c r="R77" s="2" t="inlineStr">
        <is>
          <t>Rödgul trumpetsvamp
Skogsknipprot</t>
        </is>
      </c>
      <c r="S77">
        <f>HYPERLINK("https://klasma.github.io/Logging_0188/artfynd/A 51980-2022 artfynd.xlsx", "A 51980-2022")</f>
        <v/>
      </c>
      <c r="T77">
        <f>HYPERLINK("https://klasma.github.io/Logging_0188/kartor/A 51980-2022 karta.png", "A 51980-2022")</f>
        <v/>
      </c>
      <c r="V77">
        <f>HYPERLINK("https://klasma.github.io/Logging_0188/klagomål/A 51980-2022 FSC-klagomål.docx", "A 51980-2022")</f>
        <v/>
      </c>
      <c r="W77">
        <f>HYPERLINK("https://klasma.github.io/Logging_0188/klagomålsmail/A 51980-2022 FSC-klagomål mail.docx", "A 51980-2022")</f>
        <v/>
      </c>
      <c r="X77">
        <f>HYPERLINK("https://klasma.github.io/Logging_0188/tillsyn/A 51980-2022 tillsynsbegäran.docx", "A 51980-2022")</f>
        <v/>
      </c>
      <c r="Y77">
        <f>HYPERLINK("https://klasma.github.io/Logging_0188/tillsynsmail/A 51980-2022 tillsynsbegäran mail.docx", "A 51980-2022")</f>
        <v/>
      </c>
    </row>
    <row r="78" ht="15" customHeight="1">
      <c r="A78" t="inlineStr">
        <is>
          <t>A 11031-2025</t>
        </is>
      </c>
      <c r="B78" s="1" t="n">
        <v>45723</v>
      </c>
      <c r="C78" s="1" t="n">
        <v>45994</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51220-2023</t>
        </is>
      </c>
      <c r="B79" s="1" t="n">
        <v>45219</v>
      </c>
      <c r="C79" s="1" t="n">
        <v>45994</v>
      </c>
      <c r="D79" t="inlineStr">
        <is>
          <t>STOCKHOLMS LÄN</t>
        </is>
      </c>
      <c r="E79" t="inlineStr">
        <is>
          <t>NORRTÄLJE</t>
        </is>
      </c>
      <c r="G79" t="n">
        <v>7.7</v>
      </c>
      <c r="H79" t="n">
        <v>1</v>
      </c>
      <c r="I79" t="n">
        <v>0</v>
      </c>
      <c r="J79" t="n">
        <v>1</v>
      </c>
      <c r="K79" t="n">
        <v>0</v>
      </c>
      <c r="L79" t="n">
        <v>0</v>
      </c>
      <c r="M79" t="n">
        <v>0</v>
      </c>
      <c r="N79" t="n">
        <v>0</v>
      </c>
      <c r="O79" t="n">
        <v>1</v>
      </c>
      <c r="P79" t="n">
        <v>0</v>
      </c>
      <c r="Q79" t="n">
        <v>2</v>
      </c>
      <c r="R79" s="2" t="inlineStr">
        <is>
          <t>Ullticka
Blåsippa</t>
        </is>
      </c>
      <c r="S79">
        <f>HYPERLINK("https://klasma.github.io/Logging_0188/artfynd/A 51220-2023 artfynd.xlsx", "A 51220-2023")</f>
        <v/>
      </c>
      <c r="T79">
        <f>HYPERLINK("https://klasma.github.io/Logging_0188/kartor/A 51220-2023 karta.png", "A 51220-2023")</f>
        <v/>
      </c>
      <c r="V79">
        <f>HYPERLINK("https://klasma.github.io/Logging_0188/klagomål/A 51220-2023 FSC-klagomål.docx", "A 51220-2023")</f>
        <v/>
      </c>
      <c r="W79">
        <f>HYPERLINK("https://klasma.github.io/Logging_0188/klagomålsmail/A 51220-2023 FSC-klagomål mail.docx", "A 51220-2023")</f>
        <v/>
      </c>
      <c r="X79">
        <f>HYPERLINK("https://klasma.github.io/Logging_0188/tillsyn/A 51220-2023 tillsynsbegäran.docx", "A 51220-2023")</f>
        <v/>
      </c>
      <c r="Y79">
        <f>HYPERLINK("https://klasma.github.io/Logging_0188/tillsynsmail/A 51220-2023 tillsynsbegäran mail.docx", "A 51220-2023")</f>
        <v/>
      </c>
    </row>
    <row r="80" ht="15" customHeight="1">
      <c r="A80" t="inlineStr">
        <is>
          <t>A 52124-2022</t>
        </is>
      </c>
      <c r="B80" s="1" t="n">
        <v>44868</v>
      </c>
      <c r="C80" s="1" t="n">
        <v>45994</v>
      </c>
      <c r="D80" t="inlineStr">
        <is>
          <t>STOCKHOLMS LÄN</t>
        </is>
      </c>
      <c r="E80" t="inlineStr">
        <is>
          <t>NORRTÄLJE</t>
        </is>
      </c>
      <c r="G80" t="n">
        <v>4.8</v>
      </c>
      <c r="H80" t="n">
        <v>1</v>
      </c>
      <c r="I80" t="n">
        <v>0</v>
      </c>
      <c r="J80" t="n">
        <v>1</v>
      </c>
      <c r="K80" t="n">
        <v>0</v>
      </c>
      <c r="L80" t="n">
        <v>0</v>
      </c>
      <c r="M80" t="n">
        <v>0</v>
      </c>
      <c r="N80" t="n">
        <v>0</v>
      </c>
      <c r="O80" t="n">
        <v>1</v>
      </c>
      <c r="P80" t="n">
        <v>0</v>
      </c>
      <c r="Q80" t="n">
        <v>2</v>
      </c>
      <c r="R80" s="2" t="inlineStr">
        <is>
          <t>Kandelabersvamp
Blåsippa</t>
        </is>
      </c>
      <c r="S80">
        <f>HYPERLINK("https://klasma.github.io/Logging_0188/artfynd/A 52124-2022 artfynd.xlsx", "A 52124-2022")</f>
        <v/>
      </c>
      <c r="T80">
        <f>HYPERLINK("https://klasma.github.io/Logging_0188/kartor/A 52124-2022 karta.png", "A 52124-2022")</f>
        <v/>
      </c>
      <c r="V80">
        <f>HYPERLINK("https://klasma.github.io/Logging_0188/klagomål/A 52124-2022 FSC-klagomål.docx", "A 52124-2022")</f>
        <v/>
      </c>
      <c r="W80">
        <f>HYPERLINK("https://klasma.github.io/Logging_0188/klagomålsmail/A 52124-2022 FSC-klagomål mail.docx", "A 52124-2022")</f>
        <v/>
      </c>
      <c r="X80">
        <f>HYPERLINK("https://klasma.github.io/Logging_0188/tillsyn/A 52124-2022 tillsynsbegäran.docx", "A 52124-2022")</f>
        <v/>
      </c>
      <c r="Y80">
        <f>HYPERLINK("https://klasma.github.io/Logging_0188/tillsynsmail/A 52124-2022 tillsynsbegäran mail.docx", "A 52124-2022")</f>
        <v/>
      </c>
    </row>
    <row r="81" ht="15" customHeight="1">
      <c r="A81" t="inlineStr">
        <is>
          <t>A 53608-2025</t>
        </is>
      </c>
      <c r="B81" s="1" t="n">
        <v>45960</v>
      </c>
      <c r="C81" s="1" t="n">
        <v>45994</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50697-2025</t>
        </is>
      </c>
      <c r="B82" s="1" t="n">
        <v>45945.90854166666</v>
      </c>
      <c r="C82" s="1" t="n">
        <v>45994</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1547-2022</t>
        </is>
      </c>
      <c r="B83" s="1" t="n">
        <v>44573</v>
      </c>
      <c r="C83" s="1" t="n">
        <v>45994</v>
      </c>
      <c r="D83" t="inlineStr">
        <is>
          <t>STOCKHOLMS LÄN</t>
        </is>
      </c>
      <c r="E83" t="inlineStr">
        <is>
          <t>NORRTÄLJE</t>
        </is>
      </c>
      <c r="G83" t="n">
        <v>1.8</v>
      </c>
      <c r="H83" t="n">
        <v>1</v>
      </c>
      <c r="I83" t="n">
        <v>0</v>
      </c>
      <c r="J83" t="n">
        <v>0</v>
      </c>
      <c r="K83" t="n">
        <v>1</v>
      </c>
      <c r="L83" t="n">
        <v>0</v>
      </c>
      <c r="M83" t="n">
        <v>0</v>
      </c>
      <c r="N83" t="n">
        <v>0</v>
      </c>
      <c r="O83" t="n">
        <v>1</v>
      </c>
      <c r="P83" t="n">
        <v>1</v>
      </c>
      <c r="Q83" t="n">
        <v>1</v>
      </c>
      <c r="R83" s="2" t="inlineStr">
        <is>
          <t>Hällebräcka</t>
        </is>
      </c>
      <c r="S83">
        <f>HYPERLINK("https://klasma.github.io/Logging_0188/artfynd/A 1547-2022 artfynd.xlsx", "A 1547-2022")</f>
        <v/>
      </c>
      <c r="T83">
        <f>HYPERLINK("https://klasma.github.io/Logging_0188/kartor/A 1547-2022 karta.png", "A 1547-2022")</f>
        <v/>
      </c>
      <c r="V83">
        <f>HYPERLINK("https://klasma.github.io/Logging_0188/klagomål/A 1547-2022 FSC-klagomål.docx", "A 1547-2022")</f>
        <v/>
      </c>
      <c r="W83">
        <f>HYPERLINK("https://klasma.github.io/Logging_0188/klagomålsmail/A 1547-2022 FSC-klagomål mail.docx", "A 1547-2022")</f>
        <v/>
      </c>
      <c r="X83">
        <f>HYPERLINK("https://klasma.github.io/Logging_0188/tillsyn/A 1547-2022 tillsynsbegäran.docx", "A 1547-2022")</f>
        <v/>
      </c>
      <c r="Y83">
        <f>HYPERLINK("https://klasma.github.io/Logging_0188/tillsynsmail/A 1547-2022 tillsynsbegäran mail.docx", "A 1547-2022")</f>
        <v/>
      </c>
    </row>
    <row r="84" ht="15" customHeight="1">
      <c r="A84" t="inlineStr">
        <is>
          <t>A 188-2022</t>
        </is>
      </c>
      <c r="B84" s="1" t="n">
        <v>44564.66387731482</v>
      </c>
      <c r="C84" s="1" t="n">
        <v>45994</v>
      </c>
      <c r="D84" t="inlineStr">
        <is>
          <t>STOCKHOLMS LÄN</t>
        </is>
      </c>
      <c r="E84" t="inlineStr">
        <is>
          <t>NORRTÄLJE</t>
        </is>
      </c>
      <c r="G84" t="n">
        <v>4.1</v>
      </c>
      <c r="H84" t="n">
        <v>0</v>
      </c>
      <c r="I84" t="n">
        <v>1</v>
      </c>
      <c r="J84" t="n">
        <v>0</v>
      </c>
      <c r="K84" t="n">
        <v>0</v>
      </c>
      <c r="L84" t="n">
        <v>0</v>
      </c>
      <c r="M84" t="n">
        <v>0</v>
      </c>
      <c r="N84" t="n">
        <v>0</v>
      </c>
      <c r="O84" t="n">
        <v>0</v>
      </c>
      <c r="P84" t="n">
        <v>0</v>
      </c>
      <c r="Q84" t="n">
        <v>1</v>
      </c>
      <c r="R84" s="2" t="inlineStr">
        <is>
          <t>Svart trolldruva</t>
        </is>
      </c>
      <c r="S84">
        <f>HYPERLINK("https://klasma.github.io/Logging_0188/artfynd/A 188-2022 artfynd.xlsx", "A 188-2022")</f>
        <v/>
      </c>
      <c r="T84">
        <f>HYPERLINK("https://klasma.github.io/Logging_0188/kartor/A 188-2022 karta.png", "A 188-2022")</f>
        <v/>
      </c>
      <c r="V84">
        <f>HYPERLINK("https://klasma.github.io/Logging_0188/klagomål/A 188-2022 FSC-klagomål.docx", "A 188-2022")</f>
        <v/>
      </c>
      <c r="W84">
        <f>HYPERLINK("https://klasma.github.io/Logging_0188/klagomålsmail/A 188-2022 FSC-klagomål mail.docx", "A 188-2022")</f>
        <v/>
      </c>
      <c r="X84">
        <f>HYPERLINK("https://klasma.github.io/Logging_0188/tillsyn/A 188-2022 tillsynsbegäran.docx", "A 188-2022")</f>
        <v/>
      </c>
      <c r="Y84">
        <f>HYPERLINK("https://klasma.github.io/Logging_0188/tillsynsmail/A 188-2022 tillsynsbegäran mail.docx", "A 188-2022")</f>
        <v/>
      </c>
    </row>
    <row r="85" ht="15" customHeight="1">
      <c r="A85" t="inlineStr">
        <is>
          <t>A 17629-2022</t>
        </is>
      </c>
      <c r="B85" s="1" t="n">
        <v>44680</v>
      </c>
      <c r="C85" s="1" t="n">
        <v>45994</v>
      </c>
      <c r="D85" t="inlineStr">
        <is>
          <t>STOCKHOLMS LÄN</t>
        </is>
      </c>
      <c r="E85" t="inlineStr">
        <is>
          <t>NORRTÄLJE</t>
        </is>
      </c>
      <c r="G85" t="n">
        <v>0.6</v>
      </c>
      <c r="H85" t="n">
        <v>1</v>
      </c>
      <c r="I85" t="n">
        <v>0</v>
      </c>
      <c r="J85" t="n">
        <v>1</v>
      </c>
      <c r="K85" t="n">
        <v>0</v>
      </c>
      <c r="L85" t="n">
        <v>0</v>
      </c>
      <c r="M85" t="n">
        <v>0</v>
      </c>
      <c r="N85" t="n">
        <v>0</v>
      </c>
      <c r="O85" t="n">
        <v>1</v>
      </c>
      <c r="P85" t="n">
        <v>0</v>
      </c>
      <c r="Q85" t="n">
        <v>1</v>
      </c>
      <c r="R85" s="2" t="inlineStr">
        <is>
          <t>Hornuggla</t>
        </is>
      </c>
      <c r="S85">
        <f>HYPERLINK("https://klasma.github.io/Logging_0188/artfynd/A 17629-2022 artfynd.xlsx", "A 17629-2022")</f>
        <v/>
      </c>
      <c r="T85">
        <f>HYPERLINK("https://klasma.github.io/Logging_0188/kartor/A 17629-2022 karta.png", "A 17629-2022")</f>
        <v/>
      </c>
      <c r="V85">
        <f>HYPERLINK("https://klasma.github.io/Logging_0188/klagomål/A 17629-2022 FSC-klagomål.docx", "A 17629-2022")</f>
        <v/>
      </c>
      <c r="W85">
        <f>HYPERLINK("https://klasma.github.io/Logging_0188/klagomålsmail/A 17629-2022 FSC-klagomål mail.docx", "A 17629-2022")</f>
        <v/>
      </c>
      <c r="X85">
        <f>HYPERLINK("https://klasma.github.io/Logging_0188/tillsyn/A 17629-2022 tillsynsbegäran.docx", "A 17629-2022")</f>
        <v/>
      </c>
      <c r="Y85">
        <f>HYPERLINK("https://klasma.github.io/Logging_0188/tillsynsmail/A 17629-2022 tillsynsbegäran mail.docx", "A 17629-2022")</f>
        <v/>
      </c>
      <c r="Z85">
        <f>HYPERLINK("https://klasma.github.io/Logging_0188/fåglar/A 17629-2022 prioriterade fågelarter.docx", "A 17629-2022")</f>
        <v/>
      </c>
    </row>
    <row r="86" ht="15" customHeight="1">
      <c r="A86" t="inlineStr">
        <is>
          <t>A 30138-2021</t>
        </is>
      </c>
      <c r="B86" s="1" t="n">
        <v>44363</v>
      </c>
      <c r="C86" s="1" t="n">
        <v>45994</v>
      </c>
      <c r="D86" t="inlineStr">
        <is>
          <t>STOCKHOLMS LÄN</t>
        </is>
      </c>
      <c r="E86" t="inlineStr">
        <is>
          <t>NORRTÄLJE</t>
        </is>
      </c>
      <c r="G86" t="n">
        <v>4.5</v>
      </c>
      <c r="H86" t="n">
        <v>0</v>
      </c>
      <c r="I86" t="n">
        <v>1</v>
      </c>
      <c r="J86" t="n">
        <v>0</v>
      </c>
      <c r="K86" t="n">
        <v>0</v>
      </c>
      <c r="L86" t="n">
        <v>0</v>
      </c>
      <c r="M86" t="n">
        <v>0</v>
      </c>
      <c r="N86" t="n">
        <v>0</v>
      </c>
      <c r="O86" t="n">
        <v>0</v>
      </c>
      <c r="P86" t="n">
        <v>0</v>
      </c>
      <c r="Q86" t="n">
        <v>1</v>
      </c>
      <c r="R86" s="2" t="inlineStr">
        <is>
          <t>Vårärt</t>
        </is>
      </c>
      <c r="S86">
        <f>HYPERLINK("https://klasma.github.io/Logging_0188/artfynd/A 30138-2021 artfynd.xlsx", "A 30138-2021")</f>
        <v/>
      </c>
      <c r="T86">
        <f>HYPERLINK("https://klasma.github.io/Logging_0188/kartor/A 30138-2021 karta.png", "A 30138-2021")</f>
        <v/>
      </c>
      <c r="V86">
        <f>HYPERLINK("https://klasma.github.io/Logging_0188/klagomål/A 30138-2021 FSC-klagomål.docx", "A 30138-2021")</f>
        <v/>
      </c>
      <c r="W86">
        <f>HYPERLINK("https://klasma.github.io/Logging_0188/klagomålsmail/A 30138-2021 FSC-klagomål mail.docx", "A 30138-2021")</f>
        <v/>
      </c>
      <c r="X86">
        <f>HYPERLINK("https://klasma.github.io/Logging_0188/tillsyn/A 30138-2021 tillsynsbegäran.docx", "A 30138-2021")</f>
        <v/>
      </c>
      <c r="Y86">
        <f>HYPERLINK("https://klasma.github.io/Logging_0188/tillsynsmail/A 30138-2021 tillsynsbegäran mail.docx", "A 30138-2021")</f>
        <v/>
      </c>
    </row>
    <row r="87" ht="15" customHeight="1">
      <c r="A87" t="inlineStr">
        <is>
          <t>A 33477-2022</t>
        </is>
      </c>
      <c r="B87" s="1" t="n">
        <v>44788.70217592592</v>
      </c>
      <c r="C87" s="1" t="n">
        <v>45994</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26120-2024</t>
        </is>
      </c>
      <c r="B88" s="1" t="n">
        <v>45468.45995370371</v>
      </c>
      <c r="C88" s="1" t="n">
        <v>45994</v>
      </c>
      <c r="D88" t="inlineStr">
        <is>
          <t>STOCKHOLMS LÄN</t>
        </is>
      </c>
      <c r="E88" t="inlineStr">
        <is>
          <t>NORRTÄLJE</t>
        </is>
      </c>
      <c r="G88" t="n">
        <v>1.8</v>
      </c>
      <c r="H88" t="n">
        <v>0</v>
      </c>
      <c r="I88" t="n">
        <v>0</v>
      </c>
      <c r="J88" t="n">
        <v>1</v>
      </c>
      <c r="K88" t="n">
        <v>0</v>
      </c>
      <c r="L88" t="n">
        <v>0</v>
      </c>
      <c r="M88" t="n">
        <v>0</v>
      </c>
      <c r="N88" t="n">
        <v>0</v>
      </c>
      <c r="O88" t="n">
        <v>1</v>
      </c>
      <c r="P88" t="n">
        <v>0</v>
      </c>
      <c r="Q88" t="n">
        <v>1</v>
      </c>
      <c r="R88" s="2" t="inlineStr">
        <is>
          <t>Majviva</t>
        </is>
      </c>
      <c r="S88">
        <f>HYPERLINK("https://klasma.github.io/Logging_0188/artfynd/A 26120-2024 artfynd.xlsx", "A 26120-2024")</f>
        <v/>
      </c>
      <c r="T88">
        <f>HYPERLINK("https://klasma.github.io/Logging_0188/kartor/A 26120-2024 karta.png", "A 26120-2024")</f>
        <v/>
      </c>
      <c r="V88">
        <f>HYPERLINK("https://klasma.github.io/Logging_0188/klagomål/A 26120-2024 FSC-klagomål.docx", "A 26120-2024")</f>
        <v/>
      </c>
      <c r="W88">
        <f>HYPERLINK("https://klasma.github.io/Logging_0188/klagomålsmail/A 26120-2024 FSC-klagomål mail.docx", "A 26120-2024")</f>
        <v/>
      </c>
      <c r="X88">
        <f>HYPERLINK("https://klasma.github.io/Logging_0188/tillsyn/A 26120-2024 tillsynsbegäran.docx", "A 26120-2024")</f>
        <v/>
      </c>
      <c r="Y88">
        <f>HYPERLINK("https://klasma.github.io/Logging_0188/tillsynsmail/A 26120-2024 tillsynsbegäran mail.docx", "A 26120-2024")</f>
        <v/>
      </c>
    </row>
    <row r="89" ht="15" customHeight="1">
      <c r="A89" t="inlineStr">
        <is>
          <t>A 19829-2022</t>
        </is>
      </c>
      <c r="B89" s="1" t="n">
        <v>44695.43527777777</v>
      </c>
      <c r="C89" s="1" t="n">
        <v>45994</v>
      </c>
      <c r="D89" t="inlineStr">
        <is>
          <t>STOCKHOLMS LÄN</t>
        </is>
      </c>
      <c r="E89" t="inlineStr">
        <is>
          <t>NORRTÄLJE</t>
        </is>
      </c>
      <c r="G89" t="n">
        <v>2</v>
      </c>
      <c r="H89" t="n">
        <v>1</v>
      </c>
      <c r="I89" t="n">
        <v>1</v>
      </c>
      <c r="J89" t="n">
        <v>0</v>
      </c>
      <c r="K89" t="n">
        <v>0</v>
      </c>
      <c r="L89" t="n">
        <v>0</v>
      </c>
      <c r="M89" t="n">
        <v>0</v>
      </c>
      <c r="N89" t="n">
        <v>0</v>
      </c>
      <c r="O89" t="n">
        <v>0</v>
      </c>
      <c r="P89" t="n">
        <v>0</v>
      </c>
      <c r="Q89" t="n">
        <v>1</v>
      </c>
      <c r="R89" s="2" t="inlineStr">
        <is>
          <t>Guckusko</t>
        </is>
      </c>
      <c r="S89">
        <f>HYPERLINK("https://klasma.github.io/Logging_0188/artfynd/A 19829-2022 artfynd.xlsx", "A 19829-2022")</f>
        <v/>
      </c>
      <c r="T89">
        <f>HYPERLINK("https://klasma.github.io/Logging_0188/kartor/A 19829-2022 karta.png", "A 19829-2022")</f>
        <v/>
      </c>
      <c r="V89">
        <f>HYPERLINK("https://klasma.github.io/Logging_0188/klagomål/A 19829-2022 FSC-klagomål.docx", "A 19829-2022")</f>
        <v/>
      </c>
      <c r="W89">
        <f>HYPERLINK("https://klasma.github.io/Logging_0188/klagomålsmail/A 19829-2022 FSC-klagomål mail.docx", "A 19829-2022")</f>
        <v/>
      </c>
      <c r="X89">
        <f>HYPERLINK("https://klasma.github.io/Logging_0188/tillsyn/A 19829-2022 tillsynsbegäran.docx", "A 19829-2022")</f>
        <v/>
      </c>
      <c r="Y89">
        <f>HYPERLINK("https://klasma.github.io/Logging_0188/tillsynsmail/A 19829-2022 tillsynsbegäran mail.docx", "A 19829-2022")</f>
        <v/>
      </c>
    </row>
    <row r="90" ht="15" customHeight="1">
      <c r="A90" t="inlineStr">
        <is>
          <t>A 64456-2023</t>
        </is>
      </c>
      <c r="B90" s="1" t="n">
        <v>45280</v>
      </c>
      <c r="C90" s="1" t="n">
        <v>45994</v>
      </c>
      <c r="D90" t="inlineStr">
        <is>
          <t>STOCKHOLMS LÄN</t>
        </is>
      </c>
      <c r="E90" t="inlineStr">
        <is>
          <t>NORRTÄLJE</t>
        </is>
      </c>
      <c r="G90" t="n">
        <v>2.5</v>
      </c>
      <c r="H90" t="n">
        <v>0</v>
      </c>
      <c r="I90" t="n">
        <v>1</v>
      </c>
      <c r="J90" t="n">
        <v>0</v>
      </c>
      <c r="K90" t="n">
        <v>0</v>
      </c>
      <c r="L90" t="n">
        <v>0</v>
      </c>
      <c r="M90" t="n">
        <v>0</v>
      </c>
      <c r="N90" t="n">
        <v>0</v>
      </c>
      <c r="O90" t="n">
        <v>0</v>
      </c>
      <c r="P90" t="n">
        <v>0</v>
      </c>
      <c r="Q90" t="n">
        <v>1</v>
      </c>
      <c r="R90" s="2" t="inlineStr">
        <is>
          <t>Rödgul trumpetsvamp</t>
        </is>
      </c>
      <c r="S90">
        <f>HYPERLINK("https://klasma.github.io/Logging_0188/artfynd/A 64456-2023 artfynd.xlsx", "A 64456-2023")</f>
        <v/>
      </c>
      <c r="T90">
        <f>HYPERLINK("https://klasma.github.io/Logging_0188/kartor/A 64456-2023 karta.png", "A 64456-2023")</f>
        <v/>
      </c>
      <c r="V90">
        <f>HYPERLINK("https://klasma.github.io/Logging_0188/klagomål/A 64456-2023 FSC-klagomål.docx", "A 64456-2023")</f>
        <v/>
      </c>
      <c r="W90">
        <f>HYPERLINK("https://klasma.github.io/Logging_0188/klagomålsmail/A 64456-2023 FSC-klagomål mail.docx", "A 64456-2023")</f>
        <v/>
      </c>
      <c r="X90">
        <f>HYPERLINK("https://klasma.github.io/Logging_0188/tillsyn/A 64456-2023 tillsynsbegäran.docx", "A 64456-2023")</f>
        <v/>
      </c>
      <c r="Y90">
        <f>HYPERLINK("https://klasma.github.io/Logging_0188/tillsynsmail/A 64456-2023 tillsynsbegäran mail.docx", "A 64456-2023")</f>
        <v/>
      </c>
    </row>
    <row r="91" ht="15" customHeight="1">
      <c r="A91" t="inlineStr">
        <is>
          <t>A 11429-2023</t>
        </is>
      </c>
      <c r="B91" s="1" t="n">
        <v>44993</v>
      </c>
      <c r="C91" s="1" t="n">
        <v>45994</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58888-2021</t>
        </is>
      </c>
      <c r="B92" s="1" t="n">
        <v>44489</v>
      </c>
      <c r="C92" s="1" t="n">
        <v>45994</v>
      </c>
      <c r="D92" t="inlineStr">
        <is>
          <t>STOCKHOLMS LÄN</t>
        </is>
      </c>
      <c r="E92" t="inlineStr">
        <is>
          <t>NORRTÄLJE</t>
        </is>
      </c>
      <c r="F92" t="inlineStr">
        <is>
          <t>Holmen skog AB</t>
        </is>
      </c>
      <c r="G92" t="n">
        <v>2.5</v>
      </c>
      <c r="H92" t="n">
        <v>1</v>
      </c>
      <c r="I92" t="n">
        <v>0</v>
      </c>
      <c r="J92" t="n">
        <v>0</v>
      </c>
      <c r="K92" t="n">
        <v>0</v>
      </c>
      <c r="L92" t="n">
        <v>1</v>
      </c>
      <c r="M92" t="n">
        <v>0</v>
      </c>
      <c r="N92" t="n">
        <v>0</v>
      </c>
      <c r="O92" t="n">
        <v>1</v>
      </c>
      <c r="P92" t="n">
        <v>1</v>
      </c>
      <c r="Q92" t="n">
        <v>1</v>
      </c>
      <c r="R92" s="2" t="inlineStr">
        <is>
          <t>Asknätfjäril</t>
        </is>
      </c>
      <c r="S92">
        <f>HYPERLINK("https://klasma.github.io/Logging_0188/artfynd/A 58888-2021 artfynd.xlsx", "A 58888-2021")</f>
        <v/>
      </c>
      <c r="T92">
        <f>HYPERLINK("https://klasma.github.io/Logging_0188/kartor/A 58888-2021 karta.png", "A 58888-2021")</f>
        <v/>
      </c>
      <c r="V92">
        <f>HYPERLINK("https://klasma.github.io/Logging_0188/klagomål/A 58888-2021 FSC-klagomål.docx", "A 58888-2021")</f>
        <v/>
      </c>
      <c r="W92">
        <f>HYPERLINK("https://klasma.github.io/Logging_0188/klagomålsmail/A 58888-2021 FSC-klagomål mail.docx", "A 58888-2021")</f>
        <v/>
      </c>
      <c r="X92">
        <f>HYPERLINK("https://klasma.github.io/Logging_0188/tillsyn/A 58888-2021 tillsynsbegäran.docx", "A 58888-2021")</f>
        <v/>
      </c>
      <c r="Y92">
        <f>HYPERLINK("https://klasma.github.io/Logging_0188/tillsynsmail/A 58888-2021 tillsynsbegäran mail.docx", "A 58888-2021")</f>
        <v/>
      </c>
    </row>
    <row r="93" ht="15" customHeight="1">
      <c r="A93" t="inlineStr">
        <is>
          <t>A 24330-2023</t>
        </is>
      </c>
      <c r="B93" s="1" t="n">
        <v>45081</v>
      </c>
      <c r="C93" s="1" t="n">
        <v>45994</v>
      </c>
      <c r="D93" t="inlineStr">
        <is>
          <t>STOCKHOLMS LÄN</t>
        </is>
      </c>
      <c r="E93" t="inlineStr">
        <is>
          <t>NORRTÄLJE</t>
        </is>
      </c>
      <c r="G93" t="n">
        <v>5</v>
      </c>
      <c r="H93" t="n">
        <v>1</v>
      </c>
      <c r="I93" t="n">
        <v>0</v>
      </c>
      <c r="J93" t="n">
        <v>1</v>
      </c>
      <c r="K93" t="n">
        <v>0</v>
      </c>
      <c r="L93" t="n">
        <v>0</v>
      </c>
      <c r="M93" t="n">
        <v>0</v>
      </c>
      <c r="N93" t="n">
        <v>0</v>
      </c>
      <c r="O93" t="n">
        <v>1</v>
      </c>
      <c r="P93" t="n">
        <v>0</v>
      </c>
      <c r="Q93" t="n">
        <v>1</v>
      </c>
      <c r="R93" s="2" t="inlineStr">
        <is>
          <t>Mindre hackspett</t>
        </is>
      </c>
      <c r="S93">
        <f>HYPERLINK("https://klasma.github.io/Logging_0188/artfynd/A 24330-2023 artfynd.xlsx", "A 24330-2023")</f>
        <v/>
      </c>
      <c r="T93">
        <f>HYPERLINK("https://klasma.github.io/Logging_0188/kartor/A 24330-2023 karta.png", "A 24330-2023")</f>
        <v/>
      </c>
      <c r="V93">
        <f>HYPERLINK("https://klasma.github.io/Logging_0188/klagomål/A 24330-2023 FSC-klagomål.docx", "A 24330-2023")</f>
        <v/>
      </c>
      <c r="W93">
        <f>HYPERLINK("https://klasma.github.io/Logging_0188/klagomålsmail/A 24330-2023 FSC-klagomål mail.docx", "A 24330-2023")</f>
        <v/>
      </c>
      <c r="X93">
        <f>HYPERLINK("https://klasma.github.io/Logging_0188/tillsyn/A 24330-2023 tillsynsbegäran.docx", "A 24330-2023")</f>
        <v/>
      </c>
      <c r="Y93">
        <f>HYPERLINK("https://klasma.github.io/Logging_0188/tillsynsmail/A 24330-2023 tillsynsbegäran mail.docx", "A 24330-2023")</f>
        <v/>
      </c>
      <c r="Z93">
        <f>HYPERLINK("https://klasma.github.io/Logging_0188/fåglar/A 24330-2023 prioriterade fågelarter.docx", "A 24330-2023")</f>
        <v/>
      </c>
    </row>
    <row r="94" ht="15" customHeight="1">
      <c r="A94" t="inlineStr">
        <is>
          <t>A 21744-2023</t>
        </is>
      </c>
      <c r="B94" s="1" t="n">
        <v>45065</v>
      </c>
      <c r="C94" s="1" t="n">
        <v>45994</v>
      </c>
      <c r="D94" t="inlineStr">
        <is>
          <t>STOCKHOLMS LÄN</t>
        </is>
      </c>
      <c r="E94" t="inlineStr">
        <is>
          <t>NORRTÄLJE</t>
        </is>
      </c>
      <c r="F94" t="inlineStr">
        <is>
          <t>Holmen skog AB</t>
        </is>
      </c>
      <c r="G94" t="n">
        <v>4.2</v>
      </c>
      <c r="H94" t="n">
        <v>0</v>
      </c>
      <c r="I94" t="n">
        <v>1</v>
      </c>
      <c r="J94" t="n">
        <v>0</v>
      </c>
      <c r="K94" t="n">
        <v>0</v>
      </c>
      <c r="L94" t="n">
        <v>0</v>
      </c>
      <c r="M94" t="n">
        <v>0</v>
      </c>
      <c r="N94" t="n">
        <v>0</v>
      </c>
      <c r="O94" t="n">
        <v>0</v>
      </c>
      <c r="P94" t="n">
        <v>0</v>
      </c>
      <c r="Q94" t="n">
        <v>1</v>
      </c>
      <c r="R94" s="2" t="inlineStr">
        <is>
          <t>Korallblylav</t>
        </is>
      </c>
      <c r="S94">
        <f>HYPERLINK("https://klasma.github.io/Logging_0188/artfynd/A 21744-2023 artfynd.xlsx", "A 21744-2023")</f>
        <v/>
      </c>
      <c r="T94">
        <f>HYPERLINK("https://klasma.github.io/Logging_0188/kartor/A 21744-2023 karta.png", "A 21744-2023")</f>
        <v/>
      </c>
      <c r="V94">
        <f>HYPERLINK("https://klasma.github.io/Logging_0188/klagomål/A 21744-2023 FSC-klagomål.docx", "A 21744-2023")</f>
        <v/>
      </c>
      <c r="W94">
        <f>HYPERLINK("https://klasma.github.io/Logging_0188/klagomålsmail/A 21744-2023 FSC-klagomål mail.docx", "A 21744-2023")</f>
        <v/>
      </c>
      <c r="X94">
        <f>HYPERLINK("https://klasma.github.io/Logging_0188/tillsyn/A 21744-2023 tillsynsbegäran.docx", "A 21744-2023")</f>
        <v/>
      </c>
      <c r="Y94">
        <f>HYPERLINK("https://klasma.github.io/Logging_0188/tillsynsmail/A 21744-2023 tillsynsbegäran mail.docx", "A 21744-2023")</f>
        <v/>
      </c>
    </row>
    <row r="95" ht="15" customHeight="1">
      <c r="A95" t="inlineStr">
        <is>
          <t>A 4595-2023</t>
        </is>
      </c>
      <c r="B95" s="1" t="n">
        <v>44956</v>
      </c>
      <c r="C95" s="1" t="n">
        <v>45994</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1162-2021</t>
        </is>
      </c>
      <c r="B96" s="1" t="n">
        <v>44207</v>
      </c>
      <c r="C96" s="1" t="n">
        <v>45994</v>
      </c>
      <c r="D96" t="inlineStr">
        <is>
          <t>STOCKHOLMS LÄN</t>
        </is>
      </c>
      <c r="E96" t="inlineStr">
        <is>
          <t>NORRTÄLJE</t>
        </is>
      </c>
      <c r="G96" t="n">
        <v>2.2</v>
      </c>
      <c r="H96" t="n">
        <v>1</v>
      </c>
      <c r="I96" t="n">
        <v>0</v>
      </c>
      <c r="J96" t="n">
        <v>0</v>
      </c>
      <c r="K96" t="n">
        <v>1</v>
      </c>
      <c r="L96" t="n">
        <v>0</v>
      </c>
      <c r="M96" t="n">
        <v>0</v>
      </c>
      <c r="N96" t="n">
        <v>0</v>
      </c>
      <c r="O96" t="n">
        <v>1</v>
      </c>
      <c r="P96" t="n">
        <v>1</v>
      </c>
      <c r="Q96" t="n">
        <v>1</v>
      </c>
      <c r="R96" s="2" t="inlineStr">
        <is>
          <t>Hällebräcka</t>
        </is>
      </c>
      <c r="S96">
        <f>HYPERLINK("https://klasma.github.io/Logging_0188/artfynd/A 1162-2021 artfynd.xlsx", "A 1162-2021")</f>
        <v/>
      </c>
      <c r="T96">
        <f>HYPERLINK("https://klasma.github.io/Logging_0188/kartor/A 1162-2021 karta.png", "A 1162-2021")</f>
        <v/>
      </c>
      <c r="V96">
        <f>HYPERLINK("https://klasma.github.io/Logging_0188/klagomål/A 1162-2021 FSC-klagomål.docx", "A 1162-2021")</f>
        <v/>
      </c>
      <c r="W96">
        <f>HYPERLINK("https://klasma.github.io/Logging_0188/klagomålsmail/A 1162-2021 FSC-klagomål mail.docx", "A 1162-2021")</f>
        <v/>
      </c>
      <c r="X96">
        <f>HYPERLINK("https://klasma.github.io/Logging_0188/tillsyn/A 1162-2021 tillsynsbegäran.docx", "A 1162-2021")</f>
        <v/>
      </c>
      <c r="Y96">
        <f>HYPERLINK("https://klasma.github.io/Logging_0188/tillsynsmail/A 1162-2021 tillsynsbegäran mail.docx", "A 1162-2021")</f>
        <v/>
      </c>
    </row>
    <row r="97" ht="15" customHeight="1">
      <c r="A97" t="inlineStr">
        <is>
          <t>A 52611-2024</t>
        </is>
      </c>
      <c r="B97" s="1" t="n">
        <v>45609.83747685186</v>
      </c>
      <c r="C97" s="1" t="n">
        <v>45994</v>
      </c>
      <c r="D97" t="inlineStr">
        <is>
          <t>STOCKHOLMS LÄN</t>
        </is>
      </c>
      <c r="E97" t="inlineStr">
        <is>
          <t>NORRTÄLJE</t>
        </is>
      </c>
      <c r="G97" t="n">
        <v>10.6</v>
      </c>
      <c r="H97" t="n">
        <v>1</v>
      </c>
      <c r="I97" t="n">
        <v>0</v>
      </c>
      <c r="J97" t="n">
        <v>0</v>
      </c>
      <c r="K97" t="n">
        <v>0</v>
      </c>
      <c r="L97" t="n">
        <v>0</v>
      </c>
      <c r="M97" t="n">
        <v>0</v>
      </c>
      <c r="N97" t="n">
        <v>0</v>
      </c>
      <c r="O97" t="n">
        <v>0</v>
      </c>
      <c r="P97" t="n">
        <v>0</v>
      </c>
      <c r="Q97" t="n">
        <v>1</v>
      </c>
      <c r="R97" s="2" t="inlineStr">
        <is>
          <t>Blåsippa</t>
        </is>
      </c>
      <c r="S97">
        <f>HYPERLINK("https://klasma.github.io/Logging_0188/artfynd/A 52611-2024 artfynd.xlsx", "A 52611-2024")</f>
        <v/>
      </c>
      <c r="T97">
        <f>HYPERLINK("https://klasma.github.io/Logging_0188/kartor/A 52611-2024 karta.png", "A 52611-2024")</f>
        <v/>
      </c>
      <c r="V97">
        <f>HYPERLINK("https://klasma.github.io/Logging_0188/klagomål/A 52611-2024 FSC-klagomål.docx", "A 52611-2024")</f>
        <v/>
      </c>
      <c r="W97">
        <f>HYPERLINK("https://klasma.github.io/Logging_0188/klagomålsmail/A 52611-2024 FSC-klagomål mail.docx", "A 52611-2024")</f>
        <v/>
      </c>
      <c r="X97">
        <f>HYPERLINK("https://klasma.github.io/Logging_0188/tillsyn/A 52611-2024 tillsynsbegäran.docx", "A 52611-2024")</f>
        <v/>
      </c>
      <c r="Y97">
        <f>HYPERLINK("https://klasma.github.io/Logging_0188/tillsynsmail/A 52611-2024 tillsynsbegäran mail.docx", "A 52611-2024")</f>
        <v/>
      </c>
    </row>
    <row r="98" ht="15" customHeight="1">
      <c r="A98" t="inlineStr">
        <is>
          <t>A 17952-2022</t>
        </is>
      </c>
      <c r="B98" s="1" t="n">
        <v>44683</v>
      </c>
      <c r="C98" s="1" t="n">
        <v>45994</v>
      </c>
      <c r="D98" t="inlineStr">
        <is>
          <t>STOCKHOLMS LÄN</t>
        </is>
      </c>
      <c r="E98" t="inlineStr">
        <is>
          <t>NORRTÄLJE</t>
        </is>
      </c>
      <c r="G98" t="n">
        <v>51.1</v>
      </c>
      <c r="H98" t="n">
        <v>0</v>
      </c>
      <c r="I98" t="n">
        <v>0</v>
      </c>
      <c r="J98" t="n">
        <v>0</v>
      </c>
      <c r="K98" t="n">
        <v>1</v>
      </c>
      <c r="L98" t="n">
        <v>0</v>
      </c>
      <c r="M98" t="n">
        <v>0</v>
      </c>
      <c r="N98" t="n">
        <v>0</v>
      </c>
      <c r="O98" t="n">
        <v>1</v>
      </c>
      <c r="P98" t="n">
        <v>1</v>
      </c>
      <c r="Q98" t="n">
        <v>1</v>
      </c>
      <c r="R98" s="2" t="inlineStr">
        <is>
          <t>Kattunvisslare</t>
        </is>
      </c>
      <c r="S98">
        <f>HYPERLINK("https://klasma.github.io/Logging_0188/artfynd/A 17952-2022 artfynd.xlsx", "A 17952-2022")</f>
        <v/>
      </c>
      <c r="T98">
        <f>HYPERLINK("https://klasma.github.io/Logging_0188/kartor/A 17952-2022 karta.png", "A 17952-2022")</f>
        <v/>
      </c>
      <c r="V98">
        <f>HYPERLINK("https://klasma.github.io/Logging_0188/klagomål/A 17952-2022 FSC-klagomål.docx", "A 17952-2022")</f>
        <v/>
      </c>
      <c r="W98">
        <f>HYPERLINK("https://klasma.github.io/Logging_0188/klagomålsmail/A 17952-2022 FSC-klagomål mail.docx", "A 17952-2022")</f>
        <v/>
      </c>
      <c r="X98">
        <f>HYPERLINK("https://klasma.github.io/Logging_0188/tillsyn/A 17952-2022 tillsynsbegäran.docx", "A 17952-2022")</f>
        <v/>
      </c>
      <c r="Y98">
        <f>HYPERLINK("https://klasma.github.io/Logging_0188/tillsynsmail/A 17952-2022 tillsynsbegäran mail.docx", "A 17952-2022")</f>
        <v/>
      </c>
    </row>
    <row r="99" ht="15" customHeight="1">
      <c r="A99" t="inlineStr">
        <is>
          <t>A 24535-2023</t>
        </is>
      </c>
      <c r="B99" s="1" t="n">
        <v>45082</v>
      </c>
      <c r="C99" s="1" t="n">
        <v>45994</v>
      </c>
      <c r="D99" t="inlineStr">
        <is>
          <t>STOCKHOLMS LÄN</t>
        </is>
      </c>
      <c r="E99" t="inlineStr">
        <is>
          <t>NORRTÄLJE</t>
        </is>
      </c>
      <c r="F99" t="inlineStr">
        <is>
          <t>Kommuner</t>
        </is>
      </c>
      <c r="G99" t="n">
        <v>2</v>
      </c>
      <c r="H99" t="n">
        <v>1</v>
      </c>
      <c r="I99" t="n">
        <v>0</v>
      </c>
      <c r="J99" t="n">
        <v>0</v>
      </c>
      <c r="K99" t="n">
        <v>0</v>
      </c>
      <c r="L99" t="n">
        <v>0</v>
      </c>
      <c r="M99" t="n">
        <v>0</v>
      </c>
      <c r="N99" t="n">
        <v>0</v>
      </c>
      <c r="O99" t="n">
        <v>0</v>
      </c>
      <c r="P99" t="n">
        <v>0</v>
      </c>
      <c r="Q99" t="n">
        <v>1</v>
      </c>
      <c r="R99" s="2" t="inlineStr">
        <is>
          <t>Blåsippa</t>
        </is>
      </c>
      <c r="S99">
        <f>HYPERLINK("https://klasma.github.io/Logging_0188/artfynd/A 24535-2023 artfynd.xlsx", "A 24535-2023")</f>
        <v/>
      </c>
      <c r="T99">
        <f>HYPERLINK("https://klasma.github.io/Logging_0188/kartor/A 24535-2023 karta.png", "A 24535-2023")</f>
        <v/>
      </c>
      <c r="V99">
        <f>HYPERLINK("https://klasma.github.io/Logging_0188/klagomål/A 24535-2023 FSC-klagomål.docx", "A 24535-2023")</f>
        <v/>
      </c>
      <c r="W99">
        <f>HYPERLINK("https://klasma.github.io/Logging_0188/klagomålsmail/A 24535-2023 FSC-klagomål mail.docx", "A 24535-2023")</f>
        <v/>
      </c>
      <c r="X99">
        <f>HYPERLINK("https://klasma.github.io/Logging_0188/tillsyn/A 24535-2023 tillsynsbegäran.docx", "A 24535-2023")</f>
        <v/>
      </c>
      <c r="Y99">
        <f>HYPERLINK("https://klasma.github.io/Logging_0188/tillsynsmail/A 24535-2023 tillsynsbegäran mail.docx", "A 24535-2023")</f>
        <v/>
      </c>
    </row>
    <row r="100" ht="15" customHeight="1">
      <c r="A100" t="inlineStr">
        <is>
          <t>A 52508-2023</t>
        </is>
      </c>
      <c r="B100" s="1" t="n">
        <v>45225</v>
      </c>
      <c r="C100" s="1" t="n">
        <v>45994</v>
      </c>
      <c r="D100" t="inlineStr">
        <is>
          <t>STOCKHOLMS LÄN</t>
        </is>
      </c>
      <c r="E100" t="inlineStr">
        <is>
          <t>NORRTÄLJE</t>
        </is>
      </c>
      <c r="G100" t="n">
        <v>19.7</v>
      </c>
      <c r="H100" t="n">
        <v>1</v>
      </c>
      <c r="I100" t="n">
        <v>0</v>
      </c>
      <c r="J100" t="n">
        <v>0</v>
      </c>
      <c r="K100" t="n">
        <v>1</v>
      </c>
      <c r="L100" t="n">
        <v>0</v>
      </c>
      <c r="M100" t="n">
        <v>0</v>
      </c>
      <c r="N100" t="n">
        <v>0</v>
      </c>
      <c r="O100" t="n">
        <v>1</v>
      </c>
      <c r="P100" t="n">
        <v>1</v>
      </c>
      <c r="Q100" t="n">
        <v>1</v>
      </c>
      <c r="R100" s="2" t="inlineStr">
        <is>
          <t>Svärta</t>
        </is>
      </c>
      <c r="S100">
        <f>HYPERLINK("https://klasma.github.io/Logging_0188/artfynd/A 52508-2023 artfynd.xlsx", "A 52508-2023")</f>
        <v/>
      </c>
      <c r="T100">
        <f>HYPERLINK("https://klasma.github.io/Logging_0188/kartor/A 52508-2023 karta.png", "A 52508-2023")</f>
        <v/>
      </c>
      <c r="V100">
        <f>HYPERLINK("https://klasma.github.io/Logging_0188/klagomål/A 52508-2023 FSC-klagomål.docx", "A 52508-2023")</f>
        <v/>
      </c>
      <c r="W100">
        <f>HYPERLINK("https://klasma.github.io/Logging_0188/klagomålsmail/A 52508-2023 FSC-klagomål mail.docx", "A 52508-2023")</f>
        <v/>
      </c>
      <c r="X100">
        <f>HYPERLINK("https://klasma.github.io/Logging_0188/tillsyn/A 52508-2023 tillsynsbegäran.docx", "A 52508-2023")</f>
        <v/>
      </c>
      <c r="Y100">
        <f>HYPERLINK("https://klasma.github.io/Logging_0188/tillsynsmail/A 52508-2023 tillsynsbegäran mail.docx", "A 52508-2023")</f>
        <v/>
      </c>
    </row>
    <row r="101" ht="15" customHeight="1">
      <c r="A101" t="inlineStr">
        <is>
          <t>A 4532-2025</t>
        </is>
      </c>
      <c r="B101" s="1" t="n">
        <v>45687.34177083334</v>
      </c>
      <c r="C101" s="1" t="n">
        <v>45994</v>
      </c>
      <c r="D101" t="inlineStr">
        <is>
          <t>STOCKHOLMS LÄN</t>
        </is>
      </c>
      <c r="E101" t="inlineStr">
        <is>
          <t>NORRTÄLJE</t>
        </is>
      </c>
      <c r="F101" t="inlineStr">
        <is>
          <t>Holmen skog AB</t>
        </is>
      </c>
      <c r="G101" t="n">
        <v>6.4</v>
      </c>
      <c r="H101" t="n">
        <v>1</v>
      </c>
      <c r="I101" t="n">
        <v>0</v>
      </c>
      <c r="J101" t="n">
        <v>0</v>
      </c>
      <c r="K101" t="n">
        <v>0</v>
      </c>
      <c r="L101" t="n">
        <v>1</v>
      </c>
      <c r="M101" t="n">
        <v>0</v>
      </c>
      <c r="N101" t="n">
        <v>0</v>
      </c>
      <c r="O101" t="n">
        <v>1</v>
      </c>
      <c r="P101" t="n">
        <v>1</v>
      </c>
      <c r="Q101" t="n">
        <v>1</v>
      </c>
      <c r="R101" s="2" t="inlineStr">
        <is>
          <t>Asknätfjäril</t>
        </is>
      </c>
      <c r="S101">
        <f>HYPERLINK("https://klasma.github.io/Logging_0188/artfynd/A 4532-2025 artfynd.xlsx", "A 4532-2025")</f>
        <v/>
      </c>
      <c r="T101">
        <f>HYPERLINK("https://klasma.github.io/Logging_0188/kartor/A 4532-2025 karta.png", "A 4532-2025")</f>
        <v/>
      </c>
      <c r="V101">
        <f>HYPERLINK("https://klasma.github.io/Logging_0188/klagomål/A 4532-2025 FSC-klagomål.docx", "A 4532-2025")</f>
        <v/>
      </c>
      <c r="W101">
        <f>HYPERLINK("https://klasma.github.io/Logging_0188/klagomålsmail/A 4532-2025 FSC-klagomål mail.docx", "A 4532-2025")</f>
        <v/>
      </c>
      <c r="X101">
        <f>HYPERLINK("https://klasma.github.io/Logging_0188/tillsyn/A 4532-2025 tillsynsbegäran.docx", "A 4532-2025")</f>
        <v/>
      </c>
      <c r="Y101">
        <f>HYPERLINK("https://klasma.github.io/Logging_0188/tillsynsmail/A 4532-2025 tillsynsbegäran mail.docx", "A 4532-2025")</f>
        <v/>
      </c>
    </row>
    <row r="102" ht="15" customHeight="1">
      <c r="A102" t="inlineStr">
        <is>
          <t>A 35691-2023</t>
        </is>
      </c>
      <c r="B102" s="1" t="n">
        <v>45147.65222222222</v>
      </c>
      <c r="C102" s="1" t="n">
        <v>45994</v>
      </c>
      <c r="D102" t="inlineStr">
        <is>
          <t>STOCKHOLMS LÄN</t>
        </is>
      </c>
      <c r="E102" t="inlineStr">
        <is>
          <t>NORRTÄLJE</t>
        </is>
      </c>
      <c r="G102" t="n">
        <v>2.3</v>
      </c>
      <c r="H102" t="n">
        <v>1</v>
      </c>
      <c r="I102" t="n">
        <v>0</v>
      </c>
      <c r="J102" t="n">
        <v>0</v>
      </c>
      <c r="K102" t="n">
        <v>0</v>
      </c>
      <c r="L102" t="n">
        <v>0</v>
      </c>
      <c r="M102" t="n">
        <v>0</v>
      </c>
      <c r="N102" t="n">
        <v>0</v>
      </c>
      <c r="O102" t="n">
        <v>0</v>
      </c>
      <c r="P102" t="n">
        <v>0</v>
      </c>
      <c r="Q102" t="n">
        <v>1</v>
      </c>
      <c r="R102" s="2" t="inlineStr">
        <is>
          <t>Kungsfågel</t>
        </is>
      </c>
      <c r="S102">
        <f>HYPERLINK("https://klasma.github.io/Logging_0188/artfynd/A 35691-2023 artfynd.xlsx", "A 35691-2023")</f>
        <v/>
      </c>
      <c r="T102">
        <f>HYPERLINK("https://klasma.github.io/Logging_0188/kartor/A 35691-2023 karta.png", "A 35691-2023")</f>
        <v/>
      </c>
      <c r="V102">
        <f>HYPERLINK("https://klasma.github.io/Logging_0188/klagomål/A 35691-2023 FSC-klagomål.docx", "A 35691-2023")</f>
        <v/>
      </c>
      <c r="W102">
        <f>HYPERLINK("https://klasma.github.io/Logging_0188/klagomålsmail/A 35691-2023 FSC-klagomål mail.docx", "A 35691-2023")</f>
        <v/>
      </c>
      <c r="X102">
        <f>HYPERLINK("https://klasma.github.io/Logging_0188/tillsyn/A 35691-2023 tillsynsbegäran.docx", "A 35691-2023")</f>
        <v/>
      </c>
      <c r="Y102">
        <f>HYPERLINK("https://klasma.github.io/Logging_0188/tillsynsmail/A 35691-2023 tillsynsbegäran mail.docx", "A 35691-2023")</f>
        <v/>
      </c>
      <c r="Z102">
        <f>HYPERLINK("https://klasma.github.io/Logging_0188/fåglar/A 35691-2023 prioriterade fågelarter.docx", "A 35691-2023")</f>
        <v/>
      </c>
    </row>
    <row r="103" ht="15" customHeight="1">
      <c r="A103" t="inlineStr">
        <is>
          <t>A 35693-2023</t>
        </is>
      </c>
      <c r="B103" s="1" t="n">
        <v>45147.65311342593</v>
      </c>
      <c r="C103" s="1" t="n">
        <v>45994</v>
      </c>
      <c r="D103" t="inlineStr">
        <is>
          <t>STOCKHOLMS LÄN</t>
        </is>
      </c>
      <c r="E103" t="inlineStr">
        <is>
          <t>NORRTÄLJE</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HYPERLINK("https://klasma.github.io/Logging_0188/artfynd/A 35693-2023 artfynd.xlsx", "A 35693-2023")</f>
        <v/>
      </c>
      <c r="T103">
        <f>HYPERLINK("https://klasma.github.io/Logging_0188/kartor/A 35693-2023 karta.png", "A 35693-2023")</f>
        <v/>
      </c>
      <c r="V103">
        <f>HYPERLINK("https://klasma.github.io/Logging_0188/klagomål/A 35693-2023 FSC-klagomål.docx", "A 35693-2023")</f>
        <v/>
      </c>
      <c r="W103">
        <f>HYPERLINK("https://klasma.github.io/Logging_0188/klagomålsmail/A 35693-2023 FSC-klagomål mail.docx", "A 35693-2023")</f>
        <v/>
      </c>
      <c r="X103">
        <f>HYPERLINK("https://klasma.github.io/Logging_0188/tillsyn/A 35693-2023 tillsynsbegäran.docx", "A 35693-2023")</f>
        <v/>
      </c>
      <c r="Y103">
        <f>HYPERLINK("https://klasma.github.io/Logging_0188/tillsynsmail/A 35693-2023 tillsynsbegäran mail.docx", "A 35693-2023")</f>
        <v/>
      </c>
    </row>
    <row r="104" ht="15" customHeight="1">
      <c r="A104" t="inlineStr">
        <is>
          <t>A 9955-2022</t>
        </is>
      </c>
      <c r="B104" s="1" t="n">
        <v>44620</v>
      </c>
      <c r="C104" s="1" t="n">
        <v>45994</v>
      </c>
      <c r="D104" t="inlineStr">
        <is>
          <t>STOCKHOLMS LÄN</t>
        </is>
      </c>
      <c r="E104" t="inlineStr">
        <is>
          <t>NORRTÄLJE</t>
        </is>
      </c>
      <c r="G104" t="n">
        <v>7.8</v>
      </c>
      <c r="H104" t="n">
        <v>1</v>
      </c>
      <c r="I104" t="n">
        <v>0</v>
      </c>
      <c r="J104" t="n">
        <v>0</v>
      </c>
      <c r="K104" t="n">
        <v>0</v>
      </c>
      <c r="L104" t="n">
        <v>0</v>
      </c>
      <c r="M104" t="n">
        <v>0</v>
      </c>
      <c r="N104" t="n">
        <v>0</v>
      </c>
      <c r="O104" t="n">
        <v>0</v>
      </c>
      <c r="P104" t="n">
        <v>0</v>
      </c>
      <c r="Q104" t="n">
        <v>1</v>
      </c>
      <c r="R104" s="2" t="inlineStr">
        <is>
          <t>Åkergroda</t>
        </is>
      </c>
      <c r="S104">
        <f>HYPERLINK("https://klasma.github.io/Logging_0188/artfynd/A 9955-2022 artfynd.xlsx", "A 9955-2022")</f>
        <v/>
      </c>
      <c r="T104">
        <f>HYPERLINK("https://klasma.github.io/Logging_0188/kartor/A 9955-2022 karta.png", "A 9955-2022")</f>
        <v/>
      </c>
      <c r="V104">
        <f>HYPERLINK("https://klasma.github.io/Logging_0188/klagomål/A 9955-2022 FSC-klagomål.docx", "A 9955-2022")</f>
        <v/>
      </c>
      <c r="W104">
        <f>HYPERLINK("https://klasma.github.io/Logging_0188/klagomålsmail/A 9955-2022 FSC-klagomål mail.docx", "A 9955-2022")</f>
        <v/>
      </c>
      <c r="X104">
        <f>HYPERLINK("https://klasma.github.io/Logging_0188/tillsyn/A 9955-2022 tillsynsbegäran.docx", "A 9955-2022")</f>
        <v/>
      </c>
      <c r="Y104">
        <f>HYPERLINK("https://klasma.github.io/Logging_0188/tillsynsmail/A 9955-2022 tillsynsbegäran mail.docx", "A 9955-2022")</f>
        <v/>
      </c>
    </row>
    <row r="105" ht="15" customHeight="1">
      <c r="A105" t="inlineStr">
        <is>
          <t>A 50854-2022</t>
        </is>
      </c>
      <c r="B105" s="1" t="n">
        <v>44863</v>
      </c>
      <c r="C105" s="1" t="n">
        <v>45994</v>
      </c>
      <c r="D105" t="inlineStr">
        <is>
          <t>STOCKHOLMS LÄN</t>
        </is>
      </c>
      <c r="E105" t="inlineStr">
        <is>
          <t>NORRTÄLJE</t>
        </is>
      </c>
      <c r="G105" t="n">
        <v>2.9</v>
      </c>
      <c r="H105" t="n">
        <v>0</v>
      </c>
      <c r="I105" t="n">
        <v>1</v>
      </c>
      <c r="J105" t="n">
        <v>0</v>
      </c>
      <c r="K105" t="n">
        <v>0</v>
      </c>
      <c r="L105" t="n">
        <v>0</v>
      </c>
      <c r="M105" t="n">
        <v>0</v>
      </c>
      <c r="N105" t="n">
        <v>0</v>
      </c>
      <c r="O105" t="n">
        <v>0</v>
      </c>
      <c r="P105" t="n">
        <v>0</v>
      </c>
      <c r="Q105" t="n">
        <v>1</v>
      </c>
      <c r="R105" s="2" t="inlineStr">
        <is>
          <t>Tibast</t>
        </is>
      </c>
      <c r="S105">
        <f>HYPERLINK("https://klasma.github.io/Logging_0188/artfynd/A 50854-2022 artfynd.xlsx", "A 50854-2022")</f>
        <v/>
      </c>
      <c r="T105">
        <f>HYPERLINK("https://klasma.github.io/Logging_0188/kartor/A 50854-2022 karta.png", "A 50854-2022")</f>
        <v/>
      </c>
      <c r="V105">
        <f>HYPERLINK("https://klasma.github.io/Logging_0188/klagomål/A 50854-2022 FSC-klagomål.docx", "A 50854-2022")</f>
        <v/>
      </c>
      <c r="W105">
        <f>HYPERLINK("https://klasma.github.io/Logging_0188/klagomålsmail/A 50854-2022 FSC-klagomål mail.docx", "A 50854-2022")</f>
        <v/>
      </c>
      <c r="X105">
        <f>HYPERLINK("https://klasma.github.io/Logging_0188/tillsyn/A 50854-2022 tillsynsbegäran.docx", "A 50854-2022")</f>
        <v/>
      </c>
      <c r="Y105">
        <f>HYPERLINK("https://klasma.github.io/Logging_0188/tillsynsmail/A 50854-2022 tillsynsbegäran mail.docx", "A 50854-2022")</f>
        <v/>
      </c>
    </row>
    <row r="106" ht="15" customHeight="1">
      <c r="A106" t="inlineStr">
        <is>
          <t>A 26635-2023</t>
        </is>
      </c>
      <c r="B106" s="1" t="n">
        <v>45092</v>
      </c>
      <c r="C106" s="1" t="n">
        <v>45994</v>
      </c>
      <c r="D106" t="inlineStr">
        <is>
          <t>STOCKHOLMS LÄN</t>
        </is>
      </c>
      <c r="E106" t="inlineStr">
        <is>
          <t>NORRTÄLJE</t>
        </is>
      </c>
      <c r="G106" t="n">
        <v>3.1</v>
      </c>
      <c r="H106" t="n">
        <v>1</v>
      </c>
      <c r="I106" t="n">
        <v>0</v>
      </c>
      <c r="J106" t="n">
        <v>0</v>
      </c>
      <c r="K106" t="n">
        <v>0</v>
      </c>
      <c r="L106" t="n">
        <v>0</v>
      </c>
      <c r="M106" t="n">
        <v>0</v>
      </c>
      <c r="N106" t="n">
        <v>0</v>
      </c>
      <c r="O106" t="n">
        <v>0</v>
      </c>
      <c r="P106" t="n">
        <v>0</v>
      </c>
      <c r="Q106" t="n">
        <v>1</v>
      </c>
      <c r="R106" s="2" t="inlineStr">
        <is>
          <t>Fläcknycklar</t>
        </is>
      </c>
      <c r="S106">
        <f>HYPERLINK("https://klasma.github.io/Logging_0188/artfynd/A 26635-2023 artfynd.xlsx", "A 26635-2023")</f>
        <v/>
      </c>
      <c r="T106">
        <f>HYPERLINK("https://klasma.github.io/Logging_0188/kartor/A 26635-2023 karta.png", "A 26635-2023")</f>
        <v/>
      </c>
      <c r="V106">
        <f>HYPERLINK("https://klasma.github.io/Logging_0188/klagomål/A 26635-2023 FSC-klagomål.docx", "A 26635-2023")</f>
        <v/>
      </c>
      <c r="W106">
        <f>HYPERLINK("https://klasma.github.io/Logging_0188/klagomålsmail/A 26635-2023 FSC-klagomål mail.docx", "A 26635-2023")</f>
        <v/>
      </c>
      <c r="X106">
        <f>HYPERLINK("https://klasma.github.io/Logging_0188/tillsyn/A 26635-2023 tillsynsbegäran.docx", "A 26635-2023")</f>
        <v/>
      </c>
      <c r="Y106">
        <f>HYPERLINK("https://klasma.github.io/Logging_0188/tillsynsmail/A 26635-2023 tillsynsbegäran mail.docx", "A 26635-2023")</f>
        <v/>
      </c>
    </row>
    <row r="107" ht="15" customHeight="1">
      <c r="A107" t="inlineStr">
        <is>
          <t>A 27827-2022</t>
        </is>
      </c>
      <c r="B107" s="1" t="n">
        <v>44743.59504629629</v>
      </c>
      <c r="C107" s="1" t="n">
        <v>45994</v>
      </c>
      <c r="D107" t="inlineStr">
        <is>
          <t>STOCKHOLMS LÄN</t>
        </is>
      </c>
      <c r="E107" t="inlineStr">
        <is>
          <t>NORRTÄLJE</t>
        </is>
      </c>
      <c r="F107" t="inlineStr">
        <is>
          <t>Holmen skog AB</t>
        </is>
      </c>
      <c r="G107" t="n">
        <v>4.7</v>
      </c>
      <c r="H107" t="n">
        <v>1</v>
      </c>
      <c r="I107" t="n">
        <v>0</v>
      </c>
      <c r="J107" t="n">
        <v>1</v>
      </c>
      <c r="K107" t="n">
        <v>0</v>
      </c>
      <c r="L107" t="n">
        <v>0</v>
      </c>
      <c r="M107" t="n">
        <v>0</v>
      </c>
      <c r="N107" t="n">
        <v>0</v>
      </c>
      <c r="O107" t="n">
        <v>1</v>
      </c>
      <c r="P107" t="n">
        <v>0</v>
      </c>
      <c r="Q107" t="n">
        <v>1</v>
      </c>
      <c r="R107" s="2" t="inlineStr">
        <is>
          <t>Nordfladdermus</t>
        </is>
      </c>
      <c r="S107">
        <f>HYPERLINK("https://klasma.github.io/Logging_0188/artfynd/A 27827-2022 artfynd.xlsx", "A 27827-2022")</f>
        <v/>
      </c>
      <c r="T107">
        <f>HYPERLINK("https://klasma.github.io/Logging_0188/kartor/A 27827-2022 karta.png", "A 27827-2022")</f>
        <v/>
      </c>
      <c r="V107">
        <f>HYPERLINK("https://klasma.github.io/Logging_0188/klagomål/A 27827-2022 FSC-klagomål.docx", "A 27827-2022")</f>
        <v/>
      </c>
      <c r="W107">
        <f>HYPERLINK("https://klasma.github.io/Logging_0188/klagomålsmail/A 27827-2022 FSC-klagomål mail.docx", "A 27827-2022")</f>
        <v/>
      </c>
      <c r="X107">
        <f>HYPERLINK("https://klasma.github.io/Logging_0188/tillsyn/A 27827-2022 tillsynsbegäran.docx", "A 27827-2022")</f>
        <v/>
      </c>
      <c r="Y107">
        <f>HYPERLINK("https://klasma.github.io/Logging_0188/tillsynsmail/A 27827-2022 tillsynsbegäran mail.docx", "A 27827-2022")</f>
        <v/>
      </c>
    </row>
    <row r="108" ht="15" customHeight="1">
      <c r="A108" t="inlineStr">
        <is>
          <t>A 23146-2024</t>
        </is>
      </c>
      <c r="B108" s="1" t="n">
        <v>45450.63958333333</v>
      </c>
      <c r="C108" s="1" t="n">
        <v>45994</v>
      </c>
      <c r="D108" t="inlineStr">
        <is>
          <t>STOCKHOLMS LÄN</t>
        </is>
      </c>
      <c r="E108" t="inlineStr">
        <is>
          <t>NORRTÄLJE</t>
        </is>
      </c>
      <c r="F108" t="inlineStr">
        <is>
          <t>Kommuner</t>
        </is>
      </c>
      <c r="G108" t="n">
        <v>6</v>
      </c>
      <c r="H108" t="n">
        <v>0</v>
      </c>
      <c r="I108" t="n">
        <v>0</v>
      </c>
      <c r="J108" t="n">
        <v>1</v>
      </c>
      <c r="K108" t="n">
        <v>0</v>
      </c>
      <c r="L108" t="n">
        <v>0</v>
      </c>
      <c r="M108" t="n">
        <v>0</v>
      </c>
      <c r="N108" t="n">
        <v>0</v>
      </c>
      <c r="O108" t="n">
        <v>1</v>
      </c>
      <c r="P108" t="n">
        <v>0</v>
      </c>
      <c r="Q108" t="n">
        <v>1</v>
      </c>
      <c r="R108" s="2" t="inlineStr">
        <is>
          <t>Motaggsvamp</t>
        </is>
      </c>
      <c r="S108">
        <f>HYPERLINK("https://klasma.github.io/Logging_0188/artfynd/A 23146-2024 artfynd.xlsx", "A 23146-2024")</f>
        <v/>
      </c>
      <c r="T108">
        <f>HYPERLINK("https://klasma.github.io/Logging_0188/kartor/A 23146-2024 karta.png", "A 23146-2024")</f>
        <v/>
      </c>
      <c r="V108">
        <f>HYPERLINK("https://klasma.github.io/Logging_0188/klagomål/A 23146-2024 FSC-klagomål.docx", "A 23146-2024")</f>
        <v/>
      </c>
      <c r="W108">
        <f>HYPERLINK("https://klasma.github.io/Logging_0188/klagomålsmail/A 23146-2024 FSC-klagomål mail.docx", "A 23146-2024")</f>
        <v/>
      </c>
      <c r="X108">
        <f>HYPERLINK("https://klasma.github.io/Logging_0188/tillsyn/A 23146-2024 tillsynsbegäran.docx", "A 23146-2024")</f>
        <v/>
      </c>
      <c r="Y108">
        <f>HYPERLINK("https://klasma.github.io/Logging_0188/tillsynsmail/A 23146-2024 tillsynsbegäran mail.docx", "A 23146-2024")</f>
        <v/>
      </c>
    </row>
    <row r="109" ht="15" customHeight="1">
      <c r="A109" t="inlineStr">
        <is>
          <t>A 47898-2022</t>
        </is>
      </c>
      <c r="B109" s="1" t="n">
        <v>44855</v>
      </c>
      <c r="C109" s="1" t="n">
        <v>45994</v>
      </c>
      <c r="D109" t="inlineStr">
        <is>
          <t>STOCKHOLMS LÄN</t>
        </is>
      </c>
      <c r="E109" t="inlineStr">
        <is>
          <t>NORRTÄLJE</t>
        </is>
      </c>
      <c r="G109" t="n">
        <v>6.7</v>
      </c>
      <c r="H109" t="n">
        <v>1</v>
      </c>
      <c r="I109" t="n">
        <v>1</v>
      </c>
      <c r="J109" t="n">
        <v>0</v>
      </c>
      <c r="K109" t="n">
        <v>0</v>
      </c>
      <c r="L109" t="n">
        <v>0</v>
      </c>
      <c r="M109" t="n">
        <v>0</v>
      </c>
      <c r="N109" t="n">
        <v>0</v>
      </c>
      <c r="O109" t="n">
        <v>0</v>
      </c>
      <c r="P109" t="n">
        <v>0</v>
      </c>
      <c r="Q109" t="n">
        <v>1</v>
      </c>
      <c r="R109" s="2" t="inlineStr">
        <is>
          <t>Guckusko</t>
        </is>
      </c>
      <c r="S109">
        <f>HYPERLINK("https://klasma.github.io/Logging_0188/artfynd/A 47898-2022 artfynd.xlsx", "A 47898-2022")</f>
        <v/>
      </c>
      <c r="T109">
        <f>HYPERLINK("https://klasma.github.io/Logging_0188/kartor/A 47898-2022 karta.png", "A 47898-2022")</f>
        <v/>
      </c>
      <c r="V109">
        <f>HYPERLINK("https://klasma.github.io/Logging_0188/klagomål/A 47898-2022 FSC-klagomål.docx", "A 47898-2022")</f>
        <v/>
      </c>
      <c r="W109">
        <f>HYPERLINK("https://klasma.github.io/Logging_0188/klagomålsmail/A 47898-2022 FSC-klagomål mail.docx", "A 47898-2022")</f>
        <v/>
      </c>
      <c r="X109">
        <f>HYPERLINK("https://klasma.github.io/Logging_0188/tillsyn/A 47898-2022 tillsynsbegäran.docx", "A 47898-2022")</f>
        <v/>
      </c>
      <c r="Y109">
        <f>HYPERLINK("https://klasma.github.io/Logging_0188/tillsynsmail/A 47898-2022 tillsynsbegäran mail.docx", "A 47898-2022")</f>
        <v/>
      </c>
    </row>
    <row r="110" ht="15" customHeight="1">
      <c r="A110" t="inlineStr">
        <is>
          <t>A 27538-2024</t>
        </is>
      </c>
      <c r="B110" s="1" t="n">
        <v>45474</v>
      </c>
      <c r="C110" s="1" t="n">
        <v>45994</v>
      </c>
      <c r="D110" t="inlineStr">
        <is>
          <t>STOCKHOLMS LÄN</t>
        </is>
      </c>
      <c r="E110" t="inlineStr">
        <is>
          <t>NORRTÄLJE</t>
        </is>
      </c>
      <c r="G110" t="n">
        <v>1.5</v>
      </c>
      <c r="H110" t="n">
        <v>1</v>
      </c>
      <c r="I110" t="n">
        <v>1</v>
      </c>
      <c r="J110" t="n">
        <v>0</v>
      </c>
      <c r="K110" t="n">
        <v>0</v>
      </c>
      <c r="L110" t="n">
        <v>0</v>
      </c>
      <c r="M110" t="n">
        <v>0</v>
      </c>
      <c r="N110" t="n">
        <v>0</v>
      </c>
      <c r="O110" t="n">
        <v>0</v>
      </c>
      <c r="P110" t="n">
        <v>0</v>
      </c>
      <c r="Q110" t="n">
        <v>1</v>
      </c>
      <c r="R110" s="2" t="inlineStr">
        <is>
          <t>Skogsknipprot</t>
        </is>
      </c>
      <c r="S110">
        <f>HYPERLINK("https://klasma.github.io/Logging_0188/artfynd/A 27538-2024 artfynd.xlsx", "A 27538-2024")</f>
        <v/>
      </c>
      <c r="T110">
        <f>HYPERLINK("https://klasma.github.io/Logging_0188/kartor/A 27538-2024 karta.png", "A 27538-2024")</f>
        <v/>
      </c>
      <c r="V110">
        <f>HYPERLINK("https://klasma.github.io/Logging_0188/klagomål/A 27538-2024 FSC-klagomål.docx", "A 27538-2024")</f>
        <v/>
      </c>
      <c r="W110">
        <f>HYPERLINK("https://klasma.github.io/Logging_0188/klagomålsmail/A 27538-2024 FSC-klagomål mail.docx", "A 27538-2024")</f>
        <v/>
      </c>
      <c r="X110">
        <f>HYPERLINK("https://klasma.github.io/Logging_0188/tillsyn/A 27538-2024 tillsynsbegäran.docx", "A 27538-2024")</f>
        <v/>
      </c>
      <c r="Y110">
        <f>HYPERLINK("https://klasma.github.io/Logging_0188/tillsynsmail/A 27538-2024 tillsynsbegäran mail.docx", "A 27538-2024")</f>
        <v/>
      </c>
    </row>
    <row r="111" ht="15" customHeight="1">
      <c r="A111" t="inlineStr">
        <is>
          <t>A 48131-2023</t>
        </is>
      </c>
      <c r="B111" s="1" t="n">
        <v>45205</v>
      </c>
      <c r="C111" s="1" t="n">
        <v>45994</v>
      </c>
      <c r="D111" t="inlineStr">
        <is>
          <t>STOCKHOLMS LÄN</t>
        </is>
      </c>
      <c r="E111" t="inlineStr">
        <is>
          <t>NORRTÄLJE</t>
        </is>
      </c>
      <c r="G111" t="n">
        <v>2.3</v>
      </c>
      <c r="H111" t="n">
        <v>0</v>
      </c>
      <c r="I111" t="n">
        <v>0</v>
      </c>
      <c r="J111" t="n">
        <v>1</v>
      </c>
      <c r="K111" t="n">
        <v>0</v>
      </c>
      <c r="L111" t="n">
        <v>0</v>
      </c>
      <c r="M111" t="n">
        <v>0</v>
      </c>
      <c r="N111" t="n">
        <v>0</v>
      </c>
      <c r="O111" t="n">
        <v>1</v>
      </c>
      <c r="P111" t="n">
        <v>0</v>
      </c>
      <c r="Q111" t="n">
        <v>1</v>
      </c>
      <c r="R111" s="2" t="inlineStr">
        <is>
          <t>Slåtterfibbla</t>
        </is>
      </c>
      <c r="S111">
        <f>HYPERLINK("https://klasma.github.io/Logging_0188/artfynd/A 48131-2023 artfynd.xlsx", "A 48131-2023")</f>
        <v/>
      </c>
      <c r="T111">
        <f>HYPERLINK("https://klasma.github.io/Logging_0188/kartor/A 48131-2023 karta.png", "A 48131-2023")</f>
        <v/>
      </c>
      <c r="V111">
        <f>HYPERLINK("https://klasma.github.io/Logging_0188/klagomål/A 48131-2023 FSC-klagomål.docx", "A 48131-2023")</f>
        <v/>
      </c>
      <c r="W111">
        <f>HYPERLINK("https://klasma.github.io/Logging_0188/klagomålsmail/A 48131-2023 FSC-klagomål mail.docx", "A 48131-2023")</f>
        <v/>
      </c>
      <c r="X111">
        <f>HYPERLINK("https://klasma.github.io/Logging_0188/tillsyn/A 48131-2023 tillsynsbegäran.docx", "A 48131-2023")</f>
        <v/>
      </c>
      <c r="Y111">
        <f>HYPERLINK("https://klasma.github.io/Logging_0188/tillsynsmail/A 48131-2023 tillsynsbegäran mail.docx", "A 48131-2023")</f>
        <v/>
      </c>
    </row>
    <row r="112" ht="15" customHeight="1">
      <c r="A112" t="inlineStr">
        <is>
          <t>A 23905-2025</t>
        </is>
      </c>
      <c r="B112" s="1" t="n">
        <v>45794.63298611111</v>
      </c>
      <c r="C112" s="1" t="n">
        <v>45994</v>
      </c>
      <c r="D112" t="inlineStr">
        <is>
          <t>STOCKHOLMS LÄN</t>
        </is>
      </c>
      <c r="E112" t="inlineStr">
        <is>
          <t>NORRTÄLJE</t>
        </is>
      </c>
      <c r="G112" t="n">
        <v>8.4</v>
      </c>
      <c r="H112" t="n">
        <v>1</v>
      </c>
      <c r="I112" t="n">
        <v>0</v>
      </c>
      <c r="J112" t="n">
        <v>0</v>
      </c>
      <c r="K112" t="n">
        <v>0</v>
      </c>
      <c r="L112" t="n">
        <v>0</v>
      </c>
      <c r="M112" t="n">
        <v>0</v>
      </c>
      <c r="N112" t="n">
        <v>0</v>
      </c>
      <c r="O112" t="n">
        <v>0</v>
      </c>
      <c r="P112" t="n">
        <v>0</v>
      </c>
      <c r="Q112" t="n">
        <v>1</v>
      </c>
      <c r="R112" s="2" t="inlineStr">
        <is>
          <t>Blåsippa</t>
        </is>
      </c>
      <c r="S112">
        <f>HYPERLINK("https://klasma.github.io/Logging_0188/artfynd/A 23905-2025 artfynd.xlsx", "A 23905-2025")</f>
        <v/>
      </c>
      <c r="T112">
        <f>HYPERLINK("https://klasma.github.io/Logging_0188/kartor/A 23905-2025 karta.png", "A 23905-2025")</f>
        <v/>
      </c>
      <c r="V112">
        <f>HYPERLINK("https://klasma.github.io/Logging_0188/klagomål/A 23905-2025 FSC-klagomål.docx", "A 23905-2025")</f>
        <v/>
      </c>
      <c r="W112">
        <f>HYPERLINK("https://klasma.github.io/Logging_0188/klagomålsmail/A 23905-2025 FSC-klagomål mail.docx", "A 23905-2025")</f>
        <v/>
      </c>
      <c r="X112">
        <f>HYPERLINK("https://klasma.github.io/Logging_0188/tillsyn/A 23905-2025 tillsynsbegäran.docx", "A 23905-2025")</f>
        <v/>
      </c>
      <c r="Y112">
        <f>HYPERLINK("https://klasma.github.io/Logging_0188/tillsynsmail/A 23905-2025 tillsynsbegäran mail.docx", "A 23905-2025")</f>
        <v/>
      </c>
    </row>
    <row r="113" ht="15" customHeight="1">
      <c r="A113" t="inlineStr">
        <is>
          <t>A 40861-2025</t>
        </is>
      </c>
      <c r="B113" s="1" t="n">
        <v>45897.56356481482</v>
      </c>
      <c r="C113" s="1" t="n">
        <v>45994</v>
      </c>
      <c r="D113" t="inlineStr">
        <is>
          <t>STOCKHOLMS LÄN</t>
        </is>
      </c>
      <c r="E113" t="inlineStr">
        <is>
          <t>NORRTÄLJE</t>
        </is>
      </c>
      <c r="G113" t="n">
        <v>4</v>
      </c>
      <c r="H113" t="n">
        <v>0</v>
      </c>
      <c r="I113" t="n">
        <v>0</v>
      </c>
      <c r="J113" t="n">
        <v>1</v>
      </c>
      <c r="K113" t="n">
        <v>0</v>
      </c>
      <c r="L113" t="n">
        <v>0</v>
      </c>
      <c r="M113" t="n">
        <v>0</v>
      </c>
      <c r="N113" t="n">
        <v>0</v>
      </c>
      <c r="O113" t="n">
        <v>1</v>
      </c>
      <c r="P113" t="n">
        <v>0</v>
      </c>
      <c r="Q113" t="n">
        <v>1</v>
      </c>
      <c r="R113" s="2" t="inlineStr">
        <is>
          <t>Skogsklocka</t>
        </is>
      </c>
      <c r="S113">
        <f>HYPERLINK("https://klasma.github.io/Logging_0188/artfynd/A 40861-2025 artfynd.xlsx", "A 40861-2025")</f>
        <v/>
      </c>
      <c r="T113">
        <f>HYPERLINK("https://klasma.github.io/Logging_0188/kartor/A 40861-2025 karta.png", "A 40861-2025")</f>
        <v/>
      </c>
      <c r="V113">
        <f>HYPERLINK("https://klasma.github.io/Logging_0188/klagomål/A 40861-2025 FSC-klagomål.docx", "A 40861-2025")</f>
        <v/>
      </c>
      <c r="W113">
        <f>HYPERLINK("https://klasma.github.io/Logging_0188/klagomålsmail/A 40861-2025 FSC-klagomål mail.docx", "A 40861-2025")</f>
        <v/>
      </c>
      <c r="X113">
        <f>HYPERLINK("https://klasma.github.io/Logging_0188/tillsyn/A 40861-2025 tillsynsbegäran.docx", "A 40861-2025")</f>
        <v/>
      </c>
      <c r="Y113">
        <f>HYPERLINK("https://klasma.github.io/Logging_0188/tillsynsmail/A 40861-2025 tillsynsbegäran mail.docx", "A 40861-2025")</f>
        <v/>
      </c>
    </row>
    <row r="114" ht="15" customHeight="1">
      <c r="A114" t="inlineStr">
        <is>
          <t>A 13271-2025</t>
        </is>
      </c>
      <c r="B114" s="1" t="n">
        <v>45735.54510416667</v>
      </c>
      <c r="C114" s="1" t="n">
        <v>45994</v>
      </c>
      <c r="D114" t="inlineStr">
        <is>
          <t>STOCKHOLMS LÄN</t>
        </is>
      </c>
      <c r="E114" t="inlineStr">
        <is>
          <t>NORRTÄLJE</t>
        </is>
      </c>
      <c r="G114" t="n">
        <v>7.2</v>
      </c>
      <c r="H114" t="n">
        <v>1</v>
      </c>
      <c r="I114" t="n">
        <v>0</v>
      </c>
      <c r="J114" t="n">
        <v>0</v>
      </c>
      <c r="K114" t="n">
        <v>0</v>
      </c>
      <c r="L114" t="n">
        <v>1</v>
      </c>
      <c r="M114" t="n">
        <v>0</v>
      </c>
      <c r="N114" t="n">
        <v>0</v>
      </c>
      <c r="O114" t="n">
        <v>1</v>
      </c>
      <c r="P114" t="n">
        <v>1</v>
      </c>
      <c r="Q114" t="n">
        <v>1</v>
      </c>
      <c r="R114" s="2" t="inlineStr">
        <is>
          <t>Asknätfjäril</t>
        </is>
      </c>
      <c r="S114">
        <f>HYPERLINK("https://klasma.github.io/Logging_0188/artfynd/A 13271-2025 artfynd.xlsx", "A 13271-2025")</f>
        <v/>
      </c>
      <c r="T114">
        <f>HYPERLINK("https://klasma.github.io/Logging_0188/kartor/A 13271-2025 karta.png", "A 13271-2025")</f>
        <v/>
      </c>
      <c r="V114">
        <f>HYPERLINK("https://klasma.github.io/Logging_0188/klagomål/A 13271-2025 FSC-klagomål.docx", "A 13271-2025")</f>
        <v/>
      </c>
      <c r="W114">
        <f>HYPERLINK("https://klasma.github.io/Logging_0188/klagomålsmail/A 13271-2025 FSC-klagomål mail.docx", "A 13271-2025")</f>
        <v/>
      </c>
      <c r="X114">
        <f>HYPERLINK("https://klasma.github.io/Logging_0188/tillsyn/A 13271-2025 tillsynsbegäran.docx", "A 13271-2025")</f>
        <v/>
      </c>
      <c r="Y114">
        <f>HYPERLINK("https://klasma.github.io/Logging_0188/tillsynsmail/A 13271-2025 tillsynsbegäran mail.docx", "A 13271-2025")</f>
        <v/>
      </c>
    </row>
    <row r="115" ht="15" customHeight="1">
      <c r="A115" t="inlineStr">
        <is>
          <t>A 14365-2025</t>
        </is>
      </c>
      <c r="B115" s="1" t="n">
        <v>45741.38688657407</v>
      </c>
      <c r="C115" s="1" t="n">
        <v>45994</v>
      </c>
      <c r="D115" t="inlineStr">
        <is>
          <t>STOCKHOLMS LÄN</t>
        </is>
      </c>
      <c r="E115" t="inlineStr">
        <is>
          <t>NORRTÄLJE</t>
        </is>
      </c>
      <c r="G115" t="n">
        <v>2.4</v>
      </c>
      <c r="H115" t="n">
        <v>0</v>
      </c>
      <c r="I115" t="n">
        <v>0</v>
      </c>
      <c r="J115" t="n">
        <v>1</v>
      </c>
      <c r="K115" t="n">
        <v>0</v>
      </c>
      <c r="L115" t="n">
        <v>0</v>
      </c>
      <c r="M115" t="n">
        <v>0</v>
      </c>
      <c r="N115" t="n">
        <v>0</v>
      </c>
      <c r="O115" t="n">
        <v>1</v>
      </c>
      <c r="P115" t="n">
        <v>0</v>
      </c>
      <c r="Q115" t="n">
        <v>1</v>
      </c>
      <c r="R115" s="2" t="inlineStr">
        <is>
          <t>Granticka</t>
        </is>
      </c>
      <c r="S115">
        <f>HYPERLINK("https://klasma.github.io/Logging_0188/artfynd/A 14365-2025 artfynd.xlsx", "A 14365-2025")</f>
        <v/>
      </c>
      <c r="T115">
        <f>HYPERLINK("https://klasma.github.io/Logging_0188/kartor/A 14365-2025 karta.png", "A 14365-2025")</f>
        <v/>
      </c>
      <c r="V115">
        <f>HYPERLINK("https://klasma.github.io/Logging_0188/klagomål/A 14365-2025 FSC-klagomål.docx", "A 14365-2025")</f>
        <v/>
      </c>
      <c r="W115">
        <f>HYPERLINK("https://klasma.github.io/Logging_0188/klagomålsmail/A 14365-2025 FSC-klagomål mail.docx", "A 14365-2025")</f>
        <v/>
      </c>
      <c r="X115">
        <f>HYPERLINK("https://klasma.github.io/Logging_0188/tillsyn/A 14365-2025 tillsynsbegäran.docx", "A 14365-2025")</f>
        <v/>
      </c>
      <c r="Y115">
        <f>HYPERLINK("https://klasma.github.io/Logging_0188/tillsynsmail/A 14365-2025 tillsynsbegäran mail.docx", "A 14365-2025")</f>
        <v/>
      </c>
    </row>
    <row r="116" ht="15" customHeight="1">
      <c r="A116" t="inlineStr">
        <is>
          <t>A 32111-2022</t>
        </is>
      </c>
      <c r="B116" s="1" t="n">
        <v>44778.92797453704</v>
      </c>
      <c r="C116" s="1" t="n">
        <v>45994</v>
      </c>
      <c r="D116" t="inlineStr">
        <is>
          <t>STOCKHOLMS LÄN</t>
        </is>
      </c>
      <c r="E116" t="inlineStr">
        <is>
          <t>NORRTÄLJE</t>
        </is>
      </c>
      <c r="G116" t="n">
        <v>3.1</v>
      </c>
      <c r="H116" t="n">
        <v>0</v>
      </c>
      <c r="I116" t="n">
        <v>0</v>
      </c>
      <c r="J116" t="n">
        <v>1</v>
      </c>
      <c r="K116" t="n">
        <v>0</v>
      </c>
      <c r="L116" t="n">
        <v>0</v>
      </c>
      <c r="M116" t="n">
        <v>0</v>
      </c>
      <c r="N116" t="n">
        <v>0</v>
      </c>
      <c r="O116" t="n">
        <v>1</v>
      </c>
      <c r="P116" t="n">
        <v>0</v>
      </c>
      <c r="Q116" t="n">
        <v>1</v>
      </c>
      <c r="R116" s="2" t="inlineStr">
        <is>
          <t>Orange taggsvamp</t>
        </is>
      </c>
      <c r="S116">
        <f>HYPERLINK("https://klasma.github.io/Logging_0188/artfynd/A 32111-2022 artfynd.xlsx", "A 32111-2022")</f>
        <v/>
      </c>
      <c r="T116">
        <f>HYPERLINK("https://klasma.github.io/Logging_0188/kartor/A 32111-2022 karta.png", "A 32111-2022")</f>
        <v/>
      </c>
      <c r="V116">
        <f>HYPERLINK("https://klasma.github.io/Logging_0188/klagomål/A 32111-2022 FSC-klagomål.docx", "A 32111-2022")</f>
        <v/>
      </c>
      <c r="W116">
        <f>HYPERLINK("https://klasma.github.io/Logging_0188/klagomålsmail/A 32111-2022 FSC-klagomål mail.docx", "A 32111-2022")</f>
        <v/>
      </c>
      <c r="X116">
        <f>HYPERLINK("https://klasma.github.io/Logging_0188/tillsyn/A 32111-2022 tillsynsbegäran.docx", "A 32111-2022")</f>
        <v/>
      </c>
      <c r="Y116">
        <f>HYPERLINK("https://klasma.github.io/Logging_0188/tillsynsmail/A 32111-2022 tillsynsbegäran mail.docx", "A 32111-2022")</f>
        <v/>
      </c>
    </row>
    <row r="117" ht="15" customHeight="1">
      <c r="A117" t="inlineStr">
        <is>
          <t>A 42313-2025</t>
        </is>
      </c>
      <c r="B117" s="1" t="n">
        <v>45904.6575</v>
      </c>
      <c r="C117" s="1" t="n">
        <v>45994</v>
      </c>
      <c r="D117" t="inlineStr">
        <is>
          <t>STOCKHOLMS LÄN</t>
        </is>
      </c>
      <c r="E117" t="inlineStr">
        <is>
          <t>NORRTÄLJE</t>
        </is>
      </c>
      <c r="G117" t="n">
        <v>1.7</v>
      </c>
      <c r="H117" t="n">
        <v>1</v>
      </c>
      <c r="I117" t="n">
        <v>0</v>
      </c>
      <c r="J117" t="n">
        <v>0</v>
      </c>
      <c r="K117" t="n">
        <v>0</v>
      </c>
      <c r="L117" t="n">
        <v>0</v>
      </c>
      <c r="M117" t="n">
        <v>0</v>
      </c>
      <c r="N117" t="n">
        <v>0</v>
      </c>
      <c r="O117" t="n">
        <v>0</v>
      </c>
      <c r="P117" t="n">
        <v>0</v>
      </c>
      <c r="Q117" t="n">
        <v>1</v>
      </c>
      <c r="R117" s="2" t="inlineStr">
        <is>
          <t>Vanlig padda</t>
        </is>
      </c>
      <c r="S117">
        <f>HYPERLINK("https://klasma.github.io/Logging_0188/artfynd/A 42313-2025 artfynd.xlsx", "A 42313-2025")</f>
        <v/>
      </c>
      <c r="T117">
        <f>HYPERLINK("https://klasma.github.io/Logging_0188/kartor/A 42313-2025 karta.png", "A 42313-2025")</f>
        <v/>
      </c>
      <c r="V117">
        <f>HYPERLINK("https://klasma.github.io/Logging_0188/klagomål/A 42313-2025 FSC-klagomål.docx", "A 42313-2025")</f>
        <v/>
      </c>
      <c r="W117">
        <f>HYPERLINK("https://klasma.github.io/Logging_0188/klagomålsmail/A 42313-2025 FSC-klagomål mail.docx", "A 42313-2025")</f>
        <v/>
      </c>
      <c r="X117">
        <f>HYPERLINK("https://klasma.github.io/Logging_0188/tillsyn/A 42313-2025 tillsynsbegäran.docx", "A 42313-2025")</f>
        <v/>
      </c>
      <c r="Y117">
        <f>HYPERLINK("https://klasma.github.io/Logging_0188/tillsynsmail/A 42313-2025 tillsynsbegäran mail.docx", "A 42313-2025")</f>
        <v/>
      </c>
    </row>
    <row r="118" ht="15" customHeight="1">
      <c r="A118" t="inlineStr">
        <is>
          <t>A 4385-2023</t>
        </is>
      </c>
      <c r="B118" s="1" t="n">
        <v>44955.71322916666</v>
      </c>
      <c r="C118" s="1" t="n">
        <v>45994</v>
      </c>
      <c r="D118" t="inlineStr">
        <is>
          <t>STOCKHOLMS LÄN</t>
        </is>
      </c>
      <c r="E118" t="inlineStr">
        <is>
          <t>NORRTÄLJE</t>
        </is>
      </c>
      <c r="G118" t="n">
        <v>7.8</v>
      </c>
      <c r="H118" t="n">
        <v>1</v>
      </c>
      <c r="I118" t="n">
        <v>1</v>
      </c>
      <c r="J118" t="n">
        <v>0</v>
      </c>
      <c r="K118" t="n">
        <v>0</v>
      </c>
      <c r="L118" t="n">
        <v>0</v>
      </c>
      <c r="M118" t="n">
        <v>0</v>
      </c>
      <c r="N118" t="n">
        <v>0</v>
      </c>
      <c r="O118" t="n">
        <v>0</v>
      </c>
      <c r="P118" t="n">
        <v>0</v>
      </c>
      <c r="Q118" t="n">
        <v>1</v>
      </c>
      <c r="R118" s="2" t="inlineStr">
        <is>
          <t>Skogsknipprot</t>
        </is>
      </c>
      <c r="S118">
        <f>HYPERLINK("https://klasma.github.io/Logging_0188/artfynd/A 4385-2023 artfynd.xlsx", "A 4385-2023")</f>
        <v/>
      </c>
      <c r="T118">
        <f>HYPERLINK("https://klasma.github.io/Logging_0188/kartor/A 4385-2023 karta.png", "A 4385-2023")</f>
        <v/>
      </c>
      <c r="V118">
        <f>HYPERLINK("https://klasma.github.io/Logging_0188/klagomål/A 4385-2023 FSC-klagomål.docx", "A 4385-2023")</f>
        <v/>
      </c>
      <c r="W118">
        <f>HYPERLINK("https://klasma.github.io/Logging_0188/klagomålsmail/A 4385-2023 FSC-klagomål mail.docx", "A 4385-2023")</f>
        <v/>
      </c>
      <c r="X118">
        <f>HYPERLINK("https://klasma.github.io/Logging_0188/tillsyn/A 4385-2023 tillsynsbegäran.docx", "A 4385-2023")</f>
        <v/>
      </c>
      <c r="Y118">
        <f>HYPERLINK("https://klasma.github.io/Logging_0188/tillsynsmail/A 4385-2023 tillsynsbegäran mail.docx", "A 4385-2023")</f>
        <v/>
      </c>
    </row>
    <row r="119" ht="15" customHeight="1">
      <c r="A119" t="inlineStr">
        <is>
          <t>A 4860-2022</t>
        </is>
      </c>
      <c r="B119" s="1" t="n">
        <v>44592</v>
      </c>
      <c r="C119" s="1" t="n">
        <v>45994</v>
      </c>
      <c r="D119" t="inlineStr">
        <is>
          <t>STOCKHOLMS LÄN</t>
        </is>
      </c>
      <c r="E119" t="inlineStr">
        <is>
          <t>NORRTÄLJE</t>
        </is>
      </c>
      <c r="G119" t="n">
        <v>22.3</v>
      </c>
      <c r="H119" t="n">
        <v>0</v>
      </c>
      <c r="I119" t="n">
        <v>0</v>
      </c>
      <c r="J119" t="n">
        <v>1</v>
      </c>
      <c r="K119" t="n">
        <v>0</v>
      </c>
      <c r="L119" t="n">
        <v>0</v>
      </c>
      <c r="M119" t="n">
        <v>0</v>
      </c>
      <c r="N119" t="n">
        <v>0</v>
      </c>
      <c r="O119" t="n">
        <v>1</v>
      </c>
      <c r="P119" t="n">
        <v>0</v>
      </c>
      <c r="Q119" t="n">
        <v>1</v>
      </c>
      <c r="R119" s="2" t="inlineStr">
        <is>
          <t>Igelkott</t>
        </is>
      </c>
      <c r="S119">
        <f>HYPERLINK("https://klasma.github.io/Logging_0188/artfynd/A 4860-2022 artfynd.xlsx", "A 4860-2022")</f>
        <v/>
      </c>
      <c r="T119">
        <f>HYPERLINK("https://klasma.github.io/Logging_0188/kartor/A 4860-2022 karta.png", "A 4860-2022")</f>
        <v/>
      </c>
      <c r="V119">
        <f>HYPERLINK("https://klasma.github.io/Logging_0188/klagomål/A 4860-2022 FSC-klagomål.docx", "A 4860-2022")</f>
        <v/>
      </c>
      <c r="W119">
        <f>HYPERLINK("https://klasma.github.io/Logging_0188/klagomålsmail/A 4860-2022 FSC-klagomål mail.docx", "A 4860-2022")</f>
        <v/>
      </c>
      <c r="X119">
        <f>HYPERLINK("https://klasma.github.io/Logging_0188/tillsyn/A 4860-2022 tillsynsbegäran.docx", "A 4860-2022")</f>
        <v/>
      </c>
      <c r="Y119">
        <f>HYPERLINK("https://klasma.github.io/Logging_0188/tillsynsmail/A 4860-2022 tillsynsbegäran mail.docx", "A 4860-2022")</f>
        <v/>
      </c>
    </row>
    <row r="120" ht="15" customHeight="1">
      <c r="A120" t="inlineStr">
        <is>
          <t>A 21150-2022</t>
        </is>
      </c>
      <c r="B120" s="1" t="n">
        <v>44704</v>
      </c>
      <c r="C120" s="1" t="n">
        <v>45994</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25669-2025</t>
        </is>
      </c>
      <c r="B121" s="1" t="n">
        <v>45803.62766203703</v>
      </c>
      <c r="C121" s="1" t="n">
        <v>45994</v>
      </c>
      <c r="D121" t="inlineStr">
        <is>
          <t>STOCKHOLMS LÄN</t>
        </is>
      </c>
      <c r="E121" t="inlineStr">
        <is>
          <t>NORRTÄLJE</t>
        </is>
      </c>
      <c r="F121" t="inlineStr">
        <is>
          <t>Holmen skog AB</t>
        </is>
      </c>
      <c r="G121" t="n">
        <v>3.1</v>
      </c>
      <c r="H121" t="n">
        <v>1</v>
      </c>
      <c r="I121" t="n">
        <v>0</v>
      </c>
      <c r="J121" t="n">
        <v>0</v>
      </c>
      <c r="K121" t="n">
        <v>0</v>
      </c>
      <c r="L121" t="n">
        <v>0</v>
      </c>
      <c r="M121" t="n">
        <v>0</v>
      </c>
      <c r="N121" t="n">
        <v>0</v>
      </c>
      <c r="O121" t="n">
        <v>0</v>
      </c>
      <c r="P121" t="n">
        <v>0</v>
      </c>
      <c r="Q121" t="n">
        <v>1</v>
      </c>
      <c r="R121" s="2" t="inlineStr">
        <is>
          <t>Tjäder</t>
        </is>
      </c>
      <c r="S121">
        <f>HYPERLINK("https://klasma.github.io/Logging_0188/artfynd/A 25669-2025 artfynd.xlsx", "A 25669-2025")</f>
        <v/>
      </c>
      <c r="T121">
        <f>HYPERLINK("https://klasma.github.io/Logging_0188/kartor/A 25669-2025 karta.png", "A 25669-2025")</f>
        <v/>
      </c>
      <c r="V121">
        <f>HYPERLINK("https://klasma.github.io/Logging_0188/klagomål/A 25669-2025 FSC-klagomål.docx", "A 25669-2025")</f>
        <v/>
      </c>
      <c r="W121">
        <f>HYPERLINK("https://klasma.github.io/Logging_0188/klagomålsmail/A 25669-2025 FSC-klagomål mail.docx", "A 25669-2025")</f>
        <v/>
      </c>
      <c r="X121">
        <f>HYPERLINK("https://klasma.github.io/Logging_0188/tillsyn/A 25669-2025 tillsynsbegäran.docx", "A 25669-2025")</f>
        <v/>
      </c>
      <c r="Y121">
        <f>HYPERLINK("https://klasma.github.io/Logging_0188/tillsynsmail/A 25669-2025 tillsynsbegäran mail.docx", "A 25669-2025")</f>
        <v/>
      </c>
      <c r="Z121">
        <f>HYPERLINK("https://klasma.github.io/Logging_0188/fåglar/A 25669-2025 prioriterade fågelarter.docx", "A 25669-2025")</f>
        <v/>
      </c>
    </row>
    <row r="122" ht="15" customHeight="1">
      <c r="A122" t="inlineStr">
        <is>
          <t>A 35764-2024</t>
        </is>
      </c>
      <c r="B122" s="1" t="n">
        <v>45532</v>
      </c>
      <c r="C122" s="1" t="n">
        <v>45994</v>
      </c>
      <c r="D122" t="inlineStr">
        <is>
          <t>STOCKHOLMS LÄN</t>
        </is>
      </c>
      <c r="E122" t="inlineStr">
        <is>
          <t>NORRTÄLJE</t>
        </is>
      </c>
      <c r="G122" t="n">
        <v>14.2</v>
      </c>
      <c r="H122" t="n">
        <v>1</v>
      </c>
      <c r="I122" t="n">
        <v>0</v>
      </c>
      <c r="J122" t="n">
        <v>0</v>
      </c>
      <c r="K122" t="n">
        <v>1</v>
      </c>
      <c r="L122" t="n">
        <v>0</v>
      </c>
      <c r="M122" t="n">
        <v>0</v>
      </c>
      <c r="N122" t="n">
        <v>0</v>
      </c>
      <c r="O122" t="n">
        <v>1</v>
      </c>
      <c r="P122" t="n">
        <v>1</v>
      </c>
      <c r="Q122" t="n">
        <v>1</v>
      </c>
      <c r="R122" s="2" t="inlineStr">
        <is>
          <t>Knärot</t>
        </is>
      </c>
      <c r="S122">
        <f>HYPERLINK("https://klasma.github.io/Logging_0188/artfynd/A 35764-2024 artfynd.xlsx", "A 35764-2024")</f>
        <v/>
      </c>
      <c r="T122">
        <f>HYPERLINK("https://klasma.github.io/Logging_0188/kartor/A 35764-2024 karta.png", "A 35764-2024")</f>
        <v/>
      </c>
      <c r="U122">
        <f>HYPERLINK("https://klasma.github.io/Logging_0188/knärot/A 35764-2024 karta knärot.png", "A 35764-2024")</f>
        <v/>
      </c>
      <c r="V122">
        <f>HYPERLINK("https://klasma.github.io/Logging_0188/klagomål/A 35764-2024 FSC-klagomål.docx", "A 35764-2024")</f>
        <v/>
      </c>
      <c r="W122">
        <f>HYPERLINK("https://klasma.github.io/Logging_0188/klagomålsmail/A 35764-2024 FSC-klagomål mail.docx", "A 35764-2024")</f>
        <v/>
      </c>
      <c r="X122">
        <f>HYPERLINK("https://klasma.github.io/Logging_0188/tillsyn/A 35764-2024 tillsynsbegäran.docx", "A 35764-2024")</f>
        <v/>
      </c>
      <c r="Y122">
        <f>HYPERLINK("https://klasma.github.io/Logging_0188/tillsynsmail/A 35764-2024 tillsynsbegäran mail.docx", "A 35764-2024")</f>
        <v/>
      </c>
    </row>
    <row r="123" ht="15" customHeight="1">
      <c r="A123" t="inlineStr">
        <is>
          <t>A 35649-2023</t>
        </is>
      </c>
      <c r="B123" s="1" t="n">
        <v>45146</v>
      </c>
      <c r="C123" s="1" t="n">
        <v>45994</v>
      </c>
      <c r="D123" t="inlineStr">
        <is>
          <t>STOCKHOLMS LÄN</t>
        </is>
      </c>
      <c r="E123" t="inlineStr">
        <is>
          <t>NORRTÄLJE</t>
        </is>
      </c>
      <c r="G123" t="n">
        <v>25.1</v>
      </c>
      <c r="H123" t="n">
        <v>0</v>
      </c>
      <c r="I123" t="n">
        <v>0</v>
      </c>
      <c r="J123" t="n">
        <v>1</v>
      </c>
      <c r="K123" t="n">
        <v>0</v>
      </c>
      <c r="L123" t="n">
        <v>0</v>
      </c>
      <c r="M123" t="n">
        <v>0</v>
      </c>
      <c r="N123" t="n">
        <v>0</v>
      </c>
      <c r="O123" t="n">
        <v>1</v>
      </c>
      <c r="P123" t="n">
        <v>0</v>
      </c>
      <c r="Q123" t="n">
        <v>1</v>
      </c>
      <c r="R123" s="2" t="inlineStr">
        <is>
          <t>Månlåsbräken</t>
        </is>
      </c>
      <c r="S123">
        <f>HYPERLINK("https://klasma.github.io/Logging_0188/artfynd/A 35649-2023 artfynd.xlsx", "A 35649-2023")</f>
        <v/>
      </c>
      <c r="T123">
        <f>HYPERLINK("https://klasma.github.io/Logging_0188/kartor/A 35649-2023 karta.png", "A 35649-2023")</f>
        <v/>
      </c>
      <c r="V123">
        <f>HYPERLINK("https://klasma.github.io/Logging_0188/klagomål/A 35649-2023 FSC-klagomål.docx", "A 35649-2023")</f>
        <v/>
      </c>
      <c r="W123">
        <f>HYPERLINK("https://klasma.github.io/Logging_0188/klagomålsmail/A 35649-2023 FSC-klagomål mail.docx", "A 35649-2023")</f>
        <v/>
      </c>
      <c r="X123">
        <f>HYPERLINK("https://klasma.github.io/Logging_0188/tillsyn/A 35649-2023 tillsynsbegäran.docx", "A 35649-2023")</f>
        <v/>
      </c>
      <c r="Y123">
        <f>HYPERLINK("https://klasma.github.io/Logging_0188/tillsynsmail/A 35649-2023 tillsynsbegäran mail.docx", "A 35649-2023")</f>
        <v/>
      </c>
    </row>
    <row r="124" ht="15" customHeight="1">
      <c r="A124" t="inlineStr">
        <is>
          <t>A 52775-2025</t>
        </is>
      </c>
      <c r="B124" s="1" t="n">
        <v>45957.41608796296</v>
      </c>
      <c r="C124" s="1" t="n">
        <v>45994</v>
      </c>
      <c r="D124" t="inlineStr">
        <is>
          <t>STOCKHOLMS LÄN</t>
        </is>
      </c>
      <c r="E124" t="inlineStr">
        <is>
          <t>NORRTÄLJE</t>
        </is>
      </c>
      <c r="F124" t="inlineStr">
        <is>
          <t>Sveaskog</t>
        </is>
      </c>
      <c r="G124" t="n">
        <v>5.6</v>
      </c>
      <c r="H124" t="n">
        <v>0</v>
      </c>
      <c r="I124" t="n">
        <v>0</v>
      </c>
      <c r="J124" t="n">
        <v>1</v>
      </c>
      <c r="K124" t="n">
        <v>0</v>
      </c>
      <c r="L124" t="n">
        <v>0</v>
      </c>
      <c r="M124" t="n">
        <v>0</v>
      </c>
      <c r="N124" t="n">
        <v>0</v>
      </c>
      <c r="O124" t="n">
        <v>1</v>
      </c>
      <c r="P124" t="n">
        <v>0</v>
      </c>
      <c r="Q124" t="n">
        <v>1</v>
      </c>
      <c r="R124" s="2" t="inlineStr">
        <is>
          <t>Vedtrappmossa</t>
        </is>
      </c>
      <c r="S124">
        <f>HYPERLINK("https://klasma.github.io/Logging_0188/artfynd/A 52775-2025 artfynd.xlsx", "A 52775-2025")</f>
        <v/>
      </c>
      <c r="T124">
        <f>HYPERLINK("https://klasma.github.io/Logging_0188/kartor/A 52775-2025 karta.png", "A 52775-2025")</f>
        <v/>
      </c>
      <c r="V124">
        <f>HYPERLINK("https://klasma.github.io/Logging_0188/klagomål/A 52775-2025 FSC-klagomål.docx", "A 52775-2025")</f>
        <v/>
      </c>
      <c r="W124">
        <f>HYPERLINK("https://klasma.github.io/Logging_0188/klagomålsmail/A 52775-2025 FSC-klagomål mail.docx", "A 52775-2025")</f>
        <v/>
      </c>
      <c r="X124">
        <f>HYPERLINK("https://klasma.github.io/Logging_0188/tillsyn/A 52775-2025 tillsynsbegäran.docx", "A 52775-2025")</f>
        <v/>
      </c>
      <c r="Y124">
        <f>HYPERLINK("https://klasma.github.io/Logging_0188/tillsynsmail/A 52775-2025 tillsynsbegäran mail.docx", "A 52775-2025")</f>
        <v/>
      </c>
    </row>
    <row r="125" ht="15" customHeight="1">
      <c r="A125" t="inlineStr">
        <is>
          <t>A 6381-2023</t>
        </is>
      </c>
      <c r="B125" s="1" t="n">
        <v>44965</v>
      </c>
      <c r="C125" s="1" t="n">
        <v>45994</v>
      </c>
      <c r="D125" t="inlineStr">
        <is>
          <t>STOCKHOLMS LÄN</t>
        </is>
      </c>
      <c r="E125" t="inlineStr">
        <is>
          <t>NORRTÄLJE</t>
        </is>
      </c>
      <c r="G125" t="n">
        <v>3.5</v>
      </c>
      <c r="H125" t="n">
        <v>1</v>
      </c>
      <c r="I125" t="n">
        <v>1</v>
      </c>
      <c r="J125" t="n">
        <v>0</v>
      </c>
      <c r="K125" t="n">
        <v>0</v>
      </c>
      <c r="L125" t="n">
        <v>0</v>
      </c>
      <c r="M125" t="n">
        <v>0</v>
      </c>
      <c r="N125" t="n">
        <v>0</v>
      </c>
      <c r="O125" t="n">
        <v>0</v>
      </c>
      <c r="P125" t="n">
        <v>0</v>
      </c>
      <c r="Q125" t="n">
        <v>1</v>
      </c>
      <c r="R125" s="2" t="inlineStr">
        <is>
          <t>Guckusko</t>
        </is>
      </c>
      <c r="S125">
        <f>HYPERLINK("https://klasma.github.io/Logging_0188/artfynd/A 6381-2023 artfynd.xlsx", "A 6381-2023")</f>
        <v/>
      </c>
      <c r="T125">
        <f>HYPERLINK("https://klasma.github.io/Logging_0188/kartor/A 6381-2023 karta.png", "A 6381-2023")</f>
        <v/>
      </c>
      <c r="V125">
        <f>HYPERLINK("https://klasma.github.io/Logging_0188/klagomål/A 6381-2023 FSC-klagomål.docx", "A 6381-2023")</f>
        <v/>
      </c>
      <c r="W125">
        <f>HYPERLINK("https://klasma.github.io/Logging_0188/klagomålsmail/A 6381-2023 FSC-klagomål mail.docx", "A 6381-2023")</f>
        <v/>
      </c>
      <c r="X125">
        <f>HYPERLINK("https://klasma.github.io/Logging_0188/tillsyn/A 6381-2023 tillsynsbegäran.docx", "A 6381-2023")</f>
        <v/>
      </c>
      <c r="Y125">
        <f>HYPERLINK("https://klasma.github.io/Logging_0188/tillsynsmail/A 6381-2023 tillsynsbegäran mail.docx", "A 6381-2023")</f>
        <v/>
      </c>
    </row>
    <row r="126" ht="15" customHeight="1">
      <c r="A126" t="inlineStr">
        <is>
          <t>A 53716-2025</t>
        </is>
      </c>
      <c r="B126" s="1" t="n">
        <v>45960.61782407408</v>
      </c>
      <c r="C126" s="1" t="n">
        <v>45994</v>
      </c>
      <c r="D126" t="inlineStr">
        <is>
          <t>STOCKHOLMS LÄN</t>
        </is>
      </c>
      <c r="E126" t="inlineStr">
        <is>
          <t>NORRTÄLJE</t>
        </is>
      </c>
      <c r="G126" t="n">
        <v>3.4</v>
      </c>
      <c r="H126" t="n">
        <v>0</v>
      </c>
      <c r="I126" t="n">
        <v>0</v>
      </c>
      <c r="J126" t="n">
        <v>0</v>
      </c>
      <c r="K126" t="n">
        <v>0</v>
      </c>
      <c r="L126" t="n">
        <v>1</v>
      </c>
      <c r="M126" t="n">
        <v>0</v>
      </c>
      <c r="N126" t="n">
        <v>0</v>
      </c>
      <c r="O126" t="n">
        <v>1</v>
      </c>
      <c r="P126" t="n">
        <v>1</v>
      </c>
      <c r="Q126" t="n">
        <v>1</v>
      </c>
      <c r="R126" s="2" t="inlineStr">
        <is>
          <t>Fältgentiana</t>
        </is>
      </c>
      <c r="S126">
        <f>HYPERLINK("https://klasma.github.io/Logging_0188/artfynd/A 53716-2025 artfynd.xlsx", "A 53716-2025")</f>
        <v/>
      </c>
      <c r="T126">
        <f>HYPERLINK("https://klasma.github.io/Logging_0188/kartor/A 53716-2025 karta.png", "A 53716-2025")</f>
        <v/>
      </c>
      <c r="V126">
        <f>HYPERLINK("https://klasma.github.io/Logging_0188/klagomål/A 53716-2025 FSC-klagomål.docx", "A 53716-2025")</f>
        <v/>
      </c>
      <c r="W126">
        <f>HYPERLINK("https://klasma.github.io/Logging_0188/klagomålsmail/A 53716-2025 FSC-klagomål mail.docx", "A 53716-2025")</f>
        <v/>
      </c>
      <c r="X126">
        <f>HYPERLINK("https://klasma.github.io/Logging_0188/tillsyn/A 53716-2025 tillsynsbegäran.docx", "A 53716-2025")</f>
        <v/>
      </c>
      <c r="Y126">
        <f>HYPERLINK("https://klasma.github.io/Logging_0188/tillsynsmail/A 53716-2025 tillsynsbegäran mail.docx", "A 53716-2025")</f>
        <v/>
      </c>
    </row>
    <row r="127" ht="15" customHeight="1">
      <c r="A127" t="inlineStr">
        <is>
          <t>A 29946-2025</t>
        </is>
      </c>
      <c r="B127" s="1" t="n">
        <v>45826.46392361111</v>
      </c>
      <c r="C127" s="1" t="n">
        <v>45994</v>
      </c>
      <c r="D127" t="inlineStr">
        <is>
          <t>STOCKHOLMS LÄN</t>
        </is>
      </c>
      <c r="E127" t="inlineStr">
        <is>
          <t>NORRTÄLJE</t>
        </is>
      </c>
      <c r="F127" t="inlineStr">
        <is>
          <t>Holmen skog AB</t>
        </is>
      </c>
      <c r="G127" t="n">
        <v>3.6</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29946-2025 artfynd.xlsx", "A 29946-2025")</f>
        <v/>
      </c>
      <c r="T127">
        <f>HYPERLINK("https://klasma.github.io/Logging_0188/kartor/A 29946-2025 karta.png", "A 29946-2025")</f>
        <v/>
      </c>
      <c r="V127">
        <f>HYPERLINK("https://klasma.github.io/Logging_0188/klagomål/A 29946-2025 FSC-klagomål.docx", "A 29946-2025")</f>
        <v/>
      </c>
      <c r="W127">
        <f>HYPERLINK("https://klasma.github.io/Logging_0188/klagomålsmail/A 29946-2025 FSC-klagomål mail.docx", "A 29946-2025")</f>
        <v/>
      </c>
      <c r="X127">
        <f>HYPERLINK("https://klasma.github.io/Logging_0188/tillsyn/A 29946-2025 tillsynsbegäran.docx", "A 29946-2025")</f>
        <v/>
      </c>
      <c r="Y127">
        <f>HYPERLINK("https://klasma.github.io/Logging_0188/tillsynsmail/A 29946-2025 tillsynsbegäran mail.docx", "A 29946-2025")</f>
        <v/>
      </c>
    </row>
    <row r="128" ht="15" customHeight="1">
      <c r="A128" t="inlineStr">
        <is>
          <t>A 33548-2025</t>
        </is>
      </c>
      <c r="B128" s="1" t="n">
        <v>45841.5721875</v>
      </c>
      <c r="C128" s="1" t="n">
        <v>45994</v>
      </c>
      <c r="D128" t="inlineStr">
        <is>
          <t>STOCKHOLMS LÄN</t>
        </is>
      </c>
      <c r="E128" t="inlineStr">
        <is>
          <t>NORRTÄLJE</t>
        </is>
      </c>
      <c r="G128" t="n">
        <v>12.2</v>
      </c>
      <c r="H128" t="n">
        <v>0</v>
      </c>
      <c r="I128" t="n">
        <v>0</v>
      </c>
      <c r="J128" t="n">
        <v>1</v>
      </c>
      <c r="K128" t="n">
        <v>0</v>
      </c>
      <c r="L128" t="n">
        <v>0</v>
      </c>
      <c r="M128" t="n">
        <v>0</v>
      </c>
      <c r="N128" t="n">
        <v>0</v>
      </c>
      <c r="O128" t="n">
        <v>1</v>
      </c>
      <c r="P128" t="n">
        <v>0</v>
      </c>
      <c r="Q128" t="n">
        <v>1</v>
      </c>
      <c r="R128" s="2" t="inlineStr">
        <is>
          <t>Dofttaggsvamp</t>
        </is>
      </c>
      <c r="S128">
        <f>HYPERLINK("https://klasma.github.io/Logging_0188/artfynd/A 33548-2025 artfynd.xlsx", "A 33548-2025")</f>
        <v/>
      </c>
      <c r="T128">
        <f>HYPERLINK("https://klasma.github.io/Logging_0188/kartor/A 33548-2025 karta.png", "A 33548-2025")</f>
        <v/>
      </c>
      <c r="V128">
        <f>HYPERLINK("https://klasma.github.io/Logging_0188/klagomål/A 33548-2025 FSC-klagomål.docx", "A 33548-2025")</f>
        <v/>
      </c>
      <c r="W128">
        <f>HYPERLINK("https://klasma.github.io/Logging_0188/klagomålsmail/A 33548-2025 FSC-klagomål mail.docx", "A 33548-2025")</f>
        <v/>
      </c>
      <c r="X128">
        <f>HYPERLINK("https://klasma.github.io/Logging_0188/tillsyn/A 33548-2025 tillsynsbegäran.docx", "A 33548-2025")</f>
        <v/>
      </c>
      <c r="Y128">
        <f>HYPERLINK("https://klasma.github.io/Logging_0188/tillsynsmail/A 33548-2025 tillsynsbegäran mail.docx", "A 33548-2025")</f>
        <v/>
      </c>
    </row>
    <row r="129" ht="15" customHeight="1">
      <c r="A129" t="inlineStr">
        <is>
          <t>A 33546-2025</t>
        </is>
      </c>
      <c r="B129" s="1" t="n">
        <v>45841.56996527778</v>
      </c>
      <c r="C129" s="1" t="n">
        <v>45994</v>
      </c>
      <c r="D129" t="inlineStr">
        <is>
          <t>STOCKHOLMS LÄN</t>
        </is>
      </c>
      <c r="E129" t="inlineStr">
        <is>
          <t>NORRTÄLJE</t>
        </is>
      </c>
      <c r="G129" t="n">
        <v>7.2</v>
      </c>
      <c r="H129" t="n">
        <v>1</v>
      </c>
      <c r="I129" t="n">
        <v>1</v>
      </c>
      <c r="J129" t="n">
        <v>0</v>
      </c>
      <c r="K129" t="n">
        <v>0</v>
      </c>
      <c r="L129" t="n">
        <v>0</v>
      </c>
      <c r="M129" t="n">
        <v>0</v>
      </c>
      <c r="N129" t="n">
        <v>0</v>
      </c>
      <c r="O129" t="n">
        <v>0</v>
      </c>
      <c r="P129" t="n">
        <v>0</v>
      </c>
      <c r="Q129" t="n">
        <v>1</v>
      </c>
      <c r="R129" s="2" t="inlineStr">
        <is>
          <t>Nästrot</t>
        </is>
      </c>
      <c r="S129">
        <f>HYPERLINK("https://klasma.github.io/Logging_0188/artfynd/A 33546-2025 artfynd.xlsx", "A 33546-2025")</f>
        <v/>
      </c>
      <c r="T129">
        <f>HYPERLINK("https://klasma.github.io/Logging_0188/kartor/A 33546-2025 karta.png", "A 33546-2025")</f>
        <v/>
      </c>
      <c r="V129">
        <f>HYPERLINK("https://klasma.github.io/Logging_0188/klagomål/A 33546-2025 FSC-klagomål.docx", "A 33546-2025")</f>
        <v/>
      </c>
      <c r="W129">
        <f>HYPERLINK("https://klasma.github.io/Logging_0188/klagomålsmail/A 33546-2025 FSC-klagomål mail.docx", "A 33546-2025")</f>
        <v/>
      </c>
      <c r="X129">
        <f>HYPERLINK("https://klasma.github.io/Logging_0188/tillsyn/A 33546-2025 tillsynsbegäran.docx", "A 33546-2025")</f>
        <v/>
      </c>
      <c r="Y129">
        <f>HYPERLINK("https://klasma.github.io/Logging_0188/tillsynsmail/A 33546-2025 tillsynsbegäran mail.docx", "A 33546-2025")</f>
        <v/>
      </c>
    </row>
    <row r="130" ht="15" customHeight="1">
      <c r="A130" t="inlineStr">
        <is>
          <t>A 39158-2025</t>
        </is>
      </c>
      <c r="B130" s="1" t="n">
        <v>45888</v>
      </c>
      <c r="C130" s="1" t="n">
        <v>45994</v>
      </c>
      <c r="D130" t="inlineStr">
        <is>
          <t>STOCKHOLMS LÄN</t>
        </is>
      </c>
      <c r="E130" t="inlineStr">
        <is>
          <t>NORRTÄLJE</t>
        </is>
      </c>
      <c r="G130" t="n">
        <v>1.5</v>
      </c>
      <c r="H130" t="n">
        <v>1</v>
      </c>
      <c r="I130" t="n">
        <v>0</v>
      </c>
      <c r="J130" t="n">
        <v>0</v>
      </c>
      <c r="K130" t="n">
        <v>0</v>
      </c>
      <c r="L130" t="n">
        <v>0</v>
      </c>
      <c r="M130" t="n">
        <v>0</v>
      </c>
      <c r="N130" t="n">
        <v>0</v>
      </c>
      <c r="O130" t="n">
        <v>0</v>
      </c>
      <c r="P130" t="n">
        <v>0</v>
      </c>
      <c r="Q130" t="n">
        <v>1</v>
      </c>
      <c r="R130" s="2" t="inlineStr">
        <is>
          <t>Blåsippa</t>
        </is>
      </c>
      <c r="S130">
        <f>HYPERLINK("https://klasma.github.io/Logging_0188/artfynd/A 39158-2025 artfynd.xlsx", "A 39158-2025")</f>
        <v/>
      </c>
      <c r="T130">
        <f>HYPERLINK("https://klasma.github.io/Logging_0188/kartor/A 39158-2025 karta.png", "A 39158-2025")</f>
        <v/>
      </c>
      <c r="V130">
        <f>HYPERLINK("https://klasma.github.io/Logging_0188/klagomål/A 39158-2025 FSC-klagomål.docx", "A 39158-2025")</f>
        <v/>
      </c>
      <c r="W130">
        <f>HYPERLINK("https://klasma.github.io/Logging_0188/klagomålsmail/A 39158-2025 FSC-klagomål mail.docx", "A 39158-2025")</f>
        <v/>
      </c>
      <c r="X130">
        <f>HYPERLINK("https://klasma.github.io/Logging_0188/tillsyn/A 39158-2025 tillsynsbegäran.docx", "A 39158-2025")</f>
        <v/>
      </c>
      <c r="Y130">
        <f>HYPERLINK("https://klasma.github.io/Logging_0188/tillsynsmail/A 39158-2025 tillsynsbegäran mail.docx", "A 39158-2025")</f>
        <v/>
      </c>
    </row>
    <row r="131" ht="15" customHeight="1">
      <c r="A131" t="inlineStr">
        <is>
          <t>A 8371-2025</t>
        </is>
      </c>
      <c r="B131" s="1" t="n">
        <v>45708</v>
      </c>
      <c r="C131" s="1" t="n">
        <v>45994</v>
      </c>
      <c r="D131" t="inlineStr">
        <is>
          <t>STOCKHOLMS LÄN</t>
        </is>
      </c>
      <c r="E131" t="inlineStr">
        <is>
          <t>NORRTÄLJE</t>
        </is>
      </c>
      <c r="F131" t="inlineStr">
        <is>
          <t>Övriga Aktiebolag</t>
        </is>
      </c>
      <c r="G131" t="n">
        <v>2.9</v>
      </c>
      <c r="H131" t="n">
        <v>1</v>
      </c>
      <c r="I131" t="n">
        <v>0</v>
      </c>
      <c r="J131" t="n">
        <v>1</v>
      </c>
      <c r="K131" t="n">
        <v>0</v>
      </c>
      <c r="L131" t="n">
        <v>0</v>
      </c>
      <c r="M131" t="n">
        <v>0</v>
      </c>
      <c r="N131" t="n">
        <v>0</v>
      </c>
      <c r="O131" t="n">
        <v>1</v>
      </c>
      <c r="P131" t="n">
        <v>0</v>
      </c>
      <c r="Q131" t="n">
        <v>1</v>
      </c>
      <c r="R131" s="2" t="inlineStr">
        <is>
          <t>Spillkråka</t>
        </is>
      </c>
      <c r="S131">
        <f>HYPERLINK("https://klasma.github.io/Logging_0188/artfynd/A 8371-2025 artfynd.xlsx", "A 8371-2025")</f>
        <v/>
      </c>
      <c r="T131">
        <f>HYPERLINK("https://klasma.github.io/Logging_0188/kartor/A 8371-2025 karta.png", "A 8371-2025")</f>
        <v/>
      </c>
      <c r="V131">
        <f>HYPERLINK("https://klasma.github.io/Logging_0188/klagomål/A 8371-2025 FSC-klagomål.docx", "A 8371-2025")</f>
        <v/>
      </c>
      <c r="W131">
        <f>HYPERLINK("https://klasma.github.io/Logging_0188/klagomålsmail/A 8371-2025 FSC-klagomål mail.docx", "A 8371-2025")</f>
        <v/>
      </c>
      <c r="X131">
        <f>HYPERLINK("https://klasma.github.io/Logging_0188/tillsyn/A 8371-2025 tillsynsbegäran.docx", "A 8371-2025")</f>
        <v/>
      </c>
      <c r="Y131">
        <f>HYPERLINK("https://klasma.github.io/Logging_0188/tillsynsmail/A 8371-2025 tillsynsbegäran mail.docx", "A 8371-2025")</f>
        <v/>
      </c>
      <c r="Z131">
        <f>HYPERLINK("https://klasma.github.io/Logging_0188/fåglar/A 8371-2025 prioriterade fågelarter.docx", "A 8371-2025")</f>
        <v/>
      </c>
    </row>
    <row r="132" ht="15" customHeight="1">
      <c r="A132" t="inlineStr">
        <is>
          <t>A 59682-2025</t>
        </is>
      </c>
      <c r="B132" s="1" t="n">
        <v>45992.47116898148</v>
      </c>
      <c r="C132" s="1" t="n">
        <v>45994</v>
      </c>
      <c r="D132" t="inlineStr">
        <is>
          <t>STOCKHOLMS LÄN</t>
        </is>
      </c>
      <c r="E132" t="inlineStr">
        <is>
          <t>NORRTÄLJE</t>
        </is>
      </c>
      <c r="G132" t="n">
        <v>1.6</v>
      </c>
      <c r="H132" t="n">
        <v>0</v>
      </c>
      <c r="I132" t="n">
        <v>1</v>
      </c>
      <c r="J132" t="n">
        <v>0</v>
      </c>
      <c r="K132" t="n">
        <v>0</v>
      </c>
      <c r="L132" t="n">
        <v>0</v>
      </c>
      <c r="M132" t="n">
        <v>0</v>
      </c>
      <c r="N132" t="n">
        <v>0</v>
      </c>
      <c r="O132" t="n">
        <v>0</v>
      </c>
      <c r="P132" t="n">
        <v>0</v>
      </c>
      <c r="Q132" t="n">
        <v>1</v>
      </c>
      <c r="R132" s="2" t="inlineStr">
        <is>
          <t>Grönpyrola</t>
        </is>
      </c>
      <c r="S132">
        <f>HYPERLINK("https://klasma.github.io/Logging_0188/artfynd/A 59682-2025 artfynd.xlsx", "A 59682-2025")</f>
        <v/>
      </c>
      <c r="T132">
        <f>HYPERLINK("https://klasma.github.io/Logging_0188/kartor/A 59682-2025 karta.png", "A 59682-2025")</f>
        <v/>
      </c>
      <c r="V132">
        <f>HYPERLINK("https://klasma.github.io/Logging_0188/klagomål/A 59682-2025 FSC-klagomål.docx", "A 59682-2025")</f>
        <v/>
      </c>
      <c r="W132">
        <f>HYPERLINK("https://klasma.github.io/Logging_0188/klagomålsmail/A 59682-2025 FSC-klagomål mail.docx", "A 59682-2025")</f>
        <v/>
      </c>
      <c r="X132">
        <f>HYPERLINK("https://klasma.github.io/Logging_0188/tillsyn/A 59682-2025 tillsynsbegäran.docx", "A 59682-2025")</f>
        <v/>
      </c>
      <c r="Y132">
        <f>HYPERLINK("https://klasma.github.io/Logging_0188/tillsynsmail/A 59682-2025 tillsynsbegäran mail.docx", "A 59682-2025")</f>
        <v/>
      </c>
    </row>
    <row r="133" ht="15" customHeight="1">
      <c r="A133" t="inlineStr">
        <is>
          <t>A 16870-2025</t>
        </is>
      </c>
      <c r="B133" s="1" t="n">
        <v>45754</v>
      </c>
      <c r="C133" s="1" t="n">
        <v>45994</v>
      </c>
      <c r="D133" t="inlineStr">
        <is>
          <t>STOCKHOLMS LÄN</t>
        </is>
      </c>
      <c r="E133" t="inlineStr">
        <is>
          <t>NORRTÄLJE</t>
        </is>
      </c>
      <c r="G133" t="n">
        <v>24.6</v>
      </c>
      <c r="H133" t="n">
        <v>1</v>
      </c>
      <c r="I133" t="n">
        <v>0</v>
      </c>
      <c r="J133" t="n">
        <v>0</v>
      </c>
      <c r="K133" t="n">
        <v>0</v>
      </c>
      <c r="L133" t="n">
        <v>0</v>
      </c>
      <c r="M133" t="n">
        <v>0</v>
      </c>
      <c r="N133" t="n">
        <v>0</v>
      </c>
      <c r="O133" t="n">
        <v>0</v>
      </c>
      <c r="P133" t="n">
        <v>0</v>
      </c>
      <c r="Q133" t="n">
        <v>1</v>
      </c>
      <c r="R133" s="2" t="inlineStr">
        <is>
          <t>Vanlig groda</t>
        </is>
      </c>
      <c r="S133">
        <f>HYPERLINK("https://klasma.github.io/Logging_0188/artfynd/A 16870-2025 artfynd.xlsx", "A 16870-2025")</f>
        <v/>
      </c>
      <c r="T133">
        <f>HYPERLINK("https://klasma.github.io/Logging_0188/kartor/A 16870-2025 karta.png", "A 16870-2025")</f>
        <v/>
      </c>
      <c r="V133">
        <f>HYPERLINK("https://klasma.github.io/Logging_0188/klagomål/A 16870-2025 FSC-klagomål.docx", "A 16870-2025")</f>
        <v/>
      </c>
      <c r="W133">
        <f>HYPERLINK("https://klasma.github.io/Logging_0188/klagomålsmail/A 16870-2025 FSC-klagomål mail.docx", "A 16870-2025")</f>
        <v/>
      </c>
      <c r="X133">
        <f>HYPERLINK("https://klasma.github.io/Logging_0188/tillsyn/A 16870-2025 tillsynsbegäran.docx", "A 16870-2025")</f>
        <v/>
      </c>
      <c r="Y133">
        <f>HYPERLINK("https://klasma.github.io/Logging_0188/tillsynsmail/A 16870-2025 tillsynsbegäran mail.docx", "A 16870-2025")</f>
        <v/>
      </c>
    </row>
    <row r="134" ht="15" customHeight="1">
      <c r="A134" t="inlineStr">
        <is>
          <t>A 1970-2021</t>
        </is>
      </c>
      <c r="B134" s="1" t="n">
        <v>44210</v>
      </c>
      <c r="C134" s="1" t="n">
        <v>45994</v>
      </c>
      <c r="D134" t="inlineStr">
        <is>
          <t>STOCKHOLMS LÄN</t>
        </is>
      </c>
      <c r="E134" t="inlineStr">
        <is>
          <t>NORRTÄLJE</t>
        </is>
      </c>
      <c r="G134" t="n">
        <v>3.1</v>
      </c>
      <c r="H134" t="n">
        <v>0</v>
      </c>
      <c r="I134" t="n">
        <v>0</v>
      </c>
      <c r="J134" t="n">
        <v>0</v>
      </c>
      <c r="K134" t="n">
        <v>0</v>
      </c>
      <c r="L134" t="n">
        <v>0</v>
      </c>
      <c r="M134" t="n">
        <v>0</v>
      </c>
      <c r="N134" t="n">
        <v>0</v>
      </c>
      <c r="O134" t="n">
        <v>0</v>
      </c>
      <c r="P134" t="n">
        <v>0</v>
      </c>
      <c r="Q134" t="n">
        <v>0</v>
      </c>
      <c r="R134" s="2" t="inlineStr"/>
    </row>
    <row r="135" ht="15" customHeight="1">
      <c r="A135" t="inlineStr">
        <is>
          <t>A 1637-2021</t>
        </is>
      </c>
      <c r="B135" s="1" t="n">
        <v>44209</v>
      </c>
      <c r="C135" s="1" t="n">
        <v>45994</v>
      </c>
      <c r="D135" t="inlineStr">
        <is>
          <t>STOCKHOLMS LÄN</t>
        </is>
      </c>
      <c r="E135" t="inlineStr">
        <is>
          <t>NORRTÄLJE</t>
        </is>
      </c>
      <c r="G135" t="n">
        <v>1.6</v>
      </c>
      <c r="H135" t="n">
        <v>0</v>
      </c>
      <c r="I135" t="n">
        <v>0</v>
      </c>
      <c r="J135" t="n">
        <v>0</v>
      </c>
      <c r="K135" t="n">
        <v>0</v>
      </c>
      <c r="L135" t="n">
        <v>0</v>
      </c>
      <c r="M135" t="n">
        <v>0</v>
      </c>
      <c r="N135" t="n">
        <v>0</v>
      </c>
      <c r="O135" t="n">
        <v>0</v>
      </c>
      <c r="P135" t="n">
        <v>0</v>
      </c>
      <c r="Q135" t="n">
        <v>0</v>
      </c>
      <c r="R135" s="2" t="inlineStr"/>
    </row>
    <row r="136" ht="15" customHeight="1">
      <c r="A136" t="inlineStr">
        <is>
          <t>A 18580-2021</t>
        </is>
      </c>
      <c r="B136" s="1" t="n">
        <v>44306</v>
      </c>
      <c r="C136" s="1" t="n">
        <v>45994</v>
      </c>
      <c r="D136" t="inlineStr">
        <is>
          <t>STOCKHOLMS LÄN</t>
        </is>
      </c>
      <c r="E136" t="inlineStr">
        <is>
          <t>NORRTÄLJE</t>
        </is>
      </c>
      <c r="F136" t="inlineStr">
        <is>
          <t>Holmen skog AB</t>
        </is>
      </c>
      <c r="G136" t="n">
        <v>1.2</v>
      </c>
      <c r="H136" t="n">
        <v>0</v>
      </c>
      <c r="I136" t="n">
        <v>0</v>
      </c>
      <c r="J136" t="n">
        <v>0</v>
      </c>
      <c r="K136" t="n">
        <v>0</v>
      </c>
      <c r="L136" t="n">
        <v>0</v>
      </c>
      <c r="M136" t="n">
        <v>0</v>
      </c>
      <c r="N136" t="n">
        <v>0</v>
      </c>
      <c r="O136" t="n">
        <v>0</v>
      </c>
      <c r="P136" t="n">
        <v>0</v>
      </c>
      <c r="Q136" t="n">
        <v>0</v>
      </c>
      <c r="R136" s="2" t="inlineStr"/>
    </row>
    <row r="137" ht="15" customHeight="1">
      <c r="A137" t="inlineStr">
        <is>
          <t>A 71543-2021</t>
        </is>
      </c>
      <c r="B137" s="1" t="n">
        <v>44540</v>
      </c>
      <c r="C137" s="1" t="n">
        <v>45994</v>
      </c>
      <c r="D137" t="inlineStr">
        <is>
          <t>STOCKHOLMS LÄN</t>
        </is>
      </c>
      <c r="E137" t="inlineStr">
        <is>
          <t>NORRTÄLJE</t>
        </is>
      </c>
      <c r="G137" t="n">
        <v>1.8</v>
      </c>
      <c r="H137" t="n">
        <v>0</v>
      </c>
      <c r="I137" t="n">
        <v>0</v>
      </c>
      <c r="J137" t="n">
        <v>0</v>
      </c>
      <c r="K137" t="n">
        <v>0</v>
      </c>
      <c r="L137" t="n">
        <v>0</v>
      </c>
      <c r="M137" t="n">
        <v>0</v>
      </c>
      <c r="N137" t="n">
        <v>0</v>
      </c>
      <c r="O137" t="n">
        <v>0</v>
      </c>
      <c r="P137" t="n">
        <v>0</v>
      </c>
      <c r="Q137" t="n">
        <v>0</v>
      </c>
      <c r="R137" s="2" t="inlineStr"/>
    </row>
    <row r="138" ht="15" customHeight="1">
      <c r="A138" t="inlineStr">
        <is>
          <t>A 14036-2022</t>
        </is>
      </c>
      <c r="B138" s="1" t="n">
        <v>44650.8699537037</v>
      </c>
      <c r="C138" s="1" t="n">
        <v>45994</v>
      </c>
      <c r="D138" t="inlineStr">
        <is>
          <t>STOCKHOLMS LÄN</t>
        </is>
      </c>
      <c r="E138" t="inlineStr">
        <is>
          <t>NORRTÄLJE</t>
        </is>
      </c>
      <c r="G138" t="n">
        <v>1.1</v>
      </c>
      <c r="H138" t="n">
        <v>0</v>
      </c>
      <c r="I138" t="n">
        <v>0</v>
      </c>
      <c r="J138" t="n">
        <v>0</v>
      </c>
      <c r="K138" t="n">
        <v>0</v>
      </c>
      <c r="L138" t="n">
        <v>0</v>
      </c>
      <c r="M138" t="n">
        <v>0</v>
      </c>
      <c r="N138" t="n">
        <v>0</v>
      </c>
      <c r="O138" t="n">
        <v>0</v>
      </c>
      <c r="P138" t="n">
        <v>0</v>
      </c>
      <c r="Q138" t="n">
        <v>0</v>
      </c>
      <c r="R138" s="2" t="inlineStr"/>
    </row>
    <row r="139" ht="15" customHeight="1">
      <c r="A139" t="inlineStr">
        <is>
          <t>A 47344-2021</t>
        </is>
      </c>
      <c r="B139" s="1" t="n">
        <v>44447</v>
      </c>
      <c r="C139" s="1" t="n">
        <v>45994</v>
      </c>
      <c r="D139" t="inlineStr">
        <is>
          <t>STOCKHOLMS LÄN</t>
        </is>
      </c>
      <c r="E139" t="inlineStr">
        <is>
          <t>NORRTÄLJE</t>
        </is>
      </c>
      <c r="G139" t="n">
        <v>3.3</v>
      </c>
      <c r="H139" t="n">
        <v>0</v>
      </c>
      <c r="I139" t="n">
        <v>0</v>
      </c>
      <c r="J139" t="n">
        <v>0</v>
      </c>
      <c r="K139" t="n">
        <v>0</v>
      </c>
      <c r="L139" t="n">
        <v>0</v>
      </c>
      <c r="M139" t="n">
        <v>0</v>
      </c>
      <c r="N139" t="n">
        <v>0</v>
      </c>
      <c r="O139" t="n">
        <v>0</v>
      </c>
      <c r="P139" t="n">
        <v>0</v>
      </c>
      <c r="Q139" t="n">
        <v>0</v>
      </c>
      <c r="R139" s="2" t="inlineStr"/>
    </row>
    <row r="140" ht="15" customHeight="1">
      <c r="A140" t="inlineStr">
        <is>
          <t>A 43036-2022</t>
        </is>
      </c>
      <c r="B140" s="1" t="n">
        <v>44833</v>
      </c>
      <c r="C140" s="1" t="n">
        <v>45994</v>
      </c>
      <c r="D140" t="inlineStr">
        <is>
          <t>STOCKHOLMS LÄN</t>
        </is>
      </c>
      <c r="E140" t="inlineStr">
        <is>
          <t>NORRTÄLJE</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12877-2022</t>
        </is>
      </c>
      <c r="B141" s="1" t="n">
        <v>44642</v>
      </c>
      <c r="C141" s="1" t="n">
        <v>45994</v>
      </c>
      <c r="D141" t="inlineStr">
        <is>
          <t>STOCKHOLMS LÄN</t>
        </is>
      </c>
      <c r="E141" t="inlineStr">
        <is>
          <t>NORRTÄLJE</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15289-2021</t>
        </is>
      </c>
      <c r="B142" s="1" t="n">
        <v>44284.59546296296</v>
      </c>
      <c r="C142" s="1" t="n">
        <v>45994</v>
      </c>
      <c r="D142" t="inlineStr">
        <is>
          <t>STOCKHOLMS LÄN</t>
        </is>
      </c>
      <c r="E142" t="inlineStr">
        <is>
          <t>NORRTÄLJE</t>
        </is>
      </c>
      <c r="G142" t="n">
        <v>0.5</v>
      </c>
      <c r="H142" t="n">
        <v>0</v>
      </c>
      <c r="I142" t="n">
        <v>0</v>
      </c>
      <c r="J142" t="n">
        <v>0</v>
      </c>
      <c r="K142" t="n">
        <v>0</v>
      </c>
      <c r="L142" t="n">
        <v>0</v>
      </c>
      <c r="M142" t="n">
        <v>0</v>
      </c>
      <c r="N142" t="n">
        <v>0</v>
      </c>
      <c r="O142" t="n">
        <v>0</v>
      </c>
      <c r="P142" t="n">
        <v>0</v>
      </c>
      <c r="Q142" t="n">
        <v>0</v>
      </c>
      <c r="R142" s="2" t="inlineStr"/>
    </row>
    <row r="143" ht="15" customHeight="1">
      <c r="A143" t="inlineStr">
        <is>
          <t>A 40542-2021</t>
        </is>
      </c>
      <c r="B143" s="1" t="n">
        <v>44420</v>
      </c>
      <c r="C143" s="1" t="n">
        <v>45994</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40546-2021</t>
        </is>
      </c>
      <c r="B144" s="1" t="n">
        <v>44420</v>
      </c>
      <c r="C144" s="1" t="n">
        <v>45994</v>
      </c>
      <c r="D144" t="inlineStr">
        <is>
          <t>STOCKHOLMS LÄN</t>
        </is>
      </c>
      <c r="E144" t="inlineStr">
        <is>
          <t>NORRTÄLJE</t>
        </is>
      </c>
      <c r="G144" t="n">
        <v>0.4</v>
      </c>
      <c r="H144" t="n">
        <v>0</v>
      </c>
      <c r="I144" t="n">
        <v>0</v>
      </c>
      <c r="J144" t="n">
        <v>0</v>
      </c>
      <c r="K144" t="n">
        <v>0</v>
      </c>
      <c r="L144" t="n">
        <v>0</v>
      </c>
      <c r="M144" t="n">
        <v>0</v>
      </c>
      <c r="N144" t="n">
        <v>0</v>
      </c>
      <c r="O144" t="n">
        <v>0</v>
      </c>
      <c r="P144" t="n">
        <v>0</v>
      </c>
      <c r="Q144" t="n">
        <v>0</v>
      </c>
      <c r="R144" s="2" t="inlineStr"/>
    </row>
    <row r="145" ht="15" customHeight="1">
      <c r="A145" t="inlineStr">
        <is>
          <t>A 31934-2022</t>
        </is>
      </c>
      <c r="B145" s="1" t="n">
        <v>44777</v>
      </c>
      <c r="C145" s="1" t="n">
        <v>45994</v>
      </c>
      <c r="D145" t="inlineStr">
        <is>
          <t>STOCKHOLMS LÄN</t>
        </is>
      </c>
      <c r="E145" t="inlineStr">
        <is>
          <t>NORRTÄLJE</t>
        </is>
      </c>
      <c r="G145" t="n">
        <v>1.2</v>
      </c>
      <c r="H145" t="n">
        <v>0</v>
      </c>
      <c r="I145" t="n">
        <v>0</v>
      </c>
      <c r="J145" t="n">
        <v>0</v>
      </c>
      <c r="K145" t="n">
        <v>0</v>
      </c>
      <c r="L145" t="n">
        <v>0</v>
      </c>
      <c r="M145" t="n">
        <v>0</v>
      </c>
      <c r="N145" t="n">
        <v>0</v>
      </c>
      <c r="O145" t="n">
        <v>0</v>
      </c>
      <c r="P145" t="n">
        <v>0</v>
      </c>
      <c r="Q145" t="n">
        <v>0</v>
      </c>
      <c r="R145" s="2" t="inlineStr"/>
    </row>
    <row r="146" ht="15" customHeight="1">
      <c r="A146" t="inlineStr">
        <is>
          <t>A 24977-2022</t>
        </is>
      </c>
      <c r="B146" s="1" t="n">
        <v>44728.73465277778</v>
      </c>
      <c r="C146" s="1" t="n">
        <v>45994</v>
      </c>
      <c r="D146" t="inlineStr">
        <is>
          <t>STOCKHOLMS LÄN</t>
        </is>
      </c>
      <c r="E146" t="inlineStr">
        <is>
          <t>NORRTÄLJE</t>
        </is>
      </c>
      <c r="F146" t="inlineStr">
        <is>
          <t>Kyrkan</t>
        </is>
      </c>
      <c r="G146" t="n">
        <v>1</v>
      </c>
      <c r="H146" t="n">
        <v>0</v>
      </c>
      <c r="I146" t="n">
        <v>0</v>
      </c>
      <c r="J146" t="n">
        <v>0</v>
      </c>
      <c r="K146" t="n">
        <v>0</v>
      </c>
      <c r="L146" t="n">
        <v>0</v>
      </c>
      <c r="M146" t="n">
        <v>0</v>
      </c>
      <c r="N146" t="n">
        <v>0</v>
      </c>
      <c r="O146" t="n">
        <v>0</v>
      </c>
      <c r="P146" t="n">
        <v>0</v>
      </c>
      <c r="Q146" t="n">
        <v>0</v>
      </c>
      <c r="R146" s="2" t="inlineStr"/>
    </row>
    <row r="147" ht="15" customHeight="1">
      <c r="A147" t="inlineStr">
        <is>
          <t>A 37815-2022</t>
        </is>
      </c>
      <c r="B147" s="1" t="n">
        <v>44810.85092592592</v>
      </c>
      <c r="C147" s="1" t="n">
        <v>45994</v>
      </c>
      <c r="D147" t="inlineStr">
        <is>
          <t>STOCKHOLMS LÄN</t>
        </is>
      </c>
      <c r="E147" t="inlineStr">
        <is>
          <t>NORRTÄLJE</t>
        </is>
      </c>
      <c r="G147" t="n">
        <v>1.3</v>
      </c>
      <c r="H147" t="n">
        <v>0</v>
      </c>
      <c r="I147" t="n">
        <v>0</v>
      </c>
      <c r="J147" t="n">
        <v>0</v>
      </c>
      <c r="K147" t="n">
        <v>0</v>
      </c>
      <c r="L147" t="n">
        <v>0</v>
      </c>
      <c r="M147" t="n">
        <v>0</v>
      </c>
      <c r="N147" t="n">
        <v>0</v>
      </c>
      <c r="O147" t="n">
        <v>0</v>
      </c>
      <c r="P147" t="n">
        <v>0</v>
      </c>
      <c r="Q147" t="n">
        <v>0</v>
      </c>
      <c r="R147" s="2" t="inlineStr"/>
    </row>
    <row r="148" ht="15" customHeight="1">
      <c r="A148" t="inlineStr">
        <is>
          <t>A 73855-2021</t>
        </is>
      </c>
      <c r="B148" s="1" t="n">
        <v>44552</v>
      </c>
      <c r="C148" s="1" t="n">
        <v>45994</v>
      </c>
      <c r="D148" t="inlineStr">
        <is>
          <t>STOCKHOLMS LÄN</t>
        </is>
      </c>
      <c r="E148" t="inlineStr">
        <is>
          <t>NORRTÄLJE</t>
        </is>
      </c>
      <c r="F148" t="inlineStr">
        <is>
          <t>Övriga Aktiebolag</t>
        </is>
      </c>
      <c r="G148" t="n">
        <v>4</v>
      </c>
      <c r="H148" t="n">
        <v>0</v>
      </c>
      <c r="I148" t="n">
        <v>0</v>
      </c>
      <c r="J148" t="n">
        <v>0</v>
      </c>
      <c r="K148" t="n">
        <v>0</v>
      </c>
      <c r="L148" t="n">
        <v>0</v>
      </c>
      <c r="M148" t="n">
        <v>0</v>
      </c>
      <c r="N148" t="n">
        <v>0</v>
      </c>
      <c r="O148" t="n">
        <v>0</v>
      </c>
      <c r="P148" t="n">
        <v>0</v>
      </c>
      <c r="Q148" t="n">
        <v>0</v>
      </c>
      <c r="R148" s="2" t="inlineStr"/>
    </row>
    <row r="149" ht="15" customHeight="1">
      <c r="A149" t="inlineStr">
        <is>
          <t>A 74468-2021</t>
        </is>
      </c>
      <c r="B149" s="1" t="n">
        <v>44560</v>
      </c>
      <c r="C149" s="1" t="n">
        <v>45994</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11821-2022</t>
        </is>
      </c>
      <c r="B150" s="1" t="n">
        <v>44634</v>
      </c>
      <c r="C150" s="1" t="n">
        <v>45994</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2977-2022</t>
        </is>
      </c>
      <c r="B151" s="1" t="n">
        <v>44581.75819444445</v>
      </c>
      <c r="C151" s="1" t="n">
        <v>45994</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54272-2021</t>
        </is>
      </c>
      <c r="B152" s="1" t="n">
        <v>44470.72148148148</v>
      </c>
      <c r="C152" s="1" t="n">
        <v>45994</v>
      </c>
      <c r="D152" t="inlineStr">
        <is>
          <t>STOCKHOLMS LÄN</t>
        </is>
      </c>
      <c r="E152" t="inlineStr">
        <is>
          <t>NORRTÄLJE</t>
        </is>
      </c>
      <c r="G152" t="n">
        <v>5.8</v>
      </c>
      <c r="H152" t="n">
        <v>0</v>
      </c>
      <c r="I152" t="n">
        <v>0</v>
      </c>
      <c r="J152" t="n">
        <v>0</v>
      </c>
      <c r="K152" t="n">
        <v>0</v>
      </c>
      <c r="L152" t="n">
        <v>0</v>
      </c>
      <c r="M152" t="n">
        <v>0</v>
      </c>
      <c r="N152" t="n">
        <v>0</v>
      </c>
      <c r="O152" t="n">
        <v>0</v>
      </c>
      <c r="P152" t="n">
        <v>0</v>
      </c>
      <c r="Q152" t="n">
        <v>0</v>
      </c>
      <c r="R152" s="2" t="inlineStr"/>
    </row>
    <row r="153" ht="15" customHeight="1">
      <c r="A153" t="inlineStr">
        <is>
          <t>A 31283-2022</t>
        </is>
      </c>
      <c r="B153" s="1" t="n">
        <v>44771</v>
      </c>
      <c r="C153" s="1" t="n">
        <v>45994</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56225-2021</t>
        </is>
      </c>
      <c r="B154" s="1" t="n">
        <v>44477.94327546296</v>
      </c>
      <c r="C154" s="1" t="n">
        <v>45994</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34436-2021</t>
        </is>
      </c>
      <c r="B155" s="1" t="n">
        <v>44380</v>
      </c>
      <c r="C155" s="1" t="n">
        <v>45994</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67525-2021</t>
        </is>
      </c>
      <c r="B156" s="1" t="n">
        <v>44524</v>
      </c>
      <c r="C156" s="1" t="n">
        <v>45994</v>
      </c>
      <c r="D156" t="inlineStr">
        <is>
          <t>STOCKHOLMS LÄN</t>
        </is>
      </c>
      <c r="E156" t="inlineStr">
        <is>
          <t>NORRTÄLJE</t>
        </is>
      </c>
      <c r="G156" t="n">
        <v>0.8</v>
      </c>
      <c r="H156" t="n">
        <v>0</v>
      </c>
      <c r="I156" t="n">
        <v>0</v>
      </c>
      <c r="J156" t="n">
        <v>0</v>
      </c>
      <c r="K156" t="n">
        <v>0</v>
      </c>
      <c r="L156" t="n">
        <v>0</v>
      </c>
      <c r="M156" t="n">
        <v>0</v>
      </c>
      <c r="N156" t="n">
        <v>0</v>
      </c>
      <c r="O156" t="n">
        <v>0</v>
      </c>
      <c r="P156" t="n">
        <v>0</v>
      </c>
      <c r="Q156" t="n">
        <v>0</v>
      </c>
      <c r="R156" s="2" t="inlineStr"/>
    </row>
    <row r="157" ht="15" customHeight="1">
      <c r="A157" t="inlineStr">
        <is>
          <t>A 1704-2022</t>
        </is>
      </c>
      <c r="B157" s="1" t="n">
        <v>44574.42978009259</v>
      </c>
      <c r="C157" s="1" t="n">
        <v>45994</v>
      </c>
      <c r="D157" t="inlineStr">
        <is>
          <t>STOCKHOLMS LÄN</t>
        </is>
      </c>
      <c r="E157" t="inlineStr">
        <is>
          <t>NORRTÄLJE</t>
        </is>
      </c>
      <c r="G157" t="n">
        <v>6.2</v>
      </c>
      <c r="H157" t="n">
        <v>0</v>
      </c>
      <c r="I157" t="n">
        <v>0</v>
      </c>
      <c r="J157" t="n">
        <v>0</v>
      </c>
      <c r="K157" t="n">
        <v>0</v>
      </c>
      <c r="L157" t="n">
        <v>0</v>
      </c>
      <c r="M157" t="n">
        <v>0</v>
      </c>
      <c r="N157" t="n">
        <v>0</v>
      </c>
      <c r="O157" t="n">
        <v>0</v>
      </c>
      <c r="P157" t="n">
        <v>0</v>
      </c>
      <c r="Q157" t="n">
        <v>0</v>
      </c>
      <c r="R157" s="2" t="inlineStr"/>
    </row>
    <row r="158" ht="15" customHeight="1">
      <c r="A158" t="inlineStr">
        <is>
          <t>A 65737-2021</t>
        </is>
      </c>
      <c r="B158" s="1" t="n">
        <v>44516.72827546296</v>
      </c>
      <c r="C158" s="1" t="n">
        <v>45994</v>
      </c>
      <c r="D158" t="inlineStr">
        <is>
          <t>STOCKHOLMS LÄN</t>
        </is>
      </c>
      <c r="E158" t="inlineStr">
        <is>
          <t>NORRTÄLJE</t>
        </is>
      </c>
      <c r="G158" t="n">
        <v>3</v>
      </c>
      <c r="H158" t="n">
        <v>0</v>
      </c>
      <c r="I158" t="n">
        <v>0</v>
      </c>
      <c r="J158" t="n">
        <v>0</v>
      </c>
      <c r="K158" t="n">
        <v>0</v>
      </c>
      <c r="L158" t="n">
        <v>0</v>
      </c>
      <c r="M158" t="n">
        <v>0</v>
      </c>
      <c r="N158" t="n">
        <v>0</v>
      </c>
      <c r="O158" t="n">
        <v>0</v>
      </c>
      <c r="P158" t="n">
        <v>0</v>
      </c>
      <c r="Q158" t="n">
        <v>0</v>
      </c>
      <c r="R158" s="2" t="inlineStr"/>
    </row>
    <row r="159" ht="15" customHeight="1">
      <c r="A159" t="inlineStr">
        <is>
          <t>A 23096-2021</t>
        </is>
      </c>
      <c r="B159" s="1" t="n">
        <v>44330</v>
      </c>
      <c r="C159" s="1" t="n">
        <v>45994</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43374-2022</t>
        </is>
      </c>
      <c r="B160" s="1" t="n">
        <v>44834</v>
      </c>
      <c r="C160" s="1" t="n">
        <v>45994</v>
      </c>
      <c r="D160" t="inlineStr">
        <is>
          <t>STOCKHOLMS LÄN</t>
        </is>
      </c>
      <c r="E160" t="inlineStr">
        <is>
          <t>NORRTÄLJE</t>
        </is>
      </c>
      <c r="G160" t="n">
        <v>0.7</v>
      </c>
      <c r="H160" t="n">
        <v>0</v>
      </c>
      <c r="I160" t="n">
        <v>0</v>
      </c>
      <c r="J160" t="n">
        <v>0</v>
      </c>
      <c r="K160" t="n">
        <v>0</v>
      </c>
      <c r="L160" t="n">
        <v>0</v>
      </c>
      <c r="M160" t="n">
        <v>0</v>
      </c>
      <c r="N160" t="n">
        <v>0</v>
      </c>
      <c r="O160" t="n">
        <v>0</v>
      </c>
      <c r="P160" t="n">
        <v>0</v>
      </c>
      <c r="Q160" t="n">
        <v>0</v>
      </c>
      <c r="R160" s="2" t="inlineStr"/>
    </row>
    <row r="161" ht="15" customHeight="1">
      <c r="A161" t="inlineStr">
        <is>
          <t>A 19283-2021</t>
        </is>
      </c>
      <c r="B161" s="1" t="n">
        <v>44309.47061342592</v>
      </c>
      <c r="C161" s="1" t="n">
        <v>45994</v>
      </c>
      <c r="D161" t="inlineStr">
        <is>
          <t>STOCKHOLMS LÄN</t>
        </is>
      </c>
      <c r="E161" t="inlineStr">
        <is>
          <t>NORRTÄLJE</t>
        </is>
      </c>
      <c r="F161" t="inlineStr">
        <is>
          <t>Holmen skog AB</t>
        </is>
      </c>
      <c r="G161" t="n">
        <v>0.6</v>
      </c>
      <c r="H161" t="n">
        <v>0</v>
      </c>
      <c r="I161" t="n">
        <v>0</v>
      </c>
      <c r="J161" t="n">
        <v>0</v>
      </c>
      <c r="K161" t="n">
        <v>0</v>
      </c>
      <c r="L161" t="n">
        <v>0</v>
      </c>
      <c r="M161" t="n">
        <v>0</v>
      </c>
      <c r="N161" t="n">
        <v>0</v>
      </c>
      <c r="O161" t="n">
        <v>0</v>
      </c>
      <c r="P161" t="n">
        <v>0</v>
      </c>
      <c r="Q161" t="n">
        <v>0</v>
      </c>
      <c r="R161" s="2" t="inlineStr"/>
    </row>
    <row r="162" ht="15" customHeight="1">
      <c r="A162" t="inlineStr">
        <is>
          <t>A 9719-2021</t>
        </is>
      </c>
      <c r="B162" s="1" t="n">
        <v>44252</v>
      </c>
      <c r="C162" s="1" t="n">
        <v>45994</v>
      </c>
      <c r="D162" t="inlineStr">
        <is>
          <t>STOCKHOLMS LÄN</t>
        </is>
      </c>
      <c r="E162" t="inlineStr">
        <is>
          <t>NORRTÄLJE</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48384-2021</t>
        </is>
      </c>
      <c r="B163" s="1" t="n">
        <v>44451</v>
      </c>
      <c r="C163" s="1" t="n">
        <v>45994</v>
      </c>
      <c r="D163" t="inlineStr">
        <is>
          <t>STOCKHOLMS LÄN</t>
        </is>
      </c>
      <c r="E163" t="inlineStr">
        <is>
          <t>NORRTÄLJE</t>
        </is>
      </c>
      <c r="G163" t="n">
        <v>1.4</v>
      </c>
      <c r="H163" t="n">
        <v>0</v>
      </c>
      <c r="I163" t="n">
        <v>0</v>
      </c>
      <c r="J163" t="n">
        <v>0</v>
      </c>
      <c r="K163" t="n">
        <v>0</v>
      </c>
      <c r="L163" t="n">
        <v>0</v>
      </c>
      <c r="M163" t="n">
        <v>0</v>
      </c>
      <c r="N163" t="n">
        <v>0</v>
      </c>
      <c r="O163" t="n">
        <v>0</v>
      </c>
      <c r="P163" t="n">
        <v>0</v>
      </c>
      <c r="Q163" t="n">
        <v>0</v>
      </c>
      <c r="R163" s="2" t="inlineStr"/>
    </row>
    <row r="164" ht="15" customHeight="1">
      <c r="A164" t="inlineStr">
        <is>
          <t>A 37712-2021</t>
        </is>
      </c>
      <c r="B164" s="1" t="n">
        <v>44400</v>
      </c>
      <c r="C164" s="1" t="n">
        <v>45994</v>
      </c>
      <c r="D164" t="inlineStr">
        <is>
          <t>STOCKHOLMS LÄN</t>
        </is>
      </c>
      <c r="E164" t="inlineStr">
        <is>
          <t>NORRTÄLJE</t>
        </is>
      </c>
      <c r="G164" t="n">
        <v>22.9</v>
      </c>
      <c r="H164" t="n">
        <v>0</v>
      </c>
      <c r="I164" t="n">
        <v>0</v>
      </c>
      <c r="J164" t="n">
        <v>0</v>
      </c>
      <c r="K164" t="n">
        <v>0</v>
      </c>
      <c r="L164" t="n">
        <v>0</v>
      </c>
      <c r="M164" t="n">
        <v>0</v>
      </c>
      <c r="N164" t="n">
        <v>0</v>
      </c>
      <c r="O164" t="n">
        <v>0</v>
      </c>
      <c r="P164" t="n">
        <v>0</v>
      </c>
      <c r="Q164" t="n">
        <v>0</v>
      </c>
      <c r="R164" s="2" t="inlineStr"/>
    </row>
    <row r="165" ht="15" customHeight="1">
      <c r="A165" t="inlineStr">
        <is>
          <t>A 48492-2022</t>
        </is>
      </c>
      <c r="B165" s="1" t="n">
        <v>44858</v>
      </c>
      <c r="C165" s="1" t="n">
        <v>45994</v>
      </c>
      <c r="D165" t="inlineStr">
        <is>
          <t>STOCKHOLMS LÄN</t>
        </is>
      </c>
      <c r="E165" t="inlineStr">
        <is>
          <t>NORRTÄLJE</t>
        </is>
      </c>
      <c r="G165" t="n">
        <v>0.7</v>
      </c>
      <c r="H165" t="n">
        <v>0</v>
      </c>
      <c r="I165" t="n">
        <v>0</v>
      </c>
      <c r="J165" t="n">
        <v>0</v>
      </c>
      <c r="K165" t="n">
        <v>0</v>
      </c>
      <c r="L165" t="n">
        <v>0</v>
      </c>
      <c r="M165" t="n">
        <v>0</v>
      </c>
      <c r="N165" t="n">
        <v>0</v>
      </c>
      <c r="O165" t="n">
        <v>0</v>
      </c>
      <c r="P165" t="n">
        <v>0</v>
      </c>
      <c r="Q165" t="n">
        <v>0</v>
      </c>
      <c r="R165" s="2" t="inlineStr"/>
    </row>
    <row r="166" ht="15" customHeight="1">
      <c r="A166" t="inlineStr">
        <is>
          <t>A 8338-2021</t>
        </is>
      </c>
      <c r="B166" s="1" t="n">
        <v>44244</v>
      </c>
      <c r="C166" s="1" t="n">
        <v>45994</v>
      </c>
      <c r="D166" t="inlineStr">
        <is>
          <t>STOCKHOLMS LÄN</t>
        </is>
      </c>
      <c r="E166" t="inlineStr">
        <is>
          <t>NORRTÄLJE</t>
        </is>
      </c>
      <c r="G166" t="n">
        <v>1.4</v>
      </c>
      <c r="H166" t="n">
        <v>0</v>
      </c>
      <c r="I166" t="n">
        <v>0</v>
      </c>
      <c r="J166" t="n">
        <v>0</v>
      </c>
      <c r="K166" t="n">
        <v>0</v>
      </c>
      <c r="L166" t="n">
        <v>0</v>
      </c>
      <c r="M166" t="n">
        <v>0</v>
      </c>
      <c r="N166" t="n">
        <v>0</v>
      </c>
      <c r="O166" t="n">
        <v>0</v>
      </c>
      <c r="P166" t="n">
        <v>0</v>
      </c>
      <c r="Q166" t="n">
        <v>0</v>
      </c>
      <c r="R166" s="2" t="inlineStr"/>
    </row>
    <row r="167" ht="15" customHeight="1">
      <c r="A167" t="inlineStr">
        <is>
          <t>A 10711-2022</t>
        </is>
      </c>
      <c r="B167" s="1" t="n">
        <v>44626</v>
      </c>
      <c r="C167" s="1" t="n">
        <v>45994</v>
      </c>
      <c r="D167" t="inlineStr">
        <is>
          <t>STOCKHOLMS LÄN</t>
        </is>
      </c>
      <c r="E167" t="inlineStr">
        <is>
          <t>NORRTÄLJE</t>
        </is>
      </c>
      <c r="G167" t="n">
        <v>0.4</v>
      </c>
      <c r="H167" t="n">
        <v>0</v>
      </c>
      <c r="I167" t="n">
        <v>0</v>
      </c>
      <c r="J167" t="n">
        <v>0</v>
      </c>
      <c r="K167" t="n">
        <v>0</v>
      </c>
      <c r="L167" t="n">
        <v>0</v>
      </c>
      <c r="M167" t="n">
        <v>0</v>
      </c>
      <c r="N167" t="n">
        <v>0</v>
      </c>
      <c r="O167" t="n">
        <v>0</v>
      </c>
      <c r="P167" t="n">
        <v>0</v>
      </c>
      <c r="Q167" t="n">
        <v>0</v>
      </c>
      <c r="R167" s="2" t="inlineStr"/>
    </row>
    <row r="168" ht="15" customHeight="1">
      <c r="A168" t="inlineStr">
        <is>
          <t>A 18905-2022</t>
        </is>
      </c>
      <c r="B168" s="1" t="n">
        <v>44690</v>
      </c>
      <c r="C168" s="1" t="n">
        <v>45994</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60822-2021</t>
        </is>
      </c>
      <c r="B169" s="1" t="n">
        <v>44496</v>
      </c>
      <c r="C169" s="1" t="n">
        <v>45994</v>
      </c>
      <c r="D169" t="inlineStr">
        <is>
          <t>STOCKHOLMS LÄN</t>
        </is>
      </c>
      <c r="E169" t="inlineStr">
        <is>
          <t>NORRTÄLJE</t>
        </is>
      </c>
      <c r="G169" t="n">
        <v>7.6</v>
      </c>
      <c r="H169" t="n">
        <v>0</v>
      </c>
      <c r="I169" t="n">
        <v>0</v>
      </c>
      <c r="J169" t="n">
        <v>0</v>
      </c>
      <c r="K169" t="n">
        <v>0</v>
      </c>
      <c r="L169" t="n">
        <v>0</v>
      </c>
      <c r="M169" t="n">
        <v>0</v>
      </c>
      <c r="N169" t="n">
        <v>0</v>
      </c>
      <c r="O169" t="n">
        <v>0</v>
      </c>
      <c r="P169" t="n">
        <v>0</v>
      </c>
      <c r="Q169" t="n">
        <v>0</v>
      </c>
      <c r="R169" s="2" t="inlineStr"/>
    </row>
    <row r="170" ht="15" customHeight="1">
      <c r="A170" t="inlineStr">
        <is>
          <t>A 17777-2022</t>
        </is>
      </c>
      <c r="B170" s="1" t="n">
        <v>44682.79203703703</v>
      </c>
      <c r="C170" s="1" t="n">
        <v>45994</v>
      </c>
      <c r="D170" t="inlineStr">
        <is>
          <t>STOCKHOLMS LÄN</t>
        </is>
      </c>
      <c r="E170" t="inlineStr">
        <is>
          <t>NORRTÄLJE</t>
        </is>
      </c>
      <c r="G170" t="n">
        <v>3.7</v>
      </c>
      <c r="H170" t="n">
        <v>0</v>
      </c>
      <c r="I170" t="n">
        <v>0</v>
      </c>
      <c r="J170" t="n">
        <v>0</v>
      </c>
      <c r="K170" t="n">
        <v>0</v>
      </c>
      <c r="L170" t="n">
        <v>0</v>
      </c>
      <c r="M170" t="n">
        <v>0</v>
      </c>
      <c r="N170" t="n">
        <v>0</v>
      </c>
      <c r="O170" t="n">
        <v>0</v>
      </c>
      <c r="P170" t="n">
        <v>0</v>
      </c>
      <c r="Q170" t="n">
        <v>0</v>
      </c>
      <c r="R170" s="2" t="inlineStr"/>
    </row>
    <row r="171" ht="15" customHeight="1">
      <c r="A171" t="inlineStr">
        <is>
          <t>A 21723-2022</t>
        </is>
      </c>
      <c r="B171" s="1" t="n">
        <v>44708</v>
      </c>
      <c r="C171" s="1" t="n">
        <v>45994</v>
      </c>
      <c r="D171" t="inlineStr">
        <is>
          <t>STOCKHOLMS LÄN</t>
        </is>
      </c>
      <c r="E171" t="inlineStr">
        <is>
          <t>NORRTÄLJE</t>
        </is>
      </c>
      <c r="G171" t="n">
        <v>0.3</v>
      </c>
      <c r="H171" t="n">
        <v>0</v>
      </c>
      <c r="I171" t="n">
        <v>0</v>
      </c>
      <c r="J171" t="n">
        <v>0</v>
      </c>
      <c r="K171" t="n">
        <v>0</v>
      </c>
      <c r="L171" t="n">
        <v>0</v>
      </c>
      <c r="M171" t="n">
        <v>0</v>
      </c>
      <c r="N171" t="n">
        <v>0</v>
      </c>
      <c r="O171" t="n">
        <v>0</v>
      </c>
      <c r="P171" t="n">
        <v>0</v>
      </c>
      <c r="Q171" t="n">
        <v>0</v>
      </c>
      <c r="R171" s="2" t="inlineStr"/>
    </row>
    <row r="172" ht="15" customHeight="1">
      <c r="A172" t="inlineStr">
        <is>
          <t>A 12816-2022</t>
        </is>
      </c>
      <c r="B172" s="1" t="n">
        <v>44642</v>
      </c>
      <c r="C172" s="1" t="n">
        <v>45994</v>
      </c>
      <c r="D172" t="inlineStr">
        <is>
          <t>STOCKHOLMS LÄN</t>
        </is>
      </c>
      <c r="E172" t="inlineStr">
        <is>
          <t>NORRTÄLJE</t>
        </is>
      </c>
      <c r="G172" t="n">
        <v>4.4</v>
      </c>
      <c r="H172" t="n">
        <v>0</v>
      </c>
      <c r="I172" t="n">
        <v>0</v>
      </c>
      <c r="J172" t="n">
        <v>0</v>
      </c>
      <c r="K172" t="n">
        <v>0</v>
      </c>
      <c r="L172" t="n">
        <v>0</v>
      </c>
      <c r="M172" t="n">
        <v>0</v>
      </c>
      <c r="N172" t="n">
        <v>0</v>
      </c>
      <c r="O172" t="n">
        <v>0</v>
      </c>
      <c r="P172" t="n">
        <v>0</v>
      </c>
      <c r="Q172" t="n">
        <v>0</v>
      </c>
      <c r="R172" s="2" t="inlineStr"/>
    </row>
    <row r="173" ht="15" customHeight="1">
      <c r="A173" t="inlineStr">
        <is>
          <t>A 31807-2022</t>
        </is>
      </c>
      <c r="B173" s="1" t="n">
        <v>44776</v>
      </c>
      <c r="C173" s="1" t="n">
        <v>45994</v>
      </c>
      <c r="D173" t="inlineStr">
        <is>
          <t>STOCKHOLMS LÄN</t>
        </is>
      </c>
      <c r="E173" t="inlineStr">
        <is>
          <t>NORRTÄLJE</t>
        </is>
      </c>
      <c r="G173" t="n">
        <v>2.5</v>
      </c>
      <c r="H173" t="n">
        <v>0</v>
      </c>
      <c r="I173" t="n">
        <v>0</v>
      </c>
      <c r="J173" t="n">
        <v>0</v>
      </c>
      <c r="K173" t="n">
        <v>0</v>
      </c>
      <c r="L173" t="n">
        <v>0</v>
      </c>
      <c r="M173" t="n">
        <v>0</v>
      </c>
      <c r="N173" t="n">
        <v>0</v>
      </c>
      <c r="O173" t="n">
        <v>0</v>
      </c>
      <c r="P173" t="n">
        <v>0</v>
      </c>
      <c r="Q173" t="n">
        <v>0</v>
      </c>
      <c r="R173" s="2" t="inlineStr"/>
    </row>
    <row r="174" ht="15" customHeight="1">
      <c r="A174" t="inlineStr">
        <is>
          <t>A 28209-2022</t>
        </is>
      </c>
      <c r="B174" s="1" t="n">
        <v>44746</v>
      </c>
      <c r="C174" s="1" t="n">
        <v>45994</v>
      </c>
      <c r="D174" t="inlineStr">
        <is>
          <t>STOCKHOLMS LÄN</t>
        </is>
      </c>
      <c r="E174" t="inlineStr">
        <is>
          <t>NORRTÄLJE</t>
        </is>
      </c>
      <c r="G174" t="n">
        <v>0.6</v>
      </c>
      <c r="H174" t="n">
        <v>0</v>
      </c>
      <c r="I174" t="n">
        <v>0</v>
      </c>
      <c r="J174" t="n">
        <v>0</v>
      </c>
      <c r="K174" t="n">
        <v>0</v>
      </c>
      <c r="L174" t="n">
        <v>0</v>
      </c>
      <c r="M174" t="n">
        <v>0</v>
      </c>
      <c r="N174" t="n">
        <v>0</v>
      </c>
      <c r="O174" t="n">
        <v>0</v>
      </c>
      <c r="P174" t="n">
        <v>0</v>
      </c>
      <c r="Q174" t="n">
        <v>0</v>
      </c>
      <c r="R174" s="2" t="inlineStr"/>
    </row>
    <row r="175" ht="15" customHeight="1">
      <c r="A175" t="inlineStr">
        <is>
          <t>A 66907-2020</t>
        </is>
      </c>
      <c r="B175" s="1" t="n">
        <v>44176</v>
      </c>
      <c r="C175" s="1" t="n">
        <v>45994</v>
      </c>
      <c r="D175" t="inlineStr">
        <is>
          <t>STOCKHOLMS LÄN</t>
        </is>
      </c>
      <c r="E175" t="inlineStr">
        <is>
          <t>NORRTÄLJE</t>
        </is>
      </c>
      <c r="G175" t="n">
        <v>1.7</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45994</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18609-2021</t>
        </is>
      </c>
      <c r="B177" s="1" t="n">
        <v>44306</v>
      </c>
      <c r="C177" s="1" t="n">
        <v>45994</v>
      </c>
      <c r="D177" t="inlineStr">
        <is>
          <t>STOCKHOLMS LÄN</t>
        </is>
      </c>
      <c r="E177" t="inlineStr">
        <is>
          <t>NORRTÄLJE</t>
        </is>
      </c>
      <c r="G177" t="n">
        <v>9.5</v>
      </c>
      <c r="H177" t="n">
        <v>0</v>
      </c>
      <c r="I177" t="n">
        <v>0</v>
      </c>
      <c r="J177" t="n">
        <v>0</v>
      </c>
      <c r="K177" t="n">
        <v>0</v>
      </c>
      <c r="L177" t="n">
        <v>0</v>
      </c>
      <c r="M177" t="n">
        <v>0</v>
      </c>
      <c r="N177" t="n">
        <v>0</v>
      </c>
      <c r="O177" t="n">
        <v>0</v>
      </c>
      <c r="P177" t="n">
        <v>0</v>
      </c>
      <c r="Q177" t="n">
        <v>0</v>
      </c>
      <c r="R177" s="2" t="inlineStr"/>
    </row>
    <row r="178" ht="15" customHeight="1">
      <c r="A178" t="inlineStr">
        <is>
          <t>A 24534-2022</t>
        </is>
      </c>
      <c r="B178" s="1" t="n">
        <v>44727</v>
      </c>
      <c r="C178" s="1" t="n">
        <v>45994</v>
      </c>
      <c r="D178" t="inlineStr">
        <is>
          <t>STOCKHOLMS LÄN</t>
        </is>
      </c>
      <c r="E178" t="inlineStr">
        <is>
          <t>NORRTÄLJE</t>
        </is>
      </c>
      <c r="G178" t="n">
        <v>2.8</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45994</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45994</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45994</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60186-2021</t>
        </is>
      </c>
      <c r="B182" s="1" t="n">
        <v>44495</v>
      </c>
      <c r="C182" s="1" t="n">
        <v>45994</v>
      </c>
      <c r="D182" t="inlineStr">
        <is>
          <t>STOCKHOLMS LÄN</t>
        </is>
      </c>
      <c r="E182" t="inlineStr">
        <is>
          <t>NORRTÄLJE</t>
        </is>
      </c>
      <c r="G182" t="n">
        <v>1.7</v>
      </c>
      <c r="H182" t="n">
        <v>0</v>
      </c>
      <c r="I182" t="n">
        <v>0</v>
      </c>
      <c r="J182" t="n">
        <v>0</v>
      </c>
      <c r="K182" t="n">
        <v>0</v>
      </c>
      <c r="L182" t="n">
        <v>0</v>
      </c>
      <c r="M182" t="n">
        <v>0</v>
      </c>
      <c r="N182" t="n">
        <v>0</v>
      </c>
      <c r="O182" t="n">
        <v>0</v>
      </c>
      <c r="P182" t="n">
        <v>0</v>
      </c>
      <c r="Q182" t="n">
        <v>0</v>
      </c>
      <c r="R182" s="2" t="inlineStr"/>
    </row>
    <row r="183" ht="15" customHeight="1">
      <c r="A183" t="inlineStr">
        <is>
          <t>A 28959-2022</t>
        </is>
      </c>
      <c r="B183" s="1" t="n">
        <v>44749.61980324074</v>
      </c>
      <c r="C183" s="1" t="n">
        <v>45994</v>
      </c>
      <c r="D183" t="inlineStr">
        <is>
          <t>STOCKHOLMS LÄN</t>
        </is>
      </c>
      <c r="E183" t="inlineStr">
        <is>
          <t>NORRTÄLJE</t>
        </is>
      </c>
      <c r="G183" t="n">
        <v>5.2</v>
      </c>
      <c r="H183" t="n">
        <v>0</v>
      </c>
      <c r="I183" t="n">
        <v>0</v>
      </c>
      <c r="J183" t="n">
        <v>0</v>
      </c>
      <c r="K183" t="n">
        <v>0</v>
      </c>
      <c r="L183" t="n">
        <v>0</v>
      </c>
      <c r="M183" t="n">
        <v>0</v>
      </c>
      <c r="N183" t="n">
        <v>0</v>
      </c>
      <c r="O183" t="n">
        <v>0</v>
      </c>
      <c r="P183" t="n">
        <v>0</v>
      </c>
      <c r="Q183" t="n">
        <v>0</v>
      </c>
      <c r="R183" s="2" t="inlineStr"/>
    </row>
    <row r="184" ht="15" customHeight="1">
      <c r="A184" t="inlineStr">
        <is>
          <t>A 54340-2022</t>
        </is>
      </c>
      <c r="B184" s="1" t="n">
        <v>44882.44732638889</v>
      </c>
      <c r="C184" s="1" t="n">
        <v>45994</v>
      </c>
      <c r="D184" t="inlineStr">
        <is>
          <t>STOCKHOLMS LÄN</t>
        </is>
      </c>
      <c r="E184" t="inlineStr">
        <is>
          <t>NORRTÄLJE</t>
        </is>
      </c>
      <c r="G184" t="n">
        <v>6.7</v>
      </c>
      <c r="H184" t="n">
        <v>0</v>
      </c>
      <c r="I184" t="n">
        <v>0</v>
      </c>
      <c r="J184" t="n">
        <v>0</v>
      </c>
      <c r="K184" t="n">
        <v>0</v>
      </c>
      <c r="L184" t="n">
        <v>0</v>
      </c>
      <c r="M184" t="n">
        <v>0</v>
      </c>
      <c r="N184" t="n">
        <v>0</v>
      </c>
      <c r="O184" t="n">
        <v>0</v>
      </c>
      <c r="P184" t="n">
        <v>0</v>
      </c>
      <c r="Q184" t="n">
        <v>0</v>
      </c>
      <c r="R184" s="2" t="inlineStr"/>
    </row>
    <row r="185" ht="15" customHeight="1">
      <c r="A185" t="inlineStr">
        <is>
          <t>A 54355-2022</t>
        </is>
      </c>
      <c r="B185" s="1" t="n">
        <v>44882</v>
      </c>
      <c r="C185" s="1" t="n">
        <v>45994</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72308-2021</t>
        </is>
      </c>
      <c r="B186" s="1" t="n">
        <v>44545.4189699074</v>
      </c>
      <c r="C186" s="1" t="n">
        <v>45994</v>
      </c>
      <c r="D186" t="inlineStr">
        <is>
          <t>STOCKHOLMS LÄN</t>
        </is>
      </c>
      <c r="E186" t="inlineStr">
        <is>
          <t>NORRTÄLJE</t>
        </is>
      </c>
      <c r="G186" t="n">
        <v>1.1</v>
      </c>
      <c r="H186" t="n">
        <v>0</v>
      </c>
      <c r="I186" t="n">
        <v>0</v>
      </c>
      <c r="J186" t="n">
        <v>0</v>
      </c>
      <c r="K186" t="n">
        <v>0</v>
      </c>
      <c r="L186" t="n">
        <v>0</v>
      </c>
      <c r="M186" t="n">
        <v>0</v>
      </c>
      <c r="N186" t="n">
        <v>0</v>
      </c>
      <c r="O186" t="n">
        <v>0</v>
      </c>
      <c r="P186" t="n">
        <v>0</v>
      </c>
      <c r="Q186" t="n">
        <v>0</v>
      </c>
      <c r="R186" s="2" t="inlineStr"/>
    </row>
    <row r="187" ht="15" customHeight="1">
      <c r="A187" t="inlineStr">
        <is>
          <t>A 14381-2021</t>
        </is>
      </c>
      <c r="B187" s="1" t="n">
        <v>44279</v>
      </c>
      <c r="C187" s="1" t="n">
        <v>45994</v>
      </c>
      <c r="D187" t="inlineStr">
        <is>
          <t>STOCKHOLMS LÄN</t>
        </is>
      </c>
      <c r="E187" t="inlineStr">
        <is>
          <t>NORRTÄLJE</t>
        </is>
      </c>
      <c r="G187" t="n">
        <v>0.9</v>
      </c>
      <c r="H187" t="n">
        <v>0</v>
      </c>
      <c r="I187" t="n">
        <v>0</v>
      </c>
      <c r="J187" t="n">
        <v>0</v>
      </c>
      <c r="K187" t="n">
        <v>0</v>
      </c>
      <c r="L187" t="n">
        <v>0</v>
      </c>
      <c r="M187" t="n">
        <v>0</v>
      </c>
      <c r="N187" t="n">
        <v>0</v>
      </c>
      <c r="O187" t="n">
        <v>0</v>
      </c>
      <c r="P187" t="n">
        <v>0</v>
      </c>
      <c r="Q187" t="n">
        <v>0</v>
      </c>
      <c r="R187" s="2" t="inlineStr"/>
    </row>
    <row r="188" ht="15" customHeight="1">
      <c r="A188" t="inlineStr">
        <is>
          <t>A 17703-2021</t>
        </is>
      </c>
      <c r="B188" s="1" t="n">
        <v>44300</v>
      </c>
      <c r="C188" s="1" t="n">
        <v>45994</v>
      </c>
      <c r="D188" t="inlineStr">
        <is>
          <t>STOCKHOLMS LÄN</t>
        </is>
      </c>
      <c r="E188" t="inlineStr">
        <is>
          <t>NORRTÄLJE</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45994</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23770-2022</t>
        </is>
      </c>
      <c r="B190" s="1" t="n">
        <v>44722</v>
      </c>
      <c r="C190" s="1" t="n">
        <v>45994</v>
      </c>
      <c r="D190" t="inlineStr">
        <is>
          <t>STOCKHOLMS LÄN</t>
        </is>
      </c>
      <c r="E190" t="inlineStr">
        <is>
          <t>NORRTÄLJE</t>
        </is>
      </c>
      <c r="G190" t="n">
        <v>1.6</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45994</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45994</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45994</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16668-2021</t>
        </is>
      </c>
      <c r="B194" s="1" t="n">
        <v>44294</v>
      </c>
      <c r="C194" s="1" t="n">
        <v>45994</v>
      </c>
      <c r="D194" t="inlineStr">
        <is>
          <t>STOCKHOLMS LÄN</t>
        </is>
      </c>
      <c r="E194" t="inlineStr">
        <is>
          <t>NORRTÄLJE</t>
        </is>
      </c>
      <c r="G194" t="n">
        <v>1.7</v>
      </c>
      <c r="H194" t="n">
        <v>0</v>
      </c>
      <c r="I194" t="n">
        <v>0</v>
      </c>
      <c r="J194" t="n">
        <v>0</v>
      </c>
      <c r="K194" t="n">
        <v>0</v>
      </c>
      <c r="L194" t="n">
        <v>0</v>
      </c>
      <c r="M194" t="n">
        <v>0</v>
      </c>
      <c r="N194" t="n">
        <v>0</v>
      </c>
      <c r="O194" t="n">
        <v>0</v>
      </c>
      <c r="P194" t="n">
        <v>0</v>
      </c>
      <c r="Q194" t="n">
        <v>0</v>
      </c>
      <c r="R194" s="2" t="inlineStr"/>
    </row>
    <row r="195" ht="15" customHeight="1">
      <c r="A195" t="inlineStr">
        <is>
          <t>A 23122-2021</t>
        </is>
      </c>
      <c r="B195" s="1" t="n">
        <v>44330</v>
      </c>
      <c r="C195" s="1" t="n">
        <v>45994</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23123-2021</t>
        </is>
      </c>
      <c r="B196" s="1" t="n">
        <v>44330</v>
      </c>
      <c r="C196" s="1" t="n">
        <v>45994</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45994</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26328-2022</t>
        </is>
      </c>
      <c r="B198" s="1" t="n">
        <v>44735</v>
      </c>
      <c r="C198" s="1" t="n">
        <v>45994</v>
      </c>
      <c r="D198" t="inlineStr">
        <is>
          <t>STOCKHOLMS LÄN</t>
        </is>
      </c>
      <c r="E198" t="inlineStr">
        <is>
          <t>NORRTÄLJE</t>
        </is>
      </c>
      <c r="G198" t="n">
        <v>2.8</v>
      </c>
      <c r="H198" t="n">
        <v>0</v>
      </c>
      <c r="I198" t="n">
        <v>0</v>
      </c>
      <c r="J198" t="n">
        <v>0</v>
      </c>
      <c r="K198" t="n">
        <v>0</v>
      </c>
      <c r="L198" t="n">
        <v>0</v>
      </c>
      <c r="M198" t="n">
        <v>0</v>
      </c>
      <c r="N198" t="n">
        <v>0</v>
      </c>
      <c r="O198" t="n">
        <v>0</v>
      </c>
      <c r="P198" t="n">
        <v>0</v>
      </c>
      <c r="Q198" t="n">
        <v>0</v>
      </c>
      <c r="R198" s="2" t="inlineStr"/>
    </row>
    <row r="199" ht="15" customHeight="1">
      <c r="A199" t="inlineStr">
        <is>
          <t>A 66372-2020</t>
        </is>
      </c>
      <c r="B199" s="1" t="n">
        <v>44176</v>
      </c>
      <c r="C199" s="1" t="n">
        <v>45994</v>
      </c>
      <c r="D199" t="inlineStr">
        <is>
          <t>STOCKHOLMS LÄN</t>
        </is>
      </c>
      <c r="E199" t="inlineStr">
        <is>
          <t>NORRTÄLJE</t>
        </is>
      </c>
      <c r="G199" t="n">
        <v>1.3</v>
      </c>
      <c r="H199" t="n">
        <v>0</v>
      </c>
      <c r="I199" t="n">
        <v>0</v>
      </c>
      <c r="J199" t="n">
        <v>0</v>
      </c>
      <c r="K199" t="n">
        <v>0</v>
      </c>
      <c r="L199" t="n">
        <v>0</v>
      </c>
      <c r="M199" t="n">
        <v>0</v>
      </c>
      <c r="N199" t="n">
        <v>0</v>
      </c>
      <c r="O199" t="n">
        <v>0</v>
      </c>
      <c r="P199" t="n">
        <v>0</v>
      </c>
      <c r="Q199" t="n">
        <v>0</v>
      </c>
      <c r="R199" s="2" t="inlineStr"/>
    </row>
    <row r="200" ht="15" customHeight="1">
      <c r="A200" t="inlineStr">
        <is>
          <t>A 30129-2021</t>
        </is>
      </c>
      <c r="B200" s="1" t="n">
        <v>44363.5784375</v>
      </c>
      <c r="C200" s="1" t="n">
        <v>45994</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45994</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22316-2022</t>
        </is>
      </c>
      <c r="B202" s="1" t="n">
        <v>44712.83118055556</v>
      </c>
      <c r="C202" s="1" t="n">
        <v>45994</v>
      </c>
      <c r="D202" t="inlineStr">
        <is>
          <t>STOCKHOLMS LÄN</t>
        </is>
      </c>
      <c r="E202" t="inlineStr">
        <is>
          <t>NORRTÄLJE</t>
        </is>
      </c>
      <c r="G202" t="n">
        <v>6.3</v>
      </c>
      <c r="H202" t="n">
        <v>0</v>
      </c>
      <c r="I202" t="n">
        <v>0</v>
      </c>
      <c r="J202" t="n">
        <v>0</v>
      </c>
      <c r="K202" t="n">
        <v>0</v>
      </c>
      <c r="L202" t="n">
        <v>0</v>
      </c>
      <c r="M202" t="n">
        <v>0</v>
      </c>
      <c r="N202" t="n">
        <v>0</v>
      </c>
      <c r="O202" t="n">
        <v>0</v>
      </c>
      <c r="P202" t="n">
        <v>0</v>
      </c>
      <c r="Q202" t="n">
        <v>0</v>
      </c>
      <c r="R202" s="2" t="inlineStr"/>
    </row>
    <row r="203" ht="15" customHeight="1">
      <c r="A203" t="inlineStr">
        <is>
          <t>A 47349-2021</t>
        </is>
      </c>
      <c r="B203" s="1" t="n">
        <v>44447</v>
      </c>
      <c r="C203" s="1" t="n">
        <v>45994</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31092-2022</t>
        </is>
      </c>
      <c r="B204" s="1" t="n">
        <v>44769.62320601852</v>
      </c>
      <c r="C204" s="1" t="n">
        <v>45994</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16119-2022</t>
        </is>
      </c>
      <c r="B205" s="1" t="n">
        <v>44665.66407407408</v>
      </c>
      <c r="C205" s="1" t="n">
        <v>45994</v>
      </c>
      <c r="D205" t="inlineStr">
        <is>
          <t>STOCKHOLMS LÄN</t>
        </is>
      </c>
      <c r="E205" t="inlineStr">
        <is>
          <t>NORRTÄLJE</t>
        </is>
      </c>
      <c r="G205" t="n">
        <v>3.9</v>
      </c>
      <c r="H205" t="n">
        <v>0</v>
      </c>
      <c r="I205" t="n">
        <v>0</v>
      </c>
      <c r="J205" t="n">
        <v>0</v>
      </c>
      <c r="K205" t="n">
        <v>0</v>
      </c>
      <c r="L205" t="n">
        <v>0</v>
      </c>
      <c r="M205" t="n">
        <v>0</v>
      </c>
      <c r="N205" t="n">
        <v>0</v>
      </c>
      <c r="O205" t="n">
        <v>0</v>
      </c>
      <c r="P205" t="n">
        <v>0</v>
      </c>
      <c r="Q205" t="n">
        <v>0</v>
      </c>
      <c r="R205" s="2" t="inlineStr"/>
    </row>
    <row r="206" ht="15" customHeight="1">
      <c r="A206" t="inlineStr">
        <is>
          <t>A 31924-2022</t>
        </is>
      </c>
      <c r="B206" s="1" t="n">
        <v>44777</v>
      </c>
      <c r="C206" s="1" t="n">
        <v>45994</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36565-2021</t>
        </is>
      </c>
      <c r="B207" s="1" t="n">
        <v>44391.5580787037</v>
      </c>
      <c r="C207" s="1" t="n">
        <v>45994</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12270-2022</t>
        </is>
      </c>
      <c r="B208" s="1" t="n">
        <v>44637</v>
      </c>
      <c r="C208" s="1" t="n">
        <v>45994</v>
      </c>
      <c r="D208" t="inlineStr">
        <is>
          <t>STOCKHOLMS LÄN</t>
        </is>
      </c>
      <c r="E208" t="inlineStr">
        <is>
          <t>NORRTÄLJE</t>
        </is>
      </c>
      <c r="G208" t="n">
        <v>2.3</v>
      </c>
      <c r="H208" t="n">
        <v>0</v>
      </c>
      <c r="I208" t="n">
        <v>0</v>
      </c>
      <c r="J208" t="n">
        <v>0</v>
      </c>
      <c r="K208" t="n">
        <v>0</v>
      </c>
      <c r="L208" t="n">
        <v>0</v>
      </c>
      <c r="M208" t="n">
        <v>0</v>
      </c>
      <c r="N208" t="n">
        <v>0</v>
      </c>
      <c r="O208" t="n">
        <v>0</v>
      </c>
      <c r="P208" t="n">
        <v>0</v>
      </c>
      <c r="Q208" t="n">
        <v>0</v>
      </c>
      <c r="R208" s="2" t="inlineStr"/>
    </row>
    <row r="209" ht="15" customHeight="1">
      <c r="A209" t="inlineStr">
        <is>
          <t>A 44274-2021</t>
        </is>
      </c>
      <c r="B209" s="1" t="n">
        <v>44435</v>
      </c>
      <c r="C209" s="1" t="n">
        <v>45994</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14543-2022</t>
        </is>
      </c>
      <c r="B210" s="1" t="n">
        <v>44655.45373842592</v>
      </c>
      <c r="C210" s="1" t="n">
        <v>45994</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15441-2021</t>
        </is>
      </c>
      <c r="B211" s="1" t="n">
        <v>44284</v>
      </c>
      <c r="C211" s="1" t="n">
        <v>45994</v>
      </c>
      <c r="D211" t="inlineStr">
        <is>
          <t>STOCKHOLMS LÄN</t>
        </is>
      </c>
      <c r="E211" t="inlineStr">
        <is>
          <t>NORRTÄLJE</t>
        </is>
      </c>
      <c r="G211" t="n">
        <v>27</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45994</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71871-2021</t>
        </is>
      </c>
      <c r="B213" s="1" t="n">
        <v>44543</v>
      </c>
      <c r="C213" s="1" t="n">
        <v>45994</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71873-2021</t>
        </is>
      </c>
      <c r="B214" s="1" t="n">
        <v>44543</v>
      </c>
      <c r="C214" s="1" t="n">
        <v>45994</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67598-2021</t>
        </is>
      </c>
      <c r="B215" s="1" t="n">
        <v>44524</v>
      </c>
      <c r="C215" s="1" t="n">
        <v>45994</v>
      </c>
      <c r="D215" t="inlineStr">
        <is>
          <t>STOCKHOLMS LÄN</t>
        </is>
      </c>
      <c r="E215" t="inlineStr">
        <is>
          <t>NORRTÄLJE</t>
        </is>
      </c>
      <c r="G215" t="n">
        <v>1.2</v>
      </c>
      <c r="H215" t="n">
        <v>0</v>
      </c>
      <c r="I215" t="n">
        <v>0</v>
      </c>
      <c r="J215" t="n">
        <v>0</v>
      </c>
      <c r="K215" t="n">
        <v>0</v>
      </c>
      <c r="L215" t="n">
        <v>0</v>
      </c>
      <c r="M215" t="n">
        <v>0</v>
      </c>
      <c r="N215" t="n">
        <v>0</v>
      </c>
      <c r="O215" t="n">
        <v>0</v>
      </c>
      <c r="P215" t="n">
        <v>0</v>
      </c>
      <c r="Q215" t="n">
        <v>0</v>
      </c>
      <c r="R215" s="2" t="inlineStr"/>
    </row>
    <row r="216" ht="15" customHeight="1">
      <c r="A216" t="inlineStr">
        <is>
          <t>A 34520-2021</t>
        </is>
      </c>
      <c r="B216" s="1" t="n">
        <v>44379</v>
      </c>
      <c r="C216" s="1" t="n">
        <v>45994</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50970-2022</t>
        </is>
      </c>
      <c r="B217" s="1" t="n">
        <v>44867</v>
      </c>
      <c r="C217" s="1" t="n">
        <v>45994</v>
      </c>
      <c r="D217" t="inlineStr">
        <is>
          <t>STOCKHOLMS LÄN</t>
        </is>
      </c>
      <c r="E217" t="inlineStr">
        <is>
          <t>NORRTÄLJE</t>
        </is>
      </c>
      <c r="G217" t="n">
        <v>9</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45994</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45994</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1968-2022</t>
        </is>
      </c>
      <c r="B220" s="1" t="n">
        <v>44575.52831018518</v>
      </c>
      <c r="C220" s="1" t="n">
        <v>45994</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49113-2021</t>
        </is>
      </c>
      <c r="B221" s="1" t="n">
        <v>44453</v>
      </c>
      <c r="C221" s="1" t="n">
        <v>45994</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45994</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45994</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64628-2021</t>
        </is>
      </c>
      <c r="B224" s="1" t="n">
        <v>44511</v>
      </c>
      <c r="C224" s="1" t="n">
        <v>45994</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60209-2021</t>
        </is>
      </c>
      <c r="B225" s="1" t="n">
        <v>44495</v>
      </c>
      <c r="C225" s="1" t="n">
        <v>45994</v>
      </c>
      <c r="D225" t="inlineStr">
        <is>
          <t>STOCKHOLMS LÄN</t>
        </is>
      </c>
      <c r="E225" t="inlineStr">
        <is>
          <t>NORRTÄLJE</t>
        </is>
      </c>
      <c r="G225" t="n">
        <v>4.3</v>
      </c>
      <c r="H225" t="n">
        <v>0</v>
      </c>
      <c r="I225" t="n">
        <v>0</v>
      </c>
      <c r="J225" t="n">
        <v>0</v>
      </c>
      <c r="K225" t="n">
        <v>0</v>
      </c>
      <c r="L225" t="n">
        <v>0</v>
      </c>
      <c r="M225" t="n">
        <v>0</v>
      </c>
      <c r="N225" t="n">
        <v>0</v>
      </c>
      <c r="O225" t="n">
        <v>0</v>
      </c>
      <c r="P225" t="n">
        <v>0</v>
      </c>
      <c r="Q225" t="n">
        <v>0</v>
      </c>
      <c r="R225" s="2" t="inlineStr"/>
    </row>
    <row r="226" ht="15" customHeight="1">
      <c r="A226" t="inlineStr">
        <is>
          <t>A 1229-2022</t>
        </is>
      </c>
      <c r="B226" s="1" t="n">
        <v>44572</v>
      </c>
      <c r="C226" s="1" t="n">
        <v>45994</v>
      </c>
      <c r="D226" t="inlineStr">
        <is>
          <t>STOCKHOLMS LÄN</t>
        </is>
      </c>
      <c r="E226" t="inlineStr">
        <is>
          <t>NORRTÄLJE</t>
        </is>
      </c>
      <c r="G226" t="n">
        <v>11.5</v>
      </c>
      <c r="H226" t="n">
        <v>0</v>
      </c>
      <c r="I226" t="n">
        <v>0</v>
      </c>
      <c r="J226" t="n">
        <v>0</v>
      </c>
      <c r="K226" t="n">
        <v>0</v>
      </c>
      <c r="L226" t="n">
        <v>0</v>
      </c>
      <c r="M226" t="n">
        <v>0</v>
      </c>
      <c r="N226" t="n">
        <v>0</v>
      </c>
      <c r="O226" t="n">
        <v>0</v>
      </c>
      <c r="P226" t="n">
        <v>0</v>
      </c>
      <c r="Q226" t="n">
        <v>0</v>
      </c>
      <c r="R226" s="2" t="inlineStr"/>
    </row>
    <row r="227" ht="15" customHeight="1">
      <c r="A227" t="inlineStr">
        <is>
          <t>A 17803-2022</t>
        </is>
      </c>
      <c r="B227" s="1" t="n">
        <v>44683</v>
      </c>
      <c r="C227" s="1" t="n">
        <v>45994</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348-2021</t>
        </is>
      </c>
      <c r="B228" s="1" t="n">
        <v>44201</v>
      </c>
      <c r="C228" s="1" t="n">
        <v>45994</v>
      </c>
      <c r="D228" t="inlineStr">
        <is>
          <t>STOCKHOLMS LÄN</t>
        </is>
      </c>
      <c r="E228" t="inlineStr">
        <is>
          <t>NORRTÄLJE</t>
        </is>
      </c>
      <c r="G228" t="n">
        <v>0.1</v>
      </c>
      <c r="H228" t="n">
        <v>0</v>
      </c>
      <c r="I228" t="n">
        <v>0</v>
      </c>
      <c r="J228" t="n">
        <v>0</v>
      </c>
      <c r="K228" t="n">
        <v>0</v>
      </c>
      <c r="L228" t="n">
        <v>0</v>
      </c>
      <c r="M228" t="n">
        <v>0</v>
      </c>
      <c r="N228" t="n">
        <v>0</v>
      </c>
      <c r="O228" t="n">
        <v>0</v>
      </c>
      <c r="P228" t="n">
        <v>0</v>
      </c>
      <c r="Q228" t="n">
        <v>0</v>
      </c>
      <c r="R228" s="2" t="inlineStr"/>
    </row>
    <row r="229" ht="15" customHeight="1">
      <c r="A229" t="inlineStr">
        <is>
          <t>A 367-2021</t>
        </is>
      </c>
      <c r="B229" s="1" t="n">
        <v>44201</v>
      </c>
      <c r="C229" s="1" t="n">
        <v>45994</v>
      </c>
      <c r="D229" t="inlineStr">
        <is>
          <t>STOCKHOLMS LÄN</t>
        </is>
      </c>
      <c r="E229" t="inlineStr">
        <is>
          <t>NORRTÄLJE</t>
        </is>
      </c>
      <c r="G229" t="n">
        <v>0.1</v>
      </c>
      <c r="H229" t="n">
        <v>0</v>
      </c>
      <c r="I229" t="n">
        <v>0</v>
      </c>
      <c r="J229" t="n">
        <v>0</v>
      </c>
      <c r="K229" t="n">
        <v>0</v>
      </c>
      <c r="L229" t="n">
        <v>0</v>
      </c>
      <c r="M229" t="n">
        <v>0</v>
      </c>
      <c r="N229" t="n">
        <v>0</v>
      </c>
      <c r="O229" t="n">
        <v>0</v>
      </c>
      <c r="P229" t="n">
        <v>0</v>
      </c>
      <c r="Q229" t="n">
        <v>0</v>
      </c>
      <c r="R229" s="2" t="inlineStr"/>
    </row>
    <row r="230" ht="15" customHeight="1">
      <c r="A230" t="inlineStr">
        <is>
          <t>A 14051-2022</t>
        </is>
      </c>
      <c r="B230" s="1" t="n">
        <v>44650.92714120371</v>
      </c>
      <c r="C230" s="1" t="n">
        <v>45994</v>
      </c>
      <c r="D230" t="inlineStr">
        <is>
          <t>STOCKHOLMS LÄN</t>
        </is>
      </c>
      <c r="E230" t="inlineStr">
        <is>
          <t>NORRTÄLJE</t>
        </is>
      </c>
      <c r="G230" t="n">
        <v>2.3</v>
      </c>
      <c r="H230" t="n">
        <v>0</v>
      </c>
      <c r="I230" t="n">
        <v>0</v>
      </c>
      <c r="J230" t="n">
        <v>0</v>
      </c>
      <c r="K230" t="n">
        <v>0</v>
      </c>
      <c r="L230" t="n">
        <v>0</v>
      </c>
      <c r="M230" t="n">
        <v>0</v>
      </c>
      <c r="N230" t="n">
        <v>0</v>
      </c>
      <c r="O230" t="n">
        <v>0</v>
      </c>
      <c r="P230" t="n">
        <v>0</v>
      </c>
      <c r="Q230" t="n">
        <v>0</v>
      </c>
      <c r="R230" s="2" t="inlineStr"/>
    </row>
    <row r="231" ht="15" customHeight="1">
      <c r="A231" t="inlineStr">
        <is>
          <t>A 32561-2021</t>
        </is>
      </c>
      <c r="B231" s="1" t="n">
        <v>44375</v>
      </c>
      <c r="C231" s="1" t="n">
        <v>45994</v>
      </c>
      <c r="D231" t="inlineStr">
        <is>
          <t>STOCKHOLMS LÄN</t>
        </is>
      </c>
      <c r="E231" t="inlineStr">
        <is>
          <t>NORRTÄLJE</t>
        </is>
      </c>
      <c r="G231" t="n">
        <v>3.4</v>
      </c>
      <c r="H231" t="n">
        <v>0</v>
      </c>
      <c r="I231" t="n">
        <v>0</v>
      </c>
      <c r="J231" t="n">
        <v>0</v>
      </c>
      <c r="K231" t="n">
        <v>0</v>
      </c>
      <c r="L231" t="n">
        <v>0</v>
      </c>
      <c r="M231" t="n">
        <v>0</v>
      </c>
      <c r="N231" t="n">
        <v>0</v>
      </c>
      <c r="O231" t="n">
        <v>0</v>
      </c>
      <c r="P231" t="n">
        <v>0</v>
      </c>
      <c r="Q231" t="n">
        <v>0</v>
      </c>
      <c r="R231" s="2" t="inlineStr"/>
    </row>
    <row r="232" ht="15" customHeight="1">
      <c r="A232" t="inlineStr">
        <is>
          <t>A 53884-2022</t>
        </is>
      </c>
      <c r="B232" s="1" t="n">
        <v>44880.68423611111</v>
      </c>
      <c r="C232" s="1" t="n">
        <v>45994</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71325-2021</t>
        </is>
      </c>
      <c r="B233" s="1" t="n">
        <v>44539</v>
      </c>
      <c r="C233" s="1" t="n">
        <v>45994</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12357-2022</t>
        </is>
      </c>
      <c r="B234" s="1" t="n">
        <v>44637</v>
      </c>
      <c r="C234" s="1" t="n">
        <v>45994</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26335-2022</t>
        </is>
      </c>
      <c r="B235" s="1" t="n">
        <v>44735</v>
      </c>
      <c r="C235" s="1" t="n">
        <v>45994</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65611-2021</t>
        </is>
      </c>
      <c r="B236" s="1" t="n">
        <v>44516.5275462963</v>
      </c>
      <c r="C236" s="1" t="n">
        <v>45994</v>
      </c>
      <c r="D236" t="inlineStr">
        <is>
          <t>STOCKHOLMS LÄN</t>
        </is>
      </c>
      <c r="E236" t="inlineStr">
        <is>
          <t>NORRTÄLJE</t>
        </is>
      </c>
      <c r="G236" t="n">
        <v>2.5</v>
      </c>
      <c r="H236" t="n">
        <v>0</v>
      </c>
      <c r="I236" t="n">
        <v>0</v>
      </c>
      <c r="J236" t="n">
        <v>0</v>
      </c>
      <c r="K236" t="n">
        <v>0</v>
      </c>
      <c r="L236" t="n">
        <v>0</v>
      </c>
      <c r="M236" t="n">
        <v>0</v>
      </c>
      <c r="N236" t="n">
        <v>0</v>
      </c>
      <c r="O236" t="n">
        <v>0</v>
      </c>
      <c r="P236" t="n">
        <v>0</v>
      </c>
      <c r="Q236" t="n">
        <v>0</v>
      </c>
      <c r="R236" s="2" t="inlineStr"/>
    </row>
    <row r="237" ht="15" customHeight="1">
      <c r="A237" t="inlineStr">
        <is>
          <t>A 60813-2021</t>
        </is>
      </c>
      <c r="B237" s="1" t="n">
        <v>44496</v>
      </c>
      <c r="C237" s="1" t="n">
        <v>45994</v>
      </c>
      <c r="D237" t="inlineStr">
        <is>
          <t>STOCKHOLMS LÄN</t>
        </is>
      </c>
      <c r="E237" t="inlineStr">
        <is>
          <t>NORRTÄLJE</t>
        </is>
      </c>
      <c r="G237" t="n">
        <v>1.6</v>
      </c>
      <c r="H237" t="n">
        <v>0</v>
      </c>
      <c r="I237" t="n">
        <v>0</v>
      </c>
      <c r="J237" t="n">
        <v>0</v>
      </c>
      <c r="K237" t="n">
        <v>0</v>
      </c>
      <c r="L237" t="n">
        <v>0</v>
      </c>
      <c r="M237" t="n">
        <v>0</v>
      </c>
      <c r="N237" t="n">
        <v>0</v>
      </c>
      <c r="O237" t="n">
        <v>0</v>
      </c>
      <c r="P237" t="n">
        <v>0</v>
      </c>
      <c r="Q237" t="n">
        <v>0</v>
      </c>
      <c r="R237" s="2" t="inlineStr"/>
    </row>
    <row r="238" ht="15" customHeight="1">
      <c r="A238" t="inlineStr">
        <is>
          <t>A 24167-2022</t>
        </is>
      </c>
      <c r="B238" s="1" t="n">
        <v>44725.49491898148</v>
      </c>
      <c r="C238" s="1" t="n">
        <v>45994</v>
      </c>
      <c r="D238" t="inlineStr">
        <is>
          <t>STOCKHOLMS LÄN</t>
        </is>
      </c>
      <c r="E238" t="inlineStr">
        <is>
          <t>NORRTÄLJE</t>
        </is>
      </c>
      <c r="G238" t="n">
        <v>3.4</v>
      </c>
      <c r="H238" t="n">
        <v>0</v>
      </c>
      <c r="I238" t="n">
        <v>0</v>
      </c>
      <c r="J238" t="n">
        <v>0</v>
      </c>
      <c r="K238" t="n">
        <v>0</v>
      </c>
      <c r="L238" t="n">
        <v>0</v>
      </c>
      <c r="M238" t="n">
        <v>0</v>
      </c>
      <c r="N238" t="n">
        <v>0</v>
      </c>
      <c r="O238" t="n">
        <v>0</v>
      </c>
      <c r="P238" t="n">
        <v>0</v>
      </c>
      <c r="Q238" t="n">
        <v>0</v>
      </c>
      <c r="R238" s="2" t="inlineStr"/>
    </row>
    <row r="239" ht="15" customHeight="1">
      <c r="A239" t="inlineStr">
        <is>
          <t>A 42396-2021</t>
        </is>
      </c>
      <c r="B239" s="1" t="n">
        <v>44427</v>
      </c>
      <c r="C239" s="1" t="n">
        <v>45994</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30624-2022</t>
        </is>
      </c>
      <c r="B240" s="1" t="n">
        <v>44763.4182175926</v>
      </c>
      <c r="C240" s="1" t="n">
        <v>45994</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39497-2021</t>
        </is>
      </c>
      <c r="B241" s="1" t="n">
        <v>44414.81494212963</v>
      </c>
      <c r="C241" s="1" t="n">
        <v>45994</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17460-2021</t>
        </is>
      </c>
      <c r="B242" s="1" t="n">
        <v>44299</v>
      </c>
      <c r="C242" s="1" t="n">
        <v>45994</v>
      </c>
      <c r="D242" t="inlineStr">
        <is>
          <t>STOCKHOLMS LÄN</t>
        </is>
      </c>
      <c r="E242" t="inlineStr">
        <is>
          <t>NORRTÄLJE</t>
        </is>
      </c>
      <c r="G242" t="n">
        <v>3.2</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45994</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45994</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52449-2021</t>
        </is>
      </c>
      <c r="B245" s="1" t="n">
        <v>44466.37496527778</v>
      </c>
      <c r="C245" s="1" t="n">
        <v>45994</v>
      </c>
      <c r="D245" t="inlineStr">
        <is>
          <t>STOCKHOLMS LÄN</t>
        </is>
      </c>
      <c r="E245" t="inlineStr">
        <is>
          <t>NORRTÄLJE</t>
        </is>
      </c>
      <c r="F245" t="inlineStr">
        <is>
          <t>Holmen skog AB</t>
        </is>
      </c>
      <c r="G245" t="n">
        <v>1.8</v>
      </c>
      <c r="H245" t="n">
        <v>0</v>
      </c>
      <c r="I245" t="n">
        <v>0</v>
      </c>
      <c r="J245" t="n">
        <v>0</v>
      </c>
      <c r="K245" t="n">
        <v>0</v>
      </c>
      <c r="L245" t="n">
        <v>0</v>
      </c>
      <c r="M245" t="n">
        <v>0</v>
      </c>
      <c r="N245" t="n">
        <v>0</v>
      </c>
      <c r="O245" t="n">
        <v>0</v>
      </c>
      <c r="P245" t="n">
        <v>0</v>
      </c>
      <c r="Q245" t="n">
        <v>0</v>
      </c>
      <c r="R245" s="2" t="inlineStr"/>
    </row>
    <row r="246" ht="15" customHeight="1">
      <c r="A246" t="inlineStr">
        <is>
          <t>A 33046-2021</t>
        </is>
      </c>
      <c r="B246" s="1" t="n">
        <v>44376</v>
      </c>
      <c r="C246" s="1" t="n">
        <v>45994</v>
      </c>
      <c r="D246" t="inlineStr">
        <is>
          <t>STOCKHOLMS LÄN</t>
        </is>
      </c>
      <c r="E246" t="inlineStr">
        <is>
          <t>NORRTÄLJE</t>
        </is>
      </c>
      <c r="G246" t="n">
        <v>2.1</v>
      </c>
      <c r="H246" t="n">
        <v>0</v>
      </c>
      <c r="I246" t="n">
        <v>0</v>
      </c>
      <c r="J246" t="n">
        <v>0</v>
      </c>
      <c r="K246" t="n">
        <v>0</v>
      </c>
      <c r="L246" t="n">
        <v>0</v>
      </c>
      <c r="M246" t="n">
        <v>0</v>
      </c>
      <c r="N246" t="n">
        <v>0</v>
      </c>
      <c r="O246" t="n">
        <v>0</v>
      </c>
      <c r="P246" t="n">
        <v>0</v>
      </c>
      <c r="Q246" t="n">
        <v>0</v>
      </c>
      <c r="R246" s="2" t="inlineStr"/>
    </row>
    <row r="247" ht="15" customHeight="1">
      <c r="A247" t="inlineStr">
        <is>
          <t>A 34431-2021</t>
        </is>
      </c>
      <c r="B247" s="1" t="n">
        <v>44380</v>
      </c>
      <c r="C247" s="1" t="n">
        <v>45994</v>
      </c>
      <c r="D247" t="inlineStr">
        <is>
          <t>STOCKHOLMS LÄN</t>
        </is>
      </c>
      <c r="E247" t="inlineStr">
        <is>
          <t>NORRTÄLJE</t>
        </is>
      </c>
      <c r="G247" t="n">
        <v>3</v>
      </c>
      <c r="H247" t="n">
        <v>0</v>
      </c>
      <c r="I247" t="n">
        <v>0</v>
      </c>
      <c r="J247" t="n">
        <v>0</v>
      </c>
      <c r="K247" t="n">
        <v>0</v>
      </c>
      <c r="L247" t="n">
        <v>0</v>
      </c>
      <c r="M247" t="n">
        <v>0</v>
      </c>
      <c r="N247" t="n">
        <v>0</v>
      </c>
      <c r="O247" t="n">
        <v>0</v>
      </c>
      <c r="P247" t="n">
        <v>0</v>
      </c>
      <c r="Q247" t="n">
        <v>0</v>
      </c>
      <c r="R247" s="2" t="inlineStr"/>
    </row>
    <row r="248" ht="15" customHeight="1">
      <c r="A248" t="inlineStr">
        <is>
          <t>A 5562-2021</t>
        </is>
      </c>
      <c r="B248" s="1" t="n">
        <v>44230</v>
      </c>
      <c r="C248" s="1" t="n">
        <v>45994</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5566-2021</t>
        </is>
      </c>
      <c r="B249" s="1" t="n">
        <v>44230</v>
      </c>
      <c r="C249" s="1" t="n">
        <v>45994</v>
      </c>
      <c r="D249" t="inlineStr">
        <is>
          <t>STOCKHOLMS LÄN</t>
        </is>
      </c>
      <c r="E249" t="inlineStr">
        <is>
          <t>NORRTÄLJE</t>
        </is>
      </c>
      <c r="G249" t="n">
        <v>3.1</v>
      </c>
      <c r="H249" t="n">
        <v>0</v>
      </c>
      <c r="I249" t="n">
        <v>0</v>
      </c>
      <c r="J249" t="n">
        <v>0</v>
      </c>
      <c r="K249" t="n">
        <v>0</v>
      </c>
      <c r="L249" t="n">
        <v>0</v>
      </c>
      <c r="M249" t="n">
        <v>0</v>
      </c>
      <c r="N249" t="n">
        <v>0</v>
      </c>
      <c r="O249" t="n">
        <v>0</v>
      </c>
      <c r="P249" t="n">
        <v>0</v>
      </c>
      <c r="Q249" t="n">
        <v>0</v>
      </c>
      <c r="R249" s="2" t="inlineStr"/>
    </row>
    <row r="250" ht="15" customHeight="1">
      <c r="A250" t="inlineStr">
        <is>
          <t>A 5351-2022</t>
        </is>
      </c>
      <c r="B250" s="1" t="n">
        <v>44594.75950231482</v>
      </c>
      <c r="C250" s="1" t="n">
        <v>45994</v>
      </c>
      <c r="D250" t="inlineStr">
        <is>
          <t>STOCKHOLMS LÄN</t>
        </is>
      </c>
      <c r="E250" t="inlineStr">
        <is>
          <t>NORRTÄLJE</t>
        </is>
      </c>
      <c r="G250" t="n">
        <v>4</v>
      </c>
      <c r="H250" t="n">
        <v>0</v>
      </c>
      <c r="I250" t="n">
        <v>0</v>
      </c>
      <c r="J250" t="n">
        <v>0</v>
      </c>
      <c r="K250" t="n">
        <v>0</v>
      </c>
      <c r="L250" t="n">
        <v>0</v>
      </c>
      <c r="M250" t="n">
        <v>0</v>
      </c>
      <c r="N250" t="n">
        <v>0</v>
      </c>
      <c r="O250" t="n">
        <v>0</v>
      </c>
      <c r="P250" t="n">
        <v>0</v>
      </c>
      <c r="Q250" t="n">
        <v>0</v>
      </c>
      <c r="R250" s="2" t="inlineStr"/>
    </row>
    <row r="251" ht="15" customHeight="1">
      <c r="A251" t="inlineStr">
        <is>
          <t>A 16117-2022</t>
        </is>
      </c>
      <c r="B251" s="1" t="n">
        <v>44665.65474537037</v>
      </c>
      <c r="C251" s="1" t="n">
        <v>45994</v>
      </c>
      <c r="D251" t="inlineStr">
        <is>
          <t>STOCKHOLMS LÄN</t>
        </is>
      </c>
      <c r="E251" t="inlineStr">
        <is>
          <t>NORRTÄLJE</t>
        </is>
      </c>
      <c r="G251" t="n">
        <v>8.1</v>
      </c>
      <c r="H251" t="n">
        <v>0</v>
      </c>
      <c r="I251" t="n">
        <v>0</v>
      </c>
      <c r="J251" t="n">
        <v>0</v>
      </c>
      <c r="K251" t="n">
        <v>0</v>
      </c>
      <c r="L251" t="n">
        <v>0</v>
      </c>
      <c r="M251" t="n">
        <v>0</v>
      </c>
      <c r="N251" t="n">
        <v>0</v>
      </c>
      <c r="O251" t="n">
        <v>0</v>
      </c>
      <c r="P251" t="n">
        <v>0</v>
      </c>
      <c r="Q251" t="n">
        <v>0</v>
      </c>
      <c r="R251" s="2" t="inlineStr"/>
    </row>
    <row r="252" ht="15" customHeight="1">
      <c r="A252" t="inlineStr">
        <is>
          <t>A 16132-2022</t>
        </is>
      </c>
      <c r="B252" s="1" t="n">
        <v>44665.78351851852</v>
      </c>
      <c r="C252" s="1" t="n">
        <v>45994</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70170-2021</t>
        </is>
      </c>
      <c r="B253" s="1" t="n">
        <v>44533</v>
      </c>
      <c r="C253" s="1" t="n">
        <v>45994</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25463-2021</t>
        </is>
      </c>
      <c r="B254" s="1" t="n">
        <v>44342</v>
      </c>
      <c r="C254" s="1" t="n">
        <v>45994</v>
      </c>
      <c r="D254" t="inlineStr">
        <is>
          <t>STOCKHOLMS LÄN</t>
        </is>
      </c>
      <c r="E254" t="inlineStr">
        <is>
          <t>NORRTÄLJE</t>
        </is>
      </c>
      <c r="F254" t="inlineStr">
        <is>
          <t>Holmen skog AB</t>
        </is>
      </c>
      <c r="G254" t="n">
        <v>1.5</v>
      </c>
      <c r="H254" t="n">
        <v>0</v>
      </c>
      <c r="I254" t="n">
        <v>0</v>
      </c>
      <c r="J254" t="n">
        <v>0</v>
      </c>
      <c r="K254" t="n">
        <v>0</v>
      </c>
      <c r="L254" t="n">
        <v>0</v>
      </c>
      <c r="M254" t="n">
        <v>0</v>
      </c>
      <c r="N254" t="n">
        <v>0</v>
      </c>
      <c r="O254" t="n">
        <v>0</v>
      </c>
      <c r="P254" t="n">
        <v>0</v>
      </c>
      <c r="Q254" t="n">
        <v>0</v>
      </c>
      <c r="R254" s="2" t="inlineStr"/>
    </row>
    <row r="255" ht="15" customHeight="1">
      <c r="A255" t="inlineStr">
        <is>
          <t>A 52139-2022</t>
        </is>
      </c>
      <c r="B255" s="1" t="n">
        <v>44868</v>
      </c>
      <c r="C255" s="1" t="n">
        <v>45994</v>
      </c>
      <c r="D255" t="inlineStr">
        <is>
          <t>STOCKHOLMS LÄN</t>
        </is>
      </c>
      <c r="E255" t="inlineStr">
        <is>
          <t>NORRTÄLJE</t>
        </is>
      </c>
      <c r="G255" t="n">
        <v>3.2</v>
      </c>
      <c r="H255" t="n">
        <v>0</v>
      </c>
      <c r="I255" t="n">
        <v>0</v>
      </c>
      <c r="J255" t="n">
        <v>0</v>
      </c>
      <c r="K255" t="n">
        <v>0</v>
      </c>
      <c r="L255" t="n">
        <v>0</v>
      </c>
      <c r="M255" t="n">
        <v>0</v>
      </c>
      <c r="N255" t="n">
        <v>0</v>
      </c>
      <c r="O255" t="n">
        <v>0</v>
      </c>
      <c r="P255" t="n">
        <v>0</v>
      </c>
      <c r="Q255" t="n">
        <v>0</v>
      </c>
      <c r="R255" s="2" t="inlineStr"/>
      <c r="U255">
        <f>HYPERLINK("https://klasma.github.io/Logging_0188/knärot/A 52139-2022 karta knärot.png", "A 52139-2022")</f>
        <v/>
      </c>
      <c r="V255">
        <f>HYPERLINK("https://klasma.github.io/Logging_0188/klagomål/A 52139-2022 FSC-klagomål.docx", "A 52139-2022")</f>
        <v/>
      </c>
      <c r="W255">
        <f>HYPERLINK("https://klasma.github.io/Logging_0188/klagomålsmail/A 52139-2022 FSC-klagomål mail.docx", "A 52139-2022")</f>
        <v/>
      </c>
      <c r="X255">
        <f>HYPERLINK("https://klasma.github.io/Logging_0188/tillsyn/A 52139-2022 tillsynsbegäran.docx", "A 52139-2022")</f>
        <v/>
      </c>
      <c r="Y255">
        <f>HYPERLINK("https://klasma.github.io/Logging_0188/tillsynsmail/A 52139-2022 tillsynsbegäran mail.docx", "A 52139-2022")</f>
        <v/>
      </c>
    </row>
    <row r="256" ht="15" customHeight="1">
      <c r="A256" t="inlineStr">
        <is>
          <t>A 20295-2022</t>
        </is>
      </c>
      <c r="B256" s="1" t="n">
        <v>44698</v>
      </c>
      <c r="C256" s="1" t="n">
        <v>45994</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21102-2022</t>
        </is>
      </c>
      <c r="B257" s="1" t="n">
        <v>44704</v>
      </c>
      <c r="C257" s="1" t="n">
        <v>45994</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9446-2021</t>
        </is>
      </c>
      <c r="B258" s="1" t="n">
        <v>44251</v>
      </c>
      <c r="C258" s="1" t="n">
        <v>45994</v>
      </c>
      <c r="D258" t="inlineStr">
        <is>
          <t>STOCKHOLMS LÄN</t>
        </is>
      </c>
      <c r="E258" t="inlineStr">
        <is>
          <t>NORRTÄLJE</t>
        </is>
      </c>
      <c r="F258" t="inlineStr">
        <is>
          <t>Holmen skog AB</t>
        </is>
      </c>
      <c r="G258" t="n">
        <v>0.7</v>
      </c>
      <c r="H258" t="n">
        <v>0</v>
      </c>
      <c r="I258" t="n">
        <v>0</v>
      </c>
      <c r="J258" t="n">
        <v>0</v>
      </c>
      <c r="K258" t="n">
        <v>0</v>
      </c>
      <c r="L258" t="n">
        <v>0</v>
      </c>
      <c r="M258" t="n">
        <v>0</v>
      </c>
      <c r="N258" t="n">
        <v>0</v>
      </c>
      <c r="O258" t="n">
        <v>0</v>
      </c>
      <c r="P258" t="n">
        <v>0</v>
      </c>
      <c r="Q258" t="n">
        <v>0</v>
      </c>
      <c r="R258" s="2" t="inlineStr"/>
    </row>
    <row r="259" ht="15" customHeight="1">
      <c r="A259" t="inlineStr">
        <is>
          <t>A 37415-2021</t>
        </is>
      </c>
      <c r="B259" s="1" t="n">
        <v>44397</v>
      </c>
      <c r="C259" s="1" t="n">
        <v>45994</v>
      </c>
      <c r="D259" t="inlineStr">
        <is>
          <t>STOCKHOLMS LÄN</t>
        </is>
      </c>
      <c r="E259" t="inlineStr">
        <is>
          <t>NORRTÄLJE</t>
        </is>
      </c>
      <c r="F259" t="inlineStr">
        <is>
          <t>Övriga Aktiebolag</t>
        </is>
      </c>
      <c r="G259" t="n">
        <v>3</v>
      </c>
      <c r="H259" t="n">
        <v>0</v>
      </c>
      <c r="I259" t="n">
        <v>0</v>
      </c>
      <c r="J259" t="n">
        <v>0</v>
      </c>
      <c r="K259" t="n">
        <v>0</v>
      </c>
      <c r="L259" t="n">
        <v>0</v>
      </c>
      <c r="M259" t="n">
        <v>0</v>
      </c>
      <c r="N259" t="n">
        <v>0</v>
      </c>
      <c r="O259" t="n">
        <v>0</v>
      </c>
      <c r="P259" t="n">
        <v>0</v>
      </c>
      <c r="Q259" t="n">
        <v>0</v>
      </c>
      <c r="R259" s="2" t="inlineStr"/>
    </row>
    <row r="260" ht="15" customHeight="1">
      <c r="A260" t="inlineStr">
        <is>
          <t>A 71880-2021</t>
        </is>
      </c>
      <c r="B260" s="1" t="n">
        <v>44543</v>
      </c>
      <c r="C260" s="1" t="n">
        <v>45994</v>
      </c>
      <c r="D260" t="inlineStr">
        <is>
          <t>STOCKHOLMS LÄN</t>
        </is>
      </c>
      <c r="E260" t="inlineStr">
        <is>
          <t>NORRTÄLJE</t>
        </is>
      </c>
      <c r="G260" t="n">
        <v>2</v>
      </c>
      <c r="H260" t="n">
        <v>0</v>
      </c>
      <c r="I260" t="n">
        <v>0</v>
      </c>
      <c r="J260" t="n">
        <v>0</v>
      </c>
      <c r="K260" t="n">
        <v>0</v>
      </c>
      <c r="L260" t="n">
        <v>0</v>
      </c>
      <c r="M260" t="n">
        <v>0</v>
      </c>
      <c r="N260" t="n">
        <v>0</v>
      </c>
      <c r="O260" t="n">
        <v>0</v>
      </c>
      <c r="P260" t="n">
        <v>0</v>
      </c>
      <c r="Q260" t="n">
        <v>0</v>
      </c>
      <c r="R260" s="2" t="inlineStr"/>
    </row>
    <row r="261" ht="15" customHeight="1">
      <c r="A261" t="inlineStr">
        <is>
          <t>A 17772-2022</t>
        </is>
      </c>
      <c r="B261" s="1" t="n">
        <v>44682.76528935185</v>
      </c>
      <c r="C261" s="1" t="n">
        <v>45994</v>
      </c>
      <c r="D261" t="inlineStr">
        <is>
          <t>STOCKHOLMS LÄN</t>
        </is>
      </c>
      <c r="E261" t="inlineStr">
        <is>
          <t>NORRTÄLJE</t>
        </is>
      </c>
      <c r="G261" t="n">
        <v>4</v>
      </c>
      <c r="H261" t="n">
        <v>0</v>
      </c>
      <c r="I261" t="n">
        <v>0</v>
      </c>
      <c r="J261" t="n">
        <v>0</v>
      </c>
      <c r="K261" t="n">
        <v>0</v>
      </c>
      <c r="L261" t="n">
        <v>0</v>
      </c>
      <c r="M261" t="n">
        <v>0</v>
      </c>
      <c r="N261" t="n">
        <v>0</v>
      </c>
      <c r="O261" t="n">
        <v>0</v>
      </c>
      <c r="P261" t="n">
        <v>0</v>
      </c>
      <c r="Q261" t="n">
        <v>0</v>
      </c>
      <c r="R261" s="2" t="inlineStr"/>
    </row>
    <row r="262" ht="15" customHeight="1">
      <c r="A262" t="inlineStr">
        <is>
          <t>A 67285-2021</t>
        </is>
      </c>
      <c r="B262" s="1" t="n">
        <v>44523.61635416667</v>
      </c>
      <c r="C262" s="1" t="n">
        <v>45994</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5611-2022</t>
        </is>
      </c>
      <c r="B263" s="1" t="n">
        <v>44595</v>
      </c>
      <c r="C263" s="1" t="n">
        <v>45994</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32055-2021</t>
        </is>
      </c>
      <c r="B264" s="1" t="n">
        <v>44370.72197916666</v>
      </c>
      <c r="C264" s="1" t="n">
        <v>45994</v>
      </c>
      <c r="D264" t="inlineStr">
        <is>
          <t>STOCKHOLMS LÄN</t>
        </is>
      </c>
      <c r="E264" t="inlineStr">
        <is>
          <t>NORRTÄLJE</t>
        </is>
      </c>
      <c r="G264" t="n">
        <v>1.2</v>
      </c>
      <c r="H264" t="n">
        <v>0</v>
      </c>
      <c r="I264" t="n">
        <v>0</v>
      </c>
      <c r="J264" t="n">
        <v>0</v>
      </c>
      <c r="K264" t="n">
        <v>0</v>
      </c>
      <c r="L264" t="n">
        <v>0</v>
      </c>
      <c r="M264" t="n">
        <v>0</v>
      </c>
      <c r="N264" t="n">
        <v>0</v>
      </c>
      <c r="O264" t="n">
        <v>0</v>
      </c>
      <c r="P264" t="n">
        <v>0</v>
      </c>
      <c r="Q264" t="n">
        <v>0</v>
      </c>
      <c r="R264" s="2" t="inlineStr"/>
    </row>
    <row r="265" ht="15" customHeight="1">
      <c r="A265" t="inlineStr">
        <is>
          <t>A 17673-2021</t>
        </is>
      </c>
      <c r="B265" s="1" t="n">
        <v>44300</v>
      </c>
      <c r="C265" s="1" t="n">
        <v>45994</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c r="T265">
        <f>HYPERLINK("https://klasma.github.io/Logging_0188/kartor/A 17673-2021 karta.png", "A 17673-2021")</f>
        <v/>
      </c>
      <c r="V265">
        <f>HYPERLINK("https://klasma.github.io/Logging_0188/klagomål/A 17673-2021 FSC-klagomål.docx", "A 17673-2021")</f>
        <v/>
      </c>
      <c r="W265">
        <f>HYPERLINK("https://klasma.github.io/Logging_0188/klagomålsmail/A 17673-2021 FSC-klagomål mail.docx", "A 17673-2021")</f>
        <v/>
      </c>
      <c r="X265">
        <f>HYPERLINK("https://klasma.github.io/Logging_0188/tillsyn/A 17673-2021 tillsynsbegäran.docx", "A 17673-2021")</f>
        <v/>
      </c>
      <c r="Y265">
        <f>HYPERLINK("https://klasma.github.io/Logging_0188/tillsynsmail/A 17673-2021 tillsynsbegäran mail.docx", "A 17673-2021")</f>
        <v/>
      </c>
      <c r="Z265">
        <f>HYPERLINK("https://klasma.github.io/Logging_0188/fåglar/A 17673-2021 prioriterade fågelarter.docx", "A 17673-2021")</f>
        <v/>
      </c>
    </row>
    <row r="266" ht="15" customHeight="1">
      <c r="A266" t="inlineStr">
        <is>
          <t>A 24101-2022</t>
        </is>
      </c>
      <c r="B266" s="1" t="n">
        <v>44725</v>
      </c>
      <c r="C266" s="1" t="n">
        <v>45994</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45994</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8160-2022</t>
        </is>
      </c>
      <c r="B268" s="1" t="n">
        <v>44609</v>
      </c>
      <c r="C268" s="1" t="n">
        <v>45994</v>
      </c>
      <c r="D268" t="inlineStr">
        <is>
          <t>STOCKHOLMS LÄN</t>
        </is>
      </c>
      <c r="E268" t="inlineStr">
        <is>
          <t>NORRTÄLJE</t>
        </is>
      </c>
      <c r="G268" t="n">
        <v>3.9</v>
      </c>
      <c r="H268" t="n">
        <v>0</v>
      </c>
      <c r="I268" t="n">
        <v>0</v>
      </c>
      <c r="J268" t="n">
        <v>0</v>
      </c>
      <c r="K268" t="n">
        <v>0</v>
      </c>
      <c r="L268" t="n">
        <v>0</v>
      </c>
      <c r="M268" t="n">
        <v>0</v>
      </c>
      <c r="N268" t="n">
        <v>0</v>
      </c>
      <c r="O268" t="n">
        <v>0</v>
      </c>
      <c r="P268" t="n">
        <v>0</v>
      </c>
      <c r="Q268" t="n">
        <v>0</v>
      </c>
      <c r="R268" s="2" t="inlineStr"/>
    </row>
    <row r="269" ht="15" customHeight="1">
      <c r="A269" t="inlineStr">
        <is>
          <t>A 27217-2021</t>
        </is>
      </c>
      <c r="B269" s="1" t="n">
        <v>44350</v>
      </c>
      <c r="C269" s="1" t="n">
        <v>45994</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39319-2022</t>
        </is>
      </c>
      <c r="B270" s="1" t="n">
        <v>44817.70516203704</v>
      </c>
      <c r="C270" s="1" t="n">
        <v>45994</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45994</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56219-2021</t>
        </is>
      </c>
      <c r="B272" s="1" t="n">
        <v>44477</v>
      </c>
      <c r="C272" s="1" t="n">
        <v>45994</v>
      </c>
      <c r="D272" t="inlineStr">
        <is>
          <t>STOCKHOLMS LÄN</t>
        </is>
      </c>
      <c r="E272" t="inlineStr">
        <is>
          <t>NORRTÄLJE</t>
        </is>
      </c>
      <c r="F272" t="inlineStr">
        <is>
          <t>Kommuner</t>
        </is>
      </c>
      <c r="G272" t="n">
        <v>2.3</v>
      </c>
      <c r="H272" t="n">
        <v>0</v>
      </c>
      <c r="I272" t="n">
        <v>0</v>
      </c>
      <c r="J272" t="n">
        <v>0</v>
      </c>
      <c r="K272" t="n">
        <v>0</v>
      </c>
      <c r="L272" t="n">
        <v>0</v>
      </c>
      <c r="M272" t="n">
        <v>0</v>
      </c>
      <c r="N272" t="n">
        <v>0</v>
      </c>
      <c r="O272" t="n">
        <v>0</v>
      </c>
      <c r="P272" t="n">
        <v>0</v>
      </c>
      <c r="Q272" t="n">
        <v>0</v>
      </c>
      <c r="R272" s="2" t="inlineStr"/>
    </row>
    <row r="273" ht="15" customHeight="1">
      <c r="A273" t="inlineStr">
        <is>
          <t>A 38721-2022</t>
        </is>
      </c>
      <c r="B273" s="1" t="n">
        <v>44815</v>
      </c>
      <c r="C273" s="1" t="n">
        <v>45994</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12875-2022</t>
        </is>
      </c>
      <c r="B274" s="1" t="n">
        <v>44642.55565972222</v>
      </c>
      <c r="C274" s="1" t="n">
        <v>45994</v>
      </c>
      <c r="D274" t="inlineStr">
        <is>
          <t>STOCKHOLMS LÄN</t>
        </is>
      </c>
      <c r="E274" t="inlineStr">
        <is>
          <t>NORRTÄLJE</t>
        </is>
      </c>
      <c r="G274" t="n">
        <v>1.6</v>
      </c>
      <c r="H274" t="n">
        <v>0</v>
      </c>
      <c r="I274" t="n">
        <v>0</v>
      </c>
      <c r="J274" t="n">
        <v>0</v>
      </c>
      <c r="K274" t="n">
        <v>0</v>
      </c>
      <c r="L274" t="n">
        <v>0</v>
      </c>
      <c r="M274" t="n">
        <v>0</v>
      </c>
      <c r="N274" t="n">
        <v>0</v>
      </c>
      <c r="O274" t="n">
        <v>0</v>
      </c>
      <c r="P274" t="n">
        <v>0</v>
      </c>
      <c r="Q274" t="n">
        <v>0</v>
      </c>
      <c r="R274" s="2" t="inlineStr"/>
    </row>
    <row r="275" ht="15" customHeight="1">
      <c r="A275" t="inlineStr">
        <is>
          <t>A 60184-2021</t>
        </is>
      </c>
      <c r="B275" s="1" t="n">
        <v>44495</v>
      </c>
      <c r="C275" s="1" t="n">
        <v>45994</v>
      </c>
      <c r="D275" t="inlineStr">
        <is>
          <t>STOCKHOLMS LÄN</t>
        </is>
      </c>
      <c r="E275" t="inlineStr">
        <is>
          <t>NORRTÄLJE</t>
        </is>
      </c>
      <c r="G275" t="n">
        <v>1.8</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45994</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23453-2021</t>
        </is>
      </c>
      <c r="B277" s="1" t="n">
        <v>44333</v>
      </c>
      <c r="C277" s="1" t="n">
        <v>45994</v>
      </c>
      <c r="D277" t="inlineStr">
        <is>
          <t>STOCKHOLMS LÄN</t>
        </is>
      </c>
      <c r="E277" t="inlineStr">
        <is>
          <t>NORRTÄLJE</t>
        </is>
      </c>
      <c r="G277" t="n">
        <v>1.8</v>
      </c>
      <c r="H277" t="n">
        <v>0</v>
      </c>
      <c r="I277" t="n">
        <v>0</v>
      </c>
      <c r="J277" t="n">
        <v>0</v>
      </c>
      <c r="K277" t="n">
        <v>0</v>
      </c>
      <c r="L277" t="n">
        <v>0</v>
      </c>
      <c r="M277" t="n">
        <v>0</v>
      </c>
      <c r="N277" t="n">
        <v>0</v>
      </c>
      <c r="O277" t="n">
        <v>0</v>
      </c>
      <c r="P277" t="n">
        <v>0</v>
      </c>
      <c r="Q277" t="n">
        <v>0</v>
      </c>
      <c r="R277" s="2" t="inlineStr"/>
    </row>
    <row r="278" ht="15" customHeight="1">
      <c r="A278" t="inlineStr">
        <is>
          <t>A 27828-2022</t>
        </is>
      </c>
      <c r="B278" s="1" t="n">
        <v>44743.59765046297</v>
      </c>
      <c r="C278" s="1" t="n">
        <v>45994</v>
      </c>
      <c r="D278" t="inlineStr">
        <is>
          <t>STOCKHOLMS LÄN</t>
        </is>
      </c>
      <c r="E278" t="inlineStr">
        <is>
          <t>NORRTÄLJE</t>
        </is>
      </c>
      <c r="F278" t="inlineStr">
        <is>
          <t>Kommuner</t>
        </is>
      </c>
      <c r="G278" t="n">
        <v>1.6</v>
      </c>
      <c r="H278" t="n">
        <v>0</v>
      </c>
      <c r="I278" t="n">
        <v>0</v>
      </c>
      <c r="J278" t="n">
        <v>0</v>
      </c>
      <c r="K278" t="n">
        <v>0</v>
      </c>
      <c r="L278" t="n">
        <v>0</v>
      </c>
      <c r="M278" t="n">
        <v>0</v>
      </c>
      <c r="N278" t="n">
        <v>0</v>
      </c>
      <c r="O278" t="n">
        <v>0</v>
      </c>
      <c r="P278" t="n">
        <v>0</v>
      </c>
      <c r="Q278" t="n">
        <v>0</v>
      </c>
      <c r="R278" s="2" t="inlineStr"/>
    </row>
    <row r="279" ht="15" customHeight="1">
      <c r="A279" t="inlineStr">
        <is>
          <t>A 3300-2022</t>
        </is>
      </c>
      <c r="B279" s="1" t="n">
        <v>44584.91538194445</v>
      </c>
      <c r="C279" s="1" t="n">
        <v>45994</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17388-2022</t>
        </is>
      </c>
      <c r="B280" s="1" t="n">
        <v>44678</v>
      </c>
      <c r="C280" s="1" t="n">
        <v>45994</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16229-2022</t>
        </is>
      </c>
      <c r="B281" s="1" t="n">
        <v>44670.4190162037</v>
      </c>
      <c r="C281" s="1" t="n">
        <v>45994</v>
      </c>
      <c r="D281" t="inlineStr">
        <is>
          <t>STOCKHOLMS LÄN</t>
        </is>
      </c>
      <c r="E281" t="inlineStr">
        <is>
          <t>NORRTÄLJE</t>
        </is>
      </c>
      <c r="G281" t="n">
        <v>7.4</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45994</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45994</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10521-2022</t>
        </is>
      </c>
      <c r="B284" s="1" t="n">
        <v>44623</v>
      </c>
      <c r="C284" s="1" t="n">
        <v>45994</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28042-2022</t>
        </is>
      </c>
      <c r="B285" s="1" t="n">
        <v>44744</v>
      </c>
      <c r="C285" s="1" t="n">
        <v>45994</v>
      </c>
      <c r="D285" t="inlineStr">
        <is>
          <t>STOCKHOLMS LÄN</t>
        </is>
      </c>
      <c r="E285" t="inlineStr">
        <is>
          <t>NORRTÄLJE</t>
        </is>
      </c>
      <c r="G285" t="n">
        <v>0.2</v>
      </c>
      <c r="H285" t="n">
        <v>0</v>
      </c>
      <c r="I285" t="n">
        <v>0</v>
      </c>
      <c r="J285" t="n">
        <v>0</v>
      </c>
      <c r="K285" t="n">
        <v>0</v>
      </c>
      <c r="L285" t="n">
        <v>0</v>
      </c>
      <c r="M285" t="n">
        <v>0</v>
      </c>
      <c r="N285" t="n">
        <v>0</v>
      </c>
      <c r="O285" t="n">
        <v>0</v>
      </c>
      <c r="P285" t="n">
        <v>0</v>
      </c>
      <c r="Q285" t="n">
        <v>0</v>
      </c>
      <c r="R285" s="2" t="inlineStr"/>
    </row>
    <row r="286" ht="15" customHeight="1">
      <c r="A286" t="inlineStr">
        <is>
          <t>A 33226-2024</t>
        </is>
      </c>
      <c r="B286" s="1" t="n">
        <v>45518</v>
      </c>
      <c r="C286" s="1" t="n">
        <v>45994</v>
      </c>
      <c r="D286" t="inlineStr">
        <is>
          <t>STOCKHOLMS LÄN</t>
        </is>
      </c>
      <c r="E286" t="inlineStr">
        <is>
          <t>NORRTÄLJE</t>
        </is>
      </c>
      <c r="G286" t="n">
        <v>13.8</v>
      </c>
      <c r="H286" t="n">
        <v>0</v>
      </c>
      <c r="I286" t="n">
        <v>0</v>
      </c>
      <c r="J286" t="n">
        <v>0</v>
      </c>
      <c r="K286" t="n">
        <v>0</v>
      </c>
      <c r="L286" t="n">
        <v>0</v>
      </c>
      <c r="M286" t="n">
        <v>0</v>
      </c>
      <c r="N286" t="n">
        <v>0</v>
      </c>
      <c r="O286" t="n">
        <v>0</v>
      </c>
      <c r="P286" t="n">
        <v>0</v>
      </c>
      <c r="Q286" t="n">
        <v>0</v>
      </c>
      <c r="R286" s="2" t="inlineStr"/>
    </row>
    <row r="287" ht="15" customHeight="1">
      <c r="A287" t="inlineStr">
        <is>
          <t>A 27214-2021</t>
        </is>
      </c>
      <c r="B287" s="1" t="n">
        <v>44350</v>
      </c>
      <c r="C287" s="1" t="n">
        <v>45994</v>
      </c>
      <c r="D287" t="inlineStr">
        <is>
          <t>STOCKHOLMS LÄN</t>
        </is>
      </c>
      <c r="E287" t="inlineStr">
        <is>
          <t>NORRTÄLJE</t>
        </is>
      </c>
      <c r="G287" t="n">
        <v>1</v>
      </c>
      <c r="H287" t="n">
        <v>0</v>
      </c>
      <c r="I287" t="n">
        <v>0</v>
      </c>
      <c r="J287" t="n">
        <v>0</v>
      </c>
      <c r="K287" t="n">
        <v>0</v>
      </c>
      <c r="L287" t="n">
        <v>0</v>
      </c>
      <c r="M287" t="n">
        <v>0</v>
      </c>
      <c r="N287" t="n">
        <v>0</v>
      </c>
      <c r="O287" t="n">
        <v>0</v>
      </c>
      <c r="P287" t="n">
        <v>0</v>
      </c>
      <c r="Q287" t="n">
        <v>0</v>
      </c>
      <c r="R287" s="2" t="inlineStr"/>
    </row>
    <row r="288" ht="15" customHeight="1">
      <c r="A288" t="inlineStr">
        <is>
          <t>A 22008-2024</t>
        </is>
      </c>
      <c r="B288" s="1" t="n">
        <v>45443</v>
      </c>
      <c r="C288" s="1" t="n">
        <v>45994</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12355-2022</t>
        </is>
      </c>
      <c r="B289" s="1" t="n">
        <v>44637</v>
      </c>
      <c r="C289" s="1" t="n">
        <v>45994</v>
      </c>
      <c r="D289" t="inlineStr">
        <is>
          <t>STOCKHOLMS LÄN</t>
        </is>
      </c>
      <c r="E289" t="inlineStr">
        <is>
          <t>NORRTÄLJE</t>
        </is>
      </c>
      <c r="G289" t="n">
        <v>10.4</v>
      </c>
      <c r="H289" t="n">
        <v>0</v>
      </c>
      <c r="I289" t="n">
        <v>0</v>
      </c>
      <c r="J289" t="n">
        <v>0</v>
      </c>
      <c r="K289" t="n">
        <v>0</v>
      </c>
      <c r="L289" t="n">
        <v>0</v>
      </c>
      <c r="M289" t="n">
        <v>0</v>
      </c>
      <c r="N289" t="n">
        <v>0</v>
      </c>
      <c r="O289" t="n">
        <v>0</v>
      </c>
      <c r="P289" t="n">
        <v>0</v>
      </c>
      <c r="Q289" t="n">
        <v>0</v>
      </c>
      <c r="R289" s="2" t="inlineStr"/>
    </row>
    <row r="290" ht="15" customHeight="1">
      <c r="A290" t="inlineStr">
        <is>
          <t>A 11229-2022</t>
        </is>
      </c>
      <c r="B290" s="1" t="n">
        <v>44629</v>
      </c>
      <c r="C290" s="1" t="n">
        <v>45994</v>
      </c>
      <c r="D290" t="inlineStr">
        <is>
          <t>STOCKHOLMS LÄN</t>
        </is>
      </c>
      <c r="E290" t="inlineStr">
        <is>
          <t>NORRTÄLJE</t>
        </is>
      </c>
      <c r="F290" t="inlineStr">
        <is>
          <t>Övriga Aktiebolag</t>
        </is>
      </c>
      <c r="G290" t="n">
        <v>4.1</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45994</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7565-2022</t>
        </is>
      </c>
      <c r="B292" s="1" t="n">
        <v>44607</v>
      </c>
      <c r="C292" s="1" t="n">
        <v>45994</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41822-2021</t>
        </is>
      </c>
      <c r="B293" s="1" t="n">
        <v>44425</v>
      </c>
      <c r="C293" s="1" t="n">
        <v>45994</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41823-2021</t>
        </is>
      </c>
      <c r="B294" s="1" t="n">
        <v>44425</v>
      </c>
      <c r="C294" s="1" t="n">
        <v>45994</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52260-2022</t>
        </is>
      </c>
      <c r="B295" s="1" t="n">
        <v>44869</v>
      </c>
      <c r="C295" s="1" t="n">
        <v>45994</v>
      </c>
      <c r="D295" t="inlineStr">
        <is>
          <t>STOCKHOLMS LÄN</t>
        </is>
      </c>
      <c r="E295" t="inlineStr">
        <is>
          <t>NORRTÄLJE</t>
        </is>
      </c>
      <c r="G295" t="n">
        <v>3.1</v>
      </c>
      <c r="H295" t="n">
        <v>0</v>
      </c>
      <c r="I295" t="n">
        <v>0</v>
      </c>
      <c r="J295" t="n">
        <v>0</v>
      </c>
      <c r="K295" t="n">
        <v>0</v>
      </c>
      <c r="L295" t="n">
        <v>0</v>
      </c>
      <c r="M295" t="n">
        <v>0</v>
      </c>
      <c r="N295" t="n">
        <v>0</v>
      </c>
      <c r="O295" t="n">
        <v>0</v>
      </c>
      <c r="P295" t="n">
        <v>0</v>
      </c>
      <c r="Q295" t="n">
        <v>0</v>
      </c>
      <c r="R295" s="2" t="inlineStr"/>
    </row>
    <row r="296" ht="15" customHeight="1">
      <c r="A296" t="inlineStr">
        <is>
          <t>A 54504-2024</t>
        </is>
      </c>
      <c r="B296" s="1" t="n">
        <v>45617.58453703704</v>
      </c>
      <c r="C296" s="1" t="n">
        <v>45994</v>
      </c>
      <c r="D296" t="inlineStr">
        <is>
          <t>STOCKHOLMS LÄN</t>
        </is>
      </c>
      <c r="E296" t="inlineStr">
        <is>
          <t>NORRTÄLJE</t>
        </is>
      </c>
      <c r="G296" t="n">
        <v>3.4</v>
      </c>
      <c r="H296" t="n">
        <v>0</v>
      </c>
      <c r="I296" t="n">
        <v>0</v>
      </c>
      <c r="J296" t="n">
        <v>0</v>
      </c>
      <c r="K296" t="n">
        <v>0</v>
      </c>
      <c r="L296" t="n">
        <v>0</v>
      </c>
      <c r="M296" t="n">
        <v>0</v>
      </c>
      <c r="N296" t="n">
        <v>0</v>
      </c>
      <c r="O296" t="n">
        <v>0</v>
      </c>
      <c r="P296" t="n">
        <v>0</v>
      </c>
      <c r="Q296" t="n">
        <v>0</v>
      </c>
      <c r="R296" s="2" t="inlineStr"/>
    </row>
    <row r="297" ht="15" customHeight="1">
      <c r="A297" t="inlineStr">
        <is>
          <t>A 25557-2023</t>
        </is>
      </c>
      <c r="B297" s="1" t="n">
        <v>45089</v>
      </c>
      <c r="C297" s="1" t="n">
        <v>45994</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27715-2022</t>
        </is>
      </c>
      <c r="B298" s="1" t="n">
        <v>44743.47407407407</v>
      </c>
      <c r="C298" s="1" t="n">
        <v>45994</v>
      </c>
      <c r="D298" t="inlineStr">
        <is>
          <t>STOCKHOLMS LÄN</t>
        </is>
      </c>
      <c r="E298" t="inlineStr">
        <is>
          <t>NORRTÄLJE</t>
        </is>
      </c>
      <c r="G298" t="n">
        <v>2.2</v>
      </c>
      <c r="H298" t="n">
        <v>0</v>
      </c>
      <c r="I298" t="n">
        <v>0</v>
      </c>
      <c r="J298" t="n">
        <v>0</v>
      </c>
      <c r="K298" t="n">
        <v>0</v>
      </c>
      <c r="L298" t="n">
        <v>0</v>
      </c>
      <c r="M298" t="n">
        <v>0</v>
      </c>
      <c r="N298" t="n">
        <v>0</v>
      </c>
      <c r="O298" t="n">
        <v>0</v>
      </c>
      <c r="P298" t="n">
        <v>0</v>
      </c>
      <c r="Q298" t="n">
        <v>0</v>
      </c>
      <c r="R298" s="2" t="inlineStr"/>
    </row>
    <row r="299" ht="15" customHeight="1">
      <c r="A299" t="inlineStr">
        <is>
          <t>A 57353-2024</t>
        </is>
      </c>
      <c r="B299" s="1" t="n">
        <v>45629.65143518519</v>
      </c>
      <c r="C299" s="1" t="n">
        <v>45994</v>
      </c>
      <c r="D299" t="inlineStr">
        <is>
          <t>STOCKHOLMS LÄN</t>
        </is>
      </c>
      <c r="E299" t="inlineStr">
        <is>
          <t>NORRTÄLJE</t>
        </is>
      </c>
      <c r="F299" t="inlineStr">
        <is>
          <t>Holmen skog AB</t>
        </is>
      </c>
      <c r="G299" t="n">
        <v>0.9</v>
      </c>
      <c r="H299" t="n">
        <v>0</v>
      </c>
      <c r="I299" t="n">
        <v>0</v>
      </c>
      <c r="J299" t="n">
        <v>0</v>
      </c>
      <c r="K299" t="n">
        <v>0</v>
      </c>
      <c r="L299" t="n">
        <v>0</v>
      </c>
      <c r="M299" t="n">
        <v>0</v>
      </c>
      <c r="N299" t="n">
        <v>0</v>
      </c>
      <c r="O299" t="n">
        <v>0</v>
      </c>
      <c r="P299" t="n">
        <v>0</v>
      </c>
      <c r="Q299" t="n">
        <v>0</v>
      </c>
      <c r="R299" s="2" t="inlineStr"/>
    </row>
    <row r="300" ht="15" customHeight="1">
      <c r="A300" t="inlineStr">
        <is>
          <t>A 48587-2023</t>
        </is>
      </c>
      <c r="B300" s="1" t="n">
        <v>45208</v>
      </c>
      <c r="C300" s="1" t="n">
        <v>45994</v>
      </c>
      <c r="D300" t="inlineStr">
        <is>
          <t>STOCKHOLMS LÄN</t>
        </is>
      </c>
      <c r="E300" t="inlineStr">
        <is>
          <t>NORRTÄLJE</t>
        </is>
      </c>
      <c r="G300" t="n">
        <v>7</v>
      </c>
      <c r="H300" t="n">
        <v>0</v>
      </c>
      <c r="I300" t="n">
        <v>0</v>
      </c>
      <c r="J300" t="n">
        <v>0</v>
      </c>
      <c r="K300" t="n">
        <v>0</v>
      </c>
      <c r="L300" t="n">
        <v>0</v>
      </c>
      <c r="M300" t="n">
        <v>0</v>
      </c>
      <c r="N300" t="n">
        <v>0</v>
      </c>
      <c r="O300" t="n">
        <v>0</v>
      </c>
      <c r="P300" t="n">
        <v>0</v>
      </c>
      <c r="Q300" t="n">
        <v>0</v>
      </c>
      <c r="R300" s="2" t="inlineStr"/>
    </row>
    <row r="301" ht="15" customHeight="1">
      <c r="A301" t="inlineStr">
        <is>
          <t>A 13291-2025</t>
        </is>
      </c>
      <c r="B301" s="1" t="n">
        <v>45735</v>
      </c>
      <c r="C301" s="1" t="n">
        <v>45994</v>
      </c>
      <c r="D301" t="inlineStr">
        <is>
          <t>STOCKHOLMS LÄN</t>
        </is>
      </c>
      <c r="E301" t="inlineStr">
        <is>
          <t>NORRTÄLJE</t>
        </is>
      </c>
      <c r="G301" t="n">
        <v>3.8</v>
      </c>
      <c r="H301" t="n">
        <v>0</v>
      </c>
      <c r="I301" t="n">
        <v>0</v>
      </c>
      <c r="J301" t="n">
        <v>0</v>
      </c>
      <c r="K301" t="n">
        <v>0</v>
      </c>
      <c r="L301" t="n">
        <v>0</v>
      </c>
      <c r="M301" t="n">
        <v>0</v>
      </c>
      <c r="N301" t="n">
        <v>0</v>
      </c>
      <c r="O301" t="n">
        <v>0</v>
      </c>
      <c r="P301" t="n">
        <v>0</v>
      </c>
      <c r="Q301" t="n">
        <v>0</v>
      </c>
      <c r="R301" s="2" t="inlineStr"/>
    </row>
    <row r="302" ht="15" customHeight="1">
      <c r="A302" t="inlineStr">
        <is>
          <t>A 55696-2022</t>
        </is>
      </c>
      <c r="B302" s="1" t="n">
        <v>44888</v>
      </c>
      <c r="C302" s="1" t="n">
        <v>45994</v>
      </c>
      <c r="D302" t="inlineStr">
        <is>
          <t>STOCKHOLMS LÄN</t>
        </is>
      </c>
      <c r="E302" t="inlineStr">
        <is>
          <t>NORRTÄLJE</t>
        </is>
      </c>
      <c r="G302" t="n">
        <v>2.2</v>
      </c>
      <c r="H302" t="n">
        <v>0</v>
      </c>
      <c r="I302" t="n">
        <v>0</v>
      </c>
      <c r="J302" t="n">
        <v>0</v>
      </c>
      <c r="K302" t="n">
        <v>0</v>
      </c>
      <c r="L302" t="n">
        <v>0</v>
      </c>
      <c r="M302" t="n">
        <v>0</v>
      </c>
      <c r="N302" t="n">
        <v>0</v>
      </c>
      <c r="O302" t="n">
        <v>0</v>
      </c>
      <c r="P302" t="n">
        <v>0</v>
      </c>
      <c r="Q302" t="n">
        <v>0</v>
      </c>
      <c r="R302" s="2" t="inlineStr"/>
    </row>
    <row r="303" ht="15" customHeight="1">
      <c r="A303" t="inlineStr">
        <is>
          <t>A 22412-2021</t>
        </is>
      </c>
      <c r="B303" s="1" t="n">
        <v>44326.61967592593</v>
      </c>
      <c r="C303" s="1" t="n">
        <v>45994</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2549-2022</t>
        </is>
      </c>
      <c r="B304" s="1" t="n">
        <v>44580</v>
      </c>
      <c r="C304" s="1" t="n">
        <v>45994</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4438-2023</t>
        </is>
      </c>
      <c r="B305" s="1" t="n">
        <v>44956</v>
      </c>
      <c r="C305" s="1" t="n">
        <v>45994</v>
      </c>
      <c r="D305" t="inlineStr">
        <is>
          <t>STOCKHOLMS LÄN</t>
        </is>
      </c>
      <c r="E305" t="inlineStr">
        <is>
          <t>NORRTÄLJE</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41398-2022</t>
        </is>
      </c>
      <c r="B306" s="1" t="n">
        <v>44826</v>
      </c>
      <c r="C306" s="1" t="n">
        <v>45994</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13053-2022</t>
        </is>
      </c>
      <c r="B307" s="1" t="n">
        <v>44643</v>
      </c>
      <c r="C307" s="1" t="n">
        <v>45994</v>
      </c>
      <c r="D307" t="inlineStr">
        <is>
          <t>STOCKHOLMS LÄN</t>
        </is>
      </c>
      <c r="E307" t="inlineStr">
        <is>
          <t>NORRTÄLJE</t>
        </is>
      </c>
      <c r="G307" t="n">
        <v>2.8</v>
      </c>
      <c r="H307" t="n">
        <v>0</v>
      </c>
      <c r="I307" t="n">
        <v>0</v>
      </c>
      <c r="J307" t="n">
        <v>0</v>
      </c>
      <c r="K307" t="n">
        <v>0</v>
      </c>
      <c r="L307" t="n">
        <v>0</v>
      </c>
      <c r="M307" t="n">
        <v>0</v>
      </c>
      <c r="N307" t="n">
        <v>0</v>
      </c>
      <c r="O307" t="n">
        <v>0</v>
      </c>
      <c r="P307" t="n">
        <v>0</v>
      </c>
      <c r="Q307" t="n">
        <v>0</v>
      </c>
      <c r="R307" s="2" t="inlineStr"/>
    </row>
    <row r="308" ht="15" customHeight="1">
      <c r="A308" t="inlineStr">
        <is>
          <t>A 22369-2021</t>
        </is>
      </c>
      <c r="B308" s="1" t="n">
        <v>44326</v>
      </c>
      <c r="C308" s="1" t="n">
        <v>45994</v>
      </c>
      <c r="D308" t="inlineStr">
        <is>
          <t>STOCKHOLMS LÄN</t>
        </is>
      </c>
      <c r="E308" t="inlineStr">
        <is>
          <t>NORRTÄLJE</t>
        </is>
      </c>
      <c r="F308" t="inlineStr">
        <is>
          <t>Holmen skog AB</t>
        </is>
      </c>
      <c r="G308" t="n">
        <v>3.4</v>
      </c>
      <c r="H308" t="n">
        <v>0</v>
      </c>
      <c r="I308" t="n">
        <v>0</v>
      </c>
      <c r="J308" t="n">
        <v>0</v>
      </c>
      <c r="K308" t="n">
        <v>0</v>
      </c>
      <c r="L308" t="n">
        <v>0</v>
      </c>
      <c r="M308" t="n">
        <v>0</v>
      </c>
      <c r="N308" t="n">
        <v>0</v>
      </c>
      <c r="O308" t="n">
        <v>0</v>
      </c>
      <c r="P308" t="n">
        <v>0</v>
      </c>
      <c r="Q308" t="n">
        <v>0</v>
      </c>
      <c r="R308" s="2" t="inlineStr"/>
    </row>
    <row r="309" ht="15" customHeight="1">
      <c r="A309" t="inlineStr">
        <is>
          <t>A 21745-2023</t>
        </is>
      </c>
      <c r="B309" s="1" t="n">
        <v>45065.55917824074</v>
      </c>
      <c r="C309" s="1" t="n">
        <v>45994</v>
      </c>
      <c r="D309" t="inlineStr">
        <is>
          <t>STOCKHOLMS LÄN</t>
        </is>
      </c>
      <c r="E309" t="inlineStr">
        <is>
          <t>NORRTÄLJE</t>
        </is>
      </c>
      <c r="F309" t="inlineStr">
        <is>
          <t>Holmen skog AB</t>
        </is>
      </c>
      <c r="G309" t="n">
        <v>0.7</v>
      </c>
      <c r="H309" t="n">
        <v>0</v>
      </c>
      <c r="I309" t="n">
        <v>0</v>
      </c>
      <c r="J309" t="n">
        <v>0</v>
      </c>
      <c r="K309" t="n">
        <v>0</v>
      </c>
      <c r="L309" t="n">
        <v>0</v>
      </c>
      <c r="M309" t="n">
        <v>0</v>
      </c>
      <c r="N309" t="n">
        <v>0</v>
      </c>
      <c r="O309" t="n">
        <v>0</v>
      </c>
      <c r="P309" t="n">
        <v>0</v>
      </c>
      <c r="Q309" t="n">
        <v>0</v>
      </c>
      <c r="R309" s="2" t="inlineStr"/>
    </row>
    <row r="310" ht="15" customHeight="1">
      <c r="A310" t="inlineStr">
        <is>
          <t>A 15915-2023</t>
        </is>
      </c>
      <c r="B310" s="1" t="n">
        <v>45022</v>
      </c>
      <c r="C310" s="1" t="n">
        <v>45994</v>
      </c>
      <c r="D310" t="inlineStr">
        <is>
          <t>STOCKHOLMS LÄN</t>
        </is>
      </c>
      <c r="E310" t="inlineStr">
        <is>
          <t>NORRTÄLJE</t>
        </is>
      </c>
      <c r="G310" t="n">
        <v>2.9</v>
      </c>
      <c r="H310" t="n">
        <v>0</v>
      </c>
      <c r="I310" t="n">
        <v>0</v>
      </c>
      <c r="J310" t="n">
        <v>0</v>
      </c>
      <c r="K310" t="n">
        <v>0</v>
      </c>
      <c r="L310" t="n">
        <v>0</v>
      </c>
      <c r="M310" t="n">
        <v>0</v>
      </c>
      <c r="N310" t="n">
        <v>0</v>
      </c>
      <c r="O310" t="n">
        <v>0</v>
      </c>
      <c r="P310" t="n">
        <v>0</v>
      </c>
      <c r="Q310" t="n">
        <v>0</v>
      </c>
      <c r="R310" s="2" t="inlineStr"/>
    </row>
    <row r="311" ht="15" customHeight="1">
      <c r="A311" t="inlineStr">
        <is>
          <t>A 47758-2023</t>
        </is>
      </c>
      <c r="B311" s="1" t="n">
        <v>45203.83891203703</v>
      </c>
      <c r="C311" s="1" t="n">
        <v>45994</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21894-2023</t>
        </is>
      </c>
      <c r="B312" s="1" t="n">
        <v>45068.51783564815</v>
      </c>
      <c r="C312" s="1" t="n">
        <v>45994</v>
      </c>
      <c r="D312" t="inlineStr">
        <is>
          <t>STOCKHOLMS LÄN</t>
        </is>
      </c>
      <c r="E312" t="inlineStr">
        <is>
          <t>NORRTÄLJE</t>
        </is>
      </c>
      <c r="G312" t="n">
        <v>2.5</v>
      </c>
      <c r="H312" t="n">
        <v>0</v>
      </c>
      <c r="I312" t="n">
        <v>0</v>
      </c>
      <c r="J312" t="n">
        <v>0</v>
      </c>
      <c r="K312" t="n">
        <v>0</v>
      </c>
      <c r="L312" t="n">
        <v>0</v>
      </c>
      <c r="M312" t="n">
        <v>0</v>
      </c>
      <c r="N312" t="n">
        <v>0</v>
      </c>
      <c r="O312" t="n">
        <v>0</v>
      </c>
      <c r="P312" t="n">
        <v>0</v>
      </c>
      <c r="Q312" t="n">
        <v>0</v>
      </c>
      <c r="R312" s="2" t="inlineStr"/>
    </row>
    <row r="313" ht="15" customHeight="1">
      <c r="A313" t="inlineStr">
        <is>
          <t>A 13276-2022</t>
        </is>
      </c>
      <c r="B313" s="1" t="n">
        <v>44644</v>
      </c>
      <c r="C313" s="1" t="n">
        <v>45994</v>
      </c>
      <c r="D313" t="inlineStr">
        <is>
          <t>STOCKHOLMS LÄN</t>
        </is>
      </c>
      <c r="E313" t="inlineStr">
        <is>
          <t>NORRTÄLJE</t>
        </is>
      </c>
      <c r="G313" t="n">
        <v>0.7</v>
      </c>
      <c r="H313" t="n">
        <v>0</v>
      </c>
      <c r="I313" t="n">
        <v>0</v>
      </c>
      <c r="J313" t="n">
        <v>0</v>
      </c>
      <c r="K313" t="n">
        <v>0</v>
      </c>
      <c r="L313" t="n">
        <v>0</v>
      </c>
      <c r="M313" t="n">
        <v>0</v>
      </c>
      <c r="N313" t="n">
        <v>0</v>
      </c>
      <c r="O313" t="n">
        <v>0</v>
      </c>
      <c r="P313" t="n">
        <v>0</v>
      </c>
      <c r="Q313" t="n">
        <v>0</v>
      </c>
      <c r="R313" s="2" t="inlineStr"/>
    </row>
    <row r="314" ht="15" customHeight="1">
      <c r="A314" t="inlineStr">
        <is>
          <t>A 51061-2023</t>
        </is>
      </c>
      <c r="B314" s="1" t="n">
        <v>45218.65849537037</v>
      </c>
      <c r="C314" s="1" t="n">
        <v>45994</v>
      </c>
      <c r="D314" t="inlineStr">
        <is>
          <t>STOCKHOLMS LÄN</t>
        </is>
      </c>
      <c r="E314" t="inlineStr">
        <is>
          <t>NORRTÄLJE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22697-2022</t>
        </is>
      </c>
      <c r="B315" s="1" t="n">
        <v>44714.56040509259</v>
      </c>
      <c r="C315" s="1" t="n">
        <v>45994</v>
      </c>
      <c r="D315" t="inlineStr">
        <is>
          <t>STOCKHOLMS LÄN</t>
        </is>
      </c>
      <c r="E315" t="inlineStr">
        <is>
          <t>NORRTÄLJE</t>
        </is>
      </c>
      <c r="G315" t="n">
        <v>5.6</v>
      </c>
      <c r="H315" t="n">
        <v>0</v>
      </c>
      <c r="I315" t="n">
        <v>0</v>
      </c>
      <c r="J315" t="n">
        <v>0</v>
      </c>
      <c r="K315" t="n">
        <v>0</v>
      </c>
      <c r="L315" t="n">
        <v>0</v>
      </c>
      <c r="M315" t="n">
        <v>0</v>
      </c>
      <c r="N315" t="n">
        <v>0</v>
      </c>
      <c r="O315" t="n">
        <v>0</v>
      </c>
      <c r="P315" t="n">
        <v>0</v>
      </c>
      <c r="Q315" t="n">
        <v>0</v>
      </c>
      <c r="R315" s="2" t="inlineStr"/>
    </row>
    <row r="316" ht="15" customHeight="1">
      <c r="A316" t="inlineStr">
        <is>
          <t>A 28182-2022</t>
        </is>
      </c>
      <c r="B316" s="1" t="n">
        <v>44746.58530092592</v>
      </c>
      <c r="C316" s="1" t="n">
        <v>45994</v>
      </c>
      <c r="D316" t="inlineStr">
        <is>
          <t>STOCKHOLMS LÄN</t>
        </is>
      </c>
      <c r="E316" t="inlineStr">
        <is>
          <t>NORRTÄLJE</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29972-2024</t>
        </is>
      </c>
      <c r="B317" s="1" t="n">
        <v>45485</v>
      </c>
      <c r="C317" s="1" t="n">
        <v>45994</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45549-2022</t>
        </is>
      </c>
      <c r="B318" s="1" t="n">
        <v>44845.48064814815</v>
      </c>
      <c r="C318" s="1" t="n">
        <v>45994</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34461-2023</t>
        </is>
      </c>
      <c r="B319" s="1" t="n">
        <v>45139</v>
      </c>
      <c r="C319" s="1" t="n">
        <v>45994</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54396-2021</t>
        </is>
      </c>
      <c r="B320" s="1" t="n">
        <v>44472</v>
      </c>
      <c r="C320" s="1" t="n">
        <v>45994</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48716-2023</t>
        </is>
      </c>
      <c r="B321" s="1" t="n">
        <v>45208.69671296296</v>
      </c>
      <c r="C321" s="1" t="n">
        <v>45994</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5027-2025</t>
        </is>
      </c>
      <c r="B322" s="1" t="n">
        <v>45691.41101851852</v>
      </c>
      <c r="C322" s="1" t="n">
        <v>45994</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24727-2023</t>
        </is>
      </c>
      <c r="B323" s="1" t="n">
        <v>45084.57695601852</v>
      </c>
      <c r="C323" s="1" t="n">
        <v>45994</v>
      </c>
      <c r="D323" t="inlineStr">
        <is>
          <t>STOCKHOLMS LÄN</t>
        </is>
      </c>
      <c r="E323" t="inlineStr">
        <is>
          <t>NORRTÄLJE</t>
        </is>
      </c>
      <c r="F323" t="inlineStr">
        <is>
          <t>Holmen skog AB</t>
        </is>
      </c>
      <c r="G323" t="n">
        <v>2.2</v>
      </c>
      <c r="H323" t="n">
        <v>0</v>
      </c>
      <c r="I323" t="n">
        <v>0</v>
      </c>
      <c r="J323" t="n">
        <v>0</v>
      </c>
      <c r="K323" t="n">
        <v>0</v>
      </c>
      <c r="L323" t="n">
        <v>0</v>
      </c>
      <c r="M323" t="n">
        <v>0</v>
      </c>
      <c r="N323" t="n">
        <v>0</v>
      </c>
      <c r="O323" t="n">
        <v>0</v>
      </c>
      <c r="P323" t="n">
        <v>0</v>
      </c>
      <c r="Q323" t="n">
        <v>0</v>
      </c>
      <c r="R323" s="2" t="inlineStr"/>
    </row>
    <row r="324" ht="15" customHeight="1">
      <c r="A324" t="inlineStr">
        <is>
          <t>A 51046-2023</t>
        </is>
      </c>
      <c r="B324" s="1" t="n">
        <v>45218</v>
      </c>
      <c r="C324" s="1" t="n">
        <v>45994</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48722-2023</t>
        </is>
      </c>
      <c r="B325" s="1" t="n">
        <v>45208.70996527778</v>
      </c>
      <c r="C325" s="1" t="n">
        <v>45994</v>
      </c>
      <c r="D325" t="inlineStr">
        <is>
          <t>STOCKHOLMS LÄN</t>
        </is>
      </c>
      <c r="E325" t="inlineStr">
        <is>
          <t>NORRTÄLJE</t>
        </is>
      </c>
      <c r="G325" t="n">
        <v>0.3</v>
      </c>
      <c r="H325" t="n">
        <v>0</v>
      </c>
      <c r="I325" t="n">
        <v>0</v>
      </c>
      <c r="J325" t="n">
        <v>0</v>
      </c>
      <c r="K325" t="n">
        <v>0</v>
      </c>
      <c r="L325" t="n">
        <v>0</v>
      </c>
      <c r="M325" t="n">
        <v>0</v>
      </c>
      <c r="N325" t="n">
        <v>0</v>
      </c>
      <c r="O325" t="n">
        <v>0</v>
      </c>
      <c r="P325" t="n">
        <v>0</v>
      </c>
      <c r="Q325" t="n">
        <v>0</v>
      </c>
      <c r="R325" s="2" t="inlineStr"/>
    </row>
    <row r="326" ht="15" customHeight="1">
      <c r="A326" t="inlineStr">
        <is>
          <t>A 35235-2024</t>
        </is>
      </c>
      <c r="B326" s="1" t="n">
        <v>45530</v>
      </c>
      <c r="C326" s="1" t="n">
        <v>45994</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64137-2021</t>
        </is>
      </c>
      <c r="B327" s="1" t="n">
        <v>44510.51422453704</v>
      </c>
      <c r="C327" s="1" t="n">
        <v>45994</v>
      </c>
      <c r="D327" t="inlineStr">
        <is>
          <t>STOCKHOLMS LÄN</t>
        </is>
      </c>
      <c r="E327" t="inlineStr">
        <is>
          <t>NORRTÄLJE</t>
        </is>
      </c>
      <c r="F327" t="inlineStr">
        <is>
          <t>Holmen skog AB</t>
        </is>
      </c>
      <c r="G327" t="n">
        <v>1.5</v>
      </c>
      <c r="H327" t="n">
        <v>0</v>
      </c>
      <c r="I327" t="n">
        <v>0</v>
      </c>
      <c r="J327" t="n">
        <v>0</v>
      </c>
      <c r="K327" t="n">
        <v>0</v>
      </c>
      <c r="L327" t="n">
        <v>0</v>
      </c>
      <c r="M327" t="n">
        <v>0</v>
      </c>
      <c r="N327" t="n">
        <v>0</v>
      </c>
      <c r="O327" t="n">
        <v>0</v>
      </c>
      <c r="P327" t="n">
        <v>0</v>
      </c>
      <c r="Q327" t="n">
        <v>0</v>
      </c>
      <c r="R327" s="2" t="inlineStr"/>
    </row>
    <row r="328" ht="15" customHeight="1">
      <c r="A328" t="inlineStr">
        <is>
          <t>A 1448-2023</t>
        </is>
      </c>
      <c r="B328" s="1" t="n">
        <v>44937</v>
      </c>
      <c r="C328" s="1" t="n">
        <v>45994</v>
      </c>
      <c r="D328" t="inlineStr">
        <is>
          <t>STOCKHOLMS LÄN</t>
        </is>
      </c>
      <c r="E328" t="inlineStr">
        <is>
          <t>NORRTÄLJE</t>
        </is>
      </c>
      <c r="G328" t="n">
        <v>1.9</v>
      </c>
      <c r="H328" t="n">
        <v>0</v>
      </c>
      <c r="I328" t="n">
        <v>0</v>
      </c>
      <c r="J328" t="n">
        <v>0</v>
      </c>
      <c r="K328" t="n">
        <v>0</v>
      </c>
      <c r="L328" t="n">
        <v>0</v>
      </c>
      <c r="M328" t="n">
        <v>0</v>
      </c>
      <c r="N328" t="n">
        <v>0</v>
      </c>
      <c r="O328" t="n">
        <v>0</v>
      </c>
      <c r="P328" t="n">
        <v>0</v>
      </c>
      <c r="Q328" t="n">
        <v>0</v>
      </c>
      <c r="R328" s="2" t="inlineStr"/>
    </row>
    <row r="329" ht="15" customHeight="1">
      <c r="A329" t="inlineStr">
        <is>
          <t>A 19398-2021</t>
        </is>
      </c>
      <c r="B329" s="1" t="n">
        <v>44309</v>
      </c>
      <c r="C329" s="1" t="n">
        <v>45994</v>
      </c>
      <c r="D329" t="inlineStr">
        <is>
          <t>STOCKHOLMS LÄN</t>
        </is>
      </c>
      <c r="E329" t="inlineStr">
        <is>
          <t>NORRTÄLJE</t>
        </is>
      </c>
      <c r="F329" t="inlineStr">
        <is>
          <t>Kommuner</t>
        </is>
      </c>
      <c r="G329" t="n">
        <v>2.1</v>
      </c>
      <c r="H329" t="n">
        <v>0</v>
      </c>
      <c r="I329" t="n">
        <v>0</v>
      </c>
      <c r="J329" t="n">
        <v>0</v>
      </c>
      <c r="K329" t="n">
        <v>0</v>
      </c>
      <c r="L329" t="n">
        <v>0</v>
      </c>
      <c r="M329" t="n">
        <v>0</v>
      </c>
      <c r="N329" t="n">
        <v>0</v>
      </c>
      <c r="O329" t="n">
        <v>0</v>
      </c>
      <c r="P329" t="n">
        <v>0</v>
      </c>
      <c r="Q329" t="n">
        <v>0</v>
      </c>
      <c r="R329" s="2" t="inlineStr"/>
    </row>
    <row r="330" ht="15" customHeight="1">
      <c r="A330" t="inlineStr">
        <is>
          <t>A 8736-2024</t>
        </is>
      </c>
      <c r="B330" s="1" t="n">
        <v>45356.4722800926</v>
      </c>
      <c r="C330" s="1" t="n">
        <v>45994</v>
      </c>
      <c r="D330" t="inlineStr">
        <is>
          <t>STOCKHOLMS LÄN</t>
        </is>
      </c>
      <c r="E330" t="inlineStr">
        <is>
          <t>NORRTÄLJE</t>
        </is>
      </c>
      <c r="G330" t="n">
        <v>8.9</v>
      </c>
      <c r="H330" t="n">
        <v>0</v>
      </c>
      <c r="I330" t="n">
        <v>0</v>
      </c>
      <c r="J330" t="n">
        <v>0</v>
      </c>
      <c r="K330" t="n">
        <v>0</v>
      </c>
      <c r="L330" t="n">
        <v>0</v>
      </c>
      <c r="M330" t="n">
        <v>0</v>
      </c>
      <c r="N330" t="n">
        <v>0</v>
      </c>
      <c r="O330" t="n">
        <v>0</v>
      </c>
      <c r="P330" t="n">
        <v>0</v>
      </c>
      <c r="Q330" t="n">
        <v>0</v>
      </c>
      <c r="R330" s="2" t="inlineStr"/>
    </row>
    <row r="331" ht="15" customHeight="1">
      <c r="A331" t="inlineStr">
        <is>
          <t>A 33149-2022</t>
        </is>
      </c>
      <c r="B331" s="1" t="n">
        <v>44785</v>
      </c>
      <c r="C331" s="1" t="n">
        <v>45994</v>
      </c>
      <c r="D331" t="inlineStr">
        <is>
          <t>STOCKHOLMS LÄN</t>
        </is>
      </c>
      <c r="E331" t="inlineStr">
        <is>
          <t>NORRTÄLJE</t>
        </is>
      </c>
      <c r="F331" t="inlineStr">
        <is>
          <t>Holmen skog AB</t>
        </is>
      </c>
      <c r="G331" t="n">
        <v>4.4</v>
      </c>
      <c r="H331" t="n">
        <v>0</v>
      </c>
      <c r="I331" t="n">
        <v>0</v>
      </c>
      <c r="J331" t="n">
        <v>0</v>
      </c>
      <c r="K331" t="n">
        <v>0</v>
      </c>
      <c r="L331" t="n">
        <v>0</v>
      </c>
      <c r="M331" t="n">
        <v>0</v>
      </c>
      <c r="N331" t="n">
        <v>0</v>
      </c>
      <c r="O331" t="n">
        <v>0</v>
      </c>
      <c r="P331" t="n">
        <v>0</v>
      </c>
      <c r="Q331" t="n">
        <v>0</v>
      </c>
      <c r="R331" s="2" t="inlineStr"/>
    </row>
    <row r="332" ht="15" customHeight="1">
      <c r="A332" t="inlineStr">
        <is>
          <t>A 11122-2021</t>
        </is>
      </c>
      <c r="B332" s="1" t="n">
        <v>44260</v>
      </c>
      <c r="C332" s="1" t="n">
        <v>45994</v>
      </c>
      <c r="D332" t="inlineStr">
        <is>
          <t>STOCKHOLMS LÄN</t>
        </is>
      </c>
      <c r="E332" t="inlineStr">
        <is>
          <t>NORRTÄLJE</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45541-2022</t>
        </is>
      </c>
      <c r="B333" s="1" t="n">
        <v>44845.47672453704</v>
      </c>
      <c r="C333" s="1" t="n">
        <v>45994</v>
      </c>
      <c r="D333" t="inlineStr">
        <is>
          <t>STOCKHOLMS LÄN</t>
        </is>
      </c>
      <c r="E333" t="inlineStr">
        <is>
          <t>NORRTÄLJE</t>
        </is>
      </c>
      <c r="G333" t="n">
        <v>0.4</v>
      </c>
      <c r="H333" t="n">
        <v>0</v>
      </c>
      <c r="I333" t="n">
        <v>0</v>
      </c>
      <c r="J333" t="n">
        <v>0</v>
      </c>
      <c r="K333" t="n">
        <v>0</v>
      </c>
      <c r="L333" t="n">
        <v>0</v>
      </c>
      <c r="M333" t="n">
        <v>0</v>
      </c>
      <c r="N333" t="n">
        <v>0</v>
      </c>
      <c r="O333" t="n">
        <v>0</v>
      </c>
      <c r="P333" t="n">
        <v>0</v>
      </c>
      <c r="Q333" t="n">
        <v>0</v>
      </c>
      <c r="R333" s="2" t="inlineStr"/>
    </row>
    <row r="334" ht="15" customHeight="1">
      <c r="A334" t="inlineStr">
        <is>
          <t>A 17382-2024</t>
        </is>
      </c>
      <c r="B334" s="1" t="n">
        <v>45414.65855324074</v>
      </c>
      <c r="C334" s="1" t="n">
        <v>45994</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6070-2022</t>
        </is>
      </c>
      <c r="B335" s="1" t="n">
        <v>44599.58428240741</v>
      </c>
      <c r="C335" s="1" t="n">
        <v>45994</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17039-2024</t>
        </is>
      </c>
      <c r="B336" s="1" t="n">
        <v>45412.4104050926</v>
      </c>
      <c r="C336" s="1" t="n">
        <v>45994</v>
      </c>
      <c r="D336" t="inlineStr">
        <is>
          <t>STOCKHOLMS LÄN</t>
        </is>
      </c>
      <c r="E336" t="inlineStr">
        <is>
          <t>NORRTÄLJE</t>
        </is>
      </c>
      <c r="G336" t="n">
        <v>5.9</v>
      </c>
      <c r="H336" t="n">
        <v>0</v>
      </c>
      <c r="I336" t="n">
        <v>0</v>
      </c>
      <c r="J336" t="n">
        <v>0</v>
      </c>
      <c r="K336" t="n">
        <v>0</v>
      </c>
      <c r="L336" t="n">
        <v>0</v>
      </c>
      <c r="M336" t="n">
        <v>0</v>
      </c>
      <c r="N336" t="n">
        <v>0</v>
      </c>
      <c r="O336" t="n">
        <v>0</v>
      </c>
      <c r="P336" t="n">
        <v>0</v>
      </c>
      <c r="Q336" t="n">
        <v>0</v>
      </c>
      <c r="R336" s="2" t="inlineStr"/>
    </row>
    <row r="337" ht="15" customHeight="1">
      <c r="A337" t="inlineStr">
        <is>
          <t>A 12779-2021</t>
        </is>
      </c>
      <c r="B337" s="1" t="n">
        <v>44270</v>
      </c>
      <c r="C337" s="1" t="n">
        <v>45994</v>
      </c>
      <c r="D337" t="inlineStr">
        <is>
          <t>STOCKHOLMS LÄN</t>
        </is>
      </c>
      <c r="E337" t="inlineStr">
        <is>
          <t>NORRTÄLJE</t>
        </is>
      </c>
      <c r="G337" t="n">
        <v>10.8</v>
      </c>
      <c r="H337" t="n">
        <v>0</v>
      </c>
      <c r="I337" t="n">
        <v>0</v>
      </c>
      <c r="J337" t="n">
        <v>0</v>
      </c>
      <c r="K337" t="n">
        <v>0</v>
      </c>
      <c r="L337" t="n">
        <v>0</v>
      </c>
      <c r="M337" t="n">
        <v>0</v>
      </c>
      <c r="N337" t="n">
        <v>0</v>
      </c>
      <c r="O337" t="n">
        <v>0</v>
      </c>
      <c r="P337" t="n">
        <v>0</v>
      </c>
      <c r="Q337" t="n">
        <v>0</v>
      </c>
      <c r="R337" s="2" t="inlineStr"/>
    </row>
    <row r="338" ht="15" customHeight="1">
      <c r="A338" t="inlineStr">
        <is>
          <t>A 12782-2021</t>
        </is>
      </c>
      <c r="B338" s="1" t="n">
        <v>44270</v>
      </c>
      <c r="C338" s="1" t="n">
        <v>45994</v>
      </c>
      <c r="D338" t="inlineStr">
        <is>
          <t>STOCKHOLMS LÄN</t>
        </is>
      </c>
      <c r="E338" t="inlineStr">
        <is>
          <t>NORRTÄLJE</t>
        </is>
      </c>
      <c r="G338" t="n">
        <v>3.8</v>
      </c>
      <c r="H338" t="n">
        <v>0</v>
      </c>
      <c r="I338" t="n">
        <v>0</v>
      </c>
      <c r="J338" t="n">
        <v>0</v>
      </c>
      <c r="K338" t="n">
        <v>0</v>
      </c>
      <c r="L338" t="n">
        <v>0</v>
      </c>
      <c r="M338" t="n">
        <v>0</v>
      </c>
      <c r="N338" t="n">
        <v>0</v>
      </c>
      <c r="O338" t="n">
        <v>0</v>
      </c>
      <c r="P338" t="n">
        <v>0</v>
      </c>
      <c r="Q338" t="n">
        <v>0</v>
      </c>
      <c r="R338" s="2" t="inlineStr"/>
    </row>
    <row r="339" ht="15" customHeight="1">
      <c r="A339" t="inlineStr">
        <is>
          <t>A 48180-2023</t>
        </is>
      </c>
      <c r="B339" s="1" t="n">
        <v>45205</v>
      </c>
      <c r="C339" s="1" t="n">
        <v>45994</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35695-2023</t>
        </is>
      </c>
      <c r="B340" s="1" t="n">
        <v>45147.65407407407</v>
      </c>
      <c r="C340" s="1" t="n">
        <v>45994</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45173-2023</t>
        </is>
      </c>
      <c r="B341" s="1" t="n">
        <v>45191</v>
      </c>
      <c r="C341" s="1" t="n">
        <v>45994</v>
      </c>
      <c r="D341" t="inlineStr">
        <is>
          <t>STOCKHOLMS LÄN</t>
        </is>
      </c>
      <c r="E341" t="inlineStr">
        <is>
          <t>NORRTÄLJE</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68273-2021</t>
        </is>
      </c>
      <c r="B342" s="1" t="n">
        <v>44526</v>
      </c>
      <c r="C342" s="1" t="n">
        <v>45994</v>
      </c>
      <c r="D342" t="inlineStr">
        <is>
          <t>STOCKHOLMS LÄN</t>
        </is>
      </c>
      <c r="E342" t="inlineStr">
        <is>
          <t>NORRTÄLJE</t>
        </is>
      </c>
      <c r="G342" t="n">
        <v>5.3</v>
      </c>
      <c r="H342" t="n">
        <v>0</v>
      </c>
      <c r="I342" t="n">
        <v>0</v>
      </c>
      <c r="J342" t="n">
        <v>0</v>
      </c>
      <c r="K342" t="n">
        <v>0</v>
      </c>
      <c r="L342" t="n">
        <v>0</v>
      </c>
      <c r="M342" t="n">
        <v>0</v>
      </c>
      <c r="N342" t="n">
        <v>0</v>
      </c>
      <c r="O342" t="n">
        <v>0</v>
      </c>
      <c r="P342" t="n">
        <v>0</v>
      </c>
      <c r="Q342" t="n">
        <v>0</v>
      </c>
      <c r="R342" s="2" t="inlineStr"/>
    </row>
    <row r="343" ht="15" customHeight="1">
      <c r="A343" t="inlineStr">
        <is>
          <t>A 12268-2022</t>
        </is>
      </c>
      <c r="B343" s="1" t="n">
        <v>44637</v>
      </c>
      <c r="C343" s="1" t="n">
        <v>45994</v>
      </c>
      <c r="D343" t="inlineStr">
        <is>
          <t>STOCKHOLMS LÄN</t>
        </is>
      </c>
      <c r="E343" t="inlineStr">
        <is>
          <t>NORRTÄLJE</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6537-2024</t>
        </is>
      </c>
      <c r="B344" s="1" t="n">
        <v>45341.39853009259</v>
      </c>
      <c r="C344" s="1" t="n">
        <v>45994</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20015-2023</t>
        </is>
      </c>
      <c r="B345" s="1" t="n">
        <v>45054</v>
      </c>
      <c r="C345" s="1" t="n">
        <v>45994</v>
      </c>
      <c r="D345" t="inlineStr">
        <is>
          <t>STOCKHOLMS LÄN</t>
        </is>
      </c>
      <c r="E345" t="inlineStr">
        <is>
          <t>NORRTÄLJE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3273-2025</t>
        </is>
      </c>
      <c r="B346" s="1" t="n">
        <v>45679</v>
      </c>
      <c r="C346" s="1" t="n">
        <v>45994</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40175-2024</t>
        </is>
      </c>
      <c r="B347" s="1" t="n">
        <v>45554.55707175926</v>
      </c>
      <c r="C347" s="1" t="n">
        <v>45994</v>
      </c>
      <c r="D347" t="inlineStr">
        <is>
          <t>STOCKHOLMS LÄN</t>
        </is>
      </c>
      <c r="E347" t="inlineStr">
        <is>
          <t>NORRTÄLJE</t>
        </is>
      </c>
      <c r="G347" t="n">
        <v>7.7</v>
      </c>
      <c r="H347" t="n">
        <v>0</v>
      </c>
      <c r="I347" t="n">
        <v>0</v>
      </c>
      <c r="J347" t="n">
        <v>0</v>
      </c>
      <c r="K347" t="n">
        <v>0</v>
      </c>
      <c r="L347" t="n">
        <v>0</v>
      </c>
      <c r="M347" t="n">
        <v>0</v>
      </c>
      <c r="N347" t="n">
        <v>0</v>
      </c>
      <c r="O347" t="n">
        <v>0</v>
      </c>
      <c r="P347" t="n">
        <v>0</v>
      </c>
      <c r="Q347" t="n">
        <v>0</v>
      </c>
      <c r="R347" s="2" t="inlineStr"/>
    </row>
    <row r="348" ht="15" customHeight="1">
      <c r="A348" t="inlineStr">
        <is>
          <t>A 24705-2023</t>
        </is>
      </c>
      <c r="B348" s="1" t="n">
        <v>45084.54459490741</v>
      </c>
      <c r="C348" s="1" t="n">
        <v>45994</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24245-2024</t>
        </is>
      </c>
      <c r="B349" s="1" t="n">
        <v>45457</v>
      </c>
      <c r="C349" s="1" t="n">
        <v>45994</v>
      </c>
      <c r="D349" t="inlineStr">
        <is>
          <t>STOCKHOLMS LÄN</t>
        </is>
      </c>
      <c r="E349" t="inlineStr">
        <is>
          <t>NORRTÄLJE</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54558-2024</t>
        </is>
      </c>
      <c r="B350" s="1" t="n">
        <v>45617.62358796296</v>
      </c>
      <c r="C350" s="1" t="n">
        <v>45994</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21291-2021</t>
        </is>
      </c>
      <c r="B351" s="1" t="n">
        <v>44319</v>
      </c>
      <c r="C351" s="1" t="n">
        <v>45994</v>
      </c>
      <c r="D351" t="inlineStr">
        <is>
          <t>STOCKHOLMS LÄN</t>
        </is>
      </c>
      <c r="E351" t="inlineStr">
        <is>
          <t>NORRTÄLJE</t>
        </is>
      </c>
      <c r="G351" t="n">
        <v>12.7</v>
      </c>
      <c r="H351" t="n">
        <v>0</v>
      </c>
      <c r="I351" t="n">
        <v>0</v>
      </c>
      <c r="J351" t="n">
        <v>0</v>
      </c>
      <c r="K351" t="n">
        <v>0</v>
      </c>
      <c r="L351" t="n">
        <v>0</v>
      </c>
      <c r="M351" t="n">
        <v>0</v>
      </c>
      <c r="N351" t="n">
        <v>0</v>
      </c>
      <c r="O351" t="n">
        <v>0</v>
      </c>
      <c r="P351" t="n">
        <v>0</v>
      </c>
      <c r="Q351" t="n">
        <v>0</v>
      </c>
      <c r="R351" s="2" t="inlineStr"/>
    </row>
    <row r="352" ht="15" customHeight="1">
      <c r="A352" t="inlineStr">
        <is>
          <t>A 23056-2023</t>
        </is>
      </c>
      <c r="B352" s="1" t="n">
        <v>45075</v>
      </c>
      <c r="C352" s="1" t="n">
        <v>45994</v>
      </c>
      <c r="D352" t="inlineStr">
        <is>
          <t>STOCKHOLMS LÄN</t>
        </is>
      </c>
      <c r="E352" t="inlineStr">
        <is>
          <t>NORRTÄLJE</t>
        </is>
      </c>
      <c r="G352" t="n">
        <v>1.7</v>
      </c>
      <c r="H352" t="n">
        <v>0</v>
      </c>
      <c r="I352" t="n">
        <v>0</v>
      </c>
      <c r="J352" t="n">
        <v>0</v>
      </c>
      <c r="K352" t="n">
        <v>0</v>
      </c>
      <c r="L352" t="n">
        <v>0</v>
      </c>
      <c r="M352" t="n">
        <v>0</v>
      </c>
      <c r="N352" t="n">
        <v>0</v>
      </c>
      <c r="O352" t="n">
        <v>0</v>
      </c>
      <c r="P352" t="n">
        <v>0</v>
      </c>
      <c r="Q352" t="n">
        <v>0</v>
      </c>
      <c r="R352" s="2" t="inlineStr"/>
    </row>
    <row r="353" ht="15" customHeight="1">
      <c r="A353" t="inlineStr">
        <is>
          <t>A 15256-2023</t>
        </is>
      </c>
      <c r="B353" s="1" t="n">
        <v>45019.3959837963</v>
      </c>
      <c r="C353" s="1" t="n">
        <v>45994</v>
      </c>
      <c r="D353" t="inlineStr">
        <is>
          <t>STOCKHOLMS LÄN</t>
        </is>
      </c>
      <c r="E353" t="inlineStr">
        <is>
          <t>NORRTÄLJE</t>
        </is>
      </c>
      <c r="G353" t="n">
        <v>2.4</v>
      </c>
      <c r="H353" t="n">
        <v>0</v>
      </c>
      <c r="I353" t="n">
        <v>0</v>
      </c>
      <c r="J353" t="n">
        <v>0</v>
      </c>
      <c r="K353" t="n">
        <v>0</v>
      </c>
      <c r="L353" t="n">
        <v>0</v>
      </c>
      <c r="M353" t="n">
        <v>0</v>
      </c>
      <c r="N353" t="n">
        <v>0</v>
      </c>
      <c r="O353" t="n">
        <v>0</v>
      </c>
      <c r="P353" t="n">
        <v>0</v>
      </c>
      <c r="Q353" t="n">
        <v>0</v>
      </c>
      <c r="R353" s="2" t="inlineStr"/>
    </row>
    <row r="354" ht="15" customHeight="1">
      <c r="A354" t="inlineStr">
        <is>
          <t>A 20428-2024</t>
        </is>
      </c>
      <c r="B354" s="1" t="n">
        <v>45435</v>
      </c>
      <c r="C354" s="1" t="n">
        <v>45994</v>
      </c>
      <c r="D354" t="inlineStr">
        <is>
          <t>STOCKHOLMS LÄN</t>
        </is>
      </c>
      <c r="E354" t="inlineStr">
        <is>
          <t>NORRTÄLJE</t>
        </is>
      </c>
      <c r="G354" t="n">
        <v>3.7</v>
      </c>
      <c r="H354" t="n">
        <v>0</v>
      </c>
      <c r="I354" t="n">
        <v>0</v>
      </c>
      <c r="J354" t="n">
        <v>0</v>
      </c>
      <c r="K354" t="n">
        <v>0</v>
      </c>
      <c r="L354" t="n">
        <v>0</v>
      </c>
      <c r="M354" t="n">
        <v>0</v>
      </c>
      <c r="N354" t="n">
        <v>0</v>
      </c>
      <c r="O354" t="n">
        <v>0</v>
      </c>
      <c r="P354" t="n">
        <v>0</v>
      </c>
      <c r="Q354" t="n">
        <v>0</v>
      </c>
      <c r="R354" s="2" t="inlineStr"/>
    </row>
    <row r="355" ht="15" customHeight="1">
      <c r="A355" t="inlineStr">
        <is>
          <t>A 67393-2020</t>
        </is>
      </c>
      <c r="B355" s="1" t="n">
        <v>44181</v>
      </c>
      <c r="C355" s="1" t="n">
        <v>45994</v>
      </c>
      <c r="D355" t="inlineStr">
        <is>
          <t>STOCKHOLMS LÄN</t>
        </is>
      </c>
      <c r="E355" t="inlineStr">
        <is>
          <t>NORRTÄLJE</t>
        </is>
      </c>
      <c r="G355" t="n">
        <v>5.5</v>
      </c>
      <c r="H355" t="n">
        <v>0</v>
      </c>
      <c r="I355" t="n">
        <v>0</v>
      </c>
      <c r="J355" t="n">
        <v>0</v>
      </c>
      <c r="K355" t="n">
        <v>0</v>
      </c>
      <c r="L355" t="n">
        <v>0</v>
      </c>
      <c r="M355" t="n">
        <v>0</v>
      </c>
      <c r="N355" t="n">
        <v>0</v>
      </c>
      <c r="O355" t="n">
        <v>0</v>
      </c>
      <c r="P355" t="n">
        <v>0</v>
      </c>
      <c r="Q355" t="n">
        <v>0</v>
      </c>
      <c r="R355" s="2" t="inlineStr"/>
    </row>
    <row r="356" ht="15" customHeight="1">
      <c r="A356" t="inlineStr">
        <is>
          <t>A 21696-2024</t>
        </is>
      </c>
      <c r="B356" s="1" t="n">
        <v>45442.45686342593</v>
      </c>
      <c r="C356" s="1" t="n">
        <v>45994</v>
      </c>
      <c r="D356" t="inlineStr">
        <is>
          <t>STOCKHOLMS LÄN</t>
        </is>
      </c>
      <c r="E356" t="inlineStr">
        <is>
          <t>NORRTÄLJE</t>
        </is>
      </c>
      <c r="G356" t="n">
        <v>2.9</v>
      </c>
      <c r="H356" t="n">
        <v>0</v>
      </c>
      <c r="I356" t="n">
        <v>0</v>
      </c>
      <c r="J356" t="n">
        <v>0</v>
      </c>
      <c r="K356" t="n">
        <v>0</v>
      </c>
      <c r="L356" t="n">
        <v>0</v>
      </c>
      <c r="M356" t="n">
        <v>0</v>
      </c>
      <c r="N356" t="n">
        <v>0</v>
      </c>
      <c r="O356" t="n">
        <v>0</v>
      </c>
      <c r="P356" t="n">
        <v>0</v>
      </c>
      <c r="Q356" t="n">
        <v>0</v>
      </c>
      <c r="R356" s="2" t="inlineStr"/>
    </row>
    <row r="357" ht="15" customHeight="1">
      <c r="A357" t="inlineStr">
        <is>
          <t>A 47431-2023</t>
        </is>
      </c>
      <c r="B357" s="1" t="n">
        <v>45202</v>
      </c>
      <c r="C357" s="1" t="n">
        <v>45994</v>
      </c>
      <c r="D357" t="inlineStr">
        <is>
          <t>STOCKHOLMS LÄN</t>
        </is>
      </c>
      <c r="E357" t="inlineStr">
        <is>
          <t>NORRTÄLJE</t>
        </is>
      </c>
      <c r="F357" t="inlineStr">
        <is>
          <t>Naturvårdsverket</t>
        </is>
      </c>
      <c r="G357" t="n">
        <v>1.2</v>
      </c>
      <c r="H357" t="n">
        <v>0</v>
      </c>
      <c r="I357" t="n">
        <v>0</v>
      </c>
      <c r="J357" t="n">
        <v>0</v>
      </c>
      <c r="K357" t="n">
        <v>0</v>
      </c>
      <c r="L357" t="n">
        <v>0</v>
      </c>
      <c r="M357" t="n">
        <v>0</v>
      </c>
      <c r="N357" t="n">
        <v>0</v>
      </c>
      <c r="O357" t="n">
        <v>0</v>
      </c>
      <c r="P357" t="n">
        <v>0</v>
      </c>
      <c r="Q357" t="n">
        <v>0</v>
      </c>
      <c r="R357" s="2" t="inlineStr"/>
    </row>
    <row r="358" ht="15" customHeight="1">
      <c r="A358" t="inlineStr">
        <is>
          <t>A 59499-2023</t>
        </is>
      </c>
      <c r="B358" s="1" t="n">
        <v>45254</v>
      </c>
      <c r="C358" s="1" t="n">
        <v>45994</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59468-2023</t>
        </is>
      </c>
      <c r="B359" s="1" t="n">
        <v>45254.41509259259</v>
      </c>
      <c r="C359" s="1" t="n">
        <v>45994</v>
      </c>
      <c r="D359" t="inlineStr">
        <is>
          <t>STOCKHOLMS LÄN</t>
        </is>
      </c>
      <c r="E359" t="inlineStr">
        <is>
          <t>NORRTÄLJE</t>
        </is>
      </c>
      <c r="G359" t="n">
        <v>1.7</v>
      </c>
      <c r="H359" t="n">
        <v>0</v>
      </c>
      <c r="I359" t="n">
        <v>0</v>
      </c>
      <c r="J359" t="n">
        <v>0</v>
      </c>
      <c r="K359" t="n">
        <v>0</v>
      </c>
      <c r="L359" t="n">
        <v>0</v>
      </c>
      <c r="M359" t="n">
        <v>0</v>
      </c>
      <c r="N359" t="n">
        <v>0</v>
      </c>
      <c r="O359" t="n">
        <v>0</v>
      </c>
      <c r="P359" t="n">
        <v>0</v>
      </c>
      <c r="Q359" t="n">
        <v>0</v>
      </c>
      <c r="R359" s="2" t="inlineStr"/>
    </row>
    <row r="360" ht="15" customHeight="1">
      <c r="A360" t="inlineStr">
        <is>
          <t>A 13172-2025</t>
        </is>
      </c>
      <c r="B360" s="1" t="n">
        <v>45735.36873842592</v>
      </c>
      <c r="C360" s="1" t="n">
        <v>45994</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67990-2021</t>
        </is>
      </c>
      <c r="B361" s="1" t="n">
        <v>44525</v>
      </c>
      <c r="C361" s="1" t="n">
        <v>45994</v>
      </c>
      <c r="D361" t="inlineStr">
        <is>
          <t>STOCKHOLMS LÄN</t>
        </is>
      </c>
      <c r="E361" t="inlineStr">
        <is>
          <t>NORRTÄLJE</t>
        </is>
      </c>
      <c r="F361" t="inlineStr">
        <is>
          <t>Sveaskog</t>
        </is>
      </c>
      <c r="G361" t="n">
        <v>7.8</v>
      </c>
      <c r="H361" t="n">
        <v>0</v>
      </c>
      <c r="I361" t="n">
        <v>0</v>
      </c>
      <c r="J361" t="n">
        <v>0</v>
      </c>
      <c r="K361" t="n">
        <v>0</v>
      </c>
      <c r="L361" t="n">
        <v>0</v>
      </c>
      <c r="M361" t="n">
        <v>0</v>
      </c>
      <c r="N361" t="n">
        <v>0</v>
      </c>
      <c r="O361" t="n">
        <v>0</v>
      </c>
      <c r="P361" t="n">
        <v>0</v>
      </c>
      <c r="Q361" t="n">
        <v>0</v>
      </c>
      <c r="R361" s="2" t="inlineStr"/>
    </row>
    <row r="362" ht="15" customHeight="1">
      <c r="A362" t="inlineStr">
        <is>
          <t>A 71552-2021</t>
        </is>
      </c>
      <c r="B362" s="1" t="n">
        <v>44540</v>
      </c>
      <c r="C362" s="1" t="n">
        <v>45994</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12532-2025</t>
        </is>
      </c>
      <c r="B363" s="1" t="n">
        <v>45730.69143518519</v>
      </c>
      <c r="C363" s="1" t="n">
        <v>45994</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5732-2023</t>
        </is>
      </c>
      <c r="B364" s="1" t="n">
        <v>44962</v>
      </c>
      <c r="C364" s="1" t="n">
        <v>45994</v>
      </c>
      <c r="D364" t="inlineStr">
        <is>
          <t>STOCKHOLMS LÄN</t>
        </is>
      </c>
      <c r="E364" t="inlineStr">
        <is>
          <t>NORRTÄLJE</t>
        </is>
      </c>
      <c r="G364" t="n">
        <v>0.5</v>
      </c>
      <c r="H364" t="n">
        <v>0</v>
      </c>
      <c r="I364" t="n">
        <v>0</v>
      </c>
      <c r="J364" t="n">
        <v>0</v>
      </c>
      <c r="K364" t="n">
        <v>0</v>
      </c>
      <c r="L364" t="n">
        <v>0</v>
      </c>
      <c r="M364" t="n">
        <v>0</v>
      </c>
      <c r="N364" t="n">
        <v>0</v>
      </c>
      <c r="O364" t="n">
        <v>0</v>
      </c>
      <c r="P364" t="n">
        <v>0</v>
      </c>
      <c r="Q364" t="n">
        <v>0</v>
      </c>
      <c r="R364" s="2" t="inlineStr"/>
    </row>
    <row r="365" ht="15" customHeight="1">
      <c r="A365" t="inlineStr">
        <is>
          <t>A 73992-2021</t>
        </is>
      </c>
      <c r="B365" s="1" t="n">
        <v>44556</v>
      </c>
      <c r="C365" s="1" t="n">
        <v>45994</v>
      </c>
      <c r="D365" t="inlineStr">
        <is>
          <t>STOCKHOLMS LÄN</t>
        </is>
      </c>
      <c r="E365" t="inlineStr">
        <is>
          <t>NORRTÄLJE</t>
        </is>
      </c>
      <c r="G365" t="n">
        <v>12.5</v>
      </c>
      <c r="H365" t="n">
        <v>0</v>
      </c>
      <c r="I365" t="n">
        <v>0</v>
      </c>
      <c r="J365" t="n">
        <v>0</v>
      </c>
      <c r="K365" t="n">
        <v>0</v>
      </c>
      <c r="L365" t="n">
        <v>0</v>
      </c>
      <c r="M365" t="n">
        <v>0</v>
      </c>
      <c r="N365" t="n">
        <v>0</v>
      </c>
      <c r="O365" t="n">
        <v>0</v>
      </c>
      <c r="P365" t="n">
        <v>0</v>
      </c>
      <c r="Q365" t="n">
        <v>0</v>
      </c>
      <c r="R365" s="2" t="inlineStr"/>
    </row>
    <row r="366" ht="15" customHeight="1">
      <c r="A366" t="inlineStr">
        <is>
          <t>A 10653-2022</t>
        </is>
      </c>
      <c r="B366" s="1" t="n">
        <v>44624.59434027778</v>
      </c>
      <c r="C366" s="1" t="n">
        <v>45994</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21729-2024</t>
        </is>
      </c>
      <c r="B367" s="1" t="n">
        <v>45442</v>
      </c>
      <c r="C367" s="1" t="n">
        <v>45994</v>
      </c>
      <c r="D367" t="inlineStr">
        <is>
          <t>STOCKHOLMS LÄN</t>
        </is>
      </c>
      <c r="E367" t="inlineStr">
        <is>
          <t>NORRTÄLJE</t>
        </is>
      </c>
      <c r="G367" t="n">
        <v>2.2</v>
      </c>
      <c r="H367" t="n">
        <v>0</v>
      </c>
      <c r="I367" t="n">
        <v>0</v>
      </c>
      <c r="J367" t="n">
        <v>0</v>
      </c>
      <c r="K367" t="n">
        <v>0</v>
      </c>
      <c r="L367" t="n">
        <v>0</v>
      </c>
      <c r="M367" t="n">
        <v>0</v>
      </c>
      <c r="N367" t="n">
        <v>0</v>
      </c>
      <c r="O367" t="n">
        <v>0</v>
      </c>
      <c r="P367" t="n">
        <v>0</v>
      </c>
      <c r="Q367" t="n">
        <v>0</v>
      </c>
      <c r="R367" s="2" t="inlineStr"/>
    </row>
    <row r="368" ht="15" customHeight="1">
      <c r="A368" t="inlineStr">
        <is>
          <t>A 64145-2021</t>
        </is>
      </c>
      <c r="B368" s="1" t="n">
        <v>44510</v>
      </c>
      <c r="C368" s="1" t="n">
        <v>45994</v>
      </c>
      <c r="D368" t="inlineStr">
        <is>
          <t>STOCKHOLMS LÄN</t>
        </is>
      </c>
      <c r="E368" t="inlineStr">
        <is>
          <t>NORRTÄLJE</t>
        </is>
      </c>
      <c r="F368" t="inlineStr">
        <is>
          <t>Holmen skog AB</t>
        </is>
      </c>
      <c r="G368" t="n">
        <v>1.5</v>
      </c>
      <c r="H368" t="n">
        <v>0</v>
      </c>
      <c r="I368" t="n">
        <v>0</v>
      </c>
      <c r="J368" t="n">
        <v>0</v>
      </c>
      <c r="K368" t="n">
        <v>0</v>
      </c>
      <c r="L368" t="n">
        <v>0</v>
      </c>
      <c r="M368" t="n">
        <v>0</v>
      </c>
      <c r="N368" t="n">
        <v>0</v>
      </c>
      <c r="O368" t="n">
        <v>0</v>
      </c>
      <c r="P368" t="n">
        <v>0</v>
      </c>
      <c r="Q368" t="n">
        <v>0</v>
      </c>
      <c r="R368" s="2" t="inlineStr"/>
    </row>
    <row r="369" ht="15" customHeight="1">
      <c r="A369" t="inlineStr">
        <is>
          <t>A 1740-2023</t>
        </is>
      </c>
      <c r="B369" s="1" t="n">
        <v>44938</v>
      </c>
      <c r="C369" s="1" t="n">
        <v>45994</v>
      </c>
      <c r="D369" t="inlineStr">
        <is>
          <t>STOCKHOLMS LÄN</t>
        </is>
      </c>
      <c r="E369" t="inlineStr">
        <is>
          <t>NORRTÄLJE</t>
        </is>
      </c>
      <c r="G369" t="n">
        <v>0.9</v>
      </c>
      <c r="H369" t="n">
        <v>0</v>
      </c>
      <c r="I369" t="n">
        <v>0</v>
      </c>
      <c r="J369" t="n">
        <v>0</v>
      </c>
      <c r="K369" t="n">
        <v>0</v>
      </c>
      <c r="L369" t="n">
        <v>0</v>
      </c>
      <c r="M369" t="n">
        <v>0</v>
      </c>
      <c r="N369" t="n">
        <v>0</v>
      </c>
      <c r="O369" t="n">
        <v>0</v>
      </c>
      <c r="P369" t="n">
        <v>0</v>
      </c>
      <c r="Q369" t="n">
        <v>0</v>
      </c>
      <c r="R369" s="2" t="inlineStr"/>
    </row>
    <row r="370" ht="15" customHeight="1">
      <c r="A370" t="inlineStr">
        <is>
          <t>A 4596-2023</t>
        </is>
      </c>
      <c r="B370" s="1" t="n">
        <v>44956</v>
      </c>
      <c r="C370" s="1" t="n">
        <v>45994</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26113-2024</t>
        </is>
      </c>
      <c r="B371" s="1" t="n">
        <v>45468.45541666666</v>
      </c>
      <c r="C371" s="1" t="n">
        <v>45994</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26116-2024</t>
        </is>
      </c>
      <c r="B372" s="1" t="n">
        <v>45468.45747685185</v>
      </c>
      <c r="C372" s="1" t="n">
        <v>45994</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7571-2024</t>
        </is>
      </c>
      <c r="B373" s="1" t="n">
        <v>45348.46300925926</v>
      </c>
      <c r="C373" s="1" t="n">
        <v>45994</v>
      </c>
      <c r="D373" t="inlineStr">
        <is>
          <t>STOCKHOLMS LÄN</t>
        </is>
      </c>
      <c r="E373" t="inlineStr">
        <is>
          <t>NORRTÄLJE</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11854-2025</t>
        </is>
      </c>
      <c r="B374" s="1" t="n">
        <v>45728.38924768518</v>
      </c>
      <c r="C374" s="1" t="n">
        <v>45994</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15978-2024</t>
        </is>
      </c>
      <c r="B375" s="1" t="n">
        <v>45405.57927083333</v>
      </c>
      <c r="C375" s="1" t="n">
        <v>45994</v>
      </c>
      <c r="D375" t="inlineStr">
        <is>
          <t>STOCKHOLMS LÄN</t>
        </is>
      </c>
      <c r="E375" t="inlineStr">
        <is>
          <t>NORRTÄLJE</t>
        </is>
      </c>
      <c r="G375" t="n">
        <v>1.5</v>
      </c>
      <c r="H375" t="n">
        <v>0</v>
      </c>
      <c r="I375" t="n">
        <v>0</v>
      </c>
      <c r="J375" t="n">
        <v>0</v>
      </c>
      <c r="K375" t="n">
        <v>0</v>
      </c>
      <c r="L375" t="n">
        <v>0</v>
      </c>
      <c r="M375" t="n">
        <v>0</v>
      </c>
      <c r="N375" t="n">
        <v>0</v>
      </c>
      <c r="O375" t="n">
        <v>0</v>
      </c>
      <c r="P375" t="n">
        <v>0</v>
      </c>
      <c r="Q375" t="n">
        <v>0</v>
      </c>
      <c r="R375" s="2" t="inlineStr"/>
    </row>
    <row r="376" ht="15" customHeight="1">
      <c r="A376" t="inlineStr">
        <is>
          <t>A 14762-2024</t>
        </is>
      </c>
      <c r="B376" s="1" t="n">
        <v>45397</v>
      </c>
      <c r="C376" s="1" t="n">
        <v>45994</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11333-2025</t>
        </is>
      </c>
      <c r="B377" s="1" t="n">
        <v>45726.48377314815</v>
      </c>
      <c r="C377" s="1" t="n">
        <v>45994</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10676-2025</t>
        </is>
      </c>
      <c r="B378" s="1" t="n">
        <v>45721.88684027778</v>
      </c>
      <c r="C378" s="1" t="n">
        <v>45994</v>
      </c>
      <c r="D378" t="inlineStr">
        <is>
          <t>STOCKHOLMS LÄN</t>
        </is>
      </c>
      <c r="E378" t="inlineStr">
        <is>
          <t>NORRTÄLJE</t>
        </is>
      </c>
      <c r="G378" t="n">
        <v>1.3</v>
      </c>
      <c r="H378" t="n">
        <v>0</v>
      </c>
      <c r="I378" t="n">
        <v>0</v>
      </c>
      <c r="J378" t="n">
        <v>0</v>
      </c>
      <c r="K378" t="n">
        <v>0</v>
      </c>
      <c r="L378" t="n">
        <v>0</v>
      </c>
      <c r="M378" t="n">
        <v>0</v>
      </c>
      <c r="N378" t="n">
        <v>0</v>
      </c>
      <c r="O378" t="n">
        <v>0</v>
      </c>
      <c r="P378" t="n">
        <v>0</v>
      </c>
      <c r="Q378" t="n">
        <v>0</v>
      </c>
      <c r="R378" s="2" t="inlineStr"/>
    </row>
    <row r="379" ht="15" customHeight="1">
      <c r="A379" t="inlineStr">
        <is>
          <t>A 11849-2025</t>
        </is>
      </c>
      <c r="B379" s="1" t="n">
        <v>45728.38409722222</v>
      </c>
      <c r="C379" s="1" t="n">
        <v>45994</v>
      </c>
      <c r="D379" t="inlineStr">
        <is>
          <t>STOCKHOLMS LÄN</t>
        </is>
      </c>
      <c r="E379" t="inlineStr">
        <is>
          <t>NORRTÄLJE</t>
        </is>
      </c>
      <c r="G379" t="n">
        <v>1.7</v>
      </c>
      <c r="H379" t="n">
        <v>0</v>
      </c>
      <c r="I379" t="n">
        <v>0</v>
      </c>
      <c r="J379" t="n">
        <v>0</v>
      </c>
      <c r="K379" t="n">
        <v>0</v>
      </c>
      <c r="L379" t="n">
        <v>0</v>
      </c>
      <c r="M379" t="n">
        <v>0</v>
      </c>
      <c r="N379" t="n">
        <v>0</v>
      </c>
      <c r="O379" t="n">
        <v>0</v>
      </c>
      <c r="P379" t="n">
        <v>0</v>
      </c>
      <c r="Q379" t="n">
        <v>0</v>
      </c>
      <c r="R379" s="2" t="inlineStr"/>
    </row>
    <row r="380" ht="15" customHeight="1">
      <c r="A380" t="inlineStr">
        <is>
          <t>A 20852-2023</t>
        </is>
      </c>
      <c r="B380" s="1" t="n">
        <v>45058.78607638889</v>
      </c>
      <c r="C380" s="1" t="n">
        <v>45994</v>
      </c>
      <c r="D380" t="inlineStr">
        <is>
          <t>STOCKHOLMS LÄN</t>
        </is>
      </c>
      <c r="E380" t="inlineStr">
        <is>
          <t>NORRTÄLJE</t>
        </is>
      </c>
      <c r="G380" t="n">
        <v>3.5</v>
      </c>
      <c r="H380" t="n">
        <v>0</v>
      </c>
      <c r="I380" t="n">
        <v>0</v>
      </c>
      <c r="J380" t="n">
        <v>0</v>
      </c>
      <c r="K380" t="n">
        <v>0</v>
      </c>
      <c r="L380" t="n">
        <v>0</v>
      </c>
      <c r="M380" t="n">
        <v>0</v>
      </c>
      <c r="N380" t="n">
        <v>0</v>
      </c>
      <c r="O380" t="n">
        <v>0</v>
      </c>
      <c r="P380" t="n">
        <v>0</v>
      </c>
      <c r="Q380" t="n">
        <v>0</v>
      </c>
      <c r="R380" s="2" t="inlineStr"/>
    </row>
    <row r="381" ht="15" customHeight="1">
      <c r="A381" t="inlineStr">
        <is>
          <t>A 22456-2023</t>
        </is>
      </c>
      <c r="B381" s="1" t="n">
        <v>45070</v>
      </c>
      <c r="C381" s="1" t="n">
        <v>45994</v>
      </c>
      <c r="D381" t="inlineStr">
        <is>
          <t>STOCKHOLMS LÄN</t>
        </is>
      </c>
      <c r="E381" t="inlineStr">
        <is>
          <t>NORRTÄLJE</t>
        </is>
      </c>
      <c r="G381" t="n">
        <v>3.1</v>
      </c>
      <c r="H381" t="n">
        <v>0</v>
      </c>
      <c r="I381" t="n">
        <v>0</v>
      </c>
      <c r="J381" t="n">
        <v>0</v>
      </c>
      <c r="K381" t="n">
        <v>0</v>
      </c>
      <c r="L381" t="n">
        <v>0</v>
      </c>
      <c r="M381" t="n">
        <v>0</v>
      </c>
      <c r="N381" t="n">
        <v>0</v>
      </c>
      <c r="O381" t="n">
        <v>0</v>
      </c>
      <c r="P381" t="n">
        <v>0</v>
      </c>
      <c r="Q381" t="n">
        <v>0</v>
      </c>
      <c r="R381" s="2" t="inlineStr"/>
    </row>
    <row r="382" ht="15" customHeight="1">
      <c r="A382" t="inlineStr">
        <is>
          <t>A 17785-2024</t>
        </is>
      </c>
      <c r="B382" s="1" t="n">
        <v>45418.6968287037</v>
      </c>
      <c r="C382" s="1" t="n">
        <v>45994</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34391-2023</t>
        </is>
      </c>
      <c r="B383" s="1" t="n">
        <v>45139.51457175926</v>
      </c>
      <c r="C383" s="1" t="n">
        <v>45994</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59712-2024</t>
        </is>
      </c>
      <c r="B384" s="1" t="n">
        <v>45639.45166666667</v>
      </c>
      <c r="C384" s="1" t="n">
        <v>45994</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6678-2025</t>
        </is>
      </c>
      <c r="B385" s="1" t="n">
        <v>45700</v>
      </c>
      <c r="C385" s="1" t="n">
        <v>45994</v>
      </c>
      <c r="D385" t="inlineStr">
        <is>
          <t>STOCKHOLMS LÄN</t>
        </is>
      </c>
      <c r="E385" t="inlineStr">
        <is>
          <t>NORRTÄLJE</t>
        </is>
      </c>
      <c r="F385" t="inlineStr">
        <is>
          <t>Övriga Aktiebolag</t>
        </is>
      </c>
      <c r="G385" t="n">
        <v>6.6</v>
      </c>
      <c r="H385" t="n">
        <v>0</v>
      </c>
      <c r="I385" t="n">
        <v>0</v>
      </c>
      <c r="J385" t="n">
        <v>0</v>
      </c>
      <c r="K385" t="n">
        <v>0</v>
      </c>
      <c r="L385" t="n">
        <v>0</v>
      </c>
      <c r="M385" t="n">
        <v>0</v>
      </c>
      <c r="N385" t="n">
        <v>0</v>
      </c>
      <c r="O385" t="n">
        <v>0</v>
      </c>
      <c r="P385" t="n">
        <v>0</v>
      </c>
      <c r="Q385" t="n">
        <v>0</v>
      </c>
      <c r="R385" s="2" t="inlineStr"/>
    </row>
    <row r="386" ht="15" customHeight="1">
      <c r="A386" t="inlineStr">
        <is>
          <t>A 35127-2023</t>
        </is>
      </c>
      <c r="B386" s="1" t="n">
        <v>45145.51</v>
      </c>
      <c r="C386" s="1" t="n">
        <v>45994</v>
      </c>
      <c r="D386" t="inlineStr">
        <is>
          <t>STOCKHOLMS LÄN</t>
        </is>
      </c>
      <c r="E386" t="inlineStr">
        <is>
          <t>NORRTÄLJE</t>
        </is>
      </c>
      <c r="G386" t="n">
        <v>4.7</v>
      </c>
      <c r="H386" t="n">
        <v>0</v>
      </c>
      <c r="I386" t="n">
        <v>0</v>
      </c>
      <c r="J386" t="n">
        <v>0</v>
      </c>
      <c r="K386" t="n">
        <v>0</v>
      </c>
      <c r="L386" t="n">
        <v>0</v>
      </c>
      <c r="M386" t="n">
        <v>0</v>
      </c>
      <c r="N386" t="n">
        <v>0</v>
      </c>
      <c r="O386" t="n">
        <v>0</v>
      </c>
      <c r="P386" t="n">
        <v>0</v>
      </c>
      <c r="Q386" t="n">
        <v>0</v>
      </c>
      <c r="R386" s="2" t="inlineStr"/>
    </row>
    <row r="387" ht="15" customHeight="1">
      <c r="A387" t="inlineStr">
        <is>
          <t>A 67921-2021</t>
        </is>
      </c>
      <c r="B387" s="1" t="n">
        <v>44525</v>
      </c>
      <c r="C387" s="1" t="n">
        <v>45994</v>
      </c>
      <c r="D387" t="inlineStr">
        <is>
          <t>STOCKHOLMS LÄN</t>
        </is>
      </c>
      <c r="E387" t="inlineStr">
        <is>
          <t>NORRTÄLJE</t>
        </is>
      </c>
      <c r="G387" t="n">
        <v>6.3</v>
      </c>
      <c r="H387" t="n">
        <v>0</v>
      </c>
      <c r="I387" t="n">
        <v>0</v>
      </c>
      <c r="J387" t="n">
        <v>0</v>
      </c>
      <c r="K387" t="n">
        <v>0</v>
      </c>
      <c r="L387" t="n">
        <v>0</v>
      </c>
      <c r="M387" t="n">
        <v>0</v>
      </c>
      <c r="N387" t="n">
        <v>0</v>
      </c>
      <c r="O387" t="n">
        <v>0</v>
      </c>
      <c r="P387" t="n">
        <v>0</v>
      </c>
      <c r="Q387" t="n">
        <v>0</v>
      </c>
      <c r="R387" s="2" t="inlineStr"/>
    </row>
    <row r="388" ht="15" customHeight="1">
      <c r="A388" t="inlineStr">
        <is>
          <t>A 25681-2024</t>
        </is>
      </c>
      <c r="B388" s="1" t="n">
        <v>45463.80486111111</v>
      </c>
      <c r="C388" s="1" t="n">
        <v>45994</v>
      </c>
      <c r="D388" t="inlineStr">
        <is>
          <t>STOCKHOLMS LÄN</t>
        </is>
      </c>
      <c r="E388" t="inlineStr">
        <is>
          <t>NORRTÄLJE</t>
        </is>
      </c>
      <c r="G388" t="n">
        <v>2.7</v>
      </c>
      <c r="H388" t="n">
        <v>0</v>
      </c>
      <c r="I388" t="n">
        <v>0</v>
      </c>
      <c r="J388" t="n">
        <v>0</v>
      </c>
      <c r="K388" t="n">
        <v>0</v>
      </c>
      <c r="L388" t="n">
        <v>0</v>
      </c>
      <c r="M388" t="n">
        <v>0</v>
      </c>
      <c r="N388" t="n">
        <v>0</v>
      </c>
      <c r="O388" t="n">
        <v>0</v>
      </c>
      <c r="P388" t="n">
        <v>0</v>
      </c>
      <c r="Q388" t="n">
        <v>0</v>
      </c>
      <c r="R388" s="2" t="inlineStr"/>
    </row>
    <row r="389" ht="15" customHeight="1">
      <c r="A389" t="inlineStr">
        <is>
          <t>A 19982-2022</t>
        </is>
      </c>
      <c r="B389" s="1" t="n">
        <v>44697</v>
      </c>
      <c r="C389" s="1" t="n">
        <v>45994</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42075-2023</t>
        </is>
      </c>
      <c r="B390" s="1" t="n">
        <v>45177</v>
      </c>
      <c r="C390" s="1" t="n">
        <v>45994</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45255-2022</t>
        </is>
      </c>
      <c r="B391" s="1" t="n">
        <v>44840</v>
      </c>
      <c r="C391" s="1" t="n">
        <v>45994</v>
      </c>
      <c r="D391" t="inlineStr">
        <is>
          <t>STOCKHOLMS LÄN</t>
        </is>
      </c>
      <c r="E391" t="inlineStr">
        <is>
          <t>NORRTÄLJE</t>
        </is>
      </c>
      <c r="G391" t="n">
        <v>4.1</v>
      </c>
      <c r="H391" t="n">
        <v>0</v>
      </c>
      <c r="I391" t="n">
        <v>0</v>
      </c>
      <c r="J391" t="n">
        <v>0</v>
      </c>
      <c r="K391" t="n">
        <v>0</v>
      </c>
      <c r="L391" t="n">
        <v>0</v>
      </c>
      <c r="M391" t="n">
        <v>0</v>
      </c>
      <c r="N391" t="n">
        <v>0</v>
      </c>
      <c r="O391" t="n">
        <v>0</v>
      </c>
      <c r="P391" t="n">
        <v>0</v>
      </c>
      <c r="Q391" t="n">
        <v>0</v>
      </c>
      <c r="R391" s="2" t="inlineStr"/>
    </row>
    <row r="392" ht="15" customHeight="1">
      <c r="A392" t="inlineStr">
        <is>
          <t>A 40425-2021</t>
        </is>
      </c>
      <c r="B392" s="1" t="n">
        <v>44419</v>
      </c>
      <c r="C392" s="1" t="n">
        <v>45994</v>
      </c>
      <c r="D392" t="inlineStr">
        <is>
          <t>STOCKHOLMS LÄN</t>
        </is>
      </c>
      <c r="E392" t="inlineStr">
        <is>
          <t>NORRTÄLJE</t>
        </is>
      </c>
      <c r="G392" t="n">
        <v>5</v>
      </c>
      <c r="H392" t="n">
        <v>0</v>
      </c>
      <c r="I392" t="n">
        <v>0</v>
      </c>
      <c r="J392" t="n">
        <v>0</v>
      </c>
      <c r="K392" t="n">
        <v>0</v>
      </c>
      <c r="L392" t="n">
        <v>0</v>
      </c>
      <c r="M392" t="n">
        <v>0</v>
      </c>
      <c r="N392" t="n">
        <v>0</v>
      </c>
      <c r="O392" t="n">
        <v>0</v>
      </c>
      <c r="P392" t="n">
        <v>0</v>
      </c>
      <c r="Q392" t="n">
        <v>0</v>
      </c>
      <c r="R392" s="2" t="inlineStr"/>
    </row>
    <row r="393" ht="15" customHeight="1">
      <c r="A393" t="inlineStr">
        <is>
          <t>A 50108-2021</t>
        </is>
      </c>
      <c r="B393" s="1" t="n">
        <v>44456</v>
      </c>
      <c r="C393" s="1" t="n">
        <v>45994</v>
      </c>
      <c r="D393" t="inlineStr">
        <is>
          <t>STOCKHOLMS LÄN</t>
        </is>
      </c>
      <c r="E393" t="inlineStr">
        <is>
          <t>NORRTÄLJE</t>
        </is>
      </c>
      <c r="G393" t="n">
        <v>0.7</v>
      </c>
      <c r="H393" t="n">
        <v>0</v>
      </c>
      <c r="I393" t="n">
        <v>0</v>
      </c>
      <c r="J393" t="n">
        <v>0</v>
      </c>
      <c r="K393" t="n">
        <v>0</v>
      </c>
      <c r="L393" t="n">
        <v>0</v>
      </c>
      <c r="M393" t="n">
        <v>0</v>
      </c>
      <c r="N393" t="n">
        <v>0</v>
      </c>
      <c r="O393" t="n">
        <v>0</v>
      </c>
      <c r="P393" t="n">
        <v>0</v>
      </c>
      <c r="Q393" t="n">
        <v>0</v>
      </c>
      <c r="R393" s="2" t="inlineStr"/>
    </row>
    <row r="394" ht="15" customHeight="1">
      <c r="A394" t="inlineStr">
        <is>
          <t>A 58853-2024</t>
        </is>
      </c>
      <c r="B394" s="1" t="n">
        <v>45636.38974537037</v>
      </c>
      <c r="C394" s="1" t="n">
        <v>45994</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59893-2022</t>
        </is>
      </c>
      <c r="B395" s="1" t="n">
        <v>44908.77368055555</v>
      </c>
      <c r="C395" s="1" t="n">
        <v>45994</v>
      </c>
      <c r="D395" t="inlineStr">
        <is>
          <t>STOCKHOLMS LÄN</t>
        </is>
      </c>
      <c r="E395" t="inlineStr">
        <is>
          <t>NORRTÄLJE</t>
        </is>
      </c>
      <c r="G395" t="n">
        <v>3</v>
      </c>
      <c r="H395" t="n">
        <v>0</v>
      </c>
      <c r="I395" t="n">
        <v>0</v>
      </c>
      <c r="J395" t="n">
        <v>0</v>
      </c>
      <c r="K395" t="n">
        <v>0</v>
      </c>
      <c r="L395" t="n">
        <v>0</v>
      </c>
      <c r="M395" t="n">
        <v>0</v>
      </c>
      <c r="N395" t="n">
        <v>0</v>
      </c>
      <c r="O395" t="n">
        <v>0</v>
      </c>
      <c r="P395" t="n">
        <v>0</v>
      </c>
      <c r="Q395" t="n">
        <v>0</v>
      </c>
      <c r="R395" s="2" t="inlineStr"/>
    </row>
    <row r="396" ht="15" customHeight="1">
      <c r="A396" t="inlineStr">
        <is>
          <t>A 35438-2023</t>
        </is>
      </c>
      <c r="B396" s="1" t="n">
        <v>45146</v>
      </c>
      <c r="C396" s="1" t="n">
        <v>45994</v>
      </c>
      <c r="D396" t="inlineStr">
        <is>
          <t>STOCKHOLMS LÄN</t>
        </is>
      </c>
      <c r="E396" t="inlineStr">
        <is>
          <t>NORRTÄLJE</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20291-2022</t>
        </is>
      </c>
      <c r="B397" s="1" t="n">
        <v>44698</v>
      </c>
      <c r="C397" s="1" t="n">
        <v>45994</v>
      </c>
      <c r="D397" t="inlineStr">
        <is>
          <t>STOCKHOLMS LÄN</t>
        </is>
      </c>
      <c r="E397" t="inlineStr">
        <is>
          <t>NORRTÄLJE</t>
        </is>
      </c>
      <c r="F397" t="inlineStr">
        <is>
          <t>Naturvårdsverket</t>
        </is>
      </c>
      <c r="G397" t="n">
        <v>2</v>
      </c>
      <c r="H397" t="n">
        <v>0</v>
      </c>
      <c r="I397" t="n">
        <v>0</v>
      </c>
      <c r="J397" t="n">
        <v>0</v>
      </c>
      <c r="K397" t="n">
        <v>0</v>
      </c>
      <c r="L397" t="n">
        <v>0</v>
      </c>
      <c r="M397" t="n">
        <v>0</v>
      </c>
      <c r="N397" t="n">
        <v>0</v>
      </c>
      <c r="O397" t="n">
        <v>0</v>
      </c>
      <c r="P397" t="n">
        <v>0</v>
      </c>
      <c r="Q397" t="n">
        <v>0</v>
      </c>
      <c r="R397" s="2" t="inlineStr"/>
    </row>
    <row r="398" ht="15" customHeight="1">
      <c r="A398" t="inlineStr">
        <is>
          <t>A 26115-2024</t>
        </is>
      </c>
      <c r="B398" s="1" t="n">
        <v>45468.45628472222</v>
      </c>
      <c r="C398" s="1" t="n">
        <v>45994</v>
      </c>
      <c r="D398" t="inlineStr">
        <is>
          <t>STOCKHOLMS LÄN</t>
        </is>
      </c>
      <c r="E398" t="inlineStr">
        <is>
          <t>NORRTÄLJE</t>
        </is>
      </c>
      <c r="G398" t="n">
        <v>0.3</v>
      </c>
      <c r="H398" t="n">
        <v>0</v>
      </c>
      <c r="I398" t="n">
        <v>0</v>
      </c>
      <c r="J398" t="n">
        <v>0</v>
      </c>
      <c r="K398" t="n">
        <v>0</v>
      </c>
      <c r="L398" t="n">
        <v>0</v>
      </c>
      <c r="M398" t="n">
        <v>0</v>
      </c>
      <c r="N398" t="n">
        <v>0</v>
      </c>
      <c r="O398" t="n">
        <v>0</v>
      </c>
      <c r="P398" t="n">
        <v>0</v>
      </c>
      <c r="Q398" t="n">
        <v>0</v>
      </c>
      <c r="R398" s="2" t="inlineStr"/>
    </row>
    <row r="399" ht="15" customHeight="1">
      <c r="A399" t="inlineStr">
        <is>
          <t>A 39905-2023</t>
        </is>
      </c>
      <c r="B399" s="1" t="n">
        <v>45168.44489583333</v>
      </c>
      <c r="C399" s="1" t="n">
        <v>45994</v>
      </c>
      <c r="D399" t="inlineStr">
        <is>
          <t>STOCKHOLMS LÄN</t>
        </is>
      </c>
      <c r="E399" t="inlineStr">
        <is>
          <t>NORRTÄLJE</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5645-2023</t>
        </is>
      </c>
      <c r="B400" s="1" t="n">
        <v>44960.60469907407</v>
      </c>
      <c r="C400" s="1" t="n">
        <v>45994</v>
      </c>
      <c r="D400" t="inlineStr">
        <is>
          <t>STOCKHOLMS LÄN</t>
        </is>
      </c>
      <c r="E400" t="inlineStr">
        <is>
          <t>NORRTÄLJE</t>
        </is>
      </c>
      <c r="G400" t="n">
        <v>1.7</v>
      </c>
      <c r="H400" t="n">
        <v>0</v>
      </c>
      <c r="I400" t="n">
        <v>0</v>
      </c>
      <c r="J400" t="n">
        <v>0</v>
      </c>
      <c r="K400" t="n">
        <v>0</v>
      </c>
      <c r="L400" t="n">
        <v>0</v>
      </c>
      <c r="M400" t="n">
        <v>0</v>
      </c>
      <c r="N400" t="n">
        <v>0</v>
      </c>
      <c r="O400" t="n">
        <v>0</v>
      </c>
      <c r="P400" t="n">
        <v>0</v>
      </c>
      <c r="Q400" t="n">
        <v>0</v>
      </c>
      <c r="R400" s="2" t="inlineStr"/>
    </row>
    <row r="401" ht="15" customHeight="1">
      <c r="A401" t="inlineStr">
        <is>
          <t>A 68361-2021</t>
        </is>
      </c>
      <c r="B401" s="1" t="n">
        <v>44528.91494212963</v>
      </c>
      <c r="C401" s="1" t="n">
        <v>45994</v>
      </c>
      <c r="D401" t="inlineStr">
        <is>
          <t>STOCKHOLMS LÄN</t>
        </is>
      </c>
      <c r="E401" t="inlineStr">
        <is>
          <t>NORRTÄLJE</t>
        </is>
      </c>
      <c r="G401" t="n">
        <v>1.9</v>
      </c>
      <c r="H401" t="n">
        <v>0</v>
      </c>
      <c r="I401" t="n">
        <v>0</v>
      </c>
      <c r="J401" t="n">
        <v>0</v>
      </c>
      <c r="K401" t="n">
        <v>0</v>
      </c>
      <c r="L401" t="n">
        <v>0</v>
      </c>
      <c r="M401" t="n">
        <v>0</v>
      </c>
      <c r="N401" t="n">
        <v>0</v>
      </c>
      <c r="O401" t="n">
        <v>0</v>
      </c>
      <c r="P401" t="n">
        <v>0</v>
      </c>
      <c r="Q401" t="n">
        <v>0</v>
      </c>
      <c r="R401" s="2" t="inlineStr"/>
    </row>
    <row r="402" ht="15" customHeight="1">
      <c r="A402" t="inlineStr">
        <is>
          <t>A 60529-2023</t>
        </is>
      </c>
      <c r="B402" s="1" t="n">
        <v>45259</v>
      </c>
      <c r="C402" s="1" t="n">
        <v>45994</v>
      </c>
      <c r="D402" t="inlineStr">
        <is>
          <t>STOCKHOLMS LÄN</t>
        </is>
      </c>
      <c r="E402" t="inlineStr">
        <is>
          <t>NORRTÄLJE</t>
        </is>
      </c>
      <c r="G402" t="n">
        <v>2.6</v>
      </c>
      <c r="H402" t="n">
        <v>0</v>
      </c>
      <c r="I402" t="n">
        <v>0</v>
      </c>
      <c r="J402" t="n">
        <v>0</v>
      </c>
      <c r="K402" t="n">
        <v>0</v>
      </c>
      <c r="L402" t="n">
        <v>0</v>
      </c>
      <c r="M402" t="n">
        <v>0</v>
      </c>
      <c r="N402" t="n">
        <v>0</v>
      </c>
      <c r="O402" t="n">
        <v>0</v>
      </c>
      <c r="P402" t="n">
        <v>0</v>
      </c>
      <c r="Q402" t="n">
        <v>0</v>
      </c>
      <c r="R402" s="2" t="inlineStr"/>
    </row>
    <row r="403" ht="15" customHeight="1">
      <c r="A403" t="inlineStr">
        <is>
          <t>A 50355-2024</t>
        </is>
      </c>
      <c r="B403" s="1" t="n">
        <v>45600.86128472222</v>
      </c>
      <c r="C403" s="1" t="n">
        <v>45994</v>
      </c>
      <c r="D403" t="inlineStr">
        <is>
          <t>STOCKHOLMS LÄN</t>
        </is>
      </c>
      <c r="E403" t="inlineStr">
        <is>
          <t>NORRTÄLJE</t>
        </is>
      </c>
      <c r="F403" t="inlineStr">
        <is>
          <t>Kommuner</t>
        </is>
      </c>
      <c r="G403" t="n">
        <v>1</v>
      </c>
      <c r="H403" t="n">
        <v>0</v>
      </c>
      <c r="I403" t="n">
        <v>0</v>
      </c>
      <c r="J403" t="n">
        <v>0</v>
      </c>
      <c r="K403" t="n">
        <v>0</v>
      </c>
      <c r="L403" t="n">
        <v>0</v>
      </c>
      <c r="M403" t="n">
        <v>0</v>
      </c>
      <c r="N403" t="n">
        <v>0</v>
      </c>
      <c r="O403" t="n">
        <v>0</v>
      </c>
      <c r="P403" t="n">
        <v>0</v>
      </c>
      <c r="Q403" t="n">
        <v>0</v>
      </c>
      <c r="R403" s="2" t="inlineStr"/>
    </row>
    <row r="404" ht="15" customHeight="1">
      <c r="A404" t="inlineStr">
        <is>
          <t>A 68081-2020</t>
        </is>
      </c>
      <c r="B404" s="1" t="n">
        <v>44183</v>
      </c>
      <c r="C404" s="1" t="n">
        <v>45994</v>
      </c>
      <c r="D404" t="inlineStr">
        <is>
          <t>STOCKHOLMS LÄN</t>
        </is>
      </c>
      <c r="E404" t="inlineStr">
        <is>
          <t>NORRTÄLJE</t>
        </is>
      </c>
      <c r="G404" t="n">
        <v>2.1</v>
      </c>
      <c r="H404" t="n">
        <v>0</v>
      </c>
      <c r="I404" t="n">
        <v>0</v>
      </c>
      <c r="J404" t="n">
        <v>0</v>
      </c>
      <c r="K404" t="n">
        <v>0</v>
      </c>
      <c r="L404" t="n">
        <v>0</v>
      </c>
      <c r="M404" t="n">
        <v>0</v>
      </c>
      <c r="N404" t="n">
        <v>0</v>
      </c>
      <c r="O404" t="n">
        <v>0</v>
      </c>
      <c r="P404" t="n">
        <v>0</v>
      </c>
      <c r="Q404" t="n">
        <v>0</v>
      </c>
      <c r="R404" s="2" t="inlineStr"/>
    </row>
    <row r="405" ht="15" customHeight="1">
      <c r="A405" t="inlineStr">
        <is>
          <t>A 58990-2021</t>
        </is>
      </c>
      <c r="B405" s="1" t="n">
        <v>44490.03621527777</v>
      </c>
      <c r="C405" s="1" t="n">
        <v>45994</v>
      </c>
      <c r="D405" t="inlineStr">
        <is>
          <t>STOCKHOLMS LÄN</t>
        </is>
      </c>
      <c r="E405" t="inlineStr">
        <is>
          <t>NORRTÄLJE</t>
        </is>
      </c>
      <c r="G405" t="n">
        <v>4.2</v>
      </c>
      <c r="H405" t="n">
        <v>0</v>
      </c>
      <c r="I405" t="n">
        <v>0</v>
      </c>
      <c r="J405" t="n">
        <v>0</v>
      </c>
      <c r="K405" t="n">
        <v>0</v>
      </c>
      <c r="L405" t="n">
        <v>0</v>
      </c>
      <c r="M405" t="n">
        <v>0</v>
      </c>
      <c r="N405" t="n">
        <v>0</v>
      </c>
      <c r="O405" t="n">
        <v>0</v>
      </c>
      <c r="P405" t="n">
        <v>0</v>
      </c>
      <c r="Q405" t="n">
        <v>0</v>
      </c>
      <c r="R405" s="2" t="inlineStr"/>
    </row>
    <row r="406" ht="15" customHeight="1">
      <c r="A406" t="inlineStr">
        <is>
          <t>A 44917-2022</t>
        </is>
      </c>
      <c r="B406" s="1" t="n">
        <v>44841.52804398148</v>
      </c>
      <c r="C406" s="1" t="n">
        <v>45994</v>
      </c>
      <c r="D406" t="inlineStr">
        <is>
          <t>STOCKHOLMS LÄN</t>
        </is>
      </c>
      <c r="E406" t="inlineStr">
        <is>
          <t>NORRTÄLJE</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28816-2023</t>
        </is>
      </c>
      <c r="B407" s="1" t="n">
        <v>45104</v>
      </c>
      <c r="C407" s="1" t="n">
        <v>45994</v>
      </c>
      <c r="D407" t="inlineStr">
        <is>
          <t>STOCKHOLMS LÄN</t>
        </is>
      </c>
      <c r="E407" t="inlineStr">
        <is>
          <t>NORRTÄLJE</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55058-2021</t>
        </is>
      </c>
      <c r="B408" s="1" t="n">
        <v>44474.62141203704</v>
      </c>
      <c r="C408" s="1" t="n">
        <v>45994</v>
      </c>
      <c r="D408" t="inlineStr">
        <is>
          <t>STOCKHOLMS LÄN</t>
        </is>
      </c>
      <c r="E408" t="inlineStr">
        <is>
          <t>NORRTÄLJE</t>
        </is>
      </c>
      <c r="G408" t="n">
        <v>1.9</v>
      </c>
      <c r="H408" t="n">
        <v>0</v>
      </c>
      <c r="I408" t="n">
        <v>0</v>
      </c>
      <c r="J408" t="n">
        <v>0</v>
      </c>
      <c r="K408" t="n">
        <v>0</v>
      </c>
      <c r="L408" t="n">
        <v>0</v>
      </c>
      <c r="M408" t="n">
        <v>0</v>
      </c>
      <c r="N408" t="n">
        <v>0</v>
      </c>
      <c r="O408" t="n">
        <v>0</v>
      </c>
      <c r="P408" t="n">
        <v>0</v>
      </c>
      <c r="Q408" t="n">
        <v>0</v>
      </c>
      <c r="R408" s="2" t="inlineStr"/>
    </row>
    <row r="409" ht="15" customHeight="1">
      <c r="A409" t="inlineStr">
        <is>
          <t>A 19118-2022</t>
        </is>
      </c>
      <c r="B409" s="1" t="n">
        <v>44691.5652662037</v>
      </c>
      <c r="C409" s="1" t="n">
        <v>45994</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19706-2023</t>
        </is>
      </c>
      <c r="B410" s="1" t="n">
        <v>45051.455</v>
      </c>
      <c r="C410" s="1" t="n">
        <v>45994</v>
      </c>
      <c r="D410" t="inlineStr">
        <is>
          <t>STOCKHOLMS LÄN</t>
        </is>
      </c>
      <c r="E410" t="inlineStr">
        <is>
          <t>NORRTÄLJE</t>
        </is>
      </c>
      <c r="G410" t="n">
        <v>0.2</v>
      </c>
      <c r="H410" t="n">
        <v>0</v>
      </c>
      <c r="I410" t="n">
        <v>0</v>
      </c>
      <c r="J410" t="n">
        <v>0</v>
      </c>
      <c r="K410" t="n">
        <v>0</v>
      </c>
      <c r="L410" t="n">
        <v>0</v>
      </c>
      <c r="M410" t="n">
        <v>0</v>
      </c>
      <c r="N410" t="n">
        <v>0</v>
      </c>
      <c r="O410" t="n">
        <v>0</v>
      </c>
      <c r="P410" t="n">
        <v>0</v>
      </c>
      <c r="Q410" t="n">
        <v>0</v>
      </c>
      <c r="R410" s="2" t="inlineStr"/>
    </row>
    <row r="411" ht="15" customHeight="1">
      <c r="A411" t="inlineStr">
        <is>
          <t>A 18539-2021</t>
        </is>
      </c>
      <c r="B411" s="1" t="n">
        <v>44306</v>
      </c>
      <c r="C411" s="1" t="n">
        <v>45994</v>
      </c>
      <c r="D411" t="inlineStr">
        <is>
          <t>STOCKHOLMS LÄN</t>
        </is>
      </c>
      <c r="E411" t="inlineStr">
        <is>
          <t>NORRTÄLJE</t>
        </is>
      </c>
      <c r="F411" t="inlineStr">
        <is>
          <t>Holmen skog AB</t>
        </is>
      </c>
      <c r="G411" t="n">
        <v>5.5</v>
      </c>
      <c r="H411" t="n">
        <v>0</v>
      </c>
      <c r="I411" t="n">
        <v>0</v>
      </c>
      <c r="J411" t="n">
        <v>0</v>
      </c>
      <c r="K411" t="n">
        <v>0</v>
      </c>
      <c r="L411" t="n">
        <v>0</v>
      </c>
      <c r="M411" t="n">
        <v>0</v>
      </c>
      <c r="N411" t="n">
        <v>0</v>
      </c>
      <c r="O411" t="n">
        <v>0</v>
      </c>
      <c r="P411" t="n">
        <v>0</v>
      </c>
      <c r="Q411" t="n">
        <v>0</v>
      </c>
      <c r="R411" s="2" t="inlineStr"/>
    </row>
    <row r="412" ht="15" customHeight="1">
      <c r="A412" t="inlineStr">
        <is>
          <t>A 55012-2024</t>
        </is>
      </c>
      <c r="B412" s="1" t="n">
        <v>45621.34813657407</v>
      </c>
      <c r="C412" s="1" t="n">
        <v>45994</v>
      </c>
      <c r="D412" t="inlineStr">
        <is>
          <t>STOCKHOLMS LÄN</t>
        </is>
      </c>
      <c r="E412" t="inlineStr">
        <is>
          <t>NORRTÄLJE</t>
        </is>
      </c>
      <c r="F412" t="inlineStr">
        <is>
          <t>Sveaskog</t>
        </is>
      </c>
      <c r="G412" t="n">
        <v>5.2</v>
      </c>
      <c r="H412" t="n">
        <v>0</v>
      </c>
      <c r="I412" t="n">
        <v>0</v>
      </c>
      <c r="J412" t="n">
        <v>0</v>
      </c>
      <c r="K412" t="n">
        <v>0</v>
      </c>
      <c r="L412" t="n">
        <v>0</v>
      </c>
      <c r="M412" t="n">
        <v>0</v>
      </c>
      <c r="N412" t="n">
        <v>0</v>
      </c>
      <c r="O412" t="n">
        <v>0</v>
      </c>
      <c r="P412" t="n">
        <v>0</v>
      </c>
      <c r="Q412" t="n">
        <v>0</v>
      </c>
      <c r="R412" s="2" t="inlineStr"/>
    </row>
    <row r="413" ht="15" customHeight="1">
      <c r="A413" t="inlineStr">
        <is>
          <t>A 17612-2022</t>
        </is>
      </c>
      <c r="B413" s="1" t="n">
        <v>44680</v>
      </c>
      <c r="C413" s="1" t="n">
        <v>45994</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16835-2022</t>
        </is>
      </c>
      <c r="B414" s="1" t="n">
        <v>44673</v>
      </c>
      <c r="C414" s="1" t="n">
        <v>45994</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62765-2022</t>
        </is>
      </c>
      <c r="B415" s="1" t="n">
        <v>44637</v>
      </c>
      <c r="C415" s="1" t="n">
        <v>45994</v>
      </c>
      <c r="D415" t="inlineStr">
        <is>
          <t>STOCKHOLMS LÄN</t>
        </is>
      </c>
      <c r="E415" t="inlineStr">
        <is>
          <t>NORRTÄLJE</t>
        </is>
      </c>
      <c r="G415" t="n">
        <v>2.7</v>
      </c>
      <c r="H415" t="n">
        <v>0</v>
      </c>
      <c r="I415" t="n">
        <v>0</v>
      </c>
      <c r="J415" t="n">
        <v>0</v>
      </c>
      <c r="K415" t="n">
        <v>0</v>
      </c>
      <c r="L415" t="n">
        <v>0</v>
      </c>
      <c r="M415" t="n">
        <v>0</v>
      </c>
      <c r="N415" t="n">
        <v>0</v>
      </c>
      <c r="O415" t="n">
        <v>0</v>
      </c>
      <c r="P415" t="n">
        <v>0</v>
      </c>
      <c r="Q415" t="n">
        <v>0</v>
      </c>
      <c r="R415" s="2" t="inlineStr"/>
    </row>
    <row r="416" ht="15" customHeight="1">
      <c r="A416" t="inlineStr">
        <is>
          <t>A 58404-2023</t>
        </is>
      </c>
      <c r="B416" s="1" t="n">
        <v>45245</v>
      </c>
      <c r="C416" s="1" t="n">
        <v>45994</v>
      </c>
      <c r="D416" t="inlineStr">
        <is>
          <t>STOCKHOLMS LÄN</t>
        </is>
      </c>
      <c r="E416" t="inlineStr">
        <is>
          <t>NORRTÄLJE</t>
        </is>
      </c>
      <c r="G416" t="n">
        <v>53.5</v>
      </c>
      <c r="H416" t="n">
        <v>0</v>
      </c>
      <c r="I416" t="n">
        <v>0</v>
      </c>
      <c r="J416" t="n">
        <v>0</v>
      </c>
      <c r="K416" t="n">
        <v>0</v>
      </c>
      <c r="L416" t="n">
        <v>0</v>
      </c>
      <c r="M416" t="n">
        <v>0</v>
      </c>
      <c r="N416" t="n">
        <v>0</v>
      </c>
      <c r="O416" t="n">
        <v>0</v>
      </c>
      <c r="P416" t="n">
        <v>0</v>
      </c>
      <c r="Q416" t="n">
        <v>0</v>
      </c>
      <c r="R416" s="2" t="inlineStr"/>
    </row>
    <row r="417" ht="15" customHeight="1">
      <c r="A417" t="inlineStr">
        <is>
          <t>A 8586-2023</t>
        </is>
      </c>
      <c r="B417" s="1" t="n">
        <v>44977</v>
      </c>
      <c r="C417" s="1" t="n">
        <v>45994</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8739-2024</t>
        </is>
      </c>
      <c r="B418" s="1" t="n">
        <v>45356.47784722222</v>
      </c>
      <c r="C418" s="1" t="n">
        <v>45994</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38759-2022</t>
        </is>
      </c>
      <c r="B419" s="1" t="n">
        <v>44816</v>
      </c>
      <c r="C419" s="1" t="n">
        <v>45994</v>
      </c>
      <c r="D419" t="inlineStr">
        <is>
          <t>STOCKHOLMS LÄN</t>
        </is>
      </c>
      <c r="E419" t="inlineStr">
        <is>
          <t>NORRTÄLJE</t>
        </is>
      </c>
      <c r="G419" t="n">
        <v>2.8</v>
      </c>
      <c r="H419" t="n">
        <v>0</v>
      </c>
      <c r="I419" t="n">
        <v>0</v>
      </c>
      <c r="J419" t="n">
        <v>0</v>
      </c>
      <c r="K419" t="n">
        <v>0</v>
      </c>
      <c r="L419" t="n">
        <v>0</v>
      </c>
      <c r="M419" t="n">
        <v>0</v>
      </c>
      <c r="N419" t="n">
        <v>0</v>
      </c>
      <c r="O419" t="n">
        <v>0</v>
      </c>
      <c r="P419" t="n">
        <v>0</v>
      </c>
      <c r="Q419" t="n">
        <v>0</v>
      </c>
      <c r="R419" s="2" t="inlineStr"/>
    </row>
    <row r="420" ht="15" customHeight="1">
      <c r="A420" t="inlineStr">
        <is>
          <t>A 16202-2022</t>
        </is>
      </c>
      <c r="B420" s="1" t="n">
        <v>44670</v>
      </c>
      <c r="C420" s="1" t="n">
        <v>45994</v>
      </c>
      <c r="D420" t="inlineStr">
        <is>
          <t>STOCKHOLMS LÄN</t>
        </is>
      </c>
      <c r="E420" t="inlineStr">
        <is>
          <t>NORRTÄLJE</t>
        </is>
      </c>
      <c r="G420" t="n">
        <v>1.5</v>
      </c>
      <c r="H420" t="n">
        <v>0</v>
      </c>
      <c r="I420" t="n">
        <v>0</v>
      </c>
      <c r="J420" t="n">
        <v>0</v>
      </c>
      <c r="K420" t="n">
        <v>0</v>
      </c>
      <c r="L420" t="n">
        <v>0</v>
      </c>
      <c r="M420" t="n">
        <v>0</v>
      </c>
      <c r="N420" t="n">
        <v>0</v>
      </c>
      <c r="O420" t="n">
        <v>0</v>
      </c>
      <c r="P420" t="n">
        <v>0</v>
      </c>
      <c r="Q420" t="n">
        <v>0</v>
      </c>
      <c r="R420" s="2" t="inlineStr"/>
    </row>
    <row r="421" ht="15" customHeight="1">
      <c r="A421" t="inlineStr">
        <is>
          <t>A 55018-2024</t>
        </is>
      </c>
      <c r="B421" s="1" t="n">
        <v>45621.35712962963</v>
      </c>
      <c r="C421" s="1" t="n">
        <v>45994</v>
      </c>
      <c r="D421" t="inlineStr">
        <is>
          <t>STOCKHOLMS LÄN</t>
        </is>
      </c>
      <c r="E421" t="inlineStr">
        <is>
          <t>NORRTÄLJE</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32857-2021</t>
        </is>
      </c>
      <c r="B422" s="1" t="n">
        <v>44375</v>
      </c>
      <c r="C422" s="1" t="n">
        <v>45994</v>
      </c>
      <c r="D422" t="inlineStr">
        <is>
          <t>STOCKHOLMS LÄN</t>
        </is>
      </c>
      <c r="E422" t="inlineStr">
        <is>
          <t>NORRTÄLJE</t>
        </is>
      </c>
      <c r="G422" t="n">
        <v>2.9</v>
      </c>
      <c r="H422" t="n">
        <v>0</v>
      </c>
      <c r="I422" t="n">
        <v>0</v>
      </c>
      <c r="J422" t="n">
        <v>0</v>
      </c>
      <c r="K422" t="n">
        <v>0</v>
      </c>
      <c r="L422" t="n">
        <v>0</v>
      </c>
      <c r="M422" t="n">
        <v>0</v>
      </c>
      <c r="N422" t="n">
        <v>0</v>
      </c>
      <c r="O422" t="n">
        <v>0</v>
      </c>
      <c r="P422" t="n">
        <v>0</v>
      </c>
      <c r="Q422" t="n">
        <v>0</v>
      </c>
      <c r="R422" s="2" t="inlineStr"/>
    </row>
    <row r="423" ht="15" customHeight="1">
      <c r="A423" t="inlineStr">
        <is>
          <t>A 7413-2024</t>
        </is>
      </c>
      <c r="B423" s="1" t="n">
        <v>45345.6059837963</v>
      </c>
      <c r="C423" s="1" t="n">
        <v>45994</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12251-2025</t>
        </is>
      </c>
      <c r="B424" s="1" t="n">
        <v>45729.60859953704</v>
      </c>
      <c r="C424" s="1" t="n">
        <v>45994</v>
      </c>
      <c r="D424" t="inlineStr">
        <is>
          <t>STOCKHOLMS LÄN</t>
        </is>
      </c>
      <c r="E424" t="inlineStr">
        <is>
          <t>NORRTÄLJE</t>
        </is>
      </c>
      <c r="F424" t="inlineStr">
        <is>
          <t>Holmen skog AB</t>
        </is>
      </c>
      <c r="G424" t="n">
        <v>5.9</v>
      </c>
      <c r="H424" t="n">
        <v>0</v>
      </c>
      <c r="I424" t="n">
        <v>0</v>
      </c>
      <c r="J424" t="n">
        <v>0</v>
      </c>
      <c r="K424" t="n">
        <v>0</v>
      </c>
      <c r="L424" t="n">
        <v>0</v>
      </c>
      <c r="M424" t="n">
        <v>0</v>
      </c>
      <c r="N424" t="n">
        <v>0</v>
      </c>
      <c r="O424" t="n">
        <v>0</v>
      </c>
      <c r="P424" t="n">
        <v>0</v>
      </c>
      <c r="Q424" t="n">
        <v>0</v>
      </c>
      <c r="R424" s="2" t="inlineStr"/>
    </row>
    <row r="425" ht="15" customHeight="1">
      <c r="A425" t="inlineStr">
        <is>
          <t>A 58863-2024</t>
        </is>
      </c>
      <c r="B425" s="1" t="n">
        <v>45636.41572916666</v>
      </c>
      <c r="C425" s="1" t="n">
        <v>45994</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29714-2023</t>
        </is>
      </c>
      <c r="B426" s="1" t="n">
        <v>45107.42538194444</v>
      </c>
      <c r="C426" s="1" t="n">
        <v>45994</v>
      </c>
      <c r="D426" t="inlineStr">
        <is>
          <t>STOCKHOLMS LÄN</t>
        </is>
      </c>
      <c r="E426" t="inlineStr">
        <is>
          <t>NORRTÄLJE</t>
        </is>
      </c>
      <c r="G426" t="n">
        <v>1.6</v>
      </c>
      <c r="H426" t="n">
        <v>0</v>
      </c>
      <c r="I426" t="n">
        <v>0</v>
      </c>
      <c r="J426" t="n">
        <v>0</v>
      </c>
      <c r="K426" t="n">
        <v>0</v>
      </c>
      <c r="L426" t="n">
        <v>0</v>
      </c>
      <c r="M426" t="n">
        <v>0</v>
      </c>
      <c r="N426" t="n">
        <v>0</v>
      </c>
      <c r="O426" t="n">
        <v>0</v>
      </c>
      <c r="P426" t="n">
        <v>0</v>
      </c>
      <c r="Q426" t="n">
        <v>0</v>
      </c>
      <c r="R426" s="2" t="inlineStr"/>
    </row>
    <row r="427" ht="15" customHeight="1">
      <c r="A427" t="inlineStr">
        <is>
          <t>A 23271-2023</t>
        </is>
      </c>
      <c r="B427" s="1" t="n">
        <v>45075.91362268518</v>
      </c>
      <c r="C427" s="1" t="n">
        <v>45994</v>
      </c>
      <c r="D427" t="inlineStr">
        <is>
          <t>STOCKHOLMS LÄN</t>
        </is>
      </c>
      <c r="E427" t="inlineStr">
        <is>
          <t>NORRTÄLJE</t>
        </is>
      </c>
      <c r="G427" t="n">
        <v>5.1</v>
      </c>
      <c r="H427" t="n">
        <v>0</v>
      </c>
      <c r="I427" t="n">
        <v>0</v>
      </c>
      <c r="J427" t="n">
        <v>0</v>
      </c>
      <c r="K427" t="n">
        <v>0</v>
      </c>
      <c r="L427" t="n">
        <v>0</v>
      </c>
      <c r="M427" t="n">
        <v>0</v>
      </c>
      <c r="N427" t="n">
        <v>0</v>
      </c>
      <c r="O427" t="n">
        <v>0</v>
      </c>
      <c r="P427" t="n">
        <v>0</v>
      </c>
      <c r="Q427" t="n">
        <v>0</v>
      </c>
      <c r="R427" s="2" t="inlineStr"/>
    </row>
    <row r="428" ht="15" customHeight="1">
      <c r="A428" t="inlineStr">
        <is>
          <t>A 23273-2023</t>
        </is>
      </c>
      <c r="B428" s="1" t="n">
        <v>45075.91971064815</v>
      </c>
      <c r="C428" s="1" t="n">
        <v>45994</v>
      </c>
      <c r="D428" t="inlineStr">
        <is>
          <t>STOCKHOLMS LÄN</t>
        </is>
      </c>
      <c r="E428" t="inlineStr">
        <is>
          <t>NORRTÄLJE</t>
        </is>
      </c>
      <c r="G428" t="n">
        <v>7.5</v>
      </c>
      <c r="H428" t="n">
        <v>0</v>
      </c>
      <c r="I428" t="n">
        <v>0</v>
      </c>
      <c r="J428" t="n">
        <v>0</v>
      </c>
      <c r="K428" t="n">
        <v>0</v>
      </c>
      <c r="L428" t="n">
        <v>0</v>
      </c>
      <c r="M428" t="n">
        <v>0</v>
      </c>
      <c r="N428" t="n">
        <v>0</v>
      </c>
      <c r="O428" t="n">
        <v>0</v>
      </c>
      <c r="P428" t="n">
        <v>0</v>
      </c>
      <c r="Q428" t="n">
        <v>0</v>
      </c>
      <c r="R428" s="2" t="inlineStr"/>
    </row>
    <row r="429" ht="15" customHeight="1">
      <c r="A429" t="inlineStr">
        <is>
          <t>A 50136-2023</t>
        </is>
      </c>
      <c r="B429" s="1" t="n">
        <v>45215</v>
      </c>
      <c r="C429" s="1" t="n">
        <v>45994</v>
      </c>
      <c r="D429" t="inlineStr">
        <is>
          <t>STOCKHOLMS LÄN</t>
        </is>
      </c>
      <c r="E429" t="inlineStr">
        <is>
          <t>NORRTÄLJE</t>
        </is>
      </c>
      <c r="G429" t="n">
        <v>5.2</v>
      </c>
      <c r="H429" t="n">
        <v>0</v>
      </c>
      <c r="I429" t="n">
        <v>0</v>
      </c>
      <c r="J429" t="n">
        <v>0</v>
      </c>
      <c r="K429" t="n">
        <v>0</v>
      </c>
      <c r="L429" t="n">
        <v>0</v>
      </c>
      <c r="M429" t="n">
        <v>0</v>
      </c>
      <c r="N429" t="n">
        <v>0</v>
      </c>
      <c r="O429" t="n">
        <v>0</v>
      </c>
      <c r="P429" t="n">
        <v>0</v>
      </c>
      <c r="Q429" t="n">
        <v>0</v>
      </c>
      <c r="R429" s="2" t="inlineStr"/>
    </row>
    <row r="430" ht="15" customHeight="1">
      <c r="A430" t="inlineStr">
        <is>
          <t>A 25656-2023</t>
        </is>
      </c>
      <c r="B430" s="1" t="n">
        <v>45089</v>
      </c>
      <c r="C430" s="1" t="n">
        <v>45994</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6003-2025</t>
        </is>
      </c>
      <c r="B431" s="1" t="n">
        <v>45695.57881944445</v>
      </c>
      <c r="C431" s="1" t="n">
        <v>45994</v>
      </c>
      <c r="D431" t="inlineStr">
        <is>
          <t>STOCKHOLMS LÄN</t>
        </is>
      </c>
      <c r="E431" t="inlineStr">
        <is>
          <t>NORRTÄLJE</t>
        </is>
      </c>
      <c r="F431" t="inlineStr">
        <is>
          <t>Holmen skog AB</t>
        </is>
      </c>
      <c r="G431" t="n">
        <v>2.3</v>
      </c>
      <c r="H431" t="n">
        <v>0</v>
      </c>
      <c r="I431" t="n">
        <v>0</v>
      </c>
      <c r="J431" t="n">
        <v>0</v>
      </c>
      <c r="K431" t="n">
        <v>0</v>
      </c>
      <c r="L431" t="n">
        <v>0</v>
      </c>
      <c r="M431" t="n">
        <v>0</v>
      </c>
      <c r="N431" t="n">
        <v>0</v>
      </c>
      <c r="O431" t="n">
        <v>0</v>
      </c>
      <c r="P431" t="n">
        <v>0</v>
      </c>
      <c r="Q431" t="n">
        <v>0</v>
      </c>
      <c r="R431" s="2" t="inlineStr"/>
    </row>
    <row r="432" ht="15" customHeight="1">
      <c r="A432" t="inlineStr">
        <is>
          <t>A 50154-2024</t>
        </is>
      </c>
      <c r="B432" s="1" t="n">
        <v>45600.4558912037</v>
      </c>
      <c r="C432" s="1" t="n">
        <v>45994</v>
      </c>
      <c r="D432" t="inlineStr">
        <is>
          <t>STOCKHOLMS LÄN</t>
        </is>
      </c>
      <c r="E432" t="inlineStr">
        <is>
          <t>NORRTÄLJE</t>
        </is>
      </c>
      <c r="G432" t="n">
        <v>2.5</v>
      </c>
      <c r="H432" t="n">
        <v>0</v>
      </c>
      <c r="I432" t="n">
        <v>0</v>
      </c>
      <c r="J432" t="n">
        <v>0</v>
      </c>
      <c r="K432" t="n">
        <v>0</v>
      </c>
      <c r="L432" t="n">
        <v>0</v>
      </c>
      <c r="M432" t="n">
        <v>0</v>
      </c>
      <c r="N432" t="n">
        <v>0</v>
      </c>
      <c r="O432" t="n">
        <v>0</v>
      </c>
      <c r="P432" t="n">
        <v>0</v>
      </c>
      <c r="Q432" t="n">
        <v>0</v>
      </c>
      <c r="R432" s="2" t="inlineStr"/>
    </row>
    <row r="433" ht="15" customHeight="1">
      <c r="A433" t="inlineStr">
        <is>
          <t>A 11902-2024</t>
        </is>
      </c>
      <c r="B433" s="1" t="n">
        <v>45376.55704861111</v>
      </c>
      <c r="C433" s="1" t="n">
        <v>45994</v>
      </c>
      <c r="D433" t="inlineStr">
        <is>
          <t>STOCKHOLMS LÄN</t>
        </is>
      </c>
      <c r="E433" t="inlineStr">
        <is>
          <t>NORRTÄLJE</t>
        </is>
      </c>
      <c r="G433" t="n">
        <v>2.5</v>
      </c>
      <c r="H433" t="n">
        <v>0</v>
      </c>
      <c r="I433" t="n">
        <v>0</v>
      </c>
      <c r="J433" t="n">
        <v>0</v>
      </c>
      <c r="K433" t="n">
        <v>0</v>
      </c>
      <c r="L433" t="n">
        <v>0</v>
      </c>
      <c r="M433" t="n">
        <v>0</v>
      </c>
      <c r="N433" t="n">
        <v>0</v>
      </c>
      <c r="O433" t="n">
        <v>0</v>
      </c>
      <c r="P433" t="n">
        <v>0</v>
      </c>
      <c r="Q433" t="n">
        <v>0</v>
      </c>
      <c r="R433" s="2" t="inlineStr"/>
    </row>
    <row r="434" ht="15" customHeight="1">
      <c r="A434" t="inlineStr">
        <is>
          <t>A 38049-2023</t>
        </is>
      </c>
      <c r="B434" s="1" t="n">
        <v>45159</v>
      </c>
      <c r="C434" s="1" t="n">
        <v>45994</v>
      </c>
      <c r="D434" t="inlineStr">
        <is>
          <t>STOCKHOLMS LÄN</t>
        </is>
      </c>
      <c r="E434" t="inlineStr">
        <is>
          <t>NORRTÄLJE</t>
        </is>
      </c>
      <c r="G434" t="n">
        <v>3.6</v>
      </c>
      <c r="H434" t="n">
        <v>0</v>
      </c>
      <c r="I434" t="n">
        <v>0</v>
      </c>
      <c r="J434" t="n">
        <v>0</v>
      </c>
      <c r="K434" t="n">
        <v>0</v>
      </c>
      <c r="L434" t="n">
        <v>0</v>
      </c>
      <c r="M434" t="n">
        <v>0</v>
      </c>
      <c r="N434" t="n">
        <v>0</v>
      </c>
      <c r="O434" t="n">
        <v>0</v>
      </c>
      <c r="P434" t="n">
        <v>0</v>
      </c>
      <c r="Q434" t="n">
        <v>0</v>
      </c>
      <c r="R434" s="2" t="inlineStr"/>
    </row>
    <row r="435" ht="15" customHeight="1">
      <c r="A435" t="inlineStr">
        <is>
          <t>A 11900-2024</t>
        </is>
      </c>
      <c r="B435" s="1" t="n">
        <v>45376.55484953704</v>
      </c>
      <c r="C435" s="1" t="n">
        <v>45994</v>
      </c>
      <c r="D435" t="inlineStr">
        <is>
          <t>STOCKHOLMS LÄN</t>
        </is>
      </c>
      <c r="E435" t="inlineStr">
        <is>
          <t>NORRTÄLJE</t>
        </is>
      </c>
      <c r="G435" t="n">
        <v>4.2</v>
      </c>
      <c r="H435" t="n">
        <v>0</v>
      </c>
      <c r="I435" t="n">
        <v>0</v>
      </c>
      <c r="J435" t="n">
        <v>0</v>
      </c>
      <c r="K435" t="n">
        <v>0</v>
      </c>
      <c r="L435" t="n">
        <v>0</v>
      </c>
      <c r="M435" t="n">
        <v>0</v>
      </c>
      <c r="N435" t="n">
        <v>0</v>
      </c>
      <c r="O435" t="n">
        <v>0</v>
      </c>
      <c r="P435" t="n">
        <v>0</v>
      </c>
      <c r="Q435" t="n">
        <v>0</v>
      </c>
      <c r="R435" s="2" t="inlineStr"/>
    </row>
    <row r="436" ht="15" customHeight="1">
      <c r="A436" t="inlineStr">
        <is>
          <t>A 59535-2024</t>
        </is>
      </c>
      <c r="B436" s="1" t="n">
        <v>45638.59979166667</v>
      </c>
      <c r="C436" s="1" t="n">
        <v>45994</v>
      </c>
      <c r="D436" t="inlineStr">
        <is>
          <t>STOCKHOLMS LÄN</t>
        </is>
      </c>
      <c r="E436" t="inlineStr">
        <is>
          <t>NORRTÄLJE</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42867-2022</t>
        </is>
      </c>
      <c r="B437" s="1" t="n">
        <v>44832</v>
      </c>
      <c r="C437" s="1" t="n">
        <v>45994</v>
      </c>
      <c r="D437" t="inlineStr">
        <is>
          <t>STOCKHOLMS LÄN</t>
        </is>
      </c>
      <c r="E437" t="inlineStr">
        <is>
          <t>NORRTÄLJE</t>
        </is>
      </c>
      <c r="G437" t="n">
        <v>6.4</v>
      </c>
      <c r="H437" t="n">
        <v>0</v>
      </c>
      <c r="I437" t="n">
        <v>0</v>
      </c>
      <c r="J437" t="n">
        <v>0</v>
      </c>
      <c r="K437" t="n">
        <v>0</v>
      </c>
      <c r="L437" t="n">
        <v>0</v>
      </c>
      <c r="M437" t="n">
        <v>0</v>
      </c>
      <c r="N437" t="n">
        <v>0</v>
      </c>
      <c r="O437" t="n">
        <v>0</v>
      </c>
      <c r="P437" t="n">
        <v>0</v>
      </c>
      <c r="Q437" t="n">
        <v>0</v>
      </c>
      <c r="R437" s="2" t="inlineStr"/>
    </row>
    <row r="438" ht="15" customHeight="1">
      <c r="A438" t="inlineStr">
        <is>
          <t>A 4183-2025</t>
        </is>
      </c>
      <c r="B438" s="1" t="n">
        <v>45685.44592592592</v>
      </c>
      <c r="C438" s="1" t="n">
        <v>45994</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9480-2025</t>
        </is>
      </c>
      <c r="B439" s="1" t="n">
        <v>45715</v>
      </c>
      <c r="C439" s="1" t="n">
        <v>45994</v>
      </c>
      <c r="D439" t="inlineStr">
        <is>
          <t>STOCKHOLMS LÄN</t>
        </is>
      </c>
      <c r="E439" t="inlineStr">
        <is>
          <t>NORRTÄLJE</t>
        </is>
      </c>
      <c r="F439" t="inlineStr">
        <is>
          <t>Övriga Aktiebolag</t>
        </is>
      </c>
      <c r="G439" t="n">
        <v>3.9</v>
      </c>
      <c r="H439" t="n">
        <v>0</v>
      </c>
      <c r="I439" t="n">
        <v>0</v>
      </c>
      <c r="J439" t="n">
        <v>0</v>
      </c>
      <c r="K439" t="n">
        <v>0</v>
      </c>
      <c r="L439" t="n">
        <v>0</v>
      </c>
      <c r="M439" t="n">
        <v>0</v>
      </c>
      <c r="N439" t="n">
        <v>0</v>
      </c>
      <c r="O439" t="n">
        <v>0</v>
      </c>
      <c r="P439" t="n">
        <v>0</v>
      </c>
      <c r="Q439" t="n">
        <v>0</v>
      </c>
      <c r="R439" s="2" t="inlineStr"/>
    </row>
    <row r="440" ht="15" customHeight="1">
      <c r="A440" t="inlineStr">
        <is>
          <t>A 20790-2025</t>
        </is>
      </c>
      <c r="B440" s="1" t="n">
        <v>45776.62563657408</v>
      </c>
      <c r="C440" s="1" t="n">
        <v>45994</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23749-2024</t>
        </is>
      </c>
      <c r="B441" s="1" t="n">
        <v>45455.33037037037</v>
      </c>
      <c r="C441" s="1" t="n">
        <v>45994</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58277-2023</t>
        </is>
      </c>
      <c r="B442" s="1" t="n">
        <v>45245</v>
      </c>
      <c r="C442" s="1" t="n">
        <v>45994</v>
      </c>
      <c r="D442" t="inlineStr">
        <is>
          <t>STOCKHOLMS LÄN</t>
        </is>
      </c>
      <c r="E442" t="inlineStr">
        <is>
          <t>NORRTÄLJE</t>
        </is>
      </c>
      <c r="G442" t="n">
        <v>1.3</v>
      </c>
      <c r="H442" t="n">
        <v>0</v>
      </c>
      <c r="I442" t="n">
        <v>0</v>
      </c>
      <c r="J442" t="n">
        <v>0</v>
      </c>
      <c r="K442" t="n">
        <v>0</v>
      </c>
      <c r="L442" t="n">
        <v>0</v>
      </c>
      <c r="M442" t="n">
        <v>0</v>
      </c>
      <c r="N442" t="n">
        <v>0</v>
      </c>
      <c r="O442" t="n">
        <v>0</v>
      </c>
      <c r="P442" t="n">
        <v>0</v>
      </c>
      <c r="Q442" t="n">
        <v>0</v>
      </c>
      <c r="R442" s="2" t="inlineStr"/>
    </row>
    <row r="443" ht="15" customHeight="1">
      <c r="A443" t="inlineStr">
        <is>
          <t>A 20699-2025</t>
        </is>
      </c>
      <c r="B443" s="1" t="n">
        <v>45776.47346064815</v>
      </c>
      <c r="C443" s="1" t="n">
        <v>45994</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32705-2022</t>
        </is>
      </c>
      <c r="B444" s="1" t="n">
        <v>44783</v>
      </c>
      <c r="C444" s="1" t="n">
        <v>45994</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7603-2025</t>
        </is>
      </c>
      <c r="B445" s="1" t="n">
        <v>45705.66126157407</v>
      </c>
      <c r="C445" s="1" t="n">
        <v>45994</v>
      </c>
      <c r="D445" t="inlineStr">
        <is>
          <t>STOCKHOLMS LÄN</t>
        </is>
      </c>
      <c r="E445" t="inlineStr">
        <is>
          <t>NORRTÄLJE</t>
        </is>
      </c>
      <c r="F445" t="inlineStr">
        <is>
          <t>Holmen skog AB</t>
        </is>
      </c>
      <c r="G445" t="n">
        <v>2.4</v>
      </c>
      <c r="H445" t="n">
        <v>0</v>
      </c>
      <c r="I445" t="n">
        <v>0</v>
      </c>
      <c r="J445" t="n">
        <v>0</v>
      </c>
      <c r="K445" t="n">
        <v>0</v>
      </c>
      <c r="L445" t="n">
        <v>0</v>
      </c>
      <c r="M445" t="n">
        <v>0</v>
      </c>
      <c r="N445" t="n">
        <v>0</v>
      </c>
      <c r="O445" t="n">
        <v>0</v>
      </c>
      <c r="P445" t="n">
        <v>0</v>
      </c>
      <c r="Q445" t="n">
        <v>0</v>
      </c>
      <c r="R445" s="2" t="inlineStr"/>
    </row>
    <row r="446" ht="15" customHeight="1">
      <c r="A446" t="inlineStr">
        <is>
          <t>A 47481-2024</t>
        </is>
      </c>
      <c r="B446" s="1" t="n">
        <v>45587</v>
      </c>
      <c r="C446" s="1" t="n">
        <v>45994</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57037-2022</t>
        </is>
      </c>
      <c r="B447" s="1" t="n">
        <v>44895</v>
      </c>
      <c r="C447" s="1" t="n">
        <v>45994</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3152-2024</t>
        </is>
      </c>
      <c r="B448" s="1" t="n">
        <v>45316.60306712963</v>
      </c>
      <c r="C448" s="1" t="n">
        <v>45994</v>
      </c>
      <c r="D448" t="inlineStr">
        <is>
          <t>STOCKHOLMS LÄN</t>
        </is>
      </c>
      <c r="E448" t="inlineStr">
        <is>
          <t>NORRTÄLJE</t>
        </is>
      </c>
      <c r="G448" t="n">
        <v>7.9</v>
      </c>
      <c r="H448" t="n">
        <v>0</v>
      </c>
      <c r="I448" t="n">
        <v>0</v>
      </c>
      <c r="J448" t="n">
        <v>0</v>
      </c>
      <c r="K448" t="n">
        <v>0</v>
      </c>
      <c r="L448" t="n">
        <v>0</v>
      </c>
      <c r="M448" t="n">
        <v>0</v>
      </c>
      <c r="N448" t="n">
        <v>0</v>
      </c>
      <c r="O448" t="n">
        <v>0</v>
      </c>
      <c r="P448" t="n">
        <v>0</v>
      </c>
      <c r="Q448" t="n">
        <v>0</v>
      </c>
      <c r="R448" s="2" t="inlineStr"/>
    </row>
    <row r="449" ht="15" customHeight="1">
      <c r="A449" t="inlineStr">
        <is>
          <t>A 11940-2023</t>
        </is>
      </c>
      <c r="B449" s="1" t="n">
        <v>44995</v>
      </c>
      <c r="C449" s="1" t="n">
        <v>45994</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30802-2022</t>
        </is>
      </c>
      <c r="B450" s="1" t="n">
        <v>44764</v>
      </c>
      <c r="C450" s="1" t="n">
        <v>45994</v>
      </c>
      <c r="D450" t="inlineStr">
        <is>
          <t>STOCKHOLMS LÄN</t>
        </is>
      </c>
      <c r="E450" t="inlineStr">
        <is>
          <t>NORRTÄLJE</t>
        </is>
      </c>
      <c r="G450" t="n">
        <v>1.7</v>
      </c>
      <c r="H450" t="n">
        <v>0</v>
      </c>
      <c r="I450" t="n">
        <v>0</v>
      </c>
      <c r="J450" t="n">
        <v>0</v>
      </c>
      <c r="K450" t="n">
        <v>0</v>
      </c>
      <c r="L450" t="n">
        <v>0</v>
      </c>
      <c r="M450" t="n">
        <v>0</v>
      </c>
      <c r="N450" t="n">
        <v>0</v>
      </c>
      <c r="O450" t="n">
        <v>0</v>
      </c>
      <c r="P450" t="n">
        <v>0</v>
      </c>
      <c r="Q450" t="n">
        <v>0</v>
      </c>
      <c r="R450" s="2" t="inlineStr"/>
    </row>
    <row r="451" ht="15" customHeight="1">
      <c r="A451" t="inlineStr">
        <is>
          <t>A 24522-2023</t>
        </is>
      </c>
      <c r="B451" s="1" t="n">
        <v>45082.69179398148</v>
      </c>
      <c r="C451" s="1" t="n">
        <v>45994</v>
      </c>
      <c r="D451" t="inlineStr">
        <is>
          <t>STOCKHOLMS LÄN</t>
        </is>
      </c>
      <c r="E451" t="inlineStr">
        <is>
          <t>NORRTÄLJE</t>
        </is>
      </c>
      <c r="G451" t="n">
        <v>1.1</v>
      </c>
      <c r="H451" t="n">
        <v>0</v>
      </c>
      <c r="I451" t="n">
        <v>0</v>
      </c>
      <c r="J451" t="n">
        <v>0</v>
      </c>
      <c r="K451" t="n">
        <v>0</v>
      </c>
      <c r="L451" t="n">
        <v>0</v>
      </c>
      <c r="M451" t="n">
        <v>0</v>
      </c>
      <c r="N451" t="n">
        <v>0</v>
      </c>
      <c r="O451" t="n">
        <v>0</v>
      </c>
      <c r="P451" t="n">
        <v>0</v>
      </c>
      <c r="Q451" t="n">
        <v>0</v>
      </c>
      <c r="R451" s="2" t="inlineStr"/>
    </row>
    <row r="452" ht="15" customHeight="1">
      <c r="A452" t="inlineStr">
        <is>
          <t>A 25625-2023</t>
        </is>
      </c>
      <c r="B452" s="1" t="n">
        <v>45089</v>
      </c>
      <c r="C452" s="1" t="n">
        <v>45994</v>
      </c>
      <c r="D452" t="inlineStr">
        <is>
          <t>STOCKHOLMS LÄN</t>
        </is>
      </c>
      <c r="E452" t="inlineStr">
        <is>
          <t>NORRTÄLJE</t>
        </is>
      </c>
      <c r="G452" t="n">
        <v>5.5</v>
      </c>
      <c r="H452" t="n">
        <v>0</v>
      </c>
      <c r="I452" t="n">
        <v>0</v>
      </c>
      <c r="J452" t="n">
        <v>0</v>
      </c>
      <c r="K452" t="n">
        <v>0</v>
      </c>
      <c r="L452" t="n">
        <v>0</v>
      </c>
      <c r="M452" t="n">
        <v>0</v>
      </c>
      <c r="N452" t="n">
        <v>0</v>
      </c>
      <c r="O452" t="n">
        <v>0</v>
      </c>
      <c r="P452" t="n">
        <v>0</v>
      </c>
      <c r="Q452" t="n">
        <v>0</v>
      </c>
      <c r="R452" s="2" t="inlineStr"/>
    </row>
    <row r="453" ht="15" customHeight="1">
      <c r="A453" t="inlineStr">
        <is>
          <t>A 37147-2023</t>
        </is>
      </c>
      <c r="B453" s="1" t="n">
        <v>45155</v>
      </c>
      <c r="C453" s="1" t="n">
        <v>45994</v>
      </c>
      <c r="D453" t="inlineStr">
        <is>
          <t>STOCKHOLMS LÄN</t>
        </is>
      </c>
      <c r="E453" t="inlineStr">
        <is>
          <t>NORRTÄLJE</t>
        </is>
      </c>
      <c r="G453" t="n">
        <v>8</v>
      </c>
      <c r="H453" t="n">
        <v>0</v>
      </c>
      <c r="I453" t="n">
        <v>0</v>
      </c>
      <c r="J453" t="n">
        <v>0</v>
      </c>
      <c r="K453" t="n">
        <v>0</v>
      </c>
      <c r="L453" t="n">
        <v>0</v>
      </c>
      <c r="M453" t="n">
        <v>0</v>
      </c>
      <c r="N453" t="n">
        <v>0</v>
      </c>
      <c r="O453" t="n">
        <v>0</v>
      </c>
      <c r="P453" t="n">
        <v>0</v>
      </c>
      <c r="Q453" t="n">
        <v>0</v>
      </c>
      <c r="R453" s="2" t="inlineStr"/>
    </row>
    <row r="454" ht="15" customHeight="1">
      <c r="A454" t="inlineStr">
        <is>
          <t>A 7186-2024</t>
        </is>
      </c>
      <c r="B454" s="1" t="n">
        <v>45344</v>
      </c>
      <c r="C454" s="1" t="n">
        <v>45994</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55369-2023</t>
        </is>
      </c>
      <c r="B455" s="1" t="n">
        <v>45238</v>
      </c>
      <c r="C455" s="1" t="n">
        <v>45994</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2281-2024</t>
        </is>
      </c>
      <c r="B456" s="1" t="n">
        <v>45310.40628472222</v>
      </c>
      <c r="C456" s="1" t="n">
        <v>45994</v>
      </c>
      <c r="D456" t="inlineStr">
        <is>
          <t>STOCKHOLMS LÄN</t>
        </is>
      </c>
      <c r="E456" t="inlineStr">
        <is>
          <t>NORRTÄLJE</t>
        </is>
      </c>
      <c r="G456" t="n">
        <v>2.7</v>
      </c>
      <c r="H456" t="n">
        <v>0</v>
      </c>
      <c r="I456" t="n">
        <v>0</v>
      </c>
      <c r="J456" t="n">
        <v>0</v>
      </c>
      <c r="K456" t="n">
        <v>0</v>
      </c>
      <c r="L456" t="n">
        <v>0</v>
      </c>
      <c r="M456" t="n">
        <v>0</v>
      </c>
      <c r="N456" t="n">
        <v>0</v>
      </c>
      <c r="O456" t="n">
        <v>0</v>
      </c>
      <c r="P456" t="n">
        <v>0</v>
      </c>
      <c r="Q456" t="n">
        <v>0</v>
      </c>
      <c r="R456" s="2" t="inlineStr"/>
    </row>
    <row r="457" ht="15" customHeight="1">
      <c r="A457" t="inlineStr">
        <is>
          <t>A 60525-2022</t>
        </is>
      </c>
      <c r="B457" s="1" t="n">
        <v>44904</v>
      </c>
      <c r="C457" s="1" t="n">
        <v>45994</v>
      </c>
      <c r="D457" t="inlineStr">
        <is>
          <t>STOCKHOLMS LÄN</t>
        </is>
      </c>
      <c r="E457" t="inlineStr">
        <is>
          <t>NORRTÄLJE</t>
        </is>
      </c>
      <c r="G457" t="n">
        <v>13.4</v>
      </c>
      <c r="H457" t="n">
        <v>0</v>
      </c>
      <c r="I457" t="n">
        <v>0</v>
      </c>
      <c r="J457" t="n">
        <v>0</v>
      </c>
      <c r="K457" t="n">
        <v>0</v>
      </c>
      <c r="L457" t="n">
        <v>0</v>
      </c>
      <c r="M457" t="n">
        <v>0</v>
      </c>
      <c r="N457" t="n">
        <v>0</v>
      </c>
      <c r="O457" t="n">
        <v>0</v>
      </c>
      <c r="P457" t="n">
        <v>0</v>
      </c>
      <c r="Q457" t="n">
        <v>0</v>
      </c>
      <c r="R457" s="2" t="inlineStr"/>
    </row>
    <row r="458" ht="15" customHeight="1">
      <c r="A458" t="inlineStr">
        <is>
          <t>A 59326-2023</t>
        </is>
      </c>
      <c r="B458" s="1" t="n">
        <v>45253.63089120371</v>
      </c>
      <c r="C458" s="1" t="n">
        <v>45994</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57602-2024</t>
        </is>
      </c>
      <c r="B459" s="1" t="n">
        <v>45630.52866898148</v>
      </c>
      <c r="C459" s="1" t="n">
        <v>45994</v>
      </c>
      <c r="D459" t="inlineStr">
        <is>
          <t>STOCKHOLMS LÄN</t>
        </is>
      </c>
      <c r="E459" t="inlineStr">
        <is>
          <t>NORRTÄLJE</t>
        </is>
      </c>
      <c r="G459" t="n">
        <v>1.8</v>
      </c>
      <c r="H459" t="n">
        <v>0</v>
      </c>
      <c r="I459" t="n">
        <v>0</v>
      </c>
      <c r="J459" t="n">
        <v>0</v>
      </c>
      <c r="K459" t="n">
        <v>0</v>
      </c>
      <c r="L459" t="n">
        <v>0</v>
      </c>
      <c r="M459" t="n">
        <v>0</v>
      </c>
      <c r="N459" t="n">
        <v>0</v>
      </c>
      <c r="O459" t="n">
        <v>0</v>
      </c>
      <c r="P459" t="n">
        <v>0</v>
      </c>
      <c r="Q459" t="n">
        <v>0</v>
      </c>
      <c r="R459" s="2" t="inlineStr"/>
    </row>
    <row r="460" ht="15" customHeight="1">
      <c r="A460" t="inlineStr">
        <is>
          <t>A 61113-2023</t>
        </is>
      </c>
      <c r="B460" s="1" t="n">
        <v>45261</v>
      </c>
      <c r="C460" s="1" t="n">
        <v>45994</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3283-2025</t>
        </is>
      </c>
      <c r="B461" s="1" t="n">
        <v>45679</v>
      </c>
      <c r="C461" s="1" t="n">
        <v>45994</v>
      </c>
      <c r="D461" t="inlineStr">
        <is>
          <t>STOCKHOLMS LÄN</t>
        </is>
      </c>
      <c r="E461" t="inlineStr">
        <is>
          <t>NORRTÄLJE</t>
        </is>
      </c>
      <c r="G461" t="n">
        <v>1.1</v>
      </c>
      <c r="H461" t="n">
        <v>0</v>
      </c>
      <c r="I461" t="n">
        <v>0</v>
      </c>
      <c r="J461" t="n">
        <v>0</v>
      </c>
      <c r="K461" t="n">
        <v>0</v>
      </c>
      <c r="L461" t="n">
        <v>0</v>
      </c>
      <c r="M461" t="n">
        <v>0</v>
      </c>
      <c r="N461" t="n">
        <v>0</v>
      </c>
      <c r="O461" t="n">
        <v>0</v>
      </c>
      <c r="P461" t="n">
        <v>0</v>
      </c>
      <c r="Q461" t="n">
        <v>0</v>
      </c>
      <c r="R461" s="2" t="inlineStr"/>
    </row>
    <row r="462" ht="15" customHeight="1">
      <c r="A462" t="inlineStr">
        <is>
          <t>A 64600-2021</t>
        </is>
      </c>
      <c r="B462" s="1" t="n">
        <v>44511.70518518519</v>
      </c>
      <c r="C462" s="1" t="n">
        <v>45994</v>
      </c>
      <c r="D462" t="inlineStr">
        <is>
          <t>STOCKHOLMS LÄN</t>
        </is>
      </c>
      <c r="E462" t="inlineStr">
        <is>
          <t>NORRTÄLJE</t>
        </is>
      </c>
      <c r="G462" t="n">
        <v>6.2</v>
      </c>
      <c r="H462" t="n">
        <v>0</v>
      </c>
      <c r="I462" t="n">
        <v>0</v>
      </c>
      <c r="J462" t="n">
        <v>0</v>
      </c>
      <c r="K462" t="n">
        <v>0</v>
      </c>
      <c r="L462" t="n">
        <v>0</v>
      </c>
      <c r="M462" t="n">
        <v>0</v>
      </c>
      <c r="N462" t="n">
        <v>0</v>
      </c>
      <c r="O462" t="n">
        <v>0</v>
      </c>
      <c r="P462" t="n">
        <v>0</v>
      </c>
      <c r="Q462" t="n">
        <v>0</v>
      </c>
      <c r="R462" s="2" t="inlineStr"/>
    </row>
    <row r="463" ht="15" customHeight="1">
      <c r="A463" t="inlineStr">
        <is>
          <t>A 50602-2021</t>
        </is>
      </c>
      <c r="B463" s="1" t="n">
        <v>44459</v>
      </c>
      <c r="C463" s="1" t="n">
        <v>45994</v>
      </c>
      <c r="D463" t="inlineStr">
        <is>
          <t>STOCKHOLMS LÄN</t>
        </is>
      </c>
      <c r="E463" t="inlineStr">
        <is>
          <t>NORRTÄLJE</t>
        </is>
      </c>
      <c r="F463" t="inlineStr">
        <is>
          <t>Holmen skog AB</t>
        </is>
      </c>
      <c r="G463" t="n">
        <v>2</v>
      </c>
      <c r="H463" t="n">
        <v>0</v>
      </c>
      <c r="I463" t="n">
        <v>0</v>
      </c>
      <c r="J463" t="n">
        <v>0</v>
      </c>
      <c r="K463" t="n">
        <v>0</v>
      </c>
      <c r="L463" t="n">
        <v>0</v>
      </c>
      <c r="M463" t="n">
        <v>0</v>
      </c>
      <c r="N463" t="n">
        <v>0</v>
      </c>
      <c r="O463" t="n">
        <v>0</v>
      </c>
      <c r="P463" t="n">
        <v>0</v>
      </c>
      <c r="Q463" t="n">
        <v>0</v>
      </c>
      <c r="R463" s="2" t="inlineStr"/>
    </row>
    <row r="464" ht="15" customHeight="1">
      <c r="A464" t="inlineStr">
        <is>
          <t>A 26365-2024</t>
        </is>
      </c>
      <c r="B464" s="1" t="n">
        <v>45469</v>
      </c>
      <c r="C464" s="1" t="n">
        <v>45994</v>
      </c>
      <c r="D464" t="inlineStr">
        <is>
          <t>STOCKHOLMS LÄN</t>
        </is>
      </c>
      <c r="E464" t="inlineStr">
        <is>
          <t>NORRTÄLJE</t>
        </is>
      </c>
      <c r="G464" t="n">
        <v>0.9</v>
      </c>
      <c r="H464" t="n">
        <v>0</v>
      </c>
      <c r="I464" t="n">
        <v>0</v>
      </c>
      <c r="J464" t="n">
        <v>0</v>
      </c>
      <c r="K464" t="n">
        <v>0</v>
      </c>
      <c r="L464" t="n">
        <v>0</v>
      </c>
      <c r="M464" t="n">
        <v>0</v>
      </c>
      <c r="N464" t="n">
        <v>0</v>
      </c>
      <c r="O464" t="n">
        <v>0</v>
      </c>
      <c r="P464" t="n">
        <v>0</v>
      </c>
      <c r="Q464" t="n">
        <v>0</v>
      </c>
      <c r="R464" s="2" t="inlineStr"/>
    </row>
    <row r="465" ht="15" customHeight="1">
      <c r="A465" t="inlineStr">
        <is>
          <t>A 44836-2023</t>
        </is>
      </c>
      <c r="B465" s="1" t="n">
        <v>45190.55609953704</v>
      </c>
      <c r="C465" s="1" t="n">
        <v>45994</v>
      </c>
      <c r="D465" t="inlineStr">
        <is>
          <t>STOCKHOLMS LÄN</t>
        </is>
      </c>
      <c r="E465" t="inlineStr">
        <is>
          <t>NORRTÄLJE</t>
        </is>
      </c>
      <c r="G465" t="n">
        <v>2.3</v>
      </c>
      <c r="H465" t="n">
        <v>0</v>
      </c>
      <c r="I465" t="n">
        <v>0</v>
      </c>
      <c r="J465" t="n">
        <v>0</v>
      </c>
      <c r="K465" t="n">
        <v>0</v>
      </c>
      <c r="L465" t="n">
        <v>0</v>
      </c>
      <c r="M465" t="n">
        <v>0</v>
      </c>
      <c r="N465" t="n">
        <v>0</v>
      </c>
      <c r="O465" t="n">
        <v>0</v>
      </c>
      <c r="P465" t="n">
        <v>0</v>
      </c>
      <c r="Q465" t="n">
        <v>0</v>
      </c>
      <c r="R465" s="2" t="inlineStr"/>
    </row>
    <row r="466" ht="15" customHeight="1">
      <c r="A466" t="inlineStr">
        <is>
          <t>A 34295-2024</t>
        </is>
      </c>
      <c r="B466" s="1" t="n">
        <v>45524</v>
      </c>
      <c r="C466" s="1" t="n">
        <v>45994</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7903-2021</t>
        </is>
      </c>
      <c r="B467" s="1" t="n">
        <v>44243.33587962963</v>
      </c>
      <c r="C467" s="1" t="n">
        <v>45994</v>
      </c>
      <c r="D467" t="inlineStr">
        <is>
          <t>STOCKHOLMS LÄN</t>
        </is>
      </c>
      <c r="E467" t="inlineStr">
        <is>
          <t>NORRTÄLJE</t>
        </is>
      </c>
      <c r="G467" t="n">
        <v>3.5</v>
      </c>
      <c r="H467" t="n">
        <v>0</v>
      </c>
      <c r="I467" t="n">
        <v>0</v>
      </c>
      <c r="J467" t="n">
        <v>0</v>
      </c>
      <c r="K467" t="n">
        <v>0</v>
      </c>
      <c r="L467" t="n">
        <v>0</v>
      </c>
      <c r="M467" t="n">
        <v>0</v>
      </c>
      <c r="N467" t="n">
        <v>0</v>
      </c>
      <c r="O467" t="n">
        <v>0</v>
      </c>
      <c r="P467" t="n">
        <v>0</v>
      </c>
      <c r="Q467" t="n">
        <v>0</v>
      </c>
      <c r="R467" s="2" t="inlineStr"/>
    </row>
    <row r="468" ht="15" customHeight="1">
      <c r="A468" t="inlineStr">
        <is>
          <t>A 58311-2023</t>
        </is>
      </c>
      <c r="B468" s="1" t="n">
        <v>45245</v>
      </c>
      <c r="C468" s="1" t="n">
        <v>45994</v>
      </c>
      <c r="D468" t="inlineStr">
        <is>
          <t>STOCKHOLMS LÄN</t>
        </is>
      </c>
      <c r="E468" t="inlineStr">
        <is>
          <t>NORRTÄLJE</t>
        </is>
      </c>
      <c r="G468" t="n">
        <v>2.3</v>
      </c>
      <c r="H468" t="n">
        <v>0</v>
      </c>
      <c r="I468" t="n">
        <v>0</v>
      </c>
      <c r="J468" t="n">
        <v>0</v>
      </c>
      <c r="K468" t="n">
        <v>0</v>
      </c>
      <c r="L468" t="n">
        <v>0</v>
      </c>
      <c r="M468" t="n">
        <v>0</v>
      </c>
      <c r="N468" t="n">
        <v>0</v>
      </c>
      <c r="O468" t="n">
        <v>0</v>
      </c>
      <c r="P468" t="n">
        <v>0</v>
      </c>
      <c r="Q468" t="n">
        <v>0</v>
      </c>
      <c r="R468" s="2" t="inlineStr"/>
    </row>
    <row r="469" ht="15" customHeight="1">
      <c r="A469" t="inlineStr">
        <is>
          <t>A 39213-2022</t>
        </is>
      </c>
      <c r="B469" s="1" t="n">
        <v>44817.56120370371</v>
      </c>
      <c r="C469" s="1" t="n">
        <v>45994</v>
      </c>
      <c r="D469" t="inlineStr">
        <is>
          <t>STOCKHOLMS LÄN</t>
        </is>
      </c>
      <c r="E469" t="inlineStr">
        <is>
          <t>NORRTÄLJE</t>
        </is>
      </c>
      <c r="G469" t="n">
        <v>3.4</v>
      </c>
      <c r="H469" t="n">
        <v>0</v>
      </c>
      <c r="I469" t="n">
        <v>0</v>
      </c>
      <c r="J469" t="n">
        <v>0</v>
      </c>
      <c r="K469" t="n">
        <v>0</v>
      </c>
      <c r="L469" t="n">
        <v>0</v>
      </c>
      <c r="M469" t="n">
        <v>0</v>
      </c>
      <c r="N469" t="n">
        <v>0</v>
      </c>
      <c r="O469" t="n">
        <v>0</v>
      </c>
      <c r="P469" t="n">
        <v>0</v>
      </c>
      <c r="Q469" t="n">
        <v>0</v>
      </c>
      <c r="R469" s="2" t="inlineStr"/>
    </row>
    <row r="470" ht="15" customHeight="1">
      <c r="A470" t="inlineStr">
        <is>
          <t>A 23692-2024</t>
        </is>
      </c>
      <c r="B470" s="1" t="n">
        <v>45454.65774305556</v>
      </c>
      <c r="C470" s="1" t="n">
        <v>45994</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26640-2023</t>
        </is>
      </c>
      <c r="B471" s="1" t="n">
        <v>45092</v>
      </c>
      <c r="C471" s="1" t="n">
        <v>45994</v>
      </c>
      <c r="D471" t="inlineStr">
        <is>
          <t>STOCKHOLMS LÄN</t>
        </is>
      </c>
      <c r="E471" t="inlineStr">
        <is>
          <t>NORRTÄLJE</t>
        </is>
      </c>
      <c r="G471" t="n">
        <v>5.7</v>
      </c>
      <c r="H471" t="n">
        <v>0</v>
      </c>
      <c r="I471" t="n">
        <v>0</v>
      </c>
      <c r="J471" t="n">
        <v>0</v>
      </c>
      <c r="K471" t="n">
        <v>0</v>
      </c>
      <c r="L471" t="n">
        <v>0</v>
      </c>
      <c r="M471" t="n">
        <v>0</v>
      </c>
      <c r="N471" t="n">
        <v>0</v>
      </c>
      <c r="O471" t="n">
        <v>0</v>
      </c>
      <c r="P471" t="n">
        <v>0</v>
      </c>
      <c r="Q471" t="n">
        <v>0</v>
      </c>
      <c r="R471" s="2" t="inlineStr"/>
    </row>
    <row r="472" ht="15" customHeight="1">
      <c r="A472" t="inlineStr">
        <is>
          <t>A 41976-2024</t>
        </is>
      </c>
      <c r="B472" s="1" t="n">
        <v>45561.62141203704</v>
      </c>
      <c r="C472" s="1" t="n">
        <v>45994</v>
      </c>
      <c r="D472" t="inlineStr">
        <is>
          <t>STOCKHOLMS LÄN</t>
        </is>
      </c>
      <c r="E472" t="inlineStr">
        <is>
          <t>NORRTÄLJE</t>
        </is>
      </c>
      <c r="G472" t="n">
        <v>2.5</v>
      </c>
      <c r="H472" t="n">
        <v>0</v>
      </c>
      <c r="I472" t="n">
        <v>0</v>
      </c>
      <c r="J472" t="n">
        <v>0</v>
      </c>
      <c r="K472" t="n">
        <v>0</v>
      </c>
      <c r="L472" t="n">
        <v>0</v>
      </c>
      <c r="M472" t="n">
        <v>0</v>
      </c>
      <c r="N472" t="n">
        <v>0</v>
      </c>
      <c r="O472" t="n">
        <v>0</v>
      </c>
      <c r="P472" t="n">
        <v>0</v>
      </c>
      <c r="Q472" t="n">
        <v>0</v>
      </c>
      <c r="R472" s="2" t="inlineStr"/>
    </row>
    <row r="473" ht="15" customHeight="1">
      <c r="A473" t="inlineStr">
        <is>
          <t>A 31827-2023</t>
        </is>
      </c>
      <c r="B473" s="1" t="n">
        <v>45118</v>
      </c>
      <c r="C473" s="1" t="n">
        <v>45994</v>
      </c>
      <c r="D473" t="inlineStr">
        <is>
          <t>STOCKHOLMS LÄN</t>
        </is>
      </c>
      <c r="E473" t="inlineStr">
        <is>
          <t>NORRTÄLJE</t>
        </is>
      </c>
      <c r="F473" t="inlineStr">
        <is>
          <t>Kyrkan</t>
        </is>
      </c>
      <c r="G473" t="n">
        <v>4.9</v>
      </c>
      <c r="H473" t="n">
        <v>0</v>
      </c>
      <c r="I473" t="n">
        <v>0</v>
      </c>
      <c r="J473" t="n">
        <v>0</v>
      </c>
      <c r="K473" t="n">
        <v>0</v>
      </c>
      <c r="L473" t="n">
        <v>0</v>
      </c>
      <c r="M473" t="n">
        <v>0</v>
      </c>
      <c r="N473" t="n">
        <v>0</v>
      </c>
      <c r="O473" t="n">
        <v>0</v>
      </c>
      <c r="P473" t="n">
        <v>0</v>
      </c>
      <c r="Q473" t="n">
        <v>0</v>
      </c>
      <c r="R473" s="2" t="inlineStr"/>
    </row>
    <row r="474" ht="15" customHeight="1">
      <c r="A474" t="inlineStr">
        <is>
          <t>A 58993-2022</t>
        </is>
      </c>
      <c r="B474" s="1" t="n">
        <v>44903</v>
      </c>
      <c r="C474" s="1" t="n">
        <v>45994</v>
      </c>
      <c r="D474" t="inlineStr">
        <is>
          <t>STOCKHOLMS LÄN</t>
        </is>
      </c>
      <c r="E474" t="inlineStr">
        <is>
          <t>NORRTÄLJE</t>
        </is>
      </c>
      <c r="G474" t="n">
        <v>2.3</v>
      </c>
      <c r="H474" t="n">
        <v>0</v>
      </c>
      <c r="I474" t="n">
        <v>0</v>
      </c>
      <c r="J474" t="n">
        <v>0</v>
      </c>
      <c r="K474" t="n">
        <v>0</v>
      </c>
      <c r="L474" t="n">
        <v>0</v>
      </c>
      <c r="M474" t="n">
        <v>0</v>
      </c>
      <c r="N474" t="n">
        <v>0</v>
      </c>
      <c r="O474" t="n">
        <v>0</v>
      </c>
      <c r="P474" t="n">
        <v>0</v>
      </c>
      <c r="Q474" t="n">
        <v>0</v>
      </c>
      <c r="R474" s="2" t="inlineStr"/>
    </row>
    <row r="475" ht="15" customHeight="1">
      <c r="A475" t="inlineStr">
        <is>
          <t>A 28900-2022</t>
        </is>
      </c>
      <c r="B475" s="1" t="n">
        <v>44749.55258101852</v>
      </c>
      <c r="C475" s="1" t="n">
        <v>45994</v>
      </c>
      <c r="D475" t="inlineStr">
        <is>
          <t>STOCKHOLMS LÄN</t>
        </is>
      </c>
      <c r="E475" t="inlineStr">
        <is>
          <t>NORRTÄLJE</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17574-2025</t>
        </is>
      </c>
      <c r="B476" s="1" t="n">
        <v>45757.65178240741</v>
      </c>
      <c r="C476" s="1" t="n">
        <v>45994</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51325-2023</t>
        </is>
      </c>
      <c r="B477" s="1" t="n">
        <v>45219</v>
      </c>
      <c r="C477" s="1" t="n">
        <v>45994</v>
      </c>
      <c r="D477" t="inlineStr">
        <is>
          <t>STOCKHOLMS LÄN</t>
        </is>
      </c>
      <c r="E477" t="inlineStr">
        <is>
          <t>NORRTÄLJE</t>
        </is>
      </c>
      <c r="G477" t="n">
        <v>2.2</v>
      </c>
      <c r="H477" t="n">
        <v>0</v>
      </c>
      <c r="I477" t="n">
        <v>0</v>
      </c>
      <c r="J477" t="n">
        <v>0</v>
      </c>
      <c r="K477" t="n">
        <v>0</v>
      </c>
      <c r="L477" t="n">
        <v>0</v>
      </c>
      <c r="M477" t="n">
        <v>0</v>
      </c>
      <c r="N477" t="n">
        <v>0</v>
      </c>
      <c r="O477" t="n">
        <v>0</v>
      </c>
      <c r="P477" t="n">
        <v>0</v>
      </c>
      <c r="Q477" t="n">
        <v>0</v>
      </c>
      <c r="R477" s="2" t="inlineStr"/>
    </row>
    <row r="478" ht="15" customHeight="1">
      <c r="A478" t="inlineStr">
        <is>
          <t>A 20473-2021</t>
        </is>
      </c>
      <c r="B478" s="1" t="n">
        <v>44315</v>
      </c>
      <c r="C478" s="1" t="n">
        <v>45994</v>
      </c>
      <c r="D478" t="inlineStr">
        <is>
          <t>STOCKHOLMS LÄN</t>
        </is>
      </c>
      <c r="E478" t="inlineStr">
        <is>
          <t>NORRTÄLJE</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59534-2024</t>
        </is>
      </c>
      <c r="B479" s="1" t="n">
        <v>45638.5987037037</v>
      </c>
      <c r="C479" s="1" t="n">
        <v>45994</v>
      </c>
      <c r="D479" t="inlineStr">
        <is>
          <t>STOCKHOLMS LÄN</t>
        </is>
      </c>
      <c r="E479" t="inlineStr">
        <is>
          <t>NORRTÄLJE</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31107-2022</t>
        </is>
      </c>
      <c r="B480" s="1" t="n">
        <v>44769.66864583334</v>
      </c>
      <c r="C480" s="1" t="n">
        <v>45994</v>
      </c>
      <c r="D480" t="inlineStr">
        <is>
          <t>STOCKHOLMS LÄN</t>
        </is>
      </c>
      <c r="E480" t="inlineStr">
        <is>
          <t>NORRTÄLJE</t>
        </is>
      </c>
      <c r="G480" t="n">
        <v>3.8</v>
      </c>
      <c r="H480" t="n">
        <v>0</v>
      </c>
      <c r="I480" t="n">
        <v>0</v>
      </c>
      <c r="J480" t="n">
        <v>0</v>
      </c>
      <c r="K480" t="n">
        <v>0</v>
      </c>
      <c r="L480" t="n">
        <v>0</v>
      </c>
      <c r="M480" t="n">
        <v>0</v>
      </c>
      <c r="N480" t="n">
        <v>0</v>
      </c>
      <c r="O480" t="n">
        <v>0</v>
      </c>
      <c r="P480" t="n">
        <v>0</v>
      </c>
      <c r="Q480" t="n">
        <v>0</v>
      </c>
      <c r="R480" s="2" t="inlineStr"/>
    </row>
    <row r="481" ht="15" customHeight="1">
      <c r="A481" t="inlineStr">
        <is>
          <t>A 13860-2023</t>
        </is>
      </c>
      <c r="B481" s="1" t="n">
        <v>45007</v>
      </c>
      <c r="C481" s="1" t="n">
        <v>45994</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6855-2025</t>
        </is>
      </c>
      <c r="B482" s="1" t="n">
        <v>45700</v>
      </c>
      <c r="C482" s="1" t="n">
        <v>45994</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13314-2025</t>
        </is>
      </c>
      <c r="B483" s="1" t="n">
        <v>45735.59287037037</v>
      </c>
      <c r="C483" s="1" t="n">
        <v>45994</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58297-2023</t>
        </is>
      </c>
      <c r="B484" s="1" t="n">
        <v>45245</v>
      </c>
      <c r="C484" s="1" t="n">
        <v>45994</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20304-2023</t>
        </is>
      </c>
      <c r="B485" s="1" t="n">
        <v>45056</v>
      </c>
      <c r="C485" s="1" t="n">
        <v>45994</v>
      </c>
      <c r="D485" t="inlineStr">
        <is>
          <t>STOCKHOLMS LÄN</t>
        </is>
      </c>
      <c r="E485" t="inlineStr">
        <is>
          <t>NORRTÄLJE</t>
        </is>
      </c>
      <c r="G485" t="n">
        <v>1.5</v>
      </c>
      <c r="H485" t="n">
        <v>0</v>
      </c>
      <c r="I485" t="n">
        <v>0</v>
      </c>
      <c r="J485" t="n">
        <v>0</v>
      </c>
      <c r="K485" t="n">
        <v>0</v>
      </c>
      <c r="L485" t="n">
        <v>0</v>
      </c>
      <c r="M485" t="n">
        <v>0</v>
      </c>
      <c r="N485" t="n">
        <v>0</v>
      </c>
      <c r="O485" t="n">
        <v>0</v>
      </c>
      <c r="P485" t="n">
        <v>0</v>
      </c>
      <c r="Q485" t="n">
        <v>0</v>
      </c>
      <c r="R485" s="2" t="inlineStr"/>
    </row>
    <row r="486" ht="15" customHeight="1">
      <c r="A486" t="inlineStr">
        <is>
          <t>A 20779-2025</t>
        </is>
      </c>
      <c r="B486" s="1" t="n">
        <v>45776.59871527777</v>
      </c>
      <c r="C486" s="1" t="n">
        <v>45994</v>
      </c>
      <c r="D486" t="inlineStr">
        <is>
          <t>STOCKHOLMS LÄN</t>
        </is>
      </c>
      <c r="E486" t="inlineStr">
        <is>
          <t>NORRTÄLJE</t>
        </is>
      </c>
      <c r="G486" t="n">
        <v>6.9</v>
      </c>
      <c r="H486" t="n">
        <v>0</v>
      </c>
      <c r="I486" t="n">
        <v>0</v>
      </c>
      <c r="J486" t="n">
        <v>0</v>
      </c>
      <c r="K486" t="n">
        <v>0</v>
      </c>
      <c r="L486" t="n">
        <v>0</v>
      </c>
      <c r="M486" t="n">
        <v>0</v>
      </c>
      <c r="N486" t="n">
        <v>0</v>
      </c>
      <c r="O486" t="n">
        <v>0</v>
      </c>
      <c r="P486" t="n">
        <v>0</v>
      </c>
      <c r="Q486" t="n">
        <v>0</v>
      </c>
      <c r="R486" s="2" t="inlineStr"/>
    </row>
    <row r="487" ht="15" customHeight="1">
      <c r="A487" t="inlineStr">
        <is>
          <t>A 12299-2025</t>
        </is>
      </c>
      <c r="B487" s="1" t="n">
        <v>45729.71065972222</v>
      </c>
      <c r="C487" s="1" t="n">
        <v>45994</v>
      </c>
      <c r="D487" t="inlineStr">
        <is>
          <t>STOCKHOLMS LÄN</t>
        </is>
      </c>
      <c r="E487" t="inlineStr">
        <is>
          <t>NORRTÄLJE</t>
        </is>
      </c>
      <c r="F487" t="inlineStr">
        <is>
          <t>Holmen skog AB</t>
        </is>
      </c>
      <c r="G487" t="n">
        <v>6.9</v>
      </c>
      <c r="H487" t="n">
        <v>0</v>
      </c>
      <c r="I487" t="n">
        <v>0</v>
      </c>
      <c r="J487" t="n">
        <v>0</v>
      </c>
      <c r="K487" t="n">
        <v>0</v>
      </c>
      <c r="L487" t="n">
        <v>0</v>
      </c>
      <c r="M487" t="n">
        <v>0</v>
      </c>
      <c r="N487" t="n">
        <v>0</v>
      </c>
      <c r="O487" t="n">
        <v>0</v>
      </c>
      <c r="P487" t="n">
        <v>0</v>
      </c>
      <c r="Q487" t="n">
        <v>0</v>
      </c>
      <c r="R487" s="2" t="inlineStr"/>
    </row>
    <row r="488" ht="15" customHeight="1">
      <c r="A488" t="inlineStr">
        <is>
          <t>A 54273-2021</t>
        </is>
      </c>
      <c r="B488" s="1" t="n">
        <v>44470.72987268519</v>
      </c>
      <c r="C488" s="1" t="n">
        <v>45994</v>
      </c>
      <c r="D488" t="inlineStr">
        <is>
          <t>STOCKHOLMS LÄN</t>
        </is>
      </c>
      <c r="E488" t="inlineStr">
        <is>
          <t>NORRTÄLJE</t>
        </is>
      </c>
      <c r="G488" t="n">
        <v>2.7</v>
      </c>
      <c r="H488" t="n">
        <v>0</v>
      </c>
      <c r="I488" t="n">
        <v>0</v>
      </c>
      <c r="J488" t="n">
        <v>0</v>
      </c>
      <c r="K488" t="n">
        <v>0</v>
      </c>
      <c r="L488" t="n">
        <v>0</v>
      </c>
      <c r="M488" t="n">
        <v>0</v>
      </c>
      <c r="N488" t="n">
        <v>0</v>
      </c>
      <c r="O488" t="n">
        <v>0</v>
      </c>
      <c r="P488" t="n">
        <v>0</v>
      </c>
      <c r="Q488" t="n">
        <v>0</v>
      </c>
      <c r="R488" s="2" t="inlineStr"/>
    </row>
    <row r="489" ht="15" customHeight="1">
      <c r="A489" t="inlineStr">
        <is>
          <t>A 22157-2023</t>
        </is>
      </c>
      <c r="B489" s="1" t="n">
        <v>45069</v>
      </c>
      <c r="C489" s="1" t="n">
        <v>45994</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c r="U489">
        <f>HYPERLINK("https://klasma.github.io/Logging_0188/knärot/A 22157-2023 karta knärot.png", "A 22157-2023")</f>
        <v/>
      </c>
      <c r="V489">
        <f>HYPERLINK("https://klasma.github.io/Logging_0188/klagomål/A 22157-2023 FSC-klagomål.docx", "A 22157-2023")</f>
        <v/>
      </c>
      <c r="W489">
        <f>HYPERLINK("https://klasma.github.io/Logging_0188/klagomålsmail/A 22157-2023 FSC-klagomål mail.docx", "A 22157-2023")</f>
        <v/>
      </c>
      <c r="X489">
        <f>HYPERLINK("https://klasma.github.io/Logging_0188/tillsyn/A 22157-2023 tillsynsbegäran.docx", "A 22157-2023")</f>
        <v/>
      </c>
      <c r="Y489">
        <f>HYPERLINK("https://klasma.github.io/Logging_0188/tillsynsmail/A 22157-2023 tillsynsbegäran mail.docx", "A 22157-2023")</f>
        <v/>
      </c>
    </row>
    <row r="490" ht="15" customHeight="1">
      <c r="A490" t="inlineStr">
        <is>
          <t>A 34432-2021</t>
        </is>
      </c>
      <c r="B490" s="1" t="n">
        <v>44380.77346064815</v>
      </c>
      <c r="C490" s="1" t="n">
        <v>45994</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11929-2024</t>
        </is>
      </c>
      <c r="B491" s="1" t="n">
        <v>45376.64532407407</v>
      </c>
      <c r="C491" s="1" t="n">
        <v>45994</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7806-2025</t>
        </is>
      </c>
      <c r="B492" s="1" t="n">
        <v>45706.61178240741</v>
      </c>
      <c r="C492" s="1" t="n">
        <v>45994</v>
      </c>
      <c r="D492" t="inlineStr">
        <is>
          <t>STOCKHOLMS LÄN</t>
        </is>
      </c>
      <c r="E492" t="inlineStr">
        <is>
          <t>NORRTÄLJE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8296-2023</t>
        </is>
      </c>
      <c r="B493" s="1" t="n">
        <v>44974</v>
      </c>
      <c r="C493" s="1" t="n">
        <v>45994</v>
      </c>
      <c r="D493" t="inlineStr">
        <is>
          <t>STOCKHOLMS LÄN</t>
        </is>
      </c>
      <c r="E493" t="inlineStr">
        <is>
          <t>NORRTÄLJE</t>
        </is>
      </c>
      <c r="G493" t="n">
        <v>3.8</v>
      </c>
      <c r="H493" t="n">
        <v>0</v>
      </c>
      <c r="I493" t="n">
        <v>0</v>
      </c>
      <c r="J493" t="n">
        <v>0</v>
      </c>
      <c r="K493" t="n">
        <v>0</v>
      </c>
      <c r="L493" t="n">
        <v>0</v>
      </c>
      <c r="M493" t="n">
        <v>0</v>
      </c>
      <c r="N493" t="n">
        <v>0</v>
      </c>
      <c r="O493" t="n">
        <v>0</v>
      </c>
      <c r="P493" t="n">
        <v>0</v>
      </c>
      <c r="Q493" t="n">
        <v>0</v>
      </c>
      <c r="R493" s="2" t="inlineStr"/>
    </row>
    <row r="494" ht="15" customHeight="1">
      <c r="A494" t="inlineStr">
        <is>
          <t>A 23149-2024</t>
        </is>
      </c>
      <c r="B494" s="1" t="n">
        <v>45450.64208333333</v>
      </c>
      <c r="C494" s="1" t="n">
        <v>45994</v>
      </c>
      <c r="D494" t="inlineStr">
        <is>
          <t>STOCKHOLMS LÄN</t>
        </is>
      </c>
      <c r="E494" t="inlineStr">
        <is>
          <t>NORRTÄLJE</t>
        </is>
      </c>
      <c r="F494" t="inlineStr">
        <is>
          <t>Kommuner</t>
        </is>
      </c>
      <c r="G494" t="n">
        <v>1.3</v>
      </c>
      <c r="H494" t="n">
        <v>0</v>
      </c>
      <c r="I494" t="n">
        <v>0</v>
      </c>
      <c r="J494" t="n">
        <v>0</v>
      </c>
      <c r="K494" t="n">
        <v>0</v>
      </c>
      <c r="L494" t="n">
        <v>0</v>
      </c>
      <c r="M494" t="n">
        <v>0</v>
      </c>
      <c r="N494" t="n">
        <v>0</v>
      </c>
      <c r="O494" t="n">
        <v>0</v>
      </c>
      <c r="P494" t="n">
        <v>0</v>
      </c>
      <c r="Q494" t="n">
        <v>0</v>
      </c>
      <c r="R494" s="2" t="inlineStr"/>
    </row>
    <row r="495" ht="15" customHeight="1">
      <c r="A495" t="inlineStr">
        <is>
          <t>A 23151-2024</t>
        </is>
      </c>
      <c r="B495" s="1" t="n">
        <v>45450</v>
      </c>
      <c r="C495" s="1" t="n">
        <v>45994</v>
      </c>
      <c r="D495" t="inlineStr">
        <is>
          <t>STOCKHOLMS LÄN</t>
        </is>
      </c>
      <c r="E495" t="inlineStr">
        <is>
          <t>NORRTÄLJE</t>
        </is>
      </c>
      <c r="F495" t="inlineStr">
        <is>
          <t>Kommuner</t>
        </is>
      </c>
      <c r="G495" t="n">
        <v>1.2</v>
      </c>
      <c r="H495" t="n">
        <v>0</v>
      </c>
      <c r="I495" t="n">
        <v>0</v>
      </c>
      <c r="J495" t="n">
        <v>0</v>
      </c>
      <c r="K495" t="n">
        <v>0</v>
      </c>
      <c r="L495" t="n">
        <v>0</v>
      </c>
      <c r="M495" t="n">
        <v>0</v>
      </c>
      <c r="N495" t="n">
        <v>0</v>
      </c>
      <c r="O495" t="n">
        <v>0</v>
      </c>
      <c r="P495" t="n">
        <v>0</v>
      </c>
      <c r="Q495" t="n">
        <v>0</v>
      </c>
      <c r="R495" s="2" t="inlineStr"/>
    </row>
    <row r="496" ht="15" customHeight="1">
      <c r="A496" t="inlineStr">
        <is>
          <t>A 53792-2023</t>
        </is>
      </c>
      <c r="B496" s="1" t="n">
        <v>45231.34144675926</v>
      </c>
      <c r="C496" s="1" t="n">
        <v>45994</v>
      </c>
      <c r="D496" t="inlineStr">
        <is>
          <t>STOCKHOLMS LÄN</t>
        </is>
      </c>
      <c r="E496" t="inlineStr">
        <is>
          <t>NORRTÄLJE</t>
        </is>
      </c>
      <c r="G496" t="n">
        <v>1.1</v>
      </c>
      <c r="H496" t="n">
        <v>0</v>
      </c>
      <c r="I496" t="n">
        <v>0</v>
      </c>
      <c r="J496" t="n">
        <v>0</v>
      </c>
      <c r="K496" t="n">
        <v>0</v>
      </c>
      <c r="L496" t="n">
        <v>0</v>
      </c>
      <c r="M496" t="n">
        <v>0</v>
      </c>
      <c r="N496" t="n">
        <v>0</v>
      </c>
      <c r="O496" t="n">
        <v>0</v>
      </c>
      <c r="P496" t="n">
        <v>0</v>
      </c>
      <c r="Q496" t="n">
        <v>0</v>
      </c>
      <c r="R496" s="2" t="inlineStr"/>
    </row>
    <row r="497" ht="15" customHeight="1">
      <c r="A497" t="inlineStr">
        <is>
          <t>A 24575-2024</t>
        </is>
      </c>
      <c r="B497" s="1" t="n">
        <v>45460.45523148148</v>
      </c>
      <c r="C497" s="1" t="n">
        <v>45994</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64899-2023</t>
        </is>
      </c>
      <c r="B498" s="1" t="n">
        <v>45282</v>
      </c>
      <c r="C498" s="1" t="n">
        <v>45994</v>
      </c>
      <c r="D498" t="inlineStr">
        <is>
          <t>STOCKHOLMS LÄN</t>
        </is>
      </c>
      <c r="E498" t="inlineStr">
        <is>
          <t>NORRTÄLJE</t>
        </is>
      </c>
      <c r="G498" t="n">
        <v>6.3</v>
      </c>
      <c r="H498" t="n">
        <v>0</v>
      </c>
      <c r="I498" t="n">
        <v>0</v>
      </c>
      <c r="J498" t="n">
        <v>0</v>
      </c>
      <c r="K498" t="n">
        <v>0</v>
      </c>
      <c r="L498" t="n">
        <v>0</v>
      </c>
      <c r="M498" t="n">
        <v>0</v>
      </c>
      <c r="N498" t="n">
        <v>0</v>
      </c>
      <c r="O498" t="n">
        <v>0</v>
      </c>
      <c r="P498" t="n">
        <v>0</v>
      </c>
      <c r="Q498" t="n">
        <v>0</v>
      </c>
      <c r="R498" s="2" t="inlineStr"/>
    </row>
    <row r="499" ht="15" customHeight="1">
      <c r="A499" t="inlineStr">
        <is>
          <t>A 21329-2022</t>
        </is>
      </c>
      <c r="B499" s="1" t="n">
        <v>44705.60626157407</v>
      </c>
      <c r="C499" s="1" t="n">
        <v>45994</v>
      </c>
      <c r="D499" t="inlineStr">
        <is>
          <t>STOCKHOLMS LÄN</t>
        </is>
      </c>
      <c r="E499" t="inlineStr">
        <is>
          <t>NORRTÄLJE</t>
        </is>
      </c>
      <c r="G499" t="n">
        <v>4.1</v>
      </c>
      <c r="H499" t="n">
        <v>0</v>
      </c>
      <c r="I499" t="n">
        <v>0</v>
      </c>
      <c r="J499" t="n">
        <v>0</v>
      </c>
      <c r="K499" t="n">
        <v>0</v>
      </c>
      <c r="L499" t="n">
        <v>0</v>
      </c>
      <c r="M499" t="n">
        <v>0</v>
      </c>
      <c r="N499" t="n">
        <v>0</v>
      </c>
      <c r="O499" t="n">
        <v>0</v>
      </c>
      <c r="P499" t="n">
        <v>0</v>
      </c>
      <c r="Q499" t="n">
        <v>0</v>
      </c>
      <c r="R499" s="2" t="inlineStr"/>
    </row>
    <row r="500" ht="15" customHeight="1">
      <c r="A500" t="inlineStr">
        <is>
          <t>A 52593-2024</t>
        </is>
      </c>
      <c r="B500" s="1" t="n">
        <v>45609.70778935185</v>
      </c>
      <c r="C500" s="1" t="n">
        <v>45994</v>
      </c>
      <c r="D500" t="inlineStr">
        <is>
          <t>STOCKHOLMS LÄN</t>
        </is>
      </c>
      <c r="E500" t="inlineStr">
        <is>
          <t>NORRTÄLJE</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52617-2024</t>
        </is>
      </c>
      <c r="B501" s="1" t="n">
        <v>45609.85146990741</v>
      </c>
      <c r="C501" s="1" t="n">
        <v>45994</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50569-2022</t>
        </is>
      </c>
      <c r="B502" s="1" t="n">
        <v>44866.63775462963</v>
      </c>
      <c r="C502" s="1" t="n">
        <v>45994</v>
      </c>
      <c r="D502" t="inlineStr">
        <is>
          <t>STOCKHOLMS LÄN</t>
        </is>
      </c>
      <c r="E502" t="inlineStr">
        <is>
          <t>NORRTÄLJE</t>
        </is>
      </c>
      <c r="G502" t="n">
        <v>1.2</v>
      </c>
      <c r="H502" t="n">
        <v>0</v>
      </c>
      <c r="I502" t="n">
        <v>0</v>
      </c>
      <c r="J502" t="n">
        <v>0</v>
      </c>
      <c r="K502" t="n">
        <v>0</v>
      </c>
      <c r="L502" t="n">
        <v>0</v>
      </c>
      <c r="M502" t="n">
        <v>0</v>
      </c>
      <c r="N502" t="n">
        <v>0</v>
      </c>
      <c r="O502" t="n">
        <v>0</v>
      </c>
      <c r="P502" t="n">
        <v>0</v>
      </c>
      <c r="Q502" t="n">
        <v>0</v>
      </c>
      <c r="R502" s="2" t="inlineStr"/>
    </row>
    <row r="503" ht="15" customHeight="1">
      <c r="A503" t="inlineStr">
        <is>
          <t>A 52001-2023</t>
        </is>
      </c>
      <c r="B503" s="1" t="n">
        <v>45223</v>
      </c>
      <c r="C503" s="1" t="n">
        <v>45994</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24501-2023</t>
        </is>
      </c>
      <c r="B504" s="1" t="n">
        <v>45082</v>
      </c>
      <c r="C504" s="1" t="n">
        <v>45994</v>
      </c>
      <c r="D504" t="inlineStr">
        <is>
          <t>STOCKHOLMS LÄN</t>
        </is>
      </c>
      <c r="E504" t="inlineStr">
        <is>
          <t>NORRTÄLJE</t>
        </is>
      </c>
      <c r="G504" t="n">
        <v>1.2</v>
      </c>
      <c r="H504" t="n">
        <v>0</v>
      </c>
      <c r="I504" t="n">
        <v>0</v>
      </c>
      <c r="J504" t="n">
        <v>0</v>
      </c>
      <c r="K504" t="n">
        <v>0</v>
      </c>
      <c r="L504" t="n">
        <v>0</v>
      </c>
      <c r="M504" t="n">
        <v>0</v>
      </c>
      <c r="N504" t="n">
        <v>0</v>
      </c>
      <c r="O504" t="n">
        <v>0</v>
      </c>
      <c r="P504" t="n">
        <v>0</v>
      </c>
      <c r="Q504" t="n">
        <v>0</v>
      </c>
      <c r="R504" s="2" t="inlineStr"/>
    </row>
    <row r="505" ht="15" customHeight="1">
      <c r="A505" t="inlineStr">
        <is>
          <t>A 24520-2023</t>
        </is>
      </c>
      <c r="B505" s="1" t="n">
        <v>45082.68922453704</v>
      </c>
      <c r="C505" s="1" t="n">
        <v>45994</v>
      </c>
      <c r="D505" t="inlineStr">
        <is>
          <t>STOCKHOLMS LÄN</t>
        </is>
      </c>
      <c r="E505" t="inlineStr">
        <is>
          <t>NORRTÄLJE</t>
        </is>
      </c>
      <c r="G505" t="n">
        <v>4.3</v>
      </c>
      <c r="H505" t="n">
        <v>0</v>
      </c>
      <c r="I505" t="n">
        <v>0</v>
      </c>
      <c r="J505" t="n">
        <v>0</v>
      </c>
      <c r="K505" t="n">
        <v>0</v>
      </c>
      <c r="L505" t="n">
        <v>0</v>
      </c>
      <c r="M505" t="n">
        <v>0</v>
      </c>
      <c r="N505" t="n">
        <v>0</v>
      </c>
      <c r="O505" t="n">
        <v>0</v>
      </c>
      <c r="P505" t="n">
        <v>0</v>
      </c>
      <c r="Q505" t="n">
        <v>0</v>
      </c>
      <c r="R505" s="2" t="inlineStr"/>
    </row>
    <row r="506" ht="15" customHeight="1">
      <c r="A506" t="inlineStr">
        <is>
          <t>A 60185-2024</t>
        </is>
      </c>
      <c r="B506" s="1" t="n">
        <v>45642.64634259259</v>
      </c>
      <c r="C506" s="1" t="n">
        <v>45994</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60654-2023</t>
        </is>
      </c>
      <c r="B507" s="1" t="n">
        <v>45260.43225694444</v>
      </c>
      <c r="C507" s="1" t="n">
        <v>45994</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60656-2023</t>
        </is>
      </c>
      <c r="B508" s="1" t="n">
        <v>45260.4333449074</v>
      </c>
      <c r="C508" s="1" t="n">
        <v>45994</v>
      </c>
      <c r="D508" t="inlineStr">
        <is>
          <t>STOCKHOLMS LÄN</t>
        </is>
      </c>
      <c r="E508" t="inlineStr">
        <is>
          <t>NORRTÄLJE</t>
        </is>
      </c>
      <c r="G508" t="n">
        <v>4.8</v>
      </c>
      <c r="H508" t="n">
        <v>0</v>
      </c>
      <c r="I508" t="n">
        <v>0</v>
      </c>
      <c r="J508" t="n">
        <v>0</v>
      </c>
      <c r="K508" t="n">
        <v>0</v>
      </c>
      <c r="L508" t="n">
        <v>0</v>
      </c>
      <c r="M508" t="n">
        <v>0</v>
      </c>
      <c r="N508" t="n">
        <v>0</v>
      </c>
      <c r="O508" t="n">
        <v>0</v>
      </c>
      <c r="P508" t="n">
        <v>0</v>
      </c>
      <c r="Q508" t="n">
        <v>0</v>
      </c>
      <c r="R508" s="2" t="inlineStr"/>
    </row>
    <row r="509" ht="15" customHeight="1">
      <c r="A509" t="inlineStr">
        <is>
          <t>A 48686-2023</t>
        </is>
      </c>
      <c r="B509" s="1" t="n">
        <v>45208</v>
      </c>
      <c r="C509" s="1" t="n">
        <v>45994</v>
      </c>
      <c r="D509" t="inlineStr">
        <is>
          <t>STOCKHOLMS LÄN</t>
        </is>
      </c>
      <c r="E509" t="inlineStr">
        <is>
          <t>NORRTÄLJE</t>
        </is>
      </c>
      <c r="G509" t="n">
        <v>6</v>
      </c>
      <c r="H509" t="n">
        <v>0</v>
      </c>
      <c r="I509" t="n">
        <v>0</v>
      </c>
      <c r="J509" t="n">
        <v>0</v>
      </c>
      <c r="K509" t="n">
        <v>0</v>
      </c>
      <c r="L509" t="n">
        <v>0</v>
      </c>
      <c r="M509" t="n">
        <v>0</v>
      </c>
      <c r="N509" t="n">
        <v>0</v>
      </c>
      <c r="O509" t="n">
        <v>0</v>
      </c>
      <c r="P509" t="n">
        <v>0</v>
      </c>
      <c r="Q509" t="n">
        <v>0</v>
      </c>
      <c r="R509" s="2" t="inlineStr"/>
    </row>
    <row r="510" ht="15" customHeight="1">
      <c r="A510" t="inlineStr">
        <is>
          <t>A 48691-2023</t>
        </is>
      </c>
      <c r="B510" s="1" t="n">
        <v>45208</v>
      </c>
      <c r="C510" s="1" t="n">
        <v>45994</v>
      </c>
      <c r="D510" t="inlineStr">
        <is>
          <t>STOCKHOLMS LÄN</t>
        </is>
      </c>
      <c r="E510" t="inlineStr">
        <is>
          <t>NORRTÄLJE</t>
        </is>
      </c>
      <c r="G510" t="n">
        <v>5.8</v>
      </c>
      <c r="H510" t="n">
        <v>0</v>
      </c>
      <c r="I510" t="n">
        <v>0</v>
      </c>
      <c r="J510" t="n">
        <v>0</v>
      </c>
      <c r="K510" t="n">
        <v>0</v>
      </c>
      <c r="L510" t="n">
        <v>0</v>
      </c>
      <c r="M510" t="n">
        <v>0</v>
      </c>
      <c r="N510" t="n">
        <v>0</v>
      </c>
      <c r="O510" t="n">
        <v>0</v>
      </c>
      <c r="P510" t="n">
        <v>0</v>
      </c>
      <c r="Q510" t="n">
        <v>0</v>
      </c>
      <c r="R510" s="2" t="inlineStr"/>
    </row>
    <row r="511" ht="15" customHeight="1">
      <c r="A511" t="inlineStr">
        <is>
          <t>A 22816-2021</t>
        </is>
      </c>
      <c r="B511" s="1" t="n">
        <v>44325</v>
      </c>
      <c r="C511" s="1" t="n">
        <v>45994</v>
      </c>
      <c r="D511" t="inlineStr">
        <is>
          <t>STOCKHOLMS LÄN</t>
        </is>
      </c>
      <c r="E511" t="inlineStr">
        <is>
          <t>NORRTÄLJE</t>
        </is>
      </c>
      <c r="G511" t="n">
        <v>4.5</v>
      </c>
      <c r="H511" t="n">
        <v>0</v>
      </c>
      <c r="I511" t="n">
        <v>0</v>
      </c>
      <c r="J511" t="n">
        <v>0</v>
      </c>
      <c r="K511" t="n">
        <v>0</v>
      </c>
      <c r="L511" t="n">
        <v>0</v>
      </c>
      <c r="M511" t="n">
        <v>0</v>
      </c>
      <c r="N511" t="n">
        <v>0</v>
      </c>
      <c r="O511" t="n">
        <v>0</v>
      </c>
      <c r="P511" t="n">
        <v>0</v>
      </c>
      <c r="Q511" t="n">
        <v>0</v>
      </c>
      <c r="R511" s="2" t="inlineStr"/>
    </row>
    <row r="512" ht="15" customHeight="1">
      <c r="A512" t="inlineStr">
        <is>
          <t>A 59904-2023</t>
        </is>
      </c>
      <c r="B512" s="1" t="n">
        <v>45257</v>
      </c>
      <c r="C512" s="1" t="n">
        <v>45994</v>
      </c>
      <c r="D512" t="inlineStr">
        <is>
          <t>STOCKHOLMS LÄN</t>
        </is>
      </c>
      <c r="E512" t="inlineStr">
        <is>
          <t>NORRTÄLJE</t>
        </is>
      </c>
      <c r="G512" t="n">
        <v>17.4</v>
      </c>
      <c r="H512" t="n">
        <v>0</v>
      </c>
      <c r="I512" t="n">
        <v>0</v>
      </c>
      <c r="J512" t="n">
        <v>0</v>
      </c>
      <c r="K512" t="n">
        <v>0</v>
      </c>
      <c r="L512" t="n">
        <v>0</v>
      </c>
      <c r="M512" t="n">
        <v>0</v>
      </c>
      <c r="N512" t="n">
        <v>0</v>
      </c>
      <c r="O512" t="n">
        <v>0</v>
      </c>
      <c r="P512" t="n">
        <v>0</v>
      </c>
      <c r="Q512" t="n">
        <v>0</v>
      </c>
      <c r="R512" s="2" t="inlineStr"/>
    </row>
    <row r="513" ht="15" customHeight="1">
      <c r="A513" t="inlineStr">
        <is>
          <t>A 9914-2023</t>
        </is>
      </c>
      <c r="B513" s="1" t="n">
        <v>44985</v>
      </c>
      <c r="C513" s="1" t="n">
        <v>45994</v>
      </c>
      <c r="D513" t="inlineStr">
        <is>
          <t>STOCKHOLMS LÄN</t>
        </is>
      </c>
      <c r="E513" t="inlineStr">
        <is>
          <t>NORRTÄLJE</t>
        </is>
      </c>
      <c r="G513" t="n">
        <v>4.2</v>
      </c>
      <c r="H513" t="n">
        <v>0</v>
      </c>
      <c r="I513" t="n">
        <v>0</v>
      </c>
      <c r="J513" t="n">
        <v>0</v>
      </c>
      <c r="K513" t="n">
        <v>0</v>
      </c>
      <c r="L513" t="n">
        <v>0</v>
      </c>
      <c r="M513" t="n">
        <v>0</v>
      </c>
      <c r="N513" t="n">
        <v>0</v>
      </c>
      <c r="O513" t="n">
        <v>0</v>
      </c>
      <c r="P513" t="n">
        <v>0</v>
      </c>
      <c r="Q513" t="n">
        <v>0</v>
      </c>
      <c r="R513" s="2" t="inlineStr"/>
    </row>
    <row r="514" ht="15" customHeight="1">
      <c r="A514" t="inlineStr">
        <is>
          <t>A 21771-2025</t>
        </is>
      </c>
      <c r="B514" s="1" t="n">
        <v>45783</v>
      </c>
      <c r="C514" s="1" t="n">
        <v>45994</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54496-2024</t>
        </is>
      </c>
      <c r="B515" s="1" t="n">
        <v>45617.57439814815</v>
      </c>
      <c r="C515" s="1" t="n">
        <v>45994</v>
      </c>
      <c r="D515" t="inlineStr">
        <is>
          <t>STOCKHOLMS LÄN</t>
        </is>
      </c>
      <c r="E515" t="inlineStr">
        <is>
          <t>NORRTÄLJE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11062-2024</t>
        </is>
      </c>
      <c r="B516" s="1" t="n">
        <v>45370</v>
      </c>
      <c r="C516" s="1" t="n">
        <v>45994</v>
      </c>
      <c r="D516" t="inlineStr">
        <is>
          <t>STOCKHOLMS LÄN</t>
        </is>
      </c>
      <c r="E516" t="inlineStr">
        <is>
          <t>NORRTÄLJE</t>
        </is>
      </c>
      <c r="G516" t="n">
        <v>3.2</v>
      </c>
      <c r="H516" t="n">
        <v>0</v>
      </c>
      <c r="I516" t="n">
        <v>0</v>
      </c>
      <c r="J516" t="n">
        <v>0</v>
      </c>
      <c r="K516" t="n">
        <v>0</v>
      </c>
      <c r="L516" t="n">
        <v>0</v>
      </c>
      <c r="M516" t="n">
        <v>0</v>
      </c>
      <c r="N516" t="n">
        <v>0</v>
      </c>
      <c r="O516" t="n">
        <v>0</v>
      </c>
      <c r="P516" t="n">
        <v>0</v>
      </c>
      <c r="Q516" t="n">
        <v>0</v>
      </c>
      <c r="R516" s="2" t="inlineStr"/>
    </row>
    <row r="517" ht="15" customHeight="1">
      <c r="A517" t="inlineStr">
        <is>
          <t>A 21778-2025</t>
        </is>
      </c>
      <c r="B517" s="1" t="n">
        <v>45783.66429398148</v>
      </c>
      <c r="C517" s="1" t="n">
        <v>45994</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21726-2022</t>
        </is>
      </c>
      <c r="B518" s="1" t="n">
        <v>44708</v>
      </c>
      <c r="C518" s="1" t="n">
        <v>45994</v>
      </c>
      <c r="D518" t="inlineStr">
        <is>
          <t>STOCKHOLMS LÄN</t>
        </is>
      </c>
      <c r="E518" t="inlineStr">
        <is>
          <t>NORRTÄLJE</t>
        </is>
      </c>
      <c r="G518" t="n">
        <v>0.2</v>
      </c>
      <c r="H518" t="n">
        <v>0</v>
      </c>
      <c r="I518" t="n">
        <v>0</v>
      </c>
      <c r="J518" t="n">
        <v>0</v>
      </c>
      <c r="K518" t="n">
        <v>0</v>
      </c>
      <c r="L518" t="n">
        <v>0</v>
      </c>
      <c r="M518" t="n">
        <v>0</v>
      </c>
      <c r="N518" t="n">
        <v>0</v>
      </c>
      <c r="O518" t="n">
        <v>0</v>
      </c>
      <c r="P518" t="n">
        <v>0</v>
      </c>
      <c r="Q518" t="n">
        <v>0</v>
      </c>
      <c r="R518" s="2" t="inlineStr"/>
    </row>
    <row r="519" ht="15" customHeight="1">
      <c r="A519" t="inlineStr">
        <is>
          <t>A 21739-2022</t>
        </is>
      </c>
      <c r="B519" s="1" t="n">
        <v>44708.36708333333</v>
      </c>
      <c r="C519" s="1" t="n">
        <v>45994</v>
      </c>
      <c r="D519" t="inlineStr">
        <is>
          <t>STOCKHOLMS LÄN</t>
        </is>
      </c>
      <c r="E519" t="inlineStr">
        <is>
          <t>NORRTÄLJE</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21386-2023</t>
        </is>
      </c>
      <c r="B520" s="1" t="n">
        <v>45063.35880787037</v>
      </c>
      <c r="C520" s="1" t="n">
        <v>45994</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33569-2023</t>
        </is>
      </c>
      <c r="B521" s="1" t="n">
        <v>45131.666875</v>
      </c>
      <c r="C521" s="1" t="n">
        <v>45994</v>
      </c>
      <c r="D521" t="inlineStr">
        <is>
          <t>STOCKHOLMS LÄN</t>
        </is>
      </c>
      <c r="E521" t="inlineStr">
        <is>
          <t>NORRTÄLJE</t>
        </is>
      </c>
      <c r="G521" t="n">
        <v>2.3</v>
      </c>
      <c r="H521" t="n">
        <v>0</v>
      </c>
      <c r="I521" t="n">
        <v>0</v>
      </c>
      <c r="J521" t="n">
        <v>0</v>
      </c>
      <c r="K521" t="n">
        <v>0</v>
      </c>
      <c r="L521" t="n">
        <v>0</v>
      </c>
      <c r="M521" t="n">
        <v>0</v>
      </c>
      <c r="N521" t="n">
        <v>0</v>
      </c>
      <c r="O521" t="n">
        <v>0</v>
      </c>
      <c r="P521" t="n">
        <v>0</v>
      </c>
      <c r="Q521" t="n">
        <v>0</v>
      </c>
      <c r="R521" s="2" t="inlineStr"/>
    </row>
    <row r="522" ht="15" customHeight="1">
      <c r="A522" t="inlineStr">
        <is>
          <t>A 35210-2023</t>
        </is>
      </c>
      <c r="B522" s="1" t="n">
        <v>45145.63584490741</v>
      </c>
      <c r="C522" s="1" t="n">
        <v>45994</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10642-2025</t>
        </is>
      </c>
      <c r="B523" s="1" t="n">
        <v>45721.65858796296</v>
      </c>
      <c r="C523" s="1" t="n">
        <v>45994</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15905-2023</t>
        </is>
      </c>
      <c r="B524" s="1" t="n">
        <v>45022</v>
      </c>
      <c r="C524" s="1" t="n">
        <v>45994</v>
      </c>
      <c r="D524" t="inlineStr">
        <is>
          <t>STOCKHOLMS LÄN</t>
        </is>
      </c>
      <c r="E524" t="inlineStr">
        <is>
          <t>NORRTÄLJE</t>
        </is>
      </c>
      <c r="G524" t="n">
        <v>3.2</v>
      </c>
      <c r="H524" t="n">
        <v>0</v>
      </c>
      <c r="I524" t="n">
        <v>0</v>
      </c>
      <c r="J524" t="n">
        <v>0</v>
      </c>
      <c r="K524" t="n">
        <v>0</v>
      </c>
      <c r="L524" t="n">
        <v>0</v>
      </c>
      <c r="M524" t="n">
        <v>0</v>
      </c>
      <c r="N524" t="n">
        <v>0</v>
      </c>
      <c r="O524" t="n">
        <v>0</v>
      </c>
      <c r="P524" t="n">
        <v>0</v>
      </c>
      <c r="Q524" t="n">
        <v>0</v>
      </c>
      <c r="R524" s="2" t="inlineStr"/>
    </row>
    <row r="525" ht="15" customHeight="1">
      <c r="A525" t="inlineStr">
        <is>
          <t>A 59767-2022</t>
        </is>
      </c>
      <c r="B525" s="1" t="n">
        <v>44900</v>
      </c>
      <c r="C525" s="1" t="n">
        <v>45994</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5823-2023</t>
        </is>
      </c>
      <c r="B526" s="1" t="n">
        <v>44963</v>
      </c>
      <c r="C526" s="1" t="n">
        <v>45994</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19915-2024</t>
        </is>
      </c>
      <c r="B527" s="1" t="n">
        <v>45433.58431712963</v>
      </c>
      <c r="C527" s="1" t="n">
        <v>45994</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15217-2023</t>
        </is>
      </c>
      <c r="B528" s="1" t="n">
        <v>45019.28847222222</v>
      </c>
      <c r="C528" s="1" t="n">
        <v>45994</v>
      </c>
      <c r="D528" t="inlineStr">
        <is>
          <t>STOCKHOLMS LÄN</t>
        </is>
      </c>
      <c r="E528" t="inlineStr">
        <is>
          <t>NORRTÄLJE</t>
        </is>
      </c>
      <c r="G528" t="n">
        <v>3.6</v>
      </c>
      <c r="H528" t="n">
        <v>0</v>
      </c>
      <c r="I528" t="n">
        <v>0</v>
      </c>
      <c r="J528" t="n">
        <v>0</v>
      </c>
      <c r="K528" t="n">
        <v>0</v>
      </c>
      <c r="L528" t="n">
        <v>0</v>
      </c>
      <c r="M528" t="n">
        <v>0</v>
      </c>
      <c r="N528" t="n">
        <v>0</v>
      </c>
      <c r="O528" t="n">
        <v>0</v>
      </c>
      <c r="P528" t="n">
        <v>0</v>
      </c>
      <c r="Q528" t="n">
        <v>0</v>
      </c>
      <c r="R528" s="2" t="inlineStr"/>
    </row>
    <row r="529" ht="15" customHeight="1">
      <c r="A529" t="inlineStr">
        <is>
          <t>A 20144-2023</t>
        </is>
      </c>
      <c r="B529" s="1" t="n">
        <v>45055.43509259259</v>
      </c>
      <c r="C529" s="1" t="n">
        <v>45994</v>
      </c>
      <c r="D529" t="inlineStr">
        <is>
          <t>STOCKHOLMS LÄN</t>
        </is>
      </c>
      <c r="E529" t="inlineStr">
        <is>
          <t>NORRTÄLJE</t>
        </is>
      </c>
      <c r="G529" t="n">
        <v>1.4</v>
      </c>
      <c r="H529" t="n">
        <v>0</v>
      </c>
      <c r="I529" t="n">
        <v>0</v>
      </c>
      <c r="J529" t="n">
        <v>0</v>
      </c>
      <c r="K529" t="n">
        <v>0</v>
      </c>
      <c r="L529" t="n">
        <v>0</v>
      </c>
      <c r="M529" t="n">
        <v>0</v>
      </c>
      <c r="N529" t="n">
        <v>0</v>
      </c>
      <c r="O529" t="n">
        <v>0</v>
      </c>
      <c r="P529" t="n">
        <v>0</v>
      </c>
      <c r="Q529" t="n">
        <v>0</v>
      </c>
      <c r="R529" s="2" t="inlineStr"/>
    </row>
    <row r="530" ht="15" customHeight="1">
      <c r="A530" t="inlineStr">
        <is>
          <t>A 22202-2025</t>
        </is>
      </c>
      <c r="B530" s="1" t="n">
        <v>45785.65300925926</v>
      </c>
      <c r="C530" s="1" t="n">
        <v>45994</v>
      </c>
      <c r="D530" t="inlineStr">
        <is>
          <t>STOCKHOLMS LÄN</t>
        </is>
      </c>
      <c r="E530" t="inlineStr">
        <is>
          <t>NORRTÄLJE</t>
        </is>
      </c>
      <c r="G530" t="n">
        <v>10.2</v>
      </c>
      <c r="H530" t="n">
        <v>0</v>
      </c>
      <c r="I530" t="n">
        <v>0</v>
      </c>
      <c r="J530" t="n">
        <v>0</v>
      </c>
      <c r="K530" t="n">
        <v>0</v>
      </c>
      <c r="L530" t="n">
        <v>0</v>
      </c>
      <c r="M530" t="n">
        <v>0</v>
      </c>
      <c r="N530" t="n">
        <v>0</v>
      </c>
      <c r="O530" t="n">
        <v>0</v>
      </c>
      <c r="P530" t="n">
        <v>0</v>
      </c>
      <c r="Q530" t="n">
        <v>0</v>
      </c>
      <c r="R530" s="2" t="inlineStr"/>
    </row>
    <row r="531" ht="15" customHeight="1">
      <c r="A531" t="inlineStr">
        <is>
          <t>A 53312-2024</t>
        </is>
      </c>
      <c r="B531" s="1" t="n">
        <v>45614.39627314815</v>
      </c>
      <c r="C531" s="1" t="n">
        <v>45994</v>
      </c>
      <c r="D531" t="inlineStr">
        <is>
          <t>STOCKHOLMS LÄN</t>
        </is>
      </c>
      <c r="E531" t="inlineStr">
        <is>
          <t>NORRTÄLJE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39202-2024</t>
        </is>
      </c>
      <c r="B532" s="1" t="n">
        <v>45548.72306712963</v>
      </c>
      <c r="C532" s="1" t="n">
        <v>45994</v>
      </c>
      <c r="D532" t="inlineStr">
        <is>
          <t>STOCKHOLMS LÄN</t>
        </is>
      </c>
      <c r="E532" t="inlineStr">
        <is>
          <t>NORRTÄLJE</t>
        </is>
      </c>
      <c r="G532" t="n">
        <v>1.9</v>
      </c>
      <c r="H532" t="n">
        <v>0</v>
      </c>
      <c r="I532" t="n">
        <v>0</v>
      </c>
      <c r="J532" t="n">
        <v>0</v>
      </c>
      <c r="K532" t="n">
        <v>0</v>
      </c>
      <c r="L532" t="n">
        <v>0</v>
      </c>
      <c r="M532" t="n">
        <v>0</v>
      </c>
      <c r="N532" t="n">
        <v>0</v>
      </c>
      <c r="O532" t="n">
        <v>0</v>
      </c>
      <c r="P532" t="n">
        <v>0</v>
      </c>
      <c r="Q532" t="n">
        <v>0</v>
      </c>
      <c r="R532" s="2" t="inlineStr"/>
    </row>
    <row r="533" ht="15" customHeight="1">
      <c r="A533" t="inlineStr">
        <is>
          <t>A 15956-2023</t>
        </is>
      </c>
      <c r="B533" s="1" t="n">
        <v>45022.61003472222</v>
      </c>
      <c r="C533" s="1" t="n">
        <v>45994</v>
      </c>
      <c r="D533" t="inlineStr">
        <is>
          <t>STOCKHOLMS LÄN</t>
        </is>
      </c>
      <c r="E533" t="inlineStr">
        <is>
          <t>NORRTÄLJE</t>
        </is>
      </c>
      <c r="G533" t="n">
        <v>2.3</v>
      </c>
      <c r="H533" t="n">
        <v>0</v>
      </c>
      <c r="I533" t="n">
        <v>0</v>
      </c>
      <c r="J533" t="n">
        <v>0</v>
      </c>
      <c r="K533" t="n">
        <v>0</v>
      </c>
      <c r="L533" t="n">
        <v>0</v>
      </c>
      <c r="M533" t="n">
        <v>0</v>
      </c>
      <c r="N533" t="n">
        <v>0</v>
      </c>
      <c r="O533" t="n">
        <v>0</v>
      </c>
      <c r="P533" t="n">
        <v>0</v>
      </c>
      <c r="Q533" t="n">
        <v>0</v>
      </c>
      <c r="R533" s="2" t="inlineStr"/>
    </row>
    <row r="534" ht="15" customHeight="1">
      <c r="A534" t="inlineStr">
        <is>
          <t>A 50143-2023</t>
        </is>
      </c>
      <c r="B534" s="1" t="n">
        <v>45215</v>
      </c>
      <c r="C534" s="1" t="n">
        <v>45994</v>
      </c>
      <c r="D534" t="inlineStr">
        <is>
          <t>STOCKHOLMS LÄN</t>
        </is>
      </c>
      <c r="E534" t="inlineStr">
        <is>
          <t>NORRTÄLJE</t>
        </is>
      </c>
      <c r="G534" t="n">
        <v>10.3</v>
      </c>
      <c r="H534" t="n">
        <v>0</v>
      </c>
      <c r="I534" t="n">
        <v>0</v>
      </c>
      <c r="J534" t="n">
        <v>0</v>
      </c>
      <c r="K534" t="n">
        <v>0</v>
      </c>
      <c r="L534" t="n">
        <v>0</v>
      </c>
      <c r="M534" t="n">
        <v>0</v>
      </c>
      <c r="N534" t="n">
        <v>0</v>
      </c>
      <c r="O534" t="n">
        <v>0</v>
      </c>
      <c r="P534" t="n">
        <v>0</v>
      </c>
      <c r="Q534" t="n">
        <v>0</v>
      </c>
      <c r="R534" s="2" t="inlineStr"/>
    </row>
    <row r="535" ht="15" customHeight="1">
      <c r="A535" t="inlineStr">
        <is>
          <t>A 29176-2024</t>
        </is>
      </c>
      <c r="B535" s="1" t="n">
        <v>45482.53388888889</v>
      </c>
      <c r="C535" s="1" t="n">
        <v>45994</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36430-2024</t>
        </is>
      </c>
      <c r="B536" s="1" t="n">
        <v>45536</v>
      </c>
      <c r="C536" s="1" t="n">
        <v>45994</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47626-2022</t>
        </is>
      </c>
      <c r="B537" s="1" t="n">
        <v>44854</v>
      </c>
      <c r="C537" s="1" t="n">
        <v>45994</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22756-2022</t>
        </is>
      </c>
      <c r="B538" s="1" t="n">
        <v>44714.92253472222</v>
      </c>
      <c r="C538" s="1" t="n">
        <v>45994</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51312-2023</t>
        </is>
      </c>
      <c r="B539" s="1" t="n">
        <v>45219.56697916667</v>
      </c>
      <c r="C539" s="1" t="n">
        <v>45994</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4581-2025</t>
        </is>
      </c>
      <c r="B540" s="1" t="n">
        <v>45687</v>
      </c>
      <c r="C540" s="1" t="n">
        <v>45994</v>
      </c>
      <c r="D540" t="inlineStr">
        <is>
          <t>STOCKHOLMS LÄN</t>
        </is>
      </c>
      <c r="E540" t="inlineStr">
        <is>
          <t>NORRTÄLJE</t>
        </is>
      </c>
      <c r="F540" t="inlineStr">
        <is>
          <t>Holmen skog AB</t>
        </is>
      </c>
      <c r="G540" t="n">
        <v>2.8</v>
      </c>
      <c r="H540" t="n">
        <v>0</v>
      </c>
      <c r="I540" t="n">
        <v>0</v>
      </c>
      <c r="J540" t="n">
        <v>0</v>
      </c>
      <c r="K540" t="n">
        <v>0</v>
      </c>
      <c r="L540" t="n">
        <v>0</v>
      </c>
      <c r="M540" t="n">
        <v>0</v>
      </c>
      <c r="N540" t="n">
        <v>0</v>
      </c>
      <c r="O540" t="n">
        <v>0</v>
      </c>
      <c r="P540" t="n">
        <v>0</v>
      </c>
      <c r="Q540" t="n">
        <v>0</v>
      </c>
      <c r="R540" s="2" t="inlineStr"/>
    </row>
    <row r="541" ht="15" customHeight="1">
      <c r="A541" t="inlineStr">
        <is>
          <t>A 35640-2024</t>
        </is>
      </c>
      <c r="B541" s="1" t="n">
        <v>45531</v>
      </c>
      <c r="C541" s="1" t="n">
        <v>45994</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62206-2022</t>
        </is>
      </c>
      <c r="B542" s="1" t="n">
        <v>44922</v>
      </c>
      <c r="C542" s="1" t="n">
        <v>45994</v>
      </c>
      <c r="D542" t="inlineStr">
        <is>
          <t>STOCKHOLMS LÄN</t>
        </is>
      </c>
      <c r="E542" t="inlineStr">
        <is>
          <t>NORRTÄLJE</t>
        </is>
      </c>
      <c r="G542" t="n">
        <v>2.9</v>
      </c>
      <c r="H542" t="n">
        <v>0</v>
      </c>
      <c r="I542" t="n">
        <v>0</v>
      </c>
      <c r="J542" t="n">
        <v>0</v>
      </c>
      <c r="K542" t="n">
        <v>0</v>
      </c>
      <c r="L542" t="n">
        <v>0</v>
      </c>
      <c r="M542" t="n">
        <v>0</v>
      </c>
      <c r="N542" t="n">
        <v>0</v>
      </c>
      <c r="O542" t="n">
        <v>0</v>
      </c>
      <c r="P542" t="n">
        <v>0</v>
      </c>
      <c r="Q542" t="n">
        <v>0</v>
      </c>
      <c r="R542" s="2" t="inlineStr"/>
    </row>
    <row r="543" ht="15" customHeight="1">
      <c r="A543" t="inlineStr">
        <is>
          <t>A 20618-2022</t>
        </is>
      </c>
      <c r="B543" s="1" t="n">
        <v>44700.50659722222</v>
      </c>
      <c r="C543" s="1" t="n">
        <v>45994</v>
      </c>
      <c r="D543" t="inlineStr">
        <is>
          <t>STOCKHOLMS LÄN</t>
        </is>
      </c>
      <c r="E543" t="inlineStr">
        <is>
          <t>NORRTÄLJE</t>
        </is>
      </c>
      <c r="G543" t="n">
        <v>1.5</v>
      </c>
      <c r="H543" t="n">
        <v>0</v>
      </c>
      <c r="I543" t="n">
        <v>0</v>
      </c>
      <c r="J543" t="n">
        <v>0</v>
      </c>
      <c r="K543" t="n">
        <v>0</v>
      </c>
      <c r="L543" t="n">
        <v>0</v>
      </c>
      <c r="M543" t="n">
        <v>0</v>
      </c>
      <c r="N543" t="n">
        <v>0</v>
      </c>
      <c r="O543" t="n">
        <v>0</v>
      </c>
      <c r="P543" t="n">
        <v>0</v>
      </c>
      <c r="Q543" t="n">
        <v>0</v>
      </c>
      <c r="R543" s="2" t="inlineStr"/>
    </row>
    <row r="544" ht="15" customHeight="1">
      <c r="A544" t="inlineStr">
        <is>
          <t>A 43212-2022</t>
        </is>
      </c>
      <c r="B544" s="1" t="n">
        <v>44834.38636574074</v>
      </c>
      <c r="C544" s="1" t="n">
        <v>45994</v>
      </c>
      <c r="D544" t="inlineStr">
        <is>
          <t>STOCKHOLMS LÄN</t>
        </is>
      </c>
      <c r="E544" t="inlineStr">
        <is>
          <t>NORRTÄLJE</t>
        </is>
      </c>
      <c r="G544" t="n">
        <v>1.3</v>
      </c>
      <c r="H544" t="n">
        <v>0</v>
      </c>
      <c r="I544" t="n">
        <v>0</v>
      </c>
      <c r="J544" t="n">
        <v>0</v>
      </c>
      <c r="K544" t="n">
        <v>0</v>
      </c>
      <c r="L544" t="n">
        <v>0</v>
      </c>
      <c r="M544" t="n">
        <v>0</v>
      </c>
      <c r="N544" t="n">
        <v>0</v>
      </c>
      <c r="O544" t="n">
        <v>0</v>
      </c>
      <c r="P544" t="n">
        <v>0</v>
      </c>
      <c r="Q544" t="n">
        <v>0</v>
      </c>
      <c r="R544" s="2" t="inlineStr"/>
    </row>
    <row r="545" ht="15" customHeight="1">
      <c r="A545" t="inlineStr">
        <is>
          <t>A 40192-2023</t>
        </is>
      </c>
      <c r="B545" s="1" t="n">
        <v>45169</v>
      </c>
      <c r="C545" s="1" t="n">
        <v>45994</v>
      </c>
      <c r="D545" t="inlineStr">
        <is>
          <t>STOCKHOLMS LÄN</t>
        </is>
      </c>
      <c r="E545" t="inlineStr">
        <is>
          <t>NORRTÄLJE</t>
        </is>
      </c>
      <c r="F545" t="inlineStr">
        <is>
          <t>Kyrkan</t>
        </is>
      </c>
      <c r="G545" t="n">
        <v>0.7</v>
      </c>
      <c r="H545" t="n">
        <v>0</v>
      </c>
      <c r="I545" t="n">
        <v>0</v>
      </c>
      <c r="J545" t="n">
        <v>0</v>
      </c>
      <c r="K545" t="n">
        <v>0</v>
      </c>
      <c r="L545" t="n">
        <v>0</v>
      </c>
      <c r="M545" t="n">
        <v>0</v>
      </c>
      <c r="N545" t="n">
        <v>0</v>
      </c>
      <c r="O545" t="n">
        <v>0</v>
      </c>
      <c r="P545" t="n">
        <v>0</v>
      </c>
      <c r="Q545" t="n">
        <v>0</v>
      </c>
      <c r="R545" s="2" t="inlineStr"/>
    </row>
    <row r="546" ht="15" customHeight="1">
      <c r="A546" t="inlineStr">
        <is>
          <t>A 60765-2023</t>
        </is>
      </c>
      <c r="B546" s="1" t="n">
        <v>45260</v>
      </c>
      <c r="C546" s="1" t="n">
        <v>45994</v>
      </c>
      <c r="D546" t="inlineStr">
        <is>
          <t>STOCKHOLMS LÄN</t>
        </is>
      </c>
      <c r="E546" t="inlineStr">
        <is>
          <t>NORRTÄLJE</t>
        </is>
      </c>
      <c r="G546" t="n">
        <v>3.7</v>
      </c>
      <c r="H546" t="n">
        <v>0</v>
      </c>
      <c r="I546" t="n">
        <v>0</v>
      </c>
      <c r="J546" t="n">
        <v>0</v>
      </c>
      <c r="K546" t="n">
        <v>0</v>
      </c>
      <c r="L546" t="n">
        <v>0</v>
      </c>
      <c r="M546" t="n">
        <v>0</v>
      </c>
      <c r="N546" t="n">
        <v>0</v>
      </c>
      <c r="O546" t="n">
        <v>0</v>
      </c>
      <c r="P546" t="n">
        <v>0</v>
      </c>
      <c r="Q546" t="n">
        <v>0</v>
      </c>
      <c r="R546" s="2" t="inlineStr"/>
    </row>
    <row r="547" ht="15" customHeight="1">
      <c r="A547" t="inlineStr">
        <is>
          <t>A 51653-2022</t>
        </is>
      </c>
      <c r="B547" s="1" t="n">
        <v>44867</v>
      </c>
      <c r="C547" s="1" t="n">
        <v>45994</v>
      </c>
      <c r="D547" t="inlineStr">
        <is>
          <t>STOCKHOLMS LÄN</t>
        </is>
      </c>
      <c r="E547" t="inlineStr">
        <is>
          <t>NORRTÄLJE</t>
        </is>
      </c>
      <c r="G547" t="n">
        <v>6.6</v>
      </c>
      <c r="H547" t="n">
        <v>0</v>
      </c>
      <c r="I547" t="n">
        <v>0</v>
      </c>
      <c r="J547" t="n">
        <v>0</v>
      </c>
      <c r="K547" t="n">
        <v>0</v>
      </c>
      <c r="L547" t="n">
        <v>0</v>
      </c>
      <c r="M547" t="n">
        <v>0</v>
      </c>
      <c r="N547" t="n">
        <v>0</v>
      </c>
      <c r="O547" t="n">
        <v>0</v>
      </c>
      <c r="P547" t="n">
        <v>0</v>
      </c>
      <c r="Q547" t="n">
        <v>0</v>
      </c>
      <c r="R547" s="2" t="inlineStr"/>
    </row>
    <row r="548" ht="15" customHeight="1">
      <c r="A548" t="inlineStr">
        <is>
          <t>A 11900-2022</t>
        </is>
      </c>
      <c r="B548" s="1" t="n">
        <v>44635</v>
      </c>
      <c r="C548" s="1" t="n">
        <v>45994</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10973-2025</t>
        </is>
      </c>
      <c r="B549" s="1" t="n">
        <v>45723</v>
      </c>
      <c r="C549" s="1" t="n">
        <v>45994</v>
      </c>
      <c r="D549" t="inlineStr">
        <is>
          <t>STOCKHOLMS LÄN</t>
        </is>
      </c>
      <c r="E549" t="inlineStr">
        <is>
          <t>NORRTÄLJE</t>
        </is>
      </c>
      <c r="F549" t="inlineStr">
        <is>
          <t>Övriga Aktiebolag</t>
        </is>
      </c>
      <c r="G549" t="n">
        <v>2.7</v>
      </c>
      <c r="H549" t="n">
        <v>0</v>
      </c>
      <c r="I549" t="n">
        <v>0</v>
      </c>
      <c r="J549" t="n">
        <v>0</v>
      </c>
      <c r="K549" t="n">
        <v>0</v>
      </c>
      <c r="L549" t="n">
        <v>0</v>
      </c>
      <c r="M549" t="n">
        <v>0</v>
      </c>
      <c r="N549" t="n">
        <v>0</v>
      </c>
      <c r="O549" t="n">
        <v>0</v>
      </c>
      <c r="P549" t="n">
        <v>0</v>
      </c>
      <c r="Q549" t="n">
        <v>0</v>
      </c>
      <c r="R549" s="2" t="inlineStr"/>
    </row>
    <row r="550" ht="15" customHeight="1">
      <c r="A550" t="inlineStr">
        <is>
          <t>A 23801-2022</t>
        </is>
      </c>
      <c r="B550" s="1" t="n">
        <v>44722</v>
      </c>
      <c r="C550" s="1" t="n">
        <v>45994</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59276-2023</t>
        </is>
      </c>
      <c r="B551" s="1" t="n">
        <v>45253.55641203704</v>
      </c>
      <c r="C551" s="1" t="n">
        <v>45994</v>
      </c>
      <c r="D551" t="inlineStr">
        <is>
          <t>STOCKHOLMS LÄN</t>
        </is>
      </c>
      <c r="E551" t="inlineStr">
        <is>
          <t>NORRTÄLJE</t>
        </is>
      </c>
      <c r="G551" t="n">
        <v>1.5</v>
      </c>
      <c r="H551" t="n">
        <v>0</v>
      </c>
      <c r="I551" t="n">
        <v>0</v>
      </c>
      <c r="J551" t="n">
        <v>0</v>
      </c>
      <c r="K551" t="n">
        <v>0</v>
      </c>
      <c r="L551" t="n">
        <v>0</v>
      </c>
      <c r="M551" t="n">
        <v>0</v>
      </c>
      <c r="N551" t="n">
        <v>0</v>
      </c>
      <c r="O551" t="n">
        <v>0</v>
      </c>
      <c r="P551" t="n">
        <v>0</v>
      </c>
      <c r="Q551" t="n">
        <v>0</v>
      </c>
      <c r="R551" s="2" t="inlineStr"/>
    </row>
    <row r="552" ht="15" customHeight="1">
      <c r="A552" t="inlineStr">
        <is>
          <t>A 46914-2022</t>
        </is>
      </c>
      <c r="B552" s="1" t="n">
        <v>44851</v>
      </c>
      <c r="C552" s="1" t="n">
        <v>45994</v>
      </c>
      <c r="D552" t="inlineStr">
        <is>
          <t>STOCKHOLMS LÄN</t>
        </is>
      </c>
      <c r="E552" t="inlineStr">
        <is>
          <t>NORRTÄLJE</t>
        </is>
      </c>
      <c r="G552" t="n">
        <v>2.4</v>
      </c>
      <c r="H552" t="n">
        <v>0</v>
      </c>
      <c r="I552" t="n">
        <v>0</v>
      </c>
      <c r="J552" t="n">
        <v>0</v>
      </c>
      <c r="K552" t="n">
        <v>0</v>
      </c>
      <c r="L552" t="n">
        <v>0</v>
      </c>
      <c r="M552" t="n">
        <v>0</v>
      </c>
      <c r="N552" t="n">
        <v>0</v>
      </c>
      <c r="O552" t="n">
        <v>0</v>
      </c>
      <c r="P552" t="n">
        <v>0</v>
      </c>
      <c r="Q552" t="n">
        <v>0</v>
      </c>
      <c r="R552" s="2" t="inlineStr"/>
    </row>
    <row r="553" ht="15" customHeight="1">
      <c r="A553" t="inlineStr">
        <is>
          <t>A 4322-2023</t>
        </is>
      </c>
      <c r="B553" s="1" t="n">
        <v>44953.69298611111</v>
      </c>
      <c r="C553" s="1" t="n">
        <v>45994</v>
      </c>
      <c r="D553" t="inlineStr">
        <is>
          <t>STOCKHOLMS LÄN</t>
        </is>
      </c>
      <c r="E553" t="inlineStr">
        <is>
          <t>NORRTÄLJE</t>
        </is>
      </c>
      <c r="G553" t="n">
        <v>1.3</v>
      </c>
      <c r="H553" t="n">
        <v>0</v>
      </c>
      <c r="I553" t="n">
        <v>0</v>
      </c>
      <c r="J553" t="n">
        <v>0</v>
      </c>
      <c r="K553" t="n">
        <v>0</v>
      </c>
      <c r="L553" t="n">
        <v>0</v>
      </c>
      <c r="M553" t="n">
        <v>0</v>
      </c>
      <c r="N553" t="n">
        <v>0</v>
      </c>
      <c r="O553" t="n">
        <v>0</v>
      </c>
      <c r="P553" t="n">
        <v>0</v>
      </c>
      <c r="Q553" t="n">
        <v>0</v>
      </c>
      <c r="R553" s="2" t="inlineStr"/>
    </row>
    <row r="554" ht="15" customHeight="1">
      <c r="A554" t="inlineStr">
        <is>
          <t>A 18541-2023</t>
        </is>
      </c>
      <c r="B554" s="1" t="n">
        <v>45042.74291666667</v>
      </c>
      <c r="C554" s="1" t="n">
        <v>45994</v>
      </c>
      <c r="D554" t="inlineStr">
        <is>
          <t>STOCKHOLMS LÄN</t>
        </is>
      </c>
      <c r="E554" t="inlineStr">
        <is>
          <t>NORRTÄLJE</t>
        </is>
      </c>
      <c r="G554" t="n">
        <v>0.7</v>
      </c>
      <c r="H554" t="n">
        <v>0</v>
      </c>
      <c r="I554" t="n">
        <v>0</v>
      </c>
      <c r="J554" t="n">
        <v>0</v>
      </c>
      <c r="K554" t="n">
        <v>0</v>
      </c>
      <c r="L554" t="n">
        <v>0</v>
      </c>
      <c r="M554" t="n">
        <v>0</v>
      </c>
      <c r="N554" t="n">
        <v>0</v>
      </c>
      <c r="O554" t="n">
        <v>0</v>
      </c>
      <c r="P554" t="n">
        <v>0</v>
      </c>
      <c r="Q554" t="n">
        <v>0</v>
      </c>
      <c r="R554" s="2" t="inlineStr"/>
    </row>
    <row r="555" ht="15" customHeight="1">
      <c r="A555" t="inlineStr">
        <is>
          <t>A 27885-2022</t>
        </is>
      </c>
      <c r="B555" s="1" t="n">
        <v>44743.67418981482</v>
      </c>
      <c r="C555" s="1" t="n">
        <v>45994</v>
      </c>
      <c r="D555" t="inlineStr">
        <is>
          <t>STOCKHOLMS LÄN</t>
        </is>
      </c>
      <c r="E555" t="inlineStr">
        <is>
          <t>NORRTÄLJE</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3509-2022</t>
        </is>
      </c>
      <c r="B556" s="1" t="n">
        <v>44585</v>
      </c>
      <c r="C556" s="1" t="n">
        <v>45994</v>
      </c>
      <c r="D556" t="inlineStr">
        <is>
          <t>STOCKHOLMS LÄN</t>
        </is>
      </c>
      <c r="E556" t="inlineStr">
        <is>
          <t>NORRTÄLJE</t>
        </is>
      </c>
      <c r="F556" t="inlineStr">
        <is>
          <t>Kommuner</t>
        </is>
      </c>
      <c r="G556" t="n">
        <v>0.8</v>
      </c>
      <c r="H556" t="n">
        <v>0</v>
      </c>
      <c r="I556" t="n">
        <v>0</v>
      </c>
      <c r="J556" t="n">
        <v>0</v>
      </c>
      <c r="K556" t="n">
        <v>0</v>
      </c>
      <c r="L556" t="n">
        <v>0</v>
      </c>
      <c r="M556" t="n">
        <v>0</v>
      </c>
      <c r="N556" t="n">
        <v>0</v>
      </c>
      <c r="O556" t="n">
        <v>0</v>
      </c>
      <c r="P556" t="n">
        <v>0</v>
      </c>
      <c r="Q556" t="n">
        <v>0</v>
      </c>
      <c r="R556" s="2" t="inlineStr"/>
    </row>
    <row r="557" ht="15" customHeight="1">
      <c r="A557" t="inlineStr">
        <is>
          <t>A 26407-2024</t>
        </is>
      </c>
      <c r="B557" s="1" t="n">
        <v>45469</v>
      </c>
      <c r="C557" s="1" t="n">
        <v>45994</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12890-2024</t>
        </is>
      </c>
      <c r="B558" s="1" t="n">
        <v>45385.36243055556</v>
      </c>
      <c r="C558" s="1" t="n">
        <v>45994</v>
      </c>
      <c r="D558" t="inlineStr">
        <is>
          <t>STOCKHOLMS LÄN</t>
        </is>
      </c>
      <c r="E558" t="inlineStr">
        <is>
          <t>NORRTÄLJE</t>
        </is>
      </c>
      <c r="G558" t="n">
        <v>1.3</v>
      </c>
      <c r="H558" t="n">
        <v>0</v>
      </c>
      <c r="I558" t="n">
        <v>0</v>
      </c>
      <c r="J558" t="n">
        <v>0</v>
      </c>
      <c r="K558" t="n">
        <v>0</v>
      </c>
      <c r="L558" t="n">
        <v>0</v>
      </c>
      <c r="M558" t="n">
        <v>0</v>
      </c>
      <c r="N558" t="n">
        <v>0</v>
      </c>
      <c r="O558" t="n">
        <v>0</v>
      </c>
      <c r="P558" t="n">
        <v>0</v>
      </c>
      <c r="Q558" t="n">
        <v>0</v>
      </c>
      <c r="R558" s="2" t="inlineStr"/>
    </row>
    <row r="559" ht="15" customHeight="1">
      <c r="A559" t="inlineStr">
        <is>
          <t>A 38990-2022</t>
        </is>
      </c>
      <c r="B559" s="1" t="n">
        <v>44816</v>
      </c>
      <c r="C559" s="1" t="n">
        <v>45994</v>
      </c>
      <c r="D559" t="inlineStr">
        <is>
          <t>STOCKHOLMS LÄN</t>
        </is>
      </c>
      <c r="E559" t="inlineStr">
        <is>
          <t>NORRTÄLJE</t>
        </is>
      </c>
      <c r="G559" t="n">
        <v>5.7</v>
      </c>
      <c r="H559" t="n">
        <v>0</v>
      </c>
      <c r="I559" t="n">
        <v>0</v>
      </c>
      <c r="J559" t="n">
        <v>0</v>
      </c>
      <c r="K559" t="n">
        <v>0</v>
      </c>
      <c r="L559" t="n">
        <v>0</v>
      </c>
      <c r="M559" t="n">
        <v>0</v>
      </c>
      <c r="N559" t="n">
        <v>0</v>
      </c>
      <c r="O559" t="n">
        <v>0</v>
      </c>
      <c r="P559" t="n">
        <v>0</v>
      </c>
      <c r="Q559" t="n">
        <v>0</v>
      </c>
      <c r="R559" s="2" t="inlineStr"/>
    </row>
    <row r="560" ht="15" customHeight="1">
      <c r="A560" t="inlineStr">
        <is>
          <t>A 17956-2025</t>
        </is>
      </c>
      <c r="B560" s="1" t="n">
        <v>45760.91174768518</v>
      </c>
      <c r="C560" s="1" t="n">
        <v>45994</v>
      </c>
      <c r="D560" t="inlineStr">
        <is>
          <t>STOCKHOLMS LÄN</t>
        </is>
      </c>
      <c r="E560" t="inlineStr">
        <is>
          <t>NORRTÄLJE</t>
        </is>
      </c>
      <c r="G560" t="n">
        <v>4.3</v>
      </c>
      <c r="H560" t="n">
        <v>0</v>
      </c>
      <c r="I560" t="n">
        <v>0</v>
      </c>
      <c r="J560" t="n">
        <v>0</v>
      </c>
      <c r="K560" t="n">
        <v>0</v>
      </c>
      <c r="L560" t="n">
        <v>0</v>
      </c>
      <c r="M560" t="n">
        <v>0</v>
      </c>
      <c r="N560" t="n">
        <v>0</v>
      </c>
      <c r="O560" t="n">
        <v>0</v>
      </c>
      <c r="P560" t="n">
        <v>0</v>
      </c>
      <c r="Q560" t="n">
        <v>0</v>
      </c>
      <c r="R560" s="2" t="inlineStr"/>
    </row>
    <row r="561" ht="15" customHeight="1">
      <c r="A561" t="inlineStr">
        <is>
          <t>A 875-2023</t>
        </is>
      </c>
      <c r="B561" s="1" t="n">
        <v>44931.65626157408</v>
      </c>
      <c r="C561" s="1" t="n">
        <v>45994</v>
      </c>
      <c r="D561" t="inlineStr">
        <is>
          <t>STOCKHOLMS LÄN</t>
        </is>
      </c>
      <c r="E561" t="inlineStr">
        <is>
          <t>NORRTÄLJE</t>
        </is>
      </c>
      <c r="G561" t="n">
        <v>2.2</v>
      </c>
      <c r="H561" t="n">
        <v>0</v>
      </c>
      <c r="I561" t="n">
        <v>0</v>
      </c>
      <c r="J561" t="n">
        <v>0</v>
      </c>
      <c r="K561" t="n">
        <v>0</v>
      </c>
      <c r="L561" t="n">
        <v>0</v>
      </c>
      <c r="M561" t="n">
        <v>0</v>
      </c>
      <c r="N561" t="n">
        <v>0</v>
      </c>
      <c r="O561" t="n">
        <v>0</v>
      </c>
      <c r="P561" t="n">
        <v>0</v>
      </c>
      <c r="Q561" t="n">
        <v>0</v>
      </c>
      <c r="R561" s="2" t="inlineStr"/>
    </row>
    <row r="562" ht="15" customHeight="1">
      <c r="A562" t="inlineStr">
        <is>
          <t>A 31236-2022</t>
        </is>
      </c>
      <c r="B562" s="1" t="n">
        <v>44771</v>
      </c>
      <c r="C562" s="1" t="n">
        <v>45994</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8315-2025</t>
        </is>
      </c>
      <c r="B563" s="1" t="n">
        <v>45708.61761574074</v>
      </c>
      <c r="C563" s="1" t="n">
        <v>45994</v>
      </c>
      <c r="D563" t="inlineStr">
        <is>
          <t>STOCKHOLMS LÄN</t>
        </is>
      </c>
      <c r="E563" t="inlineStr">
        <is>
          <t>NORRTÄLJE</t>
        </is>
      </c>
      <c r="G563" t="n">
        <v>3.9</v>
      </c>
      <c r="H563" t="n">
        <v>0</v>
      </c>
      <c r="I563" t="n">
        <v>0</v>
      </c>
      <c r="J563" t="n">
        <v>0</v>
      </c>
      <c r="K563" t="n">
        <v>0</v>
      </c>
      <c r="L563" t="n">
        <v>0</v>
      </c>
      <c r="M563" t="n">
        <v>0</v>
      </c>
      <c r="N563" t="n">
        <v>0</v>
      </c>
      <c r="O563" t="n">
        <v>0</v>
      </c>
      <c r="P563" t="n">
        <v>0</v>
      </c>
      <c r="Q563" t="n">
        <v>0</v>
      </c>
      <c r="R563" s="2" t="inlineStr"/>
    </row>
    <row r="564" ht="15" customHeight="1">
      <c r="A564" t="inlineStr">
        <is>
          <t>A 31281-2022</t>
        </is>
      </c>
      <c r="B564" s="1" t="n">
        <v>44771</v>
      </c>
      <c r="C564" s="1" t="n">
        <v>45994</v>
      </c>
      <c r="D564" t="inlineStr">
        <is>
          <t>STOCKHOLMS LÄN</t>
        </is>
      </c>
      <c r="E564" t="inlineStr">
        <is>
          <t>NORRTÄLJE</t>
        </is>
      </c>
      <c r="F564" t="inlineStr">
        <is>
          <t>Holmen skog AB</t>
        </is>
      </c>
      <c r="G564" t="n">
        <v>5.2</v>
      </c>
      <c r="H564" t="n">
        <v>0</v>
      </c>
      <c r="I564" t="n">
        <v>0</v>
      </c>
      <c r="J564" t="n">
        <v>0</v>
      </c>
      <c r="K564" t="n">
        <v>0</v>
      </c>
      <c r="L564" t="n">
        <v>0</v>
      </c>
      <c r="M564" t="n">
        <v>0</v>
      </c>
      <c r="N564" t="n">
        <v>0</v>
      </c>
      <c r="O564" t="n">
        <v>0</v>
      </c>
      <c r="P564" t="n">
        <v>0</v>
      </c>
      <c r="Q564" t="n">
        <v>0</v>
      </c>
      <c r="R564" s="2" t="inlineStr"/>
    </row>
    <row r="565" ht="15" customHeight="1">
      <c r="A565" t="inlineStr">
        <is>
          <t>A 47419-2023</t>
        </is>
      </c>
      <c r="B565" s="1" t="n">
        <v>45202.65660879629</v>
      </c>
      <c r="C565" s="1" t="n">
        <v>45994</v>
      </c>
      <c r="D565" t="inlineStr">
        <is>
          <t>STOCKHOLMS LÄN</t>
        </is>
      </c>
      <c r="E565" t="inlineStr">
        <is>
          <t>NORRTÄLJE</t>
        </is>
      </c>
      <c r="G565" t="n">
        <v>11.4</v>
      </c>
      <c r="H565" t="n">
        <v>0</v>
      </c>
      <c r="I565" t="n">
        <v>0</v>
      </c>
      <c r="J565" t="n">
        <v>0</v>
      </c>
      <c r="K565" t="n">
        <v>0</v>
      </c>
      <c r="L565" t="n">
        <v>0</v>
      </c>
      <c r="M565" t="n">
        <v>0</v>
      </c>
      <c r="N565" t="n">
        <v>0</v>
      </c>
      <c r="O565" t="n">
        <v>0</v>
      </c>
      <c r="P565" t="n">
        <v>0</v>
      </c>
      <c r="Q565" t="n">
        <v>0</v>
      </c>
      <c r="R565" s="2" t="inlineStr"/>
    </row>
    <row r="566" ht="15" customHeight="1">
      <c r="A566" t="inlineStr">
        <is>
          <t>A 23070-2023</t>
        </is>
      </c>
      <c r="B566" s="1" t="n">
        <v>45075</v>
      </c>
      <c r="C566" s="1" t="n">
        <v>45994</v>
      </c>
      <c r="D566" t="inlineStr">
        <is>
          <t>STOCKHOLMS LÄN</t>
        </is>
      </c>
      <c r="E566" t="inlineStr">
        <is>
          <t>NORRTÄLJE</t>
        </is>
      </c>
      <c r="G566" t="n">
        <v>1.5</v>
      </c>
      <c r="H566" t="n">
        <v>0</v>
      </c>
      <c r="I566" t="n">
        <v>0</v>
      </c>
      <c r="J566" t="n">
        <v>0</v>
      </c>
      <c r="K566" t="n">
        <v>0</v>
      </c>
      <c r="L566" t="n">
        <v>0</v>
      </c>
      <c r="M566" t="n">
        <v>0</v>
      </c>
      <c r="N566" t="n">
        <v>0</v>
      </c>
      <c r="O566" t="n">
        <v>0</v>
      </c>
      <c r="P566" t="n">
        <v>0</v>
      </c>
      <c r="Q566" t="n">
        <v>0</v>
      </c>
      <c r="R566" s="2" t="inlineStr"/>
    </row>
    <row r="567" ht="15" customHeight="1">
      <c r="A567" t="inlineStr">
        <is>
          <t>A 27824-2022</t>
        </is>
      </c>
      <c r="B567" s="1" t="n">
        <v>44743.59331018518</v>
      </c>
      <c r="C567" s="1" t="n">
        <v>45994</v>
      </c>
      <c r="D567" t="inlineStr">
        <is>
          <t>STOCKHOLMS LÄN</t>
        </is>
      </c>
      <c r="E567" t="inlineStr">
        <is>
          <t>NORRTÄLJE</t>
        </is>
      </c>
      <c r="F567" t="inlineStr">
        <is>
          <t>Kommuner</t>
        </is>
      </c>
      <c r="G567" t="n">
        <v>3.1</v>
      </c>
      <c r="H567" t="n">
        <v>0</v>
      </c>
      <c r="I567" t="n">
        <v>0</v>
      </c>
      <c r="J567" t="n">
        <v>0</v>
      </c>
      <c r="K567" t="n">
        <v>0</v>
      </c>
      <c r="L567" t="n">
        <v>0</v>
      </c>
      <c r="M567" t="n">
        <v>0</v>
      </c>
      <c r="N567" t="n">
        <v>0</v>
      </c>
      <c r="O567" t="n">
        <v>0</v>
      </c>
      <c r="P567" t="n">
        <v>0</v>
      </c>
      <c r="Q567" t="n">
        <v>0</v>
      </c>
      <c r="R567" s="2" t="inlineStr"/>
    </row>
    <row r="568" ht="15" customHeight="1">
      <c r="A568" t="inlineStr">
        <is>
          <t>A 16620-2024</t>
        </is>
      </c>
      <c r="B568" s="1" t="n">
        <v>45408.57707175926</v>
      </c>
      <c r="C568" s="1" t="n">
        <v>45994</v>
      </c>
      <c r="D568" t="inlineStr">
        <is>
          <t>STOCKHOLMS LÄN</t>
        </is>
      </c>
      <c r="E568" t="inlineStr">
        <is>
          <t>NORRTÄLJE</t>
        </is>
      </c>
      <c r="G568" t="n">
        <v>2.7</v>
      </c>
      <c r="H568" t="n">
        <v>0</v>
      </c>
      <c r="I568" t="n">
        <v>0</v>
      </c>
      <c r="J568" t="n">
        <v>0</v>
      </c>
      <c r="K568" t="n">
        <v>0</v>
      </c>
      <c r="L568" t="n">
        <v>0</v>
      </c>
      <c r="M568" t="n">
        <v>0</v>
      </c>
      <c r="N568" t="n">
        <v>0</v>
      </c>
      <c r="O568" t="n">
        <v>0</v>
      </c>
      <c r="P568" t="n">
        <v>0</v>
      </c>
      <c r="Q568" t="n">
        <v>0</v>
      </c>
      <c r="R568" s="2" t="inlineStr"/>
    </row>
    <row r="569" ht="15" customHeight="1">
      <c r="A569" t="inlineStr">
        <is>
          <t>A 25619-2022</t>
        </is>
      </c>
      <c r="B569" s="1" t="n">
        <v>44732</v>
      </c>
      <c r="C569" s="1" t="n">
        <v>45994</v>
      </c>
      <c r="D569" t="inlineStr">
        <is>
          <t>STOCKHOLMS LÄN</t>
        </is>
      </c>
      <c r="E569" t="inlineStr">
        <is>
          <t>NORRTÄLJE</t>
        </is>
      </c>
      <c r="G569" t="n">
        <v>3.9</v>
      </c>
      <c r="H569" t="n">
        <v>0</v>
      </c>
      <c r="I569" t="n">
        <v>0</v>
      </c>
      <c r="J569" t="n">
        <v>0</v>
      </c>
      <c r="K569" t="n">
        <v>0</v>
      </c>
      <c r="L569" t="n">
        <v>0</v>
      </c>
      <c r="M569" t="n">
        <v>0</v>
      </c>
      <c r="N569" t="n">
        <v>0</v>
      </c>
      <c r="O569" t="n">
        <v>0</v>
      </c>
      <c r="P569" t="n">
        <v>0</v>
      </c>
      <c r="Q569" t="n">
        <v>0</v>
      </c>
      <c r="R569" s="2" t="inlineStr"/>
    </row>
    <row r="570" ht="15" customHeight="1">
      <c r="A570" t="inlineStr">
        <is>
          <t>A 18665-2022</t>
        </is>
      </c>
      <c r="B570" s="1" t="n">
        <v>44687</v>
      </c>
      <c r="C570" s="1" t="n">
        <v>45994</v>
      </c>
      <c r="D570" t="inlineStr">
        <is>
          <t>STOCKHOLMS LÄN</t>
        </is>
      </c>
      <c r="E570" t="inlineStr">
        <is>
          <t>NORRTÄLJE</t>
        </is>
      </c>
      <c r="F570" t="inlineStr">
        <is>
          <t>Kyrkan</t>
        </is>
      </c>
      <c r="G570" t="n">
        <v>1.1</v>
      </c>
      <c r="H570" t="n">
        <v>0</v>
      </c>
      <c r="I570" t="n">
        <v>0</v>
      </c>
      <c r="J570" t="n">
        <v>0</v>
      </c>
      <c r="K570" t="n">
        <v>0</v>
      </c>
      <c r="L570" t="n">
        <v>0</v>
      </c>
      <c r="M570" t="n">
        <v>0</v>
      </c>
      <c r="N570" t="n">
        <v>0</v>
      </c>
      <c r="O570" t="n">
        <v>0</v>
      </c>
      <c r="P570" t="n">
        <v>0</v>
      </c>
      <c r="Q570" t="n">
        <v>0</v>
      </c>
      <c r="R570" s="2" t="inlineStr"/>
    </row>
    <row r="571" ht="15" customHeight="1">
      <c r="A571" t="inlineStr">
        <is>
          <t>A 36246-2021</t>
        </is>
      </c>
      <c r="B571" s="1" t="n">
        <v>44390</v>
      </c>
      <c r="C571" s="1" t="n">
        <v>45994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60224-2023</t>
        </is>
      </c>
      <c r="B572" s="1" t="n">
        <v>45257</v>
      </c>
      <c r="C572" s="1" t="n">
        <v>45994</v>
      </c>
      <c r="D572" t="inlineStr">
        <is>
          <t>STOCKHOLMS LÄN</t>
        </is>
      </c>
      <c r="E572" t="inlineStr">
        <is>
          <t>NORRTÄLJE</t>
        </is>
      </c>
      <c r="G572" t="n">
        <v>8.1</v>
      </c>
      <c r="H572" t="n">
        <v>0</v>
      </c>
      <c r="I572" t="n">
        <v>0</v>
      </c>
      <c r="J572" t="n">
        <v>0</v>
      </c>
      <c r="K572" t="n">
        <v>0</v>
      </c>
      <c r="L572" t="n">
        <v>0</v>
      </c>
      <c r="M572" t="n">
        <v>0</v>
      </c>
      <c r="N572" t="n">
        <v>0</v>
      </c>
      <c r="O572" t="n">
        <v>0</v>
      </c>
      <c r="P572" t="n">
        <v>0</v>
      </c>
      <c r="Q572" t="n">
        <v>0</v>
      </c>
      <c r="R572" s="2" t="inlineStr"/>
    </row>
    <row r="573" ht="15" customHeight="1">
      <c r="A573" t="inlineStr">
        <is>
          <t>A 5158-2024</t>
        </is>
      </c>
      <c r="B573" s="1" t="n">
        <v>45330.50098379629</v>
      </c>
      <c r="C573" s="1" t="n">
        <v>45994</v>
      </c>
      <c r="D573" t="inlineStr">
        <is>
          <t>STOCKHOLMS LÄN</t>
        </is>
      </c>
      <c r="E573" t="inlineStr">
        <is>
          <t>NORRTÄLJE</t>
        </is>
      </c>
      <c r="G573" t="n">
        <v>0.8</v>
      </c>
      <c r="H573" t="n">
        <v>0</v>
      </c>
      <c r="I573" t="n">
        <v>0</v>
      </c>
      <c r="J573" t="n">
        <v>0</v>
      </c>
      <c r="K573" t="n">
        <v>0</v>
      </c>
      <c r="L573" t="n">
        <v>0</v>
      </c>
      <c r="M573" t="n">
        <v>0</v>
      </c>
      <c r="N573" t="n">
        <v>0</v>
      </c>
      <c r="O573" t="n">
        <v>0</v>
      </c>
      <c r="P573" t="n">
        <v>0</v>
      </c>
      <c r="Q573" t="n">
        <v>0</v>
      </c>
      <c r="R573" s="2" t="inlineStr"/>
    </row>
    <row r="574" ht="15" customHeight="1">
      <c r="A574" t="inlineStr">
        <is>
          <t>A 19952-2023</t>
        </is>
      </c>
      <c r="B574" s="1" t="n">
        <v>45054.54091435186</v>
      </c>
      <c r="C574" s="1" t="n">
        <v>45994</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19994-2023</t>
        </is>
      </c>
      <c r="B575" s="1" t="n">
        <v>45054</v>
      </c>
      <c r="C575" s="1" t="n">
        <v>45994</v>
      </c>
      <c r="D575" t="inlineStr">
        <is>
          <t>STOCKHOLMS LÄN</t>
        </is>
      </c>
      <c r="E575" t="inlineStr">
        <is>
          <t>NORRTÄLJE</t>
        </is>
      </c>
      <c r="G575" t="n">
        <v>4.3</v>
      </c>
      <c r="H575" t="n">
        <v>0</v>
      </c>
      <c r="I575" t="n">
        <v>0</v>
      </c>
      <c r="J575" t="n">
        <v>0</v>
      </c>
      <c r="K575" t="n">
        <v>0</v>
      </c>
      <c r="L575" t="n">
        <v>0</v>
      </c>
      <c r="M575" t="n">
        <v>0</v>
      </c>
      <c r="N575" t="n">
        <v>0</v>
      </c>
      <c r="O575" t="n">
        <v>0</v>
      </c>
      <c r="P575" t="n">
        <v>0</v>
      </c>
      <c r="Q575" t="n">
        <v>0</v>
      </c>
      <c r="R575" s="2" t="inlineStr"/>
    </row>
    <row r="576" ht="15" customHeight="1">
      <c r="A576" t="inlineStr">
        <is>
          <t>A 14130-2025</t>
        </is>
      </c>
      <c r="B576" s="1" t="n">
        <v>45740.47288194444</v>
      </c>
      <c r="C576" s="1" t="n">
        <v>45994</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58302-2022</t>
        </is>
      </c>
      <c r="B577" s="1" t="n">
        <v>44901</v>
      </c>
      <c r="C577" s="1" t="n">
        <v>45994</v>
      </c>
      <c r="D577" t="inlineStr">
        <is>
          <t>STOCKHOLMS LÄN</t>
        </is>
      </c>
      <c r="E577" t="inlineStr">
        <is>
          <t>NORRTÄLJE</t>
        </is>
      </c>
      <c r="G577" t="n">
        <v>3.9</v>
      </c>
      <c r="H577" t="n">
        <v>0</v>
      </c>
      <c r="I577" t="n">
        <v>0</v>
      </c>
      <c r="J577" t="n">
        <v>0</v>
      </c>
      <c r="K577" t="n">
        <v>0</v>
      </c>
      <c r="L577" t="n">
        <v>0</v>
      </c>
      <c r="M577" t="n">
        <v>0</v>
      </c>
      <c r="N577" t="n">
        <v>0</v>
      </c>
      <c r="O577" t="n">
        <v>0</v>
      </c>
      <c r="P577" t="n">
        <v>0</v>
      </c>
      <c r="Q577" t="n">
        <v>0</v>
      </c>
      <c r="R577" s="2" t="inlineStr"/>
    </row>
    <row r="578" ht="15" customHeight="1">
      <c r="A578" t="inlineStr">
        <is>
          <t>A 574-2023</t>
        </is>
      </c>
      <c r="B578" s="1" t="n">
        <v>44925</v>
      </c>
      <c r="C578" s="1" t="n">
        <v>45994</v>
      </c>
      <c r="D578" t="inlineStr">
        <is>
          <t>STOCKHOLMS LÄN</t>
        </is>
      </c>
      <c r="E578" t="inlineStr">
        <is>
          <t>NORRTÄLJE</t>
        </is>
      </c>
      <c r="G578" t="n">
        <v>5</v>
      </c>
      <c r="H578" t="n">
        <v>0</v>
      </c>
      <c r="I578" t="n">
        <v>0</v>
      </c>
      <c r="J578" t="n">
        <v>0</v>
      </c>
      <c r="K578" t="n">
        <v>0</v>
      </c>
      <c r="L578" t="n">
        <v>0</v>
      </c>
      <c r="M578" t="n">
        <v>0</v>
      </c>
      <c r="N578" t="n">
        <v>0</v>
      </c>
      <c r="O578" t="n">
        <v>0</v>
      </c>
      <c r="P578" t="n">
        <v>0</v>
      </c>
      <c r="Q578" t="n">
        <v>0</v>
      </c>
      <c r="R578" s="2" t="inlineStr"/>
    </row>
    <row r="579" ht="15" customHeight="1">
      <c r="A579" t="inlineStr">
        <is>
          <t>A 30283-2022</t>
        </is>
      </c>
      <c r="B579" s="1" t="n">
        <v>44760</v>
      </c>
      <c r="C579" s="1" t="n">
        <v>45994</v>
      </c>
      <c r="D579" t="inlineStr">
        <is>
          <t>STOCKHOLMS LÄN</t>
        </is>
      </c>
      <c r="E579" t="inlineStr">
        <is>
          <t>NORRTÄLJE</t>
        </is>
      </c>
      <c r="G579" t="n">
        <v>6.2</v>
      </c>
      <c r="H579" t="n">
        <v>0</v>
      </c>
      <c r="I579" t="n">
        <v>0</v>
      </c>
      <c r="J579" t="n">
        <v>0</v>
      </c>
      <c r="K579" t="n">
        <v>0</v>
      </c>
      <c r="L579" t="n">
        <v>0</v>
      </c>
      <c r="M579" t="n">
        <v>0</v>
      </c>
      <c r="N579" t="n">
        <v>0</v>
      </c>
      <c r="O579" t="n">
        <v>0</v>
      </c>
      <c r="P579" t="n">
        <v>0</v>
      </c>
      <c r="Q579" t="n">
        <v>0</v>
      </c>
      <c r="R579" s="2" t="inlineStr"/>
    </row>
    <row r="580" ht="15" customHeight="1">
      <c r="A580" t="inlineStr">
        <is>
          <t>A 30290-2022</t>
        </is>
      </c>
      <c r="B580" s="1" t="n">
        <v>44760</v>
      </c>
      <c r="C580" s="1" t="n">
        <v>45994</v>
      </c>
      <c r="D580" t="inlineStr">
        <is>
          <t>STOCKHOLMS LÄN</t>
        </is>
      </c>
      <c r="E580" t="inlineStr">
        <is>
          <t>NORRTÄLJE</t>
        </is>
      </c>
      <c r="G580" t="n">
        <v>4.8</v>
      </c>
      <c r="H580" t="n">
        <v>0</v>
      </c>
      <c r="I580" t="n">
        <v>0</v>
      </c>
      <c r="J580" t="n">
        <v>0</v>
      </c>
      <c r="K580" t="n">
        <v>0</v>
      </c>
      <c r="L580" t="n">
        <v>0</v>
      </c>
      <c r="M580" t="n">
        <v>0</v>
      </c>
      <c r="N580" t="n">
        <v>0</v>
      </c>
      <c r="O580" t="n">
        <v>0</v>
      </c>
      <c r="P580" t="n">
        <v>0</v>
      </c>
      <c r="Q580" t="n">
        <v>0</v>
      </c>
      <c r="R580" s="2" t="inlineStr"/>
    </row>
    <row r="581" ht="15" customHeight="1">
      <c r="A581" t="inlineStr">
        <is>
          <t>A 3143-2021</t>
        </is>
      </c>
      <c r="B581" s="1" t="n">
        <v>44217.40149305556</v>
      </c>
      <c r="C581" s="1" t="n">
        <v>45994</v>
      </c>
      <c r="D581" t="inlineStr">
        <is>
          <t>STOCKHOLMS LÄN</t>
        </is>
      </c>
      <c r="E581" t="inlineStr">
        <is>
          <t>NORRTÄLJE</t>
        </is>
      </c>
      <c r="G581" t="n">
        <v>1.2</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44362.37172453704</v>
      </c>
      <c r="C582" s="1" t="n">
        <v>45994</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9130-2025</t>
        </is>
      </c>
      <c r="B583" s="1" t="n">
        <v>45713.92623842593</v>
      </c>
      <c r="C583" s="1" t="n">
        <v>45994</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38591-2023</t>
        </is>
      </c>
      <c r="B584" s="1" t="n">
        <v>45162</v>
      </c>
      <c r="C584" s="1" t="n">
        <v>45994</v>
      </c>
      <c r="D584" t="inlineStr">
        <is>
          <t>STOCKHOLMS LÄN</t>
        </is>
      </c>
      <c r="E584" t="inlineStr">
        <is>
          <t>NORRTÄLJE</t>
        </is>
      </c>
      <c r="F584" t="inlineStr">
        <is>
          <t>Övriga Aktiebolag</t>
        </is>
      </c>
      <c r="G584" t="n">
        <v>3.1</v>
      </c>
      <c r="H584" t="n">
        <v>0</v>
      </c>
      <c r="I584" t="n">
        <v>0</v>
      </c>
      <c r="J584" t="n">
        <v>0</v>
      </c>
      <c r="K584" t="n">
        <v>0</v>
      </c>
      <c r="L584" t="n">
        <v>0</v>
      </c>
      <c r="M584" t="n">
        <v>0</v>
      </c>
      <c r="N584" t="n">
        <v>0</v>
      </c>
      <c r="O584" t="n">
        <v>0</v>
      </c>
      <c r="P584" t="n">
        <v>0</v>
      </c>
      <c r="Q584" t="n">
        <v>0</v>
      </c>
      <c r="R584" s="2" t="inlineStr"/>
    </row>
    <row r="585" ht="15" customHeight="1">
      <c r="A585" t="inlineStr">
        <is>
          <t>A 30338-2022</t>
        </is>
      </c>
      <c r="B585" s="1" t="n">
        <v>44760</v>
      </c>
      <c r="C585" s="1" t="n">
        <v>45994</v>
      </c>
      <c r="D585" t="inlineStr">
        <is>
          <t>STOCKHOLMS LÄN</t>
        </is>
      </c>
      <c r="E585" t="inlineStr">
        <is>
          <t>NORRTÄLJE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2888-2022</t>
        </is>
      </c>
      <c r="B586" s="1" t="n">
        <v>44581</v>
      </c>
      <c r="C586" s="1" t="n">
        <v>45994</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17551-2025</t>
        </is>
      </c>
      <c r="B587" s="1" t="n">
        <v>45757.61421296297</v>
      </c>
      <c r="C587" s="1" t="n">
        <v>45994</v>
      </c>
      <c r="D587" t="inlineStr">
        <is>
          <t>STOCKHOLMS LÄN</t>
        </is>
      </c>
      <c r="E587" t="inlineStr">
        <is>
          <t>NORRTÄLJE</t>
        </is>
      </c>
      <c r="G587" t="n">
        <v>2.8</v>
      </c>
      <c r="H587" t="n">
        <v>0</v>
      </c>
      <c r="I587" t="n">
        <v>0</v>
      </c>
      <c r="J587" t="n">
        <v>0</v>
      </c>
      <c r="K587" t="n">
        <v>0</v>
      </c>
      <c r="L587" t="n">
        <v>0</v>
      </c>
      <c r="M587" t="n">
        <v>0</v>
      </c>
      <c r="N587" t="n">
        <v>0</v>
      </c>
      <c r="O587" t="n">
        <v>0</v>
      </c>
      <c r="P587" t="n">
        <v>0</v>
      </c>
      <c r="Q587" t="n">
        <v>0</v>
      </c>
      <c r="R587" s="2" t="inlineStr"/>
    </row>
    <row r="588" ht="15" customHeight="1">
      <c r="A588" t="inlineStr">
        <is>
          <t>A 60884-2024</t>
        </is>
      </c>
      <c r="B588" s="1" t="n">
        <v>45644.90815972222</v>
      </c>
      <c r="C588" s="1" t="n">
        <v>45994</v>
      </c>
      <c r="D588" t="inlineStr">
        <is>
          <t>STOCKHOLMS LÄN</t>
        </is>
      </c>
      <c r="E588" t="inlineStr">
        <is>
          <t>NORRTÄLJE</t>
        </is>
      </c>
      <c r="G588" t="n">
        <v>2.1</v>
      </c>
      <c r="H588" t="n">
        <v>0</v>
      </c>
      <c r="I588" t="n">
        <v>0</v>
      </c>
      <c r="J588" t="n">
        <v>0</v>
      </c>
      <c r="K588" t="n">
        <v>0</v>
      </c>
      <c r="L588" t="n">
        <v>0</v>
      </c>
      <c r="M588" t="n">
        <v>0</v>
      </c>
      <c r="N588" t="n">
        <v>0</v>
      </c>
      <c r="O588" t="n">
        <v>0</v>
      </c>
      <c r="P588" t="n">
        <v>0</v>
      </c>
      <c r="Q588" t="n">
        <v>0</v>
      </c>
      <c r="R588" s="2" t="inlineStr"/>
    </row>
    <row r="589" ht="15" customHeight="1">
      <c r="A589" t="inlineStr">
        <is>
          <t>A 52686-2024</t>
        </is>
      </c>
      <c r="B589" s="1" t="n">
        <v>45610.39271990741</v>
      </c>
      <c r="C589" s="1" t="n">
        <v>45994</v>
      </c>
      <c r="D589" t="inlineStr">
        <is>
          <t>STOCKHOLMS LÄN</t>
        </is>
      </c>
      <c r="E589" t="inlineStr">
        <is>
          <t>NORRTÄLJE</t>
        </is>
      </c>
      <c r="G589" t="n">
        <v>5.7</v>
      </c>
      <c r="H589" t="n">
        <v>0</v>
      </c>
      <c r="I589" t="n">
        <v>0</v>
      </c>
      <c r="J589" t="n">
        <v>0</v>
      </c>
      <c r="K589" t="n">
        <v>0</v>
      </c>
      <c r="L589" t="n">
        <v>0</v>
      </c>
      <c r="M589" t="n">
        <v>0</v>
      </c>
      <c r="N589" t="n">
        <v>0</v>
      </c>
      <c r="O589" t="n">
        <v>0</v>
      </c>
      <c r="P589" t="n">
        <v>0</v>
      </c>
      <c r="Q589" t="n">
        <v>0</v>
      </c>
      <c r="R589" s="2" t="inlineStr"/>
    </row>
    <row r="590" ht="15" customHeight="1">
      <c r="A590" t="inlineStr">
        <is>
          <t>A 38610-2022</t>
        </is>
      </c>
      <c r="B590" s="1" t="n">
        <v>44813.59915509259</v>
      </c>
      <c r="C590" s="1" t="n">
        <v>45994</v>
      </c>
      <c r="D590" t="inlineStr">
        <is>
          <t>STOCKHOLMS LÄN</t>
        </is>
      </c>
      <c r="E590" t="inlineStr">
        <is>
          <t>NORRTÄLJE</t>
        </is>
      </c>
      <c r="G590" t="n">
        <v>1.9</v>
      </c>
      <c r="H590" t="n">
        <v>0</v>
      </c>
      <c r="I590" t="n">
        <v>0</v>
      </c>
      <c r="J590" t="n">
        <v>0</v>
      </c>
      <c r="K590" t="n">
        <v>0</v>
      </c>
      <c r="L590" t="n">
        <v>0</v>
      </c>
      <c r="M590" t="n">
        <v>0</v>
      </c>
      <c r="N590" t="n">
        <v>0</v>
      </c>
      <c r="O590" t="n">
        <v>0</v>
      </c>
      <c r="P590" t="n">
        <v>0</v>
      </c>
      <c r="Q590" t="n">
        <v>0</v>
      </c>
      <c r="R590" s="2" t="inlineStr"/>
    </row>
    <row r="591" ht="15" customHeight="1">
      <c r="A591" t="inlineStr">
        <is>
          <t>A 20343-2024</t>
        </is>
      </c>
      <c r="B591" s="1" t="n">
        <v>45435.43466435185</v>
      </c>
      <c r="C591" s="1" t="n">
        <v>45994</v>
      </c>
      <c r="D591" t="inlineStr">
        <is>
          <t>STOCKHOLMS LÄN</t>
        </is>
      </c>
      <c r="E591" t="inlineStr">
        <is>
          <t>NORRTÄLJE</t>
        </is>
      </c>
      <c r="G591" t="n">
        <v>2.8</v>
      </c>
      <c r="H591" t="n">
        <v>0</v>
      </c>
      <c r="I591" t="n">
        <v>0</v>
      </c>
      <c r="J591" t="n">
        <v>0</v>
      </c>
      <c r="K591" t="n">
        <v>0</v>
      </c>
      <c r="L591" t="n">
        <v>0</v>
      </c>
      <c r="M591" t="n">
        <v>0</v>
      </c>
      <c r="N591" t="n">
        <v>0</v>
      </c>
      <c r="O591" t="n">
        <v>0</v>
      </c>
      <c r="P591" t="n">
        <v>0</v>
      </c>
      <c r="Q591" t="n">
        <v>0</v>
      </c>
      <c r="R591" s="2" t="inlineStr"/>
    </row>
    <row r="592" ht="15" customHeight="1">
      <c r="A592" t="inlineStr">
        <is>
          <t>A 20345-2024</t>
        </is>
      </c>
      <c r="B592" s="1" t="n">
        <v>45435.43820601852</v>
      </c>
      <c r="C592" s="1" t="n">
        <v>45994</v>
      </c>
      <c r="D592" t="inlineStr">
        <is>
          <t>STOCKHOLMS LÄN</t>
        </is>
      </c>
      <c r="E592" t="inlineStr">
        <is>
          <t>NORRTÄLJE</t>
        </is>
      </c>
      <c r="G592" t="n">
        <v>3.8</v>
      </c>
      <c r="H592" t="n">
        <v>0</v>
      </c>
      <c r="I592" t="n">
        <v>0</v>
      </c>
      <c r="J592" t="n">
        <v>0</v>
      </c>
      <c r="K592" t="n">
        <v>0</v>
      </c>
      <c r="L592" t="n">
        <v>0</v>
      </c>
      <c r="M592" t="n">
        <v>0</v>
      </c>
      <c r="N592" t="n">
        <v>0</v>
      </c>
      <c r="O592" t="n">
        <v>0</v>
      </c>
      <c r="P592" t="n">
        <v>0</v>
      </c>
      <c r="Q592" t="n">
        <v>0</v>
      </c>
      <c r="R592" s="2" t="inlineStr"/>
    </row>
    <row r="593" ht="15" customHeight="1">
      <c r="A593" t="inlineStr">
        <is>
          <t>A 9765-2024</t>
        </is>
      </c>
      <c r="B593" s="1" t="n">
        <v>45362.62811342593</v>
      </c>
      <c r="C593" s="1" t="n">
        <v>45994</v>
      </c>
      <c r="D593" t="inlineStr">
        <is>
          <t>STOCKHOLMS LÄN</t>
        </is>
      </c>
      <c r="E593" t="inlineStr">
        <is>
          <t>NORRTÄLJE</t>
        </is>
      </c>
      <c r="G593" t="n">
        <v>1.4</v>
      </c>
      <c r="H593" t="n">
        <v>0</v>
      </c>
      <c r="I593" t="n">
        <v>0</v>
      </c>
      <c r="J593" t="n">
        <v>0</v>
      </c>
      <c r="K593" t="n">
        <v>0</v>
      </c>
      <c r="L593" t="n">
        <v>0</v>
      </c>
      <c r="M593" t="n">
        <v>0</v>
      </c>
      <c r="N593" t="n">
        <v>0</v>
      </c>
      <c r="O593" t="n">
        <v>0</v>
      </c>
      <c r="P593" t="n">
        <v>0</v>
      </c>
      <c r="Q593" t="n">
        <v>0</v>
      </c>
      <c r="R593" s="2" t="inlineStr"/>
    </row>
    <row r="594" ht="15" customHeight="1">
      <c r="A594" t="inlineStr">
        <is>
          <t>A 55010-2024</t>
        </is>
      </c>
      <c r="B594" s="1" t="n">
        <v>45621.34425925926</v>
      </c>
      <c r="C594" s="1" t="n">
        <v>45994</v>
      </c>
      <c r="D594" t="inlineStr">
        <is>
          <t>STOCKHOLMS LÄN</t>
        </is>
      </c>
      <c r="E594" t="inlineStr">
        <is>
          <t>NORRTÄLJE</t>
        </is>
      </c>
      <c r="F594" t="inlineStr">
        <is>
          <t>Sveaskog</t>
        </is>
      </c>
      <c r="G594" t="n">
        <v>5.7</v>
      </c>
      <c r="H594" t="n">
        <v>0</v>
      </c>
      <c r="I594" t="n">
        <v>0</v>
      </c>
      <c r="J594" t="n">
        <v>0</v>
      </c>
      <c r="K594" t="n">
        <v>0</v>
      </c>
      <c r="L594" t="n">
        <v>0</v>
      </c>
      <c r="M594" t="n">
        <v>0</v>
      </c>
      <c r="N594" t="n">
        <v>0</v>
      </c>
      <c r="O594" t="n">
        <v>0</v>
      </c>
      <c r="P594" t="n">
        <v>0</v>
      </c>
      <c r="Q594" t="n">
        <v>0</v>
      </c>
      <c r="R594" s="2" t="inlineStr"/>
    </row>
    <row r="595" ht="15" customHeight="1">
      <c r="A595" t="inlineStr">
        <is>
          <t>A 10090-2022</t>
        </is>
      </c>
      <c r="B595" s="1" t="n">
        <v>44621</v>
      </c>
      <c r="C595" s="1" t="n">
        <v>45994</v>
      </c>
      <c r="D595" t="inlineStr">
        <is>
          <t>STOCKHOLMS LÄN</t>
        </is>
      </c>
      <c r="E595" t="inlineStr">
        <is>
          <t>NORRTÄLJE</t>
        </is>
      </c>
      <c r="G595" t="n">
        <v>5.2</v>
      </c>
      <c r="H595" t="n">
        <v>0</v>
      </c>
      <c r="I595" t="n">
        <v>0</v>
      </c>
      <c r="J595" t="n">
        <v>0</v>
      </c>
      <c r="K595" t="n">
        <v>0</v>
      </c>
      <c r="L595" t="n">
        <v>0</v>
      </c>
      <c r="M595" t="n">
        <v>0</v>
      </c>
      <c r="N595" t="n">
        <v>0</v>
      </c>
      <c r="O595" t="n">
        <v>0</v>
      </c>
      <c r="P595" t="n">
        <v>0</v>
      </c>
      <c r="Q595" t="n">
        <v>0</v>
      </c>
      <c r="R595" s="2" t="inlineStr"/>
    </row>
    <row r="596" ht="15" customHeight="1">
      <c r="A596" t="inlineStr">
        <is>
          <t>A 14724-2022</t>
        </is>
      </c>
      <c r="B596" s="1" t="n">
        <v>44656</v>
      </c>
      <c r="C596" s="1" t="n">
        <v>45994</v>
      </c>
      <c r="D596" t="inlineStr">
        <is>
          <t>STOCKHOLMS LÄN</t>
        </is>
      </c>
      <c r="E596" t="inlineStr">
        <is>
          <t>NORRTÄLJE</t>
        </is>
      </c>
      <c r="F596" t="inlineStr">
        <is>
          <t>Sveaskog</t>
        </is>
      </c>
      <c r="G596" t="n">
        <v>9</v>
      </c>
      <c r="H596" t="n">
        <v>0</v>
      </c>
      <c r="I596" t="n">
        <v>0</v>
      </c>
      <c r="J596" t="n">
        <v>0</v>
      </c>
      <c r="K596" t="n">
        <v>0</v>
      </c>
      <c r="L596" t="n">
        <v>0</v>
      </c>
      <c r="M596" t="n">
        <v>0</v>
      </c>
      <c r="N596" t="n">
        <v>0</v>
      </c>
      <c r="O596" t="n">
        <v>0</v>
      </c>
      <c r="P596" t="n">
        <v>0</v>
      </c>
      <c r="Q596" t="n">
        <v>0</v>
      </c>
      <c r="R596" s="2" t="inlineStr"/>
    </row>
    <row r="597" ht="15" customHeight="1">
      <c r="A597" t="inlineStr">
        <is>
          <t>A 31105-2022</t>
        </is>
      </c>
      <c r="B597" s="1" t="n">
        <v>44769.66039351852</v>
      </c>
      <c r="C597" s="1" t="n">
        <v>45994</v>
      </c>
      <c r="D597" t="inlineStr">
        <is>
          <t>STOCKHOLMS LÄN</t>
        </is>
      </c>
      <c r="E597" t="inlineStr">
        <is>
          <t>NORRTÄLJE</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22416-2025</t>
        </is>
      </c>
      <c r="B598" s="1" t="n">
        <v>45786.55645833333</v>
      </c>
      <c r="C598" s="1" t="n">
        <v>45994</v>
      </c>
      <c r="D598" t="inlineStr">
        <is>
          <t>STOCKHOLMS LÄN</t>
        </is>
      </c>
      <c r="E598" t="inlineStr">
        <is>
          <t>NORRTÄLJE</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59875-2024</t>
        </is>
      </c>
      <c r="B599" s="1" t="n">
        <v>45640.58716435185</v>
      </c>
      <c r="C599" s="1" t="n">
        <v>45994</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18846-2022</t>
        </is>
      </c>
      <c r="B600" s="1" t="n">
        <v>44690</v>
      </c>
      <c r="C600" s="1" t="n">
        <v>45994</v>
      </c>
      <c r="D600" t="inlineStr">
        <is>
          <t>STOCKHOLMS LÄN</t>
        </is>
      </c>
      <c r="E600" t="inlineStr">
        <is>
          <t>NORRTÄLJE</t>
        </is>
      </c>
      <c r="G600" t="n">
        <v>7</v>
      </c>
      <c r="H600" t="n">
        <v>0</v>
      </c>
      <c r="I600" t="n">
        <v>0</v>
      </c>
      <c r="J600" t="n">
        <v>0</v>
      </c>
      <c r="K600" t="n">
        <v>0</v>
      </c>
      <c r="L600" t="n">
        <v>0</v>
      </c>
      <c r="M600" t="n">
        <v>0</v>
      </c>
      <c r="N600" t="n">
        <v>0</v>
      </c>
      <c r="O600" t="n">
        <v>0</v>
      </c>
      <c r="P600" t="n">
        <v>0</v>
      </c>
      <c r="Q600" t="n">
        <v>0</v>
      </c>
      <c r="R600" s="2" t="inlineStr"/>
    </row>
    <row r="601" ht="15" customHeight="1">
      <c r="A601" t="inlineStr">
        <is>
          <t>A 11-2024</t>
        </is>
      </c>
      <c r="B601" s="1" t="n">
        <v>45293</v>
      </c>
      <c r="C601" s="1" t="n">
        <v>45994</v>
      </c>
      <c r="D601" t="inlineStr">
        <is>
          <t>STOCKHOLMS LÄN</t>
        </is>
      </c>
      <c r="E601" t="inlineStr">
        <is>
          <t>NORRTÄLJE</t>
        </is>
      </c>
      <c r="F601" t="inlineStr">
        <is>
          <t>Sveaskog</t>
        </is>
      </c>
      <c r="G601" t="n">
        <v>3.2</v>
      </c>
      <c r="H601" t="n">
        <v>0</v>
      </c>
      <c r="I601" t="n">
        <v>0</v>
      </c>
      <c r="J601" t="n">
        <v>0</v>
      </c>
      <c r="K601" t="n">
        <v>0</v>
      </c>
      <c r="L601" t="n">
        <v>0</v>
      </c>
      <c r="M601" t="n">
        <v>0</v>
      </c>
      <c r="N601" t="n">
        <v>0</v>
      </c>
      <c r="O601" t="n">
        <v>0</v>
      </c>
      <c r="P601" t="n">
        <v>0</v>
      </c>
      <c r="Q601" t="n">
        <v>0</v>
      </c>
      <c r="R601" s="2" t="inlineStr"/>
    </row>
    <row r="602" ht="15" customHeight="1">
      <c r="A602" t="inlineStr">
        <is>
          <t>A 14559-2024</t>
        </is>
      </c>
      <c r="B602" s="1" t="n">
        <v>45394.72869212963</v>
      </c>
      <c r="C602" s="1" t="n">
        <v>45994</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43300-2023</t>
        </is>
      </c>
      <c r="B603" s="1" t="n">
        <v>45183</v>
      </c>
      <c r="C603" s="1" t="n">
        <v>45994</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25654-2023</t>
        </is>
      </c>
      <c r="B604" s="1" t="n">
        <v>45089</v>
      </c>
      <c r="C604" s="1" t="n">
        <v>45994</v>
      </c>
      <c r="D604" t="inlineStr">
        <is>
          <t>STOCKHOLMS LÄN</t>
        </is>
      </c>
      <c r="E604" t="inlineStr">
        <is>
          <t>NORRTÄLJE</t>
        </is>
      </c>
      <c r="G604" t="n">
        <v>2.1</v>
      </c>
      <c r="H604" t="n">
        <v>0</v>
      </c>
      <c r="I604" t="n">
        <v>0</v>
      </c>
      <c r="J604" t="n">
        <v>0</v>
      </c>
      <c r="K604" t="n">
        <v>0</v>
      </c>
      <c r="L604" t="n">
        <v>0</v>
      </c>
      <c r="M604" t="n">
        <v>0</v>
      </c>
      <c r="N604" t="n">
        <v>0</v>
      </c>
      <c r="O604" t="n">
        <v>0</v>
      </c>
      <c r="P604" t="n">
        <v>0</v>
      </c>
      <c r="Q604" t="n">
        <v>0</v>
      </c>
      <c r="R604" s="2" t="inlineStr"/>
    </row>
    <row r="605" ht="15" customHeight="1">
      <c r="A605" t="inlineStr">
        <is>
          <t>A 8433-2022</t>
        </is>
      </c>
      <c r="B605" s="1" t="n">
        <v>44611</v>
      </c>
      <c r="C605" s="1" t="n">
        <v>45994</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25525-2022</t>
        </is>
      </c>
      <c r="B606" s="1" t="n">
        <v>44732</v>
      </c>
      <c r="C606" s="1" t="n">
        <v>45994</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12302-2025</t>
        </is>
      </c>
      <c r="B607" s="1" t="n">
        <v>45729.72851851852</v>
      </c>
      <c r="C607" s="1" t="n">
        <v>45994</v>
      </c>
      <c r="D607" t="inlineStr">
        <is>
          <t>STOCKHOLMS LÄN</t>
        </is>
      </c>
      <c r="E607" t="inlineStr">
        <is>
          <t>NORRTÄLJE</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23125-2022</t>
        </is>
      </c>
      <c r="B608" s="1" t="n">
        <v>44719</v>
      </c>
      <c r="C608" s="1" t="n">
        <v>45994</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20121-2022</t>
        </is>
      </c>
      <c r="B609" s="1" t="n">
        <v>44698</v>
      </c>
      <c r="C609" s="1" t="n">
        <v>45994</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38889-2024</t>
        </is>
      </c>
      <c r="B610" s="1" t="n">
        <v>45547</v>
      </c>
      <c r="C610" s="1" t="n">
        <v>45994</v>
      </c>
      <c r="D610" t="inlineStr">
        <is>
          <t>STOCKHOLMS LÄN</t>
        </is>
      </c>
      <c r="E610" t="inlineStr">
        <is>
          <t>NORRTÄLJE</t>
        </is>
      </c>
      <c r="G610" t="n">
        <v>1.1</v>
      </c>
      <c r="H610" t="n">
        <v>0</v>
      </c>
      <c r="I610" t="n">
        <v>0</v>
      </c>
      <c r="J610" t="n">
        <v>0</v>
      </c>
      <c r="K610" t="n">
        <v>0</v>
      </c>
      <c r="L610" t="n">
        <v>0</v>
      </c>
      <c r="M610" t="n">
        <v>0</v>
      </c>
      <c r="N610" t="n">
        <v>0</v>
      </c>
      <c r="O610" t="n">
        <v>0</v>
      </c>
      <c r="P610" t="n">
        <v>0</v>
      </c>
      <c r="Q610" t="n">
        <v>0</v>
      </c>
      <c r="R610" s="2" t="inlineStr"/>
    </row>
    <row r="611" ht="15" customHeight="1">
      <c r="A611" t="inlineStr">
        <is>
          <t>A 45451-2024</t>
        </is>
      </c>
      <c r="B611" s="1" t="n">
        <v>45576</v>
      </c>
      <c r="C611" s="1" t="n">
        <v>45994</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30620-2022</t>
        </is>
      </c>
      <c r="B612" s="1" t="n">
        <v>44763.40914351852</v>
      </c>
      <c r="C612" s="1" t="n">
        <v>45994</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50113-2024</t>
        </is>
      </c>
      <c r="B613" s="1" t="n">
        <v>45600.411875</v>
      </c>
      <c r="C613" s="1" t="n">
        <v>45994</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28365-2022</t>
        </is>
      </c>
      <c r="B614" s="1" t="n">
        <v>44747</v>
      </c>
      <c r="C614" s="1" t="n">
        <v>45994</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42955-2022</t>
        </is>
      </c>
      <c r="B615" s="1" t="n">
        <v>44833.40876157407</v>
      </c>
      <c r="C615" s="1" t="n">
        <v>45994</v>
      </c>
      <c r="D615" t="inlineStr">
        <is>
          <t>STOCKHOLMS LÄN</t>
        </is>
      </c>
      <c r="E615" t="inlineStr">
        <is>
          <t>NORRTÄLJE</t>
        </is>
      </c>
      <c r="G615" t="n">
        <v>13.1</v>
      </c>
      <c r="H615" t="n">
        <v>0</v>
      </c>
      <c r="I615" t="n">
        <v>0</v>
      </c>
      <c r="J615" t="n">
        <v>0</v>
      </c>
      <c r="K615" t="n">
        <v>0</v>
      </c>
      <c r="L615" t="n">
        <v>0</v>
      </c>
      <c r="M615" t="n">
        <v>0</v>
      </c>
      <c r="N615" t="n">
        <v>0</v>
      </c>
      <c r="O615" t="n">
        <v>0</v>
      </c>
      <c r="P615" t="n">
        <v>0</v>
      </c>
      <c r="Q615" t="n">
        <v>0</v>
      </c>
      <c r="R615" s="2" t="inlineStr"/>
    </row>
    <row r="616" ht="15" customHeight="1">
      <c r="A616" t="inlineStr">
        <is>
          <t>A 33385-2024</t>
        </is>
      </c>
      <c r="B616" s="1" t="n">
        <v>45519</v>
      </c>
      <c r="C616" s="1" t="n">
        <v>45994</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41172-2023</t>
        </is>
      </c>
      <c r="B617" s="1" t="n">
        <v>45170</v>
      </c>
      <c r="C617" s="1" t="n">
        <v>45994</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1283-2025</t>
        </is>
      </c>
      <c r="B618" s="1" t="n">
        <v>45667.49878472222</v>
      </c>
      <c r="C618" s="1" t="n">
        <v>45994</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58785-2024</t>
        </is>
      </c>
      <c r="B619" s="1" t="n">
        <v>45635.88849537037</v>
      </c>
      <c r="C619" s="1" t="n">
        <v>45994</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73307-2021</t>
        </is>
      </c>
      <c r="B620" s="1" t="n">
        <v>44549</v>
      </c>
      <c r="C620" s="1" t="n">
        <v>45994</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50534-2024</t>
        </is>
      </c>
      <c r="B621" s="1" t="n">
        <v>45601.56726851852</v>
      </c>
      <c r="C621" s="1" t="n">
        <v>45994</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9703-2021</t>
        </is>
      </c>
      <c r="B622" s="1" t="n">
        <v>44252</v>
      </c>
      <c r="C622" s="1" t="n">
        <v>45994</v>
      </c>
      <c r="D622" t="inlineStr">
        <is>
          <t>STOCKHOLMS LÄN</t>
        </is>
      </c>
      <c r="E622" t="inlineStr">
        <is>
          <t>NORRTÄLJE</t>
        </is>
      </c>
      <c r="G622" t="n">
        <v>3.4</v>
      </c>
      <c r="H622" t="n">
        <v>0</v>
      </c>
      <c r="I622" t="n">
        <v>0</v>
      </c>
      <c r="J622" t="n">
        <v>0</v>
      </c>
      <c r="K622" t="n">
        <v>0</v>
      </c>
      <c r="L622" t="n">
        <v>0</v>
      </c>
      <c r="M622" t="n">
        <v>0</v>
      </c>
      <c r="N622" t="n">
        <v>0</v>
      </c>
      <c r="O622" t="n">
        <v>0</v>
      </c>
      <c r="P622" t="n">
        <v>0</v>
      </c>
      <c r="Q622" t="n">
        <v>0</v>
      </c>
      <c r="R622" s="2" t="inlineStr"/>
    </row>
    <row r="623" ht="15" customHeight="1">
      <c r="A623" t="inlineStr">
        <is>
          <t>A 11988-2021</t>
        </is>
      </c>
      <c r="B623" s="1" t="n">
        <v>44266</v>
      </c>
      <c r="C623" s="1" t="n">
        <v>45994</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12132-2021</t>
        </is>
      </c>
      <c r="B624" s="1" t="n">
        <v>44266</v>
      </c>
      <c r="C624" s="1" t="n">
        <v>45994</v>
      </c>
      <c r="D624" t="inlineStr">
        <is>
          <t>STOCKHOLMS LÄN</t>
        </is>
      </c>
      <c r="E624" t="inlineStr">
        <is>
          <t>NORRTÄLJE</t>
        </is>
      </c>
      <c r="G624" t="n">
        <v>4</v>
      </c>
      <c r="H624" t="n">
        <v>0</v>
      </c>
      <c r="I624" t="n">
        <v>0</v>
      </c>
      <c r="J624" t="n">
        <v>0</v>
      </c>
      <c r="K624" t="n">
        <v>0</v>
      </c>
      <c r="L624" t="n">
        <v>0</v>
      </c>
      <c r="M624" t="n">
        <v>0</v>
      </c>
      <c r="N624" t="n">
        <v>0</v>
      </c>
      <c r="O624" t="n">
        <v>0</v>
      </c>
      <c r="P624" t="n">
        <v>0</v>
      </c>
      <c r="Q624" t="n">
        <v>0</v>
      </c>
      <c r="R624" s="2" t="inlineStr"/>
    </row>
    <row r="625" ht="15" customHeight="1">
      <c r="A625" t="inlineStr">
        <is>
          <t>A 65499-2021</t>
        </is>
      </c>
      <c r="B625" s="1" t="n">
        <v>44516</v>
      </c>
      <c r="C625" s="1" t="n">
        <v>45994</v>
      </c>
      <c r="D625" t="inlineStr">
        <is>
          <t>STOCKHOLMS LÄN</t>
        </is>
      </c>
      <c r="E625" t="inlineStr">
        <is>
          <t>NORRTÄLJE</t>
        </is>
      </c>
      <c r="F625" t="inlineStr">
        <is>
          <t>Kommuner</t>
        </is>
      </c>
      <c r="G625" t="n">
        <v>5.2</v>
      </c>
      <c r="H625" t="n">
        <v>0</v>
      </c>
      <c r="I625" t="n">
        <v>0</v>
      </c>
      <c r="J625" t="n">
        <v>0</v>
      </c>
      <c r="K625" t="n">
        <v>0</v>
      </c>
      <c r="L625" t="n">
        <v>0</v>
      </c>
      <c r="M625" t="n">
        <v>0</v>
      </c>
      <c r="N625" t="n">
        <v>0</v>
      </c>
      <c r="O625" t="n">
        <v>0</v>
      </c>
      <c r="P625" t="n">
        <v>0</v>
      </c>
      <c r="Q625" t="n">
        <v>0</v>
      </c>
      <c r="R625" s="2" t="inlineStr"/>
    </row>
    <row r="626" ht="15" customHeight="1">
      <c r="A626" t="inlineStr">
        <is>
          <t>A 65511-2021</t>
        </is>
      </c>
      <c r="B626" s="1" t="n">
        <v>44516.40674768519</v>
      </c>
      <c r="C626" s="1" t="n">
        <v>45994</v>
      </c>
      <c r="D626" t="inlineStr">
        <is>
          <t>STOCKHOLMS LÄN</t>
        </is>
      </c>
      <c r="E626" t="inlineStr">
        <is>
          <t>NORRTÄLJE</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26644-2024</t>
        </is>
      </c>
      <c r="B627" s="1" t="n">
        <v>45469</v>
      </c>
      <c r="C627" s="1" t="n">
        <v>45994</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22833-2024</t>
        </is>
      </c>
      <c r="B628" s="1" t="n">
        <v>45448.56746527777</v>
      </c>
      <c r="C628" s="1" t="n">
        <v>45994</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13767-2025</t>
        </is>
      </c>
      <c r="B629" s="1" t="n">
        <v>45737.43347222222</v>
      </c>
      <c r="C629" s="1" t="n">
        <v>45994</v>
      </c>
      <c r="D629" t="inlineStr">
        <is>
          <t>STOCKHOLMS LÄN</t>
        </is>
      </c>
      <c r="E629" t="inlineStr">
        <is>
          <t>NORRTÄLJE</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20013-2025</t>
        </is>
      </c>
      <c r="B630" s="1" t="n">
        <v>45772.30436342592</v>
      </c>
      <c r="C630" s="1" t="n">
        <v>45994</v>
      </c>
      <c r="D630" t="inlineStr">
        <is>
          <t>STOCKHOLMS LÄN</t>
        </is>
      </c>
      <c r="E630" t="inlineStr">
        <is>
          <t>NORRTÄLJE</t>
        </is>
      </c>
      <c r="G630" t="n">
        <v>2.3</v>
      </c>
      <c r="H630" t="n">
        <v>0</v>
      </c>
      <c r="I630" t="n">
        <v>0</v>
      </c>
      <c r="J630" t="n">
        <v>0</v>
      </c>
      <c r="K630" t="n">
        <v>0</v>
      </c>
      <c r="L630" t="n">
        <v>0</v>
      </c>
      <c r="M630" t="n">
        <v>0</v>
      </c>
      <c r="N630" t="n">
        <v>0</v>
      </c>
      <c r="O630" t="n">
        <v>0</v>
      </c>
      <c r="P630" t="n">
        <v>0</v>
      </c>
      <c r="Q630" t="n">
        <v>0</v>
      </c>
      <c r="R630" s="2" t="inlineStr"/>
    </row>
    <row r="631" ht="15" customHeight="1">
      <c r="A631" t="inlineStr">
        <is>
          <t>A 32514-2022</t>
        </is>
      </c>
      <c r="B631" s="1" t="n">
        <v>44782</v>
      </c>
      <c r="C631" s="1" t="n">
        <v>45994</v>
      </c>
      <c r="D631" t="inlineStr">
        <is>
          <t>STOCKHOLMS LÄN</t>
        </is>
      </c>
      <c r="E631" t="inlineStr">
        <is>
          <t>NORRTÄLJE</t>
        </is>
      </c>
      <c r="G631" t="n">
        <v>5.1</v>
      </c>
      <c r="H631" t="n">
        <v>0</v>
      </c>
      <c r="I631" t="n">
        <v>0</v>
      </c>
      <c r="J631" t="n">
        <v>0</v>
      </c>
      <c r="K631" t="n">
        <v>0</v>
      </c>
      <c r="L631" t="n">
        <v>0</v>
      </c>
      <c r="M631" t="n">
        <v>0</v>
      </c>
      <c r="N631" t="n">
        <v>0</v>
      </c>
      <c r="O631" t="n">
        <v>0</v>
      </c>
      <c r="P631" t="n">
        <v>0</v>
      </c>
      <c r="Q631" t="n">
        <v>0</v>
      </c>
      <c r="R631" s="2" t="inlineStr"/>
    </row>
    <row r="632" ht="15" customHeight="1">
      <c r="A632" t="inlineStr">
        <is>
          <t>A 29362-2022</t>
        </is>
      </c>
      <c r="B632" s="1" t="n">
        <v>44753</v>
      </c>
      <c r="C632" s="1" t="n">
        <v>45994</v>
      </c>
      <c r="D632" t="inlineStr">
        <is>
          <t>STOCKHOLMS LÄN</t>
        </is>
      </c>
      <c r="E632" t="inlineStr">
        <is>
          <t>NORRTÄLJE</t>
        </is>
      </c>
      <c r="G632" t="n">
        <v>3.8</v>
      </c>
      <c r="H632" t="n">
        <v>0</v>
      </c>
      <c r="I632" t="n">
        <v>0</v>
      </c>
      <c r="J632" t="n">
        <v>0</v>
      </c>
      <c r="K632" t="n">
        <v>0</v>
      </c>
      <c r="L632" t="n">
        <v>0</v>
      </c>
      <c r="M632" t="n">
        <v>0</v>
      </c>
      <c r="N632" t="n">
        <v>0</v>
      </c>
      <c r="O632" t="n">
        <v>0</v>
      </c>
      <c r="P632" t="n">
        <v>0</v>
      </c>
      <c r="Q632" t="n">
        <v>0</v>
      </c>
      <c r="R632" s="2" t="inlineStr"/>
    </row>
    <row r="633" ht="15" customHeight="1">
      <c r="A633" t="inlineStr">
        <is>
          <t>A 53362-2023</t>
        </is>
      </c>
      <c r="B633" s="1" t="n">
        <v>45223</v>
      </c>
      <c r="C633" s="1" t="n">
        <v>45994</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15422-2024</t>
        </is>
      </c>
      <c r="B634" s="1" t="n">
        <v>45401.3653125</v>
      </c>
      <c r="C634" s="1" t="n">
        <v>45994</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2982-2023</t>
        </is>
      </c>
      <c r="B635" s="1" t="n">
        <v>44945.67409722223</v>
      </c>
      <c r="C635" s="1" t="n">
        <v>45994</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12535-2025</t>
        </is>
      </c>
      <c r="B636" s="1" t="n">
        <v>45730.69502314815</v>
      </c>
      <c r="C636" s="1" t="n">
        <v>45994</v>
      </c>
      <c r="D636" t="inlineStr">
        <is>
          <t>STOCKHOLMS LÄN</t>
        </is>
      </c>
      <c r="E636" t="inlineStr">
        <is>
          <t>NORRTÄLJE</t>
        </is>
      </c>
      <c r="G636" t="n">
        <v>7.1</v>
      </c>
      <c r="H636" t="n">
        <v>0</v>
      </c>
      <c r="I636" t="n">
        <v>0</v>
      </c>
      <c r="J636" t="n">
        <v>0</v>
      </c>
      <c r="K636" t="n">
        <v>0</v>
      </c>
      <c r="L636" t="n">
        <v>0</v>
      </c>
      <c r="M636" t="n">
        <v>0</v>
      </c>
      <c r="N636" t="n">
        <v>0</v>
      </c>
      <c r="O636" t="n">
        <v>0</v>
      </c>
      <c r="P636" t="n">
        <v>0</v>
      </c>
      <c r="Q636" t="n">
        <v>0</v>
      </c>
      <c r="R636" s="2" t="inlineStr"/>
    </row>
    <row r="637" ht="15" customHeight="1">
      <c r="A637" t="inlineStr">
        <is>
          <t>A 2182-2022</t>
        </is>
      </c>
      <c r="B637" s="1" t="n">
        <v>44578</v>
      </c>
      <c r="C637" s="1" t="n">
        <v>45994</v>
      </c>
      <c r="D637" t="inlineStr">
        <is>
          <t>STOCKHOLMS LÄN</t>
        </is>
      </c>
      <c r="E637" t="inlineStr">
        <is>
          <t>NORRTÄLJE</t>
        </is>
      </c>
      <c r="G637" t="n">
        <v>7.2</v>
      </c>
      <c r="H637" t="n">
        <v>0</v>
      </c>
      <c r="I637" t="n">
        <v>0</v>
      </c>
      <c r="J637" t="n">
        <v>0</v>
      </c>
      <c r="K637" t="n">
        <v>0</v>
      </c>
      <c r="L637" t="n">
        <v>0</v>
      </c>
      <c r="M637" t="n">
        <v>0</v>
      </c>
      <c r="N637" t="n">
        <v>0</v>
      </c>
      <c r="O637" t="n">
        <v>0</v>
      </c>
      <c r="P637" t="n">
        <v>0</v>
      </c>
      <c r="Q637" t="n">
        <v>0</v>
      </c>
      <c r="R637" s="2" t="inlineStr"/>
    </row>
    <row r="638" ht="15" customHeight="1">
      <c r="A638" t="inlineStr">
        <is>
          <t>A 30508-2023</t>
        </is>
      </c>
      <c r="B638" s="1" t="n">
        <v>45111</v>
      </c>
      <c r="C638" s="1" t="n">
        <v>45994</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37136-2023</t>
        </is>
      </c>
      <c r="B639" s="1" t="n">
        <v>45155</v>
      </c>
      <c r="C639" s="1" t="n">
        <v>45994</v>
      </c>
      <c r="D639" t="inlineStr">
        <is>
          <t>STOCKHOLMS LÄN</t>
        </is>
      </c>
      <c r="E639" t="inlineStr">
        <is>
          <t>NORRTÄLJE</t>
        </is>
      </c>
      <c r="G639" t="n">
        <v>2.5</v>
      </c>
      <c r="H639" t="n">
        <v>0</v>
      </c>
      <c r="I639" t="n">
        <v>0</v>
      </c>
      <c r="J639" t="n">
        <v>0</v>
      </c>
      <c r="K639" t="n">
        <v>0</v>
      </c>
      <c r="L639" t="n">
        <v>0</v>
      </c>
      <c r="M639" t="n">
        <v>0</v>
      </c>
      <c r="N639" t="n">
        <v>0</v>
      </c>
      <c r="O639" t="n">
        <v>0</v>
      </c>
      <c r="P639" t="n">
        <v>0</v>
      </c>
      <c r="Q639" t="n">
        <v>0</v>
      </c>
      <c r="R639" s="2" t="inlineStr"/>
    </row>
    <row r="640" ht="15" customHeight="1">
      <c r="A640" t="inlineStr">
        <is>
          <t>A 18787-2022</t>
        </is>
      </c>
      <c r="B640" s="1" t="n">
        <v>44687</v>
      </c>
      <c r="C640" s="1" t="n">
        <v>45994</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13718-2022</t>
        </is>
      </c>
      <c r="B641" s="1" t="n">
        <v>44649</v>
      </c>
      <c r="C641" s="1" t="n">
        <v>45994</v>
      </c>
      <c r="D641" t="inlineStr">
        <is>
          <t>STOCKHOLMS LÄN</t>
        </is>
      </c>
      <c r="E641" t="inlineStr">
        <is>
          <t>NORRTÄLJE</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25621-2022</t>
        </is>
      </c>
      <c r="B642" s="1" t="n">
        <v>44732</v>
      </c>
      <c r="C642" s="1" t="n">
        <v>45994</v>
      </c>
      <c r="D642" t="inlineStr">
        <is>
          <t>STOCKHOLMS LÄN</t>
        </is>
      </c>
      <c r="E642" t="inlineStr">
        <is>
          <t>NORRTÄLJE</t>
        </is>
      </c>
      <c r="G642" t="n">
        <v>3.1</v>
      </c>
      <c r="H642" t="n">
        <v>0</v>
      </c>
      <c r="I642" t="n">
        <v>0</v>
      </c>
      <c r="J642" t="n">
        <v>0</v>
      </c>
      <c r="K642" t="n">
        <v>0</v>
      </c>
      <c r="L642" t="n">
        <v>0</v>
      </c>
      <c r="M642" t="n">
        <v>0</v>
      </c>
      <c r="N642" t="n">
        <v>0</v>
      </c>
      <c r="O642" t="n">
        <v>0</v>
      </c>
      <c r="P642" t="n">
        <v>0</v>
      </c>
      <c r="Q642" t="n">
        <v>0</v>
      </c>
      <c r="R642" s="2" t="inlineStr"/>
    </row>
    <row r="643" ht="15" customHeight="1">
      <c r="A643" t="inlineStr">
        <is>
          <t>A 58492-2022</t>
        </is>
      </c>
      <c r="B643" s="1" t="n">
        <v>44902</v>
      </c>
      <c r="C643" s="1" t="n">
        <v>45994</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16008-2025</t>
        </is>
      </c>
      <c r="B644" s="1" t="n">
        <v>45749</v>
      </c>
      <c r="C644" s="1" t="n">
        <v>45994</v>
      </c>
      <c r="D644" t="inlineStr">
        <is>
          <t>STOCKHOLMS LÄN</t>
        </is>
      </c>
      <c r="E644" t="inlineStr">
        <is>
          <t>NORRTÄLJE</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45994</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36269-2022</t>
        </is>
      </c>
      <c r="B646" s="1" t="n">
        <v>44803</v>
      </c>
      <c r="C646" s="1" t="n">
        <v>45994</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36308-2022</t>
        </is>
      </c>
      <c r="B647" s="1" t="n">
        <v>44803</v>
      </c>
      <c r="C647" s="1" t="n">
        <v>45994</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21158-2022</t>
        </is>
      </c>
      <c r="B648" s="1" t="n">
        <v>44704</v>
      </c>
      <c r="C648" s="1" t="n">
        <v>45994</v>
      </c>
      <c r="D648" t="inlineStr">
        <is>
          <t>STOCKHOLMS LÄN</t>
        </is>
      </c>
      <c r="E648" t="inlineStr">
        <is>
          <t>NORRTÄLJE</t>
        </is>
      </c>
      <c r="G648" t="n">
        <v>17.8</v>
      </c>
      <c r="H648" t="n">
        <v>0</v>
      </c>
      <c r="I648" t="n">
        <v>0</v>
      </c>
      <c r="J648" t="n">
        <v>0</v>
      </c>
      <c r="K648" t="n">
        <v>0</v>
      </c>
      <c r="L648" t="n">
        <v>0</v>
      </c>
      <c r="M648" t="n">
        <v>0</v>
      </c>
      <c r="N648" t="n">
        <v>0</v>
      </c>
      <c r="O648" t="n">
        <v>0</v>
      </c>
      <c r="P648" t="n">
        <v>0</v>
      </c>
      <c r="Q648" t="n">
        <v>0</v>
      </c>
      <c r="R648" s="2" t="inlineStr"/>
    </row>
    <row r="649" ht="15" customHeight="1">
      <c r="A649" t="inlineStr">
        <is>
          <t>A 14873-2025</t>
        </is>
      </c>
      <c r="B649" s="1" t="n">
        <v>45743.44953703704</v>
      </c>
      <c r="C649" s="1" t="n">
        <v>45994</v>
      </c>
      <c r="D649" t="inlineStr">
        <is>
          <t>STOCKHOLMS LÄN</t>
        </is>
      </c>
      <c r="E649" t="inlineStr">
        <is>
          <t>NORRTÄLJE</t>
        </is>
      </c>
      <c r="G649" t="n">
        <v>10.2</v>
      </c>
      <c r="H649" t="n">
        <v>0</v>
      </c>
      <c r="I649" t="n">
        <v>0</v>
      </c>
      <c r="J649" t="n">
        <v>0</v>
      </c>
      <c r="K649" t="n">
        <v>0</v>
      </c>
      <c r="L649" t="n">
        <v>0</v>
      </c>
      <c r="M649" t="n">
        <v>0</v>
      </c>
      <c r="N649" t="n">
        <v>0</v>
      </c>
      <c r="O649" t="n">
        <v>0</v>
      </c>
      <c r="P649" t="n">
        <v>0</v>
      </c>
      <c r="Q649" t="n">
        <v>0</v>
      </c>
      <c r="R649" s="2" t="inlineStr"/>
    </row>
    <row r="650" ht="15" customHeight="1">
      <c r="A650" t="inlineStr">
        <is>
          <t>A 34773-2022</t>
        </is>
      </c>
      <c r="B650" s="1" t="n">
        <v>44795</v>
      </c>
      <c r="C650" s="1" t="n">
        <v>45994</v>
      </c>
      <c r="D650" t="inlineStr">
        <is>
          <t>STOCKHOLMS LÄN</t>
        </is>
      </c>
      <c r="E650" t="inlineStr">
        <is>
          <t>NORRTÄLJE</t>
        </is>
      </c>
      <c r="G650" t="n">
        <v>3.9</v>
      </c>
      <c r="H650" t="n">
        <v>0</v>
      </c>
      <c r="I650" t="n">
        <v>0</v>
      </c>
      <c r="J650" t="n">
        <v>0</v>
      </c>
      <c r="K650" t="n">
        <v>0</v>
      </c>
      <c r="L650" t="n">
        <v>0</v>
      </c>
      <c r="M650" t="n">
        <v>0</v>
      </c>
      <c r="N650" t="n">
        <v>0</v>
      </c>
      <c r="O650" t="n">
        <v>0</v>
      </c>
      <c r="P650" t="n">
        <v>0</v>
      </c>
      <c r="Q650" t="n">
        <v>0</v>
      </c>
      <c r="R650" s="2" t="inlineStr"/>
    </row>
    <row r="651" ht="15" customHeight="1">
      <c r="A651" t="inlineStr">
        <is>
          <t>A 6919-2025</t>
        </is>
      </c>
      <c r="B651" s="1" t="n">
        <v>45701.44372685185</v>
      </c>
      <c r="C651" s="1" t="n">
        <v>45994</v>
      </c>
      <c r="D651" t="inlineStr">
        <is>
          <t>STOCKHOLMS LÄN</t>
        </is>
      </c>
      <c r="E651" t="inlineStr">
        <is>
          <t>NORRTÄLJE</t>
        </is>
      </c>
      <c r="G651" t="n">
        <v>3.5</v>
      </c>
      <c r="H651" t="n">
        <v>0</v>
      </c>
      <c r="I651" t="n">
        <v>0</v>
      </c>
      <c r="J651" t="n">
        <v>0</v>
      </c>
      <c r="K651" t="n">
        <v>0</v>
      </c>
      <c r="L651" t="n">
        <v>0</v>
      </c>
      <c r="M651" t="n">
        <v>0</v>
      </c>
      <c r="N651" t="n">
        <v>0</v>
      </c>
      <c r="O651" t="n">
        <v>0</v>
      </c>
      <c r="P651" t="n">
        <v>0</v>
      </c>
      <c r="Q651" t="n">
        <v>0</v>
      </c>
      <c r="R651" s="2" t="inlineStr"/>
    </row>
    <row r="652" ht="15" customHeight="1">
      <c r="A652" t="inlineStr">
        <is>
          <t>A 32100-2022</t>
        </is>
      </c>
      <c r="B652" s="1" t="n">
        <v>44778</v>
      </c>
      <c r="C652" s="1" t="n">
        <v>45994</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33173-2024</t>
        </is>
      </c>
      <c r="B653" s="1" t="n">
        <v>45518</v>
      </c>
      <c r="C653" s="1" t="n">
        <v>45994</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11332-2025</t>
        </is>
      </c>
      <c r="B654" s="1" t="n">
        <v>45726.48152777777</v>
      </c>
      <c r="C654" s="1" t="n">
        <v>45994</v>
      </c>
      <c r="D654" t="inlineStr">
        <is>
          <t>STOCKHOLMS LÄN</t>
        </is>
      </c>
      <c r="E654" t="inlineStr">
        <is>
          <t>NORRTÄLJE</t>
        </is>
      </c>
      <c r="G654" t="n">
        <v>4.6</v>
      </c>
      <c r="H654" t="n">
        <v>0</v>
      </c>
      <c r="I654" t="n">
        <v>0</v>
      </c>
      <c r="J654" t="n">
        <v>0</v>
      </c>
      <c r="K654" t="n">
        <v>0</v>
      </c>
      <c r="L654" t="n">
        <v>0</v>
      </c>
      <c r="M654" t="n">
        <v>0</v>
      </c>
      <c r="N654" t="n">
        <v>0</v>
      </c>
      <c r="O654" t="n">
        <v>0</v>
      </c>
      <c r="P654" t="n">
        <v>0</v>
      </c>
      <c r="Q654" t="n">
        <v>0</v>
      </c>
      <c r="R654" s="2" t="inlineStr"/>
    </row>
    <row r="655" ht="15" customHeight="1">
      <c r="A655" t="inlineStr">
        <is>
          <t>A 37444-2021</t>
        </is>
      </c>
      <c r="B655" s="1" t="n">
        <v>44398</v>
      </c>
      <c r="C655" s="1" t="n">
        <v>45994</v>
      </c>
      <c r="D655" t="inlineStr">
        <is>
          <t>STOCKHOLMS LÄN</t>
        </is>
      </c>
      <c r="E655" t="inlineStr">
        <is>
          <t>NORRTÄLJE</t>
        </is>
      </c>
      <c r="F655" t="inlineStr">
        <is>
          <t>Holmen skog AB</t>
        </is>
      </c>
      <c r="G655" t="n">
        <v>3.2</v>
      </c>
      <c r="H655" t="n">
        <v>0</v>
      </c>
      <c r="I655" t="n">
        <v>0</v>
      </c>
      <c r="J655" t="n">
        <v>0</v>
      </c>
      <c r="K655" t="n">
        <v>0</v>
      </c>
      <c r="L655" t="n">
        <v>0</v>
      </c>
      <c r="M655" t="n">
        <v>0</v>
      </c>
      <c r="N655" t="n">
        <v>0</v>
      </c>
      <c r="O655" t="n">
        <v>0</v>
      </c>
      <c r="P655" t="n">
        <v>0</v>
      </c>
      <c r="Q655" t="n">
        <v>0</v>
      </c>
      <c r="R655" s="2" t="inlineStr"/>
    </row>
    <row r="656" ht="15" customHeight="1">
      <c r="A656" t="inlineStr">
        <is>
          <t>A 30886-2022</t>
        </is>
      </c>
      <c r="B656" s="1" t="n">
        <v>44767.60601851852</v>
      </c>
      <c r="C656" s="1" t="n">
        <v>45994</v>
      </c>
      <c r="D656" t="inlineStr">
        <is>
          <t>STOCKHOLMS LÄN</t>
        </is>
      </c>
      <c r="E656" t="inlineStr">
        <is>
          <t>NORRTÄLJE</t>
        </is>
      </c>
      <c r="G656" t="n">
        <v>2.6</v>
      </c>
      <c r="H656" t="n">
        <v>0</v>
      </c>
      <c r="I656" t="n">
        <v>0</v>
      </c>
      <c r="J656" t="n">
        <v>0</v>
      </c>
      <c r="K656" t="n">
        <v>0</v>
      </c>
      <c r="L656" t="n">
        <v>0</v>
      </c>
      <c r="M656" t="n">
        <v>0</v>
      </c>
      <c r="N656" t="n">
        <v>0</v>
      </c>
      <c r="O656" t="n">
        <v>0</v>
      </c>
      <c r="P656" t="n">
        <v>0</v>
      </c>
      <c r="Q656" t="n">
        <v>0</v>
      </c>
      <c r="R656" s="2" t="inlineStr"/>
    </row>
    <row r="657" ht="15" customHeight="1">
      <c r="A657" t="inlineStr">
        <is>
          <t>A 32101-2022</t>
        </is>
      </c>
      <c r="B657" s="1" t="n">
        <v>44778.69210648148</v>
      </c>
      <c r="C657" s="1" t="n">
        <v>45994</v>
      </c>
      <c r="D657" t="inlineStr">
        <is>
          <t>STOCKHOLMS LÄN</t>
        </is>
      </c>
      <c r="E657" t="inlineStr">
        <is>
          <t>NORRTÄLJE</t>
        </is>
      </c>
      <c r="G657" t="n">
        <v>4.4</v>
      </c>
      <c r="H657" t="n">
        <v>0</v>
      </c>
      <c r="I657" t="n">
        <v>0</v>
      </c>
      <c r="J657" t="n">
        <v>0</v>
      </c>
      <c r="K657" t="n">
        <v>0</v>
      </c>
      <c r="L657" t="n">
        <v>0</v>
      </c>
      <c r="M657" t="n">
        <v>0</v>
      </c>
      <c r="N657" t="n">
        <v>0</v>
      </c>
      <c r="O657" t="n">
        <v>0</v>
      </c>
      <c r="P657" t="n">
        <v>0</v>
      </c>
      <c r="Q657" t="n">
        <v>0</v>
      </c>
      <c r="R657" s="2" t="inlineStr"/>
    </row>
    <row r="658" ht="15" customHeight="1">
      <c r="A658" t="inlineStr">
        <is>
          <t>A 9654-2022</t>
        </is>
      </c>
      <c r="B658" s="1" t="n">
        <v>44617</v>
      </c>
      <c r="C658" s="1" t="n">
        <v>45994</v>
      </c>
      <c r="D658" t="inlineStr">
        <is>
          <t>STOCKHOLMS LÄN</t>
        </is>
      </c>
      <c r="E658" t="inlineStr">
        <is>
          <t>NORRTÄLJE</t>
        </is>
      </c>
      <c r="G658" t="n">
        <v>6.4</v>
      </c>
      <c r="H658" t="n">
        <v>0</v>
      </c>
      <c r="I658" t="n">
        <v>0</v>
      </c>
      <c r="J658" t="n">
        <v>0</v>
      </c>
      <c r="K658" t="n">
        <v>0</v>
      </c>
      <c r="L658" t="n">
        <v>0</v>
      </c>
      <c r="M658" t="n">
        <v>0</v>
      </c>
      <c r="N658" t="n">
        <v>0</v>
      </c>
      <c r="O658" t="n">
        <v>0</v>
      </c>
      <c r="P658" t="n">
        <v>0</v>
      </c>
      <c r="Q658" t="n">
        <v>0</v>
      </c>
      <c r="R658" s="2" t="inlineStr"/>
    </row>
    <row r="659" ht="15" customHeight="1">
      <c r="A659" t="inlineStr">
        <is>
          <t>A 23150-2024</t>
        </is>
      </c>
      <c r="B659" s="1" t="n">
        <v>45450.64643518518</v>
      </c>
      <c r="C659" s="1" t="n">
        <v>45994</v>
      </c>
      <c r="D659" t="inlineStr">
        <is>
          <t>STOCKHOLMS LÄN</t>
        </is>
      </c>
      <c r="E659" t="inlineStr">
        <is>
          <t>NORRTÄLJE</t>
        </is>
      </c>
      <c r="F659" t="inlineStr">
        <is>
          <t>Kommuner</t>
        </is>
      </c>
      <c r="G659" t="n">
        <v>2.7</v>
      </c>
      <c r="H659" t="n">
        <v>0</v>
      </c>
      <c r="I659" t="n">
        <v>0</v>
      </c>
      <c r="J659" t="n">
        <v>0</v>
      </c>
      <c r="K659" t="n">
        <v>0</v>
      </c>
      <c r="L659" t="n">
        <v>0</v>
      </c>
      <c r="M659" t="n">
        <v>0</v>
      </c>
      <c r="N659" t="n">
        <v>0</v>
      </c>
      <c r="O659" t="n">
        <v>0</v>
      </c>
      <c r="P659" t="n">
        <v>0</v>
      </c>
      <c r="Q659" t="n">
        <v>0</v>
      </c>
      <c r="R659" s="2" t="inlineStr"/>
    </row>
    <row r="660" ht="15" customHeight="1">
      <c r="A660" t="inlineStr">
        <is>
          <t>A 13268-2025</t>
        </is>
      </c>
      <c r="B660" s="1" t="n">
        <v>45735</v>
      </c>
      <c r="C660" s="1" t="n">
        <v>45994</v>
      </c>
      <c r="D660" t="inlineStr">
        <is>
          <t>STOCKHOLMS LÄN</t>
        </is>
      </c>
      <c r="E660" t="inlineStr">
        <is>
          <t>NORRTÄLJE</t>
        </is>
      </c>
      <c r="G660" t="n">
        <v>11.4</v>
      </c>
      <c r="H660" t="n">
        <v>0</v>
      </c>
      <c r="I660" t="n">
        <v>0</v>
      </c>
      <c r="J660" t="n">
        <v>0</v>
      </c>
      <c r="K660" t="n">
        <v>0</v>
      </c>
      <c r="L660" t="n">
        <v>0</v>
      </c>
      <c r="M660" t="n">
        <v>0</v>
      </c>
      <c r="N660" t="n">
        <v>0</v>
      </c>
      <c r="O660" t="n">
        <v>0</v>
      </c>
      <c r="P660" t="n">
        <v>0</v>
      </c>
      <c r="Q660" t="n">
        <v>0</v>
      </c>
      <c r="R660" s="2" t="inlineStr"/>
    </row>
    <row r="661" ht="15" customHeight="1">
      <c r="A661" t="inlineStr">
        <is>
          <t>A 24933-2023</t>
        </is>
      </c>
      <c r="B661" s="1" t="n">
        <v>45085.5309375</v>
      </c>
      <c r="C661" s="1" t="n">
        <v>45994</v>
      </c>
      <c r="D661" t="inlineStr">
        <is>
          <t>STOCKHOLMS LÄN</t>
        </is>
      </c>
      <c r="E661" t="inlineStr">
        <is>
          <t>NORRTÄLJE</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1453-2025</t>
        </is>
      </c>
      <c r="B662" s="1" t="n">
        <v>45670.3079050926</v>
      </c>
      <c r="C662" s="1" t="n">
        <v>45994</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8414-2025</t>
        </is>
      </c>
      <c r="B663" s="1" t="n">
        <v>45709.39361111111</v>
      </c>
      <c r="C663" s="1" t="n">
        <v>45994</v>
      </c>
      <c r="D663" t="inlineStr">
        <is>
          <t>STOCKHOLMS LÄN</t>
        </is>
      </c>
      <c r="E663" t="inlineStr">
        <is>
          <t>NORRTÄLJE</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5804-2025</t>
        </is>
      </c>
      <c r="B664" s="1" t="n">
        <v>45694.68207175926</v>
      </c>
      <c r="C664" s="1" t="n">
        <v>45994</v>
      </c>
      <c r="D664" t="inlineStr">
        <is>
          <t>STOCKHOLMS LÄN</t>
        </is>
      </c>
      <c r="E664" t="inlineStr">
        <is>
          <t>NORRTÄLJE</t>
        </is>
      </c>
      <c r="F664" t="inlineStr">
        <is>
          <t>Holmen skog AB</t>
        </is>
      </c>
      <c r="G664" t="n">
        <v>2.6</v>
      </c>
      <c r="H664" t="n">
        <v>0</v>
      </c>
      <c r="I664" t="n">
        <v>0</v>
      </c>
      <c r="J664" t="n">
        <v>0</v>
      </c>
      <c r="K664" t="n">
        <v>0</v>
      </c>
      <c r="L664" t="n">
        <v>0</v>
      </c>
      <c r="M664" t="n">
        <v>0</v>
      </c>
      <c r="N664" t="n">
        <v>0</v>
      </c>
      <c r="O664" t="n">
        <v>0</v>
      </c>
      <c r="P664" t="n">
        <v>0</v>
      </c>
      <c r="Q664" t="n">
        <v>0</v>
      </c>
      <c r="R664" s="2" t="inlineStr"/>
    </row>
    <row r="665" ht="15" customHeight="1">
      <c r="A665" t="inlineStr">
        <is>
          <t>A 56631-2024</t>
        </is>
      </c>
      <c r="B665" s="1" t="n">
        <v>45625</v>
      </c>
      <c r="C665" s="1" t="n">
        <v>45994</v>
      </c>
      <c r="D665" t="inlineStr">
        <is>
          <t>STOCKHOLMS LÄN</t>
        </is>
      </c>
      <c r="E665" t="inlineStr">
        <is>
          <t>NORRTÄLJE</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50907-2022</t>
        </is>
      </c>
      <c r="B666" s="1" t="n">
        <v>44867.62090277778</v>
      </c>
      <c r="C666" s="1" t="n">
        <v>45994</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29003-2023</t>
        </is>
      </c>
      <c r="B667" s="1" t="n">
        <v>45104</v>
      </c>
      <c r="C667" s="1" t="n">
        <v>45994</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652-2025</t>
        </is>
      </c>
      <c r="B668" s="1" t="n">
        <v>45664</v>
      </c>
      <c r="C668" s="1" t="n">
        <v>45994</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33295-2023</t>
        </is>
      </c>
      <c r="B669" s="1" t="n">
        <v>45127.69371527778</v>
      </c>
      <c r="C669" s="1" t="n">
        <v>45994</v>
      </c>
      <c r="D669" t="inlineStr">
        <is>
          <t>STOCKHOLMS LÄN</t>
        </is>
      </c>
      <c r="E669" t="inlineStr">
        <is>
          <t>NORRTÄLJE</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14127-2025</t>
        </is>
      </c>
      <c r="B670" s="1" t="n">
        <v>45740.47055555556</v>
      </c>
      <c r="C670" s="1" t="n">
        <v>45994</v>
      </c>
      <c r="D670" t="inlineStr">
        <is>
          <t>STOCKHOLMS LÄN</t>
        </is>
      </c>
      <c r="E670" t="inlineStr">
        <is>
          <t>NORRTÄLJE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16980-2023</t>
        </is>
      </c>
      <c r="B671" s="1" t="n">
        <v>45033</v>
      </c>
      <c r="C671" s="1" t="n">
        <v>45994</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36625-2024</t>
        </is>
      </c>
      <c r="B672" s="1" t="n">
        <v>45537</v>
      </c>
      <c r="C672" s="1" t="n">
        <v>45994</v>
      </c>
      <c r="D672" t="inlineStr">
        <is>
          <t>STOCKHOLMS LÄN</t>
        </is>
      </c>
      <c r="E672" t="inlineStr">
        <is>
          <t>NORRTÄLJE</t>
        </is>
      </c>
      <c r="G672" t="n">
        <v>3.8</v>
      </c>
      <c r="H672" t="n">
        <v>0</v>
      </c>
      <c r="I672" t="n">
        <v>0</v>
      </c>
      <c r="J672" t="n">
        <v>0</v>
      </c>
      <c r="K672" t="n">
        <v>0</v>
      </c>
      <c r="L672" t="n">
        <v>0</v>
      </c>
      <c r="M672" t="n">
        <v>0</v>
      </c>
      <c r="N672" t="n">
        <v>0</v>
      </c>
      <c r="O672" t="n">
        <v>0</v>
      </c>
      <c r="P672" t="n">
        <v>0</v>
      </c>
      <c r="Q672" t="n">
        <v>0</v>
      </c>
      <c r="R672" s="2" t="inlineStr"/>
    </row>
    <row r="673" ht="15" customHeight="1">
      <c r="A673" t="inlineStr">
        <is>
          <t>A 32595-2023</t>
        </is>
      </c>
      <c r="B673" s="1" t="n">
        <v>45121</v>
      </c>
      <c r="C673" s="1" t="n">
        <v>45994</v>
      </c>
      <c r="D673" t="inlineStr">
        <is>
          <t>STOCKHOLMS LÄN</t>
        </is>
      </c>
      <c r="E673" t="inlineStr">
        <is>
          <t>NORRTÄLJE</t>
        </is>
      </c>
      <c r="G673" t="n">
        <v>2.4</v>
      </c>
      <c r="H673" t="n">
        <v>0</v>
      </c>
      <c r="I673" t="n">
        <v>0</v>
      </c>
      <c r="J673" t="n">
        <v>0</v>
      </c>
      <c r="K673" t="n">
        <v>0</v>
      </c>
      <c r="L673" t="n">
        <v>0</v>
      </c>
      <c r="M673" t="n">
        <v>0</v>
      </c>
      <c r="N673" t="n">
        <v>0</v>
      </c>
      <c r="O673" t="n">
        <v>0</v>
      </c>
      <c r="P673" t="n">
        <v>0</v>
      </c>
      <c r="Q673" t="n">
        <v>0</v>
      </c>
      <c r="R673" s="2" t="inlineStr"/>
    </row>
    <row r="674" ht="15" customHeight="1">
      <c r="A674" t="inlineStr">
        <is>
          <t>A 44891-2023</t>
        </is>
      </c>
      <c r="B674" s="1" t="n">
        <v>45187</v>
      </c>
      <c r="C674" s="1" t="n">
        <v>45994</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12902-2024</t>
        </is>
      </c>
      <c r="B675" s="1" t="n">
        <v>45385.38146990741</v>
      </c>
      <c r="C675" s="1" t="n">
        <v>45994</v>
      </c>
      <c r="D675" t="inlineStr">
        <is>
          <t>STOCKHOLMS LÄN</t>
        </is>
      </c>
      <c r="E675" t="inlineStr">
        <is>
          <t>NORRTÄLJE</t>
        </is>
      </c>
      <c r="G675" t="n">
        <v>3.7</v>
      </c>
      <c r="H675" t="n">
        <v>0</v>
      </c>
      <c r="I675" t="n">
        <v>0</v>
      </c>
      <c r="J675" t="n">
        <v>0</v>
      </c>
      <c r="K675" t="n">
        <v>0</v>
      </c>
      <c r="L675" t="n">
        <v>0</v>
      </c>
      <c r="M675" t="n">
        <v>0</v>
      </c>
      <c r="N675" t="n">
        <v>0</v>
      </c>
      <c r="O675" t="n">
        <v>0</v>
      </c>
      <c r="P675" t="n">
        <v>0</v>
      </c>
      <c r="Q675" t="n">
        <v>0</v>
      </c>
      <c r="R675" s="2" t="inlineStr"/>
    </row>
    <row r="676" ht="15" customHeight="1">
      <c r="A676" t="inlineStr">
        <is>
          <t>A 44032-2024</t>
        </is>
      </c>
      <c r="B676" s="1" t="n">
        <v>45572.57828703704</v>
      </c>
      <c r="C676" s="1" t="n">
        <v>45994</v>
      </c>
      <c r="D676" t="inlineStr">
        <is>
          <t>STOCKHOLMS LÄN</t>
        </is>
      </c>
      <c r="E676" t="inlineStr">
        <is>
          <t>NORRTÄLJE</t>
        </is>
      </c>
      <c r="G676" t="n">
        <v>8.6</v>
      </c>
      <c r="H676" t="n">
        <v>0</v>
      </c>
      <c r="I676" t="n">
        <v>0</v>
      </c>
      <c r="J676" t="n">
        <v>0</v>
      </c>
      <c r="K676" t="n">
        <v>0</v>
      </c>
      <c r="L676" t="n">
        <v>0</v>
      </c>
      <c r="M676" t="n">
        <v>0</v>
      </c>
      <c r="N676" t="n">
        <v>0</v>
      </c>
      <c r="O676" t="n">
        <v>0</v>
      </c>
      <c r="P676" t="n">
        <v>0</v>
      </c>
      <c r="Q676" t="n">
        <v>0</v>
      </c>
      <c r="R676" s="2" t="inlineStr"/>
    </row>
    <row r="677" ht="15" customHeight="1">
      <c r="A677" t="inlineStr">
        <is>
          <t>A 24563-2024</t>
        </is>
      </c>
      <c r="B677" s="1" t="n">
        <v>45460.44347222222</v>
      </c>
      <c r="C677" s="1" t="n">
        <v>45994</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39237-2024</t>
        </is>
      </c>
      <c r="B678" s="1" t="n">
        <v>45549</v>
      </c>
      <c r="C678" s="1" t="n">
        <v>45994</v>
      </c>
      <c r="D678" t="inlineStr">
        <is>
          <t>STOCKHOLMS LÄN</t>
        </is>
      </c>
      <c r="E678" t="inlineStr">
        <is>
          <t>NORRTÄLJE</t>
        </is>
      </c>
      <c r="G678" t="n">
        <v>13.3</v>
      </c>
      <c r="H678" t="n">
        <v>0</v>
      </c>
      <c r="I678" t="n">
        <v>0</v>
      </c>
      <c r="J678" t="n">
        <v>0</v>
      </c>
      <c r="K678" t="n">
        <v>0</v>
      </c>
      <c r="L678" t="n">
        <v>0</v>
      </c>
      <c r="M678" t="n">
        <v>0</v>
      </c>
      <c r="N678" t="n">
        <v>0</v>
      </c>
      <c r="O678" t="n">
        <v>0</v>
      </c>
      <c r="P678" t="n">
        <v>0</v>
      </c>
      <c r="Q678" t="n">
        <v>0</v>
      </c>
      <c r="R678" s="2" t="inlineStr"/>
    </row>
    <row r="679" ht="15" customHeight="1">
      <c r="A679" t="inlineStr">
        <is>
          <t>A 45746-2024</t>
        </is>
      </c>
      <c r="B679" s="1" t="n">
        <v>45579</v>
      </c>
      <c r="C679" s="1" t="n">
        <v>45994</v>
      </c>
      <c r="D679" t="inlineStr">
        <is>
          <t>STOCKHOLMS LÄN</t>
        </is>
      </c>
      <c r="E679" t="inlineStr">
        <is>
          <t>NORRTÄLJE</t>
        </is>
      </c>
      <c r="G679" t="n">
        <v>3.3</v>
      </c>
      <c r="H679" t="n">
        <v>0</v>
      </c>
      <c r="I679" t="n">
        <v>0</v>
      </c>
      <c r="J679" t="n">
        <v>0</v>
      </c>
      <c r="K679" t="n">
        <v>0</v>
      </c>
      <c r="L679" t="n">
        <v>0</v>
      </c>
      <c r="M679" t="n">
        <v>0</v>
      </c>
      <c r="N679" t="n">
        <v>0</v>
      </c>
      <c r="O679" t="n">
        <v>0</v>
      </c>
      <c r="P679" t="n">
        <v>0</v>
      </c>
      <c r="Q679" t="n">
        <v>0</v>
      </c>
      <c r="R679" s="2" t="inlineStr"/>
    </row>
    <row r="680" ht="15" customHeight="1">
      <c r="A680" t="inlineStr">
        <is>
          <t>A 8400-2024</t>
        </is>
      </c>
      <c r="B680" s="1" t="n">
        <v>45352.74090277778</v>
      </c>
      <c r="C680" s="1" t="n">
        <v>45994</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37550-2022</t>
        </is>
      </c>
      <c r="B681" s="1" t="n">
        <v>44809</v>
      </c>
      <c r="C681" s="1" t="n">
        <v>45994</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4484-2025</t>
        </is>
      </c>
      <c r="B682" s="1" t="n">
        <v>45686.65545138889</v>
      </c>
      <c r="C682" s="1" t="n">
        <v>45994</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33878-2024</t>
        </is>
      </c>
      <c r="B683" s="1" t="n">
        <v>45522.44414351852</v>
      </c>
      <c r="C683" s="1" t="n">
        <v>45994</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5389-2025</t>
        </is>
      </c>
      <c r="B684" s="1" t="n">
        <v>45692</v>
      </c>
      <c r="C684" s="1" t="n">
        <v>45994</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9246-2024</t>
        </is>
      </c>
      <c r="B685" s="1" t="n">
        <v>45357</v>
      </c>
      <c r="C685" s="1" t="n">
        <v>45994</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13051-2021</t>
        </is>
      </c>
      <c r="B686" s="1" t="n">
        <v>44272</v>
      </c>
      <c r="C686" s="1" t="n">
        <v>45994</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35698-2023</t>
        </is>
      </c>
      <c r="B687" s="1" t="n">
        <v>45147</v>
      </c>
      <c r="C687" s="1" t="n">
        <v>45994</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62398-2022</t>
        </is>
      </c>
      <c r="B688" s="1" t="n">
        <v>44923.90159722222</v>
      </c>
      <c r="C688" s="1" t="n">
        <v>45994</v>
      </c>
      <c r="D688" t="inlineStr">
        <is>
          <t>STOCKHOLMS LÄN</t>
        </is>
      </c>
      <c r="E688" t="inlineStr">
        <is>
          <t>NORRTÄLJE</t>
        </is>
      </c>
      <c r="G688" t="n">
        <v>4</v>
      </c>
      <c r="H688" t="n">
        <v>0</v>
      </c>
      <c r="I688" t="n">
        <v>0</v>
      </c>
      <c r="J688" t="n">
        <v>0</v>
      </c>
      <c r="K688" t="n">
        <v>0</v>
      </c>
      <c r="L688" t="n">
        <v>0</v>
      </c>
      <c r="M688" t="n">
        <v>0</v>
      </c>
      <c r="N688" t="n">
        <v>0</v>
      </c>
      <c r="O688" t="n">
        <v>0</v>
      </c>
      <c r="P688" t="n">
        <v>0</v>
      </c>
      <c r="Q688" t="n">
        <v>0</v>
      </c>
      <c r="R688" s="2" t="inlineStr"/>
    </row>
    <row r="689" ht="15" customHeight="1">
      <c r="A689" t="inlineStr">
        <is>
          <t>A 48161-2022</t>
        </is>
      </c>
      <c r="B689" s="1" t="n">
        <v>44858</v>
      </c>
      <c r="C689" s="1" t="n">
        <v>45994</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48798-2021</t>
        </is>
      </c>
      <c r="B690" s="1" t="n">
        <v>44452</v>
      </c>
      <c r="C690" s="1" t="n">
        <v>45994</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12111-2021</t>
        </is>
      </c>
      <c r="B691" s="1" t="n">
        <v>44266</v>
      </c>
      <c r="C691" s="1" t="n">
        <v>45994</v>
      </c>
      <c r="D691" t="inlineStr">
        <is>
          <t>STOCKHOLMS LÄN</t>
        </is>
      </c>
      <c r="E691" t="inlineStr">
        <is>
          <t>NORRTÄLJE</t>
        </is>
      </c>
      <c r="G691" t="n">
        <v>5.5</v>
      </c>
      <c r="H691" t="n">
        <v>0</v>
      </c>
      <c r="I691" t="n">
        <v>0</v>
      </c>
      <c r="J691" t="n">
        <v>0</v>
      </c>
      <c r="K691" t="n">
        <v>0</v>
      </c>
      <c r="L691" t="n">
        <v>0</v>
      </c>
      <c r="M691" t="n">
        <v>0</v>
      </c>
      <c r="N691" t="n">
        <v>0</v>
      </c>
      <c r="O691" t="n">
        <v>0</v>
      </c>
      <c r="P691" t="n">
        <v>0</v>
      </c>
      <c r="Q691" t="n">
        <v>0</v>
      </c>
      <c r="R691" s="2" t="inlineStr"/>
    </row>
    <row r="692" ht="15" customHeight="1">
      <c r="A692" t="inlineStr">
        <is>
          <t>A 49700-2023</t>
        </is>
      </c>
      <c r="B692" s="1" t="n">
        <v>45212</v>
      </c>
      <c r="C692" s="1" t="n">
        <v>45994</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54776-2023</t>
        </is>
      </c>
      <c r="B693" s="1" t="n">
        <v>45236.46369212963</v>
      </c>
      <c r="C693" s="1" t="n">
        <v>45994</v>
      </c>
      <c r="D693" t="inlineStr">
        <is>
          <t>STOCKHOLMS LÄN</t>
        </is>
      </c>
      <c r="E693" t="inlineStr">
        <is>
          <t>NORRTÄLJE</t>
        </is>
      </c>
      <c r="G693" t="n">
        <v>0.3</v>
      </c>
      <c r="H693" t="n">
        <v>0</v>
      </c>
      <c r="I693" t="n">
        <v>0</v>
      </c>
      <c r="J693" t="n">
        <v>0</v>
      </c>
      <c r="K693" t="n">
        <v>0</v>
      </c>
      <c r="L693" t="n">
        <v>0</v>
      </c>
      <c r="M693" t="n">
        <v>0</v>
      </c>
      <c r="N693" t="n">
        <v>0</v>
      </c>
      <c r="O693" t="n">
        <v>0</v>
      </c>
      <c r="P693" t="n">
        <v>0</v>
      </c>
      <c r="Q693" t="n">
        <v>0</v>
      </c>
      <c r="R693" s="2" t="inlineStr"/>
    </row>
    <row r="694" ht="15" customHeight="1">
      <c r="A694" t="inlineStr">
        <is>
          <t>A 32071-2023</t>
        </is>
      </c>
      <c r="B694" s="1" t="n">
        <v>45119.57728009259</v>
      </c>
      <c r="C694" s="1" t="n">
        <v>45994</v>
      </c>
      <c r="D694" t="inlineStr">
        <is>
          <t>STOCKHOLMS LÄN</t>
        </is>
      </c>
      <c r="E694" t="inlineStr">
        <is>
          <t>NORRTÄLJE</t>
        </is>
      </c>
      <c r="G694" t="n">
        <v>6.5</v>
      </c>
      <c r="H694" t="n">
        <v>0</v>
      </c>
      <c r="I694" t="n">
        <v>0</v>
      </c>
      <c r="J694" t="n">
        <v>0</v>
      </c>
      <c r="K694" t="n">
        <v>0</v>
      </c>
      <c r="L694" t="n">
        <v>0</v>
      </c>
      <c r="M694" t="n">
        <v>0</v>
      </c>
      <c r="N694" t="n">
        <v>0</v>
      </c>
      <c r="O694" t="n">
        <v>0</v>
      </c>
      <c r="P694" t="n">
        <v>0</v>
      </c>
      <c r="Q694" t="n">
        <v>0</v>
      </c>
      <c r="R694" s="2" t="inlineStr"/>
    </row>
    <row r="695" ht="15" customHeight="1">
      <c r="A695" t="inlineStr">
        <is>
          <t>A 1425-2025</t>
        </is>
      </c>
      <c r="B695" s="1" t="n">
        <v>45668.67446759259</v>
      </c>
      <c r="C695" s="1" t="n">
        <v>45994</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17775-2022</t>
        </is>
      </c>
      <c r="B696" s="1" t="n">
        <v>44682.78430555556</v>
      </c>
      <c r="C696" s="1" t="n">
        <v>45994</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11499-2023</t>
        </is>
      </c>
      <c r="B697" s="1" t="n">
        <v>44993.66707175926</v>
      </c>
      <c r="C697" s="1" t="n">
        <v>45994</v>
      </c>
      <c r="D697" t="inlineStr">
        <is>
          <t>STOCKHOLMS LÄN</t>
        </is>
      </c>
      <c r="E697" t="inlineStr">
        <is>
          <t>NORRTÄLJE</t>
        </is>
      </c>
      <c r="F697" t="inlineStr">
        <is>
          <t>Holmen skog AB</t>
        </is>
      </c>
      <c r="G697" t="n">
        <v>2.8</v>
      </c>
      <c r="H697" t="n">
        <v>0</v>
      </c>
      <c r="I697" t="n">
        <v>0</v>
      </c>
      <c r="J697" t="n">
        <v>0</v>
      </c>
      <c r="K697" t="n">
        <v>0</v>
      </c>
      <c r="L697" t="n">
        <v>0</v>
      </c>
      <c r="M697" t="n">
        <v>0</v>
      </c>
      <c r="N697" t="n">
        <v>0</v>
      </c>
      <c r="O697" t="n">
        <v>0</v>
      </c>
      <c r="P697" t="n">
        <v>0</v>
      </c>
      <c r="Q697" t="n">
        <v>0</v>
      </c>
      <c r="R697" s="2" t="inlineStr"/>
    </row>
    <row r="698" ht="15" customHeight="1">
      <c r="A698" t="inlineStr">
        <is>
          <t>A 57442-2021</t>
        </is>
      </c>
      <c r="B698" s="1" t="n">
        <v>44483</v>
      </c>
      <c r="C698" s="1" t="n">
        <v>45994</v>
      </c>
      <c r="D698" t="inlineStr">
        <is>
          <t>STOCKHOLMS LÄN</t>
        </is>
      </c>
      <c r="E698" t="inlineStr">
        <is>
          <t>NORRTÄLJE</t>
        </is>
      </c>
      <c r="G698" t="n">
        <v>3.3</v>
      </c>
      <c r="H698" t="n">
        <v>0</v>
      </c>
      <c r="I698" t="n">
        <v>0</v>
      </c>
      <c r="J698" t="n">
        <v>0</v>
      </c>
      <c r="K698" t="n">
        <v>0</v>
      </c>
      <c r="L698" t="n">
        <v>0</v>
      </c>
      <c r="M698" t="n">
        <v>0</v>
      </c>
      <c r="N698" t="n">
        <v>0</v>
      </c>
      <c r="O698" t="n">
        <v>0</v>
      </c>
      <c r="P698" t="n">
        <v>0</v>
      </c>
      <c r="Q698" t="n">
        <v>0</v>
      </c>
      <c r="R698" s="2" t="inlineStr"/>
    </row>
    <row r="699" ht="15" customHeight="1">
      <c r="A699" t="inlineStr">
        <is>
          <t>A 55952-2024</t>
        </is>
      </c>
      <c r="B699" s="1" t="n">
        <v>45623.62563657408</v>
      </c>
      <c r="C699" s="1" t="n">
        <v>45994</v>
      </c>
      <c r="D699" t="inlineStr">
        <is>
          <t>STOCKHOLMS LÄN</t>
        </is>
      </c>
      <c r="E699" t="inlineStr">
        <is>
          <t>NORRTÄLJE</t>
        </is>
      </c>
      <c r="F699" t="inlineStr">
        <is>
          <t>Holmen skog AB</t>
        </is>
      </c>
      <c r="G699" t="n">
        <v>2.8</v>
      </c>
      <c r="H699" t="n">
        <v>0</v>
      </c>
      <c r="I699" t="n">
        <v>0</v>
      </c>
      <c r="J699" t="n">
        <v>0</v>
      </c>
      <c r="K699" t="n">
        <v>0</v>
      </c>
      <c r="L699" t="n">
        <v>0</v>
      </c>
      <c r="M699" t="n">
        <v>0</v>
      </c>
      <c r="N699" t="n">
        <v>0</v>
      </c>
      <c r="O699" t="n">
        <v>0</v>
      </c>
      <c r="P699" t="n">
        <v>0</v>
      </c>
      <c r="Q699" t="n">
        <v>0</v>
      </c>
      <c r="R699" s="2" t="inlineStr"/>
    </row>
    <row r="700" ht="15" customHeight="1">
      <c r="A700" t="inlineStr">
        <is>
          <t>A 576-2023</t>
        </is>
      </c>
      <c r="B700" s="1" t="n">
        <v>44925</v>
      </c>
      <c r="C700" s="1" t="n">
        <v>45994</v>
      </c>
      <c r="D700" t="inlineStr">
        <is>
          <t>STOCKHOLMS LÄN</t>
        </is>
      </c>
      <c r="E700" t="inlineStr">
        <is>
          <t>NORRTÄLJE</t>
        </is>
      </c>
      <c r="G700" t="n">
        <v>7.2</v>
      </c>
      <c r="H700" t="n">
        <v>0</v>
      </c>
      <c r="I700" t="n">
        <v>0</v>
      </c>
      <c r="J700" t="n">
        <v>0</v>
      </c>
      <c r="K700" t="n">
        <v>0</v>
      </c>
      <c r="L700" t="n">
        <v>0</v>
      </c>
      <c r="M700" t="n">
        <v>0</v>
      </c>
      <c r="N700" t="n">
        <v>0</v>
      </c>
      <c r="O700" t="n">
        <v>0</v>
      </c>
      <c r="P700" t="n">
        <v>0</v>
      </c>
      <c r="Q700" t="n">
        <v>0</v>
      </c>
      <c r="R700" s="2" t="inlineStr"/>
    </row>
    <row r="701" ht="15" customHeight="1">
      <c r="A701" t="inlineStr">
        <is>
          <t>A 38720-2022</t>
        </is>
      </c>
      <c r="B701" s="1" t="n">
        <v>44815.74539351852</v>
      </c>
      <c r="C701" s="1" t="n">
        <v>45994</v>
      </c>
      <c r="D701" t="inlineStr">
        <is>
          <t>STOCKHOLMS LÄN</t>
        </is>
      </c>
      <c r="E701" t="inlineStr">
        <is>
          <t>NORRTÄLJE</t>
        </is>
      </c>
      <c r="G701" t="n">
        <v>2.5</v>
      </c>
      <c r="H701" t="n">
        <v>0</v>
      </c>
      <c r="I701" t="n">
        <v>0</v>
      </c>
      <c r="J701" t="n">
        <v>0</v>
      </c>
      <c r="K701" t="n">
        <v>0</v>
      </c>
      <c r="L701" t="n">
        <v>0</v>
      </c>
      <c r="M701" t="n">
        <v>0</v>
      </c>
      <c r="N701" t="n">
        <v>0</v>
      </c>
      <c r="O701" t="n">
        <v>0</v>
      </c>
      <c r="P701" t="n">
        <v>0</v>
      </c>
      <c r="Q701" t="n">
        <v>0</v>
      </c>
      <c r="R701" s="2" t="inlineStr"/>
    </row>
    <row r="702" ht="15" customHeight="1">
      <c r="A702" t="inlineStr">
        <is>
          <t>A 8135-2025</t>
        </is>
      </c>
      <c r="B702" s="1" t="n">
        <v>45707.84997685185</v>
      </c>
      <c r="C702" s="1" t="n">
        <v>45994</v>
      </c>
      <c r="D702" t="inlineStr">
        <is>
          <t>STOCKHOLMS LÄN</t>
        </is>
      </c>
      <c r="E702" t="inlineStr">
        <is>
          <t>NORRTÄLJE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3383-2023</t>
        </is>
      </c>
      <c r="B703" s="1" t="n">
        <v>44949</v>
      </c>
      <c r="C703" s="1" t="n">
        <v>45994</v>
      </c>
      <c r="D703" t="inlineStr">
        <is>
          <t>STOCKHOLMS LÄN</t>
        </is>
      </c>
      <c r="E703" t="inlineStr">
        <is>
          <t>NORRTÄLJE</t>
        </is>
      </c>
      <c r="G703" t="n">
        <v>14.6</v>
      </c>
      <c r="H703" t="n">
        <v>0</v>
      </c>
      <c r="I703" t="n">
        <v>0</v>
      </c>
      <c r="J703" t="n">
        <v>0</v>
      </c>
      <c r="K703" t="n">
        <v>0</v>
      </c>
      <c r="L703" t="n">
        <v>0</v>
      </c>
      <c r="M703" t="n">
        <v>0</v>
      </c>
      <c r="N703" t="n">
        <v>0</v>
      </c>
      <c r="O703" t="n">
        <v>0</v>
      </c>
      <c r="P703" t="n">
        <v>0</v>
      </c>
      <c r="Q703" t="n">
        <v>0</v>
      </c>
      <c r="R703" s="2" t="inlineStr"/>
    </row>
    <row r="704" ht="15" customHeight="1">
      <c r="A704" t="inlineStr">
        <is>
          <t>A 10215-2023</t>
        </is>
      </c>
      <c r="B704" s="1" t="n">
        <v>44986.5887962963</v>
      </c>
      <c r="C704" s="1" t="n">
        <v>45994</v>
      </c>
      <c r="D704" t="inlineStr">
        <is>
          <t>STOCKHOLMS LÄN</t>
        </is>
      </c>
      <c r="E704" t="inlineStr">
        <is>
          <t>NORRTÄLJE</t>
        </is>
      </c>
      <c r="G704" t="n">
        <v>6.5</v>
      </c>
      <c r="H704" t="n">
        <v>0</v>
      </c>
      <c r="I704" t="n">
        <v>0</v>
      </c>
      <c r="J704" t="n">
        <v>0</v>
      </c>
      <c r="K704" t="n">
        <v>0</v>
      </c>
      <c r="L704" t="n">
        <v>0</v>
      </c>
      <c r="M704" t="n">
        <v>0</v>
      </c>
      <c r="N704" t="n">
        <v>0</v>
      </c>
      <c r="O704" t="n">
        <v>0</v>
      </c>
      <c r="P704" t="n">
        <v>0</v>
      </c>
      <c r="Q704" t="n">
        <v>0</v>
      </c>
      <c r="R704" s="2" t="inlineStr"/>
    </row>
    <row r="705" ht="15" customHeight="1">
      <c r="A705" t="inlineStr">
        <is>
          <t>A 10678-2025</t>
        </is>
      </c>
      <c r="B705" s="1" t="n">
        <v>45721.89123842592</v>
      </c>
      <c r="C705" s="1" t="n">
        <v>45994</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31936-2022</t>
        </is>
      </c>
      <c r="B706" s="1" t="n">
        <v>44777</v>
      </c>
      <c r="C706" s="1" t="n">
        <v>45994</v>
      </c>
      <c r="D706" t="inlineStr">
        <is>
          <t>STOCKHOLMS LÄN</t>
        </is>
      </c>
      <c r="E706" t="inlineStr">
        <is>
          <t>NORRTÄLJE</t>
        </is>
      </c>
      <c r="G706" t="n">
        <v>5.2</v>
      </c>
      <c r="H706" t="n">
        <v>0</v>
      </c>
      <c r="I706" t="n">
        <v>0</v>
      </c>
      <c r="J706" t="n">
        <v>0</v>
      </c>
      <c r="K706" t="n">
        <v>0</v>
      </c>
      <c r="L706" t="n">
        <v>0</v>
      </c>
      <c r="M706" t="n">
        <v>0</v>
      </c>
      <c r="N706" t="n">
        <v>0</v>
      </c>
      <c r="O706" t="n">
        <v>0</v>
      </c>
      <c r="P706" t="n">
        <v>0</v>
      </c>
      <c r="Q706" t="n">
        <v>0</v>
      </c>
      <c r="R706" s="2" t="inlineStr"/>
    </row>
    <row r="707" ht="15" customHeight="1">
      <c r="A707" t="inlineStr">
        <is>
          <t>A 13148-2021</t>
        </is>
      </c>
      <c r="B707" s="1" t="n">
        <v>44272</v>
      </c>
      <c r="C707" s="1" t="n">
        <v>45994</v>
      </c>
      <c r="D707" t="inlineStr">
        <is>
          <t>STOCKHOLMS LÄN</t>
        </is>
      </c>
      <c r="E707" t="inlineStr">
        <is>
          <t>NORRTÄLJE</t>
        </is>
      </c>
      <c r="G707" t="n">
        <v>12.4</v>
      </c>
      <c r="H707" t="n">
        <v>0</v>
      </c>
      <c r="I707" t="n">
        <v>0</v>
      </c>
      <c r="J707" t="n">
        <v>0</v>
      </c>
      <c r="K707" t="n">
        <v>0</v>
      </c>
      <c r="L707" t="n">
        <v>0</v>
      </c>
      <c r="M707" t="n">
        <v>0</v>
      </c>
      <c r="N707" t="n">
        <v>0</v>
      </c>
      <c r="O707" t="n">
        <v>0</v>
      </c>
      <c r="P707" t="n">
        <v>0</v>
      </c>
      <c r="Q707" t="n">
        <v>0</v>
      </c>
      <c r="R707" s="2" t="inlineStr"/>
    </row>
    <row r="708" ht="15" customHeight="1">
      <c r="A708" t="inlineStr">
        <is>
          <t>A 25609-2023</t>
        </is>
      </c>
      <c r="B708" s="1" t="n">
        <v>45089</v>
      </c>
      <c r="C708" s="1" t="n">
        <v>45994</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21732-2023</t>
        </is>
      </c>
      <c r="B709" s="1" t="n">
        <v>45063</v>
      </c>
      <c r="C709" s="1" t="n">
        <v>45994</v>
      </c>
      <c r="D709" t="inlineStr">
        <is>
          <t>STOCKHOLMS LÄN</t>
        </is>
      </c>
      <c r="E709" t="inlineStr">
        <is>
          <t>NORRTÄLJE</t>
        </is>
      </c>
      <c r="G709" t="n">
        <v>1.7</v>
      </c>
      <c r="H709" t="n">
        <v>0</v>
      </c>
      <c r="I709" t="n">
        <v>0</v>
      </c>
      <c r="J709" t="n">
        <v>0</v>
      </c>
      <c r="K709" t="n">
        <v>0</v>
      </c>
      <c r="L709" t="n">
        <v>0</v>
      </c>
      <c r="M709" t="n">
        <v>0</v>
      </c>
      <c r="N709" t="n">
        <v>0</v>
      </c>
      <c r="O709" t="n">
        <v>0</v>
      </c>
      <c r="P709" t="n">
        <v>0</v>
      </c>
      <c r="Q709" t="n">
        <v>0</v>
      </c>
      <c r="R709" s="2" t="inlineStr"/>
    </row>
    <row r="710" ht="15" customHeight="1">
      <c r="A710" t="inlineStr">
        <is>
          <t>A 23307-2024</t>
        </is>
      </c>
      <c r="B710" s="1" t="n">
        <v>45453</v>
      </c>
      <c r="C710" s="1" t="n">
        <v>45994</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20014-2025</t>
        </is>
      </c>
      <c r="B711" s="1" t="n">
        <v>45772.3078125</v>
      </c>
      <c r="C711" s="1" t="n">
        <v>45994</v>
      </c>
      <c r="D711" t="inlineStr">
        <is>
          <t>STOCKHOLMS LÄN</t>
        </is>
      </c>
      <c r="E711" t="inlineStr">
        <is>
          <t>NORRTÄLJE</t>
        </is>
      </c>
      <c r="G711" t="n">
        <v>4.4</v>
      </c>
      <c r="H711" t="n">
        <v>0</v>
      </c>
      <c r="I711" t="n">
        <v>0</v>
      </c>
      <c r="J711" t="n">
        <v>0</v>
      </c>
      <c r="K711" t="n">
        <v>0</v>
      </c>
      <c r="L711" t="n">
        <v>0</v>
      </c>
      <c r="M711" t="n">
        <v>0</v>
      </c>
      <c r="N711" t="n">
        <v>0</v>
      </c>
      <c r="O711" t="n">
        <v>0</v>
      </c>
      <c r="P711" t="n">
        <v>0</v>
      </c>
      <c r="Q711" t="n">
        <v>0</v>
      </c>
      <c r="R711" s="2" t="inlineStr"/>
    </row>
    <row r="712" ht="15" customHeight="1">
      <c r="A712" t="inlineStr">
        <is>
          <t>A 59873-2024</t>
        </is>
      </c>
      <c r="B712" s="1" t="n">
        <v>45640.57305555556</v>
      </c>
      <c r="C712" s="1" t="n">
        <v>45994</v>
      </c>
      <c r="D712" t="inlineStr">
        <is>
          <t>STOCKHOLMS LÄN</t>
        </is>
      </c>
      <c r="E712" t="inlineStr">
        <is>
          <t>NORRTÄLJE</t>
        </is>
      </c>
      <c r="G712" t="n">
        <v>3.3</v>
      </c>
      <c r="H712" t="n">
        <v>0</v>
      </c>
      <c r="I712" t="n">
        <v>0</v>
      </c>
      <c r="J712" t="n">
        <v>0</v>
      </c>
      <c r="K712" t="n">
        <v>0</v>
      </c>
      <c r="L712" t="n">
        <v>0</v>
      </c>
      <c r="M712" t="n">
        <v>0</v>
      </c>
      <c r="N712" t="n">
        <v>0</v>
      </c>
      <c r="O712" t="n">
        <v>0</v>
      </c>
      <c r="P712" t="n">
        <v>0</v>
      </c>
      <c r="Q712" t="n">
        <v>0</v>
      </c>
      <c r="R712" s="2" t="inlineStr"/>
    </row>
    <row r="713" ht="15" customHeight="1">
      <c r="A713" t="inlineStr">
        <is>
          <t>A 35916-2024</t>
        </is>
      </c>
      <c r="B713" s="1" t="n">
        <v>45533</v>
      </c>
      <c r="C713" s="1" t="n">
        <v>45994</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10098-2022</t>
        </is>
      </c>
      <c r="B714" s="1" t="n">
        <v>44621</v>
      </c>
      <c r="C714" s="1" t="n">
        <v>45994</v>
      </c>
      <c r="D714" t="inlineStr">
        <is>
          <t>STOCKHOLMS LÄN</t>
        </is>
      </c>
      <c r="E714" t="inlineStr">
        <is>
          <t>NORRTÄLJE</t>
        </is>
      </c>
      <c r="G714" t="n">
        <v>2.2</v>
      </c>
      <c r="H714" t="n">
        <v>0</v>
      </c>
      <c r="I714" t="n">
        <v>0</v>
      </c>
      <c r="J714" t="n">
        <v>0</v>
      </c>
      <c r="K714" t="n">
        <v>0</v>
      </c>
      <c r="L714" t="n">
        <v>0</v>
      </c>
      <c r="M714" t="n">
        <v>0</v>
      </c>
      <c r="N714" t="n">
        <v>0</v>
      </c>
      <c r="O714" t="n">
        <v>0</v>
      </c>
      <c r="P714" t="n">
        <v>0</v>
      </c>
      <c r="Q714" t="n">
        <v>0</v>
      </c>
      <c r="R714" s="2" t="inlineStr"/>
    </row>
    <row r="715" ht="15" customHeight="1">
      <c r="A715" t="inlineStr">
        <is>
          <t>A 20136-2025</t>
        </is>
      </c>
      <c r="B715" s="1" t="n">
        <v>45772.51127314815</v>
      </c>
      <c r="C715" s="1" t="n">
        <v>45994</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3386-2021</t>
        </is>
      </c>
      <c r="B716" s="1" t="n">
        <v>44218</v>
      </c>
      <c r="C716" s="1" t="n">
        <v>45994</v>
      </c>
      <c r="D716" t="inlineStr">
        <is>
          <t>STOCKHOLMS LÄN</t>
        </is>
      </c>
      <c r="E716" t="inlineStr">
        <is>
          <t>NORRTÄLJE</t>
        </is>
      </c>
      <c r="G716" t="n">
        <v>8</v>
      </c>
      <c r="H716" t="n">
        <v>0</v>
      </c>
      <c r="I716" t="n">
        <v>0</v>
      </c>
      <c r="J716" t="n">
        <v>0</v>
      </c>
      <c r="K716" t="n">
        <v>0</v>
      </c>
      <c r="L716" t="n">
        <v>0</v>
      </c>
      <c r="M716" t="n">
        <v>0</v>
      </c>
      <c r="N716" t="n">
        <v>0</v>
      </c>
      <c r="O716" t="n">
        <v>0</v>
      </c>
      <c r="P716" t="n">
        <v>0</v>
      </c>
      <c r="Q716" t="n">
        <v>0</v>
      </c>
      <c r="R716" s="2" t="inlineStr"/>
    </row>
    <row r="717" ht="15" customHeight="1">
      <c r="A717" t="inlineStr">
        <is>
          <t>A 63161-2023</t>
        </is>
      </c>
      <c r="B717" s="1" t="n">
        <v>45273</v>
      </c>
      <c r="C717" s="1" t="n">
        <v>45994</v>
      </c>
      <c r="D717" t="inlineStr">
        <is>
          <t>STOCKHOLMS LÄN</t>
        </is>
      </c>
      <c r="E717" t="inlineStr">
        <is>
          <t>NORRTÄLJE</t>
        </is>
      </c>
      <c r="G717" t="n">
        <v>1.6</v>
      </c>
      <c r="H717" t="n">
        <v>0</v>
      </c>
      <c r="I717" t="n">
        <v>0</v>
      </c>
      <c r="J717" t="n">
        <v>0</v>
      </c>
      <c r="K717" t="n">
        <v>0</v>
      </c>
      <c r="L717" t="n">
        <v>0</v>
      </c>
      <c r="M717" t="n">
        <v>0</v>
      </c>
      <c r="N717" t="n">
        <v>0</v>
      </c>
      <c r="O717" t="n">
        <v>0</v>
      </c>
      <c r="P717" t="n">
        <v>0</v>
      </c>
      <c r="Q717" t="n">
        <v>0</v>
      </c>
      <c r="R717" s="2" t="inlineStr"/>
    </row>
    <row r="718" ht="15" customHeight="1">
      <c r="A718" t="inlineStr">
        <is>
          <t>A 37085-2021</t>
        </is>
      </c>
      <c r="B718" s="1" t="n">
        <v>44395</v>
      </c>
      <c r="C718" s="1" t="n">
        <v>45994</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56428-2023</t>
        </is>
      </c>
      <c r="B719" s="1" t="n">
        <v>45243.45289351852</v>
      </c>
      <c r="C719" s="1" t="n">
        <v>45994</v>
      </c>
      <c r="D719" t="inlineStr">
        <is>
          <t>STOCKHOLMS LÄN</t>
        </is>
      </c>
      <c r="E719" t="inlineStr">
        <is>
          <t>NORRTÄLJE</t>
        </is>
      </c>
      <c r="F719" t="inlineStr">
        <is>
          <t>Kyrkan</t>
        </is>
      </c>
      <c r="G719" t="n">
        <v>1.3</v>
      </c>
      <c r="H719" t="n">
        <v>0</v>
      </c>
      <c r="I719" t="n">
        <v>0</v>
      </c>
      <c r="J719" t="n">
        <v>0</v>
      </c>
      <c r="K719" t="n">
        <v>0</v>
      </c>
      <c r="L719" t="n">
        <v>0</v>
      </c>
      <c r="M719" t="n">
        <v>0</v>
      </c>
      <c r="N719" t="n">
        <v>0</v>
      </c>
      <c r="O719" t="n">
        <v>0</v>
      </c>
      <c r="P719" t="n">
        <v>0</v>
      </c>
      <c r="Q719" t="n">
        <v>0</v>
      </c>
      <c r="R719" s="2" t="inlineStr"/>
    </row>
    <row r="720" ht="15" customHeight="1">
      <c r="A720" t="inlineStr">
        <is>
          <t>A 7796-2025</t>
        </is>
      </c>
      <c r="B720" s="1" t="n">
        <v>45706.60130787037</v>
      </c>
      <c r="C720" s="1" t="n">
        <v>45994</v>
      </c>
      <c r="D720" t="inlineStr">
        <is>
          <t>STOCKHOLMS LÄN</t>
        </is>
      </c>
      <c r="E720" t="inlineStr">
        <is>
          <t>NORRTÄLJE</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2287-2024</t>
        </is>
      </c>
      <c r="B721" s="1" t="n">
        <v>45310</v>
      </c>
      <c r="C721" s="1" t="n">
        <v>45994</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13785-2024</t>
        </is>
      </c>
      <c r="B722" s="1" t="n">
        <v>45391.3395949074</v>
      </c>
      <c r="C722" s="1" t="n">
        <v>45994</v>
      </c>
      <c r="D722" t="inlineStr">
        <is>
          <t>STOCKHOLMS LÄN</t>
        </is>
      </c>
      <c r="E722" t="inlineStr">
        <is>
          <t>NORRTÄLJE</t>
        </is>
      </c>
      <c r="G722" t="n">
        <v>5</v>
      </c>
      <c r="H722" t="n">
        <v>0</v>
      </c>
      <c r="I722" t="n">
        <v>0</v>
      </c>
      <c r="J722" t="n">
        <v>0</v>
      </c>
      <c r="K722" t="n">
        <v>0</v>
      </c>
      <c r="L722" t="n">
        <v>0</v>
      </c>
      <c r="M722" t="n">
        <v>0</v>
      </c>
      <c r="N722" t="n">
        <v>0</v>
      </c>
      <c r="O722" t="n">
        <v>0</v>
      </c>
      <c r="P722" t="n">
        <v>0</v>
      </c>
      <c r="Q722" t="n">
        <v>0</v>
      </c>
      <c r="R722" s="2" t="inlineStr"/>
    </row>
    <row r="723" ht="15" customHeight="1">
      <c r="A723" t="inlineStr">
        <is>
          <t>A 15552-2021</t>
        </is>
      </c>
      <c r="B723" s="1" t="n">
        <v>44285</v>
      </c>
      <c r="C723" s="1" t="n">
        <v>45994</v>
      </c>
      <c r="D723" t="inlineStr">
        <is>
          <t>STOCKHOLMS LÄN</t>
        </is>
      </c>
      <c r="E723" t="inlineStr">
        <is>
          <t>NORRTÄLJE</t>
        </is>
      </c>
      <c r="G723" t="n">
        <v>10</v>
      </c>
      <c r="H723" t="n">
        <v>0</v>
      </c>
      <c r="I723" t="n">
        <v>0</v>
      </c>
      <c r="J723" t="n">
        <v>0</v>
      </c>
      <c r="K723" t="n">
        <v>0</v>
      </c>
      <c r="L723" t="n">
        <v>0</v>
      </c>
      <c r="M723" t="n">
        <v>0</v>
      </c>
      <c r="N723" t="n">
        <v>0</v>
      </c>
      <c r="O723" t="n">
        <v>0</v>
      </c>
      <c r="P723" t="n">
        <v>0</v>
      </c>
      <c r="Q723" t="n">
        <v>0</v>
      </c>
      <c r="R723" s="2" t="inlineStr"/>
    </row>
    <row r="724" ht="15" customHeight="1">
      <c r="A724" t="inlineStr">
        <is>
          <t>A 58040-2024</t>
        </is>
      </c>
      <c r="B724" s="1" t="n">
        <v>45631.73952546297</v>
      </c>
      <c r="C724" s="1" t="n">
        <v>45994</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58041-2024</t>
        </is>
      </c>
      <c r="B725" s="1" t="n">
        <v>45631.74673611111</v>
      </c>
      <c r="C725" s="1" t="n">
        <v>45994</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50469-2022</t>
        </is>
      </c>
      <c r="B726" s="1" t="n">
        <v>44866.49827546296</v>
      </c>
      <c r="C726" s="1" t="n">
        <v>45994</v>
      </c>
      <c r="D726" t="inlineStr">
        <is>
          <t>STOCKHOLMS LÄN</t>
        </is>
      </c>
      <c r="E726" t="inlineStr">
        <is>
          <t>NORRTÄLJE</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30268-2024</t>
        </is>
      </c>
      <c r="B727" s="1" t="n">
        <v>45490.60572916667</v>
      </c>
      <c r="C727" s="1" t="n">
        <v>45994</v>
      </c>
      <c r="D727" t="inlineStr">
        <is>
          <t>STOCKHOLMS LÄN</t>
        </is>
      </c>
      <c r="E727" t="inlineStr">
        <is>
          <t>NORRTÄLJE</t>
        </is>
      </c>
      <c r="G727" t="n">
        <v>5.6</v>
      </c>
      <c r="H727" t="n">
        <v>0</v>
      </c>
      <c r="I727" t="n">
        <v>0</v>
      </c>
      <c r="J727" t="n">
        <v>0</v>
      </c>
      <c r="K727" t="n">
        <v>0</v>
      </c>
      <c r="L727" t="n">
        <v>0</v>
      </c>
      <c r="M727" t="n">
        <v>0</v>
      </c>
      <c r="N727" t="n">
        <v>0</v>
      </c>
      <c r="O727" t="n">
        <v>0</v>
      </c>
      <c r="P727" t="n">
        <v>0</v>
      </c>
      <c r="Q727" t="n">
        <v>0</v>
      </c>
      <c r="R727" s="2" t="inlineStr"/>
    </row>
    <row r="728" ht="15" customHeight="1">
      <c r="A728" t="inlineStr">
        <is>
          <t>A 51116-2022</t>
        </is>
      </c>
      <c r="B728" s="1" t="n">
        <v>44868.45741898148</v>
      </c>
      <c r="C728" s="1" t="n">
        <v>45994</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17556-2025</t>
        </is>
      </c>
      <c r="B729" s="1" t="n">
        <v>45757.62482638889</v>
      </c>
      <c r="C729" s="1" t="n">
        <v>45994</v>
      </c>
      <c r="D729" t="inlineStr">
        <is>
          <t>STOCKHOLMS LÄN</t>
        </is>
      </c>
      <c r="E729" t="inlineStr">
        <is>
          <t>NORRTÄLJE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12407-2025</t>
        </is>
      </c>
      <c r="B730" s="1" t="n">
        <v>45730.42851851852</v>
      </c>
      <c r="C730" s="1" t="n">
        <v>45994</v>
      </c>
      <c r="D730" t="inlineStr">
        <is>
          <t>STOCKHOLMS LÄN</t>
        </is>
      </c>
      <c r="E730" t="inlineStr">
        <is>
          <t>NORRTÄLJE</t>
        </is>
      </c>
      <c r="F730" t="inlineStr">
        <is>
          <t>Holmen skog AB</t>
        </is>
      </c>
      <c r="G730" t="n">
        <v>2.6</v>
      </c>
      <c r="H730" t="n">
        <v>0</v>
      </c>
      <c r="I730" t="n">
        <v>0</v>
      </c>
      <c r="J730" t="n">
        <v>0</v>
      </c>
      <c r="K730" t="n">
        <v>0</v>
      </c>
      <c r="L730" t="n">
        <v>0</v>
      </c>
      <c r="M730" t="n">
        <v>0</v>
      </c>
      <c r="N730" t="n">
        <v>0</v>
      </c>
      <c r="O730" t="n">
        <v>0</v>
      </c>
      <c r="P730" t="n">
        <v>0</v>
      </c>
      <c r="Q730" t="n">
        <v>0</v>
      </c>
      <c r="R730" s="2" t="inlineStr"/>
    </row>
    <row r="731" ht="15" customHeight="1">
      <c r="A731" t="inlineStr">
        <is>
          <t>A 19025-2025</t>
        </is>
      </c>
      <c r="B731" s="1" t="n">
        <v>45764.6359837963</v>
      </c>
      <c r="C731" s="1" t="n">
        <v>45994</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54276-2021</t>
        </is>
      </c>
      <c r="B732" s="1" t="n">
        <v>44470</v>
      </c>
      <c r="C732" s="1" t="n">
        <v>45994</v>
      </c>
      <c r="D732" t="inlineStr">
        <is>
          <t>STOCKHOLMS LÄN</t>
        </is>
      </c>
      <c r="E732" t="inlineStr">
        <is>
          <t>NORRTÄLJE</t>
        </is>
      </c>
      <c r="G732" t="n">
        <v>7.3</v>
      </c>
      <c r="H732" t="n">
        <v>0</v>
      </c>
      <c r="I732" t="n">
        <v>0</v>
      </c>
      <c r="J732" t="n">
        <v>0</v>
      </c>
      <c r="K732" t="n">
        <v>0</v>
      </c>
      <c r="L732" t="n">
        <v>0</v>
      </c>
      <c r="M732" t="n">
        <v>0</v>
      </c>
      <c r="N732" t="n">
        <v>0</v>
      </c>
      <c r="O732" t="n">
        <v>0</v>
      </c>
      <c r="P732" t="n">
        <v>0</v>
      </c>
      <c r="Q732" t="n">
        <v>0</v>
      </c>
      <c r="R732" s="2" t="inlineStr"/>
    </row>
    <row r="733" ht="15" customHeight="1">
      <c r="A733" t="inlineStr">
        <is>
          <t>A 4316-2023</t>
        </is>
      </c>
      <c r="B733" s="1" t="n">
        <v>44953.67443287037</v>
      </c>
      <c r="C733" s="1" t="n">
        <v>45994</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41587-2023</t>
        </is>
      </c>
      <c r="B734" s="1" t="n">
        <v>45175</v>
      </c>
      <c r="C734" s="1" t="n">
        <v>45994</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42094-2023</t>
        </is>
      </c>
      <c r="B735" s="1" t="n">
        <v>45177.61498842593</v>
      </c>
      <c r="C735" s="1" t="n">
        <v>45994</v>
      </c>
      <c r="D735" t="inlineStr">
        <is>
          <t>STOCKHOLMS LÄN</t>
        </is>
      </c>
      <c r="E735" t="inlineStr">
        <is>
          <t>NORRTÄLJE</t>
        </is>
      </c>
      <c r="G735" t="n">
        <v>0.3</v>
      </c>
      <c r="H735" t="n">
        <v>0</v>
      </c>
      <c r="I735" t="n">
        <v>0</v>
      </c>
      <c r="J735" t="n">
        <v>0</v>
      </c>
      <c r="K735" t="n">
        <v>0</v>
      </c>
      <c r="L735" t="n">
        <v>0</v>
      </c>
      <c r="M735" t="n">
        <v>0</v>
      </c>
      <c r="N735" t="n">
        <v>0</v>
      </c>
      <c r="O735" t="n">
        <v>0</v>
      </c>
      <c r="P735" t="n">
        <v>0</v>
      </c>
      <c r="Q735" t="n">
        <v>0</v>
      </c>
      <c r="R735" s="2" t="inlineStr"/>
    </row>
    <row r="736" ht="15" customHeight="1">
      <c r="A736" t="inlineStr">
        <is>
          <t>A 60217-2021</t>
        </is>
      </c>
      <c r="B736" s="1" t="n">
        <v>44495.5893287037</v>
      </c>
      <c r="C736" s="1" t="n">
        <v>45994</v>
      </c>
      <c r="D736" t="inlineStr">
        <is>
          <t>STOCKHOLMS LÄN</t>
        </is>
      </c>
      <c r="E736" t="inlineStr">
        <is>
          <t>NORRTÄLJE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5839-2023</t>
        </is>
      </c>
      <c r="B737" s="1" t="n">
        <v>44963</v>
      </c>
      <c r="C737" s="1" t="n">
        <v>45994</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8370-2025</t>
        </is>
      </c>
      <c r="B738" s="1" t="n">
        <v>45708</v>
      </c>
      <c r="C738" s="1" t="n">
        <v>45994</v>
      </c>
      <c r="D738" t="inlineStr">
        <is>
          <t>STOCKHOLMS LÄN</t>
        </is>
      </c>
      <c r="E738" t="inlineStr">
        <is>
          <t>NORRTÄLJE</t>
        </is>
      </c>
      <c r="F738" t="inlineStr">
        <is>
          <t>Övriga Aktiebolag</t>
        </is>
      </c>
      <c r="G738" t="n">
        <v>5.6</v>
      </c>
      <c r="H738" t="n">
        <v>0</v>
      </c>
      <c r="I738" t="n">
        <v>0</v>
      </c>
      <c r="J738" t="n">
        <v>0</v>
      </c>
      <c r="K738" t="n">
        <v>0</v>
      </c>
      <c r="L738" t="n">
        <v>0</v>
      </c>
      <c r="M738" t="n">
        <v>0</v>
      </c>
      <c r="N738" t="n">
        <v>0</v>
      </c>
      <c r="O738" t="n">
        <v>0</v>
      </c>
      <c r="P738" t="n">
        <v>0</v>
      </c>
      <c r="Q738" t="n">
        <v>0</v>
      </c>
      <c r="R738" s="2" t="inlineStr"/>
    </row>
    <row r="739" ht="15" customHeight="1">
      <c r="A739" t="inlineStr">
        <is>
          <t>A 17304-2024</t>
        </is>
      </c>
      <c r="B739" s="1" t="n">
        <v>45414</v>
      </c>
      <c r="C739" s="1" t="n">
        <v>45994</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3299-2022</t>
        </is>
      </c>
      <c r="B740" s="1" t="n">
        <v>44584.91001157407</v>
      </c>
      <c r="C740" s="1" t="n">
        <v>45994</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11280-2023</t>
        </is>
      </c>
      <c r="B741" s="1" t="n">
        <v>44992</v>
      </c>
      <c r="C741" s="1" t="n">
        <v>45994</v>
      </c>
      <c r="D741" t="inlineStr">
        <is>
          <t>STOCKHOLMS LÄN</t>
        </is>
      </c>
      <c r="E741" t="inlineStr">
        <is>
          <t>NORRTÄLJE</t>
        </is>
      </c>
      <c r="G741" t="n">
        <v>0.8</v>
      </c>
      <c r="H741" t="n">
        <v>0</v>
      </c>
      <c r="I741" t="n">
        <v>0</v>
      </c>
      <c r="J741" t="n">
        <v>0</v>
      </c>
      <c r="K741" t="n">
        <v>0</v>
      </c>
      <c r="L741" t="n">
        <v>0</v>
      </c>
      <c r="M741" t="n">
        <v>0</v>
      </c>
      <c r="N741" t="n">
        <v>0</v>
      </c>
      <c r="O741" t="n">
        <v>0</v>
      </c>
      <c r="P741" t="n">
        <v>0</v>
      </c>
      <c r="Q741" t="n">
        <v>0</v>
      </c>
      <c r="R741" s="2" t="inlineStr"/>
    </row>
    <row r="742" ht="15" customHeight="1">
      <c r="A742" t="inlineStr">
        <is>
          <t>A 38985-2022</t>
        </is>
      </c>
      <c r="B742" s="1" t="n">
        <v>44816</v>
      </c>
      <c r="C742" s="1" t="n">
        <v>45994</v>
      </c>
      <c r="D742" t="inlineStr">
        <is>
          <t>STOCKHOLMS LÄN</t>
        </is>
      </c>
      <c r="E742" t="inlineStr">
        <is>
          <t>NORRTÄLJE</t>
        </is>
      </c>
      <c r="G742" t="n">
        <v>10.1</v>
      </c>
      <c r="H742" t="n">
        <v>0</v>
      </c>
      <c r="I742" t="n">
        <v>0</v>
      </c>
      <c r="J742" t="n">
        <v>0</v>
      </c>
      <c r="K742" t="n">
        <v>0</v>
      </c>
      <c r="L742" t="n">
        <v>0</v>
      </c>
      <c r="M742" t="n">
        <v>0</v>
      </c>
      <c r="N742" t="n">
        <v>0</v>
      </c>
      <c r="O742" t="n">
        <v>0</v>
      </c>
      <c r="P742" t="n">
        <v>0</v>
      </c>
      <c r="Q742" t="n">
        <v>0</v>
      </c>
      <c r="R742" s="2" t="inlineStr"/>
    </row>
    <row r="743" ht="15" customHeight="1">
      <c r="A743" t="inlineStr">
        <is>
          <t>A 12348-2025</t>
        </is>
      </c>
      <c r="B743" s="1" t="n">
        <v>45730.35026620371</v>
      </c>
      <c r="C743" s="1" t="n">
        <v>45994</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26668-2024</t>
        </is>
      </c>
      <c r="B744" s="1" t="n">
        <v>45469</v>
      </c>
      <c r="C744" s="1" t="n">
        <v>45994</v>
      </c>
      <c r="D744" t="inlineStr">
        <is>
          <t>STOCKHOLMS LÄN</t>
        </is>
      </c>
      <c r="E744" t="inlineStr">
        <is>
          <t>NORRTÄLJE</t>
        </is>
      </c>
      <c r="G744" t="n">
        <v>4.8</v>
      </c>
      <c r="H744" t="n">
        <v>0</v>
      </c>
      <c r="I744" t="n">
        <v>0</v>
      </c>
      <c r="J744" t="n">
        <v>0</v>
      </c>
      <c r="K744" t="n">
        <v>0</v>
      </c>
      <c r="L744" t="n">
        <v>0</v>
      </c>
      <c r="M744" t="n">
        <v>0</v>
      </c>
      <c r="N744" t="n">
        <v>0</v>
      </c>
      <c r="O744" t="n">
        <v>0</v>
      </c>
      <c r="P744" t="n">
        <v>0</v>
      </c>
      <c r="Q744" t="n">
        <v>0</v>
      </c>
      <c r="R744" s="2" t="inlineStr"/>
    </row>
    <row r="745" ht="15" customHeight="1">
      <c r="A745" t="inlineStr">
        <is>
          <t>A 17545-2025</t>
        </is>
      </c>
      <c r="B745" s="1" t="n">
        <v>45757.60658564815</v>
      </c>
      <c r="C745" s="1" t="n">
        <v>45994</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25094-2023</t>
        </is>
      </c>
      <c r="B746" s="1" t="n">
        <v>45086.3629050926</v>
      </c>
      <c r="C746" s="1" t="n">
        <v>45994</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36157-2024</t>
        </is>
      </c>
      <c r="B747" s="1" t="n">
        <v>45534.38240740741</v>
      </c>
      <c r="C747" s="1" t="n">
        <v>45994</v>
      </c>
      <c r="D747" t="inlineStr">
        <is>
          <t>STOCKHOLMS LÄN</t>
        </is>
      </c>
      <c r="E747" t="inlineStr">
        <is>
          <t>NORRTÄLJE</t>
        </is>
      </c>
      <c r="F747" t="inlineStr">
        <is>
          <t>Övriga Aktiebolag</t>
        </is>
      </c>
      <c r="G747" t="n">
        <v>1.1</v>
      </c>
      <c r="H747" t="n">
        <v>0</v>
      </c>
      <c r="I747" t="n">
        <v>0</v>
      </c>
      <c r="J747" t="n">
        <v>0</v>
      </c>
      <c r="K747" t="n">
        <v>0</v>
      </c>
      <c r="L747" t="n">
        <v>0</v>
      </c>
      <c r="M747" t="n">
        <v>0</v>
      </c>
      <c r="N747" t="n">
        <v>0</v>
      </c>
      <c r="O747" t="n">
        <v>0</v>
      </c>
      <c r="P747" t="n">
        <v>0</v>
      </c>
      <c r="Q747" t="n">
        <v>0</v>
      </c>
      <c r="R747" s="2" t="inlineStr"/>
    </row>
    <row r="748" ht="15" customHeight="1">
      <c r="A748" t="inlineStr">
        <is>
          <t>A 5665-2025</t>
        </is>
      </c>
      <c r="B748" s="1" t="n">
        <v>45693</v>
      </c>
      <c r="C748" s="1" t="n">
        <v>45994</v>
      </c>
      <c r="D748" t="inlineStr">
        <is>
          <t>STOCKHOLMS LÄN</t>
        </is>
      </c>
      <c r="E748" t="inlineStr">
        <is>
          <t>NORRTÄLJE</t>
        </is>
      </c>
      <c r="G748" t="n">
        <v>4</v>
      </c>
      <c r="H748" t="n">
        <v>0</v>
      </c>
      <c r="I748" t="n">
        <v>0</v>
      </c>
      <c r="J748" t="n">
        <v>0</v>
      </c>
      <c r="K748" t="n">
        <v>0</v>
      </c>
      <c r="L748" t="n">
        <v>0</v>
      </c>
      <c r="M748" t="n">
        <v>0</v>
      </c>
      <c r="N748" t="n">
        <v>0</v>
      </c>
      <c r="O748" t="n">
        <v>0</v>
      </c>
      <c r="P748" t="n">
        <v>0</v>
      </c>
      <c r="Q748" t="n">
        <v>0</v>
      </c>
      <c r="R748" s="2" t="inlineStr"/>
    </row>
    <row r="749" ht="15" customHeight="1">
      <c r="A749" t="inlineStr">
        <is>
          <t>A 3426-2025</t>
        </is>
      </c>
      <c r="B749" s="1" t="n">
        <v>45680.42665509259</v>
      </c>
      <c r="C749" s="1" t="n">
        <v>45994</v>
      </c>
      <c r="D749" t="inlineStr">
        <is>
          <t>STOCKHOLMS LÄN</t>
        </is>
      </c>
      <c r="E749" t="inlineStr">
        <is>
          <t>NORRTÄLJE</t>
        </is>
      </c>
      <c r="G749" t="n">
        <v>3.2</v>
      </c>
      <c r="H749" t="n">
        <v>0</v>
      </c>
      <c r="I749" t="n">
        <v>0</v>
      </c>
      <c r="J749" t="n">
        <v>0</v>
      </c>
      <c r="K749" t="n">
        <v>0</v>
      </c>
      <c r="L749" t="n">
        <v>0</v>
      </c>
      <c r="M749" t="n">
        <v>0</v>
      </c>
      <c r="N749" t="n">
        <v>0</v>
      </c>
      <c r="O749" t="n">
        <v>0</v>
      </c>
      <c r="P749" t="n">
        <v>0</v>
      </c>
      <c r="Q749" t="n">
        <v>0</v>
      </c>
      <c r="R749" s="2" t="inlineStr"/>
    </row>
    <row r="750" ht="15" customHeight="1">
      <c r="A750" t="inlineStr">
        <is>
          <t>A 47694-2023</t>
        </is>
      </c>
      <c r="B750" s="1" t="n">
        <v>45203.63303240741</v>
      </c>
      <c r="C750" s="1" t="n">
        <v>45994</v>
      </c>
      <c r="D750" t="inlineStr">
        <is>
          <t>STOCKHOLMS LÄN</t>
        </is>
      </c>
      <c r="E750" t="inlineStr">
        <is>
          <t>NORRTÄLJE</t>
        </is>
      </c>
      <c r="G750" t="n">
        <v>5.2</v>
      </c>
      <c r="H750" t="n">
        <v>0</v>
      </c>
      <c r="I750" t="n">
        <v>0</v>
      </c>
      <c r="J750" t="n">
        <v>0</v>
      </c>
      <c r="K750" t="n">
        <v>0</v>
      </c>
      <c r="L750" t="n">
        <v>0</v>
      </c>
      <c r="M750" t="n">
        <v>0</v>
      </c>
      <c r="N750" t="n">
        <v>0</v>
      </c>
      <c r="O750" t="n">
        <v>0</v>
      </c>
      <c r="P750" t="n">
        <v>0</v>
      </c>
      <c r="Q750" t="n">
        <v>0</v>
      </c>
      <c r="R750" s="2" t="inlineStr"/>
    </row>
    <row r="751" ht="15" customHeight="1">
      <c r="A751" t="inlineStr">
        <is>
          <t>A 31926-2022</t>
        </is>
      </c>
      <c r="B751" s="1" t="n">
        <v>44777</v>
      </c>
      <c r="C751" s="1" t="n">
        <v>45994</v>
      </c>
      <c r="D751" t="inlineStr">
        <is>
          <t>STOCKHOLMS LÄN</t>
        </is>
      </c>
      <c r="E751" t="inlineStr">
        <is>
          <t>NORRTÄLJE</t>
        </is>
      </c>
      <c r="G751" t="n">
        <v>5.2</v>
      </c>
      <c r="H751" t="n">
        <v>0</v>
      </c>
      <c r="I751" t="n">
        <v>0</v>
      </c>
      <c r="J751" t="n">
        <v>0</v>
      </c>
      <c r="K751" t="n">
        <v>0</v>
      </c>
      <c r="L751" t="n">
        <v>0</v>
      </c>
      <c r="M751" t="n">
        <v>0</v>
      </c>
      <c r="N751" t="n">
        <v>0</v>
      </c>
      <c r="O751" t="n">
        <v>0</v>
      </c>
      <c r="P751" t="n">
        <v>0</v>
      </c>
      <c r="Q751" t="n">
        <v>0</v>
      </c>
      <c r="R751" s="2" t="inlineStr"/>
    </row>
    <row r="752" ht="15" customHeight="1">
      <c r="A752" t="inlineStr">
        <is>
          <t>A 35532-2024</t>
        </is>
      </c>
      <c r="B752" s="1" t="n">
        <v>45531</v>
      </c>
      <c r="C752" s="1" t="n">
        <v>45994</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1654-2025</t>
        </is>
      </c>
      <c r="B753" s="1" t="n">
        <v>45670.65921296296</v>
      </c>
      <c r="C753" s="1" t="n">
        <v>45994</v>
      </c>
      <c r="D753" t="inlineStr">
        <is>
          <t>STOCKHOLMS LÄN</t>
        </is>
      </c>
      <c r="E753" t="inlineStr">
        <is>
          <t>NORRTÄLJE</t>
        </is>
      </c>
      <c r="G753" t="n">
        <v>2.5</v>
      </c>
      <c r="H753" t="n">
        <v>0</v>
      </c>
      <c r="I753" t="n">
        <v>0</v>
      </c>
      <c r="J753" t="n">
        <v>0</v>
      </c>
      <c r="K753" t="n">
        <v>0</v>
      </c>
      <c r="L753" t="n">
        <v>0</v>
      </c>
      <c r="M753" t="n">
        <v>0</v>
      </c>
      <c r="N753" t="n">
        <v>0</v>
      </c>
      <c r="O753" t="n">
        <v>0</v>
      </c>
      <c r="P753" t="n">
        <v>0</v>
      </c>
      <c r="Q753" t="n">
        <v>0</v>
      </c>
      <c r="R753" s="2" t="inlineStr"/>
    </row>
    <row r="754" ht="15" customHeight="1">
      <c r="A754" t="inlineStr">
        <is>
          <t>A 62644-2023</t>
        </is>
      </c>
      <c r="B754" s="1" t="n">
        <v>45271</v>
      </c>
      <c r="C754" s="1" t="n">
        <v>45994</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58530-2024</t>
        </is>
      </c>
      <c r="B755" s="1" t="n">
        <v>45635.44788194444</v>
      </c>
      <c r="C755" s="1" t="n">
        <v>45994</v>
      </c>
      <c r="D755" t="inlineStr">
        <is>
          <t>STOCKHOLMS LÄN</t>
        </is>
      </c>
      <c r="E755" t="inlineStr">
        <is>
          <t>NORRTÄLJE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22421-2021</t>
        </is>
      </c>
      <c r="B756" s="1" t="n">
        <v>44326</v>
      </c>
      <c r="C756" s="1" t="n">
        <v>45994</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22816-2021</t>
        </is>
      </c>
      <c r="B757" s="1" t="n">
        <v>44325</v>
      </c>
      <c r="C757" s="1" t="n">
        <v>45994</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21480-2022</t>
        </is>
      </c>
      <c r="B758" s="1" t="n">
        <v>44704</v>
      </c>
      <c r="C758" s="1" t="n">
        <v>45994</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11041-2025</t>
        </is>
      </c>
      <c r="B759" s="1" t="n">
        <v>45723</v>
      </c>
      <c r="C759" s="1" t="n">
        <v>45994</v>
      </c>
      <c r="D759" t="inlineStr">
        <is>
          <t>STOCKHOLMS LÄN</t>
        </is>
      </c>
      <c r="E759" t="inlineStr">
        <is>
          <t>NORRTÄLJE</t>
        </is>
      </c>
      <c r="F759" t="inlineStr">
        <is>
          <t>Övriga Aktiebolag</t>
        </is>
      </c>
      <c r="G759" t="n">
        <v>1.8</v>
      </c>
      <c r="H759" t="n">
        <v>0</v>
      </c>
      <c r="I759" t="n">
        <v>0</v>
      </c>
      <c r="J759" t="n">
        <v>0</v>
      </c>
      <c r="K759" t="n">
        <v>0</v>
      </c>
      <c r="L759" t="n">
        <v>0</v>
      </c>
      <c r="M759" t="n">
        <v>0</v>
      </c>
      <c r="N759" t="n">
        <v>0</v>
      </c>
      <c r="O759" t="n">
        <v>0</v>
      </c>
      <c r="P759" t="n">
        <v>0</v>
      </c>
      <c r="Q759" t="n">
        <v>0</v>
      </c>
      <c r="R759" s="2" t="inlineStr"/>
    </row>
    <row r="760" ht="15" customHeight="1">
      <c r="A760" t="inlineStr">
        <is>
          <t>A 9469-2021</t>
        </is>
      </c>
      <c r="B760" s="1" t="n">
        <v>44251</v>
      </c>
      <c r="C760" s="1" t="n">
        <v>45994</v>
      </c>
      <c r="D760" t="inlineStr">
        <is>
          <t>STOCKHOLMS LÄN</t>
        </is>
      </c>
      <c r="E760" t="inlineStr">
        <is>
          <t>NORRTÄLJE</t>
        </is>
      </c>
      <c r="G760" t="n">
        <v>2.5</v>
      </c>
      <c r="H760" t="n">
        <v>0</v>
      </c>
      <c r="I760" t="n">
        <v>0</v>
      </c>
      <c r="J760" t="n">
        <v>0</v>
      </c>
      <c r="K760" t="n">
        <v>0</v>
      </c>
      <c r="L760" t="n">
        <v>0</v>
      </c>
      <c r="M760" t="n">
        <v>0</v>
      </c>
      <c r="N760" t="n">
        <v>0</v>
      </c>
      <c r="O760" t="n">
        <v>0</v>
      </c>
      <c r="P760" t="n">
        <v>0</v>
      </c>
      <c r="Q760" t="n">
        <v>0</v>
      </c>
      <c r="R760" s="2" t="inlineStr"/>
    </row>
    <row r="761" ht="15" customHeight="1">
      <c r="A761" t="inlineStr">
        <is>
          <t>A 24024-2024</t>
        </is>
      </c>
      <c r="B761" s="1" t="n">
        <v>45456</v>
      </c>
      <c r="C761" s="1" t="n">
        <v>45994</v>
      </c>
      <c r="D761" t="inlineStr">
        <is>
          <t>STOCKHOLMS LÄN</t>
        </is>
      </c>
      <c r="E761" t="inlineStr">
        <is>
          <t>NORRTÄLJE</t>
        </is>
      </c>
      <c r="G761" t="n">
        <v>1.9</v>
      </c>
      <c r="H761" t="n">
        <v>0</v>
      </c>
      <c r="I761" t="n">
        <v>0</v>
      </c>
      <c r="J761" t="n">
        <v>0</v>
      </c>
      <c r="K761" t="n">
        <v>0</v>
      </c>
      <c r="L761" t="n">
        <v>0</v>
      </c>
      <c r="M761" t="n">
        <v>0</v>
      </c>
      <c r="N761" t="n">
        <v>0</v>
      </c>
      <c r="O761" t="n">
        <v>0</v>
      </c>
      <c r="P761" t="n">
        <v>0</v>
      </c>
      <c r="Q761" t="n">
        <v>0</v>
      </c>
      <c r="R761" s="2" t="inlineStr"/>
    </row>
    <row r="762" ht="15" customHeight="1">
      <c r="A762" t="inlineStr">
        <is>
          <t>A 40761-2024</t>
        </is>
      </c>
      <c r="B762" s="1" t="n">
        <v>45558.46283564815</v>
      </c>
      <c r="C762" s="1" t="n">
        <v>45994</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28809-2023</t>
        </is>
      </c>
      <c r="B763" s="1" t="n">
        <v>45104</v>
      </c>
      <c r="C763" s="1" t="n">
        <v>45994</v>
      </c>
      <c r="D763" t="inlineStr">
        <is>
          <t>STOCKHOLMS LÄN</t>
        </is>
      </c>
      <c r="E763" t="inlineStr">
        <is>
          <t>NORRTÄLJE</t>
        </is>
      </c>
      <c r="G763" t="n">
        <v>1.8</v>
      </c>
      <c r="H763" t="n">
        <v>0</v>
      </c>
      <c r="I763" t="n">
        <v>0</v>
      </c>
      <c r="J763" t="n">
        <v>0</v>
      </c>
      <c r="K763" t="n">
        <v>0</v>
      </c>
      <c r="L763" t="n">
        <v>0</v>
      </c>
      <c r="M763" t="n">
        <v>0</v>
      </c>
      <c r="N763" t="n">
        <v>0</v>
      </c>
      <c r="O763" t="n">
        <v>0</v>
      </c>
      <c r="P763" t="n">
        <v>0</v>
      </c>
      <c r="Q763" t="n">
        <v>0</v>
      </c>
      <c r="R763" s="2" t="inlineStr"/>
    </row>
    <row r="764" ht="15" customHeight="1">
      <c r="A764" t="inlineStr">
        <is>
          <t>A 28813-2023</t>
        </is>
      </c>
      <c r="B764" s="1" t="n">
        <v>45104</v>
      </c>
      <c r="C764" s="1" t="n">
        <v>45994</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40656-2022</t>
        </is>
      </c>
      <c r="B765" s="1" t="n">
        <v>44824.36069444445</v>
      </c>
      <c r="C765" s="1" t="n">
        <v>45994</v>
      </c>
      <c r="D765" t="inlineStr">
        <is>
          <t>STOCKHOLMS LÄN</t>
        </is>
      </c>
      <c r="E765" t="inlineStr">
        <is>
          <t>NORRTÄLJE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60694-2024</t>
        </is>
      </c>
      <c r="B766" s="1" t="n">
        <v>45644.47878472223</v>
      </c>
      <c r="C766" s="1" t="n">
        <v>45994</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4553-2023</t>
        </is>
      </c>
      <c r="B767" s="1" t="n">
        <v>44956.65920138889</v>
      </c>
      <c r="C767" s="1" t="n">
        <v>45994</v>
      </c>
      <c r="D767" t="inlineStr">
        <is>
          <t>STOCKHOLMS LÄN</t>
        </is>
      </c>
      <c r="E767" t="inlineStr">
        <is>
          <t>NORRTÄLJE</t>
        </is>
      </c>
      <c r="G767" t="n">
        <v>7.5</v>
      </c>
      <c r="H767" t="n">
        <v>0</v>
      </c>
      <c r="I767" t="n">
        <v>0</v>
      </c>
      <c r="J767" t="n">
        <v>0</v>
      </c>
      <c r="K767" t="n">
        <v>0</v>
      </c>
      <c r="L767" t="n">
        <v>0</v>
      </c>
      <c r="M767" t="n">
        <v>0</v>
      </c>
      <c r="N767" t="n">
        <v>0</v>
      </c>
      <c r="O767" t="n">
        <v>0</v>
      </c>
      <c r="P767" t="n">
        <v>0</v>
      </c>
      <c r="Q767" t="n">
        <v>0</v>
      </c>
      <c r="R767" s="2" t="inlineStr"/>
    </row>
    <row r="768" ht="15" customHeight="1">
      <c r="A768" t="inlineStr">
        <is>
          <t>A 4593-2023</t>
        </is>
      </c>
      <c r="B768" s="1" t="n">
        <v>44956</v>
      </c>
      <c r="C768" s="1" t="n">
        <v>45994</v>
      </c>
      <c r="D768" t="inlineStr">
        <is>
          <t>STOCKHOLMS LÄN</t>
        </is>
      </c>
      <c r="E768" t="inlineStr">
        <is>
          <t>NORRTÄLJE</t>
        </is>
      </c>
      <c r="G768" t="n">
        <v>0.4</v>
      </c>
      <c r="H768" t="n">
        <v>0</v>
      </c>
      <c r="I768" t="n">
        <v>0</v>
      </c>
      <c r="J768" t="n">
        <v>0</v>
      </c>
      <c r="K768" t="n">
        <v>0</v>
      </c>
      <c r="L768" t="n">
        <v>0</v>
      </c>
      <c r="M768" t="n">
        <v>0</v>
      </c>
      <c r="N768" t="n">
        <v>0</v>
      </c>
      <c r="O768" t="n">
        <v>0</v>
      </c>
      <c r="P768" t="n">
        <v>0</v>
      </c>
      <c r="Q768" t="n">
        <v>0</v>
      </c>
      <c r="R768" s="2" t="inlineStr"/>
    </row>
    <row r="769" ht="15" customHeight="1">
      <c r="A769" t="inlineStr">
        <is>
          <t>A 13171-2025</t>
        </is>
      </c>
      <c r="B769" s="1" t="n">
        <v>45735.36594907408</v>
      </c>
      <c r="C769" s="1" t="n">
        <v>45994</v>
      </c>
      <c r="D769" t="inlineStr">
        <is>
          <t>STOCKHOLMS LÄN</t>
        </is>
      </c>
      <c r="E769" t="inlineStr">
        <is>
          <t>NORRTÄLJE</t>
        </is>
      </c>
      <c r="G769" t="n">
        <v>5.1</v>
      </c>
      <c r="H769" t="n">
        <v>0</v>
      </c>
      <c r="I769" t="n">
        <v>0</v>
      </c>
      <c r="J769" t="n">
        <v>0</v>
      </c>
      <c r="K769" t="n">
        <v>0</v>
      </c>
      <c r="L769" t="n">
        <v>0</v>
      </c>
      <c r="M769" t="n">
        <v>0</v>
      </c>
      <c r="N769" t="n">
        <v>0</v>
      </c>
      <c r="O769" t="n">
        <v>0</v>
      </c>
      <c r="P769" t="n">
        <v>0</v>
      </c>
      <c r="Q769" t="n">
        <v>0</v>
      </c>
      <c r="R769" s="2" t="inlineStr"/>
    </row>
    <row r="770" ht="15" customHeight="1">
      <c r="A770" t="inlineStr">
        <is>
          <t>A 51978-2023</t>
        </is>
      </c>
      <c r="B770" s="1" t="n">
        <v>45223</v>
      </c>
      <c r="C770" s="1" t="n">
        <v>45994</v>
      </c>
      <c r="D770" t="inlineStr">
        <is>
          <t>STOCKHOLMS LÄN</t>
        </is>
      </c>
      <c r="E770" t="inlineStr">
        <is>
          <t>NORRTÄLJE</t>
        </is>
      </c>
      <c r="G770" t="n">
        <v>1.9</v>
      </c>
      <c r="H770" t="n">
        <v>0</v>
      </c>
      <c r="I770" t="n">
        <v>0</v>
      </c>
      <c r="J770" t="n">
        <v>0</v>
      </c>
      <c r="K770" t="n">
        <v>0</v>
      </c>
      <c r="L770" t="n">
        <v>0</v>
      </c>
      <c r="M770" t="n">
        <v>0</v>
      </c>
      <c r="N770" t="n">
        <v>0</v>
      </c>
      <c r="O770" t="n">
        <v>0</v>
      </c>
      <c r="P770" t="n">
        <v>0</v>
      </c>
      <c r="Q770" t="n">
        <v>0</v>
      </c>
      <c r="R770" s="2" t="inlineStr"/>
    </row>
    <row r="771" ht="15" customHeight="1">
      <c r="A771" t="inlineStr">
        <is>
          <t>A 18092-2022</t>
        </is>
      </c>
      <c r="B771" s="1" t="n">
        <v>44684</v>
      </c>
      <c r="C771" s="1" t="n">
        <v>45994</v>
      </c>
      <c r="D771" t="inlineStr">
        <is>
          <t>STOCKHOLMS LÄN</t>
        </is>
      </c>
      <c r="E771" t="inlineStr">
        <is>
          <t>NORRTÄLJE</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67921-2021</t>
        </is>
      </c>
      <c r="B772" s="1" t="n">
        <v>44525</v>
      </c>
      <c r="C772" s="1" t="n">
        <v>45994</v>
      </c>
      <c r="D772" t="inlineStr">
        <is>
          <t>STOCKHOLMS LÄN</t>
        </is>
      </c>
      <c r="E772" t="inlineStr">
        <is>
          <t>NORRTÄLJE</t>
        </is>
      </c>
      <c r="G772" t="n">
        <v>6.3</v>
      </c>
      <c r="H772" t="n">
        <v>0</v>
      </c>
      <c r="I772" t="n">
        <v>0</v>
      </c>
      <c r="J772" t="n">
        <v>0</v>
      </c>
      <c r="K772" t="n">
        <v>0</v>
      </c>
      <c r="L772" t="n">
        <v>0</v>
      </c>
      <c r="M772" t="n">
        <v>0</v>
      </c>
      <c r="N772" t="n">
        <v>0</v>
      </c>
      <c r="O772" t="n">
        <v>0</v>
      </c>
      <c r="P772" t="n">
        <v>0</v>
      </c>
      <c r="Q772" t="n">
        <v>0</v>
      </c>
      <c r="R772" s="2" t="inlineStr"/>
    </row>
    <row r="773" ht="15" customHeight="1">
      <c r="A773" t="inlineStr">
        <is>
          <t>A 59310-2023</t>
        </is>
      </c>
      <c r="B773" s="1" t="n">
        <v>45253.61146990741</v>
      </c>
      <c r="C773" s="1" t="n">
        <v>45994</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62998-2023</t>
        </is>
      </c>
      <c r="B774" s="1" t="n">
        <v>45272.64479166667</v>
      </c>
      <c r="C774" s="1" t="n">
        <v>45994</v>
      </c>
      <c r="D774" t="inlineStr">
        <is>
          <t>STOCKHOLMS LÄN</t>
        </is>
      </c>
      <c r="E774" t="inlineStr">
        <is>
          <t>NORRTÄLJE</t>
        </is>
      </c>
      <c r="G774" t="n">
        <v>16.3</v>
      </c>
      <c r="H774" t="n">
        <v>0</v>
      </c>
      <c r="I774" t="n">
        <v>0</v>
      </c>
      <c r="J774" t="n">
        <v>0</v>
      </c>
      <c r="K774" t="n">
        <v>0</v>
      </c>
      <c r="L774" t="n">
        <v>0</v>
      </c>
      <c r="M774" t="n">
        <v>0</v>
      </c>
      <c r="N774" t="n">
        <v>0</v>
      </c>
      <c r="O774" t="n">
        <v>0</v>
      </c>
      <c r="P774" t="n">
        <v>0</v>
      </c>
      <c r="Q774" t="n">
        <v>0</v>
      </c>
      <c r="R774" s="2" t="inlineStr"/>
    </row>
    <row r="775" ht="15" customHeight="1">
      <c r="A775" t="inlineStr">
        <is>
          <t>A 63015-2023</t>
        </is>
      </c>
      <c r="B775" s="1" t="n">
        <v>45272</v>
      </c>
      <c r="C775" s="1" t="n">
        <v>45994</v>
      </c>
      <c r="D775" t="inlineStr">
        <is>
          <t>STOCKHOLMS LÄN</t>
        </is>
      </c>
      <c r="E775" t="inlineStr">
        <is>
          <t>NORRTÄLJE</t>
        </is>
      </c>
      <c r="G775" t="n">
        <v>13.1</v>
      </c>
      <c r="H775" t="n">
        <v>0</v>
      </c>
      <c r="I775" t="n">
        <v>0</v>
      </c>
      <c r="J775" t="n">
        <v>0</v>
      </c>
      <c r="K775" t="n">
        <v>0</v>
      </c>
      <c r="L775" t="n">
        <v>0</v>
      </c>
      <c r="M775" t="n">
        <v>0</v>
      </c>
      <c r="N775" t="n">
        <v>0</v>
      </c>
      <c r="O775" t="n">
        <v>0</v>
      </c>
      <c r="P775" t="n">
        <v>0</v>
      </c>
      <c r="Q775" t="n">
        <v>0</v>
      </c>
      <c r="R775" s="2" t="inlineStr"/>
    </row>
    <row r="776" ht="15" customHeight="1">
      <c r="A776" t="inlineStr">
        <is>
          <t>A 27831-2024</t>
        </is>
      </c>
      <c r="B776" s="1" t="n">
        <v>45475.61896990741</v>
      </c>
      <c r="C776" s="1" t="n">
        <v>45994</v>
      </c>
      <c r="D776" t="inlineStr">
        <is>
          <t>STOCKHOLMS LÄN</t>
        </is>
      </c>
      <c r="E776" t="inlineStr">
        <is>
          <t>NORRTÄLJE</t>
        </is>
      </c>
      <c r="G776" t="n">
        <v>3.8</v>
      </c>
      <c r="H776" t="n">
        <v>0</v>
      </c>
      <c r="I776" t="n">
        <v>0</v>
      </c>
      <c r="J776" t="n">
        <v>0</v>
      </c>
      <c r="K776" t="n">
        <v>0</v>
      </c>
      <c r="L776" t="n">
        <v>0</v>
      </c>
      <c r="M776" t="n">
        <v>0</v>
      </c>
      <c r="N776" t="n">
        <v>0</v>
      </c>
      <c r="O776" t="n">
        <v>0</v>
      </c>
      <c r="P776" t="n">
        <v>0</v>
      </c>
      <c r="Q776" t="n">
        <v>0</v>
      </c>
      <c r="R776" s="2" t="inlineStr"/>
    </row>
    <row r="777" ht="15" customHeight="1">
      <c r="A777" t="inlineStr">
        <is>
          <t>A 9329-2023</t>
        </is>
      </c>
      <c r="B777" s="1" t="n">
        <v>44980</v>
      </c>
      <c r="C777" s="1" t="n">
        <v>45994</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59878-2024</t>
        </is>
      </c>
      <c r="B778" s="1" t="n">
        <v>45640.60240740741</v>
      </c>
      <c r="C778" s="1" t="n">
        <v>45994</v>
      </c>
      <c r="D778" t="inlineStr">
        <is>
          <t>STOCKHOLMS LÄN</t>
        </is>
      </c>
      <c r="E778" t="inlineStr">
        <is>
          <t>NORRTÄLJE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19450-2025</t>
        </is>
      </c>
      <c r="B779" s="1" t="n">
        <v>45770</v>
      </c>
      <c r="C779" s="1" t="n">
        <v>45994</v>
      </c>
      <c r="D779" t="inlineStr">
        <is>
          <t>STOCKHOLMS LÄN</t>
        </is>
      </c>
      <c r="E779" t="inlineStr">
        <is>
          <t>NORRTÄLJE</t>
        </is>
      </c>
      <c r="G779" t="n">
        <v>5.3</v>
      </c>
      <c r="H779" t="n">
        <v>0</v>
      </c>
      <c r="I779" t="n">
        <v>0</v>
      </c>
      <c r="J779" t="n">
        <v>0</v>
      </c>
      <c r="K779" t="n">
        <v>0</v>
      </c>
      <c r="L779" t="n">
        <v>0</v>
      </c>
      <c r="M779" t="n">
        <v>0</v>
      </c>
      <c r="N779" t="n">
        <v>0</v>
      </c>
      <c r="O779" t="n">
        <v>0</v>
      </c>
      <c r="P779" t="n">
        <v>0</v>
      </c>
      <c r="Q779" t="n">
        <v>0</v>
      </c>
      <c r="R779" s="2" t="inlineStr"/>
    </row>
    <row r="780" ht="15" customHeight="1">
      <c r="A780" t="inlineStr">
        <is>
          <t>A 41335-2023</t>
        </is>
      </c>
      <c r="B780" s="1" t="n">
        <v>45174.68702546296</v>
      </c>
      <c r="C780" s="1" t="n">
        <v>45994</v>
      </c>
      <c r="D780" t="inlineStr">
        <is>
          <t>STOCKHOLMS LÄN</t>
        </is>
      </c>
      <c r="E780" t="inlineStr">
        <is>
          <t>NORRTÄLJE</t>
        </is>
      </c>
      <c r="F780" t="inlineStr">
        <is>
          <t>Holmen skog AB</t>
        </is>
      </c>
      <c r="G780" t="n">
        <v>4.4</v>
      </c>
      <c r="H780" t="n">
        <v>0</v>
      </c>
      <c r="I780" t="n">
        <v>0</v>
      </c>
      <c r="J780" t="n">
        <v>0</v>
      </c>
      <c r="K780" t="n">
        <v>0</v>
      </c>
      <c r="L780" t="n">
        <v>0</v>
      </c>
      <c r="M780" t="n">
        <v>0</v>
      </c>
      <c r="N780" t="n">
        <v>0</v>
      </c>
      <c r="O780" t="n">
        <v>0</v>
      </c>
      <c r="P780" t="n">
        <v>0</v>
      </c>
      <c r="Q780" t="n">
        <v>0</v>
      </c>
      <c r="R780" s="2" t="inlineStr"/>
    </row>
    <row r="781" ht="15" customHeight="1">
      <c r="A781" t="inlineStr">
        <is>
          <t>A 33175-2024</t>
        </is>
      </c>
      <c r="B781" s="1" t="n">
        <v>45518</v>
      </c>
      <c r="C781" s="1" t="n">
        <v>45994</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33040-2021</t>
        </is>
      </c>
      <c r="B782" s="1" t="n">
        <v>44376.50728009259</v>
      </c>
      <c r="C782" s="1" t="n">
        <v>45994</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33053-2021</t>
        </is>
      </c>
      <c r="B783" s="1" t="n">
        <v>44376</v>
      </c>
      <c r="C783" s="1" t="n">
        <v>45994</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65499-2021</t>
        </is>
      </c>
      <c r="B784" s="1" t="n">
        <v>44516</v>
      </c>
      <c r="C784" s="1" t="n">
        <v>45994</v>
      </c>
      <c r="D784" t="inlineStr">
        <is>
          <t>STOCKHOLMS LÄN</t>
        </is>
      </c>
      <c r="E784" t="inlineStr">
        <is>
          <t>NORRTÄLJE</t>
        </is>
      </c>
      <c r="F784" t="inlineStr">
        <is>
          <t>Kommuner</t>
        </is>
      </c>
      <c r="G784" t="n">
        <v>5.2</v>
      </c>
      <c r="H784" t="n">
        <v>0</v>
      </c>
      <c r="I784" t="n">
        <v>0</v>
      </c>
      <c r="J784" t="n">
        <v>0</v>
      </c>
      <c r="K784" t="n">
        <v>0</v>
      </c>
      <c r="L784" t="n">
        <v>0</v>
      </c>
      <c r="M784" t="n">
        <v>0</v>
      </c>
      <c r="N784" t="n">
        <v>0</v>
      </c>
      <c r="O784" t="n">
        <v>0</v>
      </c>
      <c r="P784" t="n">
        <v>0</v>
      </c>
      <c r="Q784" t="n">
        <v>0</v>
      </c>
      <c r="R784" s="2" t="inlineStr"/>
    </row>
    <row r="785" ht="15" customHeight="1">
      <c r="A785" t="inlineStr">
        <is>
          <t>A 43150-2023</t>
        </is>
      </c>
      <c r="B785" s="1" t="n">
        <v>45183</v>
      </c>
      <c r="C785" s="1" t="n">
        <v>45994</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5950-2021</t>
        </is>
      </c>
      <c r="B786" s="1" t="n">
        <v>44231</v>
      </c>
      <c r="C786" s="1" t="n">
        <v>45994</v>
      </c>
      <c r="D786" t="inlineStr">
        <is>
          <t>STOCKHOLMS LÄN</t>
        </is>
      </c>
      <c r="E786" t="inlineStr">
        <is>
          <t>NORRTÄLJE</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54259-2023</t>
        </is>
      </c>
      <c r="B787" s="1" t="n">
        <v>45232</v>
      </c>
      <c r="C787" s="1" t="n">
        <v>45994</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21803-2022</t>
        </is>
      </c>
      <c r="B788" s="1" t="n">
        <v>44708.67822916667</v>
      </c>
      <c r="C788" s="1" t="n">
        <v>45994</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60822-2023</t>
        </is>
      </c>
      <c r="B789" s="1" t="n">
        <v>45259</v>
      </c>
      <c r="C789" s="1" t="n">
        <v>45994</v>
      </c>
      <c r="D789" t="inlineStr">
        <is>
          <t>STOCKHOLMS LÄN</t>
        </is>
      </c>
      <c r="E789" t="inlineStr">
        <is>
          <t>NORRTÄLJE</t>
        </is>
      </c>
      <c r="G789" t="n">
        <v>5.2</v>
      </c>
      <c r="H789" t="n">
        <v>0</v>
      </c>
      <c r="I789" t="n">
        <v>0</v>
      </c>
      <c r="J789" t="n">
        <v>0</v>
      </c>
      <c r="K789" t="n">
        <v>0</v>
      </c>
      <c r="L789" t="n">
        <v>0</v>
      </c>
      <c r="M789" t="n">
        <v>0</v>
      </c>
      <c r="N789" t="n">
        <v>0</v>
      </c>
      <c r="O789" t="n">
        <v>0</v>
      </c>
      <c r="P789" t="n">
        <v>0</v>
      </c>
      <c r="Q789" t="n">
        <v>0</v>
      </c>
      <c r="R789" s="2" t="inlineStr"/>
    </row>
    <row r="790" ht="15" customHeight="1">
      <c r="A790" t="inlineStr">
        <is>
          <t>A 20730-2024</t>
        </is>
      </c>
      <c r="B790" s="1" t="n">
        <v>45436</v>
      </c>
      <c r="C790" s="1" t="n">
        <v>45994</v>
      </c>
      <c r="D790" t="inlineStr">
        <is>
          <t>STOCKHOLMS LÄN</t>
        </is>
      </c>
      <c r="E790" t="inlineStr">
        <is>
          <t>NORRTÄLJE</t>
        </is>
      </c>
      <c r="G790" t="n">
        <v>7.3</v>
      </c>
      <c r="H790" t="n">
        <v>0</v>
      </c>
      <c r="I790" t="n">
        <v>0</v>
      </c>
      <c r="J790" t="n">
        <v>0</v>
      </c>
      <c r="K790" t="n">
        <v>0</v>
      </c>
      <c r="L790" t="n">
        <v>0</v>
      </c>
      <c r="M790" t="n">
        <v>0</v>
      </c>
      <c r="N790" t="n">
        <v>0</v>
      </c>
      <c r="O790" t="n">
        <v>0</v>
      </c>
      <c r="P790" t="n">
        <v>0</v>
      </c>
      <c r="Q790" t="n">
        <v>0</v>
      </c>
      <c r="R790" s="2" t="inlineStr"/>
    </row>
    <row r="791" ht="15" customHeight="1">
      <c r="A791" t="inlineStr">
        <is>
          <t>A 38720-2025</t>
        </is>
      </c>
      <c r="B791" s="1" t="n">
        <v>45886</v>
      </c>
      <c r="C791" s="1" t="n">
        <v>45994</v>
      </c>
      <c r="D791" t="inlineStr">
        <is>
          <t>STOCKHOLMS LÄN</t>
        </is>
      </c>
      <c r="E791" t="inlineStr">
        <is>
          <t>NORRTÄLJE</t>
        </is>
      </c>
      <c r="G791" t="n">
        <v>1.6</v>
      </c>
      <c r="H791" t="n">
        <v>0</v>
      </c>
      <c r="I791" t="n">
        <v>0</v>
      </c>
      <c r="J791" t="n">
        <v>0</v>
      </c>
      <c r="K791" t="n">
        <v>0</v>
      </c>
      <c r="L791" t="n">
        <v>0</v>
      </c>
      <c r="M791" t="n">
        <v>0</v>
      </c>
      <c r="N791" t="n">
        <v>0</v>
      </c>
      <c r="O791" t="n">
        <v>0</v>
      </c>
      <c r="P791" t="n">
        <v>0</v>
      </c>
      <c r="Q791" t="n">
        <v>0</v>
      </c>
      <c r="R791" s="2" t="inlineStr"/>
    </row>
    <row r="792" ht="15" customHeight="1">
      <c r="A792" t="inlineStr">
        <is>
          <t>A 33353-2023</t>
        </is>
      </c>
      <c r="B792" s="1" t="n">
        <v>45128</v>
      </c>
      <c r="C792" s="1" t="n">
        <v>45994</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12031-2021</t>
        </is>
      </c>
      <c r="B793" s="1" t="n">
        <v>44266</v>
      </c>
      <c r="C793" s="1" t="n">
        <v>45994</v>
      </c>
      <c r="D793" t="inlineStr">
        <is>
          <t>STOCKHOLMS LÄN</t>
        </is>
      </c>
      <c r="E793" t="inlineStr">
        <is>
          <t>NORRTÄLJE</t>
        </is>
      </c>
      <c r="G793" t="n">
        <v>2.6</v>
      </c>
      <c r="H793" t="n">
        <v>0</v>
      </c>
      <c r="I793" t="n">
        <v>0</v>
      </c>
      <c r="J793" t="n">
        <v>0</v>
      </c>
      <c r="K793" t="n">
        <v>0</v>
      </c>
      <c r="L793" t="n">
        <v>0</v>
      </c>
      <c r="M793" t="n">
        <v>0</v>
      </c>
      <c r="N793" t="n">
        <v>0</v>
      </c>
      <c r="O793" t="n">
        <v>0</v>
      </c>
      <c r="P793" t="n">
        <v>0</v>
      </c>
      <c r="Q793" t="n">
        <v>0</v>
      </c>
      <c r="R793" s="2" t="inlineStr"/>
    </row>
    <row r="794" ht="15" customHeight="1">
      <c r="A794" t="inlineStr">
        <is>
          <t>A 3966-2024</t>
        </is>
      </c>
      <c r="B794" s="1" t="n">
        <v>45322</v>
      </c>
      <c r="C794" s="1" t="n">
        <v>45994</v>
      </c>
      <c r="D794" t="inlineStr">
        <is>
          <t>STOCKHOLMS LÄN</t>
        </is>
      </c>
      <c r="E794" t="inlineStr">
        <is>
          <t>NORRTÄLJE</t>
        </is>
      </c>
      <c r="G794" t="n">
        <v>5.3</v>
      </c>
      <c r="H794" t="n">
        <v>0</v>
      </c>
      <c r="I794" t="n">
        <v>0</v>
      </c>
      <c r="J794" t="n">
        <v>0</v>
      </c>
      <c r="K794" t="n">
        <v>0</v>
      </c>
      <c r="L794" t="n">
        <v>0</v>
      </c>
      <c r="M794" t="n">
        <v>0</v>
      </c>
      <c r="N794" t="n">
        <v>0</v>
      </c>
      <c r="O794" t="n">
        <v>0</v>
      </c>
      <c r="P794" t="n">
        <v>0</v>
      </c>
      <c r="Q794" t="n">
        <v>0</v>
      </c>
      <c r="R794" s="2" t="inlineStr"/>
    </row>
    <row r="795" ht="15" customHeight="1">
      <c r="A795" t="inlineStr">
        <is>
          <t>A 38593-2025</t>
        </is>
      </c>
      <c r="B795" s="1" t="n">
        <v>45884.48696759259</v>
      </c>
      <c r="C795" s="1" t="n">
        <v>45994</v>
      </c>
      <c r="D795" t="inlineStr">
        <is>
          <t>STOCKHOLMS LÄN</t>
        </is>
      </c>
      <c r="E795" t="inlineStr">
        <is>
          <t>NORRTÄLJE</t>
        </is>
      </c>
      <c r="G795" t="n">
        <v>3</v>
      </c>
      <c r="H795" t="n">
        <v>0</v>
      </c>
      <c r="I795" t="n">
        <v>0</v>
      </c>
      <c r="J795" t="n">
        <v>0</v>
      </c>
      <c r="K795" t="n">
        <v>0</v>
      </c>
      <c r="L795" t="n">
        <v>0</v>
      </c>
      <c r="M795" t="n">
        <v>0</v>
      </c>
      <c r="N795" t="n">
        <v>0</v>
      </c>
      <c r="O795" t="n">
        <v>0</v>
      </c>
      <c r="P795" t="n">
        <v>0</v>
      </c>
      <c r="Q795" t="n">
        <v>0</v>
      </c>
      <c r="R795" s="2" t="inlineStr"/>
    </row>
    <row r="796" ht="15" customHeight="1">
      <c r="A796" t="inlineStr">
        <is>
          <t>A 27381-2024</t>
        </is>
      </c>
      <c r="B796" s="1" t="n">
        <v>45473.94501157408</v>
      </c>
      <c r="C796" s="1" t="n">
        <v>45994</v>
      </c>
      <c r="D796" t="inlineStr">
        <is>
          <t>STOCKHOLMS LÄN</t>
        </is>
      </c>
      <c r="E796" t="inlineStr">
        <is>
          <t>NORRTÄLJE</t>
        </is>
      </c>
      <c r="G796" t="n">
        <v>4.5</v>
      </c>
      <c r="H796" t="n">
        <v>0</v>
      </c>
      <c r="I796" t="n">
        <v>0</v>
      </c>
      <c r="J796" t="n">
        <v>0</v>
      </c>
      <c r="K796" t="n">
        <v>0</v>
      </c>
      <c r="L796" t="n">
        <v>0</v>
      </c>
      <c r="M796" t="n">
        <v>0</v>
      </c>
      <c r="N796" t="n">
        <v>0</v>
      </c>
      <c r="O796" t="n">
        <v>0</v>
      </c>
      <c r="P796" t="n">
        <v>0</v>
      </c>
      <c r="Q796" t="n">
        <v>0</v>
      </c>
      <c r="R796" s="2" t="inlineStr"/>
    </row>
    <row r="797" ht="15" customHeight="1">
      <c r="A797" t="inlineStr">
        <is>
          <t>A 12901-2024</t>
        </is>
      </c>
      <c r="B797" s="1" t="n">
        <v>45385.37922453704</v>
      </c>
      <c r="C797" s="1" t="n">
        <v>45994</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8950-2025</t>
        </is>
      </c>
      <c r="B798" s="1" t="n">
        <v>45713</v>
      </c>
      <c r="C798" s="1" t="n">
        <v>45994</v>
      </c>
      <c r="D798" t="inlineStr">
        <is>
          <t>STOCKHOLMS LÄN</t>
        </is>
      </c>
      <c r="E798" t="inlineStr">
        <is>
          <t>NORRTÄLJE</t>
        </is>
      </c>
      <c r="F798" t="inlineStr">
        <is>
          <t>Övriga Aktiebolag</t>
        </is>
      </c>
      <c r="G798" t="n">
        <v>3.6</v>
      </c>
      <c r="H798" t="n">
        <v>0</v>
      </c>
      <c r="I798" t="n">
        <v>0</v>
      </c>
      <c r="J798" t="n">
        <v>0</v>
      </c>
      <c r="K798" t="n">
        <v>0</v>
      </c>
      <c r="L798" t="n">
        <v>0</v>
      </c>
      <c r="M798" t="n">
        <v>0</v>
      </c>
      <c r="N798" t="n">
        <v>0</v>
      </c>
      <c r="O798" t="n">
        <v>0</v>
      </c>
      <c r="P798" t="n">
        <v>0</v>
      </c>
      <c r="Q798" t="n">
        <v>0</v>
      </c>
      <c r="R798" s="2" t="inlineStr"/>
    </row>
    <row r="799" ht="15" customHeight="1">
      <c r="A799" t="inlineStr">
        <is>
          <t>A 23262-2023</t>
        </is>
      </c>
      <c r="B799" s="1" t="n">
        <v>45075.90270833333</v>
      </c>
      <c r="C799" s="1" t="n">
        <v>45994</v>
      </c>
      <c r="D799" t="inlineStr">
        <is>
          <t>STOCKHOLMS LÄN</t>
        </is>
      </c>
      <c r="E799" t="inlineStr">
        <is>
          <t>NORRTÄLJE</t>
        </is>
      </c>
      <c r="F799" t="inlineStr">
        <is>
          <t>Kommuner</t>
        </is>
      </c>
      <c r="G799" t="n">
        <v>1.9</v>
      </c>
      <c r="H799" t="n">
        <v>0</v>
      </c>
      <c r="I799" t="n">
        <v>0</v>
      </c>
      <c r="J799" t="n">
        <v>0</v>
      </c>
      <c r="K799" t="n">
        <v>0</v>
      </c>
      <c r="L799" t="n">
        <v>0</v>
      </c>
      <c r="M799" t="n">
        <v>0</v>
      </c>
      <c r="N799" t="n">
        <v>0</v>
      </c>
      <c r="O799" t="n">
        <v>0</v>
      </c>
      <c r="P799" t="n">
        <v>0</v>
      </c>
      <c r="Q799" t="n">
        <v>0</v>
      </c>
      <c r="R799" s="2" t="inlineStr"/>
    </row>
    <row r="800" ht="15" customHeight="1">
      <c r="A800" t="inlineStr">
        <is>
          <t>A 23268-2023</t>
        </is>
      </c>
      <c r="B800" s="1" t="n">
        <v>45075.91042824074</v>
      </c>
      <c r="C800" s="1" t="n">
        <v>45994</v>
      </c>
      <c r="D800" t="inlineStr">
        <is>
          <t>STOCKHOLMS LÄN</t>
        </is>
      </c>
      <c r="E800" t="inlineStr">
        <is>
          <t>NORRTÄLJE</t>
        </is>
      </c>
      <c r="G800" t="n">
        <v>3.3</v>
      </c>
      <c r="H800" t="n">
        <v>0</v>
      </c>
      <c r="I800" t="n">
        <v>0</v>
      </c>
      <c r="J800" t="n">
        <v>0</v>
      </c>
      <c r="K800" t="n">
        <v>0</v>
      </c>
      <c r="L800" t="n">
        <v>0</v>
      </c>
      <c r="M800" t="n">
        <v>0</v>
      </c>
      <c r="N800" t="n">
        <v>0</v>
      </c>
      <c r="O800" t="n">
        <v>0</v>
      </c>
      <c r="P800" t="n">
        <v>0</v>
      </c>
      <c r="Q800" t="n">
        <v>0</v>
      </c>
      <c r="R800" s="2" t="inlineStr"/>
    </row>
    <row r="801" ht="15" customHeight="1">
      <c r="A801" t="inlineStr">
        <is>
          <t>A 23270-2023</t>
        </is>
      </c>
      <c r="B801" s="1" t="n">
        <v>45075.91265046296</v>
      </c>
      <c r="C801" s="1" t="n">
        <v>45994</v>
      </c>
      <c r="D801" t="inlineStr">
        <is>
          <t>STOCKHOLMS LÄN</t>
        </is>
      </c>
      <c r="E801" t="inlineStr">
        <is>
          <t>NORRTÄLJE</t>
        </is>
      </c>
      <c r="G801" t="n">
        <v>12.3</v>
      </c>
      <c r="H801" t="n">
        <v>0</v>
      </c>
      <c r="I801" t="n">
        <v>0</v>
      </c>
      <c r="J801" t="n">
        <v>0</v>
      </c>
      <c r="K801" t="n">
        <v>0</v>
      </c>
      <c r="L801" t="n">
        <v>0</v>
      </c>
      <c r="M801" t="n">
        <v>0</v>
      </c>
      <c r="N801" t="n">
        <v>0</v>
      </c>
      <c r="O801" t="n">
        <v>0</v>
      </c>
      <c r="P801" t="n">
        <v>0</v>
      </c>
      <c r="Q801" t="n">
        <v>0</v>
      </c>
      <c r="R801" s="2" t="inlineStr"/>
    </row>
    <row r="802" ht="15" customHeight="1">
      <c r="A802" t="inlineStr">
        <is>
          <t>A 23274-2023</t>
        </is>
      </c>
      <c r="B802" s="1" t="n">
        <v>45075.92153935185</v>
      </c>
      <c r="C802" s="1" t="n">
        <v>45994</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23265-2023</t>
        </is>
      </c>
      <c r="B803" s="1" t="n">
        <v>45075.90703703704</v>
      </c>
      <c r="C803" s="1" t="n">
        <v>45994</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26117-2024</t>
        </is>
      </c>
      <c r="B804" s="1" t="n">
        <v>45468.45877314815</v>
      </c>
      <c r="C804" s="1" t="n">
        <v>45994</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17843-2024</t>
        </is>
      </c>
      <c r="B805" s="1" t="n">
        <v>45418</v>
      </c>
      <c r="C805" s="1" t="n">
        <v>45994</v>
      </c>
      <c r="D805" t="inlineStr">
        <is>
          <t>STOCKHOLMS LÄN</t>
        </is>
      </c>
      <c r="E805" t="inlineStr">
        <is>
          <t>NORRTÄLJE</t>
        </is>
      </c>
      <c r="G805" t="n">
        <v>5.4</v>
      </c>
      <c r="H805" t="n">
        <v>0</v>
      </c>
      <c r="I805" t="n">
        <v>0</v>
      </c>
      <c r="J805" t="n">
        <v>0</v>
      </c>
      <c r="K805" t="n">
        <v>0</v>
      </c>
      <c r="L805" t="n">
        <v>0</v>
      </c>
      <c r="M805" t="n">
        <v>0</v>
      </c>
      <c r="N805" t="n">
        <v>0</v>
      </c>
      <c r="O805" t="n">
        <v>0</v>
      </c>
      <c r="P805" t="n">
        <v>0</v>
      </c>
      <c r="Q805" t="n">
        <v>0</v>
      </c>
      <c r="R805" s="2" t="inlineStr"/>
    </row>
    <row r="806" ht="15" customHeight="1">
      <c r="A806" t="inlineStr">
        <is>
          <t>A 27677-2025</t>
        </is>
      </c>
      <c r="B806" s="1" t="n">
        <v>45813.63650462963</v>
      </c>
      <c r="C806" s="1" t="n">
        <v>45994</v>
      </c>
      <c r="D806" t="inlineStr">
        <is>
          <t>STOCKHOLMS LÄN</t>
        </is>
      </c>
      <c r="E806" t="inlineStr">
        <is>
          <t>NORRTÄLJE</t>
        </is>
      </c>
      <c r="G806" t="n">
        <v>2</v>
      </c>
      <c r="H806" t="n">
        <v>0</v>
      </c>
      <c r="I806" t="n">
        <v>0</v>
      </c>
      <c r="J806" t="n">
        <v>0</v>
      </c>
      <c r="K806" t="n">
        <v>0</v>
      </c>
      <c r="L806" t="n">
        <v>0</v>
      </c>
      <c r="M806" t="n">
        <v>0</v>
      </c>
      <c r="N806" t="n">
        <v>0</v>
      </c>
      <c r="O806" t="n">
        <v>0</v>
      </c>
      <c r="P806" t="n">
        <v>0</v>
      </c>
      <c r="Q806" t="n">
        <v>0</v>
      </c>
      <c r="R806" s="2" t="inlineStr"/>
    </row>
    <row r="807" ht="15" customHeight="1">
      <c r="A807" t="inlineStr">
        <is>
          <t>A 39152-2025</t>
        </is>
      </c>
      <c r="B807" s="1" t="n">
        <v>45888</v>
      </c>
      <c r="C807" s="1" t="n">
        <v>45994</v>
      </c>
      <c r="D807" t="inlineStr">
        <is>
          <t>STOCKHOLMS LÄN</t>
        </is>
      </c>
      <c r="E807" t="inlineStr">
        <is>
          <t>NORRTÄLJE</t>
        </is>
      </c>
      <c r="G807" t="n">
        <v>4.6</v>
      </c>
      <c r="H807" t="n">
        <v>0</v>
      </c>
      <c r="I807" t="n">
        <v>0</v>
      </c>
      <c r="J807" t="n">
        <v>0</v>
      </c>
      <c r="K807" t="n">
        <v>0</v>
      </c>
      <c r="L807" t="n">
        <v>0</v>
      </c>
      <c r="M807" t="n">
        <v>0</v>
      </c>
      <c r="N807" t="n">
        <v>0</v>
      </c>
      <c r="O807" t="n">
        <v>0</v>
      </c>
      <c r="P807" t="n">
        <v>0</v>
      </c>
      <c r="Q807" t="n">
        <v>0</v>
      </c>
      <c r="R807" s="2" t="inlineStr"/>
    </row>
    <row r="808" ht="15" customHeight="1">
      <c r="A808" t="inlineStr">
        <is>
          <t>A 26636-2023</t>
        </is>
      </c>
      <c r="B808" s="1" t="n">
        <v>45092</v>
      </c>
      <c r="C808" s="1" t="n">
        <v>45994</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26637-2023</t>
        </is>
      </c>
      <c r="B809" s="1" t="n">
        <v>45092</v>
      </c>
      <c r="C809" s="1" t="n">
        <v>45994</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12301-2025</t>
        </is>
      </c>
      <c r="B810" s="1" t="n">
        <v>45729.7271875</v>
      </c>
      <c r="C810" s="1" t="n">
        <v>45994</v>
      </c>
      <c r="D810" t="inlineStr">
        <is>
          <t>STOCKHOLMS LÄN</t>
        </is>
      </c>
      <c r="E810" t="inlineStr">
        <is>
          <t>NORRTÄLJE</t>
        </is>
      </c>
      <c r="G810" t="n">
        <v>3.2</v>
      </c>
      <c r="H810" t="n">
        <v>0</v>
      </c>
      <c r="I810" t="n">
        <v>0</v>
      </c>
      <c r="J810" t="n">
        <v>0</v>
      </c>
      <c r="K810" t="n">
        <v>0</v>
      </c>
      <c r="L810" t="n">
        <v>0</v>
      </c>
      <c r="M810" t="n">
        <v>0</v>
      </c>
      <c r="N810" t="n">
        <v>0</v>
      </c>
      <c r="O810" t="n">
        <v>0</v>
      </c>
      <c r="P810" t="n">
        <v>0</v>
      </c>
      <c r="Q810" t="n">
        <v>0</v>
      </c>
      <c r="R810" s="2" t="inlineStr"/>
    </row>
    <row r="811" ht="15" customHeight="1">
      <c r="A811" t="inlineStr">
        <is>
          <t>A 20336-2024</t>
        </is>
      </c>
      <c r="B811" s="1" t="n">
        <v>45435.43123842592</v>
      </c>
      <c r="C811" s="1" t="n">
        <v>45994</v>
      </c>
      <c r="D811" t="inlineStr">
        <is>
          <t>STOCKHOLMS LÄN</t>
        </is>
      </c>
      <c r="E811" t="inlineStr">
        <is>
          <t>NORRTÄLJE</t>
        </is>
      </c>
      <c r="G811" t="n">
        <v>1.9</v>
      </c>
      <c r="H811" t="n">
        <v>0</v>
      </c>
      <c r="I811" t="n">
        <v>0</v>
      </c>
      <c r="J811" t="n">
        <v>0</v>
      </c>
      <c r="K811" t="n">
        <v>0</v>
      </c>
      <c r="L811" t="n">
        <v>0</v>
      </c>
      <c r="M811" t="n">
        <v>0</v>
      </c>
      <c r="N811" t="n">
        <v>0</v>
      </c>
      <c r="O811" t="n">
        <v>0</v>
      </c>
      <c r="P811" t="n">
        <v>0</v>
      </c>
      <c r="Q811" t="n">
        <v>0</v>
      </c>
      <c r="R811" s="2" t="inlineStr"/>
    </row>
    <row r="812" ht="15" customHeight="1">
      <c r="A812" t="inlineStr">
        <is>
          <t>A 72704-2021</t>
        </is>
      </c>
      <c r="B812" s="1" t="n">
        <v>44546</v>
      </c>
      <c r="C812" s="1" t="n">
        <v>45994</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52743-2024</t>
        </is>
      </c>
      <c r="B813" s="1" t="n">
        <v>45610.47414351852</v>
      </c>
      <c r="C813" s="1" t="n">
        <v>45994</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16852-2024</t>
        </is>
      </c>
      <c r="B814" s="1" t="n">
        <v>45411.54768518519</v>
      </c>
      <c r="C814" s="1" t="n">
        <v>45994</v>
      </c>
      <c r="D814" t="inlineStr">
        <is>
          <t>STOCKHOLMS LÄN</t>
        </is>
      </c>
      <c r="E814" t="inlineStr">
        <is>
          <t>NORRTÄLJE</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1847-2023</t>
        </is>
      </c>
      <c r="B815" s="1" t="n">
        <v>44938</v>
      </c>
      <c r="C815" s="1" t="n">
        <v>45994</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39149-2025</t>
        </is>
      </c>
      <c r="B816" s="1" t="n">
        <v>45888.60714120371</v>
      </c>
      <c r="C816" s="1" t="n">
        <v>45994</v>
      </c>
      <c r="D816" t="inlineStr">
        <is>
          <t>STOCKHOLMS LÄN</t>
        </is>
      </c>
      <c r="E816" t="inlineStr">
        <is>
          <t>NORRTÄLJE</t>
        </is>
      </c>
      <c r="G816" t="n">
        <v>3.5</v>
      </c>
      <c r="H816" t="n">
        <v>0</v>
      </c>
      <c r="I816" t="n">
        <v>0</v>
      </c>
      <c r="J816" t="n">
        <v>0</v>
      </c>
      <c r="K816" t="n">
        <v>0</v>
      </c>
      <c r="L816" t="n">
        <v>0</v>
      </c>
      <c r="M816" t="n">
        <v>0</v>
      </c>
      <c r="N816" t="n">
        <v>0</v>
      </c>
      <c r="O816" t="n">
        <v>0</v>
      </c>
      <c r="P816" t="n">
        <v>0</v>
      </c>
      <c r="Q816" t="n">
        <v>0</v>
      </c>
      <c r="R816" s="2" t="inlineStr"/>
    </row>
    <row r="817" ht="15" customHeight="1">
      <c r="A817" t="inlineStr">
        <is>
          <t>A 24351-2025</t>
        </is>
      </c>
      <c r="B817" s="1" t="n">
        <v>45797.58399305555</v>
      </c>
      <c r="C817" s="1" t="n">
        <v>45994</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13283-2025</t>
        </is>
      </c>
      <c r="B818" s="1" t="n">
        <v>45735</v>
      </c>
      <c r="C818" s="1" t="n">
        <v>45994</v>
      </c>
      <c r="D818" t="inlineStr">
        <is>
          <t>STOCKHOLMS LÄN</t>
        </is>
      </c>
      <c r="E818" t="inlineStr">
        <is>
          <t>NORRTÄLJE</t>
        </is>
      </c>
      <c r="G818" t="n">
        <v>4.9</v>
      </c>
      <c r="H818" t="n">
        <v>0</v>
      </c>
      <c r="I818" t="n">
        <v>0</v>
      </c>
      <c r="J818" t="n">
        <v>0</v>
      </c>
      <c r="K818" t="n">
        <v>0</v>
      </c>
      <c r="L818" t="n">
        <v>0</v>
      </c>
      <c r="M818" t="n">
        <v>0</v>
      </c>
      <c r="N818" t="n">
        <v>0</v>
      </c>
      <c r="O818" t="n">
        <v>0</v>
      </c>
      <c r="P818" t="n">
        <v>0</v>
      </c>
      <c r="Q818" t="n">
        <v>0</v>
      </c>
      <c r="R818" s="2" t="inlineStr"/>
    </row>
    <row r="819" ht="15" customHeight="1">
      <c r="A819" t="inlineStr">
        <is>
          <t>A 39692-2025</t>
        </is>
      </c>
      <c r="B819" s="1" t="n">
        <v>45890.68083333333</v>
      </c>
      <c r="C819" s="1" t="n">
        <v>45994</v>
      </c>
      <c r="D819" t="inlineStr">
        <is>
          <t>STOCKHOLMS LÄN</t>
        </is>
      </c>
      <c r="E819" t="inlineStr">
        <is>
          <t>NORRTÄLJE</t>
        </is>
      </c>
      <c r="G819" t="n">
        <v>10.5</v>
      </c>
      <c r="H819" t="n">
        <v>0</v>
      </c>
      <c r="I819" t="n">
        <v>0</v>
      </c>
      <c r="J819" t="n">
        <v>0</v>
      </c>
      <c r="K819" t="n">
        <v>0</v>
      </c>
      <c r="L819" t="n">
        <v>0</v>
      </c>
      <c r="M819" t="n">
        <v>0</v>
      </c>
      <c r="N819" t="n">
        <v>0</v>
      </c>
      <c r="O819" t="n">
        <v>0</v>
      </c>
      <c r="P819" t="n">
        <v>0</v>
      </c>
      <c r="Q819" t="n">
        <v>0</v>
      </c>
      <c r="R819" s="2" t="inlineStr"/>
    </row>
    <row r="820" ht="15" customHeight="1">
      <c r="A820" t="inlineStr">
        <is>
          <t>A 59721-2024</t>
        </is>
      </c>
      <c r="B820" s="1" t="n">
        <v>45639.47385416667</v>
      </c>
      <c r="C820" s="1" t="n">
        <v>45994</v>
      </c>
      <c r="D820" t="inlineStr">
        <is>
          <t>STOCKHOLMS LÄN</t>
        </is>
      </c>
      <c r="E820" t="inlineStr">
        <is>
          <t>NORRTÄLJE</t>
        </is>
      </c>
      <c r="G820" t="n">
        <v>4.6</v>
      </c>
      <c r="H820" t="n">
        <v>0</v>
      </c>
      <c r="I820" t="n">
        <v>0</v>
      </c>
      <c r="J820" t="n">
        <v>0</v>
      </c>
      <c r="K820" t="n">
        <v>0</v>
      </c>
      <c r="L820" t="n">
        <v>0</v>
      </c>
      <c r="M820" t="n">
        <v>0</v>
      </c>
      <c r="N820" t="n">
        <v>0</v>
      </c>
      <c r="O820" t="n">
        <v>0</v>
      </c>
      <c r="P820" t="n">
        <v>0</v>
      </c>
      <c r="Q820" t="n">
        <v>0</v>
      </c>
      <c r="R820" s="2" t="inlineStr"/>
    </row>
    <row r="821" ht="15" customHeight="1">
      <c r="A821" t="inlineStr">
        <is>
          <t>A 35639-2025</t>
        </is>
      </c>
      <c r="B821" s="1" t="n">
        <v>45859</v>
      </c>
      <c r="C821" s="1" t="n">
        <v>45994</v>
      </c>
      <c r="D821" t="inlineStr">
        <is>
          <t>STOCKHOLMS LÄN</t>
        </is>
      </c>
      <c r="E821" t="inlineStr">
        <is>
          <t>NORRTÄLJE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55755-2023</t>
        </is>
      </c>
      <c r="B822" s="1" t="n">
        <v>45239</v>
      </c>
      <c r="C822" s="1" t="n">
        <v>45994</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37010-2022</t>
        </is>
      </c>
      <c r="B823" s="1" t="n">
        <v>44806.41576388889</v>
      </c>
      <c r="C823" s="1" t="n">
        <v>45994</v>
      </c>
      <c r="D823" t="inlineStr">
        <is>
          <t>STOCKHOLMS LÄN</t>
        </is>
      </c>
      <c r="E823" t="inlineStr">
        <is>
          <t>NORRTÄLJE</t>
        </is>
      </c>
      <c r="G823" t="n">
        <v>2.7</v>
      </c>
      <c r="H823" t="n">
        <v>0</v>
      </c>
      <c r="I823" t="n">
        <v>0</v>
      </c>
      <c r="J823" t="n">
        <v>0</v>
      </c>
      <c r="K823" t="n">
        <v>0</v>
      </c>
      <c r="L823" t="n">
        <v>0</v>
      </c>
      <c r="M823" t="n">
        <v>0</v>
      </c>
      <c r="N823" t="n">
        <v>0</v>
      </c>
      <c r="O823" t="n">
        <v>0</v>
      </c>
      <c r="P823" t="n">
        <v>0</v>
      </c>
      <c r="Q823" t="n">
        <v>0</v>
      </c>
      <c r="R823" s="2" t="inlineStr"/>
    </row>
    <row r="824" ht="15" customHeight="1">
      <c r="A824" t="inlineStr">
        <is>
          <t>A 35636-2025</t>
        </is>
      </c>
      <c r="B824" s="1" t="n">
        <v>45859</v>
      </c>
      <c r="C824" s="1" t="n">
        <v>45994</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951-2023</t>
        </is>
      </c>
      <c r="B825" s="1" t="n">
        <v>44934</v>
      </c>
      <c r="C825" s="1" t="n">
        <v>45994</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17348-2024</t>
        </is>
      </c>
      <c r="B826" s="1" t="n">
        <v>45414.58650462963</v>
      </c>
      <c r="C826" s="1" t="n">
        <v>45994</v>
      </c>
      <c r="D826" t="inlineStr">
        <is>
          <t>STOCKHOLMS LÄN</t>
        </is>
      </c>
      <c r="E826" t="inlineStr">
        <is>
          <t>NORRTÄLJE</t>
        </is>
      </c>
      <c r="G826" t="n">
        <v>2.3</v>
      </c>
      <c r="H826" t="n">
        <v>0</v>
      </c>
      <c r="I826" t="n">
        <v>0</v>
      </c>
      <c r="J826" t="n">
        <v>0</v>
      </c>
      <c r="K826" t="n">
        <v>0</v>
      </c>
      <c r="L826" t="n">
        <v>0</v>
      </c>
      <c r="M826" t="n">
        <v>0</v>
      </c>
      <c r="N826" t="n">
        <v>0</v>
      </c>
      <c r="O826" t="n">
        <v>0</v>
      </c>
      <c r="P826" t="n">
        <v>0</v>
      </c>
      <c r="Q826" t="n">
        <v>0</v>
      </c>
      <c r="R826" s="2" t="inlineStr"/>
    </row>
    <row r="827" ht="15" customHeight="1">
      <c r="A827" t="inlineStr">
        <is>
          <t>A 40172-2025</t>
        </is>
      </c>
      <c r="B827" s="1" t="n">
        <v>45894.6353125</v>
      </c>
      <c r="C827" s="1" t="n">
        <v>45994</v>
      </c>
      <c r="D827" t="inlineStr">
        <is>
          <t>STOCKHOLMS LÄN</t>
        </is>
      </c>
      <c r="E827" t="inlineStr">
        <is>
          <t>NORRTÄLJE</t>
        </is>
      </c>
      <c r="G827" t="n">
        <v>6</v>
      </c>
      <c r="H827" t="n">
        <v>0</v>
      </c>
      <c r="I827" t="n">
        <v>0</v>
      </c>
      <c r="J827" t="n">
        <v>0</v>
      </c>
      <c r="K827" t="n">
        <v>0</v>
      </c>
      <c r="L827" t="n">
        <v>0</v>
      </c>
      <c r="M827" t="n">
        <v>0</v>
      </c>
      <c r="N827" t="n">
        <v>0</v>
      </c>
      <c r="O827" t="n">
        <v>0</v>
      </c>
      <c r="P827" t="n">
        <v>0</v>
      </c>
      <c r="Q827" t="n">
        <v>0</v>
      </c>
      <c r="R827" s="2" t="inlineStr"/>
    </row>
    <row r="828" ht="15" customHeight="1">
      <c r="A828" t="inlineStr">
        <is>
          <t>A 5423-2023</t>
        </is>
      </c>
      <c r="B828" s="1" t="n">
        <v>44959.74533564815</v>
      </c>
      <c r="C828" s="1" t="n">
        <v>45994</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50182-2024</t>
        </is>
      </c>
      <c r="B829" s="1" t="n">
        <v>45600.47275462963</v>
      </c>
      <c r="C829" s="1" t="n">
        <v>45994</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40033-2025</t>
        </is>
      </c>
      <c r="B830" s="1" t="n">
        <v>45893</v>
      </c>
      <c r="C830" s="1" t="n">
        <v>45994</v>
      </c>
      <c r="D830" t="inlineStr">
        <is>
          <t>STOCKHOLMS LÄN</t>
        </is>
      </c>
      <c r="E830" t="inlineStr">
        <is>
          <t>NORRTÄLJE</t>
        </is>
      </c>
      <c r="G830" t="n">
        <v>1.7</v>
      </c>
      <c r="H830" t="n">
        <v>0</v>
      </c>
      <c r="I830" t="n">
        <v>0</v>
      </c>
      <c r="J830" t="n">
        <v>0</v>
      </c>
      <c r="K830" t="n">
        <v>0</v>
      </c>
      <c r="L830" t="n">
        <v>0</v>
      </c>
      <c r="M830" t="n">
        <v>0</v>
      </c>
      <c r="N830" t="n">
        <v>0</v>
      </c>
      <c r="O830" t="n">
        <v>0</v>
      </c>
      <c r="P830" t="n">
        <v>0</v>
      </c>
      <c r="Q830" t="n">
        <v>0</v>
      </c>
      <c r="R830" s="2" t="inlineStr"/>
    </row>
    <row r="831" ht="15" customHeight="1">
      <c r="A831" t="inlineStr">
        <is>
          <t>A 40032-2025</t>
        </is>
      </c>
      <c r="B831" s="1" t="n">
        <v>45893</v>
      </c>
      <c r="C831" s="1" t="n">
        <v>45994</v>
      </c>
      <c r="D831" t="inlineStr">
        <is>
          <t>STOCKHOLMS LÄN</t>
        </is>
      </c>
      <c r="E831" t="inlineStr">
        <is>
          <t>NORRTÄLJE</t>
        </is>
      </c>
      <c r="G831" t="n">
        <v>2.6</v>
      </c>
      <c r="H831" t="n">
        <v>0</v>
      </c>
      <c r="I831" t="n">
        <v>0</v>
      </c>
      <c r="J831" t="n">
        <v>0</v>
      </c>
      <c r="K831" t="n">
        <v>0</v>
      </c>
      <c r="L831" t="n">
        <v>0</v>
      </c>
      <c r="M831" t="n">
        <v>0</v>
      </c>
      <c r="N831" t="n">
        <v>0</v>
      </c>
      <c r="O831" t="n">
        <v>0</v>
      </c>
      <c r="P831" t="n">
        <v>0</v>
      </c>
      <c r="Q831" t="n">
        <v>0</v>
      </c>
      <c r="R831" s="2" t="inlineStr"/>
    </row>
    <row r="832" ht="15" customHeight="1">
      <c r="A832" t="inlineStr">
        <is>
          <t>A 40292-2025</t>
        </is>
      </c>
      <c r="B832" s="1" t="n">
        <v>45895.3867824074</v>
      </c>
      <c r="C832" s="1" t="n">
        <v>45994</v>
      </c>
      <c r="D832" t="inlineStr">
        <is>
          <t>STOCKHOLMS LÄN</t>
        </is>
      </c>
      <c r="E832" t="inlineStr">
        <is>
          <t>NORRTÄLJE</t>
        </is>
      </c>
      <c r="G832" t="n">
        <v>3.5</v>
      </c>
      <c r="H832" t="n">
        <v>0</v>
      </c>
      <c r="I832" t="n">
        <v>0</v>
      </c>
      <c r="J832" t="n">
        <v>0</v>
      </c>
      <c r="K832" t="n">
        <v>0</v>
      </c>
      <c r="L832" t="n">
        <v>0</v>
      </c>
      <c r="M832" t="n">
        <v>0</v>
      </c>
      <c r="N832" t="n">
        <v>0</v>
      </c>
      <c r="O832" t="n">
        <v>0</v>
      </c>
      <c r="P832" t="n">
        <v>0</v>
      </c>
      <c r="Q832" t="n">
        <v>0</v>
      </c>
      <c r="R832" s="2" t="inlineStr"/>
    </row>
    <row r="833" ht="15" customHeight="1">
      <c r="A833" t="inlineStr">
        <is>
          <t>A 40294-2025</t>
        </is>
      </c>
      <c r="B833" s="1" t="n">
        <v>45895.38778935185</v>
      </c>
      <c r="C833" s="1" t="n">
        <v>45994</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12629-2024</t>
        </is>
      </c>
      <c r="B834" s="1" t="n">
        <v>45383</v>
      </c>
      <c r="C834" s="1" t="n">
        <v>45994</v>
      </c>
      <c r="D834" t="inlineStr">
        <is>
          <t>STOCKHOLMS LÄN</t>
        </is>
      </c>
      <c r="E834" t="inlineStr">
        <is>
          <t>NORRTÄLJE</t>
        </is>
      </c>
      <c r="G834" t="n">
        <v>2.6</v>
      </c>
      <c r="H834" t="n">
        <v>0</v>
      </c>
      <c r="I834" t="n">
        <v>0</v>
      </c>
      <c r="J834" t="n">
        <v>0</v>
      </c>
      <c r="K834" t="n">
        <v>0</v>
      </c>
      <c r="L834" t="n">
        <v>0</v>
      </c>
      <c r="M834" t="n">
        <v>0</v>
      </c>
      <c r="N834" t="n">
        <v>0</v>
      </c>
      <c r="O834" t="n">
        <v>0</v>
      </c>
      <c r="P834" t="n">
        <v>0</v>
      </c>
      <c r="Q834" t="n">
        <v>0</v>
      </c>
      <c r="R834" s="2" t="inlineStr"/>
    </row>
    <row r="835" ht="15" customHeight="1">
      <c r="A835" t="inlineStr">
        <is>
          <t>A 40228-2025</t>
        </is>
      </c>
      <c r="B835" s="1" t="n">
        <v>45894.70854166667</v>
      </c>
      <c r="C835" s="1" t="n">
        <v>45994</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35708-2022</t>
        </is>
      </c>
      <c r="B836" s="1" t="n">
        <v>44799.65013888889</v>
      </c>
      <c r="C836" s="1" t="n">
        <v>45994</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40230-2025</t>
        </is>
      </c>
      <c r="B837" s="1" t="n">
        <v>45894.71101851852</v>
      </c>
      <c r="C837" s="1" t="n">
        <v>45994</v>
      </c>
      <c r="D837" t="inlineStr">
        <is>
          <t>STOCKHOLMS LÄN</t>
        </is>
      </c>
      <c r="E837" t="inlineStr">
        <is>
          <t>NORRTÄLJE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13089-2022</t>
        </is>
      </c>
      <c r="B838" s="1" t="n">
        <v>44643</v>
      </c>
      <c r="C838" s="1" t="n">
        <v>45994</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40217-2025</t>
        </is>
      </c>
      <c r="B839" s="1" t="n">
        <v>45894.68864583333</v>
      </c>
      <c r="C839" s="1" t="n">
        <v>45994</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24687-2025</t>
        </is>
      </c>
      <c r="B840" s="1" t="n">
        <v>45798.66767361111</v>
      </c>
      <c r="C840" s="1" t="n">
        <v>45994</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45220-2024</t>
        </is>
      </c>
      <c r="B841" s="1" t="n">
        <v>45575</v>
      </c>
      <c r="C841" s="1" t="n">
        <v>45994</v>
      </c>
      <c r="D841" t="inlineStr">
        <is>
          <t>STOCKHOLMS LÄN</t>
        </is>
      </c>
      <c r="E841" t="inlineStr">
        <is>
          <t>NORRTÄLJE</t>
        </is>
      </c>
      <c r="G841" t="n">
        <v>4.3</v>
      </c>
      <c r="H841" t="n">
        <v>0</v>
      </c>
      <c r="I841" t="n">
        <v>0</v>
      </c>
      <c r="J841" t="n">
        <v>0</v>
      </c>
      <c r="K841" t="n">
        <v>0</v>
      </c>
      <c r="L841" t="n">
        <v>0</v>
      </c>
      <c r="M841" t="n">
        <v>0</v>
      </c>
      <c r="N841" t="n">
        <v>0</v>
      </c>
      <c r="O841" t="n">
        <v>0</v>
      </c>
      <c r="P841" t="n">
        <v>0</v>
      </c>
      <c r="Q841" t="n">
        <v>0</v>
      </c>
      <c r="R841" s="2" t="inlineStr"/>
    </row>
    <row r="842" ht="15" customHeight="1">
      <c r="A842" t="inlineStr">
        <is>
          <t>A 21731-2023</t>
        </is>
      </c>
      <c r="B842" s="1" t="n">
        <v>45063</v>
      </c>
      <c r="C842" s="1" t="n">
        <v>45994</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40097-2025</t>
        </is>
      </c>
      <c r="B843" s="1" t="n">
        <v>45894.48322916667</v>
      </c>
      <c r="C843" s="1" t="n">
        <v>45994</v>
      </c>
      <c r="D843" t="inlineStr">
        <is>
          <t>STOCKHOLMS LÄN</t>
        </is>
      </c>
      <c r="E843" t="inlineStr">
        <is>
          <t>NORRTÄLJE</t>
        </is>
      </c>
      <c r="G843" t="n">
        <v>3</v>
      </c>
      <c r="H843" t="n">
        <v>0</v>
      </c>
      <c r="I843" t="n">
        <v>0</v>
      </c>
      <c r="J843" t="n">
        <v>0</v>
      </c>
      <c r="K843" t="n">
        <v>0</v>
      </c>
      <c r="L843" t="n">
        <v>0</v>
      </c>
      <c r="M843" t="n">
        <v>0</v>
      </c>
      <c r="N843" t="n">
        <v>0</v>
      </c>
      <c r="O843" t="n">
        <v>0</v>
      </c>
      <c r="P843" t="n">
        <v>0</v>
      </c>
      <c r="Q843" t="n">
        <v>0</v>
      </c>
      <c r="R843" s="2" t="inlineStr"/>
    </row>
    <row r="844" ht="15" customHeight="1">
      <c r="A844" t="inlineStr">
        <is>
          <t>A 23266-2023</t>
        </is>
      </c>
      <c r="B844" s="1" t="n">
        <v>45075.90817129629</v>
      </c>
      <c r="C844" s="1" t="n">
        <v>45994</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48145-2024</t>
        </is>
      </c>
      <c r="B845" s="1" t="n">
        <v>45589.6756712963</v>
      </c>
      <c r="C845" s="1" t="n">
        <v>45994</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40829-2025</t>
        </is>
      </c>
      <c r="B846" s="1" t="n">
        <v>45897.50802083333</v>
      </c>
      <c r="C846" s="1" t="n">
        <v>45994</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40837-2025</t>
        </is>
      </c>
      <c r="B847" s="1" t="n">
        <v>45897.51328703704</v>
      </c>
      <c r="C847" s="1" t="n">
        <v>45994</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23998-2024</t>
        </is>
      </c>
      <c r="B848" s="1" t="n">
        <v>45456</v>
      </c>
      <c r="C848" s="1" t="n">
        <v>45994</v>
      </c>
      <c r="D848" t="inlineStr">
        <is>
          <t>STOCKHOLMS LÄN</t>
        </is>
      </c>
      <c r="E848" t="inlineStr">
        <is>
          <t>NORRTÄLJE</t>
        </is>
      </c>
      <c r="G848" t="n">
        <v>2.3</v>
      </c>
      <c r="H848" t="n">
        <v>0</v>
      </c>
      <c r="I848" t="n">
        <v>0</v>
      </c>
      <c r="J848" t="n">
        <v>0</v>
      </c>
      <c r="K848" t="n">
        <v>0</v>
      </c>
      <c r="L848" t="n">
        <v>0</v>
      </c>
      <c r="M848" t="n">
        <v>0</v>
      </c>
      <c r="N848" t="n">
        <v>0</v>
      </c>
      <c r="O848" t="n">
        <v>0</v>
      </c>
      <c r="P848" t="n">
        <v>0</v>
      </c>
      <c r="Q848" t="n">
        <v>0</v>
      </c>
      <c r="R848" s="2" t="inlineStr"/>
    </row>
    <row r="849" ht="15" customHeight="1">
      <c r="A849" t="inlineStr">
        <is>
          <t>A 40529-2025</t>
        </is>
      </c>
      <c r="B849" s="1" t="n">
        <v>45896.38466435186</v>
      </c>
      <c r="C849" s="1" t="n">
        <v>45994</v>
      </c>
      <c r="D849" t="inlineStr">
        <is>
          <t>STOCKHOLMS LÄN</t>
        </is>
      </c>
      <c r="E849" t="inlineStr">
        <is>
          <t>NORRTÄLJE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40831-2025</t>
        </is>
      </c>
      <c r="B850" s="1" t="n">
        <v>45897.51077546296</v>
      </c>
      <c r="C850" s="1" t="n">
        <v>45994</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15447-2023</t>
        </is>
      </c>
      <c r="B851" s="1" t="n">
        <v>45020</v>
      </c>
      <c r="C851" s="1" t="n">
        <v>45994</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47521-2024</t>
        </is>
      </c>
      <c r="B852" s="1" t="n">
        <v>45587.62565972222</v>
      </c>
      <c r="C852" s="1" t="n">
        <v>45994</v>
      </c>
      <c r="D852" t="inlineStr">
        <is>
          <t>STOCKHOLMS LÄN</t>
        </is>
      </c>
      <c r="E852" t="inlineStr">
        <is>
          <t>NORRTÄLJE</t>
        </is>
      </c>
      <c r="G852" t="n">
        <v>4.7</v>
      </c>
      <c r="H852" t="n">
        <v>0</v>
      </c>
      <c r="I852" t="n">
        <v>0</v>
      </c>
      <c r="J852" t="n">
        <v>0</v>
      </c>
      <c r="K852" t="n">
        <v>0</v>
      </c>
      <c r="L852" t="n">
        <v>0</v>
      </c>
      <c r="M852" t="n">
        <v>0</v>
      </c>
      <c r="N852" t="n">
        <v>0</v>
      </c>
      <c r="O852" t="n">
        <v>0</v>
      </c>
      <c r="P852" t="n">
        <v>0</v>
      </c>
      <c r="Q852" t="n">
        <v>0</v>
      </c>
      <c r="R852" s="2" t="inlineStr"/>
    </row>
    <row r="853" ht="15" customHeight="1">
      <c r="A853" t="inlineStr">
        <is>
          <t>A 58260-2023</t>
        </is>
      </c>
      <c r="B853" s="1" t="n">
        <v>45245</v>
      </c>
      <c r="C853" s="1" t="n">
        <v>45994</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58261-2023</t>
        </is>
      </c>
      <c r="B854" s="1" t="n">
        <v>45245</v>
      </c>
      <c r="C854" s="1" t="n">
        <v>45994</v>
      </c>
      <c r="D854" t="inlineStr">
        <is>
          <t>STOCKHOLMS LÄN</t>
        </is>
      </c>
      <c r="E854" t="inlineStr">
        <is>
          <t>NORRTÄLJE</t>
        </is>
      </c>
      <c r="G854" t="n">
        <v>53.5</v>
      </c>
      <c r="H854" t="n">
        <v>0</v>
      </c>
      <c r="I854" t="n">
        <v>0</v>
      </c>
      <c r="J854" t="n">
        <v>0</v>
      </c>
      <c r="K854" t="n">
        <v>0</v>
      </c>
      <c r="L854" t="n">
        <v>0</v>
      </c>
      <c r="M854" t="n">
        <v>0</v>
      </c>
      <c r="N854" t="n">
        <v>0</v>
      </c>
      <c r="O854" t="n">
        <v>0</v>
      </c>
      <c r="P854" t="n">
        <v>0</v>
      </c>
      <c r="Q854" t="n">
        <v>0</v>
      </c>
      <c r="R854" s="2" t="inlineStr"/>
    </row>
    <row r="855" ht="15" customHeight="1">
      <c r="A855" t="inlineStr">
        <is>
          <t>A 54358-2022</t>
        </is>
      </c>
      <c r="B855" s="1" t="n">
        <v>44882</v>
      </c>
      <c r="C855" s="1" t="n">
        <v>45994</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41158-2025</t>
        </is>
      </c>
      <c r="B856" s="1" t="n">
        <v>45898.5315625</v>
      </c>
      <c r="C856" s="1" t="n">
        <v>45994</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15733-2025</t>
        </is>
      </c>
      <c r="B857" s="1" t="n">
        <v>45748</v>
      </c>
      <c r="C857" s="1" t="n">
        <v>45994</v>
      </c>
      <c r="D857" t="inlineStr">
        <is>
          <t>STOCKHOLMS LÄN</t>
        </is>
      </c>
      <c r="E857" t="inlineStr">
        <is>
          <t>NORRTÄLJE</t>
        </is>
      </c>
      <c r="G857" t="n">
        <v>13.3</v>
      </c>
      <c r="H857" t="n">
        <v>0</v>
      </c>
      <c r="I857" t="n">
        <v>0</v>
      </c>
      <c r="J857" t="n">
        <v>0</v>
      </c>
      <c r="K857" t="n">
        <v>0</v>
      </c>
      <c r="L857" t="n">
        <v>0</v>
      </c>
      <c r="M857" t="n">
        <v>0</v>
      </c>
      <c r="N857" t="n">
        <v>0</v>
      </c>
      <c r="O857" t="n">
        <v>0</v>
      </c>
      <c r="P857" t="n">
        <v>0</v>
      </c>
      <c r="Q857" t="n">
        <v>0</v>
      </c>
      <c r="R857" s="2" t="inlineStr"/>
    </row>
    <row r="858" ht="15" customHeight="1">
      <c r="A858" t="inlineStr">
        <is>
          <t>A 23263-2023</t>
        </is>
      </c>
      <c r="B858" s="1" t="n">
        <v>45075</v>
      </c>
      <c r="C858" s="1" t="n">
        <v>45994</v>
      </c>
      <c r="D858" t="inlineStr">
        <is>
          <t>STOCKHOLMS LÄN</t>
        </is>
      </c>
      <c r="E858" t="inlineStr">
        <is>
          <t>NORRTÄLJE</t>
        </is>
      </c>
      <c r="G858" t="n">
        <v>1.3</v>
      </c>
      <c r="H858" t="n">
        <v>0</v>
      </c>
      <c r="I858" t="n">
        <v>0</v>
      </c>
      <c r="J858" t="n">
        <v>0</v>
      </c>
      <c r="K858" t="n">
        <v>0</v>
      </c>
      <c r="L858" t="n">
        <v>0</v>
      </c>
      <c r="M858" t="n">
        <v>0</v>
      </c>
      <c r="N858" t="n">
        <v>0</v>
      </c>
      <c r="O858" t="n">
        <v>0</v>
      </c>
      <c r="P858" t="n">
        <v>0</v>
      </c>
      <c r="Q858" t="n">
        <v>0</v>
      </c>
      <c r="R858" s="2" t="inlineStr"/>
    </row>
    <row r="859" ht="15" customHeight="1">
      <c r="A859" t="inlineStr">
        <is>
          <t>A 23264-2023</t>
        </is>
      </c>
      <c r="B859" s="1" t="n">
        <v>45075</v>
      </c>
      <c r="C859" s="1" t="n">
        <v>45994</v>
      </c>
      <c r="D859" t="inlineStr">
        <is>
          <t>STOCKHOLMS LÄN</t>
        </is>
      </c>
      <c r="E859" t="inlineStr">
        <is>
          <t>NORRTÄLJE</t>
        </is>
      </c>
      <c r="G859" t="n">
        <v>2.9</v>
      </c>
      <c r="H859" t="n">
        <v>0</v>
      </c>
      <c r="I859" t="n">
        <v>0</v>
      </c>
      <c r="J859" t="n">
        <v>0</v>
      </c>
      <c r="K859" t="n">
        <v>0</v>
      </c>
      <c r="L859" t="n">
        <v>0</v>
      </c>
      <c r="M859" t="n">
        <v>0</v>
      </c>
      <c r="N859" t="n">
        <v>0</v>
      </c>
      <c r="O859" t="n">
        <v>0</v>
      </c>
      <c r="P859" t="n">
        <v>0</v>
      </c>
      <c r="Q859" t="n">
        <v>0</v>
      </c>
      <c r="R859" s="2" t="inlineStr"/>
    </row>
    <row r="860" ht="15" customHeight="1">
      <c r="A860" t="inlineStr">
        <is>
          <t>A 23267-2023</t>
        </is>
      </c>
      <c r="B860" s="1" t="n">
        <v>45075.90934027778</v>
      </c>
      <c r="C860" s="1" t="n">
        <v>45994</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23269-2023</t>
        </is>
      </c>
      <c r="B861" s="1" t="n">
        <v>45075.91148148148</v>
      </c>
      <c r="C861" s="1" t="n">
        <v>45994</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19911-2025</t>
        </is>
      </c>
      <c r="B862" s="1" t="n">
        <v>45771</v>
      </c>
      <c r="C862" s="1" t="n">
        <v>45994</v>
      </c>
      <c r="D862" t="inlineStr">
        <is>
          <t>STOCKHOLMS LÄN</t>
        </is>
      </c>
      <c r="E862" t="inlineStr">
        <is>
          <t>NORRTÄLJE</t>
        </is>
      </c>
      <c r="G862" t="n">
        <v>1.4</v>
      </c>
      <c r="H862" t="n">
        <v>0</v>
      </c>
      <c r="I862" t="n">
        <v>0</v>
      </c>
      <c r="J862" t="n">
        <v>0</v>
      </c>
      <c r="K862" t="n">
        <v>0</v>
      </c>
      <c r="L862" t="n">
        <v>0</v>
      </c>
      <c r="M862" t="n">
        <v>0</v>
      </c>
      <c r="N862" t="n">
        <v>0</v>
      </c>
      <c r="O862" t="n">
        <v>0</v>
      </c>
      <c r="P862" t="n">
        <v>0</v>
      </c>
      <c r="Q862" t="n">
        <v>0</v>
      </c>
      <c r="R862" s="2" t="inlineStr"/>
    </row>
    <row r="863" ht="15" customHeight="1">
      <c r="A863" t="inlineStr">
        <is>
          <t>A 5831-2022</t>
        </is>
      </c>
      <c r="B863" s="1" t="n">
        <v>44596</v>
      </c>
      <c r="C863" s="1" t="n">
        <v>45994</v>
      </c>
      <c r="D863" t="inlineStr">
        <is>
          <t>STOCKHOLMS LÄN</t>
        </is>
      </c>
      <c r="E863" t="inlineStr">
        <is>
          <t>NORRTÄLJE</t>
        </is>
      </c>
      <c r="G863" t="n">
        <v>4.8</v>
      </c>
      <c r="H863" t="n">
        <v>0</v>
      </c>
      <c r="I863" t="n">
        <v>0</v>
      </c>
      <c r="J863" t="n">
        <v>0</v>
      </c>
      <c r="K863" t="n">
        <v>0</v>
      </c>
      <c r="L863" t="n">
        <v>0</v>
      </c>
      <c r="M863" t="n">
        <v>0</v>
      </c>
      <c r="N863" t="n">
        <v>0</v>
      </c>
      <c r="O863" t="n">
        <v>0</v>
      </c>
      <c r="P863" t="n">
        <v>0</v>
      </c>
      <c r="Q863" t="n">
        <v>0</v>
      </c>
      <c r="R863" s="2" t="inlineStr"/>
    </row>
    <row r="864" ht="15" customHeight="1">
      <c r="A864" t="inlineStr">
        <is>
          <t>A 5867-2022</t>
        </is>
      </c>
      <c r="B864" s="1" t="n">
        <v>44596.66335648148</v>
      </c>
      <c r="C864" s="1" t="n">
        <v>45994</v>
      </c>
      <c r="D864" t="inlineStr">
        <is>
          <t>STOCKHOLMS LÄN</t>
        </is>
      </c>
      <c r="E864" t="inlineStr">
        <is>
          <t>NORRTÄLJE</t>
        </is>
      </c>
      <c r="F864" t="inlineStr">
        <is>
          <t>Naturvårdsverket</t>
        </is>
      </c>
      <c r="G864" t="n">
        <v>1.6</v>
      </c>
      <c r="H864" t="n">
        <v>0</v>
      </c>
      <c r="I864" t="n">
        <v>0</v>
      </c>
      <c r="J864" t="n">
        <v>0</v>
      </c>
      <c r="K864" t="n">
        <v>0</v>
      </c>
      <c r="L864" t="n">
        <v>0</v>
      </c>
      <c r="M864" t="n">
        <v>0</v>
      </c>
      <c r="N864" t="n">
        <v>0</v>
      </c>
      <c r="O864" t="n">
        <v>0</v>
      </c>
      <c r="P864" t="n">
        <v>0</v>
      </c>
      <c r="Q864" t="n">
        <v>0</v>
      </c>
      <c r="R864" s="2" t="inlineStr"/>
    </row>
    <row r="865" ht="15" customHeight="1">
      <c r="A865" t="inlineStr">
        <is>
          <t>A 19058-2024</t>
        </is>
      </c>
      <c r="B865" s="1" t="n">
        <v>45427.89121527778</v>
      </c>
      <c r="C865" s="1" t="n">
        <v>45994</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41053-2025</t>
        </is>
      </c>
      <c r="B866" s="1" t="n">
        <v>45898.40480324074</v>
      </c>
      <c r="C866" s="1" t="n">
        <v>45994</v>
      </c>
      <c r="D866" t="inlineStr">
        <is>
          <t>STOCKHOLMS LÄN</t>
        </is>
      </c>
      <c r="E866" t="inlineStr">
        <is>
          <t>NORRTÄLJE</t>
        </is>
      </c>
      <c r="F866" t="inlineStr">
        <is>
          <t>Holmen skog AB</t>
        </is>
      </c>
      <c r="G866" t="n">
        <v>2.5</v>
      </c>
      <c r="H866" t="n">
        <v>0</v>
      </c>
      <c r="I866" t="n">
        <v>0</v>
      </c>
      <c r="J866" t="n">
        <v>0</v>
      </c>
      <c r="K866" t="n">
        <v>0</v>
      </c>
      <c r="L866" t="n">
        <v>0</v>
      </c>
      <c r="M866" t="n">
        <v>0</v>
      </c>
      <c r="N866" t="n">
        <v>0</v>
      </c>
      <c r="O866" t="n">
        <v>0</v>
      </c>
      <c r="P866" t="n">
        <v>0</v>
      </c>
      <c r="Q866" t="n">
        <v>0</v>
      </c>
      <c r="R866" s="2" t="inlineStr"/>
    </row>
    <row r="867" ht="15" customHeight="1">
      <c r="A867" t="inlineStr">
        <is>
          <t>A 41275-2025</t>
        </is>
      </c>
      <c r="B867" s="1" t="n">
        <v>45898.62625</v>
      </c>
      <c r="C867" s="1" t="n">
        <v>45994</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41272-2025</t>
        </is>
      </c>
      <c r="B868" s="1" t="n">
        <v>45898.62373842593</v>
      </c>
      <c r="C868" s="1" t="n">
        <v>45994</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29266-2022</t>
        </is>
      </c>
      <c r="B869" s="1" t="n">
        <v>44750.66068287037</v>
      </c>
      <c r="C869" s="1" t="n">
        <v>45994</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29278-2022</t>
        </is>
      </c>
      <c r="B870" s="1" t="n">
        <v>44750</v>
      </c>
      <c r="C870" s="1" t="n">
        <v>45994</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20244-2025</t>
        </is>
      </c>
      <c r="B871" s="1" t="n">
        <v>45772.71221064815</v>
      </c>
      <c r="C871" s="1" t="n">
        <v>45994</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37273-2024</t>
        </is>
      </c>
      <c r="B872" s="1" t="n">
        <v>45540</v>
      </c>
      <c r="C872" s="1" t="n">
        <v>45994</v>
      </c>
      <c r="D872" t="inlineStr">
        <is>
          <t>STOCKHOLMS LÄN</t>
        </is>
      </c>
      <c r="E872" t="inlineStr">
        <is>
          <t>NORRTÄLJE</t>
        </is>
      </c>
      <c r="F872" t="inlineStr">
        <is>
          <t>Sveaskog</t>
        </is>
      </c>
      <c r="G872" t="n">
        <v>12.5</v>
      </c>
      <c r="H872" t="n">
        <v>0</v>
      </c>
      <c r="I872" t="n">
        <v>0</v>
      </c>
      <c r="J872" t="n">
        <v>0</v>
      </c>
      <c r="K872" t="n">
        <v>0</v>
      </c>
      <c r="L872" t="n">
        <v>0</v>
      </c>
      <c r="M872" t="n">
        <v>0</v>
      </c>
      <c r="N872" t="n">
        <v>0</v>
      </c>
      <c r="O872" t="n">
        <v>0</v>
      </c>
      <c r="P872" t="n">
        <v>0</v>
      </c>
      <c r="Q872" t="n">
        <v>0</v>
      </c>
      <c r="R872" s="2" t="inlineStr"/>
    </row>
    <row r="873" ht="15" customHeight="1">
      <c r="A873" t="inlineStr">
        <is>
          <t>A 12908-2025</t>
        </is>
      </c>
      <c r="B873" s="1" t="n">
        <v>45733.82105324074</v>
      </c>
      <c r="C873" s="1" t="n">
        <v>45994</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48633-2023</t>
        </is>
      </c>
      <c r="B874" s="1" t="n">
        <v>45208.58004629629</v>
      </c>
      <c r="C874" s="1" t="n">
        <v>45994</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41301-2025</t>
        </is>
      </c>
      <c r="B875" s="1" t="n">
        <v>45898.68826388889</v>
      </c>
      <c r="C875" s="1" t="n">
        <v>45994</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23060-2023</t>
        </is>
      </c>
      <c r="B876" s="1" t="n">
        <v>45075</v>
      </c>
      <c r="C876" s="1" t="n">
        <v>45994</v>
      </c>
      <c r="D876" t="inlineStr">
        <is>
          <t>STOCKHOLMS LÄN</t>
        </is>
      </c>
      <c r="E876" t="inlineStr">
        <is>
          <t>NORRTÄLJE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39669-2024</t>
        </is>
      </c>
      <c r="B877" s="1" t="n">
        <v>45552.52827546297</v>
      </c>
      <c r="C877" s="1" t="n">
        <v>45994</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41174-2025</t>
        </is>
      </c>
      <c r="B878" s="1" t="n">
        <v>45898.54921296296</v>
      </c>
      <c r="C878" s="1" t="n">
        <v>45994</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41030-2025</t>
        </is>
      </c>
      <c r="B879" s="1" t="n">
        <v>45898.37636574074</v>
      </c>
      <c r="C879" s="1" t="n">
        <v>45994</v>
      </c>
      <c r="D879" t="inlineStr">
        <is>
          <t>STOCKHOLMS LÄN</t>
        </is>
      </c>
      <c r="E879" t="inlineStr">
        <is>
          <t>NORRTÄLJE</t>
        </is>
      </c>
      <c r="F879" t="inlineStr">
        <is>
          <t>Holmen skog AB</t>
        </is>
      </c>
      <c r="G879" t="n">
        <v>2.6</v>
      </c>
      <c r="H879" t="n">
        <v>0</v>
      </c>
      <c r="I879" t="n">
        <v>0</v>
      </c>
      <c r="J879" t="n">
        <v>0</v>
      </c>
      <c r="K879" t="n">
        <v>0</v>
      </c>
      <c r="L879" t="n">
        <v>0</v>
      </c>
      <c r="M879" t="n">
        <v>0</v>
      </c>
      <c r="N879" t="n">
        <v>0</v>
      </c>
      <c r="O879" t="n">
        <v>0</v>
      </c>
      <c r="P879" t="n">
        <v>0</v>
      </c>
      <c r="Q879" t="n">
        <v>0</v>
      </c>
      <c r="R879" s="2" t="inlineStr"/>
    </row>
    <row r="880" ht="15" customHeight="1">
      <c r="A880" t="inlineStr">
        <is>
          <t>A 24638-2025</t>
        </is>
      </c>
      <c r="B880" s="1" t="n">
        <v>45798</v>
      </c>
      <c r="C880" s="1" t="n">
        <v>45994</v>
      </c>
      <c r="D880" t="inlineStr">
        <is>
          <t>STOCKHOLMS LÄN</t>
        </is>
      </c>
      <c r="E880" t="inlineStr">
        <is>
          <t>NORRTÄLJE</t>
        </is>
      </c>
      <c r="G880" t="n">
        <v>0.6</v>
      </c>
      <c r="H880" t="n">
        <v>0</v>
      </c>
      <c r="I880" t="n">
        <v>0</v>
      </c>
      <c r="J880" t="n">
        <v>0</v>
      </c>
      <c r="K880" t="n">
        <v>0</v>
      </c>
      <c r="L880" t="n">
        <v>0</v>
      </c>
      <c r="M880" t="n">
        <v>0</v>
      </c>
      <c r="N880" t="n">
        <v>0</v>
      </c>
      <c r="O880" t="n">
        <v>0</v>
      </c>
      <c r="P880" t="n">
        <v>0</v>
      </c>
      <c r="Q880" t="n">
        <v>0</v>
      </c>
      <c r="R880" s="2" t="inlineStr"/>
    </row>
    <row r="881" ht="15" customHeight="1">
      <c r="A881" t="inlineStr">
        <is>
          <t>A 41036-2025</t>
        </is>
      </c>
      <c r="B881" s="1" t="n">
        <v>45898.38552083333</v>
      </c>
      <c r="C881" s="1" t="n">
        <v>45994</v>
      </c>
      <c r="D881" t="inlineStr">
        <is>
          <t>STOCKHOLMS LÄN</t>
        </is>
      </c>
      <c r="E881" t="inlineStr">
        <is>
          <t>NORRTÄLJE</t>
        </is>
      </c>
      <c r="F881" t="inlineStr">
        <is>
          <t>Holmen skog AB</t>
        </is>
      </c>
      <c r="G881" t="n">
        <v>2.7</v>
      </c>
      <c r="H881" t="n">
        <v>0</v>
      </c>
      <c r="I881" t="n">
        <v>0</v>
      </c>
      <c r="J881" t="n">
        <v>0</v>
      </c>
      <c r="K881" t="n">
        <v>0</v>
      </c>
      <c r="L881" t="n">
        <v>0</v>
      </c>
      <c r="M881" t="n">
        <v>0</v>
      </c>
      <c r="N881" t="n">
        <v>0</v>
      </c>
      <c r="O881" t="n">
        <v>0</v>
      </c>
      <c r="P881" t="n">
        <v>0</v>
      </c>
      <c r="Q881" t="n">
        <v>0</v>
      </c>
      <c r="R881" s="2" t="inlineStr"/>
    </row>
    <row r="882" ht="15" customHeight="1">
      <c r="A882" t="inlineStr">
        <is>
          <t>A 41106-2025</t>
        </is>
      </c>
      <c r="B882" s="1" t="n">
        <v>45898.45636574074</v>
      </c>
      <c r="C882" s="1" t="n">
        <v>45994</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41110-2025</t>
        </is>
      </c>
      <c r="B883" s="1" t="n">
        <v>45898.45976851852</v>
      </c>
      <c r="C883" s="1" t="n">
        <v>45994</v>
      </c>
      <c r="D883" t="inlineStr">
        <is>
          <t>STOCKHOLMS LÄN</t>
        </is>
      </c>
      <c r="E883" t="inlineStr">
        <is>
          <t>NORRTÄLJE</t>
        </is>
      </c>
      <c r="F883" t="inlineStr">
        <is>
          <t>Holmen skog AB</t>
        </is>
      </c>
      <c r="G883" t="n">
        <v>6.7</v>
      </c>
      <c r="H883" t="n">
        <v>0</v>
      </c>
      <c r="I883" t="n">
        <v>0</v>
      </c>
      <c r="J883" t="n">
        <v>0</v>
      </c>
      <c r="K883" t="n">
        <v>0</v>
      </c>
      <c r="L883" t="n">
        <v>0</v>
      </c>
      <c r="M883" t="n">
        <v>0</v>
      </c>
      <c r="N883" t="n">
        <v>0</v>
      </c>
      <c r="O883" t="n">
        <v>0</v>
      </c>
      <c r="P883" t="n">
        <v>0</v>
      </c>
      <c r="Q883" t="n">
        <v>0</v>
      </c>
      <c r="R883" s="2" t="inlineStr"/>
    </row>
    <row r="884" ht="15" customHeight="1">
      <c r="A884" t="inlineStr">
        <is>
          <t>A 41259-2025</t>
        </is>
      </c>
      <c r="B884" s="1" t="n">
        <v>45898.61054398148</v>
      </c>
      <c r="C884" s="1" t="n">
        <v>45994</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10511-2025</t>
        </is>
      </c>
      <c r="B885" s="1" t="n">
        <v>45721.40780092592</v>
      </c>
      <c r="C885" s="1" t="n">
        <v>45994</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45994</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19057-2024</t>
        </is>
      </c>
      <c r="B887" s="1" t="n">
        <v>45427.88731481481</v>
      </c>
      <c r="C887" s="1" t="n">
        <v>45994</v>
      </c>
      <c r="D887" t="inlineStr">
        <is>
          <t>STOCKHOLMS LÄN</t>
        </is>
      </c>
      <c r="E887" t="inlineStr">
        <is>
          <t>NORRTÄLJE</t>
        </is>
      </c>
      <c r="G887" t="n">
        <v>3</v>
      </c>
      <c r="H887" t="n">
        <v>0</v>
      </c>
      <c r="I887" t="n">
        <v>0</v>
      </c>
      <c r="J887" t="n">
        <v>0</v>
      </c>
      <c r="K887" t="n">
        <v>0</v>
      </c>
      <c r="L887" t="n">
        <v>0</v>
      </c>
      <c r="M887" t="n">
        <v>0</v>
      </c>
      <c r="N887" t="n">
        <v>0</v>
      </c>
      <c r="O887" t="n">
        <v>0</v>
      </c>
      <c r="P887" t="n">
        <v>0</v>
      </c>
      <c r="Q887" t="n">
        <v>0</v>
      </c>
      <c r="R887" s="2" t="inlineStr"/>
    </row>
    <row r="888" ht="15" customHeight="1">
      <c r="A888" t="inlineStr">
        <is>
          <t>A 6401-2024</t>
        </is>
      </c>
      <c r="B888" s="1" t="n">
        <v>45338</v>
      </c>
      <c r="C888" s="1" t="n">
        <v>45994</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43170-2023</t>
        </is>
      </c>
      <c r="B889" s="1" t="n">
        <v>45183</v>
      </c>
      <c r="C889" s="1" t="n">
        <v>45994</v>
      </c>
      <c r="D889" t="inlineStr">
        <is>
          <t>STOCKHOLMS LÄN</t>
        </is>
      </c>
      <c r="E889" t="inlineStr">
        <is>
          <t>NORRTÄLJE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9-2024</t>
        </is>
      </c>
      <c r="B890" s="1" t="n">
        <v>45293</v>
      </c>
      <c r="C890" s="1" t="n">
        <v>45994</v>
      </c>
      <c r="D890" t="inlineStr">
        <is>
          <t>STOCKHOLMS LÄN</t>
        </is>
      </c>
      <c r="E890" t="inlineStr">
        <is>
          <t>NORRTÄLJE</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22832-2021</t>
        </is>
      </c>
      <c r="B891" s="1" t="n">
        <v>44325</v>
      </c>
      <c r="C891" s="1" t="n">
        <v>45994</v>
      </c>
      <c r="D891" t="inlineStr">
        <is>
          <t>STOCKHOLMS LÄN</t>
        </is>
      </c>
      <c r="E891" t="inlineStr">
        <is>
          <t>NORRTÄLJE</t>
        </is>
      </c>
      <c r="G891" t="n">
        <v>6.8</v>
      </c>
      <c r="H891" t="n">
        <v>0</v>
      </c>
      <c r="I891" t="n">
        <v>0</v>
      </c>
      <c r="J891" t="n">
        <v>0</v>
      </c>
      <c r="K891" t="n">
        <v>0</v>
      </c>
      <c r="L891" t="n">
        <v>0</v>
      </c>
      <c r="M891" t="n">
        <v>0</v>
      </c>
      <c r="N891" t="n">
        <v>0</v>
      </c>
      <c r="O891" t="n">
        <v>0</v>
      </c>
      <c r="P891" t="n">
        <v>0</v>
      </c>
      <c r="Q891" t="n">
        <v>0</v>
      </c>
      <c r="R891" s="2" t="inlineStr"/>
    </row>
    <row r="892" ht="15" customHeight="1">
      <c r="A892" t="inlineStr">
        <is>
          <t>A 41966-2025</t>
        </is>
      </c>
      <c r="B892" s="1" t="n">
        <v>45903.47456018518</v>
      </c>
      <c r="C892" s="1" t="n">
        <v>45994</v>
      </c>
      <c r="D892" t="inlineStr">
        <is>
          <t>STOCKHOLMS LÄN</t>
        </is>
      </c>
      <c r="E892" t="inlineStr">
        <is>
          <t>NORRTÄLJE</t>
        </is>
      </c>
      <c r="F892" t="inlineStr">
        <is>
          <t>Sveaskog</t>
        </is>
      </c>
      <c r="G892" t="n">
        <v>3.7</v>
      </c>
      <c r="H892" t="n">
        <v>0</v>
      </c>
      <c r="I892" t="n">
        <v>0</v>
      </c>
      <c r="J892" t="n">
        <v>0</v>
      </c>
      <c r="K892" t="n">
        <v>0</v>
      </c>
      <c r="L892" t="n">
        <v>0</v>
      </c>
      <c r="M892" t="n">
        <v>0</v>
      </c>
      <c r="N892" t="n">
        <v>0</v>
      </c>
      <c r="O892" t="n">
        <v>0</v>
      </c>
      <c r="P892" t="n">
        <v>0</v>
      </c>
      <c r="Q892" t="n">
        <v>0</v>
      </c>
      <c r="R892" s="2" t="inlineStr"/>
    </row>
    <row r="893" ht="15" customHeight="1">
      <c r="A893" t="inlineStr">
        <is>
          <t>A 59504-2023</t>
        </is>
      </c>
      <c r="B893" s="1" t="n">
        <v>45254</v>
      </c>
      <c r="C893" s="1" t="n">
        <v>45994</v>
      </c>
      <c r="D893" t="inlineStr">
        <is>
          <t>STOCKHOLMS LÄN</t>
        </is>
      </c>
      <c r="E893" t="inlineStr">
        <is>
          <t>NORRTÄLJE</t>
        </is>
      </c>
      <c r="G893" t="n">
        <v>0.9</v>
      </c>
      <c r="H893" t="n">
        <v>0</v>
      </c>
      <c r="I893" t="n">
        <v>0</v>
      </c>
      <c r="J893" t="n">
        <v>0</v>
      </c>
      <c r="K893" t="n">
        <v>0</v>
      </c>
      <c r="L893" t="n">
        <v>0</v>
      </c>
      <c r="M893" t="n">
        <v>0</v>
      </c>
      <c r="N893" t="n">
        <v>0</v>
      </c>
      <c r="O893" t="n">
        <v>0</v>
      </c>
      <c r="P893" t="n">
        <v>0</v>
      </c>
      <c r="Q893" t="n">
        <v>0</v>
      </c>
      <c r="R893" s="2" t="inlineStr"/>
    </row>
    <row r="894" ht="15" customHeight="1">
      <c r="A894" t="inlineStr">
        <is>
          <t>A 42038-2025</t>
        </is>
      </c>
      <c r="B894" s="1" t="n">
        <v>45903.61431712963</v>
      </c>
      <c r="C894" s="1" t="n">
        <v>45994</v>
      </c>
      <c r="D894" t="inlineStr">
        <is>
          <t>STOCKHOLMS LÄN</t>
        </is>
      </c>
      <c r="E894" t="inlineStr">
        <is>
          <t>NORRTÄLJE</t>
        </is>
      </c>
      <c r="F894" t="inlineStr">
        <is>
          <t>Sveaskog</t>
        </is>
      </c>
      <c r="G894" t="n">
        <v>6.4</v>
      </c>
      <c r="H894" t="n">
        <v>0</v>
      </c>
      <c r="I894" t="n">
        <v>0</v>
      </c>
      <c r="J894" t="n">
        <v>0</v>
      </c>
      <c r="K894" t="n">
        <v>0</v>
      </c>
      <c r="L894" t="n">
        <v>0</v>
      </c>
      <c r="M894" t="n">
        <v>0</v>
      </c>
      <c r="N894" t="n">
        <v>0</v>
      </c>
      <c r="O894" t="n">
        <v>0</v>
      </c>
      <c r="P894" t="n">
        <v>0</v>
      </c>
      <c r="Q894" t="n">
        <v>0</v>
      </c>
      <c r="R894" s="2" t="inlineStr"/>
    </row>
    <row r="895" ht="15" customHeight="1">
      <c r="A895" t="inlineStr">
        <is>
          <t>A 16913-2025</t>
        </is>
      </c>
      <c r="B895" s="1" t="n">
        <v>45755.36583333334</v>
      </c>
      <c r="C895" s="1" t="n">
        <v>45994</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4035-2023</t>
        </is>
      </c>
      <c r="B896" s="1" t="n">
        <v>44952.57989583333</v>
      </c>
      <c r="C896" s="1" t="n">
        <v>45994</v>
      </c>
      <c r="D896" t="inlineStr">
        <is>
          <t>STOCKHOLMS LÄN</t>
        </is>
      </c>
      <c r="E896" t="inlineStr">
        <is>
          <t>NORRTÄLJE</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33793-2022</t>
        </is>
      </c>
      <c r="B897" s="1" t="n">
        <v>44790</v>
      </c>
      <c r="C897" s="1" t="n">
        <v>45994</v>
      </c>
      <c r="D897" t="inlineStr">
        <is>
          <t>STOCKHOLMS LÄN</t>
        </is>
      </c>
      <c r="E897" t="inlineStr">
        <is>
          <t>NORRTÄLJE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53600-2022</t>
        </is>
      </c>
      <c r="B898" s="1" t="n">
        <v>44879.70518518519</v>
      </c>
      <c r="C898" s="1" t="n">
        <v>45994</v>
      </c>
      <c r="D898" t="inlineStr">
        <is>
          <t>STOCKHOLMS LÄN</t>
        </is>
      </c>
      <c r="E898" t="inlineStr">
        <is>
          <t>NORRTÄLJE</t>
        </is>
      </c>
      <c r="G898" t="n">
        <v>4.3</v>
      </c>
      <c r="H898" t="n">
        <v>0</v>
      </c>
      <c r="I898" t="n">
        <v>0</v>
      </c>
      <c r="J898" t="n">
        <v>0</v>
      </c>
      <c r="K898" t="n">
        <v>0</v>
      </c>
      <c r="L898" t="n">
        <v>0</v>
      </c>
      <c r="M898" t="n">
        <v>0</v>
      </c>
      <c r="N898" t="n">
        <v>0</v>
      </c>
      <c r="O898" t="n">
        <v>0</v>
      </c>
      <c r="P898" t="n">
        <v>0</v>
      </c>
      <c r="Q898" t="n">
        <v>0</v>
      </c>
      <c r="R898" s="2" t="inlineStr"/>
    </row>
    <row r="899" ht="15" customHeight="1">
      <c r="A899" t="inlineStr">
        <is>
          <t>A 7697-2025</t>
        </is>
      </c>
      <c r="B899" s="1" t="n">
        <v>45706.40086805556</v>
      </c>
      <c r="C899" s="1" t="n">
        <v>45994</v>
      </c>
      <c r="D899" t="inlineStr">
        <is>
          <t>STOCKHOLMS LÄN</t>
        </is>
      </c>
      <c r="E899" t="inlineStr">
        <is>
          <t>NORRTÄLJE</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30221-2024</t>
        </is>
      </c>
      <c r="B900" s="1" t="n">
        <v>45490.45342592592</v>
      </c>
      <c r="C900" s="1" t="n">
        <v>45994</v>
      </c>
      <c r="D900" t="inlineStr">
        <is>
          <t>STOCKHOLMS LÄN</t>
        </is>
      </c>
      <c r="E900" t="inlineStr">
        <is>
          <t>NORRTÄLJE</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41964-2025</t>
        </is>
      </c>
      <c r="B901" s="1" t="n">
        <v>45903.47270833333</v>
      </c>
      <c r="C901" s="1" t="n">
        <v>45994</v>
      </c>
      <c r="D901" t="inlineStr">
        <is>
          <t>STOCKHOLMS LÄN</t>
        </is>
      </c>
      <c r="E901" t="inlineStr">
        <is>
          <t>NORRTÄLJE</t>
        </is>
      </c>
      <c r="F901" t="inlineStr">
        <is>
          <t>Sveaskog</t>
        </is>
      </c>
      <c r="G901" t="n">
        <v>4</v>
      </c>
      <c r="H901" t="n">
        <v>0</v>
      </c>
      <c r="I901" t="n">
        <v>0</v>
      </c>
      <c r="J901" t="n">
        <v>0</v>
      </c>
      <c r="K901" t="n">
        <v>0</v>
      </c>
      <c r="L901" t="n">
        <v>0</v>
      </c>
      <c r="M901" t="n">
        <v>0</v>
      </c>
      <c r="N901" t="n">
        <v>0</v>
      </c>
      <c r="O901" t="n">
        <v>0</v>
      </c>
      <c r="P901" t="n">
        <v>0</v>
      </c>
      <c r="Q901" t="n">
        <v>0</v>
      </c>
      <c r="R901" s="2" t="inlineStr"/>
    </row>
    <row r="902" ht="15" customHeight="1">
      <c r="A902" t="inlineStr">
        <is>
          <t>A 52321-2024</t>
        </is>
      </c>
      <c r="B902" s="1" t="n">
        <v>45608</v>
      </c>
      <c r="C902" s="1" t="n">
        <v>45994</v>
      </c>
      <c r="D902" t="inlineStr">
        <is>
          <t>STOCKHOLMS LÄN</t>
        </is>
      </c>
      <c r="E902" t="inlineStr">
        <is>
          <t>NORRTÄLJE</t>
        </is>
      </c>
      <c r="G902" t="n">
        <v>18.1</v>
      </c>
      <c r="H902" t="n">
        <v>0</v>
      </c>
      <c r="I902" t="n">
        <v>0</v>
      </c>
      <c r="J902" t="n">
        <v>0</v>
      </c>
      <c r="K902" t="n">
        <v>0</v>
      </c>
      <c r="L902" t="n">
        <v>0</v>
      </c>
      <c r="M902" t="n">
        <v>0</v>
      </c>
      <c r="N902" t="n">
        <v>0</v>
      </c>
      <c r="O902" t="n">
        <v>0</v>
      </c>
      <c r="P902" t="n">
        <v>0</v>
      </c>
      <c r="Q902" t="n">
        <v>0</v>
      </c>
      <c r="R902" s="2" t="inlineStr"/>
    </row>
    <row r="903" ht="15" customHeight="1">
      <c r="A903" t="inlineStr">
        <is>
          <t>A 48151-2024</t>
        </is>
      </c>
      <c r="B903" s="1" t="n">
        <v>45589.68289351852</v>
      </c>
      <c r="C903" s="1" t="n">
        <v>45994</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13-2024</t>
        </is>
      </c>
      <c r="B904" s="1" t="n">
        <v>45293.37263888889</v>
      </c>
      <c r="C904" s="1" t="n">
        <v>45994</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19-2024</t>
        </is>
      </c>
      <c r="B905" s="1" t="n">
        <v>45293</v>
      </c>
      <c r="C905" s="1" t="n">
        <v>45994</v>
      </c>
      <c r="D905" t="inlineStr">
        <is>
          <t>STOCKHOLMS LÄN</t>
        </is>
      </c>
      <c r="E905" t="inlineStr">
        <is>
          <t>NORRTÄLJE</t>
        </is>
      </c>
      <c r="G905" t="n">
        <v>0.3</v>
      </c>
      <c r="H905" t="n">
        <v>0</v>
      </c>
      <c r="I905" t="n">
        <v>0</v>
      </c>
      <c r="J905" t="n">
        <v>0</v>
      </c>
      <c r="K905" t="n">
        <v>0</v>
      </c>
      <c r="L905" t="n">
        <v>0</v>
      </c>
      <c r="M905" t="n">
        <v>0</v>
      </c>
      <c r="N905" t="n">
        <v>0</v>
      </c>
      <c r="O905" t="n">
        <v>0</v>
      </c>
      <c r="P905" t="n">
        <v>0</v>
      </c>
      <c r="Q905" t="n">
        <v>0</v>
      </c>
      <c r="R905" s="2" t="inlineStr"/>
    </row>
    <row r="906" ht="15" customHeight="1">
      <c r="A906" t="inlineStr">
        <is>
          <t>A 31559-2022</t>
        </is>
      </c>
      <c r="B906" s="1" t="n">
        <v>44775</v>
      </c>
      <c r="C906" s="1" t="n">
        <v>45994</v>
      </c>
      <c r="D906" t="inlineStr">
        <is>
          <t>STOCKHOLMS LÄN</t>
        </is>
      </c>
      <c r="E906" t="inlineStr">
        <is>
          <t>NORRTÄLJE</t>
        </is>
      </c>
      <c r="G906" t="n">
        <v>5.6</v>
      </c>
      <c r="H906" t="n">
        <v>0</v>
      </c>
      <c r="I906" t="n">
        <v>0</v>
      </c>
      <c r="J906" t="n">
        <v>0</v>
      </c>
      <c r="K906" t="n">
        <v>0</v>
      </c>
      <c r="L906" t="n">
        <v>0</v>
      </c>
      <c r="M906" t="n">
        <v>0</v>
      </c>
      <c r="N906" t="n">
        <v>0</v>
      </c>
      <c r="O906" t="n">
        <v>0</v>
      </c>
      <c r="P906" t="n">
        <v>0</v>
      </c>
      <c r="Q906" t="n">
        <v>0</v>
      </c>
      <c r="R906" s="2" t="inlineStr"/>
    </row>
    <row r="907" ht="15" customHeight="1">
      <c r="A907" t="inlineStr">
        <is>
          <t>A 8419-2025</t>
        </is>
      </c>
      <c r="B907" s="1" t="n">
        <v>45709.40231481481</v>
      </c>
      <c r="C907" s="1" t="n">
        <v>45994</v>
      </c>
      <c r="D907" t="inlineStr">
        <is>
          <t>STOCKHOLMS LÄN</t>
        </is>
      </c>
      <c r="E907" t="inlineStr">
        <is>
          <t>NORRTÄLJE</t>
        </is>
      </c>
      <c r="F907" t="inlineStr">
        <is>
          <t>Holmen skog AB</t>
        </is>
      </c>
      <c r="G907" t="n">
        <v>1.2</v>
      </c>
      <c r="H907" t="n">
        <v>0</v>
      </c>
      <c r="I907" t="n">
        <v>0</v>
      </c>
      <c r="J907" t="n">
        <v>0</v>
      </c>
      <c r="K907" t="n">
        <v>0</v>
      </c>
      <c r="L907" t="n">
        <v>0</v>
      </c>
      <c r="M907" t="n">
        <v>0</v>
      </c>
      <c r="N907" t="n">
        <v>0</v>
      </c>
      <c r="O907" t="n">
        <v>0</v>
      </c>
      <c r="P907" t="n">
        <v>0</v>
      </c>
      <c r="Q907" t="n">
        <v>0</v>
      </c>
      <c r="R907" s="2" t="inlineStr"/>
    </row>
    <row r="908" ht="15" customHeight="1">
      <c r="A908" t="inlineStr">
        <is>
          <t>A 66662-2020</t>
        </is>
      </c>
      <c r="B908" s="1" t="n">
        <v>44179</v>
      </c>
      <c r="C908" s="1" t="n">
        <v>45994</v>
      </c>
      <c r="D908" t="inlineStr">
        <is>
          <t>STOCKHOLMS LÄN</t>
        </is>
      </c>
      <c r="E908" t="inlineStr">
        <is>
          <t>NORRTÄLJE</t>
        </is>
      </c>
      <c r="G908" t="n">
        <v>1.9</v>
      </c>
      <c r="H908" t="n">
        <v>0</v>
      </c>
      <c r="I908" t="n">
        <v>0</v>
      </c>
      <c r="J908" t="n">
        <v>0</v>
      </c>
      <c r="K908" t="n">
        <v>0</v>
      </c>
      <c r="L908" t="n">
        <v>0</v>
      </c>
      <c r="M908" t="n">
        <v>0</v>
      </c>
      <c r="N908" t="n">
        <v>0</v>
      </c>
      <c r="O908" t="n">
        <v>0</v>
      </c>
      <c r="P908" t="n">
        <v>0</v>
      </c>
      <c r="Q908" t="n">
        <v>0</v>
      </c>
      <c r="R908" s="2" t="inlineStr"/>
    </row>
    <row r="909" ht="15" customHeight="1">
      <c r="A909" t="inlineStr">
        <is>
          <t>A 35161-2022</t>
        </is>
      </c>
      <c r="B909" s="1" t="n">
        <v>44797</v>
      </c>
      <c r="C909" s="1" t="n">
        <v>45994</v>
      </c>
      <c r="D909" t="inlineStr">
        <is>
          <t>STOCKHOLMS LÄN</t>
        </is>
      </c>
      <c r="E909" t="inlineStr">
        <is>
          <t>NORRTÄLJE</t>
        </is>
      </c>
      <c r="G909" t="n">
        <v>6</v>
      </c>
      <c r="H909" t="n">
        <v>0</v>
      </c>
      <c r="I909" t="n">
        <v>0</v>
      </c>
      <c r="J909" t="n">
        <v>0</v>
      </c>
      <c r="K909" t="n">
        <v>0</v>
      </c>
      <c r="L909" t="n">
        <v>0</v>
      </c>
      <c r="M909" t="n">
        <v>0</v>
      </c>
      <c r="N909" t="n">
        <v>0</v>
      </c>
      <c r="O909" t="n">
        <v>0</v>
      </c>
      <c r="P909" t="n">
        <v>0</v>
      </c>
      <c r="Q909" t="n">
        <v>0</v>
      </c>
      <c r="R909" s="2" t="inlineStr"/>
    </row>
    <row r="910" ht="15" customHeight="1">
      <c r="A910" t="inlineStr">
        <is>
          <t>A 30699-2025</t>
        </is>
      </c>
      <c r="B910" s="1" t="n">
        <v>45831.54618055555</v>
      </c>
      <c r="C910" s="1" t="n">
        <v>45994</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20370-2025</t>
        </is>
      </c>
      <c r="B911" s="1" t="n">
        <v>45775.41451388889</v>
      </c>
      <c r="C911" s="1" t="n">
        <v>45994</v>
      </c>
      <c r="D911" t="inlineStr">
        <is>
          <t>STOCKHOLMS LÄN</t>
        </is>
      </c>
      <c r="E911" t="inlineStr">
        <is>
          <t>NORRTÄLJE</t>
        </is>
      </c>
      <c r="G911" t="n">
        <v>2.9</v>
      </c>
      <c r="H911" t="n">
        <v>0</v>
      </c>
      <c r="I911" t="n">
        <v>0</v>
      </c>
      <c r="J911" t="n">
        <v>0</v>
      </c>
      <c r="K911" t="n">
        <v>0</v>
      </c>
      <c r="L911" t="n">
        <v>0</v>
      </c>
      <c r="M911" t="n">
        <v>0</v>
      </c>
      <c r="N911" t="n">
        <v>0</v>
      </c>
      <c r="O911" t="n">
        <v>0</v>
      </c>
      <c r="P911" t="n">
        <v>0</v>
      </c>
      <c r="Q911" t="n">
        <v>0</v>
      </c>
      <c r="R911" s="2" t="inlineStr"/>
    </row>
    <row r="912" ht="15" customHeight="1">
      <c r="A912" t="inlineStr">
        <is>
          <t>A 28603-2024</t>
        </is>
      </c>
      <c r="B912" s="1" t="n">
        <v>45478.42887731481</v>
      </c>
      <c r="C912" s="1" t="n">
        <v>45994</v>
      </c>
      <c r="D912" t="inlineStr">
        <is>
          <t>STOCKHOLMS LÄN</t>
        </is>
      </c>
      <c r="E912" t="inlineStr">
        <is>
          <t>NORRTÄLJE</t>
        </is>
      </c>
      <c r="G912" t="n">
        <v>5.6</v>
      </c>
      <c r="H912" t="n">
        <v>0</v>
      </c>
      <c r="I912" t="n">
        <v>0</v>
      </c>
      <c r="J912" t="n">
        <v>0</v>
      </c>
      <c r="K912" t="n">
        <v>0</v>
      </c>
      <c r="L912" t="n">
        <v>0</v>
      </c>
      <c r="M912" t="n">
        <v>0</v>
      </c>
      <c r="N912" t="n">
        <v>0</v>
      </c>
      <c r="O912" t="n">
        <v>0</v>
      </c>
      <c r="P912" t="n">
        <v>0</v>
      </c>
      <c r="Q912" t="n">
        <v>0</v>
      </c>
      <c r="R912" s="2" t="inlineStr"/>
    </row>
    <row r="913" ht="15" customHeight="1">
      <c r="A913" t="inlineStr">
        <is>
          <t>A 19580-2022</t>
        </is>
      </c>
      <c r="B913" s="1" t="n">
        <v>44693</v>
      </c>
      <c r="C913" s="1" t="n">
        <v>45994</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58989-2021</t>
        </is>
      </c>
      <c r="B914" s="1" t="n">
        <v>44490.02482638889</v>
      </c>
      <c r="C914" s="1" t="n">
        <v>45994</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46988-2024</t>
        </is>
      </c>
      <c r="B915" s="1" t="n">
        <v>45586</v>
      </c>
      <c r="C915" s="1" t="n">
        <v>45994</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21529-2021</t>
        </is>
      </c>
      <c r="B916" s="1" t="n">
        <v>44321</v>
      </c>
      <c r="C916" s="1" t="n">
        <v>45994</v>
      </c>
      <c r="D916" t="inlineStr">
        <is>
          <t>STOCKHOLMS LÄN</t>
        </is>
      </c>
      <c r="E916" t="inlineStr">
        <is>
          <t>NORRTÄLJE</t>
        </is>
      </c>
      <c r="G916" t="n">
        <v>2.7</v>
      </c>
      <c r="H916" t="n">
        <v>0</v>
      </c>
      <c r="I916" t="n">
        <v>0</v>
      </c>
      <c r="J916" t="n">
        <v>0</v>
      </c>
      <c r="K916" t="n">
        <v>0</v>
      </c>
      <c r="L916" t="n">
        <v>0</v>
      </c>
      <c r="M916" t="n">
        <v>0</v>
      </c>
      <c r="N916" t="n">
        <v>0</v>
      </c>
      <c r="O916" t="n">
        <v>0</v>
      </c>
      <c r="P916" t="n">
        <v>0</v>
      </c>
      <c r="Q916" t="n">
        <v>0</v>
      </c>
      <c r="R916" s="2" t="inlineStr"/>
    </row>
    <row r="917" ht="15" customHeight="1">
      <c r="A917" t="inlineStr">
        <is>
          <t>A 13701-2022</t>
        </is>
      </c>
      <c r="B917" s="1" t="n">
        <v>44648</v>
      </c>
      <c r="C917" s="1" t="n">
        <v>45994</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30731-2023</t>
        </is>
      </c>
      <c r="B918" s="1" t="n">
        <v>45112</v>
      </c>
      <c r="C918" s="1" t="n">
        <v>45994</v>
      </c>
      <c r="D918" t="inlineStr">
        <is>
          <t>STOCKHOLMS LÄN</t>
        </is>
      </c>
      <c r="E918" t="inlineStr">
        <is>
          <t>NORRTÄLJE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20011-2025</t>
        </is>
      </c>
      <c r="B919" s="1" t="n">
        <v>45772.29622685185</v>
      </c>
      <c r="C919" s="1" t="n">
        <v>45994</v>
      </c>
      <c r="D919" t="inlineStr">
        <is>
          <t>STOCKHOLMS LÄN</t>
        </is>
      </c>
      <c r="E919" t="inlineStr">
        <is>
          <t>NORRTÄLJE</t>
        </is>
      </c>
      <c r="G919" t="n">
        <v>3.5</v>
      </c>
      <c r="H919" t="n">
        <v>0</v>
      </c>
      <c r="I919" t="n">
        <v>0</v>
      </c>
      <c r="J919" t="n">
        <v>0</v>
      </c>
      <c r="K919" t="n">
        <v>0</v>
      </c>
      <c r="L919" t="n">
        <v>0</v>
      </c>
      <c r="M919" t="n">
        <v>0</v>
      </c>
      <c r="N919" t="n">
        <v>0</v>
      </c>
      <c r="O919" t="n">
        <v>0</v>
      </c>
      <c r="P919" t="n">
        <v>0</v>
      </c>
      <c r="Q919" t="n">
        <v>0</v>
      </c>
      <c r="R919" s="2" t="inlineStr"/>
    </row>
    <row r="920" ht="15" customHeight="1">
      <c r="A920" t="inlineStr">
        <is>
          <t>A 42856-2025</t>
        </is>
      </c>
      <c r="B920" s="1" t="n">
        <v>45908</v>
      </c>
      <c r="C920" s="1" t="n">
        <v>45994</v>
      </c>
      <c r="D920" t="inlineStr">
        <is>
          <t>STOCKHOLMS LÄN</t>
        </is>
      </c>
      <c r="E920" t="inlineStr">
        <is>
          <t>NORRTÄLJE</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4580-2025</t>
        </is>
      </c>
      <c r="B921" s="1" t="n">
        <v>45687.5038425926</v>
      </c>
      <c r="C921" s="1" t="n">
        <v>45994</v>
      </c>
      <c r="D921" t="inlineStr">
        <is>
          <t>STOCKHOLMS LÄN</t>
        </is>
      </c>
      <c r="E921" t="inlineStr">
        <is>
          <t>NORRTÄLJE</t>
        </is>
      </c>
      <c r="F921" t="inlineStr">
        <is>
          <t>Holmen skog AB</t>
        </is>
      </c>
      <c r="G921" t="n">
        <v>4.8</v>
      </c>
      <c r="H921" t="n">
        <v>0</v>
      </c>
      <c r="I921" t="n">
        <v>0</v>
      </c>
      <c r="J921" t="n">
        <v>0</v>
      </c>
      <c r="K921" t="n">
        <v>0</v>
      </c>
      <c r="L921" t="n">
        <v>0</v>
      </c>
      <c r="M921" t="n">
        <v>0</v>
      </c>
      <c r="N921" t="n">
        <v>0</v>
      </c>
      <c r="O921" t="n">
        <v>0</v>
      </c>
      <c r="P921" t="n">
        <v>0</v>
      </c>
      <c r="Q921" t="n">
        <v>0</v>
      </c>
      <c r="R921" s="2" t="inlineStr"/>
    </row>
    <row r="922" ht="15" customHeight="1">
      <c r="A922" t="inlineStr">
        <is>
          <t>A 31057-2022</t>
        </is>
      </c>
      <c r="B922" s="1" t="n">
        <v>44769</v>
      </c>
      <c r="C922" s="1" t="n">
        <v>45994</v>
      </c>
      <c r="D922" t="inlineStr">
        <is>
          <t>STOCKHOLMS LÄN</t>
        </is>
      </c>
      <c r="E922" t="inlineStr">
        <is>
          <t>NORRTÄLJE</t>
        </is>
      </c>
      <c r="G922" t="n">
        <v>6.5</v>
      </c>
      <c r="H922" t="n">
        <v>0</v>
      </c>
      <c r="I922" t="n">
        <v>0</v>
      </c>
      <c r="J922" t="n">
        <v>0</v>
      </c>
      <c r="K922" t="n">
        <v>0</v>
      </c>
      <c r="L922" t="n">
        <v>0</v>
      </c>
      <c r="M922" t="n">
        <v>0</v>
      </c>
      <c r="N922" t="n">
        <v>0</v>
      </c>
      <c r="O922" t="n">
        <v>0</v>
      </c>
      <c r="P922" t="n">
        <v>0</v>
      </c>
      <c r="Q922" t="n">
        <v>0</v>
      </c>
      <c r="R922" s="2" t="inlineStr"/>
    </row>
    <row r="923" ht="15" customHeight="1">
      <c r="A923" t="inlineStr">
        <is>
          <t>A 14132-2025</t>
        </is>
      </c>
      <c r="B923" s="1" t="n">
        <v>45740.47550925926</v>
      </c>
      <c r="C923" s="1" t="n">
        <v>45994</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14133-2025</t>
        </is>
      </c>
      <c r="B924" s="1" t="n">
        <v>45740.47724537037</v>
      </c>
      <c r="C924" s="1" t="n">
        <v>45994</v>
      </c>
      <c r="D924" t="inlineStr">
        <is>
          <t>STOCKHOLMS LÄN</t>
        </is>
      </c>
      <c r="E924" t="inlineStr">
        <is>
          <t>NORRTÄLJE</t>
        </is>
      </c>
      <c r="G924" t="n">
        <v>0.4</v>
      </c>
      <c r="H924" t="n">
        <v>0</v>
      </c>
      <c r="I924" t="n">
        <v>0</v>
      </c>
      <c r="J924" t="n">
        <v>0</v>
      </c>
      <c r="K924" t="n">
        <v>0</v>
      </c>
      <c r="L924" t="n">
        <v>0</v>
      </c>
      <c r="M924" t="n">
        <v>0</v>
      </c>
      <c r="N924" t="n">
        <v>0</v>
      </c>
      <c r="O924" t="n">
        <v>0</v>
      </c>
      <c r="P924" t="n">
        <v>0</v>
      </c>
      <c r="Q924" t="n">
        <v>0</v>
      </c>
      <c r="R924" s="2" t="inlineStr"/>
    </row>
    <row r="925" ht="15" customHeight="1">
      <c r="A925" t="inlineStr">
        <is>
          <t>A 8792-2025</t>
        </is>
      </c>
      <c r="B925" s="1" t="n">
        <v>45712</v>
      </c>
      <c r="C925" s="1" t="n">
        <v>45994</v>
      </c>
      <c r="D925" t="inlineStr">
        <is>
          <t>STOCKHOLMS LÄN</t>
        </is>
      </c>
      <c r="E925" t="inlineStr">
        <is>
          <t>NORRTÄLJE</t>
        </is>
      </c>
      <c r="F925" t="inlineStr">
        <is>
          <t>Övriga Aktiebolag</t>
        </is>
      </c>
      <c r="G925" t="n">
        <v>6.6</v>
      </c>
      <c r="H925" t="n">
        <v>0</v>
      </c>
      <c r="I925" t="n">
        <v>0</v>
      </c>
      <c r="J925" t="n">
        <v>0</v>
      </c>
      <c r="K925" t="n">
        <v>0</v>
      </c>
      <c r="L925" t="n">
        <v>0</v>
      </c>
      <c r="M925" t="n">
        <v>0</v>
      </c>
      <c r="N925" t="n">
        <v>0</v>
      </c>
      <c r="O925" t="n">
        <v>0</v>
      </c>
      <c r="P925" t="n">
        <v>0</v>
      </c>
      <c r="Q925" t="n">
        <v>0</v>
      </c>
      <c r="R925" s="2" t="inlineStr"/>
    </row>
    <row r="926" ht="15" customHeight="1">
      <c r="A926" t="inlineStr">
        <is>
          <t>A 24887-2023</t>
        </is>
      </c>
      <c r="B926" s="1" t="n">
        <v>45085</v>
      </c>
      <c r="C926" s="1" t="n">
        <v>45994</v>
      </c>
      <c r="D926" t="inlineStr">
        <is>
          <t>STOCKHOLMS LÄN</t>
        </is>
      </c>
      <c r="E926" t="inlineStr">
        <is>
          <t>NORRTÄLJE</t>
        </is>
      </c>
      <c r="G926" t="n">
        <v>13.9</v>
      </c>
      <c r="H926" t="n">
        <v>0</v>
      </c>
      <c r="I926" t="n">
        <v>0</v>
      </c>
      <c r="J926" t="n">
        <v>0</v>
      </c>
      <c r="K926" t="n">
        <v>0</v>
      </c>
      <c r="L926" t="n">
        <v>0</v>
      </c>
      <c r="M926" t="n">
        <v>0</v>
      </c>
      <c r="N926" t="n">
        <v>0</v>
      </c>
      <c r="O926" t="n">
        <v>0</v>
      </c>
      <c r="P926" t="n">
        <v>0</v>
      </c>
      <c r="Q926" t="n">
        <v>0</v>
      </c>
      <c r="R926" s="2" t="inlineStr"/>
    </row>
    <row r="927" ht="15" customHeight="1">
      <c r="A927" t="inlineStr">
        <is>
          <t>A 38612-2022</t>
        </is>
      </c>
      <c r="B927" s="1" t="n">
        <v>44813</v>
      </c>
      <c r="C927" s="1" t="n">
        <v>45994</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4326-2023</t>
        </is>
      </c>
      <c r="B928" s="1" t="n">
        <v>44953.70481481482</v>
      </c>
      <c r="C928" s="1" t="n">
        <v>45994</v>
      </c>
      <c r="D928" t="inlineStr">
        <is>
          <t>STOCKHOLMS LÄN</t>
        </is>
      </c>
      <c r="E928" t="inlineStr">
        <is>
          <t>NORRTÄLJE</t>
        </is>
      </c>
      <c r="G928" t="n">
        <v>0.9</v>
      </c>
      <c r="H928" t="n">
        <v>0</v>
      </c>
      <c r="I928" t="n">
        <v>0</v>
      </c>
      <c r="J928" t="n">
        <v>0</v>
      </c>
      <c r="K928" t="n">
        <v>0</v>
      </c>
      <c r="L928" t="n">
        <v>0</v>
      </c>
      <c r="M928" t="n">
        <v>0</v>
      </c>
      <c r="N928" t="n">
        <v>0</v>
      </c>
      <c r="O928" t="n">
        <v>0</v>
      </c>
      <c r="P928" t="n">
        <v>0</v>
      </c>
      <c r="Q928" t="n">
        <v>0</v>
      </c>
      <c r="R928" s="2" t="inlineStr"/>
    </row>
    <row r="929" ht="15" customHeight="1">
      <c r="A929" t="inlineStr">
        <is>
          <t>A 31140-2023</t>
        </is>
      </c>
      <c r="B929" s="1" t="n">
        <v>45113</v>
      </c>
      <c r="C929" s="1" t="n">
        <v>45994</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31149-2023</t>
        </is>
      </c>
      <c r="B930" s="1" t="n">
        <v>45113</v>
      </c>
      <c r="C930" s="1" t="n">
        <v>45994</v>
      </c>
      <c r="D930" t="inlineStr">
        <is>
          <t>STOCKHOLMS LÄN</t>
        </is>
      </c>
      <c r="E930" t="inlineStr">
        <is>
          <t>NORRTÄLJE</t>
        </is>
      </c>
      <c r="G930" t="n">
        <v>7.1</v>
      </c>
      <c r="H930" t="n">
        <v>0</v>
      </c>
      <c r="I930" t="n">
        <v>0</v>
      </c>
      <c r="J930" t="n">
        <v>0</v>
      </c>
      <c r="K930" t="n">
        <v>0</v>
      </c>
      <c r="L930" t="n">
        <v>0</v>
      </c>
      <c r="M930" t="n">
        <v>0</v>
      </c>
      <c r="N930" t="n">
        <v>0</v>
      </c>
      <c r="O930" t="n">
        <v>0</v>
      </c>
      <c r="P930" t="n">
        <v>0</v>
      </c>
      <c r="Q930" t="n">
        <v>0</v>
      </c>
      <c r="R930" s="2" t="inlineStr"/>
    </row>
    <row r="931" ht="15" customHeight="1">
      <c r="A931" t="inlineStr">
        <is>
          <t>A 4658-2024</t>
        </is>
      </c>
      <c r="B931" s="1" t="n">
        <v>45328.46336805556</v>
      </c>
      <c r="C931" s="1" t="n">
        <v>45994</v>
      </c>
      <c r="D931" t="inlineStr">
        <is>
          <t>STOCKHOLMS LÄN</t>
        </is>
      </c>
      <c r="E931" t="inlineStr">
        <is>
          <t>NORRTÄLJE</t>
        </is>
      </c>
      <c r="G931" t="n">
        <v>2.8</v>
      </c>
      <c r="H931" t="n">
        <v>0</v>
      </c>
      <c r="I931" t="n">
        <v>0</v>
      </c>
      <c r="J931" t="n">
        <v>0</v>
      </c>
      <c r="K931" t="n">
        <v>0</v>
      </c>
      <c r="L931" t="n">
        <v>0</v>
      </c>
      <c r="M931" t="n">
        <v>0</v>
      </c>
      <c r="N931" t="n">
        <v>0</v>
      </c>
      <c r="O931" t="n">
        <v>0</v>
      </c>
      <c r="P931" t="n">
        <v>0</v>
      </c>
      <c r="Q931" t="n">
        <v>0</v>
      </c>
      <c r="R931" s="2" t="inlineStr"/>
    </row>
    <row r="932" ht="15" customHeight="1">
      <c r="A932" t="inlineStr">
        <is>
          <t>A 24690-2025</t>
        </is>
      </c>
      <c r="B932" s="1" t="n">
        <v>45798.67082175926</v>
      </c>
      <c r="C932" s="1" t="n">
        <v>45994</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19131-2025</t>
        </is>
      </c>
      <c r="B933" s="1" t="n">
        <v>45769</v>
      </c>
      <c r="C933" s="1" t="n">
        <v>45994</v>
      </c>
      <c r="D933" t="inlineStr">
        <is>
          <t>STOCKHOLMS LÄN</t>
        </is>
      </c>
      <c r="E933" t="inlineStr">
        <is>
          <t>NORRTÄLJE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47259-2024</t>
        </is>
      </c>
      <c r="B934" s="1" t="n">
        <v>45586</v>
      </c>
      <c r="C934" s="1" t="n">
        <v>45994</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25702-2025</t>
        </is>
      </c>
      <c r="B935" s="1" t="n">
        <v>45800</v>
      </c>
      <c r="C935" s="1" t="n">
        <v>45994</v>
      </c>
      <c r="D935" t="inlineStr">
        <is>
          <t>STOCKHOLMS LÄN</t>
        </is>
      </c>
      <c r="E935" t="inlineStr">
        <is>
          <t>NORRTÄLJE</t>
        </is>
      </c>
      <c r="G935" t="n">
        <v>5.3</v>
      </c>
      <c r="H935" t="n">
        <v>0</v>
      </c>
      <c r="I935" t="n">
        <v>0</v>
      </c>
      <c r="J935" t="n">
        <v>0</v>
      </c>
      <c r="K935" t="n">
        <v>0</v>
      </c>
      <c r="L935" t="n">
        <v>0</v>
      </c>
      <c r="M935" t="n">
        <v>0</v>
      </c>
      <c r="N935" t="n">
        <v>0</v>
      </c>
      <c r="O935" t="n">
        <v>0</v>
      </c>
      <c r="P935" t="n">
        <v>0</v>
      </c>
      <c r="Q935" t="n">
        <v>0</v>
      </c>
      <c r="R935" s="2" t="inlineStr"/>
    </row>
    <row r="936" ht="15" customHeight="1">
      <c r="A936" t="inlineStr">
        <is>
          <t>A 52061-2025</t>
        </is>
      </c>
      <c r="B936" s="1" t="n">
        <v>45952.63679398148</v>
      </c>
      <c r="C936" s="1" t="n">
        <v>45994</v>
      </c>
      <c r="D936" t="inlineStr">
        <is>
          <t>STOCKHOLMS LÄN</t>
        </is>
      </c>
      <c r="E936" t="inlineStr">
        <is>
          <t>NORRTÄLJE</t>
        </is>
      </c>
      <c r="G936" t="n">
        <v>9.5</v>
      </c>
      <c r="H936" t="n">
        <v>0</v>
      </c>
      <c r="I936" t="n">
        <v>0</v>
      </c>
      <c r="J936" t="n">
        <v>0</v>
      </c>
      <c r="K936" t="n">
        <v>0</v>
      </c>
      <c r="L936" t="n">
        <v>0</v>
      </c>
      <c r="M936" t="n">
        <v>0</v>
      </c>
      <c r="N936" t="n">
        <v>0</v>
      </c>
      <c r="O936" t="n">
        <v>0</v>
      </c>
      <c r="P936" t="n">
        <v>0</v>
      </c>
      <c r="Q936" t="n">
        <v>0</v>
      </c>
      <c r="R936" s="2" t="inlineStr"/>
    </row>
    <row r="937" ht="15" customHeight="1">
      <c r="A937" t="inlineStr">
        <is>
          <t>A 52251-2025</t>
        </is>
      </c>
      <c r="B937" s="1" t="n">
        <v>45953.49185185185</v>
      </c>
      <c r="C937" s="1" t="n">
        <v>45994</v>
      </c>
      <c r="D937" t="inlineStr">
        <is>
          <t>STOCKHOLMS LÄN</t>
        </is>
      </c>
      <c r="E937" t="inlineStr">
        <is>
          <t>NORRTÄLJE</t>
        </is>
      </c>
      <c r="G937" t="n">
        <v>6.2</v>
      </c>
      <c r="H937" t="n">
        <v>0</v>
      </c>
      <c r="I937" t="n">
        <v>0</v>
      </c>
      <c r="J937" t="n">
        <v>0</v>
      </c>
      <c r="K937" t="n">
        <v>0</v>
      </c>
      <c r="L937" t="n">
        <v>0</v>
      </c>
      <c r="M937" t="n">
        <v>0</v>
      </c>
      <c r="N937" t="n">
        <v>0</v>
      </c>
      <c r="O937" t="n">
        <v>0</v>
      </c>
      <c r="P937" t="n">
        <v>0</v>
      </c>
      <c r="Q937" t="n">
        <v>0</v>
      </c>
      <c r="R937" s="2" t="inlineStr"/>
    </row>
    <row r="938" ht="15" customHeight="1">
      <c r="A938" t="inlineStr">
        <is>
          <t>A 24835-2025</t>
        </is>
      </c>
      <c r="B938" s="1" t="n">
        <v>45799</v>
      </c>
      <c r="C938" s="1" t="n">
        <v>45994</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52254-2025</t>
        </is>
      </c>
      <c r="B939" s="1" t="n">
        <v>45953.49519675926</v>
      </c>
      <c r="C939" s="1" t="n">
        <v>45994</v>
      </c>
      <c r="D939" t="inlineStr">
        <is>
          <t>STOCKHOLMS LÄN</t>
        </is>
      </c>
      <c r="E939" t="inlineStr">
        <is>
          <t>NORRTÄLJE</t>
        </is>
      </c>
      <c r="G939" t="n">
        <v>2.2</v>
      </c>
      <c r="H939" t="n">
        <v>0</v>
      </c>
      <c r="I939" t="n">
        <v>0</v>
      </c>
      <c r="J939" t="n">
        <v>0</v>
      </c>
      <c r="K939" t="n">
        <v>0</v>
      </c>
      <c r="L939" t="n">
        <v>0</v>
      </c>
      <c r="M939" t="n">
        <v>0</v>
      </c>
      <c r="N939" t="n">
        <v>0</v>
      </c>
      <c r="O939" t="n">
        <v>0</v>
      </c>
      <c r="P939" t="n">
        <v>0</v>
      </c>
      <c r="Q939" t="n">
        <v>0</v>
      </c>
      <c r="R939" s="2" t="inlineStr"/>
    </row>
    <row r="940" ht="15" customHeight="1">
      <c r="A940" t="inlineStr">
        <is>
          <t>A 25712-2025</t>
        </is>
      </c>
      <c r="B940" s="1" t="n">
        <v>45803.69228009259</v>
      </c>
      <c r="C940" s="1" t="n">
        <v>45994</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25725-2025</t>
        </is>
      </c>
      <c r="B941" s="1" t="n">
        <v>45800</v>
      </c>
      <c r="C941" s="1" t="n">
        <v>45994</v>
      </c>
      <c r="D941" t="inlineStr">
        <is>
          <t>STOCKHOLMS LÄN</t>
        </is>
      </c>
      <c r="E941" t="inlineStr">
        <is>
          <t>NORRTÄLJE</t>
        </is>
      </c>
      <c r="G941" t="n">
        <v>5.2</v>
      </c>
      <c r="H941" t="n">
        <v>0</v>
      </c>
      <c r="I941" t="n">
        <v>0</v>
      </c>
      <c r="J941" t="n">
        <v>0</v>
      </c>
      <c r="K941" t="n">
        <v>0</v>
      </c>
      <c r="L941" t="n">
        <v>0</v>
      </c>
      <c r="M941" t="n">
        <v>0</v>
      </c>
      <c r="N941" t="n">
        <v>0</v>
      </c>
      <c r="O941" t="n">
        <v>0</v>
      </c>
      <c r="P941" t="n">
        <v>0</v>
      </c>
      <c r="Q941" t="n">
        <v>0</v>
      </c>
      <c r="R941" s="2" t="inlineStr"/>
    </row>
    <row r="942" ht="15" customHeight="1">
      <c r="A942" t="inlineStr">
        <is>
          <t>A 25733-2025</t>
        </is>
      </c>
      <c r="B942" s="1" t="n">
        <v>45800</v>
      </c>
      <c r="C942" s="1" t="n">
        <v>45994</v>
      </c>
      <c r="D942" t="inlineStr">
        <is>
          <t>STOCKHOLMS LÄN</t>
        </is>
      </c>
      <c r="E942" t="inlineStr">
        <is>
          <t>NORRTÄLJE</t>
        </is>
      </c>
      <c r="G942" t="n">
        <v>2.2</v>
      </c>
      <c r="H942" t="n">
        <v>0</v>
      </c>
      <c r="I942" t="n">
        <v>0</v>
      </c>
      <c r="J942" t="n">
        <v>0</v>
      </c>
      <c r="K942" t="n">
        <v>0</v>
      </c>
      <c r="L942" t="n">
        <v>0</v>
      </c>
      <c r="M942" t="n">
        <v>0</v>
      </c>
      <c r="N942" t="n">
        <v>0</v>
      </c>
      <c r="O942" t="n">
        <v>0</v>
      </c>
      <c r="P942" t="n">
        <v>0</v>
      </c>
      <c r="Q942" t="n">
        <v>0</v>
      </c>
      <c r="R942" s="2" t="inlineStr"/>
    </row>
    <row r="943" ht="15" customHeight="1">
      <c r="A943" t="inlineStr">
        <is>
          <t>A 39238-2024</t>
        </is>
      </c>
      <c r="B943" s="1" t="n">
        <v>45549</v>
      </c>
      <c r="C943" s="1" t="n">
        <v>45994</v>
      </c>
      <c r="D943" t="inlineStr">
        <is>
          <t>STOCKHOLMS LÄN</t>
        </is>
      </c>
      <c r="E943" t="inlineStr">
        <is>
          <t>NORRTÄLJE</t>
        </is>
      </c>
      <c r="G943" t="n">
        <v>3.6</v>
      </c>
      <c r="H943" t="n">
        <v>0</v>
      </c>
      <c r="I943" t="n">
        <v>0</v>
      </c>
      <c r="J943" t="n">
        <v>0</v>
      </c>
      <c r="K943" t="n">
        <v>0</v>
      </c>
      <c r="L943" t="n">
        <v>0</v>
      </c>
      <c r="M943" t="n">
        <v>0</v>
      </c>
      <c r="N943" t="n">
        <v>0</v>
      </c>
      <c r="O943" t="n">
        <v>0</v>
      </c>
      <c r="P943" t="n">
        <v>0</v>
      </c>
      <c r="Q943" t="n">
        <v>0</v>
      </c>
      <c r="R943" s="2" t="inlineStr"/>
    </row>
    <row r="944" ht="15" customHeight="1">
      <c r="A944" t="inlineStr">
        <is>
          <t>A 25571-2025</t>
        </is>
      </c>
      <c r="B944" s="1" t="n">
        <v>45803.4675</v>
      </c>
      <c r="C944" s="1" t="n">
        <v>45994</v>
      </c>
      <c r="D944" t="inlineStr">
        <is>
          <t>STOCKHOLMS LÄN</t>
        </is>
      </c>
      <c r="E944" t="inlineStr">
        <is>
          <t>NORRTÄLJE</t>
        </is>
      </c>
      <c r="G944" t="n">
        <v>5.4</v>
      </c>
      <c r="H944" t="n">
        <v>0</v>
      </c>
      <c r="I944" t="n">
        <v>0</v>
      </c>
      <c r="J944" t="n">
        <v>0</v>
      </c>
      <c r="K944" t="n">
        <v>0</v>
      </c>
      <c r="L944" t="n">
        <v>0</v>
      </c>
      <c r="M944" t="n">
        <v>0</v>
      </c>
      <c r="N944" t="n">
        <v>0</v>
      </c>
      <c r="O944" t="n">
        <v>0</v>
      </c>
      <c r="P944" t="n">
        <v>0</v>
      </c>
      <c r="Q944" t="n">
        <v>0</v>
      </c>
      <c r="R944" s="2" t="inlineStr"/>
    </row>
    <row r="945" ht="15" customHeight="1">
      <c r="A945" t="inlineStr">
        <is>
          <t>A 25721-2025</t>
        </is>
      </c>
      <c r="B945" s="1" t="n">
        <v>45800</v>
      </c>
      <c r="C945" s="1" t="n">
        <v>45994</v>
      </c>
      <c r="D945" t="inlineStr">
        <is>
          <t>STOCKHOLMS LÄN</t>
        </is>
      </c>
      <c r="E945" t="inlineStr">
        <is>
          <t>NORRTÄLJE</t>
        </is>
      </c>
      <c r="G945" t="n">
        <v>6</v>
      </c>
      <c r="H945" t="n">
        <v>0</v>
      </c>
      <c r="I945" t="n">
        <v>0</v>
      </c>
      <c r="J945" t="n">
        <v>0</v>
      </c>
      <c r="K945" t="n">
        <v>0</v>
      </c>
      <c r="L945" t="n">
        <v>0</v>
      </c>
      <c r="M945" t="n">
        <v>0</v>
      </c>
      <c r="N945" t="n">
        <v>0</v>
      </c>
      <c r="O945" t="n">
        <v>0</v>
      </c>
      <c r="P945" t="n">
        <v>0</v>
      </c>
      <c r="Q945" t="n">
        <v>0</v>
      </c>
      <c r="R945" s="2" t="inlineStr"/>
    </row>
    <row r="946" ht="15" customHeight="1">
      <c r="A946" t="inlineStr">
        <is>
          <t>A 25697-2025</t>
        </is>
      </c>
      <c r="B946" s="1" t="n">
        <v>45803.66587962963</v>
      </c>
      <c r="C946" s="1" t="n">
        <v>45994</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41218-2024</t>
        </is>
      </c>
      <c r="B947" s="1" t="n">
        <v>45559.54706018518</v>
      </c>
      <c r="C947" s="1" t="n">
        <v>45994</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43169-2025</t>
        </is>
      </c>
      <c r="B948" s="1" t="n">
        <v>45910</v>
      </c>
      <c r="C948" s="1" t="n">
        <v>45994</v>
      </c>
      <c r="D948" t="inlineStr">
        <is>
          <t>STOCKHOLMS LÄN</t>
        </is>
      </c>
      <c r="E948" t="inlineStr">
        <is>
          <t>NORRTÄLJE</t>
        </is>
      </c>
      <c r="G948" t="n">
        <v>6.9</v>
      </c>
      <c r="H948" t="n">
        <v>0</v>
      </c>
      <c r="I948" t="n">
        <v>0</v>
      </c>
      <c r="J948" t="n">
        <v>0</v>
      </c>
      <c r="K948" t="n">
        <v>0</v>
      </c>
      <c r="L948" t="n">
        <v>0</v>
      </c>
      <c r="M948" t="n">
        <v>0</v>
      </c>
      <c r="N948" t="n">
        <v>0</v>
      </c>
      <c r="O948" t="n">
        <v>0</v>
      </c>
      <c r="P948" t="n">
        <v>0</v>
      </c>
      <c r="Q948" t="n">
        <v>0</v>
      </c>
      <c r="R948" s="2" t="inlineStr"/>
    </row>
    <row r="949" ht="15" customHeight="1">
      <c r="A949" t="inlineStr">
        <is>
          <t>A 25709-2025</t>
        </is>
      </c>
      <c r="B949" s="1" t="n">
        <v>45800</v>
      </c>
      <c r="C949" s="1" t="n">
        <v>45994</v>
      </c>
      <c r="D949" t="inlineStr">
        <is>
          <t>STOCKHOLMS LÄN</t>
        </is>
      </c>
      <c r="E949" t="inlineStr">
        <is>
          <t>NORRTÄLJE</t>
        </is>
      </c>
      <c r="G949" t="n">
        <v>4.6</v>
      </c>
      <c r="H949" t="n">
        <v>0</v>
      </c>
      <c r="I949" t="n">
        <v>0</v>
      </c>
      <c r="J949" t="n">
        <v>0</v>
      </c>
      <c r="K949" t="n">
        <v>0</v>
      </c>
      <c r="L949" t="n">
        <v>0</v>
      </c>
      <c r="M949" t="n">
        <v>0</v>
      </c>
      <c r="N949" t="n">
        <v>0</v>
      </c>
      <c r="O949" t="n">
        <v>0</v>
      </c>
      <c r="P949" t="n">
        <v>0</v>
      </c>
      <c r="Q949" t="n">
        <v>0</v>
      </c>
      <c r="R949" s="2" t="inlineStr"/>
    </row>
    <row r="950" ht="15" customHeight="1">
      <c r="A950" t="inlineStr">
        <is>
          <t>A 51960-2025</t>
        </is>
      </c>
      <c r="B950" s="1" t="n">
        <v>45952.54755787037</v>
      </c>
      <c r="C950" s="1" t="n">
        <v>45994</v>
      </c>
      <c r="D950" t="inlineStr">
        <is>
          <t>STOCKHOLMS LÄN</t>
        </is>
      </c>
      <c r="E950" t="inlineStr">
        <is>
          <t>NORRTÄLJE</t>
        </is>
      </c>
      <c r="G950" t="n">
        <v>2</v>
      </c>
      <c r="H950" t="n">
        <v>0</v>
      </c>
      <c r="I950" t="n">
        <v>0</v>
      </c>
      <c r="J950" t="n">
        <v>0</v>
      </c>
      <c r="K950" t="n">
        <v>0</v>
      </c>
      <c r="L950" t="n">
        <v>0</v>
      </c>
      <c r="M950" t="n">
        <v>0</v>
      </c>
      <c r="N950" t="n">
        <v>0</v>
      </c>
      <c r="O950" t="n">
        <v>0</v>
      </c>
      <c r="P950" t="n">
        <v>0</v>
      </c>
      <c r="Q950" t="n">
        <v>0</v>
      </c>
      <c r="R950" s="2" t="inlineStr"/>
    </row>
    <row r="951" ht="15" customHeight="1">
      <c r="A951" t="inlineStr">
        <is>
          <t>A 38449-2022</t>
        </is>
      </c>
      <c r="B951" s="1" t="n">
        <v>44813</v>
      </c>
      <c r="C951" s="1" t="n">
        <v>45994</v>
      </c>
      <c r="D951" t="inlineStr">
        <is>
          <t>STOCKHOLMS LÄN</t>
        </is>
      </c>
      <c r="E951" t="inlineStr">
        <is>
          <t>NORRTÄLJE</t>
        </is>
      </c>
      <c r="G951" t="n">
        <v>4.2</v>
      </c>
      <c r="H951" t="n">
        <v>0</v>
      </c>
      <c r="I951" t="n">
        <v>0</v>
      </c>
      <c r="J951" t="n">
        <v>0</v>
      </c>
      <c r="K951" t="n">
        <v>0</v>
      </c>
      <c r="L951" t="n">
        <v>0</v>
      </c>
      <c r="M951" t="n">
        <v>0</v>
      </c>
      <c r="N951" t="n">
        <v>0</v>
      </c>
      <c r="O951" t="n">
        <v>0</v>
      </c>
      <c r="P951" t="n">
        <v>0</v>
      </c>
      <c r="Q951" t="n">
        <v>0</v>
      </c>
      <c r="R951" s="2" t="inlineStr"/>
    </row>
    <row r="952" ht="15" customHeight="1">
      <c r="A952" t="inlineStr">
        <is>
          <t>A 51941-2025</t>
        </is>
      </c>
      <c r="B952" s="1" t="n">
        <v>45952.52261574074</v>
      </c>
      <c r="C952" s="1" t="n">
        <v>45994</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51945-2025</t>
        </is>
      </c>
      <c r="B953" s="1" t="n">
        <v>45952.52679398148</v>
      </c>
      <c r="C953" s="1" t="n">
        <v>45994</v>
      </c>
      <c r="D953" t="inlineStr">
        <is>
          <t>STOCKHOLMS LÄN</t>
        </is>
      </c>
      <c r="E953" t="inlineStr">
        <is>
          <t>NORRTÄLJE</t>
        </is>
      </c>
      <c r="G953" t="n">
        <v>7</v>
      </c>
      <c r="H953" t="n">
        <v>0</v>
      </c>
      <c r="I953" t="n">
        <v>0</v>
      </c>
      <c r="J953" t="n">
        <v>0</v>
      </c>
      <c r="K953" t="n">
        <v>0</v>
      </c>
      <c r="L953" t="n">
        <v>0</v>
      </c>
      <c r="M953" t="n">
        <v>0</v>
      </c>
      <c r="N953" t="n">
        <v>0</v>
      </c>
      <c r="O953" t="n">
        <v>0</v>
      </c>
      <c r="P953" t="n">
        <v>0</v>
      </c>
      <c r="Q953" t="n">
        <v>0</v>
      </c>
      <c r="R953" s="2" t="inlineStr"/>
    </row>
    <row r="954" ht="15" customHeight="1">
      <c r="A954" t="inlineStr">
        <is>
          <t>A 34478-2025</t>
        </is>
      </c>
      <c r="B954" s="1" t="n">
        <v>45847.37414351852</v>
      </c>
      <c r="C954" s="1" t="n">
        <v>45994</v>
      </c>
      <c r="D954" t="inlineStr">
        <is>
          <t>STOCKHOLMS LÄN</t>
        </is>
      </c>
      <c r="E954" t="inlineStr">
        <is>
          <t>NORRTÄLJE</t>
        </is>
      </c>
      <c r="F954" t="inlineStr">
        <is>
          <t>Övriga Aktiebolag</t>
        </is>
      </c>
      <c r="G954" t="n">
        <v>10.8</v>
      </c>
      <c r="H954" t="n">
        <v>0</v>
      </c>
      <c r="I954" t="n">
        <v>0</v>
      </c>
      <c r="J954" t="n">
        <v>0</v>
      </c>
      <c r="K954" t="n">
        <v>0</v>
      </c>
      <c r="L954" t="n">
        <v>0</v>
      </c>
      <c r="M954" t="n">
        <v>0</v>
      </c>
      <c r="N954" t="n">
        <v>0</v>
      </c>
      <c r="O954" t="n">
        <v>0</v>
      </c>
      <c r="P954" t="n">
        <v>0</v>
      </c>
      <c r="Q954" t="n">
        <v>0</v>
      </c>
      <c r="R954" s="2" t="inlineStr"/>
    </row>
    <row r="955" ht="15" customHeight="1">
      <c r="A955" t="inlineStr">
        <is>
          <t>A 30719-2025</t>
        </is>
      </c>
      <c r="B955" s="1" t="n">
        <v>45831</v>
      </c>
      <c r="C955" s="1" t="n">
        <v>45994</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43269-2025</t>
        </is>
      </c>
      <c r="B956" s="1" t="n">
        <v>45910.5819212963</v>
      </c>
      <c r="C956" s="1" t="n">
        <v>45994</v>
      </c>
      <c r="D956" t="inlineStr">
        <is>
          <t>STOCKHOLMS LÄN</t>
        </is>
      </c>
      <c r="E956" t="inlineStr">
        <is>
          <t>NORRTÄLJE</t>
        </is>
      </c>
      <c r="G956" t="n">
        <v>3.7</v>
      </c>
      <c r="H956" t="n">
        <v>0</v>
      </c>
      <c r="I956" t="n">
        <v>0</v>
      </c>
      <c r="J956" t="n">
        <v>0</v>
      </c>
      <c r="K956" t="n">
        <v>0</v>
      </c>
      <c r="L956" t="n">
        <v>0</v>
      </c>
      <c r="M956" t="n">
        <v>0</v>
      </c>
      <c r="N956" t="n">
        <v>0</v>
      </c>
      <c r="O956" t="n">
        <v>0</v>
      </c>
      <c r="P956" t="n">
        <v>0</v>
      </c>
      <c r="Q956" t="n">
        <v>0</v>
      </c>
      <c r="R956" s="2" t="inlineStr"/>
    </row>
    <row r="957" ht="15" customHeight="1">
      <c r="A957" t="inlineStr">
        <is>
          <t>A 52703-2025</t>
        </is>
      </c>
      <c r="B957" s="1" t="n">
        <v>45956.88643518519</v>
      </c>
      <c r="C957" s="1" t="n">
        <v>45994</v>
      </c>
      <c r="D957" t="inlineStr">
        <is>
          <t>STOCKHOLMS LÄN</t>
        </is>
      </c>
      <c r="E957" t="inlineStr">
        <is>
          <t>NORRTÄLJE</t>
        </is>
      </c>
      <c r="G957" t="n">
        <v>4.7</v>
      </c>
      <c r="H957" t="n">
        <v>0</v>
      </c>
      <c r="I957" t="n">
        <v>0</v>
      </c>
      <c r="J957" t="n">
        <v>0</v>
      </c>
      <c r="K957" t="n">
        <v>0</v>
      </c>
      <c r="L957" t="n">
        <v>0</v>
      </c>
      <c r="M957" t="n">
        <v>0</v>
      </c>
      <c r="N957" t="n">
        <v>0</v>
      </c>
      <c r="O957" t="n">
        <v>0</v>
      </c>
      <c r="P957" t="n">
        <v>0</v>
      </c>
      <c r="Q957" t="n">
        <v>0</v>
      </c>
      <c r="R957" s="2" t="inlineStr"/>
    </row>
    <row r="958" ht="15" customHeight="1">
      <c r="A958" t="inlineStr">
        <is>
          <t>A 52704-2025</t>
        </is>
      </c>
      <c r="B958" s="1" t="n">
        <v>45956.89097222222</v>
      </c>
      <c r="C958" s="1" t="n">
        <v>45994</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53561-2023</t>
        </is>
      </c>
      <c r="B959" s="1" t="n">
        <v>45224</v>
      </c>
      <c r="C959" s="1" t="n">
        <v>45994</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52773-2025</t>
        </is>
      </c>
      <c r="B960" s="1" t="n">
        <v>45957.41457175926</v>
      </c>
      <c r="C960" s="1" t="n">
        <v>45994</v>
      </c>
      <c r="D960" t="inlineStr">
        <is>
          <t>STOCKHOLMS LÄN</t>
        </is>
      </c>
      <c r="E960" t="inlineStr">
        <is>
          <t>NORRTÄLJE</t>
        </is>
      </c>
      <c r="F960" t="inlineStr">
        <is>
          <t>Sveaskog</t>
        </is>
      </c>
      <c r="G960" t="n">
        <v>10.5</v>
      </c>
      <c r="H960" t="n">
        <v>0</v>
      </c>
      <c r="I960" t="n">
        <v>0</v>
      </c>
      <c r="J960" t="n">
        <v>0</v>
      </c>
      <c r="K960" t="n">
        <v>0</v>
      </c>
      <c r="L960" t="n">
        <v>0</v>
      </c>
      <c r="M960" t="n">
        <v>0</v>
      </c>
      <c r="N960" t="n">
        <v>0</v>
      </c>
      <c r="O960" t="n">
        <v>0</v>
      </c>
      <c r="P960" t="n">
        <v>0</v>
      </c>
      <c r="Q960" t="n">
        <v>0</v>
      </c>
      <c r="R960" s="2" t="inlineStr"/>
    </row>
    <row r="961" ht="15" customHeight="1">
      <c r="A961" t="inlineStr">
        <is>
          <t>A 52553-2025</t>
        </is>
      </c>
      <c r="B961" s="1" t="n">
        <v>45954.5624537037</v>
      </c>
      <c r="C961" s="1" t="n">
        <v>45994</v>
      </c>
      <c r="D961" t="inlineStr">
        <is>
          <t>STOCKHOLMS LÄN</t>
        </is>
      </c>
      <c r="E961" t="inlineStr">
        <is>
          <t>NORRTÄLJE</t>
        </is>
      </c>
      <c r="G961" t="n">
        <v>4.4</v>
      </c>
      <c r="H961" t="n">
        <v>0</v>
      </c>
      <c r="I961" t="n">
        <v>0</v>
      </c>
      <c r="J961" t="n">
        <v>0</v>
      </c>
      <c r="K961" t="n">
        <v>0</v>
      </c>
      <c r="L961" t="n">
        <v>0</v>
      </c>
      <c r="M961" t="n">
        <v>0</v>
      </c>
      <c r="N961" t="n">
        <v>0</v>
      </c>
      <c r="O961" t="n">
        <v>0</v>
      </c>
      <c r="P961" t="n">
        <v>0</v>
      </c>
      <c r="Q961" t="n">
        <v>0</v>
      </c>
      <c r="R961" s="2" t="inlineStr"/>
    </row>
    <row r="962" ht="15" customHeight="1">
      <c r="A962" t="inlineStr">
        <is>
          <t>A 52526-2025</t>
        </is>
      </c>
      <c r="B962" s="1" t="n">
        <v>45954.53061342592</v>
      </c>
      <c r="C962" s="1" t="n">
        <v>45994</v>
      </c>
      <c r="D962" t="inlineStr">
        <is>
          <t>STOCKHOLMS LÄN</t>
        </is>
      </c>
      <c r="E962" t="inlineStr">
        <is>
          <t>NORRTÄLJE</t>
        </is>
      </c>
      <c r="F962" t="inlineStr">
        <is>
          <t>Sveaskog</t>
        </is>
      </c>
      <c r="G962" t="n">
        <v>2.9</v>
      </c>
      <c r="H962" t="n">
        <v>0</v>
      </c>
      <c r="I962" t="n">
        <v>0</v>
      </c>
      <c r="J962" t="n">
        <v>0</v>
      </c>
      <c r="K962" t="n">
        <v>0</v>
      </c>
      <c r="L962" t="n">
        <v>0</v>
      </c>
      <c r="M962" t="n">
        <v>0</v>
      </c>
      <c r="N962" t="n">
        <v>0</v>
      </c>
      <c r="O962" t="n">
        <v>0</v>
      </c>
      <c r="P962" t="n">
        <v>0</v>
      </c>
      <c r="Q962" t="n">
        <v>0</v>
      </c>
      <c r="R962" s="2" t="inlineStr"/>
    </row>
    <row r="963" ht="15" customHeight="1">
      <c r="A963" t="inlineStr">
        <is>
          <t>A 52734-2025</t>
        </is>
      </c>
      <c r="B963" s="1" t="n">
        <v>45957.3710300926</v>
      </c>
      <c r="C963" s="1" t="n">
        <v>45994</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52729-2025</t>
        </is>
      </c>
      <c r="B964" s="1" t="n">
        <v>45957.3636574074</v>
      </c>
      <c r="C964" s="1" t="n">
        <v>45994</v>
      </c>
      <c r="D964" t="inlineStr">
        <is>
          <t>STOCKHOLMS LÄN</t>
        </is>
      </c>
      <c r="E964" t="inlineStr">
        <is>
          <t>NORRTÄLJE</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53000-2025</t>
        </is>
      </c>
      <c r="B965" s="1" t="n">
        <v>45957.74357638889</v>
      </c>
      <c r="C965" s="1" t="n">
        <v>45994</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26051-2025</t>
        </is>
      </c>
      <c r="B966" s="1" t="n">
        <v>45804.74479166666</v>
      </c>
      <c r="C966" s="1" t="n">
        <v>45994</v>
      </c>
      <c r="D966" t="inlineStr">
        <is>
          <t>STOCKHOLMS LÄN</t>
        </is>
      </c>
      <c r="E966" t="inlineStr">
        <is>
          <t>NORRTÄLJE</t>
        </is>
      </c>
      <c r="G966" t="n">
        <v>3.2</v>
      </c>
      <c r="H966" t="n">
        <v>0</v>
      </c>
      <c r="I966" t="n">
        <v>0</v>
      </c>
      <c r="J966" t="n">
        <v>0</v>
      </c>
      <c r="K966" t="n">
        <v>0</v>
      </c>
      <c r="L966" t="n">
        <v>0</v>
      </c>
      <c r="M966" t="n">
        <v>0</v>
      </c>
      <c r="N966" t="n">
        <v>0</v>
      </c>
      <c r="O966" t="n">
        <v>0</v>
      </c>
      <c r="P966" t="n">
        <v>0</v>
      </c>
      <c r="Q966" t="n">
        <v>0</v>
      </c>
      <c r="R966" s="2" t="inlineStr"/>
    </row>
    <row r="967" ht="15" customHeight="1">
      <c r="A967" t="inlineStr">
        <is>
          <t>A 43916-2025</t>
        </is>
      </c>
      <c r="B967" s="1" t="n">
        <v>45914.78884259259</v>
      </c>
      <c r="C967" s="1" t="n">
        <v>45994</v>
      </c>
      <c r="D967" t="inlineStr">
        <is>
          <t>STOCKHOLMS LÄN</t>
        </is>
      </c>
      <c r="E967" t="inlineStr">
        <is>
          <t>NORRTÄLJE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26708-2025</t>
        </is>
      </c>
      <c r="B968" s="1" t="n">
        <v>45810.45633101852</v>
      </c>
      <c r="C968" s="1" t="n">
        <v>45994</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26702-2025</t>
        </is>
      </c>
      <c r="B969" s="1" t="n">
        <v>45810.45236111111</v>
      </c>
      <c r="C969" s="1" t="n">
        <v>45994</v>
      </c>
      <c r="D969" t="inlineStr">
        <is>
          <t>STOCKHOLMS LÄN</t>
        </is>
      </c>
      <c r="E969" t="inlineStr">
        <is>
          <t>NORRTÄLJE</t>
        </is>
      </c>
      <c r="G969" t="n">
        <v>7.3</v>
      </c>
      <c r="H969" t="n">
        <v>0</v>
      </c>
      <c r="I969" t="n">
        <v>0</v>
      </c>
      <c r="J969" t="n">
        <v>0</v>
      </c>
      <c r="K969" t="n">
        <v>0</v>
      </c>
      <c r="L969" t="n">
        <v>0</v>
      </c>
      <c r="M969" t="n">
        <v>0</v>
      </c>
      <c r="N969" t="n">
        <v>0</v>
      </c>
      <c r="O969" t="n">
        <v>0</v>
      </c>
      <c r="P969" t="n">
        <v>0</v>
      </c>
      <c r="Q969" t="n">
        <v>0</v>
      </c>
      <c r="R969" s="2" t="inlineStr"/>
    </row>
    <row r="970" ht="15" customHeight="1">
      <c r="A970" t="inlineStr">
        <is>
          <t>A 23061-2025</t>
        </is>
      </c>
      <c r="B970" s="1" t="n">
        <v>45790.81410879629</v>
      </c>
      <c r="C970" s="1" t="n">
        <v>45994</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52529-2025</t>
        </is>
      </c>
      <c r="B971" s="1" t="n">
        <v>45954.53229166667</v>
      </c>
      <c r="C971" s="1" t="n">
        <v>45994</v>
      </c>
      <c r="D971" t="inlineStr">
        <is>
          <t>STOCKHOLMS LÄN</t>
        </is>
      </c>
      <c r="E971" t="inlineStr">
        <is>
          <t>NORRTÄLJE</t>
        </is>
      </c>
      <c r="F971" t="inlineStr">
        <is>
          <t>Sveaskog</t>
        </is>
      </c>
      <c r="G971" t="n">
        <v>7.8</v>
      </c>
      <c r="H971" t="n">
        <v>0</v>
      </c>
      <c r="I971" t="n">
        <v>0</v>
      </c>
      <c r="J971" t="n">
        <v>0</v>
      </c>
      <c r="K971" t="n">
        <v>0</v>
      </c>
      <c r="L971" t="n">
        <v>0</v>
      </c>
      <c r="M971" t="n">
        <v>0</v>
      </c>
      <c r="N971" t="n">
        <v>0</v>
      </c>
      <c r="O971" t="n">
        <v>0</v>
      </c>
      <c r="P971" t="n">
        <v>0</v>
      </c>
      <c r="Q971" t="n">
        <v>0</v>
      </c>
      <c r="R971" s="2" t="inlineStr"/>
    </row>
    <row r="972" ht="15" customHeight="1">
      <c r="A972" t="inlineStr">
        <is>
          <t>A 52776-2025</t>
        </is>
      </c>
      <c r="B972" s="1" t="n">
        <v>45957.41724537037</v>
      </c>
      <c r="C972" s="1" t="n">
        <v>45994</v>
      </c>
      <c r="D972" t="inlineStr">
        <is>
          <t>STOCKHOLMS LÄN</t>
        </is>
      </c>
      <c r="E972" t="inlineStr">
        <is>
          <t>NORRTÄLJE</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52777-2025</t>
        </is>
      </c>
      <c r="B973" s="1" t="n">
        <v>45957.41832175926</v>
      </c>
      <c r="C973" s="1" t="n">
        <v>45994</v>
      </c>
      <c r="D973" t="inlineStr">
        <is>
          <t>STOCKHOLMS LÄN</t>
        </is>
      </c>
      <c r="E973" t="inlineStr">
        <is>
          <t>NORRTÄLJE</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27040-2025</t>
        </is>
      </c>
      <c r="B974" s="1" t="n">
        <v>45811.60451388889</v>
      </c>
      <c r="C974" s="1" t="n">
        <v>45994</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26747-2025</t>
        </is>
      </c>
      <c r="B975" s="1" t="n">
        <v>45810.5333912037</v>
      </c>
      <c r="C975" s="1" t="n">
        <v>45994</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44354-2025</t>
        </is>
      </c>
      <c r="B976" s="1" t="n">
        <v>45916.44655092592</v>
      </c>
      <c r="C976" s="1" t="n">
        <v>45994</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26675-2025</t>
        </is>
      </c>
      <c r="B977" s="1" t="n">
        <v>45810.42393518519</v>
      </c>
      <c r="C977" s="1" t="n">
        <v>45994</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27554-2025</t>
        </is>
      </c>
      <c r="B978" s="1" t="n">
        <v>45813.4709375</v>
      </c>
      <c r="C978" s="1" t="n">
        <v>45994</v>
      </c>
      <c r="D978" t="inlineStr">
        <is>
          <t>STOCKHOLMS LÄN</t>
        </is>
      </c>
      <c r="E978" t="inlineStr">
        <is>
          <t>NORRTÄLJE</t>
        </is>
      </c>
      <c r="F978" t="inlineStr">
        <is>
          <t>Övriga Aktiebolag</t>
        </is>
      </c>
      <c r="G978" t="n">
        <v>2.5</v>
      </c>
      <c r="H978" t="n">
        <v>0</v>
      </c>
      <c r="I978" t="n">
        <v>0</v>
      </c>
      <c r="J978" t="n">
        <v>0</v>
      </c>
      <c r="K978" t="n">
        <v>0</v>
      </c>
      <c r="L978" t="n">
        <v>0</v>
      </c>
      <c r="M978" t="n">
        <v>0</v>
      </c>
      <c r="N978" t="n">
        <v>0</v>
      </c>
      <c r="O978" t="n">
        <v>0</v>
      </c>
      <c r="P978" t="n">
        <v>0</v>
      </c>
      <c r="Q978" t="n">
        <v>0</v>
      </c>
      <c r="R978" s="2" t="inlineStr"/>
    </row>
    <row r="979" ht="15" customHeight="1">
      <c r="A979" t="inlineStr">
        <is>
          <t>A 27700-2025</t>
        </is>
      </c>
      <c r="B979" s="1" t="n">
        <v>45813.6799537037</v>
      </c>
      <c r="C979" s="1" t="n">
        <v>45994</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27697-2025</t>
        </is>
      </c>
      <c r="B980" s="1" t="n">
        <v>45813.66961805556</v>
      </c>
      <c r="C980" s="1" t="n">
        <v>45994</v>
      </c>
      <c r="D980" t="inlineStr">
        <is>
          <t>STOCKHOLMS LÄN</t>
        </is>
      </c>
      <c r="E980" t="inlineStr">
        <is>
          <t>NORRTÄLJE</t>
        </is>
      </c>
      <c r="G980" t="n">
        <v>6.2</v>
      </c>
      <c r="H980" t="n">
        <v>0</v>
      </c>
      <c r="I980" t="n">
        <v>0</v>
      </c>
      <c r="J980" t="n">
        <v>0</v>
      </c>
      <c r="K980" t="n">
        <v>0</v>
      </c>
      <c r="L980" t="n">
        <v>0</v>
      </c>
      <c r="M980" t="n">
        <v>0</v>
      </c>
      <c r="N980" t="n">
        <v>0</v>
      </c>
      <c r="O980" t="n">
        <v>0</v>
      </c>
      <c r="P980" t="n">
        <v>0</v>
      </c>
      <c r="Q980" t="n">
        <v>0</v>
      </c>
      <c r="R980" s="2" t="inlineStr"/>
    </row>
    <row r="981" ht="15" customHeight="1">
      <c r="A981" t="inlineStr">
        <is>
          <t>A 27802-2025</t>
        </is>
      </c>
      <c r="B981" s="1" t="n">
        <v>45817.2565625</v>
      </c>
      <c r="C981" s="1" t="n">
        <v>45994</v>
      </c>
      <c r="D981" t="inlineStr">
        <is>
          <t>STOCKHOLMS LÄN</t>
        </is>
      </c>
      <c r="E981" t="inlineStr">
        <is>
          <t>NORRTÄLJE</t>
        </is>
      </c>
      <c r="G981" t="n">
        <v>3</v>
      </c>
      <c r="H981" t="n">
        <v>0</v>
      </c>
      <c r="I981" t="n">
        <v>0</v>
      </c>
      <c r="J981" t="n">
        <v>0</v>
      </c>
      <c r="K981" t="n">
        <v>0</v>
      </c>
      <c r="L981" t="n">
        <v>0</v>
      </c>
      <c r="M981" t="n">
        <v>0</v>
      </c>
      <c r="N981" t="n">
        <v>0</v>
      </c>
      <c r="O981" t="n">
        <v>0</v>
      </c>
      <c r="P981" t="n">
        <v>0</v>
      </c>
      <c r="Q981" t="n">
        <v>0</v>
      </c>
      <c r="R981" s="2" t="inlineStr"/>
    </row>
    <row r="982" ht="15" customHeight="1">
      <c r="A982" t="inlineStr">
        <is>
          <t>A 27806-2025</t>
        </is>
      </c>
      <c r="B982" s="1" t="n">
        <v>45817.30329861111</v>
      </c>
      <c r="C982" s="1" t="n">
        <v>45994</v>
      </c>
      <c r="D982" t="inlineStr">
        <is>
          <t>STOCKHOLMS LÄN</t>
        </is>
      </c>
      <c r="E982" t="inlineStr">
        <is>
          <t>NORRTÄLJE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27808-2025</t>
        </is>
      </c>
      <c r="B983" s="1" t="n">
        <v>45817.31085648148</v>
      </c>
      <c r="C983" s="1" t="n">
        <v>45994</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27810-2025</t>
        </is>
      </c>
      <c r="B984" s="1" t="n">
        <v>45817.31708333334</v>
      </c>
      <c r="C984" s="1" t="n">
        <v>45994</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27811-2025</t>
        </is>
      </c>
      <c r="B985" s="1" t="n">
        <v>45817.31986111111</v>
      </c>
      <c r="C985" s="1" t="n">
        <v>45994</v>
      </c>
      <c r="D985" t="inlineStr">
        <is>
          <t>STOCKHOLMS LÄN</t>
        </is>
      </c>
      <c r="E985" t="inlineStr">
        <is>
          <t>NORRTÄLJE</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27818-2025</t>
        </is>
      </c>
      <c r="B986" s="1" t="n">
        <v>45817.33503472222</v>
      </c>
      <c r="C986" s="1" t="n">
        <v>45994</v>
      </c>
      <c r="D986" t="inlineStr">
        <is>
          <t>STOCKHOLMS LÄN</t>
        </is>
      </c>
      <c r="E986" t="inlineStr">
        <is>
          <t>NORRTÄLJE</t>
        </is>
      </c>
      <c r="F986" t="inlineStr">
        <is>
          <t>Sveaskog</t>
        </is>
      </c>
      <c r="G986" t="n">
        <v>0.3</v>
      </c>
      <c r="H986" t="n">
        <v>0</v>
      </c>
      <c r="I986" t="n">
        <v>0</v>
      </c>
      <c r="J986" t="n">
        <v>0</v>
      </c>
      <c r="K986" t="n">
        <v>0</v>
      </c>
      <c r="L986" t="n">
        <v>0</v>
      </c>
      <c r="M986" t="n">
        <v>0</v>
      </c>
      <c r="N986" t="n">
        <v>0</v>
      </c>
      <c r="O986" t="n">
        <v>0</v>
      </c>
      <c r="P986" t="n">
        <v>0</v>
      </c>
      <c r="Q986" t="n">
        <v>0</v>
      </c>
      <c r="R986" s="2" t="inlineStr"/>
    </row>
    <row r="987" ht="15" customHeight="1">
      <c r="A987" t="inlineStr">
        <is>
          <t>A 44306-2025</t>
        </is>
      </c>
      <c r="B987" s="1" t="n">
        <v>45916.37736111111</v>
      </c>
      <c r="C987" s="1" t="n">
        <v>45994</v>
      </c>
      <c r="D987" t="inlineStr">
        <is>
          <t>STOCKHOLMS LÄN</t>
        </is>
      </c>
      <c r="E987" t="inlineStr">
        <is>
          <t>NORRTÄLJE</t>
        </is>
      </c>
      <c r="G987" t="n">
        <v>2.8</v>
      </c>
      <c r="H987" t="n">
        <v>0</v>
      </c>
      <c r="I987" t="n">
        <v>0</v>
      </c>
      <c r="J987" t="n">
        <v>0</v>
      </c>
      <c r="K987" t="n">
        <v>0</v>
      </c>
      <c r="L987" t="n">
        <v>0</v>
      </c>
      <c r="M987" t="n">
        <v>0</v>
      </c>
      <c r="N987" t="n">
        <v>0</v>
      </c>
      <c r="O987" t="n">
        <v>0</v>
      </c>
      <c r="P987" t="n">
        <v>0</v>
      </c>
      <c r="Q987" t="n">
        <v>0</v>
      </c>
      <c r="R987" s="2" t="inlineStr"/>
    </row>
    <row r="988" ht="15" customHeight="1">
      <c r="A988" t="inlineStr">
        <is>
          <t>A 44343-2025</t>
        </is>
      </c>
      <c r="B988" s="1" t="n">
        <v>45916.43378472222</v>
      </c>
      <c r="C988" s="1" t="n">
        <v>45994</v>
      </c>
      <c r="D988" t="inlineStr">
        <is>
          <t>STOCKHOLMS LÄN</t>
        </is>
      </c>
      <c r="E988" t="inlineStr">
        <is>
          <t>NORRTÄLJE</t>
        </is>
      </c>
      <c r="G988" t="n">
        <v>1.6</v>
      </c>
      <c r="H988" t="n">
        <v>0</v>
      </c>
      <c r="I988" t="n">
        <v>0</v>
      </c>
      <c r="J988" t="n">
        <v>0</v>
      </c>
      <c r="K988" t="n">
        <v>0</v>
      </c>
      <c r="L988" t="n">
        <v>0</v>
      </c>
      <c r="M988" t="n">
        <v>0</v>
      </c>
      <c r="N988" t="n">
        <v>0</v>
      </c>
      <c r="O988" t="n">
        <v>0</v>
      </c>
      <c r="P988" t="n">
        <v>0</v>
      </c>
      <c r="Q988" t="n">
        <v>0</v>
      </c>
      <c r="R988" s="2" t="inlineStr"/>
    </row>
    <row r="989" ht="15" customHeight="1">
      <c r="A989" t="inlineStr">
        <is>
          <t>A 44349-2025</t>
        </is>
      </c>
      <c r="B989" s="1" t="n">
        <v>45916.43929398148</v>
      </c>
      <c r="C989" s="1" t="n">
        <v>45994</v>
      </c>
      <c r="D989" t="inlineStr">
        <is>
          <t>STOCKHOLMS LÄN</t>
        </is>
      </c>
      <c r="E989" t="inlineStr">
        <is>
          <t>NORRTÄLJE</t>
        </is>
      </c>
      <c r="G989" t="n">
        <v>3.5</v>
      </c>
      <c r="H989" t="n">
        <v>0</v>
      </c>
      <c r="I989" t="n">
        <v>0</v>
      </c>
      <c r="J989" t="n">
        <v>0</v>
      </c>
      <c r="K989" t="n">
        <v>0</v>
      </c>
      <c r="L989" t="n">
        <v>0</v>
      </c>
      <c r="M989" t="n">
        <v>0</v>
      </c>
      <c r="N989" t="n">
        <v>0</v>
      </c>
      <c r="O989" t="n">
        <v>0</v>
      </c>
      <c r="P989" t="n">
        <v>0</v>
      </c>
      <c r="Q989" t="n">
        <v>0</v>
      </c>
      <c r="R989" s="2" t="inlineStr"/>
    </row>
    <row r="990" ht="15" customHeight="1">
      <c r="A990" t="inlineStr">
        <is>
          <t>A 27801-2025</t>
        </is>
      </c>
      <c r="B990" s="1" t="n">
        <v>45817.25471064815</v>
      </c>
      <c r="C990" s="1" t="n">
        <v>45994</v>
      </c>
      <c r="D990" t="inlineStr">
        <is>
          <t>STOCKHOLMS LÄN</t>
        </is>
      </c>
      <c r="E990" t="inlineStr">
        <is>
          <t>NORRTÄLJE</t>
        </is>
      </c>
      <c r="G990" t="n">
        <v>2</v>
      </c>
      <c r="H990" t="n">
        <v>0</v>
      </c>
      <c r="I990" t="n">
        <v>0</v>
      </c>
      <c r="J990" t="n">
        <v>0</v>
      </c>
      <c r="K990" t="n">
        <v>0</v>
      </c>
      <c r="L990" t="n">
        <v>0</v>
      </c>
      <c r="M990" t="n">
        <v>0</v>
      </c>
      <c r="N990" t="n">
        <v>0</v>
      </c>
      <c r="O990" t="n">
        <v>0</v>
      </c>
      <c r="P990" t="n">
        <v>0</v>
      </c>
      <c r="Q990" t="n">
        <v>0</v>
      </c>
      <c r="R990" s="2" t="inlineStr"/>
    </row>
    <row r="991" ht="15" customHeight="1">
      <c r="A991" t="inlineStr">
        <is>
          <t>A 27803-2025</t>
        </is>
      </c>
      <c r="B991" s="1" t="n">
        <v>45817.291875</v>
      </c>
      <c r="C991" s="1" t="n">
        <v>45994</v>
      </c>
      <c r="D991" t="inlineStr">
        <is>
          <t>STOCKHOLMS LÄN</t>
        </is>
      </c>
      <c r="E991" t="inlineStr">
        <is>
          <t>NORRTÄLJE</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27813-2025</t>
        </is>
      </c>
      <c r="B992" s="1" t="n">
        <v>45817.32538194444</v>
      </c>
      <c r="C992" s="1" t="n">
        <v>45994</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44311-2025</t>
        </is>
      </c>
      <c r="B993" s="1" t="n">
        <v>45916.38394675926</v>
      </c>
      <c r="C993" s="1" t="n">
        <v>45994</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27821-2025</t>
        </is>
      </c>
      <c r="B994" s="1" t="n">
        <v>45817.34083333334</v>
      </c>
      <c r="C994" s="1" t="n">
        <v>45994</v>
      </c>
      <c r="D994" t="inlineStr">
        <is>
          <t>STOCKHOLMS LÄN</t>
        </is>
      </c>
      <c r="E994" t="inlineStr">
        <is>
          <t>NORRTÄLJE</t>
        </is>
      </c>
      <c r="G994" t="n">
        <v>3.2</v>
      </c>
      <c r="H994" t="n">
        <v>0</v>
      </c>
      <c r="I994" t="n">
        <v>0</v>
      </c>
      <c r="J994" t="n">
        <v>0</v>
      </c>
      <c r="K994" t="n">
        <v>0</v>
      </c>
      <c r="L994" t="n">
        <v>0</v>
      </c>
      <c r="M994" t="n">
        <v>0</v>
      </c>
      <c r="N994" t="n">
        <v>0</v>
      </c>
      <c r="O994" t="n">
        <v>0</v>
      </c>
      <c r="P994" t="n">
        <v>0</v>
      </c>
      <c r="Q994" t="n">
        <v>0</v>
      </c>
      <c r="R994" s="2" t="inlineStr"/>
    </row>
    <row r="995" ht="15" customHeight="1">
      <c r="A995" t="inlineStr">
        <is>
          <t>A 53299-2025</t>
        </is>
      </c>
      <c r="B995" s="1" t="n">
        <v>45959.31901620371</v>
      </c>
      <c r="C995" s="1" t="n">
        <v>45994</v>
      </c>
      <c r="D995" t="inlineStr">
        <is>
          <t>STOCKHOLMS LÄN</t>
        </is>
      </c>
      <c r="E995" t="inlineStr">
        <is>
          <t>NORRTÄLJE</t>
        </is>
      </c>
      <c r="G995" t="n">
        <v>4.8</v>
      </c>
      <c r="H995" t="n">
        <v>0</v>
      </c>
      <c r="I995" t="n">
        <v>0</v>
      </c>
      <c r="J995" t="n">
        <v>0</v>
      </c>
      <c r="K995" t="n">
        <v>0</v>
      </c>
      <c r="L995" t="n">
        <v>0</v>
      </c>
      <c r="M995" t="n">
        <v>0</v>
      </c>
      <c r="N995" t="n">
        <v>0</v>
      </c>
      <c r="O995" t="n">
        <v>0</v>
      </c>
      <c r="P995" t="n">
        <v>0</v>
      </c>
      <c r="Q995" t="n">
        <v>0</v>
      </c>
      <c r="R995" s="2" t="inlineStr"/>
    </row>
    <row r="996" ht="15" customHeight="1">
      <c r="A996" t="inlineStr">
        <is>
          <t>A 15528-2025</t>
        </is>
      </c>
      <c r="B996" s="1" t="n">
        <v>45747.63471064815</v>
      </c>
      <c r="C996" s="1" t="n">
        <v>45994</v>
      </c>
      <c r="D996" t="inlineStr">
        <is>
          <t>STOCKHOLMS LÄN</t>
        </is>
      </c>
      <c r="E996" t="inlineStr">
        <is>
          <t>NORRTÄLJE</t>
        </is>
      </c>
      <c r="G996" t="n">
        <v>10</v>
      </c>
      <c r="H996" t="n">
        <v>0</v>
      </c>
      <c r="I996" t="n">
        <v>0</v>
      </c>
      <c r="J996" t="n">
        <v>0</v>
      </c>
      <c r="K996" t="n">
        <v>0</v>
      </c>
      <c r="L996" t="n">
        <v>0</v>
      </c>
      <c r="M996" t="n">
        <v>0</v>
      </c>
      <c r="N996" t="n">
        <v>0</v>
      </c>
      <c r="O996" t="n">
        <v>0</v>
      </c>
      <c r="P996" t="n">
        <v>0</v>
      </c>
      <c r="Q996" t="n">
        <v>0</v>
      </c>
      <c r="R996" s="2" t="inlineStr"/>
    </row>
    <row r="997" ht="15" customHeight="1">
      <c r="A997" t="inlineStr">
        <is>
          <t>A 11901-2024</t>
        </is>
      </c>
      <c r="B997" s="1" t="n">
        <v>45376.55638888889</v>
      </c>
      <c r="C997" s="1" t="n">
        <v>45994</v>
      </c>
      <c r="D997" t="inlineStr">
        <is>
          <t>STOCKHOLMS LÄN</t>
        </is>
      </c>
      <c r="E997" t="inlineStr">
        <is>
          <t>NORRTÄLJE</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44333-2025</t>
        </is>
      </c>
      <c r="B998" s="1" t="n">
        <v>45916.42293981482</v>
      </c>
      <c r="C998" s="1" t="n">
        <v>45994</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53087-2025</t>
        </is>
      </c>
      <c r="B999" s="1" t="n">
        <v>45958.41065972222</v>
      </c>
      <c r="C999" s="1" t="n">
        <v>45994</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53115-2025</t>
        </is>
      </c>
      <c r="B1000" s="1" t="n">
        <v>45958.44614583333</v>
      </c>
      <c r="C1000" s="1" t="n">
        <v>45994</v>
      </c>
      <c r="D1000" t="inlineStr">
        <is>
          <t>STOCKHOLMS LÄN</t>
        </is>
      </c>
      <c r="E1000" t="inlineStr">
        <is>
          <t>NORRTÄLJE</t>
        </is>
      </c>
      <c r="F1000" t="inlineStr">
        <is>
          <t>Kyrkan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44075-2023</t>
        </is>
      </c>
      <c r="B1001" s="1" t="n">
        <v>45188.41637731482</v>
      </c>
      <c r="C1001" s="1" t="n">
        <v>45994</v>
      </c>
      <c r="D1001" t="inlineStr">
        <is>
          <t>STOCKHOLMS LÄN</t>
        </is>
      </c>
      <c r="E1001" t="inlineStr">
        <is>
          <t>NORRTÄLJE</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53747-2025</t>
        </is>
      </c>
      <c r="B1002" s="1" t="n">
        <v>45960.65415509259</v>
      </c>
      <c r="C1002" s="1" t="n">
        <v>45994</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53629-2025</t>
        </is>
      </c>
      <c r="B1003" s="1" t="n">
        <v>45960.49570601852</v>
      </c>
      <c r="C1003" s="1" t="n">
        <v>45994</v>
      </c>
      <c r="D1003" t="inlineStr">
        <is>
          <t>STOCKHOLMS LÄN</t>
        </is>
      </c>
      <c r="E1003" t="inlineStr">
        <is>
          <t>NORRTÄLJE</t>
        </is>
      </c>
      <c r="F1003" t="inlineStr">
        <is>
          <t>Naturvårdsverket</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44937-2025</t>
        </is>
      </c>
      <c r="B1004" s="1" t="n">
        <v>45918</v>
      </c>
      <c r="C1004" s="1" t="n">
        <v>45994</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29250-2025</t>
        </is>
      </c>
      <c r="B1005" s="1" t="n">
        <v>45824.37275462963</v>
      </c>
      <c r="C1005" s="1" t="n">
        <v>45994</v>
      </c>
      <c r="D1005" t="inlineStr">
        <is>
          <t>STOCKHOLMS LÄN</t>
        </is>
      </c>
      <c r="E1005" t="inlineStr">
        <is>
          <t>NORRTÄLJE</t>
        </is>
      </c>
      <c r="F1005" t="inlineStr">
        <is>
          <t>Sveaskog</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22359-2025</t>
        </is>
      </c>
      <c r="B1006" s="1" t="n">
        <v>45786</v>
      </c>
      <c r="C1006" s="1" t="n">
        <v>45994</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30639-2025</t>
        </is>
      </c>
      <c r="B1007" s="1" t="n">
        <v>45831.4844212963</v>
      </c>
      <c r="C1007" s="1" t="n">
        <v>45994</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30668-2025</t>
        </is>
      </c>
      <c r="B1008" s="1" t="n">
        <v>45831.51659722222</v>
      </c>
      <c r="C1008" s="1" t="n">
        <v>45994</v>
      </c>
      <c r="D1008" t="inlineStr">
        <is>
          <t>STOCKHOLMS LÄN</t>
        </is>
      </c>
      <c r="E1008" t="inlineStr">
        <is>
          <t>NORRTÄLJE</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45697-2025</t>
        </is>
      </c>
      <c r="B1009" s="1" t="n">
        <v>45923.39877314815</v>
      </c>
      <c r="C1009" s="1" t="n">
        <v>45994</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31170-2025</t>
        </is>
      </c>
      <c r="B1010" s="1" t="n">
        <v>45832.66385416667</v>
      </c>
      <c r="C1010" s="1" t="n">
        <v>45994</v>
      </c>
      <c r="D1010" t="inlineStr">
        <is>
          <t>STOCKHOLMS LÄN</t>
        </is>
      </c>
      <c r="E1010" t="inlineStr">
        <is>
          <t>NORRTÄLJE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46415-2025</t>
        </is>
      </c>
      <c r="B1011" s="1" t="n">
        <v>45925.58636574074</v>
      </c>
      <c r="C1011" s="1" t="n">
        <v>45994</v>
      </c>
      <c r="D1011" t="inlineStr">
        <is>
          <t>STOCKHOLMS LÄN</t>
        </is>
      </c>
      <c r="E1011" t="inlineStr">
        <is>
          <t>NORRTÄLJE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31880-2025</t>
        </is>
      </c>
      <c r="B1012" s="1" t="n">
        <v>45834.65538194445</v>
      </c>
      <c r="C1012" s="1" t="n">
        <v>45994</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32122-2025</t>
        </is>
      </c>
      <c r="B1013" s="1" t="n">
        <v>45835.4928125</v>
      </c>
      <c r="C1013" s="1" t="n">
        <v>45994</v>
      </c>
      <c r="D1013" t="inlineStr">
        <is>
          <t>STOCKHOLMS LÄN</t>
        </is>
      </c>
      <c r="E1013" t="inlineStr">
        <is>
          <t>NORRTÄLJE</t>
        </is>
      </c>
      <c r="F1013" t="inlineStr">
        <is>
          <t>Holmen skog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31868-2025</t>
        </is>
      </c>
      <c r="B1014" s="1" t="n">
        <v>45834.6447337963</v>
      </c>
      <c r="C1014" s="1" t="n">
        <v>45994</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6413-2025</t>
        </is>
      </c>
      <c r="B1015" s="1" t="n">
        <v>45699.46283564815</v>
      </c>
      <c r="C1015" s="1" t="n">
        <v>45994</v>
      </c>
      <c r="D1015" t="inlineStr">
        <is>
          <t>STOCKHOLMS LÄN</t>
        </is>
      </c>
      <c r="E1015" t="inlineStr">
        <is>
          <t>NORRTÄLJE</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32016-2025</t>
        </is>
      </c>
      <c r="B1016" s="1" t="n">
        <v>45835</v>
      </c>
      <c r="C1016" s="1" t="n">
        <v>45994</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54907-2025</t>
        </is>
      </c>
      <c r="B1017" s="1" t="n">
        <v>45967.37137731481</v>
      </c>
      <c r="C1017" s="1" t="n">
        <v>45994</v>
      </c>
      <c r="D1017" t="inlineStr">
        <is>
          <t>STOCKHOLMS LÄN</t>
        </is>
      </c>
      <c r="E1017" t="inlineStr">
        <is>
          <t>NORRTÄLJE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32283-2025</t>
        </is>
      </c>
      <c r="B1018" s="1" t="n">
        <v>45835.68076388889</v>
      </c>
      <c r="C1018" s="1" t="n">
        <v>45994</v>
      </c>
      <c r="D1018" t="inlineStr">
        <is>
          <t>STOCKHOLMS LÄN</t>
        </is>
      </c>
      <c r="E1018" t="inlineStr">
        <is>
          <t>NORRTÄLJE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31874-2025</t>
        </is>
      </c>
      <c r="B1019" s="1" t="n">
        <v>45834</v>
      </c>
      <c r="C1019" s="1" t="n">
        <v>45994</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32094-2025</t>
        </is>
      </c>
      <c r="B1020" s="1" t="n">
        <v>45835.46034722222</v>
      </c>
      <c r="C1020" s="1" t="n">
        <v>45994</v>
      </c>
      <c r="D1020" t="inlineStr">
        <is>
          <t>STOCKHOLMS LÄN</t>
        </is>
      </c>
      <c r="E1020" t="inlineStr">
        <is>
          <t>NORRTÄLJE</t>
        </is>
      </c>
      <c r="F1020" t="inlineStr">
        <is>
          <t>Holmen skog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46900-2025</t>
        </is>
      </c>
      <c r="B1021" s="1" t="n">
        <v>45929.38712962963</v>
      </c>
      <c r="C1021" s="1" t="n">
        <v>45994</v>
      </c>
      <c r="D1021" t="inlineStr">
        <is>
          <t>STOCKHOLMS LÄN</t>
        </is>
      </c>
      <c r="E1021" t="inlineStr">
        <is>
          <t>NORRTÄLJE</t>
        </is>
      </c>
      <c r="F1021" t="inlineStr">
        <is>
          <t>Holmen skog AB</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32480-2025</t>
        </is>
      </c>
      <c r="B1022" s="1" t="n">
        <v>45838.43261574074</v>
      </c>
      <c r="C1022" s="1" t="n">
        <v>45994</v>
      </c>
      <c r="D1022" t="inlineStr">
        <is>
          <t>STOCKHOLMS LÄN</t>
        </is>
      </c>
      <c r="E1022" t="inlineStr">
        <is>
          <t>NORRTÄLJE</t>
        </is>
      </c>
      <c r="F1022" t="inlineStr">
        <is>
          <t>Holmen skog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55599-2025</t>
        </is>
      </c>
      <c r="B1023" s="1" t="n">
        <v>45971.76810185185</v>
      </c>
      <c r="C1023" s="1" t="n">
        <v>45994</v>
      </c>
      <c r="D1023" t="inlineStr">
        <is>
          <t>STOCKHOLMS LÄN</t>
        </is>
      </c>
      <c r="E1023" t="inlineStr">
        <is>
          <t>NORRTÄLJE</t>
        </is>
      </c>
      <c r="F1023" t="inlineStr">
        <is>
          <t>Holmen skog AB</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32872-2025</t>
        </is>
      </c>
      <c r="B1024" s="1" t="n">
        <v>45839</v>
      </c>
      <c r="C1024" s="1" t="n">
        <v>45994</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32903-2025</t>
        </is>
      </c>
      <c r="B1025" s="1" t="n">
        <v>45839.62398148148</v>
      </c>
      <c r="C1025" s="1" t="n">
        <v>45994</v>
      </c>
      <c r="D1025" t="inlineStr">
        <is>
          <t>STOCKHOLMS LÄN</t>
        </is>
      </c>
      <c r="E1025" t="inlineStr">
        <is>
          <t>NORRTÄLJE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32395-2025</t>
        </is>
      </c>
      <c r="B1026" s="1" t="n">
        <v>45837.93730324074</v>
      </c>
      <c r="C1026" s="1" t="n">
        <v>45994</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32396-2025</t>
        </is>
      </c>
      <c r="B1027" s="1" t="n">
        <v>45837</v>
      </c>
      <c r="C1027" s="1" t="n">
        <v>45994</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32397-2025</t>
        </is>
      </c>
      <c r="B1028" s="1" t="n">
        <v>45837.94081018519</v>
      </c>
      <c r="C1028" s="1" t="n">
        <v>45994</v>
      </c>
      <c r="D1028" t="inlineStr">
        <is>
          <t>STOCKHOLMS LÄN</t>
        </is>
      </c>
      <c r="E1028" t="inlineStr">
        <is>
          <t>NORRTÄLJE</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33702-2025</t>
        </is>
      </c>
      <c r="B1029" s="1" t="n">
        <v>45841.74596064815</v>
      </c>
      <c r="C1029" s="1" t="n">
        <v>45994</v>
      </c>
      <c r="D1029" t="inlineStr">
        <is>
          <t>STOCKHOLMS LÄN</t>
        </is>
      </c>
      <c r="E1029" t="inlineStr">
        <is>
          <t>NORRTÄLJE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33211-2025</t>
        </is>
      </c>
      <c r="B1030" s="1" t="n">
        <v>45840.62755787037</v>
      </c>
      <c r="C1030" s="1" t="n">
        <v>45994</v>
      </c>
      <c r="D1030" t="inlineStr">
        <is>
          <t>STOCKHOLMS LÄN</t>
        </is>
      </c>
      <c r="E1030" t="inlineStr">
        <is>
          <t>NORRTÄLJE</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35256-2025</t>
        </is>
      </c>
      <c r="B1031" s="1" t="n">
        <v>45853</v>
      </c>
      <c r="C1031" s="1" t="n">
        <v>45994</v>
      </c>
      <c r="D1031" t="inlineStr">
        <is>
          <t>STOCKHOLMS LÄN</t>
        </is>
      </c>
      <c r="E1031" t="inlineStr">
        <is>
          <t>NORRTÄLJE</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33265-2025</t>
        </is>
      </c>
      <c r="B1032" s="1" t="n">
        <v>45840.67829861111</v>
      </c>
      <c r="C1032" s="1" t="n">
        <v>45994</v>
      </c>
      <c r="D1032" t="inlineStr">
        <is>
          <t>STOCKHOLMS LÄN</t>
        </is>
      </c>
      <c r="E1032" t="inlineStr">
        <is>
          <t>NORRTÄLJE</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33552-2025</t>
        </is>
      </c>
      <c r="B1033" s="1" t="n">
        <v>45841.5737962963</v>
      </c>
      <c r="C1033" s="1" t="n">
        <v>45994</v>
      </c>
      <c r="D1033" t="inlineStr">
        <is>
          <t>STOCKHOLMS LÄN</t>
        </is>
      </c>
      <c r="E1033" t="inlineStr">
        <is>
          <t>NORRTÄLJE</t>
        </is>
      </c>
      <c r="G1033" t="n">
        <v>8.9</v>
      </c>
      <c r="H1033" t="n">
        <v>0</v>
      </c>
      <c r="I1033" t="n">
        <v>0</v>
      </c>
      <c r="J1033" t="n">
        <v>0</v>
      </c>
      <c r="K1033" t="n">
        <v>0</v>
      </c>
      <c r="L1033" t="n">
        <v>0</v>
      </c>
      <c r="M1033" t="n">
        <v>0</v>
      </c>
      <c r="N1033" t="n">
        <v>0</v>
      </c>
      <c r="O1033" t="n">
        <v>0</v>
      </c>
      <c r="P1033" t="n">
        <v>0</v>
      </c>
      <c r="Q1033" t="n">
        <v>0</v>
      </c>
      <c r="R1033" s="2" t="inlineStr"/>
    </row>
    <row r="1034" ht="15" customHeight="1">
      <c r="A1034" t="inlineStr">
        <is>
          <t>A 33336-2025</t>
        </is>
      </c>
      <c r="B1034" s="1" t="n">
        <v>45841.35611111111</v>
      </c>
      <c r="C1034" s="1" t="n">
        <v>45994</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33824-2025</t>
        </is>
      </c>
      <c r="B1035" s="1" t="n">
        <v>45842.46885416667</v>
      </c>
      <c r="C1035" s="1" t="n">
        <v>45994</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34006-2025</t>
        </is>
      </c>
      <c r="B1036" s="1" t="n">
        <v>45844.62609953704</v>
      </c>
      <c r="C1036" s="1" t="n">
        <v>45994</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34139-2025</t>
        </is>
      </c>
      <c r="B1037" s="1" t="n">
        <v>45845</v>
      </c>
      <c r="C1037" s="1" t="n">
        <v>45994</v>
      </c>
      <c r="D1037" t="inlineStr">
        <is>
          <t>STOCKHOLMS LÄN</t>
        </is>
      </c>
      <c r="E1037" t="inlineStr">
        <is>
          <t>NORRTÄLJE</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34010-2025</t>
        </is>
      </c>
      <c r="B1038" s="1" t="n">
        <v>45844.91234953704</v>
      </c>
      <c r="C1038" s="1" t="n">
        <v>45994</v>
      </c>
      <c r="D1038" t="inlineStr">
        <is>
          <t>STOCKHOLMS LÄN</t>
        </is>
      </c>
      <c r="E1038" t="inlineStr">
        <is>
          <t>NORRTÄLJE</t>
        </is>
      </c>
      <c r="F1038" t="inlineStr">
        <is>
          <t>Övriga Aktiebolag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36689-2023</t>
        </is>
      </c>
      <c r="B1039" s="1" t="n">
        <v>45152</v>
      </c>
      <c r="C1039" s="1" t="n">
        <v>45994</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46073-2024</t>
        </is>
      </c>
      <c r="B1040" s="1" t="n">
        <v>45581</v>
      </c>
      <c r="C1040" s="1" t="n">
        <v>45994</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39610-2025</t>
        </is>
      </c>
      <c r="B1041" s="1" t="n">
        <v>45890.56001157407</v>
      </c>
      <c r="C1041" s="1" t="n">
        <v>45994</v>
      </c>
      <c r="D1041" t="inlineStr">
        <is>
          <t>STOCKHOLMS LÄN</t>
        </is>
      </c>
      <c r="E1041" t="inlineStr">
        <is>
          <t>NORRTÄLJE</t>
        </is>
      </c>
      <c r="G1041" t="n">
        <v>28.6</v>
      </c>
      <c r="H1041" t="n">
        <v>0</v>
      </c>
      <c r="I1041" t="n">
        <v>0</v>
      </c>
      <c r="J1041" t="n">
        <v>0</v>
      </c>
      <c r="K1041" t="n">
        <v>0</v>
      </c>
      <c r="L1041" t="n">
        <v>0</v>
      </c>
      <c r="M1041" t="n">
        <v>0</v>
      </c>
      <c r="N1041" t="n">
        <v>0</v>
      </c>
      <c r="O1041" t="n">
        <v>0</v>
      </c>
      <c r="P1041" t="n">
        <v>0</v>
      </c>
      <c r="Q1041" t="n">
        <v>0</v>
      </c>
      <c r="R1041" s="2" t="inlineStr"/>
    </row>
    <row r="1042" ht="15" customHeight="1">
      <c r="A1042" t="inlineStr">
        <is>
          <t>A 47498-2025</t>
        </is>
      </c>
      <c r="B1042" s="1" t="n">
        <v>45930.8134375</v>
      </c>
      <c r="C1042" s="1" t="n">
        <v>45994</v>
      </c>
      <c r="D1042" t="inlineStr">
        <is>
          <t>STOCKHOLMS LÄN</t>
        </is>
      </c>
      <c r="E1042" t="inlineStr">
        <is>
          <t>NORRTÄLJE</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56114-2025</t>
        </is>
      </c>
      <c r="B1043" s="1" t="n">
        <v>45973.74474537037</v>
      </c>
      <c r="C1043" s="1" t="n">
        <v>45994</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47460-2025</t>
        </is>
      </c>
      <c r="B1044" s="1" t="n">
        <v>45930.66012731481</v>
      </c>
      <c r="C1044" s="1" t="n">
        <v>45994</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47496-2025</t>
        </is>
      </c>
      <c r="B1045" s="1" t="n">
        <v>45930.79252314815</v>
      </c>
      <c r="C1045" s="1" t="n">
        <v>45994</v>
      </c>
      <c r="D1045" t="inlineStr">
        <is>
          <t>STOCKHOLMS LÄN</t>
        </is>
      </c>
      <c r="E1045" t="inlineStr">
        <is>
          <t>NORRTÄLJE</t>
        </is>
      </c>
      <c r="F1045" t="inlineStr">
        <is>
          <t>Holmen skog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47497-2025</t>
        </is>
      </c>
      <c r="B1046" s="1" t="n">
        <v>45930.80217592593</v>
      </c>
      <c r="C1046" s="1" t="n">
        <v>45994</v>
      </c>
      <c r="D1046" t="inlineStr">
        <is>
          <t>STOCKHOLMS LÄN</t>
        </is>
      </c>
      <c r="E1046" t="inlineStr">
        <is>
          <t>NORRTÄLJE</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35110-2025</t>
        </is>
      </c>
      <c r="B1047" s="1" t="n">
        <v>45852.58030092593</v>
      </c>
      <c r="C1047" s="1" t="n">
        <v>45994</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35254-2025</t>
        </is>
      </c>
      <c r="B1048" s="1" t="n">
        <v>45853</v>
      </c>
      <c r="C1048" s="1" t="n">
        <v>45994</v>
      </c>
      <c r="D1048" t="inlineStr">
        <is>
          <t>STOCKHOLMS LÄN</t>
        </is>
      </c>
      <c r="E1048" t="inlineStr">
        <is>
          <t>NORRTÄLJE</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48360-2025</t>
        </is>
      </c>
      <c r="B1049" s="1" t="n">
        <v>45933.66253472222</v>
      </c>
      <c r="C1049" s="1" t="n">
        <v>45994</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48370-2025</t>
        </is>
      </c>
      <c r="B1050" s="1" t="n">
        <v>45933.67854166667</v>
      </c>
      <c r="C1050" s="1" t="n">
        <v>45994</v>
      </c>
      <c r="D1050" t="inlineStr">
        <is>
          <t>STOCKHOLMS LÄN</t>
        </is>
      </c>
      <c r="E1050" t="inlineStr">
        <is>
          <t>NORRTÄLJE</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35479-2025</t>
        </is>
      </c>
      <c r="B1051" s="1" t="n">
        <v>45855.69387731481</v>
      </c>
      <c r="C1051" s="1" t="n">
        <v>45994</v>
      </c>
      <c r="D1051" t="inlineStr">
        <is>
          <t>STOCKHOLMS LÄN</t>
        </is>
      </c>
      <c r="E1051" t="inlineStr">
        <is>
          <t>NORRTÄLJE</t>
        </is>
      </c>
      <c r="F1051" t="inlineStr">
        <is>
          <t>Holmen skog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35451-2025</t>
        </is>
      </c>
      <c r="B1052" s="1" t="n">
        <v>45855.57033564815</v>
      </c>
      <c r="C1052" s="1" t="n">
        <v>45994</v>
      </c>
      <c r="D1052" t="inlineStr">
        <is>
          <t>STOCKHOLMS LÄN</t>
        </is>
      </c>
      <c r="E1052" t="inlineStr">
        <is>
          <t>NORRTÄLJE</t>
        </is>
      </c>
      <c r="F1052" t="inlineStr">
        <is>
          <t>Holmen skog AB</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48364-2025</t>
        </is>
      </c>
      <c r="B1053" s="1" t="n">
        <v>45933.66796296297</v>
      </c>
      <c r="C1053" s="1" t="n">
        <v>45994</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35478-2025</t>
        </is>
      </c>
      <c r="B1054" s="1" t="n">
        <v>45855.68413194444</v>
      </c>
      <c r="C1054" s="1" t="n">
        <v>45994</v>
      </c>
      <c r="D1054" t="inlineStr">
        <is>
          <t>STOCKHOLMS LÄN</t>
        </is>
      </c>
      <c r="E1054" t="inlineStr">
        <is>
          <t>NORRTÄLJE</t>
        </is>
      </c>
      <c r="F1054" t="inlineStr">
        <is>
          <t>Holmen skog AB</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56207-2025</t>
        </is>
      </c>
      <c r="B1055" s="1" t="n">
        <v>45974.47329861111</v>
      </c>
      <c r="C1055" s="1" t="n">
        <v>45994</v>
      </c>
      <c r="D1055" t="inlineStr">
        <is>
          <t>STOCKHOLMS LÄN</t>
        </is>
      </c>
      <c r="E1055" t="inlineStr">
        <is>
          <t>NORRTÄLJE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48174-2025</t>
        </is>
      </c>
      <c r="B1056" s="1" t="n">
        <v>45933.44230324074</v>
      </c>
      <c r="C1056" s="1" t="n">
        <v>45994</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48127-2025</t>
        </is>
      </c>
      <c r="B1057" s="1" t="n">
        <v>45933.36621527778</v>
      </c>
      <c r="C1057" s="1" t="n">
        <v>45994</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48179-2025</t>
        </is>
      </c>
      <c r="B1058" s="1" t="n">
        <v>45933.44907407407</v>
      </c>
      <c r="C1058" s="1" t="n">
        <v>45994</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34444-2024</t>
        </is>
      </c>
      <c r="B1059" s="1" t="n">
        <v>45525</v>
      </c>
      <c r="C1059" s="1" t="n">
        <v>45994</v>
      </c>
      <c r="D1059" t="inlineStr">
        <is>
          <t>STOCKHOLMS LÄN</t>
        </is>
      </c>
      <c r="E1059" t="inlineStr">
        <is>
          <t>NORRTÄLJE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48718-2025</t>
        </is>
      </c>
      <c r="B1060" s="1" t="n">
        <v>45936</v>
      </c>
      <c r="C1060" s="1" t="n">
        <v>45994</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20698-2025</t>
        </is>
      </c>
      <c r="B1061" s="1" t="n">
        <v>45776.47122685185</v>
      </c>
      <c r="C1061" s="1" t="n">
        <v>45994</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48593-2025</t>
        </is>
      </c>
      <c r="B1062" s="1" t="n">
        <v>45936.4627662037</v>
      </c>
      <c r="C1062" s="1" t="n">
        <v>45994</v>
      </c>
      <c r="D1062" t="inlineStr">
        <is>
          <t>STOCKHOLMS LÄN</t>
        </is>
      </c>
      <c r="E1062" t="inlineStr">
        <is>
          <t>NORRTÄLJE</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33279-2025</t>
        </is>
      </c>
      <c r="B1063" s="1" t="n">
        <v>45840</v>
      </c>
      <c r="C1063" s="1" t="n">
        <v>45994</v>
      </c>
      <c r="D1063" t="inlineStr">
        <is>
          <t>STOCKHOLMS LÄN</t>
        </is>
      </c>
      <c r="E1063" t="inlineStr">
        <is>
          <t>NORRTÄLJE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22232-2024</t>
        </is>
      </c>
      <c r="B1064" s="1" t="n">
        <v>45446.4287962963</v>
      </c>
      <c r="C1064" s="1" t="n">
        <v>45994</v>
      </c>
      <c r="D1064" t="inlineStr">
        <is>
          <t>STOCKHOLMS LÄN</t>
        </is>
      </c>
      <c r="E1064" t="inlineStr">
        <is>
          <t>NORRTÄLJE</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36396-2025</t>
        </is>
      </c>
      <c r="B1065" s="1" t="n">
        <v>45868.62267361111</v>
      </c>
      <c r="C1065" s="1" t="n">
        <v>45994</v>
      </c>
      <c r="D1065" t="inlineStr">
        <is>
          <t>STOCKHOLMS LÄN</t>
        </is>
      </c>
      <c r="E1065" t="inlineStr">
        <is>
          <t>NORRTÄLJE</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48443-2025</t>
        </is>
      </c>
      <c r="B1066" s="1" t="n">
        <v>45935.55326388889</v>
      </c>
      <c r="C1066" s="1" t="n">
        <v>45994</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48780-2025</t>
        </is>
      </c>
      <c r="B1067" s="1" t="n">
        <v>45937.30377314815</v>
      </c>
      <c r="C1067" s="1" t="n">
        <v>45994</v>
      </c>
      <c r="D1067" t="inlineStr">
        <is>
          <t>STOCKHOLMS LÄN</t>
        </is>
      </c>
      <c r="E1067" t="inlineStr">
        <is>
          <t>NORRTÄLJE</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37261-2025</t>
        </is>
      </c>
      <c r="B1068" s="1" t="n">
        <v>45876.45253472222</v>
      </c>
      <c r="C1068" s="1" t="n">
        <v>45994</v>
      </c>
      <c r="D1068" t="inlineStr">
        <is>
          <t>STOCKHOLMS LÄN</t>
        </is>
      </c>
      <c r="E1068" t="inlineStr">
        <is>
          <t>NORRTÄLJE</t>
        </is>
      </c>
      <c r="F1068" t="inlineStr">
        <is>
          <t>Kommuner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49129-2025</t>
        </is>
      </c>
      <c r="B1069" s="1" t="n">
        <v>45937.89517361111</v>
      </c>
      <c r="C1069" s="1" t="n">
        <v>45994</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37628-2025</t>
        </is>
      </c>
      <c r="B1070" s="1" t="n">
        <v>45880.46189814815</v>
      </c>
      <c r="C1070" s="1" t="n">
        <v>45994</v>
      </c>
      <c r="D1070" t="inlineStr">
        <is>
          <t>STOCKHOLMS LÄN</t>
        </is>
      </c>
      <c r="E1070" t="inlineStr">
        <is>
          <t>NORRTÄLJE</t>
        </is>
      </c>
      <c r="F1070" t="inlineStr">
        <is>
          <t>Sveaskog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29369-2024</t>
        </is>
      </c>
      <c r="B1071" s="1" t="n">
        <v>45483.57244212963</v>
      </c>
      <c r="C1071" s="1" t="n">
        <v>45994</v>
      </c>
      <c r="D1071" t="inlineStr">
        <is>
          <t>STOCKHOLMS LÄN</t>
        </is>
      </c>
      <c r="E1071" t="inlineStr">
        <is>
          <t>NORRTÄLJE</t>
        </is>
      </c>
      <c r="G1071" t="n">
        <v>15.9</v>
      </c>
      <c r="H1071" t="n">
        <v>0</v>
      </c>
      <c r="I1071" t="n">
        <v>0</v>
      </c>
      <c r="J1071" t="n">
        <v>0</v>
      </c>
      <c r="K1071" t="n">
        <v>0</v>
      </c>
      <c r="L1071" t="n">
        <v>0</v>
      </c>
      <c r="M1071" t="n">
        <v>0</v>
      </c>
      <c r="N1071" t="n">
        <v>0</v>
      </c>
      <c r="O1071" t="n">
        <v>0</v>
      </c>
      <c r="P1071" t="n">
        <v>0</v>
      </c>
      <c r="Q1071" t="n">
        <v>0</v>
      </c>
      <c r="R1071" s="2" t="inlineStr"/>
    </row>
    <row r="1072" ht="15" customHeight="1">
      <c r="A1072" t="inlineStr">
        <is>
          <t>A 37632-2025</t>
        </is>
      </c>
      <c r="B1072" s="1" t="n">
        <v>45880.46524305556</v>
      </c>
      <c r="C1072" s="1" t="n">
        <v>45994</v>
      </c>
      <c r="D1072" t="inlineStr">
        <is>
          <t>STOCKHOLMS LÄN</t>
        </is>
      </c>
      <c r="E1072" t="inlineStr">
        <is>
          <t>NORRTÄLJE</t>
        </is>
      </c>
      <c r="F1072" t="inlineStr">
        <is>
          <t>Sveaskog</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57788-2025</t>
        </is>
      </c>
      <c r="B1073" s="1" t="n">
        <v>45981.5778125</v>
      </c>
      <c r="C1073" s="1" t="n">
        <v>45994</v>
      </c>
      <c r="D1073" t="inlineStr">
        <is>
          <t>STOCKHOLMS LÄN</t>
        </is>
      </c>
      <c r="E1073" t="inlineStr">
        <is>
          <t>NORRTÄLJE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29841-2024</t>
        </is>
      </c>
      <c r="B1074" s="1" t="n">
        <v>45485.60261574074</v>
      </c>
      <c r="C1074" s="1" t="n">
        <v>45994</v>
      </c>
      <c r="D1074" t="inlineStr">
        <is>
          <t>STOCKHOLMS LÄN</t>
        </is>
      </c>
      <c r="E1074" t="inlineStr">
        <is>
          <t>NORRTÄLJE</t>
        </is>
      </c>
      <c r="G1074" t="n">
        <v>15.9</v>
      </c>
      <c r="H1074" t="n">
        <v>0</v>
      </c>
      <c r="I1074" t="n">
        <v>0</v>
      </c>
      <c r="J1074" t="n">
        <v>0</v>
      </c>
      <c r="K1074" t="n">
        <v>0</v>
      </c>
      <c r="L1074" t="n">
        <v>0</v>
      </c>
      <c r="M1074" t="n">
        <v>0</v>
      </c>
      <c r="N1074" t="n">
        <v>0</v>
      </c>
      <c r="O1074" t="n">
        <v>0</v>
      </c>
      <c r="P1074" t="n">
        <v>0</v>
      </c>
      <c r="Q1074" t="n">
        <v>0</v>
      </c>
      <c r="R1074" s="2" t="inlineStr"/>
    </row>
    <row r="1075" ht="15" customHeight="1">
      <c r="A1075" t="inlineStr">
        <is>
          <t>A 20692-2025</t>
        </is>
      </c>
      <c r="B1075" s="1" t="n">
        <v>45776.46369212963</v>
      </c>
      <c r="C1075" s="1" t="n">
        <v>45994</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55503-2025</t>
        </is>
      </c>
      <c r="B1076" s="1" t="n">
        <v>45971</v>
      </c>
      <c r="C1076" s="1" t="n">
        <v>45994</v>
      </c>
      <c r="D1076" t="inlineStr">
        <is>
          <t>STOCKHOLMS LÄN</t>
        </is>
      </c>
      <c r="E1076" t="inlineStr">
        <is>
          <t>NORRTÄLJE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37630-2025</t>
        </is>
      </c>
      <c r="B1077" s="1" t="n">
        <v>45880.46372685185</v>
      </c>
      <c r="C1077" s="1" t="n">
        <v>45994</v>
      </c>
      <c r="D1077" t="inlineStr">
        <is>
          <t>STOCKHOLMS LÄN</t>
        </is>
      </c>
      <c r="E1077" t="inlineStr">
        <is>
          <t>NORRTÄLJE</t>
        </is>
      </c>
      <c r="F1077" t="inlineStr">
        <is>
          <t>Sveaskog</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46071-2024</t>
        </is>
      </c>
      <c r="B1078" s="1" t="n">
        <v>45581</v>
      </c>
      <c r="C1078" s="1" t="n">
        <v>45994</v>
      </c>
      <c r="D1078" t="inlineStr">
        <is>
          <t>STOCKHOLMS LÄN</t>
        </is>
      </c>
      <c r="E1078" t="inlineStr">
        <is>
          <t>NORRTÄLJE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57953-2025</t>
        </is>
      </c>
      <c r="B1079" s="1" t="n">
        <v>45982.35016203704</v>
      </c>
      <c r="C1079" s="1" t="n">
        <v>45994</v>
      </c>
      <c r="D1079" t="inlineStr">
        <is>
          <t>STOCKHOLMS LÄN</t>
        </is>
      </c>
      <c r="E1079" t="inlineStr">
        <is>
          <t>NORRTÄLJE</t>
        </is>
      </c>
      <c r="F1079" t="inlineStr">
        <is>
          <t>Sveaskog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13137-2024</t>
        </is>
      </c>
      <c r="B1080" s="1" t="n">
        <v>45386.34175925926</v>
      </c>
      <c r="C1080" s="1" t="n">
        <v>45994</v>
      </c>
      <c r="D1080" t="inlineStr">
        <is>
          <t>STOCKHOLMS LÄN</t>
        </is>
      </c>
      <c r="E1080" t="inlineStr">
        <is>
          <t>NORRTÄLJE</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24350-2025</t>
        </is>
      </c>
      <c r="B1081" s="1" t="n">
        <v>45797.58350694444</v>
      </c>
      <c r="C1081" s="1" t="n">
        <v>45994</v>
      </c>
      <c r="D1081" t="inlineStr">
        <is>
          <t>STOCKHOLMS LÄN</t>
        </is>
      </c>
      <c r="E1081" t="inlineStr">
        <is>
          <t>NORRTÄLJE</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26703-2025</t>
        </is>
      </c>
      <c r="B1082" s="1" t="n">
        <v>45810.45263888889</v>
      </c>
      <c r="C1082" s="1" t="n">
        <v>45994</v>
      </c>
      <c r="D1082" t="inlineStr">
        <is>
          <t>STOCKHOLMS LÄN</t>
        </is>
      </c>
      <c r="E1082" t="inlineStr">
        <is>
          <t>NORRTÄLJE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38153-2025</t>
        </is>
      </c>
      <c r="B1083" s="1" t="n">
        <v>45882.59722222222</v>
      </c>
      <c r="C1083" s="1" t="n">
        <v>45994</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58142-2025</t>
        </is>
      </c>
      <c r="B1084" s="1" t="n">
        <v>45982.63791666667</v>
      </c>
      <c r="C1084" s="1" t="n">
        <v>45994</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50097-2025</t>
        </is>
      </c>
      <c r="B1085" s="1" t="n">
        <v>45943.50207175926</v>
      </c>
      <c r="C1085" s="1" t="n">
        <v>45994</v>
      </c>
      <c r="D1085" t="inlineStr">
        <is>
          <t>STOCKHOLMS LÄN</t>
        </is>
      </c>
      <c r="E1085" t="inlineStr">
        <is>
          <t>NORRTÄLJE</t>
        </is>
      </c>
      <c r="F1085" t="inlineStr">
        <is>
          <t>Holmen skog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49836-2025</t>
        </is>
      </c>
      <c r="B1086" s="1" t="n">
        <v>45940.46862268518</v>
      </c>
      <c r="C1086" s="1" t="n">
        <v>45994</v>
      </c>
      <c r="D1086" t="inlineStr">
        <is>
          <t>STOCKHOLMS LÄN</t>
        </is>
      </c>
      <c r="E1086" t="inlineStr">
        <is>
          <t>NORRTÄLJE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58403-2025</t>
        </is>
      </c>
      <c r="B1087" s="1" t="n">
        <v>45985.56777777777</v>
      </c>
      <c r="C1087" s="1" t="n">
        <v>45994</v>
      </c>
      <c r="D1087" t="inlineStr">
        <is>
          <t>STOCKHOLMS LÄN</t>
        </is>
      </c>
      <c r="E1087" t="inlineStr">
        <is>
          <t>NORRTÄLJE</t>
        </is>
      </c>
      <c r="F1087" t="inlineStr">
        <is>
          <t>Naturvårdsverket</t>
        </is>
      </c>
      <c r="G1087" t="n">
        <v>13.5</v>
      </c>
      <c r="H1087" t="n">
        <v>0</v>
      </c>
      <c r="I1087" t="n">
        <v>0</v>
      </c>
      <c r="J1087" t="n">
        <v>0</v>
      </c>
      <c r="K1087" t="n">
        <v>0</v>
      </c>
      <c r="L1087" t="n">
        <v>0</v>
      </c>
      <c r="M1087" t="n">
        <v>0</v>
      </c>
      <c r="N1087" t="n">
        <v>0</v>
      </c>
      <c r="O1087" t="n">
        <v>0</v>
      </c>
      <c r="P1087" t="n">
        <v>0</v>
      </c>
      <c r="Q1087" t="n">
        <v>0</v>
      </c>
      <c r="R1087" s="2" t="inlineStr"/>
    </row>
    <row r="1088" ht="15" customHeight="1">
      <c r="A1088" t="inlineStr">
        <is>
          <t>A 58939-2025</t>
        </is>
      </c>
      <c r="B1088" s="1" t="n">
        <v>45987.5681712963</v>
      </c>
      <c r="C1088" s="1" t="n">
        <v>45994</v>
      </c>
      <c r="D1088" t="inlineStr">
        <is>
          <t>STOCKHOLMS LÄN</t>
        </is>
      </c>
      <c r="E1088" t="inlineStr">
        <is>
          <t>NORRTÄLJE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50327-2025</t>
        </is>
      </c>
      <c r="B1089" s="1" t="n">
        <v>45944.46387731482</v>
      </c>
      <c r="C1089" s="1" t="n">
        <v>45994</v>
      </c>
      <c r="D1089" t="inlineStr">
        <is>
          <t>STOCKHOLMS LÄN</t>
        </is>
      </c>
      <c r="E1089" t="inlineStr">
        <is>
          <t>NORRTÄLJE</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50563-2025</t>
        </is>
      </c>
      <c r="B1090" s="1" t="n">
        <v>45944</v>
      </c>
      <c r="C1090" s="1" t="n">
        <v>45994</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50333-2025</t>
        </is>
      </c>
      <c r="B1091" s="1" t="n">
        <v>45944.47178240741</v>
      </c>
      <c r="C1091" s="1" t="n">
        <v>45994</v>
      </c>
      <c r="D1091" t="inlineStr">
        <is>
          <t>STOCKHOLMS LÄN</t>
        </is>
      </c>
      <c r="E1091" t="inlineStr">
        <is>
          <t>NORRTÄLJE</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51122-2025</t>
        </is>
      </c>
      <c r="B1092" s="1" t="n">
        <v>45947.53693287037</v>
      </c>
      <c r="C1092" s="1" t="n">
        <v>45994</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51233-2025</t>
        </is>
      </c>
      <c r="B1093" s="1" t="n">
        <v>45947.68232638889</v>
      </c>
      <c r="C1093" s="1" t="n">
        <v>45994</v>
      </c>
      <c r="D1093" t="inlineStr">
        <is>
          <t>STOCKHOLMS LÄN</t>
        </is>
      </c>
      <c r="E1093" t="inlineStr">
        <is>
          <t>NORRTÄLJE</t>
        </is>
      </c>
      <c r="F1093" t="inlineStr">
        <is>
          <t>Naturvårdsverket</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51236-2025</t>
        </is>
      </c>
      <c r="B1094" s="1" t="n">
        <v>45947.69078703703</v>
      </c>
      <c r="C1094" s="1" t="n">
        <v>45994</v>
      </c>
      <c r="D1094" t="inlineStr">
        <is>
          <t>STOCKHOLMS LÄN</t>
        </is>
      </c>
      <c r="E1094" t="inlineStr">
        <is>
          <t>NORRTÄLJE</t>
        </is>
      </c>
      <c r="F1094" t="inlineStr">
        <is>
          <t>Naturvårdsverket</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51241-2025</t>
        </is>
      </c>
      <c r="B1095" s="1" t="n">
        <v>45947.71726851852</v>
      </c>
      <c r="C1095" s="1" t="n">
        <v>45994</v>
      </c>
      <c r="D1095" t="inlineStr">
        <is>
          <t>STOCKHOLMS LÄN</t>
        </is>
      </c>
      <c r="E1095" t="inlineStr">
        <is>
          <t>NORRTÄLJE</t>
        </is>
      </c>
      <c r="F1095" t="inlineStr">
        <is>
          <t>Naturvårdsverket</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51240-2025</t>
        </is>
      </c>
      <c r="B1096" s="1" t="n">
        <v>45947.70420138889</v>
      </c>
      <c r="C1096" s="1" t="n">
        <v>45994</v>
      </c>
      <c r="D1096" t="inlineStr">
        <is>
          <t>STOCKHOLMS LÄN</t>
        </is>
      </c>
      <c r="E1096" t="inlineStr">
        <is>
          <t>NORRTÄLJE</t>
        </is>
      </c>
      <c r="F1096" t="inlineStr">
        <is>
          <t>Naturvårdsverket</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51121-2025</t>
        </is>
      </c>
      <c r="B1097" s="1" t="n">
        <v>45947.53293981482</v>
      </c>
      <c r="C1097" s="1" t="n">
        <v>45994</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59041-2025</t>
        </is>
      </c>
      <c r="B1098" s="1" t="n">
        <v>45988</v>
      </c>
      <c r="C1098" s="1" t="n">
        <v>45994</v>
      </c>
      <c r="D1098" t="inlineStr">
        <is>
          <t>STOCKHOLMS LÄN</t>
        </is>
      </c>
      <c r="E1098" t="inlineStr">
        <is>
          <t>NORRTÄLJE</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59477-2025</t>
        </is>
      </c>
      <c r="B1099" s="1" t="n">
        <v>45989.58679398148</v>
      </c>
      <c r="C1099" s="1" t="n">
        <v>45994</v>
      </c>
      <c r="D1099" t="inlineStr">
        <is>
          <t>STOCKHOLMS LÄN</t>
        </is>
      </c>
      <c r="E1099" t="inlineStr">
        <is>
          <t>NORRTÄLJE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53499-2025</t>
        </is>
      </c>
      <c r="B1100" s="1" t="n">
        <v>45960</v>
      </c>
      <c r="C1100" s="1" t="n">
        <v>45994</v>
      </c>
      <c r="D1100" t="inlineStr">
        <is>
          <t>STOCKHOLMS LÄN</t>
        </is>
      </c>
      <c r="E1100" t="inlineStr">
        <is>
          <t>NORRTÄLJE</t>
        </is>
      </c>
      <c r="G1100" t="n">
        <v>23.8</v>
      </c>
      <c r="H1100" t="n">
        <v>0</v>
      </c>
      <c r="I1100" t="n">
        <v>0</v>
      </c>
      <c r="J1100" t="n">
        <v>0</v>
      </c>
      <c r="K1100" t="n">
        <v>0</v>
      </c>
      <c r="L1100" t="n">
        <v>0</v>
      </c>
      <c r="M1100" t="n">
        <v>0</v>
      </c>
      <c r="N1100" t="n">
        <v>0</v>
      </c>
      <c r="O1100" t="n">
        <v>0</v>
      </c>
      <c r="P1100" t="n">
        <v>0</v>
      </c>
      <c r="Q1100" t="n">
        <v>0</v>
      </c>
      <c r="R1100" s="2" t="inlineStr"/>
    </row>
    <row r="1101" ht="15" customHeight="1">
      <c r="A1101" t="inlineStr">
        <is>
          <t>A 51532-2025</t>
        </is>
      </c>
      <c r="B1101" s="1" t="n">
        <v>45950.68297453703</v>
      </c>
      <c r="C1101" s="1" t="n">
        <v>45994</v>
      </c>
      <c r="D1101" t="inlineStr">
        <is>
          <t>STOCKHOLMS LÄN</t>
        </is>
      </c>
      <c r="E1101" t="inlineStr">
        <is>
          <t>NORRTÄLJE</t>
        </is>
      </c>
      <c r="F1101" t="inlineStr">
        <is>
          <t>Naturvårdsverket</t>
        </is>
      </c>
      <c r="G1101" t="n">
        <v>17.3</v>
      </c>
      <c r="H1101" t="n">
        <v>0</v>
      </c>
      <c r="I1101" t="n">
        <v>0</v>
      </c>
      <c r="J1101" t="n">
        <v>0</v>
      </c>
      <c r="K1101" t="n">
        <v>0</v>
      </c>
      <c r="L1101" t="n">
        <v>0</v>
      </c>
      <c r="M1101" t="n">
        <v>0</v>
      </c>
      <c r="N1101" t="n">
        <v>0</v>
      </c>
      <c r="O1101" t="n">
        <v>0</v>
      </c>
      <c r="P1101" t="n">
        <v>0</v>
      </c>
      <c r="Q1101" t="n">
        <v>0</v>
      </c>
      <c r="R1101" s="2" t="inlineStr"/>
    </row>
    <row r="1102" ht="15" customHeight="1">
      <c r="A1102" t="inlineStr">
        <is>
          <t>A 51789-2025</t>
        </is>
      </c>
      <c r="B1102" s="1" t="n">
        <v>45951.68046296296</v>
      </c>
      <c r="C1102" s="1" t="n">
        <v>45994</v>
      </c>
      <c r="D1102" t="inlineStr">
        <is>
          <t>STOCKHOLMS LÄN</t>
        </is>
      </c>
      <c r="E1102" t="inlineStr">
        <is>
          <t>NORRTÄLJE</t>
        </is>
      </c>
      <c r="F1102" t="inlineStr">
        <is>
          <t>Naturvårdsverket</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59907-2025</t>
        </is>
      </c>
      <c r="B1103" s="1" t="n">
        <v>45993.35350694445</v>
      </c>
      <c r="C1103" s="1" t="n">
        <v>45994</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59914-2025</t>
        </is>
      </c>
      <c r="B1104" s="1" t="n">
        <v>45993.37056712963</v>
      </c>
      <c r="C1104" s="1" t="n">
        <v>45994</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59924-2025</t>
        </is>
      </c>
      <c r="B1105" s="1" t="n">
        <v>45993.38928240741</v>
      </c>
      <c r="C1105" s="1" t="n">
        <v>45994</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c r="A1106" t="inlineStr">
        <is>
          <t>A 59672-2025</t>
        </is>
      </c>
      <c r="B1106" s="1" t="n">
        <v>45992.45884259259</v>
      </c>
      <c r="C1106" s="1" t="n">
        <v>45994</v>
      </c>
      <c r="D1106" t="inlineStr">
        <is>
          <t>STOCKHOLMS LÄN</t>
        </is>
      </c>
      <c r="E1106" t="inlineStr">
        <is>
          <t>NORRTÄLJE</t>
        </is>
      </c>
      <c r="G1106" t="n">
        <v>4</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2025-12-03T10:26:21Z</dcterms:created>
  <dcterms:modified xmlns:dcterms="http://purl.org/dc/terms/" xmlns:xsi="http://www.w3.org/2001/XMLSchema-instance" xsi:type="dcterms:W3CDTF">2025-12-03T10:26:22Z</dcterms:modified>
</cp:coreProperties>
</file>