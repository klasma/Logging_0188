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45925</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45925</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45925</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45925</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45925</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45925</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45925</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45925</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45925</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45925</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45925</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45925</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11231-2021</t>
        </is>
      </c>
      <c r="B14" s="1" t="n">
        <v>44263</v>
      </c>
      <c r="C14" s="1" t="n">
        <v>45925</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20722-2024</t>
        </is>
      </c>
      <c r="B15" s="1" t="n">
        <v>45436</v>
      </c>
      <c r="C15" s="1" t="n">
        <v>45925</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44847-2023</t>
        </is>
      </c>
      <c r="B16" s="1" t="n">
        <v>45190</v>
      </c>
      <c r="C16" s="1" t="n">
        <v>45925</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50326-2024</t>
        </is>
      </c>
      <c r="B17" s="1" t="n">
        <v>45600</v>
      </c>
      <c r="C17" s="1" t="n">
        <v>45925</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45925</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45925</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45925</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59582-2024</t>
        </is>
      </c>
      <c r="B21" s="1" t="n">
        <v>45638</v>
      </c>
      <c r="C21" s="1" t="n">
        <v>45925</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4705-2025</t>
        </is>
      </c>
      <c r="B22" s="1" t="n">
        <v>45688.38224537037</v>
      </c>
      <c r="C22" s="1" t="n">
        <v>45925</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45811-2022</t>
        </is>
      </c>
      <c r="B23" s="1" t="n">
        <v>44846</v>
      </c>
      <c r="C23" s="1" t="n">
        <v>45925</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45925</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47346-2021</t>
        </is>
      </c>
      <c r="B25" s="1" t="n">
        <v>44447</v>
      </c>
      <c r="C25" s="1" t="n">
        <v>45925</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13933-2022</t>
        </is>
      </c>
      <c r="B26" s="1" t="n">
        <v>44650</v>
      </c>
      <c r="C26" s="1" t="n">
        <v>45925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45925</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25732-2025</t>
        </is>
      </c>
      <c r="B28" s="1" t="n">
        <v>45800</v>
      </c>
      <c r="C28" s="1" t="n">
        <v>45925</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34528-2025</t>
        </is>
      </c>
      <c r="B29" s="1" t="n">
        <v>45847.48436342592</v>
      </c>
      <c r="C29" s="1" t="n">
        <v>45925</v>
      </c>
      <c r="D29" t="inlineStr">
        <is>
          <t>STOCKHOLMS LÄN</t>
        </is>
      </c>
      <c r="E29" t="inlineStr">
        <is>
          <t>NORRTÄLJE</t>
        </is>
      </c>
      <c r="G29" t="n">
        <v>1</v>
      </c>
      <c r="H29" t="n">
        <v>1</v>
      </c>
      <c r="I29" t="n">
        <v>2</v>
      </c>
      <c r="J29" t="n">
        <v>3</v>
      </c>
      <c r="K29" t="n">
        <v>1</v>
      </c>
      <c r="L29" t="n">
        <v>0</v>
      </c>
      <c r="M29" t="n">
        <v>0</v>
      </c>
      <c r="N29" t="n">
        <v>0</v>
      </c>
      <c r="O29" t="n">
        <v>4</v>
      </c>
      <c r="P29" t="n">
        <v>1</v>
      </c>
      <c r="Q29" t="n">
        <v>6</v>
      </c>
      <c r="R29" s="2" t="inlineStr">
        <is>
          <t>Gyllenfingersvamp
Gammelgransskål
Motaggsvamp
Spillkråka
Fjällig taggsvamp s.str.
Svavelriska</t>
        </is>
      </c>
      <c r="S29">
        <f>HYPERLINK("https://klasma.github.io/Logging_0188/artfynd/A 34528-2025 artfynd.xlsx", "A 34528-2025")</f>
        <v/>
      </c>
      <c r="T29">
        <f>HYPERLINK("https://klasma.github.io/Logging_0188/kartor/A 34528-2025 karta.png", "A 34528-2025")</f>
        <v/>
      </c>
      <c r="V29">
        <f>HYPERLINK("https://klasma.github.io/Logging_0188/klagomål/A 34528-2025 FSC-klagomål.docx", "A 34528-2025")</f>
        <v/>
      </c>
      <c r="W29">
        <f>HYPERLINK("https://klasma.github.io/Logging_0188/klagomålsmail/A 34528-2025 FSC-klagomål mail.docx", "A 34528-2025")</f>
        <v/>
      </c>
      <c r="X29">
        <f>HYPERLINK("https://klasma.github.io/Logging_0188/tillsyn/A 34528-2025 tillsynsbegäran.docx", "A 34528-2025")</f>
        <v/>
      </c>
      <c r="Y29">
        <f>HYPERLINK("https://klasma.github.io/Logging_0188/tillsynsmail/A 34528-2025 tillsynsbegäran mail.docx", "A 34528-2025")</f>
        <v/>
      </c>
      <c r="Z29">
        <f>HYPERLINK("https://klasma.github.io/Logging_0188/fåglar/A 34528-2025 prioriterade fågelarter.docx", "A 34528-2025")</f>
        <v/>
      </c>
    </row>
    <row r="30" ht="15" customHeight="1">
      <c r="A30" t="inlineStr">
        <is>
          <t>A 1054-2022</t>
        </is>
      </c>
      <c r="B30" s="1" t="n">
        <v>44571</v>
      </c>
      <c r="C30" s="1" t="n">
        <v>45925</v>
      </c>
      <c r="D30" t="inlineStr">
        <is>
          <t>STOCKHOLMS LÄN</t>
        </is>
      </c>
      <c r="E30" t="inlineStr">
        <is>
          <t>NORRTÄLJE</t>
        </is>
      </c>
      <c r="G30" t="n">
        <v>5</v>
      </c>
      <c r="H30" t="n">
        <v>0</v>
      </c>
      <c r="I30" t="n">
        <v>4</v>
      </c>
      <c r="J30" t="n">
        <v>1</v>
      </c>
      <c r="K30" t="n">
        <v>0</v>
      </c>
      <c r="L30" t="n">
        <v>0</v>
      </c>
      <c r="M30" t="n">
        <v>0</v>
      </c>
      <c r="N30" t="n">
        <v>0</v>
      </c>
      <c r="O30" t="n">
        <v>1</v>
      </c>
      <c r="P30" t="n">
        <v>0</v>
      </c>
      <c r="Q30" t="n">
        <v>5</v>
      </c>
      <c r="R30" s="2" t="inlineStr">
        <is>
          <t>Fyrflikig jordstjärna
Fjällig taggsvamp s.str.
Kryddspindling
Olivspindling
Svavelriska</t>
        </is>
      </c>
      <c r="S30">
        <f>HYPERLINK("https://klasma.github.io/Logging_0188/artfynd/A 1054-2022 artfynd.xlsx", "A 1054-2022")</f>
        <v/>
      </c>
      <c r="T30">
        <f>HYPERLINK("https://klasma.github.io/Logging_0188/kartor/A 1054-2022 karta.png", "A 1054-2022")</f>
        <v/>
      </c>
      <c r="V30">
        <f>HYPERLINK("https://klasma.github.io/Logging_0188/klagomål/A 1054-2022 FSC-klagomål.docx", "A 1054-2022")</f>
        <v/>
      </c>
      <c r="W30">
        <f>HYPERLINK("https://klasma.github.io/Logging_0188/klagomålsmail/A 1054-2022 FSC-klagomål mail.docx", "A 1054-2022")</f>
        <v/>
      </c>
      <c r="X30">
        <f>HYPERLINK("https://klasma.github.io/Logging_0188/tillsyn/A 1054-2022 tillsynsbegäran.docx", "A 1054-2022")</f>
        <v/>
      </c>
      <c r="Y30">
        <f>HYPERLINK("https://klasma.github.io/Logging_0188/tillsynsmail/A 1054-2022 tillsynsbegäran mail.docx", "A 1054-2022")</f>
        <v/>
      </c>
    </row>
    <row r="31" ht="15" customHeight="1">
      <c r="A31" t="inlineStr">
        <is>
          <t>A 15804-2025</t>
        </is>
      </c>
      <c r="B31" s="1" t="n">
        <v>45748.6521875</v>
      </c>
      <c r="C31" s="1" t="n">
        <v>45925</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72111-2021</t>
        </is>
      </c>
      <c r="B32" s="1" t="n">
        <v>44544</v>
      </c>
      <c r="C32" s="1" t="n">
        <v>45925</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21922-2023</t>
        </is>
      </c>
      <c r="B33" s="1" t="n">
        <v>45068</v>
      </c>
      <c r="C33" s="1" t="n">
        <v>45925</v>
      </c>
      <c r="D33" t="inlineStr">
        <is>
          <t>STOCKHOLMS LÄN</t>
        </is>
      </c>
      <c r="E33" t="inlineStr">
        <is>
          <t>NORRTÄLJE</t>
        </is>
      </c>
      <c r="G33" t="n">
        <v>4.9</v>
      </c>
      <c r="H33" t="n">
        <v>2</v>
      </c>
      <c r="I33" t="n">
        <v>2</v>
      </c>
      <c r="J33" t="n">
        <v>1</v>
      </c>
      <c r="K33" t="n">
        <v>0</v>
      </c>
      <c r="L33" t="n">
        <v>0</v>
      </c>
      <c r="M33" t="n">
        <v>0</v>
      </c>
      <c r="N33" t="n">
        <v>0</v>
      </c>
      <c r="O33" t="n">
        <v>1</v>
      </c>
      <c r="P33" t="n">
        <v>0</v>
      </c>
      <c r="Q33" t="n">
        <v>5</v>
      </c>
      <c r="R33" s="2" t="inlineStr">
        <is>
          <t>Asppraktbagge
Stor aspticka
Svavelriska
Blåsippa
Gullviva</t>
        </is>
      </c>
      <c r="S33">
        <f>HYPERLINK("https://klasma.github.io/Logging_0188/artfynd/A 21922-2023 artfynd.xlsx", "A 21922-2023")</f>
        <v/>
      </c>
      <c r="T33">
        <f>HYPERLINK("https://klasma.github.io/Logging_0188/kartor/A 21922-2023 karta.png", "A 21922-2023")</f>
        <v/>
      </c>
      <c r="V33">
        <f>HYPERLINK("https://klasma.github.io/Logging_0188/klagomål/A 21922-2023 FSC-klagomål.docx", "A 21922-2023")</f>
        <v/>
      </c>
      <c r="W33">
        <f>HYPERLINK("https://klasma.github.io/Logging_0188/klagomålsmail/A 21922-2023 FSC-klagomål mail.docx", "A 21922-2023")</f>
        <v/>
      </c>
      <c r="X33">
        <f>HYPERLINK("https://klasma.github.io/Logging_0188/tillsyn/A 21922-2023 tillsynsbegäran.docx", "A 21922-2023")</f>
        <v/>
      </c>
      <c r="Y33">
        <f>HYPERLINK("https://klasma.github.io/Logging_0188/tillsynsmail/A 21922-2023 tillsynsbegäran mail.docx", "A 21922-2023")</f>
        <v/>
      </c>
    </row>
    <row r="34" ht="15" customHeight="1">
      <c r="A34" t="inlineStr">
        <is>
          <t>A 30687-2025</t>
        </is>
      </c>
      <c r="B34" s="1" t="n">
        <v>45831.53390046296</v>
      </c>
      <c r="C34" s="1" t="n">
        <v>45925</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22071-2022</t>
        </is>
      </c>
      <c r="B35" s="1" t="n">
        <v>44711</v>
      </c>
      <c r="C35" s="1" t="n">
        <v>45925</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34521-2025</t>
        </is>
      </c>
      <c r="B36" s="1" t="n">
        <v>45847.47052083333</v>
      </c>
      <c r="C36" s="1" t="n">
        <v>45925</v>
      </c>
      <c r="D36" t="inlineStr">
        <is>
          <t>STOCKHOLMS LÄN</t>
        </is>
      </c>
      <c r="E36" t="inlineStr">
        <is>
          <t>NORRTÄLJE</t>
        </is>
      </c>
      <c r="G36" t="n">
        <v>4.3</v>
      </c>
      <c r="H36" t="n">
        <v>0</v>
      </c>
      <c r="I36" t="n">
        <v>2</v>
      </c>
      <c r="J36" t="n">
        <v>2</v>
      </c>
      <c r="K36" t="n">
        <v>0</v>
      </c>
      <c r="L36" t="n">
        <v>0</v>
      </c>
      <c r="M36" t="n">
        <v>0</v>
      </c>
      <c r="N36" t="n">
        <v>0</v>
      </c>
      <c r="O36" t="n">
        <v>2</v>
      </c>
      <c r="P36" t="n">
        <v>0</v>
      </c>
      <c r="Q36" t="n">
        <v>4</v>
      </c>
      <c r="R36" s="2" t="inlineStr">
        <is>
          <t>Kandelabersvamp
Vedtrappmossa
Anisspindling
Stor aspticka</t>
        </is>
      </c>
      <c r="S36">
        <f>HYPERLINK("https://klasma.github.io/Logging_0188/artfynd/A 34521-2025 artfynd.xlsx", "A 34521-2025")</f>
        <v/>
      </c>
      <c r="T36">
        <f>HYPERLINK("https://klasma.github.io/Logging_0188/kartor/A 34521-2025 karta.png", "A 34521-2025")</f>
        <v/>
      </c>
      <c r="V36">
        <f>HYPERLINK("https://klasma.github.io/Logging_0188/klagomål/A 34521-2025 FSC-klagomål.docx", "A 34521-2025")</f>
        <v/>
      </c>
      <c r="W36">
        <f>HYPERLINK("https://klasma.github.io/Logging_0188/klagomålsmail/A 34521-2025 FSC-klagomål mail.docx", "A 34521-2025")</f>
        <v/>
      </c>
      <c r="X36">
        <f>HYPERLINK("https://klasma.github.io/Logging_0188/tillsyn/A 34521-2025 tillsynsbegäran.docx", "A 34521-2025")</f>
        <v/>
      </c>
      <c r="Y36">
        <f>HYPERLINK("https://klasma.github.io/Logging_0188/tillsynsmail/A 34521-2025 tillsynsbegäran mail.docx", "A 34521-2025")</f>
        <v/>
      </c>
    </row>
    <row r="37" ht="15" customHeight="1">
      <c r="A37" t="inlineStr">
        <is>
          <t>A 41276-2025</t>
        </is>
      </c>
      <c r="B37" s="1" t="n">
        <v>45898.62723379629</v>
      </c>
      <c r="C37" s="1" t="n">
        <v>45925</v>
      </c>
      <c r="D37" t="inlineStr">
        <is>
          <t>STOCKHOLMS LÄN</t>
        </is>
      </c>
      <c r="E37" t="inlineStr">
        <is>
          <t>NORRTÄLJE</t>
        </is>
      </c>
      <c r="G37" t="n">
        <v>3.2</v>
      </c>
      <c r="H37" t="n">
        <v>1</v>
      </c>
      <c r="I37" t="n">
        <v>2</v>
      </c>
      <c r="J37" t="n">
        <v>0</v>
      </c>
      <c r="K37" t="n">
        <v>0</v>
      </c>
      <c r="L37" t="n">
        <v>1</v>
      </c>
      <c r="M37" t="n">
        <v>0</v>
      </c>
      <c r="N37" t="n">
        <v>0</v>
      </c>
      <c r="O37" t="n">
        <v>1</v>
      </c>
      <c r="P37" t="n">
        <v>1</v>
      </c>
      <c r="Q37" t="n">
        <v>4</v>
      </c>
      <c r="R37" s="2" t="inlineStr">
        <is>
          <t>Ask
Underviol
Vårärt
Blåsippa</t>
        </is>
      </c>
      <c r="S37">
        <f>HYPERLINK("https://klasma.github.io/Logging_0188/artfynd/A 41276-2025 artfynd.xlsx", "A 41276-2025")</f>
        <v/>
      </c>
      <c r="T37">
        <f>HYPERLINK("https://klasma.github.io/Logging_0188/kartor/A 41276-2025 karta.png", "A 41276-2025")</f>
        <v/>
      </c>
      <c r="V37">
        <f>HYPERLINK("https://klasma.github.io/Logging_0188/klagomål/A 41276-2025 FSC-klagomål.docx", "A 41276-2025")</f>
        <v/>
      </c>
      <c r="W37">
        <f>HYPERLINK("https://klasma.github.io/Logging_0188/klagomålsmail/A 41276-2025 FSC-klagomål mail.docx", "A 41276-2025")</f>
        <v/>
      </c>
      <c r="X37">
        <f>HYPERLINK("https://klasma.github.io/Logging_0188/tillsyn/A 41276-2025 tillsynsbegäran.docx", "A 41276-2025")</f>
        <v/>
      </c>
      <c r="Y37">
        <f>HYPERLINK("https://klasma.github.io/Logging_0188/tillsynsmail/A 41276-2025 tillsynsbegäran mail.docx", "A 41276-2025")</f>
        <v/>
      </c>
    </row>
    <row r="38" ht="15" customHeight="1">
      <c r="A38" t="inlineStr">
        <is>
          <t>A 10876-2025</t>
        </is>
      </c>
      <c r="B38" s="1" t="n">
        <v>45722</v>
      </c>
      <c r="C38" s="1" t="n">
        <v>45925</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21837-2025</t>
        </is>
      </c>
      <c r="B39" s="1" t="n">
        <v>45784.32179398148</v>
      </c>
      <c r="C39" s="1" t="n">
        <v>45925</v>
      </c>
      <c r="D39" t="inlineStr">
        <is>
          <t>STOCKHOLMS LÄN</t>
        </is>
      </c>
      <c r="E39" t="inlineStr">
        <is>
          <t>NORRTÄLJE</t>
        </is>
      </c>
      <c r="G39" t="n">
        <v>6.4</v>
      </c>
      <c r="H39" t="n">
        <v>2</v>
      </c>
      <c r="I39" t="n">
        <v>2</v>
      </c>
      <c r="J39" t="n">
        <v>1</v>
      </c>
      <c r="K39" t="n">
        <v>0</v>
      </c>
      <c r="L39" t="n">
        <v>0</v>
      </c>
      <c r="M39" t="n">
        <v>0</v>
      </c>
      <c r="N39" t="n">
        <v>0</v>
      </c>
      <c r="O39" t="n">
        <v>1</v>
      </c>
      <c r="P39" t="n">
        <v>0</v>
      </c>
      <c r="Q39" t="n">
        <v>4</v>
      </c>
      <c r="R39" s="2" t="inlineStr">
        <is>
          <t>Granticka
Brandticka
Nästrot
Blåsippa</t>
        </is>
      </c>
      <c r="S39">
        <f>HYPERLINK("https://klasma.github.io/Logging_0188/artfynd/A 21837-2025 artfynd.xlsx", "A 21837-2025")</f>
        <v/>
      </c>
      <c r="T39">
        <f>HYPERLINK("https://klasma.github.io/Logging_0188/kartor/A 21837-2025 karta.png", "A 21837-2025")</f>
        <v/>
      </c>
      <c r="V39">
        <f>HYPERLINK("https://klasma.github.io/Logging_0188/klagomål/A 21837-2025 FSC-klagomål.docx", "A 21837-2025")</f>
        <v/>
      </c>
      <c r="W39">
        <f>HYPERLINK("https://klasma.github.io/Logging_0188/klagomålsmail/A 21837-2025 FSC-klagomål mail.docx", "A 21837-2025")</f>
        <v/>
      </c>
      <c r="X39">
        <f>HYPERLINK("https://klasma.github.io/Logging_0188/tillsyn/A 21837-2025 tillsynsbegäran.docx", "A 21837-2025")</f>
        <v/>
      </c>
      <c r="Y39">
        <f>HYPERLINK("https://klasma.github.io/Logging_0188/tillsynsmail/A 21837-2025 tillsynsbegäran mail.docx", "A 21837-2025")</f>
        <v/>
      </c>
    </row>
    <row r="40" ht="15" customHeight="1">
      <c r="A40" t="inlineStr">
        <is>
          <t>A 21730-2025</t>
        </is>
      </c>
      <c r="B40" s="1" t="n">
        <v>45783.58123842593</v>
      </c>
      <c r="C40" s="1" t="n">
        <v>45925</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45925</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45925</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44709-2022</t>
        </is>
      </c>
      <c r="B43" s="1" t="n">
        <v>44839</v>
      </c>
      <c r="C43" s="1" t="n">
        <v>45925</v>
      </c>
      <c r="D43" t="inlineStr">
        <is>
          <t>STOCKHOLMS LÄN</t>
        </is>
      </c>
      <c r="E43" t="inlineStr">
        <is>
          <t>NORRTÄLJE</t>
        </is>
      </c>
      <c r="G43" t="n">
        <v>16.3</v>
      </c>
      <c r="H43" t="n">
        <v>3</v>
      </c>
      <c r="I43" t="n">
        <v>0</v>
      </c>
      <c r="J43" t="n">
        <v>2</v>
      </c>
      <c r="K43" t="n">
        <v>0</v>
      </c>
      <c r="L43" t="n">
        <v>0</v>
      </c>
      <c r="M43" t="n">
        <v>0</v>
      </c>
      <c r="N43" t="n">
        <v>0</v>
      </c>
      <c r="O43" t="n">
        <v>2</v>
      </c>
      <c r="P43" t="n">
        <v>0</v>
      </c>
      <c r="Q43" t="n">
        <v>4</v>
      </c>
      <c r="R43" s="2" t="inlineStr">
        <is>
          <t>Asppraktbagge
Spillkråka
Enkelbeckasin
Orre</t>
        </is>
      </c>
      <c r="S43">
        <f>HYPERLINK("https://klasma.github.io/Logging_0188/artfynd/A 44709-2022 artfynd.xlsx", "A 44709-2022")</f>
        <v/>
      </c>
      <c r="T43">
        <f>HYPERLINK("https://klasma.github.io/Logging_0188/kartor/A 44709-2022 karta.png", "A 44709-2022")</f>
        <v/>
      </c>
      <c r="V43">
        <f>HYPERLINK("https://klasma.github.io/Logging_0188/klagomål/A 44709-2022 FSC-klagomål.docx", "A 44709-2022")</f>
        <v/>
      </c>
      <c r="W43">
        <f>HYPERLINK("https://klasma.github.io/Logging_0188/klagomålsmail/A 44709-2022 FSC-klagomål mail.docx", "A 44709-2022")</f>
        <v/>
      </c>
      <c r="X43">
        <f>HYPERLINK("https://klasma.github.io/Logging_0188/tillsyn/A 44709-2022 tillsynsbegäran.docx", "A 44709-2022")</f>
        <v/>
      </c>
      <c r="Y43">
        <f>HYPERLINK("https://klasma.github.io/Logging_0188/tillsynsmail/A 44709-2022 tillsynsbegäran mail.docx", "A 44709-2022")</f>
        <v/>
      </c>
      <c r="Z43">
        <f>HYPERLINK("https://klasma.github.io/Logging_0188/fåglar/A 44709-2022 prioriterade fågelarter.docx", "A 44709-2022")</f>
        <v/>
      </c>
    </row>
    <row r="44" ht="15" customHeight="1">
      <c r="A44" t="inlineStr">
        <is>
          <t>A 17673-2021</t>
        </is>
      </c>
      <c r="B44" s="1" t="n">
        <v>44300</v>
      </c>
      <c r="C44" s="1" t="n">
        <v>45925</v>
      </c>
      <c r="D44" t="inlineStr">
        <is>
          <t>STOCKHOLMS LÄN</t>
        </is>
      </c>
      <c r="E44" t="inlineStr">
        <is>
          <t>NORRTÄLJE</t>
        </is>
      </c>
      <c r="G44" t="n">
        <v>9.199999999999999</v>
      </c>
      <c r="H44" t="n">
        <v>3</v>
      </c>
      <c r="I44" t="n">
        <v>0</v>
      </c>
      <c r="J44" t="n">
        <v>2</v>
      </c>
      <c r="K44" t="n">
        <v>0</v>
      </c>
      <c r="L44" t="n">
        <v>0</v>
      </c>
      <c r="M44" t="n">
        <v>0</v>
      </c>
      <c r="N44" t="n">
        <v>0</v>
      </c>
      <c r="O44" t="n">
        <v>2</v>
      </c>
      <c r="P44" t="n">
        <v>0</v>
      </c>
      <c r="Q44" t="n">
        <v>3</v>
      </c>
      <c r="R44" s="2" t="inlineStr">
        <is>
          <t>Grönsångare
Havsörn
Blåsippa</t>
        </is>
      </c>
      <c r="S44">
        <f>HYPERLINK("https://klasma.github.io/Logging_0188/artfynd/A 17673-2021 artfynd.xlsx", "A 17673-2021")</f>
        <v/>
      </c>
      <c r="T44">
        <f>HYPERLINK("https://klasma.github.io/Logging_0188/kartor/A 17673-2021 karta.png", "A 17673-2021")</f>
        <v/>
      </c>
      <c r="V44">
        <f>HYPERLINK("https://klasma.github.io/Logging_0188/klagomål/A 17673-2021 FSC-klagomål.docx", "A 17673-2021")</f>
        <v/>
      </c>
      <c r="W44">
        <f>HYPERLINK("https://klasma.github.io/Logging_0188/klagomålsmail/A 17673-2021 FSC-klagomål mail.docx", "A 17673-2021")</f>
        <v/>
      </c>
      <c r="X44">
        <f>HYPERLINK("https://klasma.github.io/Logging_0188/tillsyn/A 17673-2021 tillsynsbegäran.docx", "A 17673-2021")</f>
        <v/>
      </c>
      <c r="Y44">
        <f>HYPERLINK("https://klasma.github.io/Logging_0188/tillsynsmail/A 17673-2021 tillsynsbegäran mail.docx", "A 17673-2021")</f>
        <v/>
      </c>
      <c r="Z44">
        <f>HYPERLINK("https://klasma.github.io/Logging_0188/fåglar/A 17673-2021 prioriterade fågelarter.docx", "A 17673-2021")</f>
        <v/>
      </c>
    </row>
    <row r="45" ht="15" customHeight="1">
      <c r="A45" t="inlineStr">
        <is>
          <t>A 14560-2021</t>
        </is>
      </c>
      <c r="B45" s="1" t="n">
        <v>44279</v>
      </c>
      <c r="C45" s="1" t="n">
        <v>45925</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45113-2022</t>
        </is>
      </c>
      <c r="B46" s="1" t="n">
        <v>44843</v>
      </c>
      <c r="C46" s="1" t="n">
        <v>45925</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28836-2022</t>
        </is>
      </c>
      <c r="B47" s="1" t="n">
        <v>44749</v>
      </c>
      <c r="C47" s="1" t="n">
        <v>45925</v>
      </c>
      <c r="D47" t="inlineStr">
        <is>
          <t>STOCKHOLMS LÄN</t>
        </is>
      </c>
      <c r="E47" t="inlineStr">
        <is>
          <t>NORRTÄLJE</t>
        </is>
      </c>
      <c r="G47" t="n">
        <v>25</v>
      </c>
      <c r="H47" t="n">
        <v>2</v>
      </c>
      <c r="I47" t="n">
        <v>0</v>
      </c>
      <c r="J47" t="n">
        <v>2</v>
      </c>
      <c r="K47" t="n">
        <v>0</v>
      </c>
      <c r="L47" t="n">
        <v>0</v>
      </c>
      <c r="M47" t="n">
        <v>0</v>
      </c>
      <c r="N47" t="n">
        <v>0</v>
      </c>
      <c r="O47" t="n">
        <v>2</v>
      </c>
      <c r="P47" t="n">
        <v>0</v>
      </c>
      <c r="Q47" t="n">
        <v>3</v>
      </c>
      <c r="R47" s="2" t="inlineStr">
        <is>
          <t>Backklöver
Svartvit flugsnappare
Skogsödla</t>
        </is>
      </c>
      <c r="S47">
        <f>HYPERLINK("https://klasma.github.io/Logging_0188/artfynd/A 28836-2022 artfynd.xlsx", "A 28836-2022")</f>
        <v/>
      </c>
      <c r="T47">
        <f>HYPERLINK("https://klasma.github.io/Logging_0188/kartor/A 28836-2022 karta.png", "A 28836-2022")</f>
        <v/>
      </c>
      <c r="V47">
        <f>HYPERLINK("https://klasma.github.io/Logging_0188/klagomål/A 28836-2022 FSC-klagomål.docx", "A 28836-2022")</f>
        <v/>
      </c>
      <c r="W47">
        <f>HYPERLINK("https://klasma.github.io/Logging_0188/klagomålsmail/A 28836-2022 FSC-klagomål mail.docx", "A 28836-2022")</f>
        <v/>
      </c>
      <c r="X47">
        <f>HYPERLINK("https://klasma.github.io/Logging_0188/tillsyn/A 28836-2022 tillsynsbegäran.docx", "A 28836-2022")</f>
        <v/>
      </c>
      <c r="Y47">
        <f>HYPERLINK("https://klasma.github.io/Logging_0188/tillsynsmail/A 28836-2022 tillsynsbegäran mail.docx", "A 28836-2022")</f>
        <v/>
      </c>
      <c r="Z47">
        <f>HYPERLINK("https://klasma.github.io/Logging_0188/fåglar/A 28836-2022 prioriterade fågelarter.docx", "A 28836-2022")</f>
        <v/>
      </c>
    </row>
    <row r="48" ht="15" customHeight="1">
      <c r="A48" t="inlineStr">
        <is>
          <t>A 2851-2023</t>
        </is>
      </c>
      <c r="B48" s="1" t="n">
        <v>44945</v>
      </c>
      <c r="C48" s="1" t="n">
        <v>45925</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20185-2022</t>
        </is>
      </c>
      <c r="B49" s="1" t="n">
        <v>44698</v>
      </c>
      <c r="C49" s="1" t="n">
        <v>45925</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27870-2022</t>
        </is>
      </c>
      <c r="B50" s="1" t="n">
        <v>44743.64592592593</v>
      </c>
      <c r="C50" s="1" t="n">
        <v>45925</v>
      </c>
      <c r="D50" t="inlineStr">
        <is>
          <t>STOCKHOLMS LÄN</t>
        </is>
      </c>
      <c r="E50" t="inlineStr">
        <is>
          <t>NORRTÄLJE</t>
        </is>
      </c>
      <c r="F50" t="inlineStr">
        <is>
          <t>Holmen skog AB</t>
        </is>
      </c>
      <c r="G50" t="n">
        <v>1.8</v>
      </c>
      <c r="H50" t="n">
        <v>3</v>
      </c>
      <c r="I50" t="n">
        <v>0</v>
      </c>
      <c r="J50" t="n">
        <v>1</v>
      </c>
      <c r="K50" t="n">
        <v>0</v>
      </c>
      <c r="L50" t="n">
        <v>0</v>
      </c>
      <c r="M50" t="n">
        <v>0</v>
      </c>
      <c r="N50" t="n">
        <v>0</v>
      </c>
      <c r="O50" t="n">
        <v>1</v>
      </c>
      <c r="P50" t="n">
        <v>0</v>
      </c>
      <c r="Q50" t="n">
        <v>3</v>
      </c>
      <c r="R50" s="2" t="inlineStr">
        <is>
          <t>Nordfladdermus
Dvärgpipistrell
Större brunfladdermus</t>
        </is>
      </c>
      <c r="S50">
        <f>HYPERLINK("https://klasma.github.io/Logging_0188/artfynd/A 27870-2022 artfynd.xlsx", "A 27870-2022")</f>
        <v/>
      </c>
      <c r="T50">
        <f>HYPERLINK("https://klasma.github.io/Logging_0188/kartor/A 27870-2022 karta.png", "A 27870-2022")</f>
        <v/>
      </c>
      <c r="V50">
        <f>HYPERLINK("https://klasma.github.io/Logging_0188/klagomål/A 27870-2022 FSC-klagomål.docx", "A 27870-2022")</f>
        <v/>
      </c>
      <c r="W50">
        <f>HYPERLINK("https://klasma.github.io/Logging_0188/klagomålsmail/A 27870-2022 FSC-klagomål mail.docx", "A 27870-2022")</f>
        <v/>
      </c>
      <c r="X50">
        <f>HYPERLINK("https://klasma.github.io/Logging_0188/tillsyn/A 27870-2022 tillsynsbegäran.docx", "A 27870-2022")</f>
        <v/>
      </c>
      <c r="Y50">
        <f>HYPERLINK("https://klasma.github.io/Logging_0188/tillsynsmail/A 27870-2022 tillsynsbegäran mail.docx", "A 27870-2022")</f>
        <v/>
      </c>
    </row>
    <row r="51" ht="15" customHeight="1">
      <c r="A51" t="inlineStr">
        <is>
          <t>A 54110-2024</t>
        </is>
      </c>
      <c r="B51" s="1" t="n">
        <v>45616.54866898148</v>
      </c>
      <c r="C51" s="1" t="n">
        <v>45925</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53065-2024</t>
        </is>
      </c>
      <c r="B52" s="1" t="n">
        <v>45611.47233796296</v>
      </c>
      <c r="C52" s="1" t="n">
        <v>45925</v>
      </c>
      <c r="D52" t="inlineStr">
        <is>
          <t>STOCKHOLMS LÄN</t>
        </is>
      </c>
      <c r="E52" t="inlineStr">
        <is>
          <t>NORRTÄLJE</t>
        </is>
      </c>
      <c r="G52" t="n">
        <v>12.3</v>
      </c>
      <c r="H52" t="n">
        <v>0</v>
      </c>
      <c r="I52" t="n">
        <v>1</v>
      </c>
      <c r="J52" t="n">
        <v>1</v>
      </c>
      <c r="K52" t="n">
        <v>1</v>
      </c>
      <c r="L52" t="n">
        <v>0</v>
      </c>
      <c r="M52" t="n">
        <v>0</v>
      </c>
      <c r="N52" t="n">
        <v>0</v>
      </c>
      <c r="O52" t="n">
        <v>2</v>
      </c>
      <c r="P52" t="n">
        <v>1</v>
      </c>
      <c r="Q52" t="n">
        <v>3</v>
      </c>
      <c r="R52" s="2" t="inlineStr">
        <is>
          <t>Aspsplintbock
Grön aspvedbock
Gulröd blankbock</t>
        </is>
      </c>
      <c r="S52">
        <f>HYPERLINK("https://klasma.github.io/Logging_0188/artfynd/A 53065-2024 artfynd.xlsx", "A 53065-2024")</f>
        <v/>
      </c>
      <c r="T52">
        <f>HYPERLINK("https://klasma.github.io/Logging_0188/kartor/A 53065-2024 karta.png", "A 53065-2024")</f>
        <v/>
      </c>
      <c r="V52">
        <f>HYPERLINK("https://klasma.github.io/Logging_0188/klagomål/A 53065-2024 FSC-klagomål.docx", "A 53065-2024")</f>
        <v/>
      </c>
      <c r="W52">
        <f>HYPERLINK("https://klasma.github.io/Logging_0188/klagomålsmail/A 53065-2024 FSC-klagomål mail.docx", "A 53065-2024")</f>
        <v/>
      </c>
      <c r="X52">
        <f>HYPERLINK("https://klasma.github.io/Logging_0188/tillsyn/A 53065-2024 tillsynsbegäran.docx", "A 53065-2024")</f>
        <v/>
      </c>
      <c r="Y52">
        <f>HYPERLINK("https://klasma.github.io/Logging_0188/tillsynsmail/A 53065-2024 tillsynsbegäran mail.docx", "A 53065-2024")</f>
        <v/>
      </c>
    </row>
    <row r="53" ht="15" customHeight="1">
      <c r="A53" t="inlineStr">
        <is>
          <t>A 29185-2025</t>
        </is>
      </c>
      <c r="B53" s="1" t="n">
        <v>45821</v>
      </c>
      <c r="C53" s="1" t="n">
        <v>45925</v>
      </c>
      <c r="D53" t="inlineStr">
        <is>
          <t>STOCKHOLMS LÄN</t>
        </is>
      </c>
      <c r="E53" t="inlineStr">
        <is>
          <t>NORRTÄLJE</t>
        </is>
      </c>
      <c r="F53" t="inlineStr">
        <is>
          <t>Övriga Aktiebolag</t>
        </is>
      </c>
      <c r="G53" t="n">
        <v>8.5</v>
      </c>
      <c r="H53" t="n">
        <v>2</v>
      </c>
      <c r="I53" t="n">
        <v>1</v>
      </c>
      <c r="J53" t="n">
        <v>0</v>
      </c>
      <c r="K53" t="n">
        <v>0</v>
      </c>
      <c r="L53" t="n">
        <v>0</v>
      </c>
      <c r="M53" t="n">
        <v>0</v>
      </c>
      <c r="N53" t="n">
        <v>0</v>
      </c>
      <c r="O53" t="n">
        <v>0</v>
      </c>
      <c r="P53" t="n">
        <v>0</v>
      </c>
      <c r="Q53" t="n">
        <v>3</v>
      </c>
      <c r="R53" s="2" t="inlineStr">
        <is>
          <t>Vårärt
Fläcknycklar
Blåsippa</t>
        </is>
      </c>
      <c r="S53">
        <f>HYPERLINK("https://klasma.github.io/Logging_0188/artfynd/A 29185-2025 artfynd.xlsx", "A 29185-2025")</f>
        <v/>
      </c>
      <c r="T53">
        <f>HYPERLINK("https://klasma.github.io/Logging_0188/kartor/A 29185-2025 karta.png", "A 29185-2025")</f>
        <v/>
      </c>
      <c r="V53">
        <f>HYPERLINK("https://klasma.github.io/Logging_0188/klagomål/A 29185-2025 FSC-klagomål.docx", "A 29185-2025")</f>
        <v/>
      </c>
      <c r="W53">
        <f>HYPERLINK("https://klasma.github.io/Logging_0188/klagomålsmail/A 29185-2025 FSC-klagomål mail.docx", "A 29185-2025")</f>
        <v/>
      </c>
      <c r="X53">
        <f>HYPERLINK("https://klasma.github.io/Logging_0188/tillsyn/A 29185-2025 tillsynsbegäran.docx", "A 29185-2025")</f>
        <v/>
      </c>
      <c r="Y53">
        <f>HYPERLINK("https://klasma.github.io/Logging_0188/tillsynsmail/A 29185-2025 tillsynsbegäran mail.docx", "A 29185-2025")</f>
        <v/>
      </c>
    </row>
    <row r="54" ht="15" customHeight="1">
      <c r="A54" t="inlineStr">
        <is>
          <t>A 50618-2022</t>
        </is>
      </c>
      <c r="B54" s="1" t="n">
        <v>44866</v>
      </c>
      <c r="C54" s="1" t="n">
        <v>45925</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34524-2025</t>
        </is>
      </c>
      <c r="B55" s="1" t="n">
        <v>45847.47685185185</v>
      </c>
      <c r="C55" s="1" t="n">
        <v>45925</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31803-2021</t>
        </is>
      </c>
      <c r="B56" s="1" t="n">
        <v>44370</v>
      </c>
      <c r="C56" s="1" t="n">
        <v>45925</v>
      </c>
      <c r="D56" t="inlineStr">
        <is>
          <t>STOCKHOLMS LÄN</t>
        </is>
      </c>
      <c r="E56" t="inlineStr">
        <is>
          <t>NORRTÄLJE</t>
        </is>
      </c>
      <c r="G56" t="n">
        <v>4.6</v>
      </c>
      <c r="H56" t="n">
        <v>0</v>
      </c>
      <c r="I56" t="n">
        <v>1</v>
      </c>
      <c r="J56" t="n">
        <v>1</v>
      </c>
      <c r="K56" t="n">
        <v>0</v>
      </c>
      <c r="L56" t="n">
        <v>0</v>
      </c>
      <c r="M56" t="n">
        <v>0</v>
      </c>
      <c r="N56" t="n">
        <v>0</v>
      </c>
      <c r="O56" t="n">
        <v>1</v>
      </c>
      <c r="P56" t="n">
        <v>0</v>
      </c>
      <c r="Q56" t="n">
        <v>2</v>
      </c>
      <c r="R56" s="2" t="inlineStr">
        <is>
          <t>Slåtterfibbla
Vårärt</t>
        </is>
      </c>
      <c r="S56">
        <f>HYPERLINK("https://klasma.github.io/Logging_0188/artfynd/A 31803-2021 artfynd.xlsx", "A 31803-2021")</f>
        <v/>
      </c>
      <c r="T56">
        <f>HYPERLINK("https://klasma.github.io/Logging_0188/kartor/A 31803-2021 karta.png", "A 31803-2021")</f>
        <v/>
      </c>
      <c r="V56">
        <f>HYPERLINK("https://klasma.github.io/Logging_0188/klagomål/A 31803-2021 FSC-klagomål.docx", "A 31803-2021")</f>
        <v/>
      </c>
      <c r="W56">
        <f>HYPERLINK("https://klasma.github.io/Logging_0188/klagomålsmail/A 31803-2021 FSC-klagomål mail.docx", "A 31803-2021")</f>
        <v/>
      </c>
      <c r="X56">
        <f>HYPERLINK("https://klasma.github.io/Logging_0188/tillsyn/A 31803-2021 tillsynsbegäran.docx", "A 31803-2021")</f>
        <v/>
      </c>
      <c r="Y56">
        <f>HYPERLINK("https://klasma.github.io/Logging_0188/tillsynsmail/A 31803-2021 tillsynsbegäran mail.docx", "A 31803-2021")</f>
        <v/>
      </c>
    </row>
    <row r="57" ht="15" customHeight="1">
      <c r="A57" t="inlineStr">
        <is>
          <t>A 58676-2021</t>
        </is>
      </c>
      <c r="B57" s="1" t="n">
        <v>44489</v>
      </c>
      <c r="C57" s="1" t="n">
        <v>45925</v>
      </c>
      <c r="D57" t="inlineStr">
        <is>
          <t>STOCKHOLMS LÄN</t>
        </is>
      </c>
      <c r="E57" t="inlineStr">
        <is>
          <t>NORRTÄLJE</t>
        </is>
      </c>
      <c r="G57" t="n">
        <v>0.6</v>
      </c>
      <c r="H57" t="n">
        <v>2</v>
      </c>
      <c r="I57" t="n">
        <v>0</v>
      </c>
      <c r="J57" t="n">
        <v>0</v>
      </c>
      <c r="K57" t="n">
        <v>0</v>
      </c>
      <c r="L57" t="n">
        <v>0</v>
      </c>
      <c r="M57" t="n">
        <v>0</v>
      </c>
      <c r="N57" t="n">
        <v>0</v>
      </c>
      <c r="O57" t="n">
        <v>0</v>
      </c>
      <c r="P57" t="n">
        <v>0</v>
      </c>
      <c r="Q57" t="n">
        <v>2</v>
      </c>
      <c r="R57" s="2" t="inlineStr">
        <is>
          <t>Nattviol
Blåsippa</t>
        </is>
      </c>
      <c r="S57">
        <f>HYPERLINK("https://klasma.github.io/Logging_0188/artfynd/A 58676-2021 artfynd.xlsx", "A 58676-2021")</f>
        <v/>
      </c>
      <c r="T57">
        <f>HYPERLINK("https://klasma.github.io/Logging_0188/kartor/A 58676-2021 karta.png", "A 58676-2021")</f>
        <v/>
      </c>
      <c r="V57">
        <f>HYPERLINK("https://klasma.github.io/Logging_0188/klagomål/A 58676-2021 FSC-klagomål.docx", "A 58676-2021")</f>
        <v/>
      </c>
      <c r="W57">
        <f>HYPERLINK("https://klasma.github.io/Logging_0188/klagomålsmail/A 58676-2021 FSC-klagomål mail.docx", "A 58676-2021")</f>
        <v/>
      </c>
      <c r="X57">
        <f>HYPERLINK("https://klasma.github.io/Logging_0188/tillsyn/A 58676-2021 tillsynsbegäran.docx", "A 58676-2021")</f>
        <v/>
      </c>
      <c r="Y57">
        <f>HYPERLINK("https://klasma.github.io/Logging_0188/tillsynsmail/A 58676-2021 tillsynsbegäran mail.docx", "A 58676-2021")</f>
        <v/>
      </c>
    </row>
    <row r="58" ht="15" customHeight="1">
      <c r="A58" t="inlineStr">
        <is>
          <t>A 51220-2023</t>
        </is>
      </c>
      <c r="B58" s="1" t="n">
        <v>45219</v>
      </c>
      <c r="C58" s="1" t="n">
        <v>45925</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30693-2022</t>
        </is>
      </c>
      <c r="B59" s="1" t="n">
        <v>44763</v>
      </c>
      <c r="C59" s="1" t="n">
        <v>45925</v>
      </c>
      <c r="D59" t="inlineStr">
        <is>
          <t>STOCKHOLMS LÄN</t>
        </is>
      </c>
      <c r="E59" t="inlineStr">
        <is>
          <t>NORRTÄLJE</t>
        </is>
      </c>
      <c r="F59" t="inlineStr">
        <is>
          <t>Sveaskog</t>
        </is>
      </c>
      <c r="G59" t="n">
        <v>3.4</v>
      </c>
      <c r="H59" t="n">
        <v>2</v>
      </c>
      <c r="I59" t="n">
        <v>0</v>
      </c>
      <c r="J59" t="n">
        <v>1</v>
      </c>
      <c r="K59" t="n">
        <v>0</v>
      </c>
      <c r="L59" t="n">
        <v>0</v>
      </c>
      <c r="M59" t="n">
        <v>0</v>
      </c>
      <c r="N59" t="n">
        <v>0</v>
      </c>
      <c r="O59" t="n">
        <v>1</v>
      </c>
      <c r="P59" t="n">
        <v>0</v>
      </c>
      <c r="Q59" t="n">
        <v>2</v>
      </c>
      <c r="R59" s="2" t="inlineStr">
        <is>
          <t>Gulsparv
Gullviva</t>
        </is>
      </c>
      <c r="S59">
        <f>HYPERLINK("https://klasma.github.io/Logging_0188/artfynd/A 30693-2022 artfynd.xlsx", "A 30693-2022")</f>
        <v/>
      </c>
      <c r="T59">
        <f>HYPERLINK("https://klasma.github.io/Logging_0188/kartor/A 30693-2022 karta.png", "A 30693-2022")</f>
        <v/>
      </c>
      <c r="V59">
        <f>HYPERLINK("https://klasma.github.io/Logging_0188/klagomål/A 30693-2022 FSC-klagomål.docx", "A 30693-2022")</f>
        <v/>
      </c>
      <c r="W59">
        <f>HYPERLINK("https://klasma.github.io/Logging_0188/klagomålsmail/A 30693-2022 FSC-klagomål mail.docx", "A 30693-2022")</f>
        <v/>
      </c>
      <c r="X59">
        <f>HYPERLINK("https://klasma.github.io/Logging_0188/tillsyn/A 30693-2022 tillsynsbegäran.docx", "A 30693-2022")</f>
        <v/>
      </c>
      <c r="Y59">
        <f>HYPERLINK("https://klasma.github.io/Logging_0188/tillsynsmail/A 30693-2022 tillsynsbegäran mail.docx", "A 30693-2022")</f>
        <v/>
      </c>
      <c r="Z59">
        <f>HYPERLINK("https://klasma.github.io/Logging_0188/fåglar/A 30693-2022 prioriterade fågelarter.docx", "A 30693-2022")</f>
        <v/>
      </c>
    </row>
    <row r="60" ht="15" customHeight="1">
      <c r="A60" t="inlineStr">
        <is>
          <t>A 11031-2025</t>
        </is>
      </c>
      <c r="B60" s="1" t="n">
        <v>45723</v>
      </c>
      <c r="C60" s="1" t="n">
        <v>45925</v>
      </c>
      <c r="D60" t="inlineStr">
        <is>
          <t>STOCKHOLMS LÄN</t>
        </is>
      </c>
      <c r="E60" t="inlineStr">
        <is>
          <t>NORRTÄLJE</t>
        </is>
      </c>
      <c r="F60" t="inlineStr">
        <is>
          <t>Övriga Aktiebolag</t>
        </is>
      </c>
      <c r="G60" t="n">
        <v>13.2</v>
      </c>
      <c r="H60" t="n">
        <v>1</v>
      </c>
      <c r="I60" t="n">
        <v>0</v>
      </c>
      <c r="J60" t="n">
        <v>2</v>
      </c>
      <c r="K60" t="n">
        <v>0</v>
      </c>
      <c r="L60" t="n">
        <v>0</v>
      </c>
      <c r="M60" t="n">
        <v>0</v>
      </c>
      <c r="N60" t="n">
        <v>0</v>
      </c>
      <c r="O60" t="n">
        <v>2</v>
      </c>
      <c r="P60" t="n">
        <v>0</v>
      </c>
      <c r="Q60" t="n">
        <v>2</v>
      </c>
      <c r="R60" s="2" t="inlineStr">
        <is>
          <t>Järpe
Ullticka</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16260-2022</t>
        </is>
      </c>
      <c r="B61" s="1" t="n">
        <v>44670</v>
      </c>
      <c r="C61" s="1" t="n">
        <v>45925</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45925</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45925</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25731-2025</t>
        </is>
      </c>
      <c r="B64" s="1" t="n">
        <v>45800</v>
      </c>
      <c r="C64" s="1" t="n">
        <v>45925</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51980-2022</t>
        </is>
      </c>
      <c r="B65" s="1" t="n">
        <v>44872</v>
      </c>
      <c r="C65" s="1" t="n">
        <v>45925</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20012-2025</t>
        </is>
      </c>
      <c r="B66" s="1" t="n">
        <v>45772.30234953704</v>
      </c>
      <c r="C66" s="1" t="n">
        <v>45925</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52360-2024</t>
        </is>
      </c>
      <c r="B67" s="1" t="n">
        <v>45609.37094907407</v>
      </c>
      <c r="C67" s="1" t="n">
        <v>45925</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52825-2023</t>
        </is>
      </c>
      <c r="B68" s="1" t="n">
        <v>45226</v>
      </c>
      <c r="C68" s="1" t="n">
        <v>45925</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1547-2022</t>
        </is>
      </c>
      <c r="B69" s="1" t="n">
        <v>44573</v>
      </c>
      <c r="C69" s="1" t="n">
        <v>45925</v>
      </c>
      <c r="D69" t="inlineStr">
        <is>
          <t>STOCKHOLMS LÄN</t>
        </is>
      </c>
      <c r="E69" t="inlineStr">
        <is>
          <t>NORRTÄLJE</t>
        </is>
      </c>
      <c r="G69" t="n">
        <v>1.8</v>
      </c>
      <c r="H69" t="n">
        <v>1</v>
      </c>
      <c r="I69" t="n">
        <v>0</v>
      </c>
      <c r="J69" t="n">
        <v>0</v>
      </c>
      <c r="K69" t="n">
        <v>1</v>
      </c>
      <c r="L69" t="n">
        <v>0</v>
      </c>
      <c r="M69" t="n">
        <v>0</v>
      </c>
      <c r="N69" t="n">
        <v>0</v>
      </c>
      <c r="O69" t="n">
        <v>1</v>
      </c>
      <c r="P69" t="n">
        <v>1</v>
      </c>
      <c r="Q69" t="n">
        <v>1</v>
      </c>
      <c r="R69" s="2" t="inlineStr">
        <is>
          <t>Hällebräcka</t>
        </is>
      </c>
      <c r="S69">
        <f>HYPERLINK("https://klasma.github.io/Logging_0188/artfynd/A 1547-2022 artfynd.xlsx", "A 1547-2022")</f>
        <v/>
      </c>
      <c r="T69">
        <f>HYPERLINK("https://klasma.github.io/Logging_0188/kartor/A 1547-2022 karta.png", "A 1547-2022")</f>
        <v/>
      </c>
      <c r="V69">
        <f>HYPERLINK("https://klasma.github.io/Logging_0188/klagomål/A 1547-2022 FSC-klagomål.docx", "A 1547-2022")</f>
        <v/>
      </c>
      <c r="W69">
        <f>HYPERLINK("https://klasma.github.io/Logging_0188/klagomålsmail/A 1547-2022 FSC-klagomål mail.docx", "A 1547-2022")</f>
        <v/>
      </c>
      <c r="X69">
        <f>HYPERLINK("https://klasma.github.io/Logging_0188/tillsyn/A 1547-2022 tillsynsbegäran.docx", "A 1547-2022")</f>
        <v/>
      </c>
      <c r="Y69">
        <f>HYPERLINK("https://klasma.github.io/Logging_0188/tillsynsmail/A 1547-2022 tillsynsbegäran mail.docx", "A 1547-2022")</f>
        <v/>
      </c>
    </row>
    <row r="70" ht="15" customHeight="1">
      <c r="A70" t="inlineStr">
        <is>
          <t>A 48288-2020</t>
        </is>
      </c>
      <c r="B70" s="1" t="n">
        <v>44102</v>
      </c>
      <c r="C70" s="1" t="n">
        <v>45925</v>
      </c>
      <c r="D70" t="inlineStr">
        <is>
          <t>STOCKHOLMS LÄN</t>
        </is>
      </c>
      <c r="E70" t="inlineStr">
        <is>
          <t>NORRTÄLJE</t>
        </is>
      </c>
      <c r="F70" t="inlineStr">
        <is>
          <t>Holmen skog AB</t>
        </is>
      </c>
      <c r="G70" t="n">
        <v>2.9</v>
      </c>
      <c r="H70" t="n">
        <v>1</v>
      </c>
      <c r="I70" t="n">
        <v>0</v>
      </c>
      <c r="J70" t="n">
        <v>0</v>
      </c>
      <c r="K70" t="n">
        <v>0</v>
      </c>
      <c r="L70" t="n">
        <v>1</v>
      </c>
      <c r="M70" t="n">
        <v>0</v>
      </c>
      <c r="N70" t="n">
        <v>0</v>
      </c>
      <c r="O70" t="n">
        <v>1</v>
      </c>
      <c r="P70" t="n">
        <v>1</v>
      </c>
      <c r="Q70" t="n">
        <v>1</v>
      </c>
      <c r="R70" s="2" t="inlineStr">
        <is>
          <t>Asknätfjäril</t>
        </is>
      </c>
      <c r="S70">
        <f>HYPERLINK("https://klasma.github.io/Logging_0188/artfynd/A 48288-2020 artfynd.xlsx", "A 48288-2020")</f>
        <v/>
      </c>
      <c r="T70">
        <f>HYPERLINK("https://klasma.github.io/Logging_0188/kartor/A 48288-2020 karta.png", "A 48288-2020")</f>
        <v/>
      </c>
      <c r="V70">
        <f>HYPERLINK("https://klasma.github.io/Logging_0188/klagomål/A 48288-2020 FSC-klagomål.docx", "A 48288-2020")</f>
        <v/>
      </c>
      <c r="W70">
        <f>HYPERLINK("https://klasma.github.io/Logging_0188/klagomålsmail/A 48288-2020 FSC-klagomål mail.docx", "A 48288-2020")</f>
        <v/>
      </c>
      <c r="X70">
        <f>HYPERLINK("https://klasma.github.io/Logging_0188/tillsyn/A 48288-2020 tillsynsbegäran.docx", "A 48288-2020")</f>
        <v/>
      </c>
      <c r="Y70">
        <f>HYPERLINK("https://klasma.github.io/Logging_0188/tillsynsmail/A 48288-2020 tillsynsbegäran mail.docx", "A 48288-2020")</f>
        <v/>
      </c>
    </row>
    <row r="71" ht="15" customHeight="1">
      <c r="A71" t="inlineStr">
        <is>
          <t>A 188-2022</t>
        </is>
      </c>
      <c r="B71" s="1" t="n">
        <v>44564.66387731482</v>
      </c>
      <c r="C71" s="1" t="n">
        <v>45925</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45925</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45925</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45925</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45925</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32111-2022</t>
        </is>
      </c>
      <c r="B76" s="1" t="n">
        <v>44778.92797453704</v>
      </c>
      <c r="C76" s="1" t="n">
        <v>45925</v>
      </c>
      <c r="D76" t="inlineStr">
        <is>
          <t>STOCKHOLMS LÄN</t>
        </is>
      </c>
      <c r="E76" t="inlineStr">
        <is>
          <t>NORRTÄLJE</t>
        </is>
      </c>
      <c r="G76" t="n">
        <v>3.1</v>
      </c>
      <c r="H76" t="n">
        <v>0</v>
      </c>
      <c r="I76" t="n">
        <v>0</v>
      </c>
      <c r="J76" t="n">
        <v>1</v>
      </c>
      <c r="K76" t="n">
        <v>0</v>
      </c>
      <c r="L76" t="n">
        <v>0</v>
      </c>
      <c r="M76" t="n">
        <v>0</v>
      </c>
      <c r="N76" t="n">
        <v>0</v>
      </c>
      <c r="O76" t="n">
        <v>1</v>
      </c>
      <c r="P76" t="n">
        <v>0</v>
      </c>
      <c r="Q76" t="n">
        <v>1</v>
      </c>
      <c r="R76" s="2" t="inlineStr">
        <is>
          <t>Orange taggsvamp</t>
        </is>
      </c>
      <c r="S76">
        <f>HYPERLINK("https://klasma.github.io/Logging_0188/artfynd/A 32111-2022 artfynd.xlsx", "A 32111-2022")</f>
        <v/>
      </c>
      <c r="T76">
        <f>HYPERLINK("https://klasma.github.io/Logging_0188/kartor/A 32111-2022 karta.png", "A 32111-2022")</f>
        <v/>
      </c>
      <c r="V76">
        <f>HYPERLINK("https://klasma.github.io/Logging_0188/klagomål/A 32111-2022 FSC-klagomål.docx", "A 32111-2022")</f>
        <v/>
      </c>
      <c r="W76">
        <f>HYPERLINK("https://klasma.github.io/Logging_0188/klagomålsmail/A 32111-2022 FSC-klagomål mail.docx", "A 32111-2022")</f>
        <v/>
      </c>
      <c r="X76">
        <f>HYPERLINK("https://klasma.github.io/Logging_0188/tillsyn/A 32111-2022 tillsynsbegäran.docx", "A 32111-2022")</f>
        <v/>
      </c>
      <c r="Y76">
        <f>HYPERLINK("https://klasma.github.io/Logging_0188/tillsynsmail/A 32111-2022 tillsynsbegäran mail.docx", "A 32111-2022")</f>
        <v/>
      </c>
    </row>
    <row r="77" ht="15" customHeight="1">
      <c r="A77" t="inlineStr">
        <is>
          <t>A 26120-2024</t>
        </is>
      </c>
      <c r="B77" s="1" t="n">
        <v>45468.45995370371</v>
      </c>
      <c r="C77" s="1" t="n">
        <v>45925</v>
      </c>
      <c r="D77" t="inlineStr">
        <is>
          <t>STOCKHOLMS LÄN</t>
        </is>
      </c>
      <c r="E77" t="inlineStr">
        <is>
          <t>NORRTÄLJE</t>
        </is>
      </c>
      <c r="G77" t="n">
        <v>1.8</v>
      </c>
      <c r="H77" t="n">
        <v>0</v>
      </c>
      <c r="I77" t="n">
        <v>0</v>
      </c>
      <c r="J77" t="n">
        <v>1</v>
      </c>
      <c r="K77" t="n">
        <v>0</v>
      </c>
      <c r="L77" t="n">
        <v>0</v>
      </c>
      <c r="M77" t="n">
        <v>0</v>
      </c>
      <c r="N77" t="n">
        <v>0</v>
      </c>
      <c r="O77" t="n">
        <v>1</v>
      </c>
      <c r="P77" t="n">
        <v>0</v>
      </c>
      <c r="Q77" t="n">
        <v>1</v>
      </c>
      <c r="R77" s="2" t="inlineStr">
        <is>
          <t>Majviva</t>
        </is>
      </c>
      <c r="S77">
        <f>HYPERLINK("https://klasma.github.io/Logging_0188/artfynd/A 26120-2024 artfynd.xlsx", "A 26120-2024")</f>
        <v/>
      </c>
      <c r="T77">
        <f>HYPERLINK("https://klasma.github.io/Logging_0188/kartor/A 26120-2024 karta.png", "A 26120-2024")</f>
        <v/>
      </c>
      <c r="V77">
        <f>HYPERLINK("https://klasma.github.io/Logging_0188/klagomål/A 26120-2024 FSC-klagomål.docx", "A 26120-2024")</f>
        <v/>
      </c>
      <c r="W77">
        <f>HYPERLINK("https://klasma.github.io/Logging_0188/klagomålsmail/A 26120-2024 FSC-klagomål mail.docx", "A 26120-2024")</f>
        <v/>
      </c>
      <c r="X77">
        <f>HYPERLINK("https://klasma.github.io/Logging_0188/tillsyn/A 26120-2024 tillsynsbegäran.docx", "A 26120-2024")</f>
        <v/>
      </c>
      <c r="Y77">
        <f>HYPERLINK("https://klasma.github.io/Logging_0188/tillsynsmail/A 26120-2024 tillsynsbegäran mail.docx", "A 26120-2024")</f>
        <v/>
      </c>
    </row>
    <row r="78" ht="15" customHeight="1">
      <c r="A78" t="inlineStr">
        <is>
          <t>A 11429-2023</t>
        </is>
      </c>
      <c r="B78" s="1" t="n">
        <v>44993</v>
      </c>
      <c r="C78" s="1" t="n">
        <v>45925</v>
      </c>
      <c r="D78" t="inlineStr">
        <is>
          <t>STOCKHOLMS LÄN</t>
        </is>
      </c>
      <c r="E78" t="inlineStr">
        <is>
          <t>NORRTÄLJE</t>
        </is>
      </c>
      <c r="G78" t="n">
        <v>2</v>
      </c>
      <c r="H78" t="n">
        <v>0</v>
      </c>
      <c r="I78" t="n">
        <v>0</v>
      </c>
      <c r="J78" t="n">
        <v>1</v>
      </c>
      <c r="K78" t="n">
        <v>0</v>
      </c>
      <c r="L78" t="n">
        <v>0</v>
      </c>
      <c r="M78" t="n">
        <v>0</v>
      </c>
      <c r="N78" t="n">
        <v>0</v>
      </c>
      <c r="O78" t="n">
        <v>1</v>
      </c>
      <c r="P78" t="n">
        <v>0</v>
      </c>
      <c r="Q78" t="n">
        <v>1</v>
      </c>
      <c r="R78" s="2" t="inlineStr">
        <is>
          <t>Skogsklocka</t>
        </is>
      </c>
      <c r="S78">
        <f>HYPERLINK("https://klasma.github.io/Logging_0188/artfynd/A 11429-2023 artfynd.xlsx", "A 11429-2023")</f>
        <v/>
      </c>
      <c r="T78">
        <f>HYPERLINK("https://klasma.github.io/Logging_0188/kartor/A 11429-2023 karta.png", "A 11429-2023")</f>
        <v/>
      </c>
      <c r="V78">
        <f>HYPERLINK("https://klasma.github.io/Logging_0188/klagomål/A 11429-2023 FSC-klagomål.docx", "A 11429-2023")</f>
        <v/>
      </c>
      <c r="W78">
        <f>HYPERLINK("https://klasma.github.io/Logging_0188/klagomålsmail/A 11429-2023 FSC-klagomål mail.docx", "A 11429-2023")</f>
        <v/>
      </c>
      <c r="X78">
        <f>HYPERLINK("https://klasma.github.io/Logging_0188/tillsyn/A 11429-2023 tillsynsbegäran.docx", "A 11429-2023")</f>
        <v/>
      </c>
      <c r="Y78">
        <f>HYPERLINK("https://klasma.github.io/Logging_0188/tillsynsmail/A 11429-2023 tillsynsbegäran mail.docx", "A 11429-2023")</f>
        <v/>
      </c>
    </row>
    <row r="79" ht="15" customHeight="1">
      <c r="A79" t="inlineStr">
        <is>
          <t>A 40861-2025</t>
        </is>
      </c>
      <c r="B79" s="1" t="n">
        <v>45897.56356481482</v>
      </c>
      <c r="C79" s="1" t="n">
        <v>45925</v>
      </c>
      <c r="D79" t="inlineStr">
        <is>
          <t>STOCKHOLMS LÄN</t>
        </is>
      </c>
      <c r="E79" t="inlineStr">
        <is>
          <t>NORRTÄLJE</t>
        </is>
      </c>
      <c r="G79" t="n">
        <v>4</v>
      </c>
      <c r="H79" t="n">
        <v>0</v>
      </c>
      <c r="I79" t="n">
        <v>0</v>
      </c>
      <c r="J79" t="n">
        <v>1</v>
      </c>
      <c r="K79" t="n">
        <v>0</v>
      </c>
      <c r="L79" t="n">
        <v>0</v>
      </c>
      <c r="M79" t="n">
        <v>0</v>
      </c>
      <c r="N79" t="n">
        <v>0</v>
      </c>
      <c r="O79" t="n">
        <v>1</v>
      </c>
      <c r="P79" t="n">
        <v>0</v>
      </c>
      <c r="Q79" t="n">
        <v>1</v>
      </c>
      <c r="R79" s="2" t="inlineStr">
        <is>
          <t>Skogsklocka</t>
        </is>
      </c>
      <c r="S79">
        <f>HYPERLINK("https://klasma.github.io/Logging_0188/artfynd/A 40861-2025 artfynd.xlsx", "A 40861-2025")</f>
        <v/>
      </c>
      <c r="T79">
        <f>HYPERLINK("https://klasma.github.io/Logging_0188/kartor/A 40861-2025 karta.png", "A 40861-2025")</f>
        <v/>
      </c>
      <c r="V79">
        <f>HYPERLINK("https://klasma.github.io/Logging_0188/klagomål/A 40861-2025 FSC-klagomål.docx", "A 40861-2025")</f>
        <v/>
      </c>
      <c r="W79">
        <f>HYPERLINK("https://klasma.github.io/Logging_0188/klagomålsmail/A 40861-2025 FSC-klagomål mail.docx", "A 40861-2025")</f>
        <v/>
      </c>
      <c r="X79">
        <f>HYPERLINK("https://klasma.github.io/Logging_0188/tillsyn/A 40861-2025 tillsynsbegäran.docx", "A 40861-2025")</f>
        <v/>
      </c>
      <c r="Y79">
        <f>HYPERLINK("https://klasma.github.io/Logging_0188/tillsynsmail/A 40861-2025 tillsynsbegäran mail.docx", "A 40861-2025")</f>
        <v/>
      </c>
    </row>
    <row r="80" ht="15" customHeight="1">
      <c r="A80" t="inlineStr">
        <is>
          <t>A 47898-2022</t>
        </is>
      </c>
      <c r="B80" s="1" t="n">
        <v>44855</v>
      </c>
      <c r="C80" s="1" t="n">
        <v>45925</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58888-2021</t>
        </is>
      </c>
      <c r="B81" s="1" t="n">
        <v>44489</v>
      </c>
      <c r="C81" s="1" t="n">
        <v>45925</v>
      </c>
      <c r="D81" t="inlineStr">
        <is>
          <t>STOCKHOLMS LÄN</t>
        </is>
      </c>
      <c r="E81" t="inlineStr">
        <is>
          <t>NORRTÄLJE</t>
        </is>
      </c>
      <c r="F81" t="inlineStr">
        <is>
          <t>Holmen skog AB</t>
        </is>
      </c>
      <c r="G81" t="n">
        <v>2.5</v>
      </c>
      <c r="H81" t="n">
        <v>1</v>
      </c>
      <c r="I81" t="n">
        <v>0</v>
      </c>
      <c r="J81" t="n">
        <v>0</v>
      </c>
      <c r="K81" t="n">
        <v>0</v>
      </c>
      <c r="L81" t="n">
        <v>1</v>
      </c>
      <c r="M81" t="n">
        <v>0</v>
      </c>
      <c r="N81" t="n">
        <v>0</v>
      </c>
      <c r="O81" t="n">
        <v>1</v>
      </c>
      <c r="P81" t="n">
        <v>1</v>
      </c>
      <c r="Q81" t="n">
        <v>1</v>
      </c>
      <c r="R81" s="2" t="inlineStr">
        <is>
          <t>Asknätfjäril</t>
        </is>
      </c>
      <c r="S81">
        <f>HYPERLINK("https://klasma.github.io/Logging_0188/artfynd/A 58888-2021 artfynd.xlsx", "A 58888-2021")</f>
        <v/>
      </c>
      <c r="T81">
        <f>HYPERLINK("https://klasma.github.io/Logging_0188/kartor/A 58888-2021 karta.png", "A 58888-2021")</f>
        <v/>
      </c>
      <c r="V81">
        <f>HYPERLINK("https://klasma.github.io/Logging_0188/klagomål/A 58888-2021 FSC-klagomål.docx", "A 58888-2021")</f>
        <v/>
      </c>
      <c r="W81">
        <f>HYPERLINK("https://klasma.github.io/Logging_0188/klagomålsmail/A 58888-2021 FSC-klagomål mail.docx", "A 58888-2021")</f>
        <v/>
      </c>
      <c r="X81">
        <f>HYPERLINK("https://klasma.github.io/Logging_0188/tillsyn/A 58888-2021 tillsynsbegäran.docx", "A 58888-2021")</f>
        <v/>
      </c>
      <c r="Y81">
        <f>HYPERLINK("https://klasma.github.io/Logging_0188/tillsynsmail/A 58888-2021 tillsynsbegäran mail.docx", "A 58888-2021")</f>
        <v/>
      </c>
    </row>
    <row r="82" ht="15" customHeight="1">
      <c r="A82" t="inlineStr">
        <is>
          <t>A 50854-2022</t>
        </is>
      </c>
      <c r="B82" s="1" t="n">
        <v>44863</v>
      </c>
      <c r="C82" s="1" t="n">
        <v>45925</v>
      </c>
      <c r="D82" t="inlineStr">
        <is>
          <t>STOCKHOLMS LÄN</t>
        </is>
      </c>
      <c r="E82" t="inlineStr">
        <is>
          <t>NORRTÄLJE</t>
        </is>
      </c>
      <c r="G82" t="n">
        <v>2.9</v>
      </c>
      <c r="H82" t="n">
        <v>0</v>
      </c>
      <c r="I82" t="n">
        <v>1</v>
      </c>
      <c r="J82" t="n">
        <v>0</v>
      </c>
      <c r="K82" t="n">
        <v>0</v>
      </c>
      <c r="L82" t="n">
        <v>0</v>
      </c>
      <c r="M82" t="n">
        <v>0</v>
      </c>
      <c r="N82" t="n">
        <v>0</v>
      </c>
      <c r="O82" t="n">
        <v>0</v>
      </c>
      <c r="P82" t="n">
        <v>0</v>
      </c>
      <c r="Q82" t="n">
        <v>1</v>
      </c>
      <c r="R82" s="2" t="inlineStr">
        <is>
          <t>Tibast</t>
        </is>
      </c>
      <c r="S82">
        <f>HYPERLINK("https://klasma.github.io/Logging_0188/artfynd/A 50854-2022 artfynd.xlsx", "A 50854-2022")</f>
        <v/>
      </c>
      <c r="T82">
        <f>HYPERLINK("https://klasma.github.io/Logging_0188/kartor/A 50854-2022 karta.png", "A 50854-2022")</f>
        <v/>
      </c>
      <c r="V82">
        <f>HYPERLINK("https://klasma.github.io/Logging_0188/klagomål/A 50854-2022 FSC-klagomål.docx", "A 50854-2022")</f>
        <v/>
      </c>
      <c r="W82">
        <f>HYPERLINK("https://klasma.github.io/Logging_0188/klagomålsmail/A 50854-2022 FSC-klagomål mail.docx", "A 50854-2022")</f>
        <v/>
      </c>
      <c r="X82">
        <f>HYPERLINK("https://klasma.github.io/Logging_0188/tillsyn/A 50854-2022 tillsynsbegäran.docx", "A 50854-2022")</f>
        <v/>
      </c>
      <c r="Y82">
        <f>HYPERLINK("https://klasma.github.io/Logging_0188/tillsynsmail/A 50854-2022 tillsynsbegäran mail.docx", "A 50854-2022")</f>
        <v/>
      </c>
    </row>
    <row r="83" ht="15" customHeight="1">
      <c r="A83" t="inlineStr">
        <is>
          <t>A 4595-2023</t>
        </is>
      </c>
      <c r="B83" s="1" t="n">
        <v>44956</v>
      </c>
      <c r="C83" s="1" t="n">
        <v>45925</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42313-2025</t>
        </is>
      </c>
      <c r="B84" s="1" t="n">
        <v>45904.6575</v>
      </c>
      <c r="C84" s="1" t="n">
        <v>45925</v>
      </c>
      <c r="D84" t="inlineStr">
        <is>
          <t>STOCKHOLMS LÄN</t>
        </is>
      </c>
      <c r="E84" t="inlineStr">
        <is>
          <t>NORRTÄLJE</t>
        </is>
      </c>
      <c r="G84" t="n">
        <v>1.7</v>
      </c>
      <c r="H84" t="n">
        <v>1</v>
      </c>
      <c r="I84" t="n">
        <v>0</v>
      </c>
      <c r="J84" t="n">
        <v>0</v>
      </c>
      <c r="K84" t="n">
        <v>0</v>
      </c>
      <c r="L84" t="n">
        <v>0</v>
      </c>
      <c r="M84" t="n">
        <v>0</v>
      </c>
      <c r="N84" t="n">
        <v>0</v>
      </c>
      <c r="O84" t="n">
        <v>0</v>
      </c>
      <c r="P84" t="n">
        <v>0</v>
      </c>
      <c r="Q84" t="n">
        <v>1</v>
      </c>
      <c r="R84" s="2" t="inlineStr">
        <is>
          <t>Vanlig padda</t>
        </is>
      </c>
      <c r="S84">
        <f>HYPERLINK("https://klasma.github.io/Logging_0188/artfynd/A 42313-2025 artfynd.xlsx", "A 42313-2025")</f>
        <v/>
      </c>
      <c r="T84">
        <f>HYPERLINK("https://klasma.github.io/Logging_0188/kartor/A 42313-2025 karta.png", "A 42313-2025")</f>
        <v/>
      </c>
      <c r="V84">
        <f>HYPERLINK("https://klasma.github.io/Logging_0188/klagomål/A 42313-2025 FSC-klagomål.docx", "A 42313-2025")</f>
        <v/>
      </c>
      <c r="W84">
        <f>HYPERLINK("https://klasma.github.io/Logging_0188/klagomålsmail/A 42313-2025 FSC-klagomål mail.docx", "A 42313-2025")</f>
        <v/>
      </c>
      <c r="X84">
        <f>HYPERLINK("https://klasma.github.io/Logging_0188/tillsyn/A 42313-2025 tillsynsbegäran.docx", "A 42313-2025")</f>
        <v/>
      </c>
      <c r="Y84">
        <f>HYPERLINK("https://klasma.github.io/Logging_0188/tillsynsmail/A 42313-2025 tillsynsbegäran mail.docx", "A 42313-2025")</f>
        <v/>
      </c>
    </row>
    <row r="85" ht="15" customHeight="1">
      <c r="A85" t="inlineStr">
        <is>
          <t>A 64456-2023</t>
        </is>
      </c>
      <c r="B85" s="1" t="n">
        <v>45280</v>
      </c>
      <c r="C85" s="1" t="n">
        <v>45925</v>
      </c>
      <c r="D85" t="inlineStr">
        <is>
          <t>STOCKHOLMS LÄN</t>
        </is>
      </c>
      <c r="E85" t="inlineStr">
        <is>
          <t>NORRTÄLJE</t>
        </is>
      </c>
      <c r="G85" t="n">
        <v>2.5</v>
      </c>
      <c r="H85" t="n">
        <v>0</v>
      </c>
      <c r="I85" t="n">
        <v>1</v>
      </c>
      <c r="J85" t="n">
        <v>0</v>
      </c>
      <c r="K85" t="n">
        <v>0</v>
      </c>
      <c r="L85" t="n">
        <v>0</v>
      </c>
      <c r="M85" t="n">
        <v>0</v>
      </c>
      <c r="N85" t="n">
        <v>0</v>
      </c>
      <c r="O85" t="n">
        <v>0</v>
      </c>
      <c r="P85" t="n">
        <v>0</v>
      </c>
      <c r="Q85" t="n">
        <v>1</v>
      </c>
      <c r="R85" s="2" t="inlineStr">
        <is>
          <t>Rödgul trumpetsvamp</t>
        </is>
      </c>
      <c r="S85">
        <f>HYPERLINK("https://klasma.github.io/Logging_0188/artfynd/A 64456-2023 artfynd.xlsx", "A 64456-2023")</f>
        <v/>
      </c>
      <c r="T85">
        <f>HYPERLINK("https://klasma.github.io/Logging_0188/kartor/A 64456-2023 karta.png", "A 64456-2023")</f>
        <v/>
      </c>
      <c r="V85">
        <f>HYPERLINK("https://klasma.github.io/Logging_0188/klagomål/A 64456-2023 FSC-klagomål.docx", "A 64456-2023")</f>
        <v/>
      </c>
      <c r="W85">
        <f>HYPERLINK("https://klasma.github.io/Logging_0188/klagomålsmail/A 64456-2023 FSC-klagomål mail.docx", "A 64456-2023")</f>
        <v/>
      </c>
      <c r="X85">
        <f>HYPERLINK("https://klasma.github.io/Logging_0188/tillsyn/A 64456-2023 tillsynsbegäran.docx", "A 64456-2023")</f>
        <v/>
      </c>
      <c r="Y85">
        <f>HYPERLINK("https://klasma.github.io/Logging_0188/tillsynsmail/A 64456-2023 tillsynsbegäran mail.docx", "A 64456-2023")</f>
        <v/>
      </c>
    </row>
    <row r="86" ht="15" customHeight="1">
      <c r="A86" t="inlineStr">
        <is>
          <t>A 21744-2023</t>
        </is>
      </c>
      <c r="B86" s="1" t="n">
        <v>45065</v>
      </c>
      <c r="C86" s="1" t="n">
        <v>45925</v>
      </c>
      <c r="D86" t="inlineStr">
        <is>
          <t>STOCKHOLMS LÄN</t>
        </is>
      </c>
      <c r="E86" t="inlineStr">
        <is>
          <t>NORRTÄLJE</t>
        </is>
      </c>
      <c r="F86" t="inlineStr">
        <is>
          <t>Holmen skog AB</t>
        </is>
      </c>
      <c r="G86" t="n">
        <v>4.2</v>
      </c>
      <c r="H86" t="n">
        <v>0</v>
      </c>
      <c r="I86" t="n">
        <v>1</v>
      </c>
      <c r="J86" t="n">
        <v>0</v>
      </c>
      <c r="K86" t="n">
        <v>0</v>
      </c>
      <c r="L86" t="n">
        <v>0</v>
      </c>
      <c r="M86" t="n">
        <v>0</v>
      </c>
      <c r="N86" t="n">
        <v>0</v>
      </c>
      <c r="O86" t="n">
        <v>0</v>
      </c>
      <c r="P86" t="n">
        <v>0</v>
      </c>
      <c r="Q86" t="n">
        <v>1</v>
      </c>
      <c r="R86" s="2" t="inlineStr">
        <is>
          <t>Korallblylav</t>
        </is>
      </c>
      <c r="S86">
        <f>HYPERLINK("https://klasma.github.io/Logging_0188/artfynd/A 21744-2023 artfynd.xlsx", "A 21744-2023")</f>
        <v/>
      </c>
      <c r="T86">
        <f>HYPERLINK("https://klasma.github.io/Logging_0188/kartor/A 21744-2023 karta.png", "A 21744-2023")</f>
        <v/>
      </c>
      <c r="V86">
        <f>HYPERLINK("https://klasma.github.io/Logging_0188/klagomål/A 21744-2023 FSC-klagomål.docx", "A 21744-2023")</f>
        <v/>
      </c>
      <c r="W86">
        <f>HYPERLINK("https://klasma.github.io/Logging_0188/klagomålsmail/A 21744-2023 FSC-klagomål mail.docx", "A 21744-2023")</f>
        <v/>
      </c>
      <c r="X86">
        <f>HYPERLINK("https://klasma.github.io/Logging_0188/tillsyn/A 21744-2023 tillsynsbegäran.docx", "A 21744-2023")</f>
        <v/>
      </c>
      <c r="Y86">
        <f>HYPERLINK("https://klasma.github.io/Logging_0188/tillsynsmail/A 21744-2023 tillsynsbegäran mail.docx", "A 21744-2023")</f>
        <v/>
      </c>
    </row>
    <row r="87" ht="15" customHeight="1">
      <c r="A87" t="inlineStr">
        <is>
          <t>A 17952-2022</t>
        </is>
      </c>
      <c r="B87" s="1" t="n">
        <v>44683</v>
      </c>
      <c r="C87" s="1" t="n">
        <v>45925</v>
      </c>
      <c r="D87" t="inlineStr">
        <is>
          <t>STOCKHOLMS LÄN</t>
        </is>
      </c>
      <c r="E87" t="inlineStr">
        <is>
          <t>NORRTÄLJE</t>
        </is>
      </c>
      <c r="G87" t="n">
        <v>51.1</v>
      </c>
      <c r="H87" t="n">
        <v>0</v>
      </c>
      <c r="I87" t="n">
        <v>0</v>
      </c>
      <c r="J87" t="n">
        <v>0</v>
      </c>
      <c r="K87" t="n">
        <v>1</v>
      </c>
      <c r="L87" t="n">
        <v>0</v>
      </c>
      <c r="M87" t="n">
        <v>0</v>
      </c>
      <c r="N87" t="n">
        <v>0</v>
      </c>
      <c r="O87" t="n">
        <v>1</v>
      </c>
      <c r="P87" t="n">
        <v>1</v>
      </c>
      <c r="Q87" t="n">
        <v>1</v>
      </c>
      <c r="R87" s="2" t="inlineStr">
        <is>
          <t>Kattunvisslare</t>
        </is>
      </c>
      <c r="S87">
        <f>HYPERLINK("https://klasma.github.io/Logging_0188/artfynd/A 17952-2022 artfynd.xlsx", "A 17952-2022")</f>
        <v/>
      </c>
      <c r="T87">
        <f>HYPERLINK("https://klasma.github.io/Logging_0188/kartor/A 17952-2022 karta.png", "A 17952-2022")</f>
        <v/>
      </c>
      <c r="V87">
        <f>HYPERLINK("https://klasma.github.io/Logging_0188/klagomål/A 17952-2022 FSC-klagomål.docx", "A 17952-2022")</f>
        <v/>
      </c>
      <c r="W87">
        <f>HYPERLINK("https://klasma.github.io/Logging_0188/klagomålsmail/A 17952-2022 FSC-klagomål mail.docx", "A 17952-2022")</f>
        <v/>
      </c>
      <c r="X87">
        <f>HYPERLINK("https://klasma.github.io/Logging_0188/tillsyn/A 17952-2022 tillsynsbegäran.docx", "A 17952-2022")</f>
        <v/>
      </c>
      <c r="Y87">
        <f>HYPERLINK("https://klasma.github.io/Logging_0188/tillsynsmail/A 17952-2022 tillsynsbegäran mail.docx", "A 17952-2022")</f>
        <v/>
      </c>
    </row>
    <row r="88" ht="15" customHeight="1">
      <c r="A88" t="inlineStr">
        <is>
          <t>A 52611-2024</t>
        </is>
      </c>
      <c r="B88" s="1" t="n">
        <v>45609.83747685186</v>
      </c>
      <c r="C88" s="1" t="n">
        <v>45925</v>
      </c>
      <c r="D88" t="inlineStr">
        <is>
          <t>STOCKHOLMS LÄN</t>
        </is>
      </c>
      <c r="E88" t="inlineStr">
        <is>
          <t>NORRTÄLJE</t>
        </is>
      </c>
      <c r="G88" t="n">
        <v>10.6</v>
      </c>
      <c r="H88" t="n">
        <v>1</v>
      </c>
      <c r="I88" t="n">
        <v>0</v>
      </c>
      <c r="J88" t="n">
        <v>0</v>
      </c>
      <c r="K88" t="n">
        <v>0</v>
      </c>
      <c r="L88" t="n">
        <v>0</v>
      </c>
      <c r="M88" t="n">
        <v>0</v>
      </c>
      <c r="N88" t="n">
        <v>0</v>
      </c>
      <c r="O88" t="n">
        <v>0</v>
      </c>
      <c r="P88" t="n">
        <v>0</v>
      </c>
      <c r="Q88" t="n">
        <v>1</v>
      </c>
      <c r="R88" s="2" t="inlineStr">
        <is>
          <t>Blåsippa</t>
        </is>
      </c>
      <c r="S88">
        <f>HYPERLINK("https://klasma.github.io/Logging_0188/artfynd/A 52611-2024 artfynd.xlsx", "A 52611-2024")</f>
        <v/>
      </c>
      <c r="T88">
        <f>HYPERLINK("https://klasma.github.io/Logging_0188/kartor/A 52611-2024 karta.png", "A 52611-2024")</f>
        <v/>
      </c>
      <c r="V88">
        <f>HYPERLINK("https://klasma.github.io/Logging_0188/klagomål/A 52611-2024 FSC-klagomål.docx", "A 52611-2024")</f>
        <v/>
      </c>
      <c r="W88">
        <f>HYPERLINK("https://klasma.github.io/Logging_0188/klagomålsmail/A 52611-2024 FSC-klagomål mail.docx", "A 52611-2024")</f>
        <v/>
      </c>
      <c r="X88">
        <f>HYPERLINK("https://klasma.github.io/Logging_0188/tillsyn/A 52611-2024 tillsynsbegäran.docx", "A 52611-2024")</f>
        <v/>
      </c>
      <c r="Y88">
        <f>HYPERLINK("https://klasma.github.io/Logging_0188/tillsynsmail/A 52611-2024 tillsynsbegäran mail.docx", "A 52611-2024")</f>
        <v/>
      </c>
    </row>
    <row r="89" ht="15" customHeight="1">
      <c r="A89" t="inlineStr">
        <is>
          <t>A 52508-2023</t>
        </is>
      </c>
      <c r="B89" s="1" t="n">
        <v>45225</v>
      </c>
      <c r="C89" s="1" t="n">
        <v>45925</v>
      </c>
      <c r="D89" t="inlineStr">
        <is>
          <t>STOCKHOLMS LÄN</t>
        </is>
      </c>
      <c r="E89" t="inlineStr">
        <is>
          <t>NORRTÄLJE</t>
        </is>
      </c>
      <c r="G89" t="n">
        <v>19.7</v>
      </c>
      <c r="H89" t="n">
        <v>1</v>
      </c>
      <c r="I89" t="n">
        <v>0</v>
      </c>
      <c r="J89" t="n">
        <v>0</v>
      </c>
      <c r="K89" t="n">
        <v>1</v>
      </c>
      <c r="L89" t="n">
        <v>0</v>
      </c>
      <c r="M89" t="n">
        <v>0</v>
      </c>
      <c r="N89" t="n">
        <v>0</v>
      </c>
      <c r="O89" t="n">
        <v>1</v>
      </c>
      <c r="P89" t="n">
        <v>1</v>
      </c>
      <c r="Q89" t="n">
        <v>1</v>
      </c>
      <c r="R89" s="2" t="inlineStr">
        <is>
          <t>Svärta</t>
        </is>
      </c>
      <c r="S89">
        <f>HYPERLINK("https://klasma.github.io/Logging_0188/artfynd/A 52508-2023 artfynd.xlsx", "A 52508-2023")</f>
        <v/>
      </c>
      <c r="T89">
        <f>HYPERLINK("https://klasma.github.io/Logging_0188/kartor/A 52508-2023 karta.png", "A 52508-2023")</f>
        <v/>
      </c>
      <c r="V89">
        <f>HYPERLINK("https://klasma.github.io/Logging_0188/klagomål/A 52508-2023 FSC-klagomål.docx", "A 52508-2023")</f>
        <v/>
      </c>
      <c r="W89">
        <f>HYPERLINK("https://klasma.github.io/Logging_0188/klagomålsmail/A 52508-2023 FSC-klagomål mail.docx", "A 52508-2023")</f>
        <v/>
      </c>
      <c r="X89">
        <f>HYPERLINK("https://klasma.github.io/Logging_0188/tillsyn/A 52508-2023 tillsynsbegäran.docx", "A 52508-2023")</f>
        <v/>
      </c>
      <c r="Y89">
        <f>HYPERLINK("https://klasma.github.io/Logging_0188/tillsynsmail/A 52508-2023 tillsynsbegäran mail.docx", "A 52508-2023")</f>
        <v/>
      </c>
    </row>
    <row r="90" ht="15" customHeight="1">
      <c r="A90" t="inlineStr">
        <is>
          <t>A 23146-2024</t>
        </is>
      </c>
      <c r="B90" s="1" t="n">
        <v>45450.63958333333</v>
      </c>
      <c r="C90" s="1" t="n">
        <v>45925</v>
      </c>
      <c r="D90" t="inlineStr">
        <is>
          <t>STOCKHOLMS LÄN</t>
        </is>
      </c>
      <c r="E90" t="inlineStr">
        <is>
          <t>NORRTÄLJE</t>
        </is>
      </c>
      <c r="F90" t="inlineStr">
        <is>
          <t>Kommuner</t>
        </is>
      </c>
      <c r="G90" t="n">
        <v>6</v>
      </c>
      <c r="H90" t="n">
        <v>0</v>
      </c>
      <c r="I90" t="n">
        <v>0</v>
      </c>
      <c r="J90" t="n">
        <v>1</v>
      </c>
      <c r="K90" t="n">
        <v>0</v>
      </c>
      <c r="L90" t="n">
        <v>0</v>
      </c>
      <c r="M90" t="n">
        <v>0</v>
      </c>
      <c r="N90" t="n">
        <v>0</v>
      </c>
      <c r="O90" t="n">
        <v>1</v>
      </c>
      <c r="P90" t="n">
        <v>0</v>
      </c>
      <c r="Q90" t="n">
        <v>1</v>
      </c>
      <c r="R90" s="2" t="inlineStr">
        <is>
          <t>Motaggsvamp</t>
        </is>
      </c>
      <c r="S90">
        <f>HYPERLINK("https://klasma.github.io/Logging_0188/artfynd/A 23146-2024 artfynd.xlsx", "A 23146-2024")</f>
        <v/>
      </c>
      <c r="T90">
        <f>HYPERLINK("https://klasma.github.io/Logging_0188/kartor/A 23146-2024 karta.png", "A 23146-2024")</f>
        <v/>
      </c>
      <c r="V90">
        <f>HYPERLINK("https://klasma.github.io/Logging_0188/klagomål/A 23146-2024 FSC-klagomål.docx", "A 23146-2024")</f>
        <v/>
      </c>
      <c r="W90">
        <f>HYPERLINK("https://klasma.github.io/Logging_0188/klagomålsmail/A 23146-2024 FSC-klagomål mail.docx", "A 23146-2024")</f>
        <v/>
      </c>
      <c r="X90">
        <f>HYPERLINK("https://klasma.github.io/Logging_0188/tillsyn/A 23146-2024 tillsynsbegäran.docx", "A 23146-2024")</f>
        <v/>
      </c>
      <c r="Y90">
        <f>HYPERLINK("https://klasma.github.io/Logging_0188/tillsynsmail/A 23146-2024 tillsynsbegäran mail.docx", "A 23146-2024")</f>
        <v/>
      </c>
    </row>
    <row r="91" ht="15" customHeight="1">
      <c r="A91" t="inlineStr">
        <is>
          <t>A 8371-2025</t>
        </is>
      </c>
      <c r="B91" s="1" t="n">
        <v>45708</v>
      </c>
      <c r="C91" s="1" t="n">
        <v>45925</v>
      </c>
      <c r="D91" t="inlineStr">
        <is>
          <t>STOCKHOLMS LÄN</t>
        </is>
      </c>
      <c r="E91" t="inlineStr">
        <is>
          <t>NORRTÄLJE</t>
        </is>
      </c>
      <c r="F91" t="inlineStr">
        <is>
          <t>Övriga Aktiebolag</t>
        </is>
      </c>
      <c r="G91" t="n">
        <v>2.9</v>
      </c>
      <c r="H91" t="n">
        <v>1</v>
      </c>
      <c r="I91" t="n">
        <v>0</v>
      </c>
      <c r="J91" t="n">
        <v>1</v>
      </c>
      <c r="K91" t="n">
        <v>0</v>
      </c>
      <c r="L91" t="n">
        <v>0</v>
      </c>
      <c r="M91" t="n">
        <v>0</v>
      </c>
      <c r="N91" t="n">
        <v>0</v>
      </c>
      <c r="O91" t="n">
        <v>1</v>
      </c>
      <c r="P91" t="n">
        <v>0</v>
      </c>
      <c r="Q91" t="n">
        <v>1</v>
      </c>
      <c r="R91" s="2" t="inlineStr">
        <is>
          <t>Spillkråka</t>
        </is>
      </c>
      <c r="S91">
        <f>HYPERLINK("https://klasma.github.io/Logging_0188/artfynd/A 8371-2025 artfynd.xlsx", "A 8371-2025")</f>
        <v/>
      </c>
      <c r="T91">
        <f>HYPERLINK("https://klasma.github.io/Logging_0188/kartor/A 8371-2025 karta.png", "A 8371-2025")</f>
        <v/>
      </c>
      <c r="V91">
        <f>HYPERLINK("https://klasma.github.io/Logging_0188/klagomål/A 8371-2025 FSC-klagomål.docx", "A 8371-2025")</f>
        <v/>
      </c>
      <c r="W91">
        <f>HYPERLINK("https://klasma.github.io/Logging_0188/klagomålsmail/A 8371-2025 FSC-klagomål mail.docx", "A 8371-2025")</f>
        <v/>
      </c>
      <c r="X91">
        <f>HYPERLINK("https://klasma.github.io/Logging_0188/tillsyn/A 8371-2025 tillsynsbegäran.docx", "A 8371-2025")</f>
        <v/>
      </c>
      <c r="Y91">
        <f>HYPERLINK("https://klasma.github.io/Logging_0188/tillsynsmail/A 8371-2025 tillsynsbegäran mail.docx", "A 8371-2025")</f>
        <v/>
      </c>
      <c r="Z91">
        <f>HYPERLINK("https://klasma.github.io/Logging_0188/fåglar/A 8371-2025 prioriterade fågelarter.docx", "A 8371-2025")</f>
        <v/>
      </c>
    </row>
    <row r="92" ht="15" customHeight="1">
      <c r="A92" t="inlineStr">
        <is>
          <t>A 27538-2024</t>
        </is>
      </c>
      <c r="B92" s="1" t="n">
        <v>45474</v>
      </c>
      <c r="C92" s="1" t="n">
        <v>45925</v>
      </c>
      <c r="D92" t="inlineStr">
        <is>
          <t>STOCKHOLMS LÄN</t>
        </is>
      </c>
      <c r="E92" t="inlineStr">
        <is>
          <t>NORRTÄLJE</t>
        </is>
      </c>
      <c r="G92" t="n">
        <v>1.5</v>
      </c>
      <c r="H92" t="n">
        <v>1</v>
      </c>
      <c r="I92" t="n">
        <v>1</v>
      </c>
      <c r="J92" t="n">
        <v>0</v>
      </c>
      <c r="K92" t="n">
        <v>0</v>
      </c>
      <c r="L92" t="n">
        <v>0</v>
      </c>
      <c r="M92" t="n">
        <v>0</v>
      </c>
      <c r="N92" t="n">
        <v>0</v>
      </c>
      <c r="O92" t="n">
        <v>0</v>
      </c>
      <c r="P92" t="n">
        <v>0</v>
      </c>
      <c r="Q92" t="n">
        <v>1</v>
      </c>
      <c r="R92" s="2" t="inlineStr">
        <is>
          <t>Skogsknipprot</t>
        </is>
      </c>
      <c r="S92">
        <f>HYPERLINK("https://klasma.github.io/Logging_0188/artfynd/A 27538-2024 artfynd.xlsx", "A 27538-2024")</f>
        <v/>
      </c>
      <c r="T92">
        <f>HYPERLINK("https://klasma.github.io/Logging_0188/kartor/A 27538-2024 karta.png", "A 27538-2024")</f>
        <v/>
      </c>
      <c r="V92">
        <f>HYPERLINK("https://klasma.github.io/Logging_0188/klagomål/A 27538-2024 FSC-klagomål.docx", "A 27538-2024")</f>
        <v/>
      </c>
      <c r="W92">
        <f>HYPERLINK("https://klasma.github.io/Logging_0188/klagomålsmail/A 27538-2024 FSC-klagomål mail.docx", "A 27538-2024")</f>
        <v/>
      </c>
      <c r="X92">
        <f>HYPERLINK("https://klasma.github.io/Logging_0188/tillsyn/A 27538-2024 tillsynsbegäran.docx", "A 27538-2024")</f>
        <v/>
      </c>
      <c r="Y92">
        <f>HYPERLINK("https://klasma.github.io/Logging_0188/tillsynsmail/A 27538-2024 tillsynsbegäran mail.docx", "A 27538-2024")</f>
        <v/>
      </c>
    </row>
    <row r="93" ht="15" customHeight="1">
      <c r="A93" t="inlineStr">
        <is>
          <t>A 13271-2025</t>
        </is>
      </c>
      <c r="B93" s="1" t="n">
        <v>45735.54510416667</v>
      </c>
      <c r="C93" s="1" t="n">
        <v>45925</v>
      </c>
      <c r="D93" t="inlineStr">
        <is>
          <t>STOCKHOLMS LÄN</t>
        </is>
      </c>
      <c r="E93" t="inlineStr">
        <is>
          <t>NORRTÄLJE</t>
        </is>
      </c>
      <c r="G93" t="n">
        <v>7.2</v>
      </c>
      <c r="H93" t="n">
        <v>1</v>
      </c>
      <c r="I93" t="n">
        <v>0</v>
      </c>
      <c r="J93" t="n">
        <v>0</v>
      </c>
      <c r="K93" t="n">
        <v>0</v>
      </c>
      <c r="L93" t="n">
        <v>1</v>
      </c>
      <c r="M93" t="n">
        <v>0</v>
      </c>
      <c r="N93" t="n">
        <v>0</v>
      </c>
      <c r="O93" t="n">
        <v>1</v>
      </c>
      <c r="P93" t="n">
        <v>1</v>
      </c>
      <c r="Q93" t="n">
        <v>1</v>
      </c>
      <c r="R93" s="2" t="inlineStr">
        <is>
          <t>Asknätfjäril</t>
        </is>
      </c>
      <c r="S93">
        <f>HYPERLINK("https://klasma.github.io/Logging_0188/artfynd/A 13271-2025 artfynd.xlsx", "A 13271-2025")</f>
        <v/>
      </c>
      <c r="T93">
        <f>HYPERLINK("https://klasma.github.io/Logging_0188/kartor/A 13271-2025 karta.png", "A 13271-2025")</f>
        <v/>
      </c>
      <c r="V93">
        <f>HYPERLINK("https://klasma.github.io/Logging_0188/klagomål/A 13271-2025 FSC-klagomål.docx", "A 13271-2025")</f>
        <v/>
      </c>
      <c r="W93">
        <f>HYPERLINK("https://klasma.github.io/Logging_0188/klagomålsmail/A 13271-2025 FSC-klagomål mail.docx", "A 13271-2025")</f>
        <v/>
      </c>
      <c r="X93">
        <f>HYPERLINK("https://klasma.github.io/Logging_0188/tillsyn/A 13271-2025 tillsynsbegäran.docx", "A 13271-2025")</f>
        <v/>
      </c>
      <c r="Y93">
        <f>HYPERLINK("https://klasma.github.io/Logging_0188/tillsynsmail/A 13271-2025 tillsynsbegäran mail.docx", "A 13271-2025")</f>
        <v/>
      </c>
    </row>
    <row r="94" ht="15" customHeight="1">
      <c r="A94" t="inlineStr">
        <is>
          <t>A 4385-2023</t>
        </is>
      </c>
      <c r="B94" s="1" t="n">
        <v>44955.71322916666</v>
      </c>
      <c r="C94" s="1" t="n">
        <v>45925</v>
      </c>
      <c r="D94" t="inlineStr">
        <is>
          <t>STOCKHOLMS LÄN</t>
        </is>
      </c>
      <c r="E94" t="inlineStr">
        <is>
          <t>NORRTÄLJE</t>
        </is>
      </c>
      <c r="G94" t="n">
        <v>7.8</v>
      </c>
      <c r="H94" t="n">
        <v>1</v>
      </c>
      <c r="I94" t="n">
        <v>1</v>
      </c>
      <c r="J94" t="n">
        <v>0</v>
      </c>
      <c r="K94" t="n">
        <v>0</v>
      </c>
      <c r="L94" t="n">
        <v>0</v>
      </c>
      <c r="M94" t="n">
        <v>0</v>
      </c>
      <c r="N94" t="n">
        <v>0</v>
      </c>
      <c r="O94" t="n">
        <v>0</v>
      </c>
      <c r="P94" t="n">
        <v>0</v>
      </c>
      <c r="Q94" t="n">
        <v>1</v>
      </c>
      <c r="R94" s="2" t="inlineStr">
        <is>
          <t>Skogsknipprot</t>
        </is>
      </c>
      <c r="S94">
        <f>HYPERLINK("https://klasma.github.io/Logging_0188/artfynd/A 4385-2023 artfynd.xlsx", "A 4385-2023")</f>
        <v/>
      </c>
      <c r="T94">
        <f>HYPERLINK("https://klasma.github.io/Logging_0188/kartor/A 4385-2023 karta.png", "A 4385-2023")</f>
        <v/>
      </c>
      <c r="V94">
        <f>HYPERLINK("https://klasma.github.io/Logging_0188/klagomål/A 4385-2023 FSC-klagomål.docx", "A 4385-2023")</f>
        <v/>
      </c>
      <c r="W94">
        <f>HYPERLINK("https://klasma.github.io/Logging_0188/klagomålsmail/A 4385-2023 FSC-klagomål mail.docx", "A 4385-2023")</f>
        <v/>
      </c>
      <c r="X94">
        <f>HYPERLINK("https://klasma.github.io/Logging_0188/tillsyn/A 4385-2023 tillsynsbegäran.docx", "A 4385-2023")</f>
        <v/>
      </c>
      <c r="Y94">
        <f>HYPERLINK("https://klasma.github.io/Logging_0188/tillsynsmail/A 4385-2023 tillsynsbegäran mail.docx", "A 4385-2023")</f>
        <v/>
      </c>
    </row>
    <row r="95" ht="15" customHeight="1">
      <c r="A95" t="inlineStr">
        <is>
          <t>A 48131-2023</t>
        </is>
      </c>
      <c r="B95" s="1" t="n">
        <v>45205</v>
      </c>
      <c r="C95" s="1" t="n">
        <v>45925</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24330-2023</t>
        </is>
      </c>
      <c r="B96" s="1" t="n">
        <v>45081</v>
      </c>
      <c r="C96" s="1" t="n">
        <v>45925</v>
      </c>
      <c r="D96" t="inlineStr">
        <is>
          <t>STOCKHOLMS LÄN</t>
        </is>
      </c>
      <c r="E96" t="inlineStr">
        <is>
          <t>NORRTÄLJE</t>
        </is>
      </c>
      <c r="G96" t="n">
        <v>5</v>
      </c>
      <c r="H96" t="n">
        <v>1</v>
      </c>
      <c r="I96" t="n">
        <v>0</v>
      </c>
      <c r="J96" t="n">
        <v>1</v>
      </c>
      <c r="K96" t="n">
        <v>0</v>
      </c>
      <c r="L96" t="n">
        <v>0</v>
      </c>
      <c r="M96" t="n">
        <v>0</v>
      </c>
      <c r="N96" t="n">
        <v>0</v>
      </c>
      <c r="O96" t="n">
        <v>1</v>
      </c>
      <c r="P96" t="n">
        <v>0</v>
      </c>
      <c r="Q96" t="n">
        <v>1</v>
      </c>
      <c r="R96" s="2" t="inlineStr">
        <is>
          <t>Mindre hackspett</t>
        </is>
      </c>
      <c r="S96">
        <f>HYPERLINK("https://klasma.github.io/Logging_0188/artfynd/A 24330-2023 artfynd.xlsx", "A 24330-2023")</f>
        <v/>
      </c>
      <c r="T96">
        <f>HYPERLINK("https://klasma.github.io/Logging_0188/kartor/A 24330-2023 karta.png", "A 24330-2023")</f>
        <v/>
      </c>
      <c r="V96">
        <f>HYPERLINK("https://klasma.github.io/Logging_0188/klagomål/A 24330-2023 FSC-klagomål.docx", "A 24330-2023")</f>
        <v/>
      </c>
      <c r="W96">
        <f>HYPERLINK("https://klasma.github.io/Logging_0188/klagomålsmail/A 24330-2023 FSC-klagomål mail.docx", "A 24330-2023")</f>
        <v/>
      </c>
      <c r="X96">
        <f>HYPERLINK("https://klasma.github.io/Logging_0188/tillsyn/A 24330-2023 tillsynsbegäran.docx", "A 24330-2023")</f>
        <v/>
      </c>
      <c r="Y96">
        <f>HYPERLINK("https://klasma.github.io/Logging_0188/tillsynsmail/A 24330-2023 tillsynsbegäran mail.docx", "A 24330-2023")</f>
        <v/>
      </c>
      <c r="Z96">
        <f>HYPERLINK("https://klasma.github.io/Logging_0188/fåglar/A 24330-2023 prioriterade fågelarter.docx", "A 24330-2023")</f>
        <v/>
      </c>
    </row>
    <row r="97" ht="15" customHeight="1">
      <c r="A97" t="inlineStr">
        <is>
          <t>A 24535-2023</t>
        </is>
      </c>
      <c r="B97" s="1" t="n">
        <v>45082</v>
      </c>
      <c r="C97" s="1" t="n">
        <v>45925</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27827-2022</t>
        </is>
      </c>
      <c r="B98" s="1" t="n">
        <v>44743.59504629629</v>
      </c>
      <c r="C98" s="1" t="n">
        <v>45925</v>
      </c>
      <c r="D98" t="inlineStr">
        <is>
          <t>STOCKHOLMS LÄN</t>
        </is>
      </c>
      <c r="E98" t="inlineStr">
        <is>
          <t>NORRTÄLJE</t>
        </is>
      </c>
      <c r="F98" t="inlineStr">
        <is>
          <t>Holmen skog AB</t>
        </is>
      </c>
      <c r="G98" t="n">
        <v>4.7</v>
      </c>
      <c r="H98" t="n">
        <v>1</v>
      </c>
      <c r="I98" t="n">
        <v>0</v>
      </c>
      <c r="J98" t="n">
        <v>1</v>
      </c>
      <c r="K98" t="n">
        <v>0</v>
      </c>
      <c r="L98" t="n">
        <v>0</v>
      </c>
      <c r="M98" t="n">
        <v>0</v>
      </c>
      <c r="N98" t="n">
        <v>0</v>
      </c>
      <c r="O98" t="n">
        <v>1</v>
      </c>
      <c r="P98" t="n">
        <v>0</v>
      </c>
      <c r="Q98" t="n">
        <v>1</v>
      </c>
      <c r="R98" s="2" t="inlineStr">
        <is>
          <t>Nordfladdermus</t>
        </is>
      </c>
      <c r="S98">
        <f>HYPERLINK("https://klasma.github.io/Logging_0188/artfynd/A 27827-2022 artfynd.xlsx", "A 27827-2022")</f>
        <v/>
      </c>
      <c r="T98">
        <f>HYPERLINK("https://klasma.github.io/Logging_0188/kartor/A 27827-2022 karta.png", "A 27827-2022")</f>
        <v/>
      </c>
      <c r="V98">
        <f>HYPERLINK("https://klasma.github.io/Logging_0188/klagomål/A 27827-2022 FSC-klagomål.docx", "A 27827-2022")</f>
        <v/>
      </c>
      <c r="W98">
        <f>HYPERLINK("https://klasma.github.io/Logging_0188/klagomålsmail/A 27827-2022 FSC-klagomål mail.docx", "A 27827-2022")</f>
        <v/>
      </c>
      <c r="X98">
        <f>HYPERLINK("https://klasma.github.io/Logging_0188/tillsyn/A 27827-2022 tillsynsbegäran.docx", "A 27827-2022")</f>
        <v/>
      </c>
      <c r="Y98">
        <f>HYPERLINK("https://klasma.github.io/Logging_0188/tillsynsmail/A 27827-2022 tillsynsbegäran mail.docx", "A 27827-2022")</f>
        <v/>
      </c>
    </row>
    <row r="99" ht="15" customHeight="1">
      <c r="A99" t="inlineStr">
        <is>
          <t>A 26635-2023</t>
        </is>
      </c>
      <c r="B99" s="1" t="n">
        <v>45092</v>
      </c>
      <c r="C99" s="1" t="n">
        <v>45925</v>
      </c>
      <c r="D99" t="inlineStr">
        <is>
          <t>STOCKHOLMS LÄN</t>
        </is>
      </c>
      <c r="E99" t="inlineStr">
        <is>
          <t>NORRTÄLJE</t>
        </is>
      </c>
      <c r="G99" t="n">
        <v>3.1</v>
      </c>
      <c r="H99" t="n">
        <v>1</v>
      </c>
      <c r="I99" t="n">
        <v>0</v>
      </c>
      <c r="J99" t="n">
        <v>0</v>
      </c>
      <c r="K99" t="n">
        <v>0</v>
      </c>
      <c r="L99" t="n">
        <v>0</v>
      </c>
      <c r="M99" t="n">
        <v>0</v>
      </c>
      <c r="N99" t="n">
        <v>0</v>
      </c>
      <c r="O99" t="n">
        <v>0</v>
      </c>
      <c r="P99" t="n">
        <v>0</v>
      </c>
      <c r="Q99" t="n">
        <v>1</v>
      </c>
      <c r="R99" s="2" t="inlineStr">
        <is>
          <t>Fläcknycklar</t>
        </is>
      </c>
      <c r="S99">
        <f>HYPERLINK("https://klasma.github.io/Logging_0188/artfynd/A 26635-2023 artfynd.xlsx", "A 26635-2023")</f>
        <v/>
      </c>
      <c r="T99">
        <f>HYPERLINK("https://klasma.github.io/Logging_0188/kartor/A 26635-2023 karta.png", "A 26635-2023")</f>
        <v/>
      </c>
      <c r="V99">
        <f>HYPERLINK("https://klasma.github.io/Logging_0188/klagomål/A 26635-2023 FSC-klagomål.docx", "A 26635-2023")</f>
        <v/>
      </c>
      <c r="W99">
        <f>HYPERLINK("https://klasma.github.io/Logging_0188/klagomålsmail/A 26635-2023 FSC-klagomål mail.docx", "A 26635-2023")</f>
        <v/>
      </c>
      <c r="X99">
        <f>HYPERLINK("https://klasma.github.io/Logging_0188/tillsyn/A 26635-2023 tillsynsbegäran.docx", "A 26635-2023")</f>
        <v/>
      </c>
      <c r="Y99">
        <f>HYPERLINK("https://klasma.github.io/Logging_0188/tillsynsmail/A 26635-2023 tillsynsbegäran mail.docx", "A 26635-2023")</f>
        <v/>
      </c>
    </row>
    <row r="100" ht="15" customHeight="1">
      <c r="A100" t="inlineStr">
        <is>
          <t>A 19829-2022</t>
        </is>
      </c>
      <c r="B100" s="1" t="n">
        <v>44695.43527777777</v>
      </c>
      <c r="C100" s="1" t="n">
        <v>45925</v>
      </c>
      <c r="D100" t="inlineStr">
        <is>
          <t>STOCKHOLMS LÄN</t>
        </is>
      </c>
      <c r="E100" t="inlineStr">
        <is>
          <t>NORRTÄLJE</t>
        </is>
      </c>
      <c r="G100" t="n">
        <v>2</v>
      </c>
      <c r="H100" t="n">
        <v>1</v>
      </c>
      <c r="I100" t="n">
        <v>1</v>
      </c>
      <c r="J100" t="n">
        <v>0</v>
      </c>
      <c r="K100" t="n">
        <v>0</v>
      </c>
      <c r="L100" t="n">
        <v>0</v>
      </c>
      <c r="M100" t="n">
        <v>0</v>
      </c>
      <c r="N100" t="n">
        <v>0</v>
      </c>
      <c r="O100" t="n">
        <v>0</v>
      </c>
      <c r="P100" t="n">
        <v>0</v>
      </c>
      <c r="Q100" t="n">
        <v>1</v>
      </c>
      <c r="R100" s="2" t="inlineStr">
        <is>
          <t>Guckusko</t>
        </is>
      </c>
      <c r="S100">
        <f>HYPERLINK("https://klasma.github.io/Logging_0188/artfynd/A 19829-2022 artfynd.xlsx", "A 19829-2022")</f>
        <v/>
      </c>
      <c r="T100">
        <f>HYPERLINK("https://klasma.github.io/Logging_0188/kartor/A 19829-2022 karta.png", "A 19829-2022")</f>
        <v/>
      </c>
      <c r="V100">
        <f>HYPERLINK("https://klasma.github.io/Logging_0188/klagomål/A 19829-2022 FSC-klagomål.docx", "A 19829-2022")</f>
        <v/>
      </c>
      <c r="W100">
        <f>HYPERLINK("https://klasma.github.io/Logging_0188/klagomålsmail/A 19829-2022 FSC-klagomål mail.docx", "A 19829-2022")</f>
        <v/>
      </c>
      <c r="X100">
        <f>HYPERLINK("https://klasma.github.io/Logging_0188/tillsyn/A 19829-2022 tillsynsbegäran.docx", "A 19829-2022")</f>
        <v/>
      </c>
      <c r="Y100">
        <f>HYPERLINK("https://klasma.github.io/Logging_0188/tillsynsmail/A 19829-2022 tillsynsbegäran mail.docx", "A 19829-2022")</f>
        <v/>
      </c>
    </row>
    <row r="101" ht="15" customHeight="1">
      <c r="A101" t="inlineStr">
        <is>
          <t>A 21927-2025</t>
        </is>
      </c>
      <c r="B101" s="1" t="n">
        <v>45784.54878472222</v>
      </c>
      <c r="C101" s="1" t="n">
        <v>45925</v>
      </c>
      <c r="D101" t="inlineStr">
        <is>
          <t>STOCKHOLMS LÄN</t>
        </is>
      </c>
      <c r="E101" t="inlineStr">
        <is>
          <t>NORRTÄLJE</t>
        </is>
      </c>
      <c r="G101" t="n">
        <v>3.4</v>
      </c>
      <c r="H101" t="n">
        <v>1</v>
      </c>
      <c r="I101" t="n">
        <v>1</v>
      </c>
      <c r="J101" t="n">
        <v>0</v>
      </c>
      <c r="K101" t="n">
        <v>0</v>
      </c>
      <c r="L101" t="n">
        <v>0</v>
      </c>
      <c r="M101" t="n">
        <v>0</v>
      </c>
      <c r="N101" t="n">
        <v>0</v>
      </c>
      <c r="O101" t="n">
        <v>0</v>
      </c>
      <c r="P101" t="n">
        <v>0</v>
      </c>
      <c r="Q101" t="n">
        <v>1</v>
      </c>
      <c r="R101" s="2" t="inlineStr">
        <is>
          <t>Nästrot</t>
        </is>
      </c>
      <c r="S101">
        <f>HYPERLINK("https://klasma.github.io/Logging_0188/artfynd/A 21927-2025 artfynd.xlsx", "A 21927-2025")</f>
        <v/>
      </c>
      <c r="T101">
        <f>HYPERLINK("https://klasma.github.io/Logging_0188/kartor/A 21927-2025 karta.png", "A 21927-2025")</f>
        <v/>
      </c>
      <c r="V101">
        <f>HYPERLINK("https://klasma.github.io/Logging_0188/klagomål/A 21927-2025 FSC-klagomål.docx", "A 21927-2025")</f>
        <v/>
      </c>
      <c r="W101">
        <f>HYPERLINK("https://klasma.github.io/Logging_0188/klagomålsmail/A 21927-2025 FSC-klagomål mail.docx", "A 21927-2025")</f>
        <v/>
      </c>
      <c r="X101">
        <f>HYPERLINK("https://klasma.github.io/Logging_0188/tillsyn/A 21927-2025 tillsynsbegäran.docx", "A 21927-2025")</f>
        <v/>
      </c>
      <c r="Y101">
        <f>HYPERLINK("https://klasma.github.io/Logging_0188/tillsynsmail/A 21927-2025 tillsynsbegäran mail.docx", "A 21927-2025")</f>
        <v/>
      </c>
    </row>
    <row r="102" ht="15" customHeight="1">
      <c r="A102" t="inlineStr">
        <is>
          <t>A 9955-2022</t>
        </is>
      </c>
      <c r="B102" s="1" t="n">
        <v>44620</v>
      </c>
      <c r="C102" s="1" t="n">
        <v>45925</v>
      </c>
      <c r="D102" t="inlineStr">
        <is>
          <t>STOCKHOLMS LÄN</t>
        </is>
      </c>
      <c r="E102" t="inlineStr">
        <is>
          <t>NORRTÄLJE</t>
        </is>
      </c>
      <c r="G102" t="n">
        <v>7.8</v>
      </c>
      <c r="H102" t="n">
        <v>1</v>
      </c>
      <c r="I102" t="n">
        <v>0</v>
      </c>
      <c r="J102" t="n">
        <v>0</v>
      </c>
      <c r="K102" t="n">
        <v>0</v>
      </c>
      <c r="L102" t="n">
        <v>0</v>
      </c>
      <c r="M102" t="n">
        <v>0</v>
      </c>
      <c r="N102" t="n">
        <v>0</v>
      </c>
      <c r="O102" t="n">
        <v>0</v>
      </c>
      <c r="P102" t="n">
        <v>0</v>
      </c>
      <c r="Q102" t="n">
        <v>1</v>
      </c>
      <c r="R102" s="2" t="inlineStr">
        <is>
          <t>Åkergroda</t>
        </is>
      </c>
      <c r="S102">
        <f>HYPERLINK("https://klasma.github.io/Logging_0188/artfynd/A 9955-2022 artfynd.xlsx", "A 9955-2022")</f>
        <v/>
      </c>
      <c r="T102">
        <f>HYPERLINK("https://klasma.github.io/Logging_0188/kartor/A 9955-2022 karta.png", "A 9955-2022")</f>
        <v/>
      </c>
      <c r="V102">
        <f>HYPERLINK("https://klasma.github.io/Logging_0188/klagomål/A 9955-2022 FSC-klagomål.docx", "A 9955-2022")</f>
        <v/>
      </c>
      <c r="W102">
        <f>HYPERLINK("https://klasma.github.io/Logging_0188/klagomålsmail/A 9955-2022 FSC-klagomål mail.docx", "A 9955-2022")</f>
        <v/>
      </c>
      <c r="X102">
        <f>HYPERLINK("https://klasma.github.io/Logging_0188/tillsyn/A 9955-2022 tillsynsbegäran.docx", "A 9955-2022")</f>
        <v/>
      </c>
      <c r="Y102">
        <f>HYPERLINK("https://klasma.github.io/Logging_0188/tillsynsmail/A 9955-2022 tillsynsbegäran mail.docx", "A 9955-2022")</f>
        <v/>
      </c>
    </row>
    <row r="103" ht="15" customHeight="1">
      <c r="A103" t="inlineStr">
        <is>
          <t>A 23905-2025</t>
        </is>
      </c>
      <c r="B103" s="1" t="n">
        <v>45794.63298611111</v>
      </c>
      <c r="C103" s="1" t="n">
        <v>45925</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25687-2025</t>
        </is>
      </c>
      <c r="B104" s="1" t="n">
        <v>45800</v>
      </c>
      <c r="C104" s="1" t="n">
        <v>45925</v>
      </c>
      <c r="D104" t="inlineStr">
        <is>
          <t>STOCKHOLMS LÄN</t>
        </is>
      </c>
      <c r="E104" t="inlineStr">
        <is>
          <t>NORRTÄLJE</t>
        </is>
      </c>
      <c r="G104" t="n">
        <v>15.7</v>
      </c>
      <c r="H104" t="n">
        <v>0</v>
      </c>
      <c r="I104" t="n">
        <v>1</v>
      </c>
      <c r="J104" t="n">
        <v>0</v>
      </c>
      <c r="K104" t="n">
        <v>0</v>
      </c>
      <c r="L104" t="n">
        <v>0</v>
      </c>
      <c r="M104" t="n">
        <v>0</v>
      </c>
      <c r="N104" t="n">
        <v>0</v>
      </c>
      <c r="O104" t="n">
        <v>0</v>
      </c>
      <c r="P104" t="n">
        <v>0</v>
      </c>
      <c r="Q104" t="n">
        <v>1</v>
      </c>
      <c r="R104" s="2" t="inlineStr">
        <is>
          <t>Grönpyrola</t>
        </is>
      </c>
      <c r="S104">
        <f>HYPERLINK("https://klasma.github.io/Logging_0188/artfynd/A 25687-2025 artfynd.xlsx", "A 25687-2025")</f>
        <v/>
      </c>
      <c r="T104">
        <f>HYPERLINK("https://klasma.github.io/Logging_0188/kartor/A 25687-2025 karta.png", "A 25687-2025")</f>
        <v/>
      </c>
      <c r="V104">
        <f>HYPERLINK("https://klasma.github.io/Logging_0188/klagomål/A 25687-2025 FSC-klagomål.docx", "A 25687-2025")</f>
        <v/>
      </c>
      <c r="W104">
        <f>HYPERLINK("https://klasma.github.io/Logging_0188/klagomålsmail/A 25687-2025 FSC-klagomål mail.docx", "A 25687-2025")</f>
        <v/>
      </c>
      <c r="X104">
        <f>HYPERLINK("https://klasma.github.io/Logging_0188/tillsyn/A 25687-2025 tillsynsbegäran.docx", "A 25687-2025")</f>
        <v/>
      </c>
      <c r="Y104">
        <f>HYPERLINK("https://klasma.github.io/Logging_0188/tillsynsmail/A 25687-2025 tillsynsbegäran mail.docx", "A 25687-2025")</f>
        <v/>
      </c>
    </row>
    <row r="105" ht="15" customHeight="1">
      <c r="A105" t="inlineStr">
        <is>
          <t>A 35649-2023</t>
        </is>
      </c>
      <c r="B105" s="1" t="n">
        <v>45146</v>
      </c>
      <c r="C105" s="1" t="n">
        <v>45925</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35764-2024</t>
        </is>
      </c>
      <c r="B106" s="1" t="n">
        <v>45532</v>
      </c>
      <c r="C106" s="1" t="n">
        <v>45925</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25669-2025</t>
        </is>
      </c>
      <c r="B107" s="1" t="n">
        <v>45803.62766203703</v>
      </c>
      <c r="C107" s="1" t="n">
        <v>45925</v>
      </c>
      <c r="D107" t="inlineStr">
        <is>
          <t>STOCKHOLMS LÄN</t>
        </is>
      </c>
      <c r="E107" t="inlineStr">
        <is>
          <t>NORRTÄLJE</t>
        </is>
      </c>
      <c r="F107" t="inlineStr">
        <is>
          <t>Holmen skog AB</t>
        </is>
      </c>
      <c r="G107" t="n">
        <v>3.1</v>
      </c>
      <c r="H107" t="n">
        <v>1</v>
      </c>
      <c r="I107" t="n">
        <v>0</v>
      </c>
      <c r="J107" t="n">
        <v>0</v>
      </c>
      <c r="K107" t="n">
        <v>0</v>
      </c>
      <c r="L107" t="n">
        <v>0</v>
      </c>
      <c r="M107" t="n">
        <v>0</v>
      </c>
      <c r="N107" t="n">
        <v>0</v>
      </c>
      <c r="O107" t="n">
        <v>0</v>
      </c>
      <c r="P107" t="n">
        <v>0</v>
      </c>
      <c r="Q107" t="n">
        <v>1</v>
      </c>
      <c r="R107" s="2" t="inlineStr">
        <is>
          <t>Tjäder</t>
        </is>
      </c>
      <c r="S107">
        <f>HYPERLINK("https://klasma.github.io/Logging_0188/artfynd/A 25669-2025 artfynd.xlsx", "A 25669-2025")</f>
        <v/>
      </c>
      <c r="T107">
        <f>HYPERLINK("https://klasma.github.io/Logging_0188/kartor/A 25669-2025 karta.png", "A 25669-2025")</f>
        <v/>
      </c>
      <c r="V107">
        <f>HYPERLINK("https://klasma.github.io/Logging_0188/klagomål/A 25669-2025 FSC-klagomål.docx", "A 25669-2025")</f>
        <v/>
      </c>
      <c r="W107">
        <f>HYPERLINK("https://klasma.github.io/Logging_0188/klagomålsmail/A 25669-2025 FSC-klagomål mail.docx", "A 25669-2025")</f>
        <v/>
      </c>
      <c r="X107">
        <f>HYPERLINK("https://klasma.github.io/Logging_0188/tillsyn/A 25669-2025 tillsynsbegäran.docx", "A 25669-2025")</f>
        <v/>
      </c>
      <c r="Y107">
        <f>HYPERLINK("https://klasma.github.io/Logging_0188/tillsynsmail/A 25669-2025 tillsynsbegäran mail.docx", "A 25669-2025")</f>
        <v/>
      </c>
      <c r="Z107">
        <f>HYPERLINK("https://klasma.github.io/Logging_0188/fåglar/A 25669-2025 prioriterade fågelarter.docx", "A 25669-2025")</f>
        <v/>
      </c>
    </row>
    <row r="108" ht="15" customHeight="1">
      <c r="A108" t="inlineStr">
        <is>
          <t>A 6381-2023</t>
        </is>
      </c>
      <c r="B108" s="1" t="n">
        <v>44965</v>
      </c>
      <c r="C108" s="1" t="n">
        <v>45925</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29946-2025</t>
        </is>
      </c>
      <c r="B109" s="1" t="n">
        <v>45826.46392361111</v>
      </c>
      <c r="C109" s="1" t="n">
        <v>45925</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4532-2025</t>
        </is>
      </c>
      <c r="B110" s="1" t="n">
        <v>45687.34177083334</v>
      </c>
      <c r="C110" s="1" t="n">
        <v>45925</v>
      </c>
      <c r="D110" t="inlineStr">
        <is>
          <t>STOCKHOLMS LÄN</t>
        </is>
      </c>
      <c r="E110" t="inlineStr">
        <is>
          <t>NORRTÄLJE</t>
        </is>
      </c>
      <c r="F110" t="inlineStr">
        <is>
          <t>Holmen skog AB</t>
        </is>
      </c>
      <c r="G110" t="n">
        <v>6.4</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4532-2025 artfynd.xlsx", "A 4532-2025")</f>
        <v/>
      </c>
      <c r="T110">
        <f>HYPERLINK("https://klasma.github.io/Logging_0188/kartor/A 4532-2025 karta.png", "A 4532-2025")</f>
        <v/>
      </c>
      <c r="V110">
        <f>HYPERLINK("https://klasma.github.io/Logging_0188/klagomål/A 4532-2025 FSC-klagomål.docx", "A 4532-2025")</f>
        <v/>
      </c>
      <c r="W110">
        <f>HYPERLINK("https://klasma.github.io/Logging_0188/klagomålsmail/A 4532-2025 FSC-klagomål mail.docx", "A 4532-2025")</f>
        <v/>
      </c>
      <c r="X110">
        <f>HYPERLINK("https://klasma.github.io/Logging_0188/tillsyn/A 4532-2025 tillsynsbegäran.docx", "A 4532-2025")</f>
        <v/>
      </c>
      <c r="Y110">
        <f>HYPERLINK("https://klasma.github.io/Logging_0188/tillsynsmail/A 4532-2025 tillsynsbegäran mail.docx", "A 4532-2025")</f>
        <v/>
      </c>
    </row>
    <row r="111" ht="15" customHeight="1">
      <c r="A111" t="inlineStr">
        <is>
          <t>A 16870-2025</t>
        </is>
      </c>
      <c r="B111" s="1" t="n">
        <v>45754</v>
      </c>
      <c r="C111" s="1" t="n">
        <v>45925</v>
      </c>
      <c r="D111" t="inlineStr">
        <is>
          <t>STOCKHOLMS LÄN</t>
        </is>
      </c>
      <c r="E111" t="inlineStr">
        <is>
          <t>NORRTÄLJE</t>
        </is>
      </c>
      <c r="G111" t="n">
        <v>24.6</v>
      </c>
      <c r="H111" t="n">
        <v>1</v>
      </c>
      <c r="I111" t="n">
        <v>0</v>
      </c>
      <c r="J111" t="n">
        <v>0</v>
      </c>
      <c r="K111" t="n">
        <v>0</v>
      </c>
      <c r="L111" t="n">
        <v>0</v>
      </c>
      <c r="M111" t="n">
        <v>0</v>
      </c>
      <c r="N111" t="n">
        <v>0</v>
      </c>
      <c r="O111" t="n">
        <v>0</v>
      </c>
      <c r="P111" t="n">
        <v>0</v>
      </c>
      <c r="Q111" t="n">
        <v>1</v>
      </c>
      <c r="R111" s="2" t="inlineStr">
        <is>
          <t>Vanlig groda</t>
        </is>
      </c>
      <c r="S111">
        <f>HYPERLINK("https://klasma.github.io/Logging_0188/artfynd/A 16870-2025 artfynd.xlsx", "A 16870-2025")</f>
        <v/>
      </c>
      <c r="T111">
        <f>HYPERLINK("https://klasma.github.io/Logging_0188/kartor/A 16870-2025 karta.png", "A 16870-2025")</f>
        <v/>
      </c>
      <c r="V111">
        <f>HYPERLINK("https://klasma.github.io/Logging_0188/klagomål/A 16870-2025 FSC-klagomål.docx", "A 16870-2025")</f>
        <v/>
      </c>
      <c r="W111">
        <f>HYPERLINK("https://klasma.github.io/Logging_0188/klagomålsmail/A 16870-2025 FSC-klagomål mail.docx", "A 16870-2025")</f>
        <v/>
      </c>
      <c r="X111">
        <f>HYPERLINK("https://klasma.github.io/Logging_0188/tillsyn/A 16870-2025 tillsynsbegäran.docx", "A 16870-2025")</f>
        <v/>
      </c>
      <c r="Y111">
        <f>HYPERLINK("https://klasma.github.io/Logging_0188/tillsynsmail/A 16870-2025 tillsynsbegäran mail.docx", "A 16870-2025")</f>
        <v/>
      </c>
    </row>
    <row r="112" ht="15" customHeight="1">
      <c r="A112" t="inlineStr">
        <is>
          <t>A 33548-2025</t>
        </is>
      </c>
      <c r="B112" s="1" t="n">
        <v>45841.5721875</v>
      </c>
      <c r="C112" s="1" t="n">
        <v>45925</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45925</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45925</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14365-2025</t>
        </is>
      </c>
      <c r="B115" s="1" t="n">
        <v>45741.38688657407</v>
      </c>
      <c r="C115" s="1" t="n">
        <v>45925</v>
      </c>
      <c r="D115" t="inlineStr">
        <is>
          <t>STOCKHOLMS LÄN</t>
        </is>
      </c>
      <c r="E115" t="inlineStr">
        <is>
          <t>NORRTÄLJE</t>
        </is>
      </c>
      <c r="G115" t="n">
        <v>2.4</v>
      </c>
      <c r="H115" t="n">
        <v>0</v>
      </c>
      <c r="I115" t="n">
        <v>0</v>
      </c>
      <c r="J115" t="n">
        <v>1</v>
      </c>
      <c r="K115" t="n">
        <v>0</v>
      </c>
      <c r="L115" t="n">
        <v>0</v>
      </c>
      <c r="M115" t="n">
        <v>0</v>
      </c>
      <c r="N115" t="n">
        <v>0</v>
      </c>
      <c r="O115" t="n">
        <v>1</v>
      </c>
      <c r="P115" t="n">
        <v>0</v>
      </c>
      <c r="Q115" t="n">
        <v>1</v>
      </c>
      <c r="R115" s="2" t="inlineStr">
        <is>
          <t>Granticka</t>
        </is>
      </c>
      <c r="S115">
        <f>HYPERLINK("https://klasma.github.io/Logging_0188/artfynd/A 14365-2025 artfynd.xlsx", "A 14365-2025")</f>
        <v/>
      </c>
      <c r="T115">
        <f>HYPERLINK("https://klasma.github.io/Logging_0188/kartor/A 14365-2025 karta.png", "A 14365-2025")</f>
        <v/>
      </c>
      <c r="V115">
        <f>HYPERLINK("https://klasma.github.io/Logging_0188/klagomål/A 14365-2025 FSC-klagomål.docx", "A 14365-2025")</f>
        <v/>
      </c>
      <c r="W115">
        <f>HYPERLINK("https://klasma.github.io/Logging_0188/klagomålsmail/A 14365-2025 FSC-klagomål mail.docx", "A 14365-2025")</f>
        <v/>
      </c>
      <c r="X115">
        <f>HYPERLINK("https://klasma.github.io/Logging_0188/tillsyn/A 14365-2025 tillsynsbegäran.docx", "A 14365-2025")</f>
        <v/>
      </c>
      <c r="Y115">
        <f>HYPERLINK("https://klasma.github.io/Logging_0188/tillsynsmail/A 14365-2025 tillsynsbegäran mail.docx", "A 14365-2025")</f>
        <v/>
      </c>
    </row>
    <row r="116" ht="15" customHeight="1">
      <c r="A116" t="inlineStr">
        <is>
          <t>A 21150-2022</t>
        </is>
      </c>
      <c r="B116" s="1" t="n">
        <v>44704</v>
      </c>
      <c r="C116" s="1" t="n">
        <v>45925</v>
      </c>
      <c r="D116" t="inlineStr">
        <is>
          <t>STOCKHOLMS LÄN</t>
        </is>
      </c>
      <c r="E116" t="inlineStr">
        <is>
          <t>NORRTÄLJE</t>
        </is>
      </c>
      <c r="G116" t="n">
        <v>12.5</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21150-2022 artfynd.xlsx", "A 21150-2022")</f>
        <v/>
      </c>
      <c r="T116">
        <f>HYPERLINK("https://klasma.github.io/Logging_0188/kartor/A 21150-2022 karta.png", "A 21150-2022")</f>
        <v/>
      </c>
      <c r="V116">
        <f>HYPERLINK("https://klasma.github.io/Logging_0188/klagomål/A 21150-2022 FSC-klagomål.docx", "A 21150-2022")</f>
        <v/>
      </c>
      <c r="W116">
        <f>HYPERLINK("https://klasma.github.io/Logging_0188/klagomålsmail/A 21150-2022 FSC-klagomål mail.docx", "A 21150-2022")</f>
        <v/>
      </c>
      <c r="X116">
        <f>HYPERLINK("https://klasma.github.io/Logging_0188/tillsyn/A 21150-2022 tillsynsbegäran.docx", "A 21150-2022")</f>
        <v/>
      </c>
      <c r="Y116">
        <f>HYPERLINK("https://klasma.github.io/Logging_0188/tillsynsmail/A 21150-2022 tillsynsbegäran mail.docx", "A 21150-2022")</f>
        <v/>
      </c>
    </row>
    <row r="117" ht="15" customHeight="1">
      <c r="A117" t="inlineStr">
        <is>
          <t>A 1162-2021</t>
        </is>
      </c>
      <c r="B117" s="1" t="n">
        <v>44207</v>
      </c>
      <c r="C117" s="1" t="n">
        <v>45925</v>
      </c>
      <c r="D117" t="inlineStr">
        <is>
          <t>STOCKHOLMS LÄN</t>
        </is>
      </c>
      <c r="E117" t="inlineStr">
        <is>
          <t>NORRTÄLJE</t>
        </is>
      </c>
      <c r="G117" t="n">
        <v>2.2</v>
      </c>
      <c r="H117" t="n">
        <v>1</v>
      </c>
      <c r="I117" t="n">
        <v>0</v>
      </c>
      <c r="J117" t="n">
        <v>0</v>
      </c>
      <c r="K117" t="n">
        <v>1</v>
      </c>
      <c r="L117" t="n">
        <v>0</v>
      </c>
      <c r="M117" t="n">
        <v>0</v>
      </c>
      <c r="N117" t="n">
        <v>0</v>
      </c>
      <c r="O117" t="n">
        <v>1</v>
      </c>
      <c r="P117" t="n">
        <v>1</v>
      </c>
      <c r="Q117" t="n">
        <v>1</v>
      </c>
      <c r="R117" s="2" t="inlineStr">
        <is>
          <t>Hällebräcka</t>
        </is>
      </c>
      <c r="S117">
        <f>HYPERLINK("https://klasma.github.io/Logging_0188/artfynd/A 1162-2021 artfynd.xlsx", "A 1162-2021")</f>
        <v/>
      </c>
      <c r="T117">
        <f>HYPERLINK("https://klasma.github.io/Logging_0188/kartor/A 1162-2021 karta.png", "A 1162-2021")</f>
        <v/>
      </c>
      <c r="V117">
        <f>HYPERLINK("https://klasma.github.io/Logging_0188/klagomål/A 1162-2021 FSC-klagomål.docx", "A 1162-2021")</f>
        <v/>
      </c>
      <c r="W117">
        <f>HYPERLINK("https://klasma.github.io/Logging_0188/klagomålsmail/A 1162-2021 FSC-klagomål mail.docx", "A 1162-2021")</f>
        <v/>
      </c>
      <c r="X117">
        <f>HYPERLINK("https://klasma.github.io/Logging_0188/tillsyn/A 1162-2021 tillsynsbegäran.docx", "A 1162-2021")</f>
        <v/>
      </c>
      <c r="Y117">
        <f>HYPERLINK("https://klasma.github.io/Logging_0188/tillsynsmail/A 1162-2021 tillsynsbegäran mail.docx", "A 1162-2021")</f>
        <v/>
      </c>
    </row>
    <row r="118" ht="15" customHeight="1">
      <c r="A118" t="inlineStr">
        <is>
          <t>A 1970-2021</t>
        </is>
      </c>
      <c r="B118" s="1" t="n">
        <v>44210</v>
      </c>
      <c r="C118" s="1" t="n">
        <v>45925</v>
      </c>
      <c r="D118" t="inlineStr">
        <is>
          <t>STOCKHOLMS LÄN</t>
        </is>
      </c>
      <c r="E118" t="inlineStr">
        <is>
          <t>NORRTÄLJE</t>
        </is>
      </c>
      <c r="G118" t="n">
        <v>3.1</v>
      </c>
      <c r="H118" t="n">
        <v>0</v>
      </c>
      <c r="I118" t="n">
        <v>0</v>
      </c>
      <c r="J118" t="n">
        <v>0</v>
      </c>
      <c r="K118" t="n">
        <v>0</v>
      </c>
      <c r="L118" t="n">
        <v>0</v>
      </c>
      <c r="M118" t="n">
        <v>0</v>
      </c>
      <c r="N118" t="n">
        <v>0</v>
      </c>
      <c r="O118" t="n">
        <v>0</v>
      </c>
      <c r="P118" t="n">
        <v>0</v>
      </c>
      <c r="Q118" t="n">
        <v>0</v>
      </c>
      <c r="R118" s="2" t="inlineStr"/>
    </row>
    <row r="119" ht="15" customHeight="1">
      <c r="A119" t="inlineStr">
        <is>
          <t>A 1637-2021</t>
        </is>
      </c>
      <c r="B119" s="1" t="n">
        <v>44209</v>
      </c>
      <c r="C119" s="1" t="n">
        <v>45925</v>
      </c>
      <c r="D119" t="inlineStr">
        <is>
          <t>STOCKHOLMS LÄN</t>
        </is>
      </c>
      <c r="E119" t="inlineStr">
        <is>
          <t>NORRTÄLJE</t>
        </is>
      </c>
      <c r="G119" t="n">
        <v>1.6</v>
      </c>
      <c r="H119" t="n">
        <v>0</v>
      </c>
      <c r="I119" t="n">
        <v>0</v>
      </c>
      <c r="J119" t="n">
        <v>0</v>
      </c>
      <c r="K119" t="n">
        <v>0</v>
      </c>
      <c r="L119" t="n">
        <v>0</v>
      </c>
      <c r="M119" t="n">
        <v>0</v>
      </c>
      <c r="N119" t="n">
        <v>0</v>
      </c>
      <c r="O119" t="n">
        <v>0</v>
      </c>
      <c r="P119" t="n">
        <v>0</v>
      </c>
      <c r="Q119" t="n">
        <v>0</v>
      </c>
      <c r="R119" s="2" t="inlineStr"/>
    </row>
    <row r="120" ht="15" customHeight="1">
      <c r="A120" t="inlineStr">
        <is>
          <t>A 18580-2021</t>
        </is>
      </c>
      <c r="B120" s="1" t="n">
        <v>44306</v>
      </c>
      <c r="C120" s="1" t="n">
        <v>45925</v>
      </c>
      <c r="D120" t="inlineStr">
        <is>
          <t>STOCKHOLMS LÄN</t>
        </is>
      </c>
      <c r="E120" t="inlineStr">
        <is>
          <t>NORRTÄLJE</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12877-2022</t>
        </is>
      </c>
      <c r="B121" s="1" t="n">
        <v>44642</v>
      </c>
      <c r="C121" s="1" t="n">
        <v>45925</v>
      </c>
      <c r="D121" t="inlineStr">
        <is>
          <t>STOCKHOLMS LÄN</t>
        </is>
      </c>
      <c r="E121" t="inlineStr">
        <is>
          <t>NORRTÄLJE</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71543-2021</t>
        </is>
      </c>
      <c r="B122" s="1" t="n">
        <v>44540</v>
      </c>
      <c r="C122" s="1" t="n">
        <v>45925</v>
      </c>
      <c r="D122" t="inlineStr">
        <is>
          <t>STOCKHOLMS LÄN</t>
        </is>
      </c>
      <c r="E122" t="inlineStr">
        <is>
          <t>NORRTÄLJE</t>
        </is>
      </c>
      <c r="G122" t="n">
        <v>1.8</v>
      </c>
      <c r="H122" t="n">
        <v>0</v>
      </c>
      <c r="I122" t="n">
        <v>0</v>
      </c>
      <c r="J122" t="n">
        <v>0</v>
      </c>
      <c r="K122" t="n">
        <v>0</v>
      </c>
      <c r="L122" t="n">
        <v>0</v>
      </c>
      <c r="M122" t="n">
        <v>0</v>
      </c>
      <c r="N122" t="n">
        <v>0</v>
      </c>
      <c r="O122" t="n">
        <v>0</v>
      </c>
      <c r="P122" t="n">
        <v>0</v>
      </c>
      <c r="Q122" t="n">
        <v>0</v>
      </c>
      <c r="R122" s="2" t="inlineStr"/>
    </row>
    <row r="123" ht="15" customHeight="1">
      <c r="A123" t="inlineStr">
        <is>
          <t>A 14036-2022</t>
        </is>
      </c>
      <c r="B123" s="1" t="n">
        <v>44650.8699537037</v>
      </c>
      <c r="C123" s="1" t="n">
        <v>45925</v>
      </c>
      <c r="D123" t="inlineStr">
        <is>
          <t>STOCKHOLMS LÄN</t>
        </is>
      </c>
      <c r="E123" t="inlineStr">
        <is>
          <t>NORRTÄLJE</t>
        </is>
      </c>
      <c r="G123" t="n">
        <v>1.1</v>
      </c>
      <c r="H123" t="n">
        <v>0</v>
      </c>
      <c r="I123" t="n">
        <v>0</v>
      </c>
      <c r="J123" t="n">
        <v>0</v>
      </c>
      <c r="K123" t="n">
        <v>0</v>
      </c>
      <c r="L123" t="n">
        <v>0</v>
      </c>
      <c r="M123" t="n">
        <v>0</v>
      </c>
      <c r="N123" t="n">
        <v>0</v>
      </c>
      <c r="O123" t="n">
        <v>0</v>
      </c>
      <c r="P123" t="n">
        <v>0</v>
      </c>
      <c r="Q123" t="n">
        <v>0</v>
      </c>
      <c r="R123" s="2" t="inlineStr"/>
    </row>
    <row r="124" ht="15" customHeight="1">
      <c r="A124" t="inlineStr">
        <is>
          <t>A 47344-2021</t>
        </is>
      </c>
      <c r="B124" s="1" t="n">
        <v>44447</v>
      </c>
      <c r="C124" s="1" t="n">
        <v>45925</v>
      </c>
      <c r="D124" t="inlineStr">
        <is>
          <t>STOCKHOLMS LÄN</t>
        </is>
      </c>
      <c r="E124" t="inlineStr">
        <is>
          <t>NORRTÄLJE</t>
        </is>
      </c>
      <c r="G124" t="n">
        <v>3.3</v>
      </c>
      <c r="H124" t="n">
        <v>0</v>
      </c>
      <c r="I124" t="n">
        <v>0</v>
      </c>
      <c r="J124" t="n">
        <v>0</v>
      </c>
      <c r="K124" t="n">
        <v>0</v>
      </c>
      <c r="L124" t="n">
        <v>0</v>
      </c>
      <c r="M124" t="n">
        <v>0</v>
      </c>
      <c r="N124" t="n">
        <v>0</v>
      </c>
      <c r="O124" t="n">
        <v>0</v>
      </c>
      <c r="P124" t="n">
        <v>0</v>
      </c>
      <c r="Q124" t="n">
        <v>0</v>
      </c>
      <c r="R124" s="2" t="inlineStr"/>
    </row>
    <row r="125" ht="15" customHeight="1">
      <c r="A125" t="inlineStr">
        <is>
          <t>A 43036-2022</t>
        </is>
      </c>
      <c r="B125" s="1" t="n">
        <v>44833</v>
      </c>
      <c r="C125" s="1" t="n">
        <v>45925</v>
      </c>
      <c r="D125" t="inlineStr">
        <is>
          <t>STOCKHOLMS LÄN</t>
        </is>
      </c>
      <c r="E125" t="inlineStr">
        <is>
          <t>NORRTÄLJE</t>
        </is>
      </c>
      <c r="F125" t="inlineStr">
        <is>
          <t>Kyrkan</t>
        </is>
      </c>
      <c r="G125" t="n">
        <v>1.7</v>
      </c>
      <c r="H125" t="n">
        <v>0</v>
      </c>
      <c r="I125" t="n">
        <v>0</v>
      </c>
      <c r="J125" t="n">
        <v>0</v>
      </c>
      <c r="K125" t="n">
        <v>0</v>
      </c>
      <c r="L125" t="n">
        <v>0</v>
      </c>
      <c r="M125" t="n">
        <v>0</v>
      </c>
      <c r="N125" t="n">
        <v>0</v>
      </c>
      <c r="O125" t="n">
        <v>0</v>
      </c>
      <c r="P125" t="n">
        <v>0</v>
      </c>
      <c r="Q125" t="n">
        <v>0</v>
      </c>
      <c r="R125" s="2" t="inlineStr"/>
    </row>
    <row r="126" ht="15" customHeight="1">
      <c r="A126" t="inlineStr">
        <is>
          <t>A 15289-2021</t>
        </is>
      </c>
      <c r="B126" s="1" t="n">
        <v>44284.59546296296</v>
      </c>
      <c r="C126" s="1" t="n">
        <v>45925</v>
      </c>
      <c r="D126" t="inlineStr">
        <is>
          <t>STOCKHOLMS LÄN</t>
        </is>
      </c>
      <c r="E126" t="inlineStr">
        <is>
          <t>NORRTÄLJE</t>
        </is>
      </c>
      <c r="G126" t="n">
        <v>0.5</v>
      </c>
      <c r="H126" t="n">
        <v>0</v>
      </c>
      <c r="I126" t="n">
        <v>0</v>
      </c>
      <c r="J126" t="n">
        <v>0</v>
      </c>
      <c r="K126" t="n">
        <v>0</v>
      </c>
      <c r="L126" t="n">
        <v>0</v>
      </c>
      <c r="M126" t="n">
        <v>0</v>
      </c>
      <c r="N126" t="n">
        <v>0</v>
      </c>
      <c r="O126" t="n">
        <v>0</v>
      </c>
      <c r="P126" t="n">
        <v>0</v>
      </c>
      <c r="Q126" t="n">
        <v>0</v>
      </c>
      <c r="R126" s="2" t="inlineStr"/>
    </row>
    <row r="127" ht="15" customHeight="1">
      <c r="A127" t="inlineStr">
        <is>
          <t>A 40542-2021</t>
        </is>
      </c>
      <c r="B127" s="1" t="n">
        <v>44420</v>
      </c>
      <c r="C127" s="1" t="n">
        <v>45925</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40546-2021</t>
        </is>
      </c>
      <c r="B128" s="1" t="n">
        <v>44420</v>
      </c>
      <c r="C128" s="1" t="n">
        <v>45925</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23096-2021</t>
        </is>
      </c>
      <c r="B129" s="1" t="n">
        <v>44330</v>
      </c>
      <c r="C129" s="1" t="n">
        <v>45925</v>
      </c>
      <c r="D129" t="inlineStr">
        <is>
          <t>STOCKHOLMS LÄN</t>
        </is>
      </c>
      <c r="E129" t="inlineStr">
        <is>
          <t>NORRTÄLJE</t>
        </is>
      </c>
      <c r="G129" t="n">
        <v>0.3</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45925</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45925</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45925</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45925</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45925</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45925</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45925</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45925</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45925</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45925</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45925</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45925</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45925</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45925</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45925</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45925</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45925</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45925</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45925</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45925</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45925</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45925</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45925</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45925</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45925</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45925</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45925</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45925</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45925</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45925</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45925</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45925</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45925</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45925</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45925</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45925</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45925</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45925</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45925</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45925</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45925</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45925</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45925</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45925</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45925</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45925</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45925</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45925</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45925</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45925</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45925</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45925</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45925</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53690-2020</t>
        </is>
      </c>
      <c r="B183" s="1" t="n">
        <v>44124</v>
      </c>
      <c r="C183" s="1" t="n">
        <v>45925</v>
      </c>
      <c r="D183" t="inlineStr">
        <is>
          <t>STOCKHOLMS LÄN</t>
        </is>
      </c>
      <c r="E183" t="inlineStr">
        <is>
          <t>NORRTÄLJE</t>
        </is>
      </c>
      <c r="G183" t="n">
        <v>0.5</v>
      </c>
      <c r="H183" t="n">
        <v>0</v>
      </c>
      <c r="I183" t="n">
        <v>0</v>
      </c>
      <c r="J183" t="n">
        <v>0</v>
      </c>
      <c r="K183" t="n">
        <v>0</v>
      </c>
      <c r="L183" t="n">
        <v>0</v>
      </c>
      <c r="M183" t="n">
        <v>0</v>
      </c>
      <c r="N183" t="n">
        <v>0</v>
      </c>
      <c r="O183" t="n">
        <v>0</v>
      </c>
      <c r="P183" t="n">
        <v>0</v>
      </c>
      <c r="Q183" t="n">
        <v>0</v>
      </c>
      <c r="R183" s="2" t="inlineStr"/>
    </row>
    <row r="184" ht="15" customHeight="1">
      <c r="A184" t="inlineStr">
        <is>
          <t>A 36975-2022</t>
        </is>
      </c>
      <c r="B184" s="1" t="n">
        <v>44806.34577546296</v>
      </c>
      <c r="C184" s="1" t="n">
        <v>45925</v>
      </c>
      <c r="D184" t="inlineStr">
        <is>
          <t>STOCKHOLMS LÄN</t>
        </is>
      </c>
      <c r="E184" t="inlineStr">
        <is>
          <t>NORRTÄLJE</t>
        </is>
      </c>
      <c r="G184" t="n">
        <v>4.7</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45925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45925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45925</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45925</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45925</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45925</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45925</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45925</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45925</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45925</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64628-2021</t>
        </is>
      </c>
      <c r="B195" s="1" t="n">
        <v>44511</v>
      </c>
      <c r="C195" s="1" t="n">
        <v>45925</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60209-2021</t>
        </is>
      </c>
      <c r="B196" s="1" t="n">
        <v>44495</v>
      </c>
      <c r="C196" s="1" t="n">
        <v>45925</v>
      </c>
      <c r="D196" t="inlineStr">
        <is>
          <t>STOCKHOLMS LÄN</t>
        </is>
      </c>
      <c r="E196" t="inlineStr">
        <is>
          <t>NORRTÄLJE</t>
        </is>
      </c>
      <c r="G196" t="n">
        <v>4.3</v>
      </c>
      <c r="H196" t="n">
        <v>0</v>
      </c>
      <c r="I196" t="n">
        <v>0</v>
      </c>
      <c r="J196" t="n">
        <v>0</v>
      </c>
      <c r="K196" t="n">
        <v>0</v>
      </c>
      <c r="L196" t="n">
        <v>0</v>
      </c>
      <c r="M196" t="n">
        <v>0</v>
      </c>
      <c r="N196" t="n">
        <v>0</v>
      </c>
      <c r="O196" t="n">
        <v>0</v>
      </c>
      <c r="P196" t="n">
        <v>0</v>
      </c>
      <c r="Q196" t="n">
        <v>0</v>
      </c>
      <c r="R196" s="2" t="inlineStr"/>
    </row>
    <row r="197" ht="15" customHeight="1">
      <c r="A197" t="inlineStr">
        <is>
          <t>A 17803-2022</t>
        </is>
      </c>
      <c r="B197" s="1" t="n">
        <v>44683</v>
      </c>
      <c r="C197" s="1" t="n">
        <v>45925</v>
      </c>
      <c r="D197" t="inlineStr">
        <is>
          <t>STOCKHOLMS LÄN</t>
        </is>
      </c>
      <c r="E197" t="inlineStr">
        <is>
          <t>NORRTÄLJE</t>
        </is>
      </c>
      <c r="G197" t="n">
        <v>1.4</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45925</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45925</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45925</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71325-2021</t>
        </is>
      </c>
      <c r="B201" s="1" t="n">
        <v>44539</v>
      </c>
      <c r="C201" s="1" t="n">
        <v>45925</v>
      </c>
      <c r="D201" t="inlineStr">
        <is>
          <t>STOCKHOLMS LÄN</t>
        </is>
      </c>
      <c r="E201" t="inlineStr">
        <is>
          <t>NORRTÄLJE</t>
        </is>
      </c>
      <c r="G201" t="n">
        <v>2.1</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45925</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45925</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45925</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45925</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45925</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45925</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30129-2021</t>
        </is>
      </c>
      <c r="B208" s="1" t="n">
        <v>44363.5784375</v>
      </c>
      <c r="C208" s="1" t="n">
        <v>45925</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22316-2022</t>
        </is>
      </c>
      <c r="B209" s="1" t="n">
        <v>44712.83118055556</v>
      </c>
      <c r="C209" s="1" t="n">
        <v>45925</v>
      </c>
      <c r="D209" t="inlineStr">
        <is>
          <t>STOCKHOLMS LÄN</t>
        </is>
      </c>
      <c r="E209" t="inlineStr">
        <is>
          <t>NORRTÄLJE</t>
        </is>
      </c>
      <c r="G209" t="n">
        <v>6.3</v>
      </c>
      <c r="H209" t="n">
        <v>0</v>
      </c>
      <c r="I209" t="n">
        <v>0</v>
      </c>
      <c r="J209" t="n">
        <v>0</v>
      </c>
      <c r="K209" t="n">
        <v>0</v>
      </c>
      <c r="L209" t="n">
        <v>0</v>
      </c>
      <c r="M209" t="n">
        <v>0</v>
      </c>
      <c r="N209" t="n">
        <v>0</v>
      </c>
      <c r="O209" t="n">
        <v>0</v>
      </c>
      <c r="P209" t="n">
        <v>0</v>
      </c>
      <c r="Q209" t="n">
        <v>0</v>
      </c>
      <c r="R209" s="2" t="inlineStr"/>
    </row>
    <row r="210" ht="15" customHeight="1">
      <c r="A210" t="inlineStr">
        <is>
          <t>A 31092-2022</t>
        </is>
      </c>
      <c r="B210" s="1" t="n">
        <v>44769.62320601852</v>
      </c>
      <c r="C210" s="1" t="n">
        <v>45925</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9467-2021</t>
        </is>
      </c>
      <c r="B211" s="1" t="n">
        <v>44251.43971064815</v>
      </c>
      <c r="C211" s="1" t="n">
        <v>45925</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71871-2021</t>
        </is>
      </c>
      <c r="B212" s="1" t="n">
        <v>44543</v>
      </c>
      <c r="C212" s="1" t="n">
        <v>45925</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71873-2021</t>
        </is>
      </c>
      <c r="B213" s="1" t="n">
        <v>44543</v>
      </c>
      <c r="C213" s="1" t="n">
        <v>45925</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24167-2022</t>
        </is>
      </c>
      <c r="B214" s="1" t="n">
        <v>44725.49491898148</v>
      </c>
      <c r="C214" s="1" t="n">
        <v>45925</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72355-2021</t>
        </is>
      </c>
      <c r="B215" s="1" t="n">
        <v>44545</v>
      </c>
      <c r="C215" s="1" t="n">
        <v>45925</v>
      </c>
      <c r="D215" t="inlineStr">
        <is>
          <t>STOCKHOLMS LÄN</t>
        </is>
      </c>
      <c r="E215" t="inlineStr">
        <is>
          <t>NORRTÄLJE</t>
        </is>
      </c>
      <c r="G215" t="n">
        <v>3.6</v>
      </c>
      <c r="H215" t="n">
        <v>0</v>
      </c>
      <c r="I215" t="n">
        <v>0</v>
      </c>
      <c r="J215" t="n">
        <v>0</v>
      </c>
      <c r="K215" t="n">
        <v>0</v>
      </c>
      <c r="L215" t="n">
        <v>0</v>
      </c>
      <c r="M215" t="n">
        <v>0</v>
      </c>
      <c r="N215" t="n">
        <v>0</v>
      </c>
      <c r="O215" t="n">
        <v>0</v>
      </c>
      <c r="P215" t="n">
        <v>0</v>
      </c>
      <c r="Q215" t="n">
        <v>0</v>
      </c>
      <c r="R215" s="2" t="inlineStr"/>
    </row>
    <row r="216" ht="15" customHeight="1">
      <c r="A216" t="inlineStr">
        <is>
          <t>A 72357-2021</t>
        </is>
      </c>
      <c r="B216" s="1" t="n">
        <v>44545</v>
      </c>
      <c r="C216" s="1" t="n">
        <v>45925</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42396-2021</t>
        </is>
      </c>
      <c r="B217" s="1" t="n">
        <v>44427</v>
      </c>
      <c r="C217" s="1" t="n">
        <v>45925</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52139-2022</t>
        </is>
      </c>
      <c r="B218" s="1" t="n">
        <v>44868</v>
      </c>
      <c r="C218" s="1" t="n">
        <v>45925</v>
      </c>
      <c r="D218" t="inlineStr">
        <is>
          <t>STOCKHOLMS LÄN</t>
        </is>
      </c>
      <c r="E218" t="inlineStr">
        <is>
          <t>NORRTÄLJE</t>
        </is>
      </c>
      <c r="G218" t="n">
        <v>3.2</v>
      </c>
      <c r="H218" t="n">
        <v>0</v>
      </c>
      <c r="I218" t="n">
        <v>0</v>
      </c>
      <c r="J218" t="n">
        <v>0</v>
      </c>
      <c r="K218" t="n">
        <v>0</v>
      </c>
      <c r="L218" t="n">
        <v>0</v>
      </c>
      <c r="M218" t="n">
        <v>0</v>
      </c>
      <c r="N218" t="n">
        <v>0</v>
      </c>
      <c r="O218" t="n">
        <v>0</v>
      </c>
      <c r="P218" t="n">
        <v>0</v>
      </c>
      <c r="Q218" t="n">
        <v>0</v>
      </c>
      <c r="R218" s="2" t="inlineStr"/>
    </row>
    <row r="219" ht="15" customHeight="1">
      <c r="A219" t="inlineStr">
        <is>
          <t>A 9446-2021</t>
        </is>
      </c>
      <c r="B219" s="1" t="n">
        <v>44251</v>
      </c>
      <c r="C219" s="1" t="n">
        <v>45925</v>
      </c>
      <c r="D219" t="inlineStr">
        <is>
          <t>STOCKHOLMS LÄN</t>
        </is>
      </c>
      <c r="E219" t="inlineStr">
        <is>
          <t>NORRTÄLJE</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45925</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45925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17673-2021</t>
        </is>
      </c>
      <c r="B222" s="1" t="n">
        <v>44300</v>
      </c>
      <c r="C222" s="1" t="n">
        <v>45925</v>
      </c>
      <c r="D222" t="inlineStr">
        <is>
          <t>STOCKHOLMS LÄN</t>
        </is>
      </c>
      <c r="E222" t="inlineStr">
        <is>
          <t>NORRTÄLJE</t>
        </is>
      </c>
      <c r="G222" t="n">
        <v>1.1</v>
      </c>
      <c r="H222" t="n">
        <v>0</v>
      </c>
      <c r="I222" t="n">
        <v>0</v>
      </c>
      <c r="J222" t="n">
        <v>0</v>
      </c>
      <c r="K222" t="n">
        <v>0</v>
      </c>
      <c r="L222" t="n">
        <v>0</v>
      </c>
      <c r="M222" t="n">
        <v>0</v>
      </c>
      <c r="N222" t="n">
        <v>0</v>
      </c>
      <c r="O222" t="n">
        <v>0</v>
      </c>
      <c r="P222" t="n">
        <v>0</v>
      </c>
      <c r="Q222" t="n">
        <v>0</v>
      </c>
      <c r="R222" s="2" t="inlineStr"/>
      <c r="T222">
        <f>HYPERLINK("https://klasma.github.io/Logging_0188/kartor/A 17673-2021 karta.png", "A 17673-2021")</f>
        <v/>
      </c>
      <c r="V222">
        <f>HYPERLINK("https://klasma.github.io/Logging_0188/klagomål/A 17673-2021 FSC-klagomål.docx", "A 17673-2021")</f>
        <v/>
      </c>
      <c r="W222">
        <f>HYPERLINK("https://klasma.github.io/Logging_0188/klagomålsmail/A 17673-2021 FSC-klagomål mail.docx", "A 17673-2021")</f>
        <v/>
      </c>
      <c r="X222">
        <f>HYPERLINK("https://klasma.github.io/Logging_0188/tillsyn/A 17673-2021 tillsynsbegäran.docx", "A 17673-2021")</f>
        <v/>
      </c>
      <c r="Y222">
        <f>HYPERLINK("https://klasma.github.io/Logging_0188/tillsynsmail/A 17673-2021 tillsynsbegäran mail.docx", "A 17673-2021")</f>
        <v/>
      </c>
      <c r="Z222">
        <f>HYPERLINK("https://klasma.github.io/Logging_0188/fåglar/A 17673-2021 prioriterade fågelarter.docx", "A 17673-2021")</f>
        <v/>
      </c>
    </row>
    <row r="223" ht="15" customHeight="1">
      <c r="A223" t="inlineStr">
        <is>
          <t>A 15226-2022</t>
        </is>
      </c>
      <c r="B223" s="1" t="n">
        <v>44658</v>
      </c>
      <c r="C223" s="1" t="n">
        <v>45925</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48071-2020</t>
        </is>
      </c>
      <c r="B224" s="1" t="n">
        <v>44100</v>
      </c>
      <c r="C224" s="1" t="n">
        <v>45925</v>
      </c>
      <c r="D224" t="inlineStr">
        <is>
          <t>STOCKHOLMS LÄN</t>
        </is>
      </c>
      <c r="E224" t="inlineStr">
        <is>
          <t>NORRTÄLJE</t>
        </is>
      </c>
      <c r="G224" t="n">
        <v>6.8</v>
      </c>
      <c r="H224" t="n">
        <v>0</v>
      </c>
      <c r="I224" t="n">
        <v>0</v>
      </c>
      <c r="J224" t="n">
        <v>0</v>
      </c>
      <c r="K224" t="n">
        <v>0</v>
      </c>
      <c r="L224" t="n">
        <v>0</v>
      </c>
      <c r="M224" t="n">
        <v>0</v>
      </c>
      <c r="N224" t="n">
        <v>0</v>
      </c>
      <c r="O224" t="n">
        <v>0</v>
      </c>
      <c r="P224" t="n">
        <v>0</v>
      </c>
      <c r="Q224" t="n">
        <v>0</v>
      </c>
      <c r="R224" s="2" t="inlineStr"/>
    </row>
    <row r="225" ht="15" customHeight="1">
      <c r="A225" t="inlineStr">
        <is>
          <t>A 3300-2022</t>
        </is>
      </c>
      <c r="B225" s="1" t="n">
        <v>44584.91538194445</v>
      </c>
      <c r="C225" s="1" t="n">
        <v>45925</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17388-2022</t>
        </is>
      </c>
      <c r="B226" s="1" t="n">
        <v>44678</v>
      </c>
      <c r="C226" s="1" t="n">
        <v>45925</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2732-2022</t>
        </is>
      </c>
      <c r="B227" s="1" t="n">
        <v>44580</v>
      </c>
      <c r="C227" s="1" t="n">
        <v>45925</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38991-2022</t>
        </is>
      </c>
      <c r="B228" s="1" t="n">
        <v>44816.89569444444</v>
      </c>
      <c r="C228" s="1" t="n">
        <v>45925</v>
      </c>
      <c r="D228" t="inlineStr">
        <is>
          <t>STOCKHOLMS LÄN</t>
        </is>
      </c>
      <c r="E228" t="inlineStr">
        <is>
          <t>NORRTÄLJE</t>
        </is>
      </c>
      <c r="G228" t="n">
        <v>1.9</v>
      </c>
      <c r="H228" t="n">
        <v>0</v>
      </c>
      <c r="I228" t="n">
        <v>0</v>
      </c>
      <c r="J228" t="n">
        <v>0</v>
      </c>
      <c r="K228" t="n">
        <v>0</v>
      </c>
      <c r="L228" t="n">
        <v>0</v>
      </c>
      <c r="M228" t="n">
        <v>0</v>
      </c>
      <c r="N228" t="n">
        <v>0</v>
      </c>
      <c r="O228" t="n">
        <v>0</v>
      </c>
      <c r="P228" t="n">
        <v>0</v>
      </c>
      <c r="Q228" t="n">
        <v>0</v>
      </c>
      <c r="R228" s="2" t="inlineStr"/>
    </row>
    <row r="229" ht="15" customHeight="1">
      <c r="A229" t="inlineStr">
        <is>
          <t>A 17771-2022</t>
        </is>
      </c>
      <c r="B229" s="1" t="n">
        <v>44682.75924768519</v>
      </c>
      <c r="C229" s="1" t="n">
        <v>45925</v>
      </c>
      <c r="D229" t="inlineStr">
        <is>
          <t>STOCKHOLMS LÄN</t>
        </is>
      </c>
      <c r="E229" t="inlineStr">
        <is>
          <t>NORRTÄLJE</t>
        </is>
      </c>
      <c r="G229" t="n">
        <v>13.3</v>
      </c>
      <c r="H229" t="n">
        <v>0</v>
      </c>
      <c r="I229" t="n">
        <v>0</v>
      </c>
      <c r="J229" t="n">
        <v>0</v>
      </c>
      <c r="K229" t="n">
        <v>0</v>
      </c>
      <c r="L229" t="n">
        <v>0</v>
      </c>
      <c r="M229" t="n">
        <v>0</v>
      </c>
      <c r="N229" t="n">
        <v>0</v>
      </c>
      <c r="O229" t="n">
        <v>0</v>
      </c>
      <c r="P229" t="n">
        <v>0</v>
      </c>
      <c r="Q229" t="n">
        <v>0</v>
      </c>
      <c r="R229" s="2" t="inlineStr"/>
    </row>
    <row r="230" ht="15" customHeight="1">
      <c r="A230" t="inlineStr">
        <is>
          <t>A 17773-2022</t>
        </is>
      </c>
      <c r="B230" s="1" t="n">
        <v>44682.77616898148</v>
      </c>
      <c r="C230" s="1" t="n">
        <v>45925</v>
      </c>
      <c r="D230" t="inlineStr">
        <is>
          <t>STOCKHOLMS LÄN</t>
        </is>
      </c>
      <c r="E230" t="inlineStr">
        <is>
          <t>NORRTÄLJE</t>
        </is>
      </c>
      <c r="G230" t="n">
        <v>10.8</v>
      </c>
      <c r="H230" t="n">
        <v>0</v>
      </c>
      <c r="I230" t="n">
        <v>0</v>
      </c>
      <c r="J230" t="n">
        <v>0</v>
      </c>
      <c r="K230" t="n">
        <v>0</v>
      </c>
      <c r="L230" t="n">
        <v>0</v>
      </c>
      <c r="M230" t="n">
        <v>0</v>
      </c>
      <c r="N230" t="n">
        <v>0</v>
      </c>
      <c r="O230" t="n">
        <v>0</v>
      </c>
      <c r="P230" t="n">
        <v>0</v>
      </c>
      <c r="Q230" t="n">
        <v>0</v>
      </c>
      <c r="R230" s="2" t="inlineStr"/>
    </row>
    <row r="231" ht="15" customHeight="1">
      <c r="A231" t="inlineStr">
        <is>
          <t>A 10521-2022</t>
        </is>
      </c>
      <c r="B231" s="1" t="n">
        <v>44623</v>
      </c>
      <c r="C231" s="1" t="n">
        <v>45925</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27217-2021</t>
        </is>
      </c>
      <c r="B232" s="1" t="n">
        <v>44350</v>
      </c>
      <c r="C232" s="1" t="n">
        <v>45925</v>
      </c>
      <c r="D232" t="inlineStr">
        <is>
          <t>STOCKHOLMS LÄN</t>
        </is>
      </c>
      <c r="E232" t="inlineStr">
        <is>
          <t>NORRTÄLJE</t>
        </is>
      </c>
      <c r="G232" t="n">
        <v>5.5</v>
      </c>
      <c r="H232" t="n">
        <v>0</v>
      </c>
      <c r="I232" t="n">
        <v>0</v>
      </c>
      <c r="J232" t="n">
        <v>0</v>
      </c>
      <c r="K232" t="n">
        <v>0</v>
      </c>
      <c r="L232" t="n">
        <v>0</v>
      </c>
      <c r="M232" t="n">
        <v>0</v>
      </c>
      <c r="N232" t="n">
        <v>0</v>
      </c>
      <c r="O232" t="n">
        <v>0</v>
      </c>
      <c r="P232" t="n">
        <v>0</v>
      </c>
      <c r="Q232" t="n">
        <v>0</v>
      </c>
      <c r="R232" s="2" t="inlineStr"/>
    </row>
    <row r="233" ht="15" customHeight="1">
      <c r="A233" t="inlineStr">
        <is>
          <t>A 57957-2020</t>
        </is>
      </c>
      <c r="B233" s="1" t="n">
        <v>44143</v>
      </c>
      <c r="C233" s="1" t="n">
        <v>45925</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16119-2022</t>
        </is>
      </c>
      <c r="B234" s="1" t="n">
        <v>44665.66407407408</v>
      </c>
      <c r="C234" s="1" t="n">
        <v>45925</v>
      </c>
      <c r="D234" t="inlineStr">
        <is>
          <t>STOCKHOLMS LÄN</t>
        </is>
      </c>
      <c r="E234" t="inlineStr">
        <is>
          <t>NORRTÄLJE</t>
        </is>
      </c>
      <c r="G234" t="n">
        <v>3.9</v>
      </c>
      <c r="H234" t="n">
        <v>0</v>
      </c>
      <c r="I234" t="n">
        <v>0</v>
      </c>
      <c r="J234" t="n">
        <v>0</v>
      </c>
      <c r="K234" t="n">
        <v>0</v>
      </c>
      <c r="L234" t="n">
        <v>0</v>
      </c>
      <c r="M234" t="n">
        <v>0</v>
      </c>
      <c r="N234" t="n">
        <v>0</v>
      </c>
      <c r="O234" t="n">
        <v>0</v>
      </c>
      <c r="P234" t="n">
        <v>0</v>
      </c>
      <c r="Q234" t="n">
        <v>0</v>
      </c>
      <c r="R234" s="2" t="inlineStr"/>
    </row>
    <row r="235" ht="15" customHeight="1">
      <c r="A235" t="inlineStr">
        <is>
          <t>A 31924-2022</t>
        </is>
      </c>
      <c r="B235" s="1" t="n">
        <v>44777</v>
      </c>
      <c r="C235" s="1" t="n">
        <v>45925</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45925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45925</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62030-2021</t>
        </is>
      </c>
      <c r="B238" s="1" t="n">
        <v>44502</v>
      </c>
      <c r="C238" s="1" t="n">
        <v>45925</v>
      </c>
      <c r="D238" t="inlineStr">
        <is>
          <t>STOCKHOLMS LÄN</t>
        </is>
      </c>
      <c r="E238" t="inlineStr">
        <is>
          <t>NORRTÄLJE</t>
        </is>
      </c>
      <c r="G238" t="n">
        <v>4.7</v>
      </c>
      <c r="H238" t="n">
        <v>0</v>
      </c>
      <c r="I238" t="n">
        <v>0</v>
      </c>
      <c r="J238" t="n">
        <v>0</v>
      </c>
      <c r="K238" t="n">
        <v>0</v>
      </c>
      <c r="L238" t="n">
        <v>0</v>
      </c>
      <c r="M238" t="n">
        <v>0</v>
      </c>
      <c r="N238" t="n">
        <v>0</v>
      </c>
      <c r="O238" t="n">
        <v>0</v>
      </c>
      <c r="P238" t="n">
        <v>0</v>
      </c>
      <c r="Q238" t="n">
        <v>0</v>
      </c>
      <c r="R238" s="2" t="inlineStr"/>
    </row>
    <row r="239" ht="15" customHeight="1">
      <c r="A239" t="inlineStr">
        <is>
          <t>A 26335-2022</t>
        </is>
      </c>
      <c r="B239" s="1" t="n">
        <v>44735</v>
      </c>
      <c r="C239" s="1" t="n">
        <v>45925</v>
      </c>
      <c r="D239" t="inlineStr">
        <is>
          <t>STOCKHOLMS LÄN</t>
        </is>
      </c>
      <c r="E239" t="inlineStr">
        <is>
          <t>NORRTÄLJE</t>
        </is>
      </c>
      <c r="G239" t="n">
        <v>3.3</v>
      </c>
      <c r="H239" t="n">
        <v>0</v>
      </c>
      <c r="I239" t="n">
        <v>0</v>
      </c>
      <c r="J239" t="n">
        <v>0</v>
      </c>
      <c r="K239" t="n">
        <v>0</v>
      </c>
      <c r="L239" t="n">
        <v>0</v>
      </c>
      <c r="M239" t="n">
        <v>0</v>
      </c>
      <c r="N239" t="n">
        <v>0</v>
      </c>
      <c r="O239" t="n">
        <v>0</v>
      </c>
      <c r="P239" t="n">
        <v>0</v>
      </c>
      <c r="Q239" t="n">
        <v>0</v>
      </c>
      <c r="R239" s="2" t="inlineStr"/>
    </row>
    <row r="240" ht="15" customHeight="1">
      <c r="A240" t="inlineStr">
        <is>
          <t>A 12270-2022</t>
        </is>
      </c>
      <c r="B240" s="1" t="n">
        <v>44637</v>
      </c>
      <c r="C240" s="1" t="n">
        <v>45925</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14543-2022</t>
        </is>
      </c>
      <c r="B241" s="1" t="n">
        <v>44655.45373842592</v>
      </c>
      <c r="C241" s="1" t="n">
        <v>45925</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49334-2020</t>
        </is>
      </c>
      <c r="B242" s="1" t="n">
        <v>44105</v>
      </c>
      <c r="C242" s="1" t="n">
        <v>45925</v>
      </c>
      <c r="D242" t="inlineStr">
        <is>
          <t>STOCKHOLMS LÄN</t>
        </is>
      </c>
      <c r="E242" t="inlineStr">
        <is>
          <t>NORRTÄLJE</t>
        </is>
      </c>
      <c r="G242" t="n">
        <v>1.5</v>
      </c>
      <c r="H242" t="n">
        <v>0</v>
      </c>
      <c r="I242" t="n">
        <v>0</v>
      </c>
      <c r="J242" t="n">
        <v>0</v>
      </c>
      <c r="K242" t="n">
        <v>0</v>
      </c>
      <c r="L242" t="n">
        <v>0</v>
      </c>
      <c r="M242" t="n">
        <v>0</v>
      </c>
      <c r="N242" t="n">
        <v>0</v>
      </c>
      <c r="O242" t="n">
        <v>0</v>
      </c>
      <c r="P242" t="n">
        <v>0</v>
      </c>
      <c r="Q242" t="n">
        <v>0</v>
      </c>
      <c r="R242" s="2" t="inlineStr"/>
    </row>
    <row r="243" ht="15" customHeight="1">
      <c r="A243" t="inlineStr">
        <is>
          <t>A 12875-2022</t>
        </is>
      </c>
      <c r="B243" s="1" t="n">
        <v>44642.55565972222</v>
      </c>
      <c r="C243" s="1" t="n">
        <v>45925</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30624-2022</t>
        </is>
      </c>
      <c r="B244" s="1" t="n">
        <v>44763.4182175926</v>
      </c>
      <c r="C244" s="1" t="n">
        <v>45925</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60542-2020</t>
        </is>
      </c>
      <c r="B245" s="1" t="n">
        <v>44153</v>
      </c>
      <c r="C245" s="1" t="n">
        <v>45925</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16117-2022</t>
        </is>
      </c>
      <c r="B246" s="1" t="n">
        <v>44665.65474537037</v>
      </c>
      <c r="C246" s="1" t="n">
        <v>45925</v>
      </c>
      <c r="D246" t="inlineStr">
        <is>
          <t>STOCKHOLMS LÄN</t>
        </is>
      </c>
      <c r="E246" t="inlineStr">
        <is>
          <t>NORRTÄLJE</t>
        </is>
      </c>
      <c r="G246" t="n">
        <v>8.1</v>
      </c>
      <c r="H246" t="n">
        <v>0</v>
      </c>
      <c r="I246" t="n">
        <v>0</v>
      </c>
      <c r="J246" t="n">
        <v>0</v>
      </c>
      <c r="K246" t="n">
        <v>0</v>
      </c>
      <c r="L246" t="n">
        <v>0</v>
      </c>
      <c r="M246" t="n">
        <v>0</v>
      </c>
      <c r="N246" t="n">
        <v>0</v>
      </c>
      <c r="O246" t="n">
        <v>0</v>
      </c>
      <c r="P246" t="n">
        <v>0</v>
      </c>
      <c r="Q246" t="n">
        <v>0</v>
      </c>
      <c r="R246" s="2" t="inlineStr"/>
    </row>
    <row r="247" ht="15" customHeight="1">
      <c r="A247" t="inlineStr">
        <is>
          <t>A 16132-2022</t>
        </is>
      </c>
      <c r="B247" s="1" t="n">
        <v>44665.78351851852</v>
      </c>
      <c r="C247" s="1" t="n">
        <v>45925</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55982-2020</t>
        </is>
      </c>
      <c r="B248" s="1" t="n">
        <v>44132</v>
      </c>
      <c r="C248" s="1" t="n">
        <v>45925</v>
      </c>
      <c r="D248" t="inlineStr">
        <is>
          <t>STOCKHOLMS LÄN</t>
        </is>
      </c>
      <c r="E248" t="inlineStr">
        <is>
          <t>NORRTÄLJE</t>
        </is>
      </c>
      <c r="G248" t="n">
        <v>11.3</v>
      </c>
      <c r="H248" t="n">
        <v>0</v>
      </c>
      <c r="I248" t="n">
        <v>0</v>
      </c>
      <c r="J248" t="n">
        <v>0</v>
      </c>
      <c r="K248" t="n">
        <v>0</v>
      </c>
      <c r="L248" t="n">
        <v>0</v>
      </c>
      <c r="M248" t="n">
        <v>0</v>
      </c>
      <c r="N248" t="n">
        <v>0</v>
      </c>
      <c r="O248" t="n">
        <v>0</v>
      </c>
      <c r="P248" t="n">
        <v>0</v>
      </c>
      <c r="Q248" t="n">
        <v>0</v>
      </c>
      <c r="R248" s="2" t="inlineStr"/>
    </row>
    <row r="249" ht="15" customHeight="1">
      <c r="A249" t="inlineStr">
        <is>
          <t>A 70170-2021</t>
        </is>
      </c>
      <c r="B249" s="1" t="n">
        <v>44533</v>
      </c>
      <c r="C249" s="1" t="n">
        <v>45925</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52449-2021</t>
        </is>
      </c>
      <c r="B250" s="1" t="n">
        <v>44466.37496527778</v>
      </c>
      <c r="C250" s="1" t="n">
        <v>45925</v>
      </c>
      <c r="D250" t="inlineStr">
        <is>
          <t>STOCKHOLMS LÄN</t>
        </is>
      </c>
      <c r="E250" t="inlineStr">
        <is>
          <t>NORRTÄLJE</t>
        </is>
      </c>
      <c r="F250" t="inlineStr">
        <is>
          <t>Holmen skog AB</t>
        </is>
      </c>
      <c r="G250" t="n">
        <v>1.8</v>
      </c>
      <c r="H250" t="n">
        <v>0</v>
      </c>
      <c r="I250" t="n">
        <v>0</v>
      </c>
      <c r="J250" t="n">
        <v>0</v>
      </c>
      <c r="K250" t="n">
        <v>0</v>
      </c>
      <c r="L250" t="n">
        <v>0</v>
      </c>
      <c r="M250" t="n">
        <v>0</v>
      </c>
      <c r="N250" t="n">
        <v>0</v>
      </c>
      <c r="O250" t="n">
        <v>0</v>
      </c>
      <c r="P250" t="n">
        <v>0</v>
      </c>
      <c r="Q250" t="n">
        <v>0</v>
      </c>
      <c r="R250" s="2" t="inlineStr"/>
    </row>
    <row r="251" ht="15" customHeight="1">
      <c r="A251" t="inlineStr">
        <is>
          <t>A 25463-2021</t>
        </is>
      </c>
      <c r="B251" s="1" t="n">
        <v>44342</v>
      </c>
      <c r="C251" s="1" t="n">
        <v>45925</v>
      </c>
      <c r="D251" t="inlineStr">
        <is>
          <t>STOCKHOLMS LÄN</t>
        </is>
      </c>
      <c r="E251" t="inlineStr">
        <is>
          <t>NORRTÄLJE</t>
        </is>
      </c>
      <c r="F251" t="inlineStr">
        <is>
          <t>Holmen skog AB</t>
        </is>
      </c>
      <c r="G251" t="n">
        <v>1.5</v>
      </c>
      <c r="H251" t="n">
        <v>0</v>
      </c>
      <c r="I251" t="n">
        <v>0</v>
      </c>
      <c r="J251" t="n">
        <v>0</v>
      </c>
      <c r="K251" t="n">
        <v>0</v>
      </c>
      <c r="L251" t="n">
        <v>0</v>
      </c>
      <c r="M251" t="n">
        <v>0</v>
      </c>
      <c r="N251" t="n">
        <v>0</v>
      </c>
      <c r="O251" t="n">
        <v>0</v>
      </c>
      <c r="P251" t="n">
        <v>0</v>
      </c>
      <c r="Q251" t="n">
        <v>0</v>
      </c>
      <c r="R251" s="2" t="inlineStr"/>
    </row>
    <row r="252" ht="15" customHeight="1">
      <c r="A252" t="inlineStr">
        <is>
          <t>A 23453-2021</t>
        </is>
      </c>
      <c r="B252" s="1" t="n">
        <v>44333</v>
      </c>
      <c r="C252" s="1" t="n">
        <v>45925</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21102-2022</t>
        </is>
      </c>
      <c r="B253" s="1" t="n">
        <v>44704</v>
      </c>
      <c r="C253" s="1" t="n">
        <v>45925</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33046-2021</t>
        </is>
      </c>
      <c r="B254" s="1" t="n">
        <v>44376</v>
      </c>
      <c r="C254" s="1" t="n">
        <v>45925</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71880-2021</t>
        </is>
      </c>
      <c r="B255" s="1" t="n">
        <v>44543</v>
      </c>
      <c r="C255" s="1" t="n">
        <v>45925</v>
      </c>
      <c r="D255" t="inlineStr">
        <is>
          <t>STOCKHOLMS LÄN</t>
        </is>
      </c>
      <c r="E255" t="inlineStr">
        <is>
          <t>NORRTÄLJE</t>
        </is>
      </c>
      <c r="G255" t="n">
        <v>2</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45925</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17772-2022</t>
        </is>
      </c>
      <c r="B257" s="1" t="n">
        <v>44682.76528935185</v>
      </c>
      <c r="C257" s="1" t="n">
        <v>45925</v>
      </c>
      <c r="D257" t="inlineStr">
        <is>
          <t>STOCKHOLMS LÄN</t>
        </is>
      </c>
      <c r="E257" t="inlineStr">
        <is>
          <t>NORRTÄLJE</t>
        </is>
      </c>
      <c r="G257" t="n">
        <v>4</v>
      </c>
      <c r="H257" t="n">
        <v>0</v>
      </c>
      <c r="I257" t="n">
        <v>0</v>
      </c>
      <c r="J257" t="n">
        <v>0</v>
      </c>
      <c r="K257" t="n">
        <v>0</v>
      </c>
      <c r="L257" t="n">
        <v>0</v>
      </c>
      <c r="M257" t="n">
        <v>0</v>
      </c>
      <c r="N257" t="n">
        <v>0</v>
      </c>
      <c r="O257" t="n">
        <v>0</v>
      </c>
      <c r="P257" t="n">
        <v>0</v>
      </c>
      <c r="Q257" t="n">
        <v>0</v>
      </c>
      <c r="R257" s="2" t="inlineStr"/>
    </row>
    <row r="258" ht="15" customHeight="1">
      <c r="A258" t="inlineStr">
        <is>
          <t>A 26328-2022</t>
        </is>
      </c>
      <c r="B258" s="1" t="n">
        <v>44735</v>
      </c>
      <c r="C258" s="1" t="n">
        <v>45925</v>
      </c>
      <c r="D258" t="inlineStr">
        <is>
          <t>STOCKHOLMS LÄN</t>
        </is>
      </c>
      <c r="E258" t="inlineStr">
        <is>
          <t>NORRTÄLJE</t>
        </is>
      </c>
      <c r="G258" t="n">
        <v>2.8</v>
      </c>
      <c r="H258" t="n">
        <v>0</v>
      </c>
      <c r="I258" t="n">
        <v>0</v>
      </c>
      <c r="J258" t="n">
        <v>0</v>
      </c>
      <c r="K258" t="n">
        <v>0</v>
      </c>
      <c r="L258" t="n">
        <v>0</v>
      </c>
      <c r="M258" t="n">
        <v>0</v>
      </c>
      <c r="N258" t="n">
        <v>0</v>
      </c>
      <c r="O258" t="n">
        <v>0</v>
      </c>
      <c r="P258" t="n">
        <v>0</v>
      </c>
      <c r="Q258" t="n">
        <v>0</v>
      </c>
      <c r="R258" s="2" t="inlineStr"/>
    </row>
    <row r="259" ht="15" customHeight="1">
      <c r="A259" t="inlineStr">
        <is>
          <t>A 66372-2020</t>
        </is>
      </c>
      <c r="B259" s="1" t="n">
        <v>44176</v>
      </c>
      <c r="C259" s="1" t="n">
        <v>45925</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45925</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28042-2022</t>
        </is>
      </c>
      <c r="B261" s="1" t="n">
        <v>44744</v>
      </c>
      <c r="C261" s="1" t="n">
        <v>45925</v>
      </c>
      <c r="D261" t="inlineStr">
        <is>
          <t>STOCKHOLMS LÄN</t>
        </is>
      </c>
      <c r="E261" t="inlineStr">
        <is>
          <t>NORRTÄLJE</t>
        </is>
      </c>
      <c r="G261" t="n">
        <v>0.2</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45925</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67285-2021</t>
        </is>
      </c>
      <c r="B263" s="1" t="n">
        <v>44523.61635416667</v>
      </c>
      <c r="C263" s="1" t="n">
        <v>45925</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5611-2022</t>
        </is>
      </c>
      <c r="B264" s="1" t="n">
        <v>44595</v>
      </c>
      <c r="C264" s="1" t="n">
        <v>45925</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32055-2021</t>
        </is>
      </c>
      <c r="B265" s="1" t="n">
        <v>44370.72197916666</v>
      </c>
      <c r="C265" s="1" t="n">
        <v>45925</v>
      </c>
      <c r="D265" t="inlineStr">
        <is>
          <t>STOCKHOLMS LÄN</t>
        </is>
      </c>
      <c r="E265" t="inlineStr">
        <is>
          <t>NORRTÄLJE</t>
        </is>
      </c>
      <c r="G265" t="n">
        <v>1.2</v>
      </c>
      <c r="H265" t="n">
        <v>0</v>
      </c>
      <c r="I265" t="n">
        <v>0</v>
      </c>
      <c r="J265" t="n">
        <v>0</v>
      </c>
      <c r="K265" t="n">
        <v>0</v>
      </c>
      <c r="L265" t="n">
        <v>0</v>
      </c>
      <c r="M265" t="n">
        <v>0</v>
      </c>
      <c r="N265" t="n">
        <v>0</v>
      </c>
      <c r="O265" t="n">
        <v>0</v>
      </c>
      <c r="P265" t="n">
        <v>0</v>
      </c>
      <c r="Q265" t="n">
        <v>0</v>
      </c>
      <c r="R265" s="2" t="inlineStr"/>
    </row>
    <row r="266" ht="15" customHeight="1">
      <c r="A266" t="inlineStr">
        <is>
          <t>A 24101-2022</t>
        </is>
      </c>
      <c r="B266" s="1" t="n">
        <v>44725</v>
      </c>
      <c r="C266" s="1" t="n">
        <v>45925</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7565-2022</t>
        </is>
      </c>
      <c r="B267" s="1" t="n">
        <v>44607</v>
      </c>
      <c r="C267" s="1" t="n">
        <v>45925</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45925</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45925</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15441-2021</t>
        </is>
      </c>
      <c r="B270" s="1" t="n">
        <v>44284</v>
      </c>
      <c r="C270" s="1" t="n">
        <v>45925</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38721-2022</t>
        </is>
      </c>
      <c r="B271" s="1" t="n">
        <v>44815</v>
      </c>
      <c r="C271" s="1" t="n">
        <v>45925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45925</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60184-2021</t>
        </is>
      </c>
      <c r="B273" s="1" t="n">
        <v>44495</v>
      </c>
      <c r="C273" s="1" t="n">
        <v>45925</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41398-2022</t>
        </is>
      </c>
      <c r="B274" s="1" t="n">
        <v>44826</v>
      </c>
      <c r="C274" s="1" t="n">
        <v>45925</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22369-2021</t>
        </is>
      </c>
      <c r="B275" s="1" t="n">
        <v>44326</v>
      </c>
      <c r="C275" s="1" t="n">
        <v>45925</v>
      </c>
      <c r="D275" t="inlineStr">
        <is>
          <t>STOCKHOLMS LÄN</t>
        </is>
      </c>
      <c r="E275" t="inlineStr">
        <is>
          <t>NORRTÄLJE</t>
        </is>
      </c>
      <c r="F275" t="inlineStr">
        <is>
          <t>Holmen skog AB</t>
        </is>
      </c>
      <c r="G275" t="n">
        <v>3.4</v>
      </c>
      <c r="H275" t="n">
        <v>0</v>
      </c>
      <c r="I275" t="n">
        <v>0</v>
      </c>
      <c r="J275" t="n">
        <v>0</v>
      </c>
      <c r="K275" t="n">
        <v>0</v>
      </c>
      <c r="L275" t="n">
        <v>0</v>
      </c>
      <c r="M275" t="n">
        <v>0</v>
      </c>
      <c r="N275" t="n">
        <v>0</v>
      </c>
      <c r="O275" t="n">
        <v>0</v>
      </c>
      <c r="P275" t="n">
        <v>0</v>
      </c>
      <c r="Q275" t="n">
        <v>0</v>
      </c>
      <c r="R275" s="2" t="inlineStr"/>
    </row>
    <row r="276" ht="15" customHeight="1">
      <c r="A276" t="inlineStr">
        <is>
          <t>A 34520-2021</t>
        </is>
      </c>
      <c r="B276" s="1" t="n">
        <v>44379</v>
      </c>
      <c r="C276" s="1" t="n">
        <v>45925</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55012-2024</t>
        </is>
      </c>
      <c r="B277" s="1" t="n">
        <v>45621.34813657407</v>
      </c>
      <c r="C277" s="1" t="n">
        <v>45925</v>
      </c>
      <c r="D277" t="inlineStr">
        <is>
          <t>STOCKHOLMS LÄN</t>
        </is>
      </c>
      <c r="E277" t="inlineStr">
        <is>
          <t>NORRTÄLJE</t>
        </is>
      </c>
      <c r="F277" t="inlineStr">
        <is>
          <t>Sveaskog</t>
        </is>
      </c>
      <c r="G277" t="n">
        <v>5.2</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45925</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45925</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19398-2021</t>
        </is>
      </c>
      <c r="B280" s="1" t="n">
        <v>44309</v>
      </c>
      <c r="C280" s="1" t="n">
        <v>45925</v>
      </c>
      <c r="D280" t="inlineStr">
        <is>
          <t>STOCKHOLMS LÄN</t>
        </is>
      </c>
      <c r="E280" t="inlineStr">
        <is>
          <t>NORRTÄLJE</t>
        </is>
      </c>
      <c r="F280" t="inlineStr">
        <is>
          <t>Kommuner</t>
        </is>
      </c>
      <c r="G280" t="n">
        <v>2.1</v>
      </c>
      <c r="H280" t="n">
        <v>0</v>
      </c>
      <c r="I280" t="n">
        <v>0</v>
      </c>
      <c r="J280" t="n">
        <v>0</v>
      </c>
      <c r="K280" t="n">
        <v>0</v>
      </c>
      <c r="L280" t="n">
        <v>0</v>
      </c>
      <c r="M280" t="n">
        <v>0</v>
      </c>
      <c r="N280" t="n">
        <v>0</v>
      </c>
      <c r="O280" t="n">
        <v>0</v>
      </c>
      <c r="P280" t="n">
        <v>0</v>
      </c>
      <c r="Q280" t="n">
        <v>0</v>
      </c>
      <c r="R280" s="2" t="inlineStr"/>
    </row>
    <row r="281" ht="15" customHeight="1">
      <c r="A281" t="inlineStr">
        <is>
          <t>A 1968-2022</t>
        </is>
      </c>
      <c r="B281" s="1" t="n">
        <v>44575.52831018518</v>
      </c>
      <c r="C281" s="1" t="n">
        <v>45925</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12348-2025</t>
        </is>
      </c>
      <c r="B282" s="1" t="n">
        <v>45730.35026620371</v>
      </c>
      <c r="C282" s="1" t="n">
        <v>45925</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13148-2021</t>
        </is>
      </c>
      <c r="B283" s="1" t="n">
        <v>44272</v>
      </c>
      <c r="C283" s="1" t="n">
        <v>45925</v>
      </c>
      <c r="D283" t="inlineStr">
        <is>
          <t>STOCKHOLMS LÄN</t>
        </is>
      </c>
      <c r="E283" t="inlineStr">
        <is>
          <t>NORRTÄLJE</t>
        </is>
      </c>
      <c r="G283" t="n">
        <v>12.4</v>
      </c>
      <c r="H283" t="n">
        <v>0</v>
      </c>
      <c r="I283" t="n">
        <v>0</v>
      </c>
      <c r="J283" t="n">
        <v>0</v>
      </c>
      <c r="K283" t="n">
        <v>0</v>
      </c>
      <c r="L283" t="n">
        <v>0</v>
      </c>
      <c r="M283" t="n">
        <v>0</v>
      </c>
      <c r="N283" t="n">
        <v>0</v>
      </c>
      <c r="O283" t="n">
        <v>0</v>
      </c>
      <c r="P283" t="n">
        <v>0</v>
      </c>
      <c r="Q283" t="n">
        <v>0</v>
      </c>
      <c r="R283" s="2" t="inlineStr"/>
    </row>
    <row r="284" ht="15" customHeight="1">
      <c r="A284" t="inlineStr">
        <is>
          <t>A 27715-2022</t>
        </is>
      </c>
      <c r="B284" s="1" t="n">
        <v>44743.47407407407</v>
      </c>
      <c r="C284" s="1" t="n">
        <v>45925</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45541-2022</t>
        </is>
      </c>
      <c r="B285" s="1" t="n">
        <v>44845.47672453704</v>
      </c>
      <c r="C285" s="1" t="n">
        <v>45925</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12779-2021</t>
        </is>
      </c>
      <c r="B286" s="1" t="n">
        <v>44270</v>
      </c>
      <c r="C286" s="1" t="n">
        <v>45925</v>
      </c>
      <c r="D286" t="inlineStr">
        <is>
          <t>STOCKHOLMS LÄN</t>
        </is>
      </c>
      <c r="E286" t="inlineStr">
        <is>
          <t>NORRTÄLJE</t>
        </is>
      </c>
      <c r="G286" t="n">
        <v>10.8</v>
      </c>
      <c r="H286" t="n">
        <v>0</v>
      </c>
      <c r="I286" t="n">
        <v>0</v>
      </c>
      <c r="J286" t="n">
        <v>0</v>
      </c>
      <c r="K286" t="n">
        <v>0</v>
      </c>
      <c r="L286" t="n">
        <v>0</v>
      </c>
      <c r="M286" t="n">
        <v>0</v>
      </c>
      <c r="N286" t="n">
        <v>0</v>
      </c>
      <c r="O286" t="n">
        <v>0</v>
      </c>
      <c r="P286" t="n">
        <v>0</v>
      </c>
      <c r="Q286" t="n">
        <v>0</v>
      </c>
      <c r="R286" s="2" t="inlineStr"/>
    </row>
    <row r="287" ht="15" customHeight="1">
      <c r="A287" t="inlineStr">
        <is>
          <t>A 12782-2021</t>
        </is>
      </c>
      <c r="B287" s="1" t="n">
        <v>44270</v>
      </c>
      <c r="C287" s="1" t="n">
        <v>45925</v>
      </c>
      <c r="D287" t="inlineStr">
        <is>
          <t>STOCKHOLMS LÄN</t>
        </is>
      </c>
      <c r="E287" t="inlineStr">
        <is>
          <t>NORRTÄLJE</t>
        </is>
      </c>
      <c r="G287" t="n">
        <v>3.8</v>
      </c>
      <c r="H287" t="n">
        <v>0</v>
      </c>
      <c r="I287" t="n">
        <v>0</v>
      </c>
      <c r="J287" t="n">
        <v>0</v>
      </c>
      <c r="K287" t="n">
        <v>0</v>
      </c>
      <c r="L287" t="n">
        <v>0</v>
      </c>
      <c r="M287" t="n">
        <v>0</v>
      </c>
      <c r="N287" t="n">
        <v>0</v>
      </c>
      <c r="O287" t="n">
        <v>0</v>
      </c>
      <c r="P287" t="n">
        <v>0</v>
      </c>
      <c r="Q287" t="n">
        <v>0</v>
      </c>
      <c r="R287" s="2" t="inlineStr"/>
    </row>
    <row r="288" ht="15" customHeight="1">
      <c r="A288" t="inlineStr">
        <is>
          <t>A 12111-2021</t>
        </is>
      </c>
      <c r="B288" s="1" t="n">
        <v>44266</v>
      </c>
      <c r="C288" s="1" t="n">
        <v>45925</v>
      </c>
      <c r="D288" t="inlineStr">
        <is>
          <t>STOCKHOLMS LÄN</t>
        </is>
      </c>
      <c r="E288" t="inlineStr">
        <is>
          <t>NORRTÄLJE</t>
        </is>
      </c>
      <c r="G288" t="n">
        <v>5.5</v>
      </c>
      <c r="H288" t="n">
        <v>0</v>
      </c>
      <c r="I288" t="n">
        <v>0</v>
      </c>
      <c r="J288" t="n">
        <v>0</v>
      </c>
      <c r="K288" t="n">
        <v>0</v>
      </c>
      <c r="L288" t="n">
        <v>0</v>
      </c>
      <c r="M288" t="n">
        <v>0</v>
      </c>
      <c r="N288" t="n">
        <v>0</v>
      </c>
      <c r="O288" t="n">
        <v>0</v>
      </c>
      <c r="P288" t="n">
        <v>0</v>
      </c>
      <c r="Q288" t="n">
        <v>0</v>
      </c>
      <c r="R288" s="2" t="inlineStr"/>
    </row>
    <row r="289" ht="15" customHeight="1">
      <c r="A289" t="inlineStr">
        <is>
          <t>A 33053-2021</t>
        </is>
      </c>
      <c r="B289" s="1" t="n">
        <v>44376</v>
      </c>
      <c r="C289" s="1" t="n">
        <v>45925</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20013-2025</t>
        </is>
      </c>
      <c r="B290" s="1" t="n">
        <v>45772.30436342592</v>
      </c>
      <c r="C290" s="1" t="n">
        <v>45925</v>
      </c>
      <c r="D290" t="inlineStr">
        <is>
          <t>STOCKHOLMS LÄN</t>
        </is>
      </c>
      <c r="E290" t="inlineStr">
        <is>
          <t>NORRTÄLJE</t>
        </is>
      </c>
      <c r="G290" t="n">
        <v>2.3</v>
      </c>
      <c r="H290" t="n">
        <v>0</v>
      </c>
      <c r="I290" t="n">
        <v>0</v>
      </c>
      <c r="J290" t="n">
        <v>0</v>
      </c>
      <c r="K290" t="n">
        <v>0</v>
      </c>
      <c r="L290" t="n">
        <v>0</v>
      </c>
      <c r="M290" t="n">
        <v>0</v>
      </c>
      <c r="N290" t="n">
        <v>0</v>
      </c>
      <c r="O290" t="n">
        <v>0</v>
      </c>
      <c r="P290" t="n">
        <v>0</v>
      </c>
      <c r="Q290" t="n">
        <v>0</v>
      </c>
      <c r="R290" s="2" t="inlineStr"/>
    </row>
    <row r="291" ht="15" customHeight="1">
      <c r="A291" t="inlineStr">
        <is>
          <t>A 30286-2022</t>
        </is>
      </c>
      <c r="B291" s="1" t="n">
        <v>44760</v>
      </c>
      <c r="C291" s="1" t="n">
        <v>45925</v>
      </c>
      <c r="D291" t="inlineStr">
        <is>
          <t>STOCKHOLMS LÄN</t>
        </is>
      </c>
      <c r="E291" t="inlineStr">
        <is>
          <t>NORRTÄLJE</t>
        </is>
      </c>
      <c r="G291" t="n">
        <v>0.3</v>
      </c>
      <c r="H291" t="n">
        <v>0</v>
      </c>
      <c r="I291" t="n">
        <v>0</v>
      </c>
      <c r="J291" t="n">
        <v>0</v>
      </c>
      <c r="K291" t="n">
        <v>0</v>
      </c>
      <c r="L291" t="n">
        <v>0</v>
      </c>
      <c r="M291" t="n">
        <v>0</v>
      </c>
      <c r="N291" t="n">
        <v>0</v>
      </c>
      <c r="O291" t="n">
        <v>0</v>
      </c>
      <c r="P291" t="n">
        <v>0</v>
      </c>
      <c r="Q291" t="n">
        <v>0</v>
      </c>
      <c r="R291" s="2" t="inlineStr"/>
    </row>
    <row r="292" ht="15" customHeight="1">
      <c r="A292" t="inlineStr">
        <is>
          <t>A 63161-2023</t>
        </is>
      </c>
      <c r="B292" s="1" t="n">
        <v>45273</v>
      </c>
      <c r="C292" s="1" t="n">
        <v>45925</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8160-2022</t>
        </is>
      </c>
      <c r="B293" s="1" t="n">
        <v>44609</v>
      </c>
      <c r="C293" s="1" t="n">
        <v>45925</v>
      </c>
      <c r="D293" t="inlineStr">
        <is>
          <t>STOCKHOLMS LÄN</t>
        </is>
      </c>
      <c r="E293" t="inlineStr">
        <is>
          <t>NORRTÄLJE</t>
        </is>
      </c>
      <c r="G293" t="n">
        <v>3.9</v>
      </c>
      <c r="H293" t="n">
        <v>0</v>
      </c>
      <c r="I293" t="n">
        <v>0</v>
      </c>
      <c r="J293" t="n">
        <v>0</v>
      </c>
      <c r="K293" t="n">
        <v>0</v>
      </c>
      <c r="L293" t="n">
        <v>0</v>
      </c>
      <c r="M293" t="n">
        <v>0</v>
      </c>
      <c r="N293" t="n">
        <v>0</v>
      </c>
      <c r="O293" t="n">
        <v>0</v>
      </c>
      <c r="P293" t="n">
        <v>0</v>
      </c>
      <c r="Q293" t="n">
        <v>0</v>
      </c>
      <c r="R293" s="2" t="inlineStr"/>
    </row>
    <row r="294" ht="15" customHeight="1">
      <c r="A294" t="inlineStr">
        <is>
          <t>A 1229-2022</t>
        </is>
      </c>
      <c r="B294" s="1" t="n">
        <v>44572</v>
      </c>
      <c r="C294" s="1" t="n">
        <v>45925</v>
      </c>
      <c r="D294" t="inlineStr">
        <is>
          <t>STOCKHOLMS LÄN</t>
        </is>
      </c>
      <c r="E294" t="inlineStr">
        <is>
          <t>NORRTÄLJE</t>
        </is>
      </c>
      <c r="G294" t="n">
        <v>11.5</v>
      </c>
      <c r="H294" t="n">
        <v>0</v>
      </c>
      <c r="I294" t="n">
        <v>0</v>
      </c>
      <c r="J294" t="n">
        <v>0</v>
      </c>
      <c r="K294" t="n">
        <v>0</v>
      </c>
      <c r="L294" t="n">
        <v>0</v>
      </c>
      <c r="M294" t="n">
        <v>0</v>
      </c>
      <c r="N294" t="n">
        <v>0</v>
      </c>
      <c r="O294" t="n">
        <v>0</v>
      </c>
      <c r="P294" t="n">
        <v>0</v>
      </c>
      <c r="Q294" t="n">
        <v>0</v>
      </c>
      <c r="R294" s="2" t="inlineStr"/>
    </row>
    <row r="295" ht="15" customHeight="1">
      <c r="A295" t="inlineStr">
        <is>
          <t>A 68273-2021</t>
        </is>
      </c>
      <c r="B295" s="1" t="n">
        <v>44526</v>
      </c>
      <c r="C295" s="1" t="n">
        <v>45925</v>
      </c>
      <c r="D295" t="inlineStr">
        <is>
          <t>STOCKHOLMS LÄN</t>
        </is>
      </c>
      <c r="E295" t="inlineStr">
        <is>
          <t>NORRTÄLJE</t>
        </is>
      </c>
      <c r="G295" t="n">
        <v>5.3</v>
      </c>
      <c r="H295" t="n">
        <v>0</v>
      </c>
      <c r="I295" t="n">
        <v>0</v>
      </c>
      <c r="J295" t="n">
        <v>0</v>
      </c>
      <c r="K295" t="n">
        <v>0</v>
      </c>
      <c r="L295" t="n">
        <v>0</v>
      </c>
      <c r="M295" t="n">
        <v>0</v>
      </c>
      <c r="N295" t="n">
        <v>0</v>
      </c>
      <c r="O295" t="n">
        <v>0</v>
      </c>
      <c r="P295" t="n">
        <v>0</v>
      </c>
      <c r="Q295" t="n">
        <v>0</v>
      </c>
      <c r="R295" s="2" t="inlineStr"/>
    </row>
    <row r="296" ht="15" customHeight="1">
      <c r="A296" t="inlineStr">
        <is>
          <t>A 23271-2023</t>
        </is>
      </c>
      <c r="B296" s="1" t="n">
        <v>45075.91362268518</v>
      </c>
      <c r="C296" s="1" t="n">
        <v>45925</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23273-2023</t>
        </is>
      </c>
      <c r="B297" s="1" t="n">
        <v>45075.91971064815</v>
      </c>
      <c r="C297" s="1" t="n">
        <v>45925</v>
      </c>
      <c r="D297" t="inlineStr">
        <is>
          <t>STOCKHOLMS LÄN</t>
        </is>
      </c>
      <c r="E297" t="inlineStr">
        <is>
          <t>NORRTÄLJE</t>
        </is>
      </c>
      <c r="G297" t="n">
        <v>7.5</v>
      </c>
      <c r="H297" t="n">
        <v>0</v>
      </c>
      <c r="I297" t="n">
        <v>0</v>
      </c>
      <c r="J297" t="n">
        <v>0</v>
      </c>
      <c r="K297" t="n">
        <v>0</v>
      </c>
      <c r="L297" t="n">
        <v>0</v>
      </c>
      <c r="M297" t="n">
        <v>0</v>
      </c>
      <c r="N297" t="n">
        <v>0</v>
      </c>
      <c r="O297" t="n">
        <v>0</v>
      </c>
      <c r="P297" t="n">
        <v>0</v>
      </c>
      <c r="Q297" t="n">
        <v>0</v>
      </c>
      <c r="R297" s="2" t="inlineStr"/>
    </row>
    <row r="298" ht="15" customHeight="1">
      <c r="A298" t="inlineStr">
        <is>
          <t>A 30802-2022</t>
        </is>
      </c>
      <c r="B298" s="1" t="n">
        <v>44764</v>
      </c>
      <c r="C298" s="1" t="n">
        <v>45925</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19706-2023</t>
        </is>
      </c>
      <c r="B299" s="1" t="n">
        <v>45051.455</v>
      </c>
      <c r="C299" s="1" t="n">
        <v>45925</v>
      </c>
      <c r="D299" t="inlineStr">
        <is>
          <t>STOCKHOLMS LÄN</t>
        </is>
      </c>
      <c r="E299" t="inlineStr">
        <is>
          <t>NORRTÄLJE</t>
        </is>
      </c>
      <c r="G299" t="n">
        <v>0.2</v>
      </c>
      <c r="H299" t="n">
        <v>0</v>
      </c>
      <c r="I299" t="n">
        <v>0</v>
      </c>
      <c r="J299" t="n">
        <v>0</v>
      </c>
      <c r="K299" t="n">
        <v>0</v>
      </c>
      <c r="L299" t="n">
        <v>0</v>
      </c>
      <c r="M299" t="n">
        <v>0</v>
      </c>
      <c r="N299" t="n">
        <v>0</v>
      </c>
      <c r="O299" t="n">
        <v>0</v>
      </c>
      <c r="P299" t="n">
        <v>0</v>
      </c>
      <c r="Q299" t="n">
        <v>0</v>
      </c>
      <c r="R299" s="2" t="inlineStr"/>
    </row>
    <row r="300" ht="15" customHeight="1">
      <c r="A300" t="inlineStr">
        <is>
          <t>A 39319-2022</t>
        </is>
      </c>
      <c r="B300" s="1" t="n">
        <v>44817.70516203704</v>
      </c>
      <c r="C300" s="1" t="n">
        <v>45925</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16008-2025</t>
        </is>
      </c>
      <c r="B301" s="1" t="n">
        <v>45749</v>
      </c>
      <c r="C301" s="1" t="n">
        <v>45925</v>
      </c>
      <c r="D301" t="inlineStr">
        <is>
          <t>STOCKHOLMS LÄN</t>
        </is>
      </c>
      <c r="E301" t="inlineStr">
        <is>
          <t>NORRTÄLJE</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9765-2024</t>
        </is>
      </c>
      <c r="B302" s="1" t="n">
        <v>45362.62811342593</v>
      </c>
      <c r="C302" s="1" t="n">
        <v>45925</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14051-2022</t>
        </is>
      </c>
      <c r="B303" s="1" t="n">
        <v>44650.92714120371</v>
      </c>
      <c r="C303" s="1" t="n">
        <v>45925</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56219-2021</t>
        </is>
      </c>
      <c r="B304" s="1" t="n">
        <v>44477</v>
      </c>
      <c r="C304" s="1" t="n">
        <v>45925</v>
      </c>
      <c r="D304" t="inlineStr">
        <is>
          <t>STOCKHOLMS LÄN</t>
        </is>
      </c>
      <c r="E304" t="inlineStr">
        <is>
          <t>NORRTÄLJE</t>
        </is>
      </c>
      <c r="F304" t="inlineStr">
        <is>
          <t>Kommuner</t>
        </is>
      </c>
      <c r="G304" t="n">
        <v>2.3</v>
      </c>
      <c r="H304" t="n">
        <v>0</v>
      </c>
      <c r="I304" t="n">
        <v>0</v>
      </c>
      <c r="J304" t="n">
        <v>0</v>
      </c>
      <c r="K304" t="n">
        <v>0</v>
      </c>
      <c r="L304" t="n">
        <v>0</v>
      </c>
      <c r="M304" t="n">
        <v>0</v>
      </c>
      <c r="N304" t="n">
        <v>0</v>
      </c>
      <c r="O304" t="n">
        <v>0</v>
      </c>
      <c r="P304" t="n">
        <v>0</v>
      </c>
      <c r="Q304" t="n">
        <v>0</v>
      </c>
      <c r="R304" s="2" t="inlineStr"/>
    </row>
    <row r="305" ht="15" customHeight="1">
      <c r="A305" t="inlineStr">
        <is>
          <t>A 5562-2021</t>
        </is>
      </c>
      <c r="B305" s="1" t="n">
        <v>44230</v>
      </c>
      <c r="C305" s="1" t="n">
        <v>45925</v>
      </c>
      <c r="D305" t="inlineStr">
        <is>
          <t>STOCKHOLMS LÄN</t>
        </is>
      </c>
      <c r="E305" t="inlineStr">
        <is>
          <t>NORRTÄLJE</t>
        </is>
      </c>
      <c r="G305" t="n">
        <v>0.5</v>
      </c>
      <c r="H305" t="n">
        <v>0</v>
      </c>
      <c r="I305" t="n">
        <v>0</v>
      </c>
      <c r="J305" t="n">
        <v>0</v>
      </c>
      <c r="K305" t="n">
        <v>0</v>
      </c>
      <c r="L305" t="n">
        <v>0</v>
      </c>
      <c r="M305" t="n">
        <v>0</v>
      </c>
      <c r="N305" t="n">
        <v>0</v>
      </c>
      <c r="O305" t="n">
        <v>0</v>
      </c>
      <c r="P305" t="n">
        <v>0</v>
      </c>
      <c r="Q305" t="n">
        <v>0</v>
      </c>
      <c r="R305" s="2" t="inlineStr"/>
    </row>
    <row r="306" ht="15" customHeight="1">
      <c r="A306" t="inlineStr">
        <is>
          <t>A 5566-2021</t>
        </is>
      </c>
      <c r="B306" s="1" t="n">
        <v>44230</v>
      </c>
      <c r="C306" s="1" t="n">
        <v>45925</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47694-2023</t>
        </is>
      </c>
      <c r="B307" s="1" t="n">
        <v>45203.63303240741</v>
      </c>
      <c r="C307" s="1" t="n">
        <v>45925</v>
      </c>
      <c r="D307" t="inlineStr">
        <is>
          <t>STOCKHOLMS LÄN</t>
        </is>
      </c>
      <c r="E307" t="inlineStr">
        <is>
          <t>NORRTÄLJE</t>
        </is>
      </c>
      <c r="G307" t="n">
        <v>5.2</v>
      </c>
      <c r="H307" t="n">
        <v>0</v>
      </c>
      <c r="I307" t="n">
        <v>0</v>
      </c>
      <c r="J307" t="n">
        <v>0</v>
      </c>
      <c r="K307" t="n">
        <v>0</v>
      </c>
      <c r="L307" t="n">
        <v>0</v>
      </c>
      <c r="M307" t="n">
        <v>0</v>
      </c>
      <c r="N307" t="n">
        <v>0</v>
      </c>
      <c r="O307" t="n">
        <v>0</v>
      </c>
      <c r="P307" t="n">
        <v>0</v>
      </c>
      <c r="Q307" t="n">
        <v>0</v>
      </c>
      <c r="R307" s="2" t="inlineStr"/>
    </row>
    <row r="308" ht="15" customHeight="1">
      <c r="A308" t="inlineStr">
        <is>
          <t>A 40656-2022</t>
        </is>
      </c>
      <c r="B308" s="1" t="n">
        <v>44824.36069444445</v>
      </c>
      <c r="C308" s="1" t="n">
        <v>45925</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45925</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11229-2022</t>
        </is>
      </c>
      <c r="B310" s="1" t="n">
        <v>44629</v>
      </c>
      <c r="C310" s="1" t="n">
        <v>45925</v>
      </c>
      <c r="D310" t="inlineStr">
        <is>
          <t>STOCKHOLMS LÄN</t>
        </is>
      </c>
      <c r="E310" t="inlineStr">
        <is>
          <t>NORRTÄLJE</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9654-2022</t>
        </is>
      </c>
      <c r="B311" s="1" t="n">
        <v>44617</v>
      </c>
      <c r="C311" s="1" t="n">
        <v>45925</v>
      </c>
      <c r="D311" t="inlineStr">
        <is>
          <t>STOCKHOLMS LÄN</t>
        </is>
      </c>
      <c r="E311" t="inlineStr">
        <is>
          <t>NORRTÄLJE</t>
        </is>
      </c>
      <c r="G311" t="n">
        <v>6.4</v>
      </c>
      <c r="H311" t="n">
        <v>0</v>
      </c>
      <c r="I311" t="n">
        <v>0</v>
      </c>
      <c r="J311" t="n">
        <v>0</v>
      </c>
      <c r="K311" t="n">
        <v>0</v>
      </c>
      <c r="L311" t="n">
        <v>0</v>
      </c>
      <c r="M311" t="n">
        <v>0</v>
      </c>
      <c r="N311" t="n">
        <v>0</v>
      </c>
      <c r="O311" t="n">
        <v>0</v>
      </c>
      <c r="P311" t="n">
        <v>0</v>
      </c>
      <c r="Q311" t="n">
        <v>0</v>
      </c>
      <c r="R311" s="2" t="inlineStr"/>
    </row>
    <row r="312" ht="15" customHeight="1">
      <c r="A312" t="inlineStr">
        <is>
          <t>A 20014-2025</t>
        </is>
      </c>
      <c r="B312" s="1" t="n">
        <v>45772.3078125</v>
      </c>
      <c r="C312" s="1" t="n">
        <v>45925</v>
      </c>
      <c r="D312" t="inlineStr">
        <is>
          <t>STOCKHOLMS LÄN</t>
        </is>
      </c>
      <c r="E312" t="inlineStr">
        <is>
          <t>NORRTÄLJE</t>
        </is>
      </c>
      <c r="G312" t="n">
        <v>4.4</v>
      </c>
      <c r="H312" t="n">
        <v>0</v>
      </c>
      <c r="I312" t="n">
        <v>0</v>
      </c>
      <c r="J312" t="n">
        <v>0</v>
      </c>
      <c r="K312" t="n">
        <v>0</v>
      </c>
      <c r="L312" t="n">
        <v>0</v>
      </c>
      <c r="M312" t="n">
        <v>0</v>
      </c>
      <c r="N312" t="n">
        <v>0</v>
      </c>
      <c r="O312" t="n">
        <v>0</v>
      </c>
      <c r="P312" t="n">
        <v>0</v>
      </c>
      <c r="Q312" t="n">
        <v>0</v>
      </c>
      <c r="R312" s="2" t="inlineStr"/>
    </row>
    <row r="313" ht="15" customHeight="1">
      <c r="A313" t="inlineStr">
        <is>
          <t>A 5389-2025</t>
        </is>
      </c>
      <c r="B313" s="1" t="n">
        <v>45692</v>
      </c>
      <c r="C313" s="1" t="n">
        <v>45925</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56631-2024</t>
        </is>
      </c>
      <c r="B314" s="1" t="n">
        <v>45625</v>
      </c>
      <c r="C314" s="1" t="n">
        <v>45925</v>
      </c>
      <c r="D314" t="inlineStr">
        <is>
          <t>STOCKHOLMS LÄN</t>
        </is>
      </c>
      <c r="E314" t="inlineStr">
        <is>
          <t>NORRTÄLJE</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48587-2023</t>
        </is>
      </c>
      <c r="B315" s="1" t="n">
        <v>45208</v>
      </c>
      <c r="C315" s="1" t="n">
        <v>45925</v>
      </c>
      <c r="D315" t="inlineStr">
        <is>
          <t>STOCKHOLMS LÄN</t>
        </is>
      </c>
      <c r="E315" t="inlineStr">
        <is>
          <t>NORRTÄLJE</t>
        </is>
      </c>
      <c r="G315" t="n">
        <v>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45925</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37147-2023</t>
        </is>
      </c>
      <c r="B317" s="1" t="n">
        <v>45155</v>
      </c>
      <c r="C317" s="1" t="n">
        <v>45925</v>
      </c>
      <c r="D317" t="inlineStr">
        <is>
          <t>STOCKHOLMS LÄN</t>
        </is>
      </c>
      <c r="E317" t="inlineStr">
        <is>
          <t>NORRTÄLJE</t>
        </is>
      </c>
      <c r="G317" t="n">
        <v>8</v>
      </c>
      <c r="H317" t="n">
        <v>0</v>
      </c>
      <c r="I317" t="n">
        <v>0</v>
      </c>
      <c r="J317" t="n">
        <v>0</v>
      </c>
      <c r="K317" t="n">
        <v>0</v>
      </c>
      <c r="L317" t="n">
        <v>0</v>
      </c>
      <c r="M317" t="n">
        <v>0</v>
      </c>
      <c r="N317" t="n">
        <v>0</v>
      </c>
      <c r="O317" t="n">
        <v>0</v>
      </c>
      <c r="P317" t="n">
        <v>0</v>
      </c>
      <c r="Q317" t="n">
        <v>0</v>
      </c>
      <c r="R317" s="2" t="inlineStr"/>
    </row>
    <row r="318" ht="15" customHeight="1">
      <c r="A318" t="inlineStr">
        <is>
          <t>A 59499-2023</t>
        </is>
      </c>
      <c r="B318" s="1" t="n">
        <v>45254</v>
      </c>
      <c r="C318" s="1" t="n">
        <v>45925</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60654-2023</t>
        </is>
      </c>
      <c r="B319" s="1" t="n">
        <v>45260.43225694444</v>
      </c>
      <c r="C319" s="1" t="n">
        <v>45925</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48716-2023</t>
        </is>
      </c>
      <c r="B320" s="1" t="n">
        <v>45208.69671296296</v>
      </c>
      <c r="C320" s="1" t="n">
        <v>45925</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60656-2023</t>
        </is>
      </c>
      <c r="B321" s="1" t="n">
        <v>45260.4333449074</v>
      </c>
      <c r="C321" s="1" t="n">
        <v>45925</v>
      </c>
      <c r="D321" t="inlineStr">
        <is>
          <t>STOCKHOLMS LÄN</t>
        </is>
      </c>
      <c r="E321" t="inlineStr">
        <is>
          <t>NORRTÄLJE</t>
        </is>
      </c>
      <c r="G321" t="n">
        <v>4.8</v>
      </c>
      <c r="H321" t="n">
        <v>0</v>
      </c>
      <c r="I321" t="n">
        <v>0</v>
      </c>
      <c r="J321" t="n">
        <v>0</v>
      </c>
      <c r="K321" t="n">
        <v>0</v>
      </c>
      <c r="L321" t="n">
        <v>0</v>
      </c>
      <c r="M321" t="n">
        <v>0</v>
      </c>
      <c r="N321" t="n">
        <v>0</v>
      </c>
      <c r="O321" t="n">
        <v>0</v>
      </c>
      <c r="P321" t="n">
        <v>0</v>
      </c>
      <c r="Q321" t="n">
        <v>0</v>
      </c>
      <c r="R321" s="2" t="inlineStr"/>
    </row>
    <row r="322" ht="15" customHeight="1">
      <c r="A322" t="inlineStr">
        <is>
          <t>A 55369-2023</t>
        </is>
      </c>
      <c r="B322" s="1" t="n">
        <v>45238</v>
      </c>
      <c r="C322" s="1" t="n">
        <v>45925</v>
      </c>
      <c r="D322" t="inlineStr">
        <is>
          <t>STOCKHOLMS LÄN</t>
        </is>
      </c>
      <c r="E322" t="inlineStr">
        <is>
          <t>NORRTÄLJE</t>
        </is>
      </c>
      <c r="G322" t="n">
        <v>0.4</v>
      </c>
      <c r="H322" t="n">
        <v>0</v>
      </c>
      <c r="I322" t="n">
        <v>0</v>
      </c>
      <c r="J322" t="n">
        <v>0</v>
      </c>
      <c r="K322" t="n">
        <v>0</v>
      </c>
      <c r="L322" t="n">
        <v>0</v>
      </c>
      <c r="M322" t="n">
        <v>0</v>
      </c>
      <c r="N322" t="n">
        <v>0</v>
      </c>
      <c r="O322" t="n">
        <v>0</v>
      </c>
      <c r="P322" t="n">
        <v>0</v>
      </c>
      <c r="Q322" t="n">
        <v>0</v>
      </c>
      <c r="R322" s="2" t="inlineStr"/>
    </row>
    <row r="323" ht="15" customHeight="1">
      <c r="A323" t="inlineStr">
        <is>
          <t>A 20121-2022</t>
        </is>
      </c>
      <c r="B323" s="1" t="n">
        <v>44698</v>
      </c>
      <c r="C323" s="1" t="n">
        <v>45925</v>
      </c>
      <c r="D323" t="inlineStr">
        <is>
          <t>STOCKHOLMS LÄN</t>
        </is>
      </c>
      <c r="E323" t="inlineStr">
        <is>
          <t>NORRTÄLJE</t>
        </is>
      </c>
      <c r="G323" t="n">
        <v>4.2</v>
      </c>
      <c r="H323" t="n">
        <v>0</v>
      </c>
      <c r="I323" t="n">
        <v>0</v>
      </c>
      <c r="J323" t="n">
        <v>0</v>
      </c>
      <c r="K323" t="n">
        <v>0</v>
      </c>
      <c r="L323" t="n">
        <v>0</v>
      </c>
      <c r="M323" t="n">
        <v>0</v>
      </c>
      <c r="N323" t="n">
        <v>0</v>
      </c>
      <c r="O323" t="n">
        <v>0</v>
      </c>
      <c r="P323" t="n">
        <v>0</v>
      </c>
      <c r="Q323" t="n">
        <v>0</v>
      </c>
      <c r="R323" s="2" t="inlineStr"/>
    </row>
    <row r="324" ht="15" customHeight="1">
      <c r="A324" t="inlineStr">
        <is>
          <t>A 22697-2022</t>
        </is>
      </c>
      <c r="B324" s="1" t="n">
        <v>44714.56040509259</v>
      </c>
      <c r="C324" s="1" t="n">
        <v>45925</v>
      </c>
      <c r="D324" t="inlineStr">
        <is>
          <t>STOCKHOLMS LÄN</t>
        </is>
      </c>
      <c r="E324" t="inlineStr">
        <is>
          <t>NORRTÄLJE</t>
        </is>
      </c>
      <c r="G324" t="n">
        <v>5.6</v>
      </c>
      <c r="H324" t="n">
        <v>0</v>
      </c>
      <c r="I324" t="n">
        <v>0</v>
      </c>
      <c r="J324" t="n">
        <v>0</v>
      </c>
      <c r="K324" t="n">
        <v>0</v>
      </c>
      <c r="L324" t="n">
        <v>0</v>
      </c>
      <c r="M324" t="n">
        <v>0</v>
      </c>
      <c r="N324" t="n">
        <v>0</v>
      </c>
      <c r="O324" t="n">
        <v>0</v>
      </c>
      <c r="P324" t="n">
        <v>0</v>
      </c>
      <c r="Q324" t="n">
        <v>0</v>
      </c>
      <c r="R324" s="2" t="inlineStr"/>
    </row>
    <row r="325" ht="15" customHeight="1">
      <c r="A325" t="inlineStr">
        <is>
          <t>A 26407-2024</t>
        </is>
      </c>
      <c r="B325" s="1" t="n">
        <v>45469</v>
      </c>
      <c r="C325" s="1" t="n">
        <v>45925</v>
      </c>
      <c r="D325" t="inlineStr">
        <is>
          <t>STOCKHOLMS LÄN</t>
        </is>
      </c>
      <c r="E325" t="inlineStr">
        <is>
          <t>NORRTÄLJE</t>
        </is>
      </c>
      <c r="G325" t="n">
        <v>3.5</v>
      </c>
      <c r="H325" t="n">
        <v>0</v>
      </c>
      <c r="I325" t="n">
        <v>0</v>
      </c>
      <c r="J325" t="n">
        <v>0</v>
      </c>
      <c r="K325" t="n">
        <v>0</v>
      </c>
      <c r="L325" t="n">
        <v>0</v>
      </c>
      <c r="M325" t="n">
        <v>0</v>
      </c>
      <c r="N325" t="n">
        <v>0</v>
      </c>
      <c r="O325" t="n">
        <v>0</v>
      </c>
      <c r="P325" t="n">
        <v>0</v>
      </c>
      <c r="Q325" t="n">
        <v>0</v>
      </c>
      <c r="R325" s="2" t="inlineStr"/>
    </row>
    <row r="326" ht="15" customHeight="1">
      <c r="A326" t="inlineStr">
        <is>
          <t>A 58888-2020</t>
        </is>
      </c>
      <c r="B326" s="1" t="n">
        <v>44146</v>
      </c>
      <c r="C326" s="1" t="n">
        <v>45925</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42955-2022</t>
        </is>
      </c>
      <c r="B327" s="1" t="n">
        <v>44833.40876157407</v>
      </c>
      <c r="C327" s="1" t="n">
        <v>45925</v>
      </c>
      <c r="D327" t="inlineStr">
        <is>
          <t>STOCKHOLMS LÄN</t>
        </is>
      </c>
      <c r="E327" t="inlineStr">
        <is>
          <t>NORRTÄLJE</t>
        </is>
      </c>
      <c r="G327" t="n">
        <v>13.1</v>
      </c>
      <c r="H327" t="n">
        <v>0</v>
      </c>
      <c r="I327" t="n">
        <v>0</v>
      </c>
      <c r="J327" t="n">
        <v>0</v>
      </c>
      <c r="K327" t="n">
        <v>0</v>
      </c>
      <c r="L327" t="n">
        <v>0</v>
      </c>
      <c r="M327" t="n">
        <v>0</v>
      </c>
      <c r="N327" t="n">
        <v>0</v>
      </c>
      <c r="O327" t="n">
        <v>0</v>
      </c>
      <c r="P327" t="n">
        <v>0</v>
      </c>
      <c r="Q327" t="n">
        <v>0</v>
      </c>
      <c r="R327" s="2" t="inlineStr"/>
    </row>
    <row r="328" ht="15" customHeight="1">
      <c r="A328" t="inlineStr">
        <is>
          <t>A 10098-2022</t>
        </is>
      </c>
      <c r="B328" s="1" t="n">
        <v>44621</v>
      </c>
      <c r="C328" s="1" t="n">
        <v>45925</v>
      </c>
      <c r="D328" t="inlineStr">
        <is>
          <t>STOCKHOLMS LÄN</t>
        </is>
      </c>
      <c r="E328" t="inlineStr">
        <is>
          <t>NORRTÄLJE</t>
        </is>
      </c>
      <c r="G328" t="n">
        <v>2.2</v>
      </c>
      <c r="H328" t="n">
        <v>0</v>
      </c>
      <c r="I328" t="n">
        <v>0</v>
      </c>
      <c r="J328" t="n">
        <v>0</v>
      </c>
      <c r="K328" t="n">
        <v>0</v>
      </c>
      <c r="L328" t="n">
        <v>0</v>
      </c>
      <c r="M328" t="n">
        <v>0</v>
      </c>
      <c r="N328" t="n">
        <v>0</v>
      </c>
      <c r="O328" t="n">
        <v>0</v>
      </c>
      <c r="P328" t="n">
        <v>0</v>
      </c>
      <c r="Q328" t="n">
        <v>0</v>
      </c>
      <c r="R328" s="2" t="inlineStr"/>
    </row>
    <row r="329" ht="15" customHeight="1">
      <c r="A329" t="inlineStr">
        <is>
          <t>A 40097-2025</t>
        </is>
      </c>
      <c r="B329" s="1" t="n">
        <v>45894.48322916667</v>
      </c>
      <c r="C329" s="1" t="n">
        <v>45925</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40033-2025</t>
        </is>
      </c>
      <c r="B330" s="1" t="n">
        <v>45893</v>
      </c>
      <c r="C330" s="1" t="n">
        <v>45925</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49700-2023</t>
        </is>
      </c>
      <c r="B331" s="1" t="n">
        <v>45212</v>
      </c>
      <c r="C331" s="1" t="n">
        <v>45925</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20136-2025</t>
        </is>
      </c>
      <c r="B332" s="1" t="n">
        <v>45772.51127314815</v>
      </c>
      <c r="C332" s="1" t="n">
        <v>45925</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40217-2025</t>
        </is>
      </c>
      <c r="B333" s="1" t="n">
        <v>45894.68864583333</v>
      </c>
      <c r="C333" s="1" t="n">
        <v>45925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15978-2024</t>
        </is>
      </c>
      <c r="B334" s="1" t="n">
        <v>45405.57927083333</v>
      </c>
      <c r="C334" s="1" t="n">
        <v>45925</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40032-2025</t>
        </is>
      </c>
      <c r="B335" s="1" t="n">
        <v>45893</v>
      </c>
      <c r="C335" s="1" t="n">
        <v>45925</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20473-2021</t>
        </is>
      </c>
      <c r="B336" s="1" t="n">
        <v>44315</v>
      </c>
      <c r="C336" s="1" t="n">
        <v>45925</v>
      </c>
      <c r="D336" t="inlineStr">
        <is>
          <t>STOCKHOLMS LÄN</t>
        </is>
      </c>
      <c r="E336" t="inlineStr">
        <is>
          <t>NORRTÄLJE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59875-2024</t>
        </is>
      </c>
      <c r="B337" s="1" t="n">
        <v>45640.58716435185</v>
      </c>
      <c r="C337" s="1" t="n">
        <v>45925</v>
      </c>
      <c r="D337" t="inlineStr">
        <is>
          <t>STOCKHOLMS LÄN</t>
        </is>
      </c>
      <c r="E337" t="inlineStr">
        <is>
          <t>NORRTÄLJE</t>
        </is>
      </c>
      <c r="G337" t="n">
        <v>0.3</v>
      </c>
      <c r="H337" t="n">
        <v>0</v>
      </c>
      <c r="I337" t="n">
        <v>0</v>
      </c>
      <c r="J337" t="n">
        <v>0</v>
      </c>
      <c r="K337" t="n">
        <v>0</v>
      </c>
      <c r="L337" t="n">
        <v>0</v>
      </c>
      <c r="M337" t="n">
        <v>0</v>
      </c>
      <c r="N337" t="n">
        <v>0</v>
      </c>
      <c r="O337" t="n">
        <v>0</v>
      </c>
      <c r="P337" t="n">
        <v>0</v>
      </c>
      <c r="Q337" t="n">
        <v>0</v>
      </c>
      <c r="R337" s="2" t="inlineStr"/>
    </row>
    <row r="338" ht="15" customHeight="1">
      <c r="A338" t="inlineStr">
        <is>
          <t>A 7603-2025</t>
        </is>
      </c>
      <c r="B338" s="1" t="n">
        <v>45705.66126157407</v>
      </c>
      <c r="C338" s="1" t="n">
        <v>45925</v>
      </c>
      <c r="D338" t="inlineStr">
        <is>
          <t>STOCKHOLMS LÄN</t>
        </is>
      </c>
      <c r="E338" t="inlineStr">
        <is>
          <t>NORRTÄLJE</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40172-2025</t>
        </is>
      </c>
      <c r="B339" s="1" t="n">
        <v>45894.6353125</v>
      </c>
      <c r="C339" s="1" t="n">
        <v>45925</v>
      </c>
      <c r="D339" t="inlineStr">
        <is>
          <t>STOCKHOLMS LÄN</t>
        </is>
      </c>
      <c r="E339" t="inlineStr">
        <is>
          <t>NORRTÄLJE</t>
        </is>
      </c>
      <c r="G339" t="n">
        <v>6</v>
      </c>
      <c r="H339" t="n">
        <v>0</v>
      </c>
      <c r="I339" t="n">
        <v>0</v>
      </c>
      <c r="J339" t="n">
        <v>0</v>
      </c>
      <c r="K339" t="n">
        <v>0</v>
      </c>
      <c r="L339" t="n">
        <v>0</v>
      </c>
      <c r="M339" t="n">
        <v>0</v>
      </c>
      <c r="N339" t="n">
        <v>0</v>
      </c>
      <c r="O339" t="n">
        <v>0</v>
      </c>
      <c r="P339" t="n">
        <v>0</v>
      </c>
      <c r="Q339" t="n">
        <v>0</v>
      </c>
      <c r="R339" s="2" t="inlineStr"/>
    </row>
    <row r="340" ht="15" customHeight="1">
      <c r="A340" t="inlineStr">
        <is>
          <t>A 45220-2024</t>
        </is>
      </c>
      <c r="B340" s="1" t="n">
        <v>45575</v>
      </c>
      <c r="C340" s="1" t="n">
        <v>45925</v>
      </c>
      <c r="D340" t="inlineStr">
        <is>
          <t>STOCKHOLMS LÄN</t>
        </is>
      </c>
      <c r="E340" t="inlineStr">
        <is>
          <t>NORRTÄLJE</t>
        </is>
      </c>
      <c r="G340" t="n">
        <v>4.3</v>
      </c>
      <c r="H340" t="n">
        <v>0</v>
      </c>
      <c r="I340" t="n">
        <v>0</v>
      </c>
      <c r="J340" t="n">
        <v>0</v>
      </c>
      <c r="K340" t="n">
        <v>0</v>
      </c>
      <c r="L340" t="n">
        <v>0</v>
      </c>
      <c r="M340" t="n">
        <v>0</v>
      </c>
      <c r="N340" t="n">
        <v>0</v>
      </c>
      <c r="O340" t="n">
        <v>0</v>
      </c>
      <c r="P340" t="n">
        <v>0</v>
      </c>
      <c r="Q340" t="n">
        <v>0</v>
      </c>
      <c r="R340" s="2" t="inlineStr"/>
    </row>
    <row r="341" ht="15" customHeight="1">
      <c r="A341" t="inlineStr">
        <is>
          <t>A 5158-2024</t>
        </is>
      </c>
      <c r="B341" s="1" t="n">
        <v>45330.50098379629</v>
      </c>
      <c r="C341" s="1" t="n">
        <v>45925</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48180-2023</t>
        </is>
      </c>
      <c r="B342" s="1" t="n">
        <v>45205</v>
      </c>
      <c r="C342" s="1" t="n">
        <v>45925</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57353-2024</t>
        </is>
      </c>
      <c r="B343" s="1" t="n">
        <v>45629.65143518519</v>
      </c>
      <c r="C343" s="1" t="n">
        <v>45925</v>
      </c>
      <c r="D343" t="inlineStr">
        <is>
          <t>STOCKHOLMS LÄN</t>
        </is>
      </c>
      <c r="E343" t="inlineStr">
        <is>
          <t>NORRTÄLJE</t>
        </is>
      </c>
      <c r="F343" t="inlineStr">
        <is>
          <t>Holmen skog AB</t>
        </is>
      </c>
      <c r="G343" t="n">
        <v>0.9</v>
      </c>
      <c r="H343" t="n">
        <v>0</v>
      </c>
      <c r="I343" t="n">
        <v>0</v>
      </c>
      <c r="J343" t="n">
        <v>0</v>
      </c>
      <c r="K343" t="n">
        <v>0</v>
      </c>
      <c r="L343" t="n">
        <v>0</v>
      </c>
      <c r="M343" t="n">
        <v>0</v>
      </c>
      <c r="N343" t="n">
        <v>0</v>
      </c>
      <c r="O343" t="n">
        <v>0</v>
      </c>
      <c r="P343" t="n">
        <v>0</v>
      </c>
      <c r="Q343" t="n">
        <v>0</v>
      </c>
      <c r="R343" s="2" t="inlineStr"/>
    </row>
    <row r="344" ht="15" customHeight="1">
      <c r="A344" t="inlineStr">
        <is>
          <t>A 4658-2024</t>
        </is>
      </c>
      <c r="B344" s="1" t="n">
        <v>45328.46336805556</v>
      </c>
      <c r="C344" s="1" t="n">
        <v>45925</v>
      </c>
      <c r="D344" t="inlineStr">
        <is>
          <t>STOCKHOLMS LÄN</t>
        </is>
      </c>
      <c r="E344" t="inlineStr">
        <is>
          <t>NORRTÄLJE</t>
        </is>
      </c>
      <c r="G344" t="n">
        <v>2.8</v>
      </c>
      <c r="H344" t="n">
        <v>0</v>
      </c>
      <c r="I344" t="n">
        <v>0</v>
      </c>
      <c r="J344" t="n">
        <v>0</v>
      </c>
      <c r="K344" t="n">
        <v>0</v>
      </c>
      <c r="L344" t="n">
        <v>0</v>
      </c>
      <c r="M344" t="n">
        <v>0</v>
      </c>
      <c r="N344" t="n">
        <v>0</v>
      </c>
      <c r="O344" t="n">
        <v>0</v>
      </c>
      <c r="P344" t="n">
        <v>0</v>
      </c>
      <c r="Q344" t="n">
        <v>0</v>
      </c>
      <c r="R344" s="2" t="inlineStr"/>
    </row>
    <row r="345" ht="15" customHeight="1">
      <c r="A345" t="inlineStr">
        <is>
          <t>A 51046-2023</t>
        </is>
      </c>
      <c r="B345" s="1" t="n">
        <v>45218</v>
      </c>
      <c r="C345" s="1" t="n">
        <v>45925</v>
      </c>
      <c r="D345" t="inlineStr">
        <is>
          <t>STOCKHOLMS LÄN</t>
        </is>
      </c>
      <c r="E345" t="inlineStr">
        <is>
          <t>NORRTÄLJE</t>
        </is>
      </c>
      <c r="G345" t="n">
        <v>2.5</v>
      </c>
      <c r="H345" t="n">
        <v>0</v>
      </c>
      <c r="I345" t="n">
        <v>0</v>
      </c>
      <c r="J345" t="n">
        <v>0</v>
      </c>
      <c r="K345" t="n">
        <v>0</v>
      </c>
      <c r="L345" t="n">
        <v>0</v>
      </c>
      <c r="M345" t="n">
        <v>0</v>
      </c>
      <c r="N345" t="n">
        <v>0</v>
      </c>
      <c r="O345" t="n">
        <v>0</v>
      </c>
      <c r="P345" t="n">
        <v>0</v>
      </c>
      <c r="Q345" t="n">
        <v>0</v>
      </c>
      <c r="R345" s="2" t="inlineStr"/>
    </row>
    <row r="346" ht="15" customHeight="1">
      <c r="A346" t="inlineStr">
        <is>
          <t>A 55696-2022</t>
        </is>
      </c>
      <c r="B346" s="1" t="n">
        <v>44888</v>
      </c>
      <c r="C346" s="1" t="n">
        <v>45925</v>
      </c>
      <c r="D346" t="inlineStr">
        <is>
          <t>STOCKHOLMS LÄN</t>
        </is>
      </c>
      <c r="E346" t="inlineStr">
        <is>
          <t>NORRTÄLJE</t>
        </is>
      </c>
      <c r="G346" t="n">
        <v>2.2</v>
      </c>
      <c r="H346" t="n">
        <v>0</v>
      </c>
      <c r="I346" t="n">
        <v>0</v>
      </c>
      <c r="J346" t="n">
        <v>0</v>
      </c>
      <c r="K346" t="n">
        <v>0</v>
      </c>
      <c r="L346" t="n">
        <v>0</v>
      </c>
      <c r="M346" t="n">
        <v>0</v>
      </c>
      <c r="N346" t="n">
        <v>0</v>
      </c>
      <c r="O346" t="n">
        <v>0</v>
      </c>
      <c r="P346" t="n">
        <v>0</v>
      </c>
      <c r="Q346" t="n">
        <v>0</v>
      </c>
      <c r="R346" s="2" t="inlineStr"/>
    </row>
    <row r="347" ht="15" customHeight="1">
      <c r="A347" t="inlineStr">
        <is>
          <t>A 50907-2022</t>
        </is>
      </c>
      <c r="B347" s="1" t="n">
        <v>44867.62090277778</v>
      </c>
      <c r="C347" s="1" t="n">
        <v>45925</v>
      </c>
      <c r="D347" t="inlineStr">
        <is>
          <t>STOCKHOLMS LÄN</t>
        </is>
      </c>
      <c r="E347" t="inlineStr">
        <is>
          <t>NORRTÄLJE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48145-2024</t>
        </is>
      </c>
      <c r="B348" s="1" t="n">
        <v>45589.6756712963</v>
      </c>
      <c r="C348" s="1" t="n">
        <v>45925</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6919-2025</t>
        </is>
      </c>
      <c r="B349" s="1" t="n">
        <v>45701.44372685185</v>
      </c>
      <c r="C349" s="1" t="n">
        <v>45925</v>
      </c>
      <c r="D349" t="inlineStr">
        <is>
          <t>STOCKHOLMS LÄN</t>
        </is>
      </c>
      <c r="E349" t="inlineStr">
        <is>
          <t>NORRTÄLJE</t>
        </is>
      </c>
      <c r="G349" t="n">
        <v>3.5</v>
      </c>
      <c r="H349" t="n">
        <v>0</v>
      </c>
      <c r="I349" t="n">
        <v>0</v>
      </c>
      <c r="J349" t="n">
        <v>0</v>
      </c>
      <c r="K349" t="n">
        <v>0</v>
      </c>
      <c r="L349" t="n">
        <v>0</v>
      </c>
      <c r="M349" t="n">
        <v>0</v>
      </c>
      <c r="N349" t="n">
        <v>0</v>
      </c>
      <c r="O349" t="n">
        <v>0</v>
      </c>
      <c r="P349" t="n">
        <v>0</v>
      </c>
      <c r="Q349" t="n">
        <v>0</v>
      </c>
      <c r="R349" s="2" t="inlineStr"/>
    </row>
    <row r="350" ht="15" customHeight="1">
      <c r="A350" t="inlineStr">
        <is>
          <t>A 35110-2025</t>
        </is>
      </c>
      <c r="B350" s="1" t="n">
        <v>45852.58030092593</v>
      </c>
      <c r="C350" s="1" t="n">
        <v>45925</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53362-2023</t>
        </is>
      </c>
      <c r="B351" s="1" t="n">
        <v>45223</v>
      </c>
      <c r="C351" s="1" t="n">
        <v>45925</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8736-2024</t>
        </is>
      </c>
      <c r="B352" s="1" t="n">
        <v>45356.4722800926</v>
      </c>
      <c r="C352" s="1" t="n">
        <v>45925</v>
      </c>
      <c r="D352" t="inlineStr">
        <is>
          <t>STOCKHOLMS LÄN</t>
        </is>
      </c>
      <c r="E352" t="inlineStr">
        <is>
          <t>NORRTÄLJE</t>
        </is>
      </c>
      <c r="G352" t="n">
        <v>8.9</v>
      </c>
      <c r="H352" t="n">
        <v>0</v>
      </c>
      <c r="I352" t="n">
        <v>0</v>
      </c>
      <c r="J352" t="n">
        <v>0</v>
      </c>
      <c r="K352" t="n">
        <v>0</v>
      </c>
      <c r="L352" t="n">
        <v>0</v>
      </c>
      <c r="M352" t="n">
        <v>0</v>
      </c>
      <c r="N352" t="n">
        <v>0</v>
      </c>
      <c r="O352" t="n">
        <v>0</v>
      </c>
      <c r="P352" t="n">
        <v>0</v>
      </c>
      <c r="Q352" t="n">
        <v>0</v>
      </c>
      <c r="R352" s="2" t="inlineStr"/>
    </row>
    <row r="353" ht="15" customHeight="1">
      <c r="A353" t="inlineStr">
        <is>
          <t>A 15552-2021</t>
        </is>
      </c>
      <c r="B353" s="1" t="n">
        <v>44285</v>
      </c>
      <c r="C353" s="1" t="n">
        <v>45925</v>
      </c>
      <c r="D353" t="inlineStr">
        <is>
          <t>STOCKHOLMS LÄN</t>
        </is>
      </c>
      <c r="E353" t="inlineStr">
        <is>
          <t>NORRTÄLJE</t>
        </is>
      </c>
      <c r="G353" t="n">
        <v>10</v>
      </c>
      <c r="H353" t="n">
        <v>0</v>
      </c>
      <c r="I353" t="n">
        <v>0</v>
      </c>
      <c r="J353" t="n">
        <v>0</v>
      </c>
      <c r="K353" t="n">
        <v>0</v>
      </c>
      <c r="L353" t="n">
        <v>0</v>
      </c>
      <c r="M353" t="n">
        <v>0</v>
      </c>
      <c r="N353" t="n">
        <v>0</v>
      </c>
      <c r="O353" t="n">
        <v>0</v>
      </c>
      <c r="P353" t="n">
        <v>0</v>
      </c>
      <c r="Q353" t="n">
        <v>0</v>
      </c>
      <c r="R353" s="2" t="inlineStr"/>
    </row>
    <row r="354" ht="15" customHeight="1">
      <c r="A354" t="inlineStr">
        <is>
          <t>A 10642-2025</t>
        </is>
      </c>
      <c r="B354" s="1" t="n">
        <v>45721.65858796296</v>
      </c>
      <c r="C354" s="1" t="n">
        <v>45925</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40228-2025</t>
        </is>
      </c>
      <c r="B355" s="1" t="n">
        <v>45894.70854166667</v>
      </c>
      <c r="C355" s="1" t="n">
        <v>45925</v>
      </c>
      <c r="D355" t="inlineStr">
        <is>
          <t>STOCKHOLMS LÄN</t>
        </is>
      </c>
      <c r="E355" t="inlineStr">
        <is>
          <t>NORRTÄLJE</t>
        </is>
      </c>
      <c r="G355" t="n">
        <v>2.1</v>
      </c>
      <c r="H355" t="n">
        <v>0</v>
      </c>
      <c r="I355" t="n">
        <v>0</v>
      </c>
      <c r="J355" t="n">
        <v>0</v>
      </c>
      <c r="K355" t="n">
        <v>0</v>
      </c>
      <c r="L355" t="n">
        <v>0</v>
      </c>
      <c r="M355" t="n">
        <v>0</v>
      </c>
      <c r="N355" t="n">
        <v>0</v>
      </c>
      <c r="O355" t="n">
        <v>0</v>
      </c>
      <c r="P355" t="n">
        <v>0</v>
      </c>
      <c r="Q355" t="n">
        <v>0</v>
      </c>
      <c r="R355" s="2" t="inlineStr"/>
    </row>
    <row r="356" ht="15" customHeight="1">
      <c r="A356" t="inlineStr">
        <is>
          <t>A 40230-2025</t>
        </is>
      </c>
      <c r="B356" s="1" t="n">
        <v>45894.71101851852</v>
      </c>
      <c r="C356" s="1" t="n">
        <v>45925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24024-2024</t>
        </is>
      </c>
      <c r="B357" s="1" t="n">
        <v>45456</v>
      </c>
      <c r="C357" s="1" t="n">
        <v>45925</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40292-2025</t>
        </is>
      </c>
      <c r="B358" s="1" t="n">
        <v>45895.3867824074</v>
      </c>
      <c r="C358" s="1" t="n">
        <v>45925</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8433-2022</t>
        </is>
      </c>
      <c r="B359" s="1" t="n">
        <v>44611</v>
      </c>
      <c r="C359" s="1" t="n">
        <v>45925</v>
      </c>
      <c r="D359" t="inlineStr">
        <is>
          <t>STOCKHOLMS LÄN</t>
        </is>
      </c>
      <c r="E359" t="inlineStr">
        <is>
          <t>NORRTÄLJE</t>
        </is>
      </c>
      <c r="G359" t="n">
        <v>0.9</v>
      </c>
      <c r="H359" t="n">
        <v>0</v>
      </c>
      <c r="I359" t="n">
        <v>0</v>
      </c>
      <c r="J359" t="n">
        <v>0</v>
      </c>
      <c r="K359" t="n">
        <v>0</v>
      </c>
      <c r="L359" t="n">
        <v>0</v>
      </c>
      <c r="M359" t="n">
        <v>0</v>
      </c>
      <c r="N359" t="n">
        <v>0</v>
      </c>
      <c r="O359" t="n">
        <v>0</v>
      </c>
      <c r="P359" t="n">
        <v>0</v>
      </c>
      <c r="Q359" t="n">
        <v>0</v>
      </c>
      <c r="R359" s="2" t="inlineStr"/>
    </row>
    <row r="360" ht="15" customHeight="1">
      <c r="A360" t="inlineStr">
        <is>
          <t>A 10215-2023</t>
        </is>
      </c>
      <c r="B360" s="1" t="n">
        <v>44986.5887962963</v>
      </c>
      <c r="C360" s="1" t="n">
        <v>45925</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45255-2022</t>
        </is>
      </c>
      <c r="B361" s="1" t="n">
        <v>44840</v>
      </c>
      <c r="C361" s="1" t="n">
        <v>45925</v>
      </c>
      <c r="D361" t="inlineStr">
        <is>
          <t>STOCKHOLMS LÄN</t>
        </is>
      </c>
      <c r="E361" t="inlineStr">
        <is>
          <t>NORRTÄLJE</t>
        </is>
      </c>
      <c r="G361" t="n">
        <v>4.1</v>
      </c>
      <c r="H361" t="n">
        <v>0</v>
      </c>
      <c r="I361" t="n">
        <v>0</v>
      </c>
      <c r="J361" t="n">
        <v>0</v>
      </c>
      <c r="K361" t="n">
        <v>0</v>
      </c>
      <c r="L361" t="n">
        <v>0</v>
      </c>
      <c r="M361" t="n">
        <v>0</v>
      </c>
      <c r="N361" t="n">
        <v>0</v>
      </c>
      <c r="O361" t="n">
        <v>0</v>
      </c>
      <c r="P361" t="n">
        <v>0</v>
      </c>
      <c r="Q361" t="n">
        <v>0</v>
      </c>
      <c r="R361" s="2" t="inlineStr"/>
    </row>
    <row r="362" ht="15" customHeight="1">
      <c r="A362" t="inlineStr">
        <is>
          <t>A 19915-2024</t>
        </is>
      </c>
      <c r="B362" s="1" t="n">
        <v>45433.58431712963</v>
      </c>
      <c r="C362" s="1" t="n">
        <v>45925</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19058-2023</t>
        </is>
      </c>
      <c r="B363" s="1" t="n">
        <v>45048</v>
      </c>
      <c r="C363" s="1" t="n">
        <v>45925</v>
      </c>
      <c r="D363" t="inlineStr">
        <is>
          <t>STOCKHOLMS LÄN</t>
        </is>
      </c>
      <c r="E363" t="inlineStr">
        <is>
          <t>NORRTÄLJE</t>
        </is>
      </c>
      <c r="G363" t="n">
        <v>3.7</v>
      </c>
      <c r="H363" t="n">
        <v>0</v>
      </c>
      <c r="I363" t="n">
        <v>0</v>
      </c>
      <c r="J363" t="n">
        <v>0</v>
      </c>
      <c r="K363" t="n">
        <v>0</v>
      </c>
      <c r="L363" t="n">
        <v>0</v>
      </c>
      <c r="M363" t="n">
        <v>0</v>
      </c>
      <c r="N363" t="n">
        <v>0</v>
      </c>
      <c r="O363" t="n">
        <v>0</v>
      </c>
      <c r="P363" t="n">
        <v>0</v>
      </c>
      <c r="Q363" t="n">
        <v>0</v>
      </c>
      <c r="R363" s="2" t="inlineStr"/>
    </row>
    <row r="364" ht="15" customHeight="1">
      <c r="A364" t="inlineStr">
        <is>
          <t>A 12629-2024</t>
        </is>
      </c>
      <c r="B364" s="1" t="n">
        <v>45383</v>
      </c>
      <c r="C364" s="1" t="n">
        <v>45925</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60321-2020</t>
        </is>
      </c>
      <c r="B365" s="1" t="n">
        <v>44152</v>
      </c>
      <c r="C365" s="1" t="n">
        <v>45925</v>
      </c>
      <c r="D365" t="inlineStr">
        <is>
          <t>STOCKHOLMS LÄN</t>
        </is>
      </c>
      <c r="E365" t="inlineStr">
        <is>
          <t>NORRTÄLJE</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20428-2024</t>
        </is>
      </c>
      <c r="B366" s="1" t="n">
        <v>45435</v>
      </c>
      <c r="C366" s="1" t="n">
        <v>45925</v>
      </c>
      <c r="D366" t="inlineStr">
        <is>
          <t>STOCKHOLMS LÄN</t>
        </is>
      </c>
      <c r="E366" t="inlineStr">
        <is>
          <t>NORRTÄLJE</t>
        </is>
      </c>
      <c r="G366" t="n">
        <v>3.7</v>
      </c>
      <c r="H366" t="n">
        <v>0</v>
      </c>
      <c r="I366" t="n">
        <v>0</v>
      </c>
      <c r="J366" t="n">
        <v>0</v>
      </c>
      <c r="K366" t="n">
        <v>0</v>
      </c>
      <c r="L366" t="n">
        <v>0</v>
      </c>
      <c r="M366" t="n">
        <v>0</v>
      </c>
      <c r="N366" t="n">
        <v>0</v>
      </c>
      <c r="O366" t="n">
        <v>0</v>
      </c>
      <c r="P366" t="n">
        <v>0</v>
      </c>
      <c r="Q366" t="n">
        <v>0</v>
      </c>
      <c r="R366" s="2" t="inlineStr"/>
    </row>
    <row r="367" ht="15" customHeight="1">
      <c r="A367" t="inlineStr">
        <is>
          <t>A 35256-2025</t>
        </is>
      </c>
      <c r="B367" s="1" t="n">
        <v>45853</v>
      </c>
      <c r="C367" s="1" t="n">
        <v>45925</v>
      </c>
      <c r="D367" t="inlineStr">
        <is>
          <t>STOCKHOLMS LÄN</t>
        </is>
      </c>
      <c r="E367" t="inlineStr">
        <is>
          <t>NORRTÄLJE</t>
        </is>
      </c>
      <c r="G367" t="n">
        <v>6.4</v>
      </c>
      <c r="H367" t="n">
        <v>0</v>
      </c>
      <c r="I367" t="n">
        <v>0</v>
      </c>
      <c r="J367" t="n">
        <v>0</v>
      </c>
      <c r="K367" t="n">
        <v>0</v>
      </c>
      <c r="L367" t="n">
        <v>0</v>
      </c>
      <c r="M367" t="n">
        <v>0</v>
      </c>
      <c r="N367" t="n">
        <v>0</v>
      </c>
      <c r="O367" t="n">
        <v>0</v>
      </c>
      <c r="P367" t="n">
        <v>0</v>
      </c>
      <c r="Q367" t="n">
        <v>0</v>
      </c>
      <c r="R367" s="2" t="inlineStr"/>
    </row>
    <row r="368" ht="15" customHeight="1">
      <c r="A368" t="inlineStr">
        <is>
          <t>A 40294-2025</t>
        </is>
      </c>
      <c r="B368" s="1" t="n">
        <v>45895.38778935185</v>
      </c>
      <c r="C368" s="1" t="n">
        <v>45925</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57037-2022</t>
        </is>
      </c>
      <c r="B369" s="1" t="n">
        <v>44895</v>
      </c>
      <c r="C369" s="1" t="n">
        <v>45925</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35532-2024</t>
        </is>
      </c>
      <c r="B370" s="1" t="n">
        <v>45531</v>
      </c>
      <c r="C370" s="1" t="n">
        <v>45925</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14762-2024</t>
        </is>
      </c>
      <c r="B371" s="1" t="n">
        <v>45397</v>
      </c>
      <c r="C371" s="1" t="n">
        <v>45925</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14127-2025</t>
        </is>
      </c>
      <c r="B372" s="1" t="n">
        <v>45740.47055555556</v>
      </c>
      <c r="C372" s="1" t="n">
        <v>45925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31559-2022</t>
        </is>
      </c>
      <c r="B373" s="1" t="n">
        <v>44775</v>
      </c>
      <c r="C373" s="1" t="n">
        <v>45925</v>
      </c>
      <c r="D373" t="inlineStr">
        <is>
          <t>STOCKHOLMS LÄN</t>
        </is>
      </c>
      <c r="E373" t="inlineStr">
        <is>
          <t>NORRTÄLJE</t>
        </is>
      </c>
      <c r="G373" t="n">
        <v>5.6</v>
      </c>
      <c r="H373" t="n">
        <v>0</v>
      </c>
      <c r="I373" t="n">
        <v>0</v>
      </c>
      <c r="J373" t="n">
        <v>0</v>
      </c>
      <c r="K373" t="n">
        <v>0</v>
      </c>
      <c r="L373" t="n">
        <v>0</v>
      </c>
      <c r="M373" t="n">
        <v>0</v>
      </c>
      <c r="N373" t="n">
        <v>0</v>
      </c>
      <c r="O373" t="n">
        <v>0</v>
      </c>
      <c r="P373" t="n">
        <v>0</v>
      </c>
      <c r="Q373" t="n">
        <v>0</v>
      </c>
      <c r="R373" s="2" t="inlineStr"/>
    </row>
    <row r="374" ht="15" customHeight="1">
      <c r="A374" t="inlineStr">
        <is>
          <t>A 35254-2025</t>
        </is>
      </c>
      <c r="B374" s="1" t="n">
        <v>45853</v>
      </c>
      <c r="C374" s="1" t="n">
        <v>45925</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52001-2023</t>
        </is>
      </c>
      <c r="B375" s="1" t="n">
        <v>45223</v>
      </c>
      <c r="C375" s="1" t="n">
        <v>45925</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40529-2025</t>
        </is>
      </c>
      <c r="B376" s="1" t="n">
        <v>45896.38466435186</v>
      </c>
      <c r="C376" s="1" t="n">
        <v>45925</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21291-2021</t>
        </is>
      </c>
      <c r="B377" s="1" t="n">
        <v>44319</v>
      </c>
      <c r="C377" s="1" t="n">
        <v>45925</v>
      </c>
      <c r="D377" t="inlineStr">
        <is>
          <t>STOCKHOLMS LÄN</t>
        </is>
      </c>
      <c r="E377" t="inlineStr">
        <is>
          <t>NORRTÄLJE</t>
        </is>
      </c>
      <c r="G377" t="n">
        <v>12.7</v>
      </c>
      <c r="H377" t="n">
        <v>0</v>
      </c>
      <c r="I377" t="n">
        <v>0</v>
      </c>
      <c r="J377" t="n">
        <v>0</v>
      </c>
      <c r="K377" t="n">
        <v>0</v>
      </c>
      <c r="L377" t="n">
        <v>0</v>
      </c>
      <c r="M377" t="n">
        <v>0</v>
      </c>
      <c r="N377" t="n">
        <v>0</v>
      </c>
      <c r="O377" t="n">
        <v>0</v>
      </c>
      <c r="P377" t="n">
        <v>0</v>
      </c>
      <c r="Q377" t="n">
        <v>0</v>
      </c>
      <c r="R377" s="2" t="inlineStr"/>
    </row>
    <row r="378" ht="15" customHeight="1">
      <c r="A378" t="inlineStr">
        <is>
          <t>A 23149-2024</t>
        </is>
      </c>
      <c r="B378" s="1" t="n">
        <v>45450.64208333333</v>
      </c>
      <c r="C378" s="1" t="n">
        <v>45925</v>
      </c>
      <c r="D378" t="inlineStr">
        <is>
          <t>STOCKHOLMS LÄN</t>
        </is>
      </c>
      <c r="E378" t="inlineStr">
        <is>
          <t>NORRTÄLJE</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23151-2024</t>
        </is>
      </c>
      <c r="B379" s="1" t="n">
        <v>45450</v>
      </c>
      <c r="C379" s="1" t="n">
        <v>45925</v>
      </c>
      <c r="D379" t="inlineStr">
        <is>
          <t>STOCKHOLMS LÄN</t>
        </is>
      </c>
      <c r="E379" t="inlineStr">
        <is>
          <t>NORRTÄLJE</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19118-2022</t>
        </is>
      </c>
      <c r="B380" s="1" t="n">
        <v>44691.5652662037</v>
      </c>
      <c r="C380" s="1" t="n">
        <v>45925</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16913-2025</t>
        </is>
      </c>
      <c r="B381" s="1" t="n">
        <v>45755.36583333334</v>
      </c>
      <c r="C381" s="1" t="n">
        <v>45925</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22421-2021</t>
        </is>
      </c>
      <c r="B382" s="1" t="n">
        <v>44326</v>
      </c>
      <c r="C382" s="1" t="n">
        <v>45925</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51978-2023</t>
        </is>
      </c>
      <c r="B383" s="1" t="n">
        <v>45223</v>
      </c>
      <c r="C383" s="1" t="n">
        <v>45925</v>
      </c>
      <c r="D383" t="inlineStr">
        <is>
          <t>STOCKHOLMS LÄN</t>
        </is>
      </c>
      <c r="E383" t="inlineStr">
        <is>
          <t>NORRTÄLJE</t>
        </is>
      </c>
      <c r="G383" t="n">
        <v>1.9</v>
      </c>
      <c r="H383" t="n">
        <v>0</v>
      </c>
      <c r="I383" t="n">
        <v>0</v>
      </c>
      <c r="J383" t="n">
        <v>0</v>
      </c>
      <c r="K383" t="n">
        <v>0</v>
      </c>
      <c r="L383" t="n">
        <v>0</v>
      </c>
      <c r="M383" t="n">
        <v>0</v>
      </c>
      <c r="N383" t="n">
        <v>0</v>
      </c>
      <c r="O383" t="n">
        <v>0</v>
      </c>
      <c r="P383" t="n">
        <v>0</v>
      </c>
      <c r="Q383" t="n">
        <v>0</v>
      </c>
      <c r="R383" s="2" t="inlineStr"/>
    </row>
    <row r="384" ht="15" customHeight="1">
      <c r="A384" t="inlineStr">
        <is>
          <t>A 13051-2021</t>
        </is>
      </c>
      <c r="B384" s="1" t="n">
        <v>44272</v>
      </c>
      <c r="C384" s="1" t="n">
        <v>45925</v>
      </c>
      <c r="D384" t="inlineStr">
        <is>
          <t>STOCKHOLMS LÄN</t>
        </is>
      </c>
      <c r="E384" t="inlineStr">
        <is>
          <t>NORRTÄLJE</t>
        </is>
      </c>
      <c r="G384" t="n">
        <v>9.1</v>
      </c>
      <c r="H384" t="n">
        <v>0</v>
      </c>
      <c r="I384" t="n">
        <v>0</v>
      </c>
      <c r="J384" t="n">
        <v>0</v>
      </c>
      <c r="K384" t="n">
        <v>0</v>
      </c>
      <c r="L384" t="n">
        <v>0</v>
      </c>
      <c r="M384" t="n">
        <v>0</v>
      </c>
      <c r="N384" t="n">
        <v>0</v>
      </c>
      <c r="O384" t="n">
        <v>0</v>
      </c>
      <c r="P384" t="n">
        <v>0</v>
      </c>
      <c r="Q384" t="n">
        <v>0</v>
      </c>
      <c r="R384" s="2" t="inlineStr"/>
    </row>
    <row r="385" ht="15" customHeight="1">
      <c r="A385" t="inlineStr">
        <is>
          <t>A 55755-2023</t>
        </is>
      </c>
      <c r="B385" s="1" t="n">
        <v>45239</v>
      </c>
      <c r="C385" s="1" t="n">
        <v>45925</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59893-2022</t>
        </is>
      </c>
      <c r="B386" s="1" t="n">
        <v>44908.77368055555</v>
      </c>
      <c r="C386" s="1" t="n">
        <v>45925</v>
      </c>
      <c r="D386" t="inlineStr">
        <is>
          <t>STOCKHOLMS LÄN</t>
        </is>
      </c>
      <c r="E386" t="inlineStr">
        <is>
          <t>NORRTÄLJE</t>
        </is>
      </c>
      <c r="G386" t="n">
        <v>3</v>
      </c>
      <c r="H386" t="n">
        <v>0</v>
      </c>
      <c r="I386" t="n">
        <v>0</v>
      </c>
      <c r="J386" t="n">
        <v>0</v>
      </c>
      <c r="K386" t="n">
        <v>0</v>
      </c>
      <c r="L386" t="n">
        <v>0</v>
      </c>
      <c r="M386" t="n">
        <v>0</v>
      </c>
      <c r="N386" t="n">
        <v>0</v>
      </c>
      <c r="O386" t="n">
        <v>0</v>
      </c>
      <c r="P386" t="n">
        <v>0</v>
      </c>
      <c r="Q386" t="n">
        <v>0</v>
      </c>
      <c r="R386" s="2" t="inlineStr"/>
    </row>
    <row r="387" ht="15" customHeight="1">
      <c r="A387" t="inlineStr">
        <is>
          <t>A 40829-2025</t>
        </is>
      </c>
      <c r="B387" s="1" t="n">
        <v>45897.50802083333</v>
      </c>
      <c r="C387" s="1" t="n">
        <v>45925</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45549-2022</t>
        </is>
      </c>
      <c r="B388" s="1" t="n">
        <v>44845.48064814815</v>
      </c>
      <c r="C388" s="1" t="n">
        <v>45925</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40761-2024</t>
        </is>
      </c>
      <c r="B389" s="1" t="n">
        <v>45558.46283564815</v>
      </c>
      <c r="C389" s="1" t="n">
        <v>45925</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22456-2023</t>
        </is>
      </c>
      <c r="B390" s="1" t="n">
        <v>45070</v>
      </c>
      <c r="C390" s="1" t="n">
        <v>45925</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23692-2024</t>
        </is>
      </c>
      <c r="B391" s="1" t="n">
        <v>45454.65774305556</v>
      </c>
      <c r="C391" s="1" t="n">
        <v>45925</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40831-2025</t>
        </is>
      </c>
      <c r="B392" s="1" t="n">
        <v>45897.51077546296</v>
      </c>
      <c r="C392" s="1" t="n">
        <v>45925</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40837-2025</t>
        </is>
      </c>
      <c r="B393" s="1" t="n">
        <v>45897.51328703704</v>
      </c>
      <c r="C393" s="1" t="n">
        <v>45925</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35479-2025</t>
        </is>
      </c>
      <c r="B394" s="1" t="n">
        <v>45855.69387731481</v>
      </c>
      <c r="C394" s="1" t="n">
        <v>45925</v>
      </c>
      <c r="D394" t="inlineStr">
        <is>
          <t>STOCKHOLMS LÄN</t>
        </is>
      </c>
      <c r="E394" t="inlineStr">
        <is>
          <t>NORRTÄLJE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9469-2021</t>
        </is>
      </c>
      <c r="B395" s="1" t="n">
        <v>44251</v>
      </c>
      <c r="C395" s="1" t="n">
        <v>45925</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41174-2025</t>
        </is>
      </c>
      <c r="B396" s="1" t="n">
        <v>45898.54921296296</v>
      </c>
      <c r="C396" s="1" t="n">
        <v>45925</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41259-2025</t>
        </is>
      </c>
      <c r="B397" s="1" t="n">
        <v>45898.61054398148</v>
      </c>
      <c r="C397" s="1" t="n">
        <v>45925</v>
      </c>
      <c r="D397" t="inlineStr">
        <is>
          <t>STOCKHOLMS LÄN</t>
        </is>
      </c>
      <c r="E397" t="inlineStr">
        <is>
          <t>NORRTÄLJE</t>
        </is>
      </c>
      <c r="G397" t="n">
        <v>1.2</v>
      </c>
      <c r="H397" t="n">
        <v>0</v>
      </c>
      <c r="I397" t="n">
        <v>0</v>
      </c>
      <c r="J397" t="n">
        <v>0</v>
      </c>
      <c r="K397" t="n">
        <v>0</v>
      </c>
      <c r="L397" t="n">
        <v>0</v>
      </c>
      <c r="M397" t="n">
        <v>0</v>
      </c>
      <c r="N397" t="n">
        <v>0</v>
      </c>
      <c r="O397" t="n">
        <v>0</v>
      </c>
      <c r="P397" t="n">
        <v>0</v>
      </c>
      <c r="Q397" t="n">
        <v>0</v>
      </c>
      <c r="R397" s="2" t="inlineStr"/>
    </row>
    <row r="398" ht="15" customHeight="1">
      <c r="A398" t="inlineStr">
        <is>
          <t>A 41275-2025</t>
        </is>
      </c>
      <c r="B398" s="1" t="n">
        <v>45898.62625</v>
      </c>
      <c r="C398" s="1" t="n">
        <v>45925</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19580-2022</t>
        </is>
      </c>
      <c r="B399" s="1" t="n">
        <v>44693</v>
      </c>
      <c r="C399" s="1" t="n">
        <v>45925</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41036-2025</t>
        </is>
      </c>
      <c r="B400" s="1" t="n">
        <v>45898.38552083333</v>
      </c>
      <c r="C400" s="1" t="n">
        <v>45925</v>
      </c>
      <c r="D400" t="inlineStr">
        <is>
          <t>STOCKHOLMS LÄN</t>
        </is>
      </c>
      <c r="E400" t="inlineStr">
        <is>
          <t>NORRTÄLJE</t>
        </is>
      </c>
      <c r="F400" t="inlineStr">
        <is>
          <t>Holmen skog AB</t>
        </is>
      </c>
      <c r="G400" t="n">
        <v>2.7</v>
      </c>
      <c r="H400" t="n">
        <v>0</v>
      </c>
      <c r="I400" t="n">
        <v>0</v>
      </c>
      <c r="J400" t="n">
        <v>0</v>
      </c>
      <c r="K400" t="n">
        <v>0</v>
      </c>
      <c r="L400" t="n">
        <v>0</v>
      </c>
      <c r="M400" t="n">
        <v>0</v>
      </c>
      <c r="N400" t="n">
        <v>0</v>
      </c>
      <c r="O400" t="n">
        <v>0</v>
      </c>
      <c r="P400" t="n">
        <v>0</v>
      </c>
      <c r="Q400" t="n">
        <v>0</v>
      </c>
      <c r="R400" s="2" t="inlineStr"/>
    </row>
    <row r="401" ht="15" customHeight="1">
      <c r="A401" t="inlineStr">
        <is>
          <t>A 41053-2025</t>
        </is>
      </c>
      <c r="B401" s="1" t="n">
        <v>45898.40480324074</v>
      </c>
      <c r="C401" s="1" t="n">
        <v>45925</v>
      </c>
      <c r="D401" t="inlineStr">
        <is>
          <t>STOCKHOLMS LÄN</t>
        </is>
      </c>
      <c r="E401" t="inlineStr">
        <is>
          <t>NORRTÄLJE</t>
        </is>
      </c>
      <c r="F401" t="inlineStr">
        <is>
          <t>Holmen skog AB</t>
        </is>
      </c>
      <c r="G401" t="n">
        <v>2.5</v>
      </c>
      <c r="H401" t="n">
        <v>0</v>
      </c>
      <c r="I401" t="n">
        <v>0</v>
      </c>
      <c r="J401" t="n">
        <v>0</v>
      </c>
      <c r="K401" t="n">
        <v>0</v>
      </c>
      <c r="L401" t="n">
        <v>0</v>
      </c>
      <c r="M401" t="n">
        <v>0</v>
      </c>
      <c r="N401" t="n">
        <v>0</v>
      </c>
      <c r="O401" t="n">
        <v>0</v>
      </c>
      <c r="P401" t="n">
        <v>0</v>
      </c>
      <c r="Q401" t="n">
        <v>0</v>
      </c>
      <c r="R401" s="2" t="inlineStr"/>
    </row>
    <row r="402" ht="15" customHeight="1">
      <c r="A402" t="inlineStr">
        <is>
          <t>A 41106-2025</t>
        </is>
      </c>
      <c r="B402" s="1" t="n">
        <v>45898.45636574074</v>
      </c>
      <c r="C402" s="1" t="n">
        <v>45925</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35451-2025</t>
        </is>
      </c>
      <c r="B403" s="1" t="n">
        <v>45855.57033564815</v>
      </c>
      <c r="C403" s="1" t="n">
        <v>45925</v>
      </c>
      <c r="D403" t="inlineStr">
        <is>
          <t>STOCKHOLMS LÄN</t>
        </is>
      </c>
      <c r="E403" t="inlineStr">
        <is>
          <t>NORRTÄLJE</t>
        </is>
      </c>
      <c r="F403" t="inlineStr">
        <is>
          <t>Holmen skog AB</t>
        </is>
      </c>
      <c r="G403" t="n">
        <v>7.4</v>
      </c>
      <c r="H403" t="n">
        <v>0</v>
      </c>
      <c r="I403" t="n">
        <v>0</v>
      </c>
      <c r="J403" t="n">
        <v>0</v>
      </c>
      <c r="K403" t="n">
        <v>0</v>
      </c>
      <c r="L403" t="n">
        <v>0</v>
      </c>
      <c r="M403" t="n">
        <v>0</v>
      </c>
      <c r="N403" t="n">
        <v>0</v>
      </c>
      <c r="O403" t="n">
        <v>0</v>
      </c>
      <c r="P403" t="n">
        <v>0</v>
      </c>
      <c r="Q403" t="n">
        <v>0</v>
      </c>
      <c r="R403" s="2" t="inlineStr"/>
    </row>
    <row r="404" ht="15" customHeight="1">
      <c r="A404" t="inlineStr">
        <is>
          <t>A 35478-2025</t>
        </is>
      </c>
      <c r="B404" s="1" t="n">
        <v>45855.68413194444</v>
      </c>
      <c r="C404" s="1" t="n">
        <v>45925</v>
      </c>
      <c r="D404" t="inlineStr">
        <is>
          <t>STOCKHOLMS LÄN</t>
        </is>
      </c>
      <c r="E404" t="inlineStr">
        <is>
          <t>NORRTÄLJE</t>
        </is>
      </c>
      <c r="F404" t="inlineStr">
        <is>
          <t>Holmen skog AB</t>
        </is>
      </c>
      <c r="G404" t="n">
        <v>2.7</v>
      </c>
      <c r="H404" t="n">
        <v>0</v>
      </c>
      <c r="I404" t="n">
        <v>0</v>
      </c>
      <c r="J404" t="n">
        <v>0</v>
      </c>
      <c r="K404" t="n">
        <v>0</v>
      </c>
      <c r="L404" t="n">
        <v>0</v>
      </c>
      <c r="M404" t="n">
        <v>0</v>
      </c>
      <c r="N404" t="n">
        <v>0</v>
      </c>
      <c r="O404" t="n">
        <v>0</v>
      </c>
      <c r="P404" t="n">
        <v>0</v>
      </c>
      <c r="Q404" t="n">
        <v>0</v>
      </c>
      <c r="R404" s="2" t="inlineStr"/>
    </row>
    <row r="405" ht="15" customHeight="1">
      <c r="A405" t="inlineStr">
        <is>
          <t>A 33226-2024</t>
        </is>
      </c>
      <c r="B405" s="1" t="n">
        <v>45518</v>
      </c>
      <c r="C405" s="1" t="n">
        <v>45925</v>
      </c>
      <c r="D405" t="inlineStr">
        <is>
          <t>STOCKHOLMS LÄN</t>
        </is>
      </c>
      <c r="E405" t="inlineStr">
        <is>
          <t>NORRTÄLJE</t>
        </is>
      </c>
      <c r="G405" t="n">
        <v>13.8</v>
      </c>
      <c r="H405" t="n">
        <v>0</v>
      </c>
      <c r="I405" t="n">
        <v>0</v>
      </c>
      <c r="J405" t="n">
        <v>0</v>
      </c>
      <c r="K405" t="n">
        <v>0</v>
      </c>
      <c r="L405" t="n">
        <v>0</v>
      </c>
      <c r="M405" t="n">
        <v>0</v>
      </c>
      <c r="N405" t="n">
        <v>0</v>
      </c>
      <c r="O405" t="n">
        <v>0</v>
      </c>
      <c r="P405" t="n">
        <v>0</v>
      </c>
      <c r="Q405" t="n">
        <v>0</v>
      </c>
      <c r="R405" s="2" t="inlineStr"/>
    </row>
    <row r="406" ht="15" customHeight="1">
      <c r="A406" t="inlineStr">
        <is>
          <t>A 41301-2025</t>
        </is>
      </c>
      <c r="B406" s="1" t="n">
        <v>45898.68826388889</v>
      </c>
      <c r="C406" s="1" t="n">
        <v>45925</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5823-2023</t>
        </is>
      </c>
      <c r="B407" s="1" t="n">
        <v>44963</v>
      </c>
      <c r="C407" s="1" t="n">
        <v>45925</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30731-2023</t>
        </is>
      </c>
      <c r="B408" s="1" t="n">
        <v>45112</v>
      </c>
      <c r="C408" s="1" t="n">
        <v>45925</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37550-2022</t>
        </is>
      </c>
      <c r="B409" s="1" t="n">
        <v>44809</v>
      </c>
      <c r="C409" s="1" t="n">
        <v>45925</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11988-2021</t>
        </is>
      </c>
      <c r="B410" s="1" t="n">
        <v>44266</v>
      </c>
      <c r="C410" s="1" t="n">
        <v>45925</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12132-2021</t>
        </is>
      </c>
      <c r="B411" s="1" t="n">
        <v>44266</v>
      </c>
      <c r="C411" s="1" t="n">
        <v>45925</v>
      </c>
      <c r="D411" t="inlineStr">
        <is>
          <t>STOCKHOLMS LÄN</t>
        </is>
      </c>
      <c r="E411" t="inlineStr">
        <is>
          <t>NORRTÄLJE</t>
        </is>
      </c>
      <c r="G411" t="n">
        <v>4</v>
      </c>
      <c r="H411" t="n">
        <v>0</v>
      </c>
      <c r="I411" t="n">
        <v>0</v>
      </c>
      <c r="J411" t="n">
        <v>0</v>
      </c>
      <c r="K411" t="n">
        <v>0</v>
      </c>
      <c r="L411" t="n">
        <v>0</v>
      </c>
      <c r="M411" t="n">
        <v>0</v>
      </c>
      <c r="N411" t="n">
        <v>0</v>
      </c>
      <c r="O411" t="n">
        <v>0</v>
      </c>
      <c r="P411" t="n">
        <v>0</v>
      </c>
      <c r="Q411" t="n">
        <v>0</v>
      </c>
      <c r="R411" s="2" t="inlineStr"/>
    </row>
    <row r="412" ht="15" customHeight="1">
      <c r="A412" t="inlineStr">
        <is>
          <t>A 47431-2023</t>
        </is>
      </c>
      <c r="B412" s="1" t="n">
        <v>45202</v>
      </c>
      <c r="C412" s="1" t="n">
        <v>45925</v>
      </c>
      <c r="D412" t="inlineStr">
        <is>
          <t>STOCKHOLMS LÄN</t>
        </is>
      </c>
      <c r="E412" t="inlineStr">
        <is>
          <t>NORRTÄLJE</t>
        </is>
      </c>
      <c r="F412" t="inlineStr">
        <is>
          <t>Naturvårdsverket</t>
        </is>
      </c>
      <c r="G412" t="n">
        <v>1.2</v>
      </c>
      <c r="H412" t="n">
        <v>0</v>
      </c>
      <c r="I412" t="n">
        <v>0</v>
      </c>
      <c r="J412" t="n">
        <v>0</v>
      </c>
      <c r="K412" t="n">
        <v>0</v>
      </c>
      <c r="L412" t="n">
        <v>0</v>
      </c>
      <c r="M412" t="n">
        <v>0</v>
      </c>
      <c r="N412" t="n">
        <v>0</v>
      </c>
      <c r="O412" t="n">
        <v>0</v>
      </c>
      <c r="P412" t="n">
        <v>0</v>
      </c>
      <c r="Q412" t="n">
        <v>0</v>
      </c>
      <c r="R412" s="2" t="inlineStr"/>
    </row>
    <row r="413" ht="15" customHeight="1">
      <c r="A413" t="inlineStr">
        <is>
          <t>A 41110-2025</t>
        </is>
      </c>
      <c r="B413" s="1" t="n">
        <v>45898.45976851852</v>
      </c>
      <c r="C413" s="1" t="n">
        <v>45925</v>
      </c>
      <c r="D413" t="inlineStr">
        <is>
          <t>STOCKHOLMS LÄN</t>
        </is>
      </c>
      <c r="E413" t="inlineStr">
        <is>
          <t>NORRTÄLJE</t>
        </is>
      </c>
      <c r="F413" t="inlineStr">
        <is>
          <t>Holmen skog AB</t>
        </is>
      </c>
      <c r="G413" t="n">
        <v>6.7</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45925</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51653-2022</t>
        </is>
      </c>
      <c r="B415" s="1" t="n">
        <v>44867</v>
      </c>
      <c r="C415" s="1" t="n">
        <v>45925</v>
      </c>
      <c r="D415" t="inlineStr">
        <is>
          <t>STOCKHOLMS LÄN</t>
        </is>
      </c>
      <c r="E415" t="inlineStr">
        <is>
          <t>NORRTÄLJE</t>
        </is>
      </c>
      <c r="G415" t="n">
        <v>6.6</v>
      </c>
      <c r="H415" t="n">
        <v>0</v>
      </c>
      <c r="I415" t="n">
        <v>0</v>
      </c>
      <c r="J415" t="n">
        <v>0</v>
      </c>
      <c r="K415" t="n">
        <v>0</v>
      </c>
      <c r="L415" t="n">
        <v>0</v>
      </c>
      <c r="M415" t="n">
        <v>0</v>
      </c>
      <c r="N415" t="n">
        <v>0</v>
      </c>
      <c r="O415" t="n">
        <v>0</v>
      </c>
      <c r="P415" t="n">
        <v>0</v>
      </c>
      <c r="Q415" t="n">
        <v>0</v>
      </c>
      <c r="R415" s="2" t="inlineStr"/>
    </row>
    <row r="416" ht="15" customHeight="1">
      <c r="A416" t="inlineStr">
        <is>
          <t>A 16980-2023</t>
        </is>
      </c>
      <c r="B416" s="1" t="n">
        <v>45033</v>
      </c>
      <c r="C416" s="1" t="n">
        <v>45925</v>
      </c>
      <c r="D416" t="inlineStr">
        <is>
          <t>STOCKHOLMS LÄN</t>
        </is>
      </c>
      <c r="E416" t="inlineStr">
        <is>
          <t>NORRTÄLJE</t>
        </is>
      </c>
      <c r="G416" t="n">
        <v>2.3</v>
      </c>
      <c r="H416" t="n">
        <v>0</v>
      </c>
      <c r="I416" t="n">
        <v>0</v>
      </c>
      <c r="J416" t="n">
        <v>0</v>
      </c>
      <c r="K416" t="n">
        <v>0</v>
      </c>
      <c r="L416" t="n">
        <v>0</v>
      </c>
      <c r="M416" t="n">
        <v>0</v>
      </c>
      <c r="N416" t="n">
        <v>0</v>
      </c>
      <c r="O416" t="n">
        <v>0</v>
      </c>
      <c r="P416" t="n">
        <v>0</v>
      </c>
      <c r="Q416" t="n">
        <v>0</v>
      </c>
      <c r="R416" s="2" t="inlineStr"/>
    </row>
    <row r="417" ht="15" customHeight="1">
      <c r="A417" t="inlineStr">
        <is>
          <t>A 23262-2023</t>
        </is>
      </c>
      <c r="B417" s="1" t="n">
        <v>45075.90270833333</v>
      </c>
      <c r="C417" s="1" t="n">
        <v>45925</v>
      </c>
      <c r="D417" t="inlineStr">
        <is>
          <t>STOCKHOLMS LÄN</t>
        </is>
      </c>
      <c r="E417" t="inlineStr">
        <is>
          <t>NORRTÄLJE</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23268-2023</t>
        </is>
      </c>
      <c r="B418" s="1" t="n">
        <v>45075.91042824074</v>
      </c>
      <c r="C418" s="1" t="n">
        <v>45925</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23270-2023</t>
        </is>
      </c>
      <c r="B419" s="1" t="n">
        <v>45075.91265046296</v>
      </c>
      <c r="C419" s="1" t="n">
        <v>45925</v>
      </c>
      <c r="D419" t="inlineStr">
        <is>
          <t>STOCKHOLMS LÄN</t>
        </is>
      </c>
      <c r="E419" t="inlineStr">
        <is>
          <t>NORRTÄLJE</t>
        </is>
      </c>
      <c r="G419" t="n">
        <v>12.3</v>
      </c>
      <c r="H419" t="n">
        <v>0</v>
      </c>
      <c r="I419" t="n">
        <v>0</v>
      </c>
      <c r="J419" t="n">
        <v>0</v>
      </c>
      <c r="K419" t="n">
        <v>0</v>
      </c>
      <c r="L419" t="n">
        <v>0</v>
      </c>
      <c r="M419" t="n">
        <v>0</v>
      </c>
      <c r="N419" t="n">
        <v>0</v>
      </c>
      <c r="O419" t="n">
        <v>0</v>
      </c>
      <c r="P419" t="n">
        <v>0</v>
      </c>
      <c r="Q419" t="n">
        <v>0</v>
      </c>
      <c r="R419" s="2" t="inlineStr"/>
    </row>
    <row r="420" ht="15" customHeight="1">
      <c r="A420" t="inlineStr">
        <is>
          <t>A 23274-2023</t>
        </is>
      </c>
      <c r="B420" s="1" t="n">
        <v>45075.92153935185</v>
      </c>
      <c r="C420" s="1" t="n">
        <v>45925</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5732-2023</t>
        </is>
      </c>
      <c r="B421" s="1" t="n">
        <v>44962</v>
      </c>
      <c r="C421" s="1" t="n">
        <v>45925</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41158-2025</t>
        </is>
      </c>
      <c r="B422" s="1" t="n">
        <v>45898.5315625</v>
      </c>
      <c r="C422" s="1" t="n">
        <v>45925</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25609-2023</t>
        </is>
      </c>
      <c r="B423" s="1" t="n">
        <v>45089</v>
      </c>
      <c r="C423" s="1" t="n">
        <v>45925</v>
      </c>
      <c r="D423" t="inlineStr">
        <is>
          <t>STOCKHOLMS LÄN</t>
        </is>
      </c>
      <c r="E423" t="inlineStr">
        <is>
          <t>NORRTÄLJE</t>
        </is>
      </c>
      <c r="G423" t="n">
        <v>2.5</v>
      </c>
      <c r="H423" t="n">
        <v>0</v>
      </c>
      <c r="I423" t="n">
        <v>0</v>
      </c>
      <c r="J423" t="n">
        <v>0</v>
      </c>
      <c r="K423" t="n">
        <v>0</v>
      </c>
      <c r="L423" t="n">
        <v>0</v>
      </c>
      <c r="M423" t="n">
        <v>0</v>
      </c>
      <c r="N423" t="n">
        <v>0</v>
      </c>
      <c r="O423" t="n">
        <v>0</v>
      </c>
      <c r="P423" t="n">
        <v>0</v>
      </c>
      <c r="Q423" t="n">
        <v>0</v>
      </c>
      <c r="R423" s="2" t="inlineStr"/>
    </row>
    <row r="424" ht="15" customHeight="1">
      <c r="A424" t="inlineStr">
        <is>
          <t>A 32103-2022</t>
        </is>
      </c>
      <c r="B424" s="1" t="n">
        <v>44778</v>
      </c>
      <c r="C424" s="1" t="n">
        <v>45925</v>
      </c>
      <c r="D424" t="inlineStr">
        <is>
          <t>STOCKHOLMS LÄN</t>
        </is>
      </c>
      <c r="E424" t="inlineStr">
        <is>
          <t>NORRTÄLJE</t>
        </is>
      </c>
      <c r="G424" t="n">
        <v>3.4</v>
      </c>
      <c r="H424" t="n">
        <v>0</v>
      </c>
      <c r="I424" t="n">
        <v>0</v>
      </c>
      <c r="J424" t="n">
        <v>0</v>
      </c>
      <c r="K424" t="n">
        <v>0</v>
      </c>
      <c r="L424" t="n">
        <v>0</v>
      </c>
      <c r="M424" t="n">
        <v>0</v>
      </c>
      <c r="N424" t="n">
        <v>0</v>
      </c>
      <c r="O424" t="n">
        <v>0</v>
      </c>
      <c r="P424" t="n">
        <v>0</v>
      </c>
      <c r="Q424" t="n">
        <v>0</v>
      </c>
      <c r="R424" s="2" t="inlineStr"/>
    </row>
    <row r="425" ht="15" customHeight="1">
      <c r="A425" t="inlineStr">
        <is>
          <t>A 55952-2024</t>
        </is>
      </c>
      <c r="B425" s="1" t="n">
        <v>45623.62563657408</v>
      </c>
      <c r="C425" s="1" t="n">
        <v>45925</v>
      </c>
      <c r="D425" t="inlineStr">
        <is>
          <t>STOCKHOLMS LÄN</t>
        </is>
      </c>
      <c r="E425" t="inlineStr">
        <is>
          <t>NORRTÄLJE</t>
        </is>
      </c>
      <c r="F425" t="inlineStr">
        <is>
          <t>Holmen skog AB</t>
        </is>
      </c>
      <c r="G425" t="n">
        <v>2.8</v>
      </c>
      <c r="H425" t="n">
        <v>0</v>
      </c>
      <c r="I425" t="n">
        <v>0</v>
      </c>
      <c r="J425" t="n">
        <v>0</v>
      </c>
      <c r="K425" t="n">
        <v>0</v>
      </c>
      <c r="L425" t="n">
        <v>0</v>
      </c>
      <c r="M425" t="n">
        <v>0</v>
      </c>
      <c r="N425" t="n">
        <v>0</v>
      </c>
      <c r="O425" t="n">
        <v>0</v>
      </c>
      <c r="P425" t="n">
        <v>0</v>
      </c>
      <c r="Q425" t="n">
        <v>0</v>
      </c>
      <c r="R425" s="2" t="inlineStr"/>
    </row>
    <row r="426" ht="15" customHeight="1">
      <c r="A426" t="inlineStr">
        <is>
          <t>A 33569-2023</t>
        </is>
      </c>
      <c r="B426" s="1" t="n">
        <v>45131.666875</v>
      </c>
      <c r="C426" s="1" t="n">
        <v>45925</v>
      </c>
      <c r="D426" t="inlineStr">
        <is>
          <t>STOCKHOLMS LÄN</t>
        </is>
      </c>
      <c r="E426" t="inlineStr">
        <is>
          <t>NORRTÄLJE</t>
        </is>
      </c>
      <c r="G426" t="n">
        <v>2.3</v>
      </c>
      <c r="H426" t="n">
        <v>0</v>
      </c>
      <c r="I426" t="n">
        <v>0</v>
      </c>
      <c r="J426" t="n">
        <v>0</v>
      </c>
      <c r="K426" t="n">
        <v>0</v>
      </c>
      <c r="L426" t="n">
        <v>0</v>
      </c>
      <c r="M426" t="n">
        <v>0</v>
      </c>
      <c r="N426" t="n">
        <v>0</v>
      </c>
      <c r="O426" t="n">
        <v>0</v>
      </c>
      <c r="P426" t="n">
        <v>0</v>
      </c>
      <c r="Q426" t="n">
        <v>0</v>
      </c>
      <c r="R426" s="2" t="inlineStr"/>
    </row>
    <row r="427" ht="15" customHeight="1">
      <c r="A427" t="inlineStr">
        <is>
          <t>A 31107-2022</t>
        </is>
      </c>
      <c r="B427" s="1" t="n">
        <v>44769.66864583334</v>
      </c>
      <c r="C427" s="1" t="n">
        <v>45925</v>
      </c>
      <c r="D427" t="inlineStr">
        <is>
          <t>STOCKHOLMS LÄN</t>
        </is>
      </c>
      <c r="E427" t="inlineStr">
        <is>
          <t>NORRTÄLJE</t>
        </is>
      </c>
      <c r="G427" t="n">
        <v>3.8</v>
      </c>
      <c r="H427" t="n">
        <v>0</v>
      </c>
      <c r="I427" t="n">
        <v>0</v>
      </c>
      <c r="J427" t="n">
        <v>0</v>
      </c>
      <c r="K427" t="n">
        <v>0</v>
      </c>
      <c r="L427" t="n">
        <v>0</v>
      </c>
      <c r="M427" t="n">
        <v>0</v>
      </c>
      <c r="N427" t="n">
        <v>0</v>
      </c>
      <c r="O427" t="n">
        <v>0</v>
      </c>
      <c r="P427" t="n">
        <v>0</v>
      </c>
      <c r="Q427" t="n">
        <v>0</v>
      </c>
      <c r="R427" s="2" t="inlineStr"/>
    </row>
    <row r="428" ht="15" customHeight="1">
      <c r="A428" t="inlineStr">
        <is>
          <t>A 41272-2025</t>
        </is>
      </c>
      <c r="B428" s="1" t="n">
        <v>45898.62373842593</v>
      </c>
      <c r="C428" s="1" t="n">
        <v>45925</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50569-2022</t>
        </is>
      </c>
      <c r="B429" s="1" t="n">
        <v>44866.63775462963</v>
      </c>
      <c r="C429" s="1" t="n">
        <v>45925</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23070-2023</t>
        </is>
      </c>
      <c r="B430" s="1" t="n">
        <v>45075</v>
      </c>
      <c r="C430" s="1" t="n">
        <v>45925</v>
      </c>
      <c r="D430" t="inlineStr">
        <is>
          <t>STOCKHOLMS LÄN</t>
        </is>
      </c>
      <c r="E430" t="inlineStr">
        <is>
          <t>NORRTÄLJE</t>
        </is>
      </c>
      <c r="G430" t="n">
        <v>1.5</v>
      </c>
      <c r="H430" t="n">
        <v>0</v>
      </c>
      <c r="I430" t="n">
        <v>0</v>
      </c>
      <c r="J430" t="n">
        <v>0</v>
      </c>
      <c r="K430" t="n">
        <v>0</v>
      </c>
      <c r="L430" t="n">
        <v>0</v>
      </c>
      <c r="M430" t="n">
        <v>0</v>
      </c>
      <c r="N430" t="n">
        <v>0</v>
      </c>
      <c r="O430" t="n">
        <v>0</v>
      </c>
      <c r="P430" t="n">
        <v>0</v>
      </c>
      <c r="Q430" t="n">
        <v>0</v>
      </c>
      <c r="R430" s="2" t="inlineStr"/>
    </row>
    <row r="431" ht="15" customHeight="1">
      <c r="A431" t="inlineStr">
        <is>
          <t>A 18539-2021</t>
        </is>
      </c>
      <c r="B431" s="1" t="n">
        <v>44306</v>
      </c>
      <c r="C431" s="1" t="n">
        <v>45925</v>
      </c>
      <c r="D431" t="inlineStr">
        <is>
          <t>STOCKHOLMS LÄN</t>
        </is>
      </c>
      <c r="E431" t="inlineStr">
        <is>
          <t>NORRTÄLJE</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43170-2023</t>
        </is>
      </c>
      <c r="B432" s="1" t="n">
        <v>45183</v>
      </c>
      <c r="C432" s="1" t="n">
        <v>45925</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8792-2025</t>
        </is>
      </c>
      <c r="B433" s="1" t="n">
        <v>45712</v>
      </c>
      <c r="C433" s="1" t="n">
        <v>45925</v>
      </c>
      <c r="D433" t="inlineStr">
        <is>
          <t>STOCKHOLMS LÄN</t>
        </is>
      </c>
      <c r="E433" t="inlineStr">
        <is>
          <t>NORRTÄLJE</t>
        </is>
      </c>
      <c r="F433" t="inlineStr">
        <is>
          <t>Övriga Aktiebolag</t>
        </is>
      </c>
      <c r="G433" t="n">
        <v>6.6</v>
      </c>
      <c r="H433" t="n">
        <v>0</v>
      </c>
      <c r="I433" t="n">
        <v>0</v>
      </c>
      <c r="J433" t="n">
        <v>0</v>
      </c>
      <c r="K433" t="n">
        <v>0</v>
      </c>
      <c r="L433" t="n">
        <v>0</v>
      </c>
      <c r="M433" t="n">
        <v>0</v>
      </c>
      <c r="N433" t="n">
        <v>0</v>
      </c>
      <c r="O433" t="n">
        <v>0</v>
      </c>
      <c r="P433" t="n">
        <v>0</v>
      </c>
      <c r="Q433" t="n">
        <v>0</v>
      </c>
      <c r="R433" s="2" t="inlineStr"/>
    </row>
    <row r="434" ht="15" customHeight="1">
      <c r="A434" t="inlineStr">
        <is>
          <t>A 7571-2024</t>
        </is>
      </c>
      <c r="B434" s="1" t="n">
        <v>45348.46300925926</v>
      </c>
      <c r="C434" s="1" t="n">
        <v>45925</v>
      </c>
      <c r="D434" t="inlineStr">
        <is>
          <t>STOCKHOLMS LÄN</t>
        </is>
      </c>
      <c r="E434" t="inlineStr">
        <is>
          <t>NORRTÄLJE</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22833-2024</t>
        </is>
      </c>
      <c r="B435" s="1" t="n">
        <v>45448.56746527777</v>
      </c>
      <c r="C435" s="1" t="n">
        <v>45925</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60224-2023</t>
        </is>
      </c>
      <c r="B436" s="1" t="n">
        <v>45257</v>
      </c>
      <c r="C436" s="1" t="n">
        <v>45925</v>
      </c>
      <c r="D436" t="inlineStr">
        <is>
          <t>STOCKHOLMS LÄN</t>
        </is>
      </c>
      <c r="E436" t="inlineStr">
        <is>
          <t>NORRTÄLJE</t>
        </is>
      </c>
      <c r="G436" t="n">
        <v>8.1</v>
      </c>
      <c r="H436" t="n">
        <v>0</v>
      </c>
      <c r="I436" t="n">
        <v>0</v>
      </c>
      <c r="J436" t="n">
        <v>0</v>
      </c>
      <c r="K436" t="n">
        <v>0</v>
      </c>
      <c r="L436" t="n">
        <v>0</v>
      </c>
      <c r="M436" t="n">
        <v>0</v>
      </c>
      <c r="N436" t="n">
        <v>0</v>
      </c>
      <c r="O436" t="n">
        <v>0</v>
      </c>
      <c r="P436" t="n">
        <v>0</v>
      </c>
      <c r="Q436" t="n">
        <v>0</v>
      </c>
      <c r="R436" s="2" t="inlineStr"/>
    </row>
    <row r="437" ht="15" customHeight="1">
      <c r="A437" t="inlineStr">
        <is>
          <t>A 36269-2022</t>
        </is>
      </c>
      <c r="B437" s="1" t="n">
        <v>44803</v>
      </c>
      <c r="C437" s="1" t="n">
        <v>45925</v>
      </c>
      <c r="D437" t="inlineStr">
        <is>
          <t>STOCKHOLMS LÄN</t>
        </is>
      </c>
      <c r="E437" t="inlineStr">
        <is>
          <t>NORRTÄLJE</t>
        </is>
      </c>
      <c r="G437" t="n">
        <v>2.3</v>
      </c>
      <c r="H437" t="n">
        <v>0</v>
      </c>
      <c r="I437" t="n">
        <v>0</v>
      </c>
      <c r="J437" t="n">
        <v>0</v>
      </c>
      <c r="K437" t="n">
        <v>0</v>
      </c>
      <c r="L437" t="n">
        <v>0</v>
      </c>
      <c r="M437" t="n">
        <v>0</v>
      </c>
      <c r="N437" t="n">
        <v>0</v>
      </c>
      <c r="O437" t="n">
        <v>0</v>
      </c>
      <c r="P437" t="n">
        <v>0</v>
      </c>
      <c r="Q437" t="n">
        <v>0</v>
      </c>
      <c r="R437" s="2" t="inlineStr"/>
    </row>
    <row r="438" ht="15" customHeight="1">
      <c r="A438" t="inlineStr">
        <is>
          <t>A 17785-2024</t>
        </is>
      </c>
      <c r="B438" s="1" t="n">
        <v>45418.6968287037</v>
      </c>
      <c r="C438" s="1" t="n">
        <v>45925</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47626-2022</t>
        </is>
      </c>
      <c r="B439" s="1" t="n">
        <v>44854</v>
      </c>
      <c r="C439" s="1" t="n">
        <v>45925</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29684-2021</t>
        </is>
      </c>
      <c r="B440" s="1" t="n">
        <v>44362.37172453704</v>
      </c>
      <c r="C440" s="1" t="n">
        <v>45925</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32101-2022</t>
        </is>
      </c>
      <c r="B441" s="1" t="n">
        <v>44778.69210648148</v>
      </c>
      <c r="C441" s="1" t="n">
        <v>45925</v>
      </c>
      <c r="D441" t="inlineStr">
        <is>
          <t>STOCKHOLMS LÄN</t>
        </is>
      </c>
      <c r="E441" t="inlineStr">
        <is>
          <t>NORRTÄLJE</t>
        </is>
      </c>
      <c r="G441" t="n">
        <v>4.4</v>
      </c>
      <c r="H441" t="n">
        <v>0</v>
      </c>
      <c r="I441" t="n">
        <v>0</v>
      </c>
      <c r="J441" t="n">
        <v>0</v>
      </c>
      <c r="K441" t="n">
        <v>0</v>
      </c>
      <c r="L441" t="n">
        <v>0</v>
      </c>
      <c r="M441" t="n">
        <v>0</v>
      </c>
      <c r="N441" t="n">
        <v>0</v>
      </c>
      <c r="O441" t="n">
        <v>0</v>
      </c>
      <c r="P441" t="n">
        <v>0</v>
      </c>
      <c r="Q441" t="n">
        <v>0</v>
      </c>
      <c r="R441" s="2" t="inlineStr"/>
    </row>
    <row r="442" ht="15" customHeight="1">
      <c r="A442" t="inlineStr">
        <is>
          <t>A 5665-2025</t>
        </is>
      </c>
      <c r="B442" s="1" t="n">
        <v>45693</v>
      </c>
      <c r="C442" s="1" t="n">
        <v>45925</v>
      </c>
      <c r="D442" t="inlineStr">
        <is>
          <t>STOCKHOLMS LÄN</t>
        </is>
      </c>
      <c r="E442" t="inlineStr">
        <is>
          <t>NORRTÄLJE</t>
        </is>
      </c>
      <c r="G442" t="n">
        <v>4</v>
      </c>
      <c r="H442" t="n">
        <v>0</v>
      </c>
      <c r="I442" t="n">
        <v>0</v>
      </c>
      <c r="J442" t="n">
        <v>0</v>
      </c>
      <c r="K442" t="n">
        <v>0</v>
      </c>
      <c r="L442" t="n">
        <v>0</v>
      </c>
      <c r="M442" t="n">
        <v>0</v>
      </c>
      <c r="N442" t="n">
        <v>0</v>
      </c>
      <c r="O442" t="n">
        <v>0</v>
      </c>
      <c r="P442" t="n">
        <v>0</v>
      </c>
      <c r="Q442" t="n">
        <v>0</v>
      </c>
      <c r="R442" s="2" t="inlineStr"/>
    </row>
    <row r="443" ht="15" customHeight="1">
      <c r="A443" t="inlineStr">
        <is>
          <t>A 28365-2022</t>
        </is>
      </c>
      <c r="B443" s="1" t="n">
        <v>44747</v>
      </c>
      <c r="C443" s="1" t="n">
        <v>45925</v>
      </c>
      <c r="D443" t="inlineStr">
        <is>
          <t>STOCKHOLMS LÄN</t>
        </is>
      </c>
      <c r="E443" t="inlineStr">
        <is>
          <t>NORRTÄLJE</t>
        </is>
      </c>
      <c r="G443" t="n">
        <v>5.1</v>
      </c>
      <c r="H443" t="n">
        <v>0</v>
      </c>
      <c r="I443" t="n">
        <v>0</v>
      </c>
      <c r="J443" t="n">
        <v>0</v>
      </c>
      <c r="K443" t="n">
        <v>0</v>
      </c>
      <c r="L443" t="n">
        <v>0</v>
      </c>
      <c r="M443" t="n">
        <v>0</v>
      </c>
      <c r="N443" t="n">
        <v>0</v>
      </c>
      <c r="O443" t="n">
        <v>0</v>
      </c>
      <c r="P443" t="n">
        <v>0</v>
      </c>
      <c r="Q443" t="n">
        <v>0</v>
      </c>
      <c r="R443" s="2" t="inlineStr"/>
    </row>
    <row r="444" ht="15" customHeight="1">
      <c r="A444" t="inlineStr">
        <is>
          <t>A 38720-2025</t>
        </is>
      </c>
      <c r="B444" s="1" t="n">
        <v>45886</v>
      </c>
      <c r="C444" s="1" t="n">
        <v>45925</v>
      </c>
      <c r="D444" t="inlineStr">
        <is>
          <t>STOCKHOLMS LÄN</t>
        </is>
      </c>
      <c r="E444" t="inlineStr">
        <is>
          <t>NORRTÄLJE</t>
        </is>
      </c>
      <c r="G444" t="n">
        <v>1.6</v>
      </c>
      <c r="H444" t="n">
        <v>0</v>
      </c>
      <c r="I444" t="n">
        <v>0</v>
      </c>
      <c r="J444" t="n">
        <v>0</v>
      </c>
      <c r="K444" t="n">
        <v>0</v>
      </c>
      <c r="L444" t="n">
        <v>0</v>
      </c>
      <c r="M444" t="n">
        <v>0</v>
      </c>
      <c r="N444" t="n">
        <v>0</v>
      </c>
      <c r="O444" t="n">
        <v>0</v>
      </c>
      <c r="P444" t="n">
        <v>0</v>
      </c>
      <c r="Q444" t="n">
        <v>0</v>
      </c>
      <c r="R444" s="2" t="inlineStr"/>
    </row>
    <row r="445" ht="15" customHeight="1">
      <c r="A445" t="inlineStr">
        <is>
          <t>A 12407-2025</t>
        </is>
      </c>
      <c r="B445" s="1" t="n">
        <v>45730.42851851852</v>
      </c>
      <c r="C445" s="1" t="n">
        <v>45925</v>
      </c>
      <c r="D445" t="inlineStr">
        <is>
          <t>STOCKHOLMS LÄN</t>
        </is>
      </c>
      <c r="E445" t="inlineStr">
        <is>
          <t>NORRTÄLJE</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42867-2022</t>
        </is>
      </c>
      <c r="B446" s="1" t="n">
        <v>44832</v>
      </c>
      <c r="C446" s="1" t="n">
        <v>45925</v>
      </c>
      <c r="D446" t="inlineStr">
        <is>
          <t>STOCKHOLMS LÄN</t>
        </is>
      </c>
      <c r="E446" t="inlineStr">
        <is>
          <t>NORRTÄLJE</t>
        </is>
      </c>
      <c r="G446" t="n">
        <v>6.4</v>
      </c>
      <c r="H446" t="n">
        <v>0</v>
      </c>
      <c r="I446" t="n">
        <v>0</v>
      </c>
      <c r="J446" t="n">
        <v>0</v>
      </c>
      <c r="K446" t="n">
        <v>0</v>
      </c>
      <c r="L446" t="n">
        <v>0</v>
      </c>
      <c r="M446" t="n">
        <v>0</v>
      </c>
      <c r="N446" t="n">
        <v>0</v>
      </c>
      <c r="O446" t="n">
        <v>0</v>
      </c>
      <c r="P446" t="n">
        <v>0</v>
      </c>
      <c r="Q446" t="n">
        <v>0</v>
      </c>
      <c r="R446" s="2" t="inlineStr"/>
    </row>
    <row r="447" ht="15" customHeight="1">
      <c r="A447" t="inlineStr">
        <is>
          <t>A 21386-2023</t>
        </is>
      </c>
      <c r="B447" s="1" t="n">
        <v>45063.35880787037</v>
      </c>
      <c r="C447" s="1" t="n">
        <v>45925</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5645-2023</t>
        </is>
      </c>
      <c r="B448" s="1" t="n">
        <v>44960.60469907407</v>
      </c>
      <c r="C448" s="1" t="n">
        <v>45925</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4593-2023</t>
        </is>
      </c>
      <c r="B449" s="1" t="n">
        <v>44956</v>
      </c>
      <c r="C449" s="1" t="n">
        <v>45925</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26636-2023</t>
        </is>
      </c>
      <c r="B450" s="1" t="n">
        <v>45092</v>
      </c>
      <c r="C450" s="1" t="n">
        <v>45925</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26637-2023</t>
        </is>
      </c>
      <c r="B451" s="1" t="n">
        <v>45092</v>
      </c>
      <c r="C451" s="1" t="n">
        <v>45925</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54396-2021</t>
        </is>
      </c>
      <c r="B452" s="1" t="n">
        <v>44472</v>
      </c>
      <c r="C452" s="1" t="n">
        <v>45925</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32071-2023</t>
        </is>
      </c>
      <c r="B453" s="1" t="n">
        <v>45119.57728009259</v>
      </c>
      <c r="C453" s="1" t="n">
        <v>45925</v>
      </c>
      <c r="D453" t="inlineStr">
        <is>
          <t>STOCKHOLMS LÄN</t>
        </is>
      </c>
      <c r="E453" t="inlineStr">
        <is>
          <t>NORRTÄLJE</t>
        </is>
      </c>
      <c r="G453" t="n">
        <v>6.5</v>
      </c>
      <c r="H453" t="n">
        <v>0</v>
      </c>
      <c r="I453" t="n">
        <v>0</v>
      </c>
      <c r="J453" t="n">
        <v>0</v>
      </c>
      <c r="K453" t="n">
        <v>0</v>
      </c>
      <c r="L453" t="n">
        <v>0</v>
      </c>
      <c r="M453" t="n">
        <v>0</v>
      </c>
      <c r="N453" t="n">
        <v>0</v>
      </c>
      <c r="O453" t="n">
        <v>0</v>
      </c>
      <c r="P453" t="n">
        <v>0</v>
      </c>
      <c r="Q453" t="n">
        <v>0</v>
      </c>
      <c r="R453" s="2" t="inlineStr"/>
    </row>
    <row r="454" ht="15" customHeight="1">
      <c r="A454" t="inlineStr">
        <is>
          <t>A 23266-2023</t>
        </is>
      </c>
      <c r="B454" s="1" t="n">
        <v>45075.90817129629</v>
      </c>
      <c r="C454" s="1" t="n">
        <v>45925</v>
      </c>
      <c r="D454" t="inlineStr">
        <is>
          <t>STOCKHOLMS LÄN</t>
        </is>
      </c>
      <c r="E454" t="inlineStr">
        <is>
          <t>NORRTÄLJE</t>
        </is>
      </c>
      <c r="G454" t="n">
        <v>0.6</v>
      </c>
      <c r="H454" t="n">
        <v>0</v>
      </c>
      <c r="I454" t="n">
        <v>0</v>
      </c>
      <c r="J454" t="n">
        <v>0</v>
      </c>
      <c r="K454" t="n">
        <v>0</v>
      </c>
      <c r="L454" t="n">
        <v>0</v>
      </c>
      <c r="M454" t="n">
        <v>0</v>
      </c>
      <c r="N454" t="n">
        <v>0</v>
      </c>
      <c r="O454" t="n">
        <v>0</v>
      </c>
      <c r="P454" t="n">
        <v>0</v>
      </c>
      <c r="Q454" t="n">
        <v>0</v>
      </c>
      <c r="R454" s="2" t="inlineStr"/>
    </row>
    <row r="455" ht="15" customHeight="1">
      <c r="A455" t="inlineStr">
        <is>
          <t>A 25681-2024</t>
        </is>
      </c>
      <c r="B455" s="1" t="n">
        <v>45463.80486111111</v>
      </c>
      <c r="C455" s="1" t="n">
        <v>45925</v>
      </c>
      <c r="D455" t="inlineStr">
        <is>
          <t>STOCKHOLMS LÄN</t>
        </is>
      </c>
      <c r="E455" t="inlineStr">
        <is>
          <t>NORRTÄLJE</t>
        </is>
      </c>
      <c r="G455" t="n">
        <v>2.7</v>
      </c>
      <c r="H455" t="n">
        <v>0</v>
      </c>
      <c r="I455" t="n">
        <v>0</v>
      </c>
      <c r="J455" t="n">
        <v>0</v>
      </c>
      <c r="K455" t="n">
        <v>0</v>
      </c>
      <c r="L455" t="n">
        <v>0</v>
      </c>
      <c r="M455" t="n">
        <v>0</v>
      </c>
      <c r="N455" t="n">
        <v>0</v>
      </c>
      <c r="O455" t="n">
        <v>0</v>
      </c>
      <c r="P455" t="n">
        <v>0</v>
      </c>
      <c r="Q455" t="n">
        <v>0</v>
      </c>
      <c r="R455" s="2" t="inlineStr"/>
    </row>
    <row r="456" ht="15" customHeight="1">
      <c r="A456" t="inlineStr">
        <is>
          <t>A 35161-2022</t>
        </is>
      </c>
      <c r="B456" s="1" t="n">
        <v>44797</v>
      </c>
      <c r="C456" s="1" t="n">
        <v>45925</v>
      </c>
      <c r="D456" t="inlineStr">
        <is>
          <t>STOCKHOLMS LÄN</t>
        </is>
      </c>
      <c r="E456" t="inlineStr">
        <is>
          <t>NORRTÄLJE</t>
        </is>
      </c>
      <c r="G456" t="n">
        <v>6</v>
      </c>
      <c r="H456" t="n">
        <v>0</v>
      </c>
      <c r="I456" t="n">
        <v>0</v>
      </c>
      <c r="J456" t="n">
        <v>0</v>
      </c>
      <c r="K456" t="n">
        <v>0</v>
      </c>
      <c r="L456" t="n">
        <v>0</v>
      </c>
      <c r="M456" t="n">
        <v>0</v>
      </c>
      <c r="N456" t="n">
        <v>0</v>
      </c>
      <c r="O456" t="n">
        <v>0</v>
      </c>
      <c r="P456" t="n">
        <v>0</v>
      </c>
      <c r="Q456" t="n">
        <v>0</v>
      </c>
      <c r="R456" s="2" t="inlineStr"/>
    </row>
    <row r="457" ht="15" customHeight="1">
      <c r="A457" t="inlineStr">
        <is>
          <t>A 24245-2024</t>
        </is>
      </c>
      <c r="B457" s="1" t="n">
        <v>45457</v>
      </c>
      <c r="C457" s="1" t="n">
        <v>45925</v>
      </c>
      <c r="D457" t="inlineStr">
        <is>
          <t>STOCKHOLMS LÄN</t>
        </is>
      </c>
      <c r="E457" t="inlineStr">
        <is>
          <t>NORRTÄLJE</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26115-2024</t>
        </is>
      </c>
      <c r="B458" s="1" t="n">
        <v>45468.45628472222</v>
      </c>
      <c r="C458" s="1" t="n">
        <v>45925</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17775-2022</t>
        </is>
      </c>
      <c r="B459" s="1" t="n">
        <v>44682.78430555556</v>
      </c>
      <c r="C459" s="1" t="n">
        <v>45925</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9703-2021</t>
        </is>
      </c>
      <c r="B460" s="1" t="n">
        <v>44252</v>
      </c>
      <c r="C460" s="1" t="n">
        <v>45925</v>
      </c>
      <c r="D460" t="inlineStr">
        <is>
          <t>STOCKHOLMS LÄN</t>
        </is>
      </c>
      <c r="E460" t="inlineStr">
        <is>
          <t>NORRTÄLJE</t>
        </is>
      </c>
      <c r="G460" t="n">
        <v>3.4</v>
      </c>
      <c r="H460" t="n">
        <v>0</v>
      </c>
      <c r="I460" t="n">
        <v>0</v>
      </c>
      <c r="J460" t="n">
        <v>0</v>
      </c>
      <c r="K460" t="n">
        <v>0</v>
      </c>
      <c r="L460" t="n">
        <v>0</v>
      </c>
      <c r="M460" t="n">
        <v>0</v>
      </c>
      <c r="N460" t="n">
        <v>0</v>
      </c>
      <c r="O460" t="n">
        <v>0</v>
      </c>
      <c r="P460" t="n">
        <v>0</v>
      </c>
      <c r="Q460" t="n">
        <v>0</v>
      </c>
      <c r="R460" s="2" t="inlineStr"/>
    </row>
    <row r="461" ht="15" customHeight="1">
      <c r="A461" t="inlineStr">
        <is>
          <t>A 41964-2025</t>
        </is>
      </c>
      <c r="B461" s="1" t="n">
        <v>45903.47270833333</v>
      </c>
      <c r="C461" s="1" t="n">
        <v>45925</v>
      </c>
      <c r="D461" t="inlineStr">
        <is>
          <t>STOCKHOLMS LÄN</t>
        </is>
      </c>
      <c r="E461" t="inlineStr">
        <is>
          <t>NORRTÄLJE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7903-2021</t>
        </is>
      </c>
      <c r="B462" s="1" t="n">
        <v>44243.33587962963</v>
      </c>
      <c r="C462" s="1" t="n">
        <v>45925</v>
      </c>
      <c r="D462" t="inlineStr">
        <is>
          <t>STOCKHOLMS LÄN</t>
        </is>
      </c>
      <c r="E462" t="inlineStr">
        <is>
          <t>NORRTÄLJE</t>
        </is>
      </c>
      <c r="G462" t="n">
        <v>3.5</v>
      </c>
      <c r="H462" t="n">
        <v>0</v>
      </c>
      <c r="I462" t="n">
        <v>0</v>
      </c>
      <c r="J462" t="n">
        <v>0</v>
      </c>
      <c r="K462" t="n">
        <v>0</v>
      </c>
      <c r="L462" t="n">
        <v>0</v>
      </c>
      <c r="M462" t="n">
        <v>0</v>
      </c>
      <c r="N462" t="n">
        <v>0</v>
      </c>
      <c r="O462" t="n">
        <v>0</v>
      </c>
      <c r="P462" t="n">
        <v>0</v>
      </c>
      <c r="Q462" t="n">
        <v>0</v>
      </c>
      <c r="R462" s="2" t="inlineStr"/>
    </row>
    <row r="463" ht="15" customHeight="1">
      <c r="A463" t="inlineStr">
        <is>
          <t>A 47481-2024</t>
        </is>
      </c>
      <c r="B463" s="1" t="n">
        <v>45587</v>
      </c>
      <c r="C463" s="1" t="n">
        <v>45925</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42038-2025</t>
        </is>
      </c>
      <c r="B464" s="1" t="n">
        <v>45903.61431712963</v>
      </c>
      <c r="C464" s="1" t="n">
        <v>45925</v>
      </c>
      <c r="D464" t="inlineStr">
        <is>
          <t>STOCKHOLMS LÄN</t>
        </is>
      </c>
      <c r="E464" t="inlineStr">
        <is>
          <t>NORRTÄLJE</t>
        </is>
      </c>
      <c r="F464" t="inlineStr">
        <is>
          <t>Sveaskog</t>
        </is>
      </c>
      <c r="G464" t="n">
        <v>6.4</v>
      </c>
      <c r="H464" t="n">
        <v>0</v>
      </c>
      <c r="I464" t="n">
        <v>0</v>
      </c>
      <c r="J464" t="n">
        <v>0</v>
      </c>
      <c r="K464" t="n">
        <v>0</v>
      </c>
      <c r="L464" t="n">
        <v>0</v>
      </c>
      <c r="M464" t="n">
        <v>0</v>
      </c>
      <c r="N464" t="n">
        <v>0</v>
      </c>
      <c r="O464" t="n">
        <v>0</v>
      </c>
      <c r="P464" t="n">
        <v>0</v>
      </c>
      <c r="Q464" t="n">
        <v>0</v>
      </c>
      <c r="R464" s="2" t="inlineStr"/>
    </row>
    <row r="465" ht="15" customHeight="1">
      <c r="A465" t="inlineStr">
        <is>
          <t>A 24933-2023</t>
        </is>
      </c>
      <c r="B465" s="1" t="n">
        <v>45085.5309375</v>
      </c>
      <c r="C465" s="1" t="n">
        <v>45925</v>
      </c>
      <c r="D465" t="inlineStr">
        <is>
          <t>STOCKHOLMS LÄN</t>
        </is>
      </c>
      <c r="E465" t="inlineStr">
        <is>
          <t>NORRTÄLJE</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58863-2024</t>
        </is>
      </c>
      <c r="B466" s="1" t="n">
        <v>45636.41572916666</v>
      </c>
      <c r="C466" s="1" t="n">
        <v>45925</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15447-2023</t>
        </is>
      </c>
      <c r="B467" s="1" t="n">
        <v>45020</v>
      </c>
      <c r="C467" s="1" t="n">
        <v>45925</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34391-2023</t>
        </is>
      </c>
      <c r="B468" s="1" t="n">
        <v>45139.51457175926</v>
      </c>
      <c r="C468" s="1" t="n">
        <v>45925</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11062-2024</t>
        </is>
      </c>
      <c r="B469" s="1" t="n">
        <v>45370</v>
      </c>
      <c r="C469" s="1" t="n">
        <v>45925</v>
      </c>
      <c r="D469" t="inlineStr">
        <is>
          <t>STOCKHOLMS LÄN</t>
        </is>
      </c>
      <c r="E469" t="inlineStr">
        <is>
          <t>NORRTÄLJE</t>
        </is>
      </c>
      <c r="G469" t="n">
        <v>3.2</v>
      </c>
      <c r="H469" t="n">
        <v>0</v>
      </c>
      <c r="I469" t="n">
        <v>0</v>
      </c>
      <c r="J469" t="n">
        <v>0</v>
      </c>
      <c r="K469" t="n">
        <v>0</v>
      </c>
      <c r="L469" t="n">
        <v>0</v>
      </c>
      <c r="M469" t="n">
        <v>0</v>
      </c>
      <c r="N469" t="n">
        <v>0</v>
      </c>
      <c r="O469" t="n">
        <v>0</v>
      </c>
      <c r="P469" t="n">
        <v>0</v>
      </c>
      <c r="Q469" t="n">
        <v>0</v>
      </c>
      <c r="R469" s="2" t="inlineStr"/>
    </row>
    <row r="470" ht="15" customHeight="1">
      <c r="A470" t="inlineStr">
        <is>
          <t>A 54273-2021</t>
        </is>
      </c>
      <c r="B470" s="1" t="n">
        <v>44470.72987268519</v>
      </c>
      <c r="C470" s="1" t="n">
        <v>45925</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43212-2022</t>
        </is>
      </c>
      <c r="B471" s="1" t="n">
        <v>44834.38636574074</v>
      </c>
      <c r="C471" s="1" t="n">
        <v>45925</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53312-2024</t>
        </is>
      </c>
      <c r="B472" s="1" t="n">
        <v>45614.39627314815</v>
      </c>
      <c r="C472" s="1" t="n">
        <v>45925</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45925</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41966-2025</t>
        </is>
      </c>
      <c r="B474" s="1" t="n">
        <v>45903.47456018518</v>
      </c>
      <c r="C474" s="1" t="n">
        <v>45925</v>
      </c>
      <c r="D474" t="inlineStr">
        <is>
          <t>STOCKHOLMS LÄN</t>
        </is>
      </c>
      <c r="E474" t="inlineStr">
        <is>
          <t>NORRTÄLJE</t>
        </is>
      </c>
      <c r="F474" t="inlineStr">
        <is>
          <t>Sveaskog</t>
        </is>
      </c>
      <c r="G474" t="n">
        <v>3.7</v>
      </c>
      <c r="H474" t="n">
        <v>0</v>
      </c>
      <c r="I474" t="n">
        <v>0</v>
      </c>
      <c r="J474" t="n">
        <v>0</v>
      </c>
      <c r="K474" t="n">
        <v>0</v>
      </c>
      <c r="L474" t="n">
        <v>0</v>
      </c>
      <c r="M474" t="n">
        <v>0</v>
      </c>
      <c r="N474" t="n">
        <v>0</v>
      </c>
      <c r="O474" t="n">
        <v>0</v>
      </c>
      <c r="P474" t="n">
        <v>0</v>
      </c>
      <c r="Q474" t="n">
        <v>0</v>
      </c>
      <c r="R474" s="2" t="inlineStr"/>
    </row>
    <row r="475" ht="15" customHeight="1">
      <c r="A475" t="inlineStr">
        <is>
          <t>A 21158-2022</t>
        </is>
      </c>
      <c r="B475" s="1" t="n">
        <v>44704</v>
      </c>
      <c r="C475" s="1" t="n">
        <v>45925</v>
      </c>
      <c r="D475" t="inlineStr">
        <is>
          <t>STOCKHOLMS LÄN</t>
        </is>
      </c>
      <c r="E475" t="inlineStr">
        <is>
          <t>NORRTÄLJE</t>
        </is>
      </c>
      <c r="G475" t="n">
        <v>17.8</v>
      </c>
      <c r="H475" t="n">
        <v>0</v>
      </c>
      <c r="I475" t="n">
        <v>0</v>
      </c>
      <c r="J475" t="n">
        <v>0</v>
      </c>
      <c r="K475" t="n">
        <v>0</v>
      </c>
      <c r="L475" t="n">
        <v>0</v>
      </c>
      <c r="M475" t="n">
        <v>0</v>
      </c>
      <c r="N475" t="n">
        <v>0</v>
      </c>
      <c r="O475" t="n">
        <v>0</v>
      </c>
      <c r="P475" t="n">
        <v>0</v>
      </c>
      <c r="Q475" t="n">
        <v>0</v>
      </c>
      <c r="R475" s="2" t="inlineStr"/>
    </row>
    <row r="476" ht="15" customHeight="1">
      <c r="A476" t="inlineStr">
        <is>
          <t>A 15915-2023</t>
        </is>
      </c>
      <c r="B476" s="1" t="n">
        <v>45022</v>
      </c>
      <c r="C476" s="1" t="n">
        <v>45925</v>
      </c>
      <c r="D476" t="inlineStr">
        <is>
          <t>STOCKHOLMS LÄN</t>
        </is>
      </c>
      <c r="E476" t="inlineStr">
        <is>
          <t>NORRTÄLJE</t>
        </is>
      </c>
      <c r="G476" t="n">
        <v>2.9</v>
      </c>
      <c r="H476" t="n">
        <v>0</v>
      </c>
      <c r="I476" t="n">
        <v>0</v>
      </c>
      <c r="J476" t="n">
        <v>0</v>
      </c>
      <c r="K476" t="n">
        <v>0</v>
      </c>
      <c r="L476" t="n">
        <v>0</v>
      </c>
      <c r="M476" t="n">
        <v>0</v>
      </c>
      <c r="N476" t="n">
        <v>0</v>
      </c>
      <c r="O476" t="n">
        <v>0</v>
      </c>
      <c r="P476" t="n">
        <v>0</v>
      </c>
      <c r="Q476" t="n">
        <v>0</v>
      </c>
      <c r="R476" s="2" t="inlineStr"/>
    </row>
    <row r="477" ht="15" customHeight="1">
      <c r="A477" t="inlineStr">
        <is>
          <t>A 58993-2022</t>
        </is>
      </c>
      <c r="B477" s="1" t="n">
        <v>44903</v>
      </c>
      <c r="C477" s="1" t="n">
        <v>45925</v>
      </c>
      <c r="D477" t="inlineStr">
        <is>
          <t>STOCKHOLMS LÄN</t>
        </is>
      </c>
      <c r="E477" t="inlineStr">
        <is>
          <t>NORRTÄLJE</t>
        </is>
      </c>
      <c r="G477" t="n">
        <v>2.3</v>
      </c>
      <c r="H477" t="n">
        <v>0</v>
      </c>
      <c r="I477" t="n">
        <v>0</v>
      </c>
      <c r="J477" t="n">
        <v>0</v>
      </c>
      <c r="K477" t="n">
        <v>0</v>
      </c>
      <c r="L477" t="n">
        <v>0</v>
      </c>
      <c r="M477" t="n">
        <v>0</v>
      </c>
      <c r="N477" t="n">
        <v>0</v>
      </c>
      <c r="O477" t="n">
        <v>0</v>
      </c>
      <c r="P477" t="n">
        <v>0</v>
      </c>
      <c r="Q477" t="n">
        <v>0</v>
      </c>
      <c r="R477" s="2" t="inlineStr"/>
    </row>
    <row r="478" ht="15" customHeight="1">
      <c r="A478" t="inlineStr">
        <is>
          <t>A 39905-2023</t>
        </is>
      </c>
      <c r="B478" s="1" t="n">
        <v>45168.44489583333</v>
      </c>
      <c r="C478" s="1" t="n">
        <v>45925</v>
      </c>
      <c r="D478" t="inlineStr">
        <is>
          <t>STOCKHOLMS LÄN</t>
        </is>
      </c>
      <c r="E478" t="inlineStr">
        <is>
          <t>NORRTÄLJE</t>
        </is>
      </c>
      <c r="F478" t="inlineStr">
        <is>
          <t>Holmen skog AB</t>
        </is>
      </c>
      <c r="G478" t="n">
        <v>1.5</v>
      </c>
      <c r="H478" t="n">
        <v>0</v>
      </c>
      <c r="I478" t="n">
        <v>0</v>
      </c>
      <c r="J478" t="n">
        <v>0</v>
      </c>
      <c r="K478" t="n">
        <v>0</v>
      </c>
      <c r="L478" t="n">
        <v>0</v>
      </c>
      <c r="M478" t="n">
        <v>0</v>
      </c>
      <c r="N478" t="n">
        <v>0</v>
      </c>
      <c r="O478" t="n">
        <v>0</v>
      </c>
      <c r="P478" t="n">
        <v>0</v>
      </c>
      <c r="Q478" t="n">
        <v>0</v>
      </c>
      <c r="R478" s="2" t="inlineStr"/>
    </row>
    <row r="479" ht="15" customHeight="1">
      <c r="A479" t="inlineStr">
        <is>
          <t>A 576-2023</t>
        </is>
      </c>
      <c r="B479" s="1" t="n">
        <v>44925</v>
      </c>
      <c r="C479" s="1" t="n">
        <v>45925</v>
      </c>
      <c r="D479" t="inlineStr">
        <is>
          <t>STOCKHOLMS LÄN</t>
        </is>
      </c>
      <c r="E479" t="inlineStr">
        <is>
          <t>NORRTÄLJE</t>
        </is>
      </c>
      <c r="G479" t="n">
        <v>7.2</v>
      </c>
      <c r="H479" t="n">
        <v>0</v>
      </c>
      <c r="I479" t="n">
        <v>0</v>
      </c>
      <c r="J479" t="n">
        <v>0</v>
      </c>
      <c r="K479" t="n">
        <v>0</v>
      </c>
      <c r="L479" t="n">
        <v>0</v>
      </c>
      <c r="M479" t="n">
        <v>0</v>
      </c>
      <c r="N479" t="n">
        <v>0</v>
      </c>
      <c r="O479" t="n">
        <v>0</v>
      </c>
      <c r="P479" t="n">
        <v>0</v>
      </c>
      <c r="Q479" t="n">
        <v>0</v>
      </c>
      <c r="R479" s="2" t="inlineStr"/>
    </row>
    <row r="480" ht="15" customHeight="1">
      <c r="A480" t="inlineStr">
        <is>
          <t>A 12908-2025</t>
        </is>
      </c>
      <c r="B480" s="1" t="n">
        <v>45733.82105324074</v>
      </c>
      <c r="C480" s="1" t="n">
        <v>45925</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68361-2021</t>
        </is>
      </c>
      <c r="B481" s="1" t="n">
        <v>44528.91494212963</v>
      </c>
      <c r="C481" s="1" t="n">
        <v>45925</v>
      </c>
      <c r="D481" t="inlineStr">
        <is>
          <t>STOCKHOLMS LÄN</t>
        </is>
      </c>
      <c r="E481" t="inlineStr">
        <is>
          <t>NORRTÄLJE</t>
        </is>
      </c>
      <c r="G481" t="n">
        <v>1.9</v>
      </c>
      <c r="H481" t="n">
        <v>0</v>
      </c>
      <c r="I481" t="n">
        <v>0</v>
      </c>
      <c r="J481" t="n">
        <v>0</v>
      </c>
      <c r="K481" t="n">
        <v>0</v>
      </c>
      <c r="L481" t="n">
        <v>0</v>
      </c>
      <c r="M481" t="n">
        <v>0</v>
      </c>
      <c r="N481" t="n">
        <v>0</v>
      </c>
      <c r="O481" t="n">
        <v>0</v>
      </c>
      <c r="P481" t="n">
        <v>0</v>
      </c>
      <c r="Q481" t="n">
        <v>0</v>
      </c>
      <c r="R481" s="2" t="inlineStr"/>
    </row>
    <row r="482" ht="15" customHeight="1">
      <c r="A482" t="inlineStr">
        <is>
          <t>A 50469-2022</t>
        </is>
      </c>
      <c r="B482" s="1" t="n">
        <v>44866.49827546296</v>
      </c>
      <c r="C482" s="1" t="n">
        <v>45925</v>
      </c>
      <c r="D482" t="inlineStr">
        <is>
          <t>STOCKHOLMS LÄN</t>
        </is>
      </c>
      <c r="E482" t="inlineStr">
        <is>
          <t>NORRTÄLJE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34295-2024</t>
        </is>
      </c>
      <c r="B483" s="1" t="n">
        <v>45524</v>
      </c>
      <c r="C483" s="1" t="n">
        <v>45925</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41976-2024</t>
        </is>
      </c>
      <c r="B484" s="1" t="n">
        <v>45561.62141203704</v>
      </c>
      <c r="C484" s="1" t="n">
        <v>45925</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6537-2024</t>
        </is>
      </c>
      <c r="B485" s="1" t="n">
        <v>45341.39853009259</v>
      </c>
      <c r="C485" s="1" t="n">
        <v>45925</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62206-2022</t>
        </is>
      </c>
      <c r="B486" s="1" t="n">
        <v>44922</v>
      </c>
      <c r="C486" s="1" t="n">
        <v>45925</v>
      </c>
      <c r="D486" t="inlineStr">
        <is>
          <t>STOCKHOLMS LÄN</t>
        </is>
      </c>
      <c r="E486" t="inlineStr">
        <is>
          <t>NORRTÄLJE</t>
        </is>
      </c>
      <c r="G486" t="n">
        <v>2.9</v>
      </c>
      <c r="H486" t="n">
        <v>0</v>
      </c>
      <c r="I486" t="n">
        <v>0</v>
      </c>
      <c r="J486" t="n">
        <v>0</v>
      </c>
      <c r="K486" t="n">
        <v>0</v>
      </c>
      <c r="L486" t="n">
        <v>0</v>
      </c>
      <c r="M486" t="n">
        <v>0</v>
      </c>
      <c r="N486" t="n">
        <v>0</v>
      </c>
      <c r="O486" t="n">
        <v>0</v>
      </c>
      <c r="P486" t="n">
        <v>0</v>
      </c>
      <c r="Q486" t="n">
        <v>0</v>
      </c>
      <c r="R486" s="2" t="inlineStr"/>
    </row>
    <row r="487" ht="15" customHeight="1">
      <c r="A487" t="inlineStr">
        <is>
          <t>A 33793-2022</t>
        </is>
      </c>
      <c r="B487" s="1" t="n">
        <v>44790</v>
      </c>
      <c r="C487" s="1" t="n">
        <v>45925</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48066-2020</t>
        </is>
      </c>
      <c r="B488" s="1" t="n">
        <v>44100</v>
      </c>
      <c r="C488" s="1" t="n">
        <v>45925</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52260-2022</t>
        </is>
      </c>
      <c r="B489" s="1" t="n">
        <v>44869</v>
      </c>
      <c r="C489" s="1" t="n">
        <v>45925</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30886-2022</t>
        </is>
      </c>
      <c r="B490" s="1" t="n">
        <v>44767.60601851852</v>
      </c>
      <c r="C490" s="1" t="n">
        <v>45925</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58989-2021</t>
        </is>
      </c>
      <c r="B491" s="1" t="n">
        <v>44490.02482638889</v>
      </c>
      <c r="C491" s="1" t="n">
        <v>45925</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58990-2021</t>
        </is>
      </c>
      <c r="B492" s="1" t="n">
        <v>44490.03621527777</v>
      </c>
      <c r="C492" s="1" t="n">
        <v>45925</v>
      </c>
      <c r="D492" t="inlineStr">
        <is>
          <t>STOCKHOLMS LÄN</t>
        </is>
      </c>
      <c r="E492" t="inlineStr">
        <is>
          <t>NORRTÄLJE</t>
        </is>
      </c>
      <c r="G492" t="n">
        <v>4.2</v>
      </c>
      <c r="H492" t="n">
        <v>0</v>
      </c>
      <c r="I492" t="n">
        <v>0</v>
      </c>
      <c r="J492" t="n">
        <v>0</v>
      </c>
      <c r="K492" t="n">
        <v>0</v>
      </c>
      <c r="L492" t="n">
        <v>0</v>
      </c>
      <c r="M492" t="n">
        <v>0</v>
      </c>
      <c r="N492" t="n">
        <v>0</v>
      </c>
      <c r="O492" t="n">
        <v>0</v>
      </c>
      <c r="P492" t="n">
        <v>0</v>
      </c>
      <c r="Q492" t="n">
        <v>0</v>
      </c>
      <c r="R492" s="2" t="inlineStr"/>
    </row>
    <row r="493" ht="15" customHeight="1">
      <c r="A493" t="inlineStr">
        <is>
          <t>A 11940-2023</t>
        </is>
      </c>
      <c r="B493" s="1" t="n">
        <v>44995</v>
      </c>
      <c r="C493" s="1" t="n">
        <v>45925</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17304-2024</t>
        </is>
      </c>
      <c r="B494" s="1" t="n">
        <v>45414</v>
      </c>
      <c r="C494" s="1" t="n">
        <v>45925</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16852-2024</t>
        </is>
      </c>
      <c r="B495" s="1" t="n">
        <v>45411.54768518519</v>
      </c>
      <c r="C495" s="1" t="n">
        <v>45925</v>
      </c>
      <c r="D495" t="inlineStr">
        <is>
          <t>STOCKHOLMS LÄN</t>
        </is>
      </c>
      <c r="E495" t="inlineStr">
        <is>
          <t>NORRTÄLJE</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4326-2023</t>
        </is>
      </c>
      <c r="B496" s="1" t="n">
        <v>44953.70481481482</v>
      </c>
      <c r="C496" s="1" t="n">
        <v>45925</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29266-2022</t>
        </is>
      </c>
      <c r="B497" s="1" t="n">
        <v>44750.66068287037</v>
      </c>
      <c r="C497" s="1" t="n">
        <v>45925</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29278-2022</t>
        </is>
      </c>
      <c r="B498" s="1" t="n">
        <v>44750</v>
      </c>
      <c r="C498" s="1" t="n">
        <v>45925</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39152-2025</t>
        </is>
      </c>
      <c r="B499" s="1" t="n">
        <v>45888</v>
      </c>
      <c r="C499" s="1" t="n">
        <v>45925</v>
      </c>
      <c r="D499" t="inlineStr">
        <is>
          <t>STOCKHOLMS LÄN</t>
        </is>
      </c>
      <c r="E499" t="inlineStr">
        <is>
          <t>NORRTÄLJE</t>
        </is>
      </c>
      <c r="G499" t="n">
        <v>4.6</v>
      </c>
      <c r="H499" t="n">
        <v>0</v>
      </c>
      <c r="I499" t="n">
        <v>0</v>
      </c>
      <c r="J499" t="n">
        <v>0</v>
      </c>
      <c r="K499" t="n">
        <v>0</v>
      </c>
      <c r="L499" t="n">
        <v>0</v>
      </c>
      <c r="M499" t="n">
        <v>0</v>
      </c>
      <c r="N499" t="n">
        <v>0</v>
      </c>
      <c r="O499" t="n">
        <v>0</v>
      </c>
      <c r="P499" t="n">
        <v>0</v>
      </c>
      <c r="Q499" t="n">
        <v>0</v>
      </c>
      <c r="R499" s="2" t="inlineStr"/>
    </row>
    <row r="500" ht="15" customHeight="1">
      <c r="A500" t="inlineStr">
        <is>
          <t>A 20698-2025</t>
        </is>
      </c>
      <c r="B500" s="1" t="n">
        <v>45776.47122685185</v>
      </c>
      <c r="C500" s="1" t="n">
        <v>45925</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55058-2021</t>
        </is>
      </c>
      <c r="B501" s="1" t="n">
        <v>44474.62141203704</v>
      </c>
      <c r="C501" s="1" t="n">
        <v>45925</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6401-2024</t>
        </is>
      </c>
      <c r="B502" s="1" t="n">
        <v>45338</v>
      </c>
      <c r="C502" s="1" t="n">
        <v>45925</v>
      </c>
      <c r="D502" t="inlineStr">
        <is>
          <t>STOCKHOLMS LÄN</t>
        </is>
      </c>
      <c r="E502" t="inlineStr">
        <is>
          <t>NORRTÄLJE</t>
        </is>
      </c>
      <c r="G502" t="n">
        <v>2.2</v>
      </c>
      <c r="H502" t="n">
        <v>0</v>
      </c>
      <c r="I502" t="n">
        <v>0</v>
      </c>
      <c r="J502" t="n">
        <v>0</v>
      </c>
      <c r="K502" t="n">
        <v>0</v>
      </c>
      <c r="L502" t="n">
        <v>0</v>
      </c>
      <c r="M502" t="n">
        <v>0</v>
      </c>
      <c r="N502" t="n">
        <v>0</v>
      </c>
      <c r="O502" t="n">
        <v>0</v>
      </c>
      <c r="P502" t="n">
        <v>0</v>
      </c>
      <c r="Q502" t="n">
        <v>0</v>
      </c>
      <c r="R502" s="2" t="inlineStr"/>
    </row>
    <row r="503" ht="15" customHeight="1">
      <c r="A503" t="inlineStr">
        <is>
          <t>A 40192-2023</t>
        </is>
      </c>
      <c r="B503" s="1" t="n">
        <v>45169</v>
      </c>
      <c r="C503" s="1" t="n">
        <v>45925</v>
      </c>
      <c r="D503" t="inlineStr">
        <is>
          <t>STOCKHOLMS LÄN</t>
        </is>
      </c>
      <c r="E503" t="inlineStr">
        <is>
          <t>NORRTÄLJE</t>
        </is>
      </c>
      <c r="F503" t="inlineStr">
        <is>
          <t>Kyrkan</t>
        </is>
      </c>
      <c r="G503" t="n">
        <v>0.7</v>
      </c>
      <c r="H503" t="n">
        <v>0</v>
      </c>
      <c r="I503" t="n">
        <v>0</v>
      </c>
      <c r="J503" t="n">
        <v>0</v>
      </c>
      <c r="K503" t="n">
        <v>0</v>
      </c>
      <c r="L503" t="n">
        <v>0</v>
      </c>
      <c r="M503" t="n">
        <v>0</v>
      </c>
      <c r="N503" t="n">
        <v>0</v>
      </c>
      <c r="O503" t="n">
        <v>0</v>
      </c>
      <c r="P503" t="n">
        <v>0</v>
      </c>
      <c r="Q503" t="n">
        <v>0</v>
      </c>
      <c r="R503" s="2" t="inlineStr"/>
    </row>
    <row r="504" ht="15" customHeight="1">
      <c r="A504" t="inlineStr">
        <is>
          <t>A 33385-2024</t>
        </is>
      </c>
      <c r="B504" s="1" t="n">
        <v>45519</v>
      </c>
      <c r="C504" s="1" t="n">
        <v>45925</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24501-2023</t>
        </is>
      </c>
      <c r="B505" s="1" t="n">
        <v>45082</v>
      </c>
      <c r="C505" s="1" t="n">
        <v>45925</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24520-2023</t>
        </is>
      </c>
      <c r="B506" s="1" t="n">
        <v>45082.68922453704</v>
      </c>
      <c r="C506" s="1" t="n">
        <v>45925</v>
      </c>
      <c r="D506" t="inlineStr">
        <is>
          <t>STOCKHOLMS LÄN</t>
        </is>
      </c>
      <c r="E506" t="inlineStr">
        <is>
          <t>NORRTÄLJE</t>
        </is>
      </c>
      <c r="G506" t="n">
        <v>4.3</v>
      </c>
      <c r="H506" t="n">
        <v>0</v>
      </c>
      <c r="I506" t="n">
        <v>0</v>
      </c>
      <c r="J506" t="n">
        <v>0</v>
      </c>
      <c r="K506" t="n">
        <v>0</v>
      </c>
      <c r="L506" t="n">
        <v>0</v>
      </c>
      <c r="M506" t="n">
        <v>0</v>
      </c>
      <c r="N506" t="n">
        <v>0</v>
      </c>
      <c r="O506" t="n">
        <v>0</v>
      </c>
      <c r="P506" t="n">
        <v>0</v>
      </c>
      <c r="Q506" t="n">
        <v>0</v>
      </c>
      <c r="R506" s="2" t="inlineStr"/>
    </row>
    <row r="507" ht="15" customHeight="1">
      <c r="A507" t="inlineStr">
        <is>
          <t>A 29714-2023</t>
        </is>
      </c>
      <c r="B507" s="1" t="n">
        <v>45107.42538194444</v>
      </c>
      <c r="C507" s="1" t="n">
        <v>45925</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30508-2023</t>
        </is>
      </c>
      <c r="B508" s="1" t="n">
        <v>45111</v>
      </c>
      <c r="C508" s="1" t="n">
        <v>45925</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31281-2022</t>
        </is>
      </c>
      <c r="B509" s="1" t="n">
        <v>44771</v>
      </c>
      <c r="C509" s="1" t="n">
        <v>45925</v>
      </c>
      <c r="D509" t="inlineStr">
        <is>
          <t>STOCKHOLMS LÄN</t>
        </is>
      </c>
      <c r="E509" t="inlineStr">
        <is>
          <t>NORRTÄLJE</t>
        </is>
      </c>
      <c r="F509" t="inlineStr">
        <is>
          <t>Holmen skog AB</t>
        </is>
      </c>
      <c r="G509" t="n">
        <v>5.2</v>
      </c>
      <c r="H509" t="n">
        <v>0</v>
      </c>
      <c r="I509" t="n">
        <v>0</v>
      </c>
      <c r="J509" t="n">
        <v>0</v>
      </c>
      <c r="K509" t="n">
        <v>0</v>
      </c>
      <c r="L509" t="n">
        <v>0</v>
      </c>
      <c r="M509" t="n">
        <v>0</v>
      </c>
      <c r="N509" t="n">
        <v>0</v>
      </c>
      <c r="O509" t="n">
        <v>0</v>
      </c>
      <c r="P509" t="n">
        <v>0</v>
      </c>
      <c r="Q509" t="n">
        <v>0</v>
      </c>
      <c r="R509" s="2" t="inlineStr"/>
    </row>
    <row r="510" ht="15" customHeight="1">
      <c r="A510" t="inlineStr">
        <is>
          <t>A 4035-2023</t>
        </is>
      </c>
      <c r="B510" s="1" t="n">
        <v>44952.57989583333</v>
      </c>
      <c r="C510" s="1" t="n">
        <v>45925</v>
      </c>
      <c r="D510" t="inlineStr">
        <is>
          <t>STOCKHOLMS LÄN</t>
        </is>
      </c>
      <c r="E510" t="inlineStr">
        <is>
          <t>NORRTÄLJE</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45925</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26644-2024</t>
        </is>
      </c>
      <c r="B512" s="1" t="n">
        <v>45469</v>
      </c>
      <c r="C512" s="1" t="n">
        <v>45925</v>
      </c>
      <c r="D512" t="inlineStr">
        <is>
          <t>STOCKHOLMS LÄN</t>
        </is>
      </c>
      <c r="E512" t="inlineStr">
        <is>
          <t>NORRTÄLJE</t>
        </is>
      </c>
      <c r="G512" t="n">
        <v>4.3</v>
      </c>
      <c r="H512" t="n">
        <v>0</v>
      </c>
      <c r="I512" t="n">
        <v>0</v>
      </c>
      <c r="J512" t="n">
        <v>0</v>
      </c>
      <c r="K512" t="n">
        <v>0</v>
      </c>
      <c r="L512" t="n">
        <v>0</v>
      </c>
      <c r="M512" t="n">
        <v>0</v>
      </c>
      <c r="N512" t="n">
        <v>0</v>
      </c>
      <c r="O512" t="n">
        <v>0</v>
      </c>
      <c r="P512" t="n">
        <v>0</v>
      </c>
      <c r="Q512" t="n">
        <v>0</v>
      </c>
      <c r="R512" s="2" t="inlineStr"/>
    </row>
    <row r="513" ht="15" customHeight="1">
      <c r="A513" t="inlineStr">
        <is>
          <t>A 26668-2024</t>
        </is>
      </c>
      <c r="B513" s="1" t="n">
        <v>45469</v>
      </c>
      <c r="C513" s="1" t="n">
        <v>45925</v>
      </c>
      <c r="D513" t="inlineStr">
        <is>
          <t>STOCKHOLMS LÄN</t>
        </is>
      </c>
      <c r="E513" t="inlineStr">
        <is>
          <t>NORRTÄLJE</t>
        </is>
      </c>
      <c r="G513" t="n">
        <v>4.8</v>
      </c>
      <c r="H513" t="n">
        <v>0</v>
      </c>
      <c r="I513" t="n">
        <v>0</v>
      </c>
      <c r="J513" t="n">
        <v>0</v>
      </c>
      <c r="K513" t="n">
        <v>0</v>
      </c>
      <c r="L513" t="n">
        <v>0</v>
      </c>
      <c r="M513" t="n">
        <v>0</v>
      </c>
      <c r="N513" t="n">
        <v>0</v>
      </c>
      <c r="O513" t="n">
        <v>0</v>
      </c>
      <c r="P513" t="n">
        <v>0</v>
      </c>
      <c r="Q513" t="n">
        <v>0</v>
      </c>
      <c r="R513" s="2" t="inlineStr"/>
    </row>
    <row r="514" ht="15" customHeight="1">
      <c r="A514" t="inlineStr">
        <is>
          <t>A 38612-2022</t>
        </is>
      </c>
      <c r="B514" s="1" t="n">
        <v>44813</v>
      </c>
      <c r="C514" s="1" t="n">
        <v>45925</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36396-2025</t>
        </is>
      </c>
      <c r="B515" s="1" t="n">
        <v>45868.62267361111</v>
      </c>
      <c r="C515" s="1" t="n">
        <v>45925</v>
      </c>
      <c r="D515" t="inlineStr">
        <is>
          <t>STOCKHOLMS LÄN</t>
        </is>
      </c>
      <c r="E515" t="inlineStr">
        <is>
          <t>NORRTÄLJE</t>
        </is>
      </c>
      <c r="G515" t="n">
        <v>4.1</v>
      </c>
      <c r="H515" t="n">
        <v>0</v>
      </c>
      <c r="I515" t="n">
        <v>0</v>
      </c>
      <c r="J515" t="n">
        <v>0</v>
      </c>
      <c r="K515" t="n">
        <v>0</v>
      </c>
      <c r="L515" t="n">
        <v>0</v>
      </c>
      <c r="M515" t="n">
        <v>0</v>
      </c>
      <c r="N515" t="n">
        <v>0</v>
      </c>
      <c r="O515" t="n">
        <v>0</v>
      </c>
      <c r="P515" t="n">
        <v>0</v>
      </c>
      <c r="Q515" t="n">
        <v>0</v>
      </c>
      <c r="R515" s="2" t="inlineStr"/>
    </row>
    <row r="516" ht="15" customHeight="1">
      <c r="A516" t="inlineStr">
        <is>
          <t>A 8296-2023</t>
        </is>
      </c>
      <c r="B516" s="1" t="n">
        <v>44974</v>
      </c>
      <c r="C516" s="1" t="n">
        <v>45925</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33040-2021</t>
        </is>
      </c>
      <c r="B517" s="1" t="n">
        <v>44376.50728009259</v>
      </c>
      <c r="C517" s="1" t="n">
        <v>45925</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26117-2024</t>
        </is>
      </c>
      <c r="B518" s="1" t="n">
        <v>45468.45877314815</v>
      </c>
      <c r="C518" s="1" t="n">
        <v>45925</v>
      </c>
      <c r="D518" t="inlineStr">
        <is>
          <t>STOCKHOLMS LÄN</t>
        </is>
      </c>
      <c r="E518" t="inlineStr">
        <is>
          <t>NORRTÄLJE</t>
        </is>
      </c>
      <c r="G518" t="n">
        <v>2.4</v>
      </c>
      <c r="H518" t="n">
        <v>0</v>
      </c>
      <c r="I518" t="n">
        <v>0</v>
      </c>
      <c r="J518" t="n">
        <v>0</v>
      </c>
      <c r="K518" t="n">
        <v>0</v>
      </c>
      <c r="L518" t="n">
        <v>0</v>
      </c>
      <c r="M518" t="n">
        <v>0</v>
      </c>
      <c r="N518" t="n">
        <v>0</v>
      </c>
      <c r="O518" t="n">
        <v>0</v>
      </c>
      <c r="P518" t="n">
        <v>0</v>
      </c>
      <c r="Q518" t="n">
        <v>0</v>
      </c>
      <c r="R518" s="2" t="inlineStr"/>
    </row>
    <row r="519" ht="15" customHeight="1">
      <c r="A519" t="inlineStr">
        <is>
          <t>A 61113-2023</t>
        </is>
      </c>
      <c r="B519" s="1" t="n">
        <v>45261</v>
      </c>
      <c r="C519" s="1" t="n">
        <v>45925</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31236-2022</t>
        </is>
      </c>
      <c r="B520" s="1" t="n">
        <v>44771</v>
      </c>
      <c r="C520" s="1" t="n">
        <v>45925</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37085-2021</t>
        </is>
      </c>
      <c r="B521" s="1" t="n">
        <v>44395</v>
      </c>
      <c r="C521" s="1" t="n">
        <v>45925</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60822-2023</t>
        </is>
      </c>
      <c r="B522" s="1" t="n">
        <v>45259</v>
      </c>
      <c r="C522" s="1" t="n">
        <v>45925</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59310-2023</t>
        </is>
      </c>
      <c r="B523" s="1" t="n">
        <v>45253.61146990741</v>
      </c>
      <c r="C523" s="1" t="n">
        <v>45925</v>
      </c>
      <c r="D523" t="inlineStr">
        <is>
          <t>STOCKHOLMS LÄN</t>
        </is>
      </c>
      <c r="E523" t="inlineStr">
        <is>
          <t>NORRTÄLJE</t>
        </is>
      </c>
      <c r="G523" t="n">
        <v>1.3</v>
      </c>
      <c r="H523" t="n">
        <v>0</v>
      </c>
      <c r="I523" t="n">
        <v>0</v>
      </c>
      <c r="J523" t="n">
        <v>0</v>
      </c>
      <c r="K523" t="n">
        <v>0</v>
      </c>
      <c r="L523" t="n">
        <v>0</v>
      </c>
      <c r="M523" t="n">
        <v>0</v>
      </c>
      <c r="N523" t="n">
        <v>0</v>
      </c>
      <c r="O523" t="n">
        <v>0</v>
      </c>
      <c r="P523" t="n">
        <v>0</v>
      </c>
      <c r="Q523" t="n">
        <v>0</v>
      </c>
      <c r="R523" s="2" t="inlineStr"/>
    </row>
    <row r="524" ht="15" customHeight="1">
      <c r="A524" t="inlineStr">
        <is>
          <t>A 20343-2024</t>
        </is>
      </c>
      <c r="B524" s="1" t="n">
        <v>45435.43466435185</v>
      </c>
      <c r="C524" s="1" t="n">
        <v>45925</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20345-2024</t>
        </is>
      </c>
      <c r="B525" s="1" t="n">
        <v>45435.43820601852</v>
      </c>
      <c r="C525" s="1" t="n">
        <v>45925</v>
      </c>
      <c r="D525" t="inlineStr">
        <is>
          <t>STOCKHOLMS LÄN</t>
        </is>
      </c>
      <c r="E525" t="inlineStr">
        <is>
          <t>NORRTÄLJE</t>
        </is>
      </c>
      <c r="G525" t="n">
        <v>3.8</v>
      </c>
      <c r="H525" t="n">
        <v>0</v>
      </c>
      <c r="I525" t="n">
        <v>0</v>
      </c>
      <c r="J525" t="n">
        <v>0</v>
      </c>
      <c r="K525" t="n">
        <v>0</v>
      </c>
      <c r="L525" t="n">
        <v>0</v>
      </c>
      <c r="M525" t="n">
        <v>0</v>
      </c>
      <c r="N525" t="n">
        <v>0</v>
      </c>
      <c r="O525" t="n">
        <v>0</v>
      </c>
      <c r="P525" t="n">
        <v>0</v>
      </c>
      <c r="Q525" t="n">
        <v>0</v>
      </c>
      <c r="R525" s="2" t="inlineStr"/>
    </row>
    <row r="526" ht="15" customHeight="1">
      <c r="A526" t="inlineStr">
        <is>
          <t>A 55890-2020</t>
        </is>
      </c>
      <c r="B526" s="1" t="n">
        <v>44132</v>
      </c>
      <c r="C526" s="1" t="n">
        <v>45925</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52593-2024</t>
        </is>
      </c>
      <c r="B527" s="1" t="n">
        <v>45609.70778935185</v>
      </c>
      <c r="C527" s="1" t="n">
        <v>45925</v>
      </c>
      <c r="D527" t="inlineStr">
        <is>
          <t>STOCKHOLMS LÄN</t>
        </is>
      </c>
      <c r="E527" t="inlineStr">
        <is>
          <t>NORRTÄLJE</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52617-2024</t>
        </is>
      </c>
      <c r="B528" s="1" t="n">
        <v>45609.85146990741</v>
      </c>
      <c r="C528" s="1" t="n">
        <v>45925</v>
      </c>
      <c r="D528" t="inlineStr">
        <is>
          <t>STOCKHOLMS LÄN</t>
        </is>
      </c>
      <c r="E528" t="inlineStr">
        <is>
          <t>NORRTÄLJE</t>
        </is>
      </c>
      <c r="G528" t="n">
        <v>0.8</v>
      </c>
      <c r="H528" t="n">
        <v>0</v>
      </c>
      <c r="I528" t="n">
        <v>0</v>
      </c>
      <c r="J528" t="n">
        <v>0</v>
      </c>
      <c r="K528" t="n">
        <v>0</v>
      </c>
      <c r="L528" t="n">
        <v>0</v>
      </c>
      <c r="M528" t="n">
        <v>0</v>
      </c>
      <c r="N528" t="n">
        <v>0</v>
      </c>
      <c r="O528" t="n">
        <v>0</v>
      </c>
      <c r="P528" t="n">
        <v>0</v>
      </c>
      <c r="Q528" t="n">
        <v>0</v>
      </c>
      <c r="R528" s="2" t="inlineStr"/>
    </row>
    <row r="529" ht="15" customHeight="1">
      <c r="A529" t="inlineStr">
        <is>
          <t>A 27824-2022</t>
        </is>
      </c>
      <c r="B529" s="1" t="n">
        <v>44743.59331018518</v>
      </c>
      <c r="C529" s="1" t="n">
        <v>45925</v>
      </c>
      <c r="D529" t="inlineStr">
        <is>
          <t>STOCKHOLMS LÄN</t>
        </is>
      </c>
      <c r="E529" t="inlineStr">
        <is>
          <t>NORRTÄLJE</t>
        </is>
      </c>
      <c r="F529" t="inlineStr">
        <is>
          <t>Kommuner</t>
        </is>
      </c>
      <c r="G529" t="n">
        <v>3.1</v>
      </c>
      <c r="H529" t="n">
        <v>0</v>
      </c>
      <c r="I529" t="n">
        <v>0</v>
      </c>
      <c r="J529" t="n">
        <v>0</v>
      </c>
      <c r="K529" t="n">
        <v>0</v>
      </c>
      <c r="L529" t="n">
        <v>0</v>
      </c>
      <c r="M529" t="n">
        <v>0</v>
      </c>
      <c r="N529" t="n">
        <v>0</v>
      </c>
      <c r="O529" t="n">
        <v>0</v>
      </c>
      <c r="P529" t="n">
        <v>0</v>
      </c>
      <c r="Q529" t="n">
        <v>0</v>
      </c>
      <c r="R529" s="2" t="inlineStr"/>
    </row>
    <row r="530" ht="15" customHeight="1">
      <c r="A530" t="inlineStr">
        <is>
          <t>A 55010-2024</t>
        </is>
      </c>
      <c r="B530" s="1" t="n">
        <v>45621.34425925926</v>
      </c>
      <c r="C530" s="1" t="n">
        <v>45925</v>
      </c>
      <c r="D530" t="inlineStr">
        <is>
          <t>STOCKHOLMS LÄN</t>
        </is>
      </c>
      <c r="E530" t="inlineStr">
        <is>
          <t>NORRTÄLJE</t>
        </is>
      </c>
      <c r="F530" t="inlineStr">
        <is>
          <t>Sveaskog</t>
        </is>
      </c>
      <c r="G530" t="n">
        <v>5.7</v>
      </c>
      <c r="H530" t="n">
        <v>0</v>
      </c>
      <c r="I530" t="n">
        <v>0</v>
      </c>
      <c r="J530" t="n">
        <v>0</v>
      </c>
      <c r="K530" t="n">
        <v>0</v>
      </c>
      <c r="L530" t="n">
        <v>0</v>
      </c>
      <c r="M530" t="n">
        <v>0</v>
      </c>
      <c r="N530" t="n">
        <v>0</v>
      </c>
      <c r="O530" t="n">
        <v>0</v>
      </c>
      <c r="P530" t="n">
        <v>0</v>
      </c>
      <c r="Q530" t="n">
        <v>0</v>
      </c>
      <c r="R530" s="2" t="inlineStr"/>
    </row>
    <row r="531" ht="15" customHeight="1">
      <c r="A531" t="inlineStr">
        <is>
          <t>A 55018-2024</t>
        </is>
      </c>
      <c r="B531" s="1" t="n">
        <v>45621.35712962963</v>
      </c>
      <c r="C531" s="1" t="n">
        <v>45925</v>
      </c>
      <c r="D531" t="inlineStr">
        <is>
          <t>STOCKHOLMS LÄN</t>
        </is>
      </c>
      <c r="E531" t="inlineStr">
        <is>
          <t>NORRTÄLJE</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43269-2025</t>
        </is>
      </c>
      <c r="B532" s="1" t="n">
        <v>45910.5819212963</v>
      </c>
      <c r="C532" s="1" t="n">
        <v>45925</v>
      </c>
      <c r="D532" t="inlineStr">
        <is>
          <t>STOCKHOLMS LÄN</t>
        </is>
      </c>
      <c r="E532" t="inlineStr">
        <is>
          <t>NORRTÄLJE</t>
        </is>
      </c>
      <c r="G532" t="n">
        <v>3.7</v>
      </c>
      <c r="H532" t="n">
        <v>0</v>
      </c>
      <c r="I532" t="n">
        <v>0</v>
      </c>
      <c r="J532" t="n">
        <v>0</v>
      </c>
      <c r="K532" t="n">
        <v>0</v>
      </c>
      <c r="L532" t="n">
        <v>0</v>
      </c>
      <c r="M532" t="n">
        <v>0</v>
      </c>
      <c r="N532" t="n">
        <v>0</v>
      </c>
      <c r="O532" t="n">
        <v>0</v>
      </c>
      <c r="P532" t="n">
        <v>0</v>
      </c>
      <c r="Q532" t="n">
        <v>0</v>
      </c>
      <c r="R532" s="2" t="inlineStr"/>
    </row>
    <row r="533" ht="15" customHeight="1">
      <c r="A533" t="inlineStr">
        <is>
          <t>A 22232-2024</t>
        </is>
      </c>
      <c r="B533" s="1" t="n">
        <v>45446.4287962963</v>
      </c>
      <c r="C533" s="1" t="n">
        <v>45925</v>
      </c>
      <c r="D533" t="inlineStr">
        <is>
          <t>STOCKHOLMS LÄN</t>
        </is>
      </c>
      <c r="E533" t="inlineStr">
        <is>
          <t>NORRTÄLJE</t>
        </is>
      </c>
      <c r="G533" t="n">
        <v>12.8</v>
      </c>
      <c r="H533" t="n">
        <v>0</v>
      </c>
      <c r="I533" t="n">
        <v>0</v>
      </c>
      <c r="J533" t="n">
        <v>0</v>
      </c>
      <c r="K533" t="n">
        <v>0</v>
      </c>
      <c r="L533" t="n">
        <v>0</v>
      </c>
      <c r="M533" t="n">
        <v>0</v>
      </c>
      <c r="N533" t="n">
        <v>0</v>
      </c>
      <c r="O533" t="n">
        <v>0</v>
      </c>
      <c r="P533" t="n">
        <v>0</v>
      </c>
      <c r="Q533" t="n">
        <v>0</v>
      </c>
      <c r="R533" s="2" t="inlineStr"/>
    </row>
    <row r="534" ht="15" customHeight="1">
      <c r="A534" t="inlineStr">
        <is>
          <t>A 34444-2024</t>
        </is>
      </c>
      <c r="B534" s="1" t="n">
        <v>45525</v>
      </c>
      <c r="C534" s="1" t="n">
        <v>45925</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42856-2025</t>
        </is>
      </c>
      <c r="B535" s="1" t="n">
        <v>45908</v>
      </c>
      <c r="C535" s="1" t="n">
        <v>45925</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19058-2024</t>
        </is>
      </c>
      <c r="B536" s="1" t="n">
        <v>45427.89121527778</v>
      </c>
      <c r="C536" s="1" t="n">
        <v>45925</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50113-2024</t>
        </is>
      </c>
      <c r="B537" s="1" t="n">
        <v>45600.411875</v>
      </c>
      <c r="C537" s="1" t="n">
        <v>45925</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43169-2025</t>
        </is>
      </c>
      <c r="B538" s="1" t="n">
        <v>45910</v>
      </c>
      <c r="C538" s="1" t="n">
        <v>45925</v>
      </c>
      <c r="D538" t="inlineStr">
        <is>
          <t>STOCKHOLMS LÄN</t>
        </is>
      </c>
      <c r="E538" t="inlineStr">
        <is>
          <t>NORRTÄLJE</t>
        </is>
      </c>
      <c r="G538" t="n">
        <v>6.9</v>
      </c>
      <c r="H538" t="n">
        <v>0</v>
      </c>
      <c r="I538" t="n">
        <v>0</v>
      </c>
      <c r="J538" t="n">
        <v>0</v>
      </c>
      <c r="K538" t="n">
        <v>0</v>
      </c>
      <c r="L538" t="n">
        <v>0</v>
      </c>
      <c r="M538" t="n">
        <v>0</v>
      </c>
      <c r="N538" t="n">
        <v>0</v>
      </c>
      <c r="O538" t="n">
        <v>0</v>
      </c>
      <c r="P538" t="n">
        <v>0</v>
      </c>
      <c r="Q538" t="n">
        <v>0</v>
      </c>
      <c r="R538" s="2" t="inlineStr"/>
    </row>
    <row r="539" ht="15" customHeight="1">
      <c r="A539" t="inlineStr">
        <is>
          <t>A 20336-2024</t>
        </is>
      </c>
      <c r="B539" s="1" t="n">
        <v>45435.43123842592</v>
      </c>
      <c r="C539" s="1" t="n">
        <v>45925</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47521-2024</t>
        </is>
      </c>
      <c r="B540" s="1" t="n">
        <v>45587.62565972222</v>
      </c>
      <c r="C540" s="1" t="n">
        <v>45925</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46988-2024</t>
        </is>
      </c>
      <c r="B541" s="1" t="n">
        <v>45586</v>
      </c>
      <c r="C541" s="1" t="n">
        <v>45925</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64899-2023</t>
        </is>
      </c>
      <c r="B542" s="1" t="n">
        <v>45282</v>
      </c>
      <c r="C542" s="1" t="n">
        <v>45925</v>
      </c>
      <c r="D542" t="inlineStr">
        <is>
          <t>STOCKHOLMS LÄN</t>
        </is>
      </c>
      <c r="E542" t="inlineStr">
        <is>
          <t>NORRTÄLJE</t>
        </is>
      </c>
      <c r="G542" t="n">
        <v>6.3</v>
      </c>
      <c r="H542" t="n">
        <v>0</v>
      </c>
      <c r="I542" t="n">
        <v>0</v>
      </c>
      <c r="J542" t="n">
        <v>0</v>
      </c>
      <c r="K542" t="n">
        <v>0</v>
      </c>
      <c r="L542" t="n">
        <v>0</v>
      </c>
      <c r="M542" t="n">
        <v>0</v>
      </c>
      <c r="N542" t="n">
        <v>0</v>
      </c>
      <c r="O542" t="n">
        <v>0</v>
      </c>
      <c r="P542" t="n">
        <v>0</v>
      </c>
      <c r="Q542" t="n">
        <v>0</v>
      </c>
      <c r="R542" s="2" t="inlineStr"/>
    </row>
    <row r="543" ht="15" customHeight="1">
      <c r="A543" t="inlineStr">
        <is>
          <t>A 71552-2021</t>
        </is>
      </c>
      <c r="B543" s="1" t="n">
        <v>44540</v>
      </c>
      <c r="C543" s="1" t="n">
        <v>45925</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1847-2023</t>
        </is>
      </c>
      <c r="B544" s="1" t="n">
        <v>44938</v>
      </c>
      <c r="C544" s="1" t="n">
        <v>45925</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11122-2021</t>
        </is>
      </c>
      <c r="B545" s="1" t="n">
        <v>44260</v>
      </c>
      <c r="C545" s="1" t="n">
        <v>45925</v>
      </c>
      <c r="D545" t="inlineStr">
        <is>
          <t>STOCKHOLMS LÄN</t>
        </is>
      </c>
      <c r="E545" t="inlineStr">
        <is>
          <t>NORRTÄLJE</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17382-2024</t>
        </is>
      </c>
      <c r="B546" s="1" t="n">
        <v>45414.65855324074</v>
      </c>
      <c r="C546" s="1" t="n">
        <v>45925</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56166-2020</t>
        </is>
      </c>
      <c r="B547" s="1" t="n">
        <v>44133</v>
      </c>
      <c r="C547" s="1" t="n">
        <v>45925</v>
      </c>
      <c r="D547" t="inlineStr">
        <is>
          <t>STOCKHOLMS LÄN</t>
        </is>
      </c>
      <c r="E547" t="inlineStr">
        <is>
          <t>NORRTÄLJE</t>
        </is>
      </c>
      <c r="G547" t="n">
        <v>4.4</v>
      </c>
      <c r="H547" t="n">
        <v>0</v>
      </c>
      <c r="I547" t="n">
        <v>0</v>
      </c>
      <c r="J547" t="n">
        <v>0</v>
      </c>
      <c r="K547" t="n">
        <v>0</v>
      </c>
      <c r="L547" t="n">
        <v>0</v>
      </c>
      <c r="M547" t="n">
        <v>0</v>
      </c>
      <c r="N547" t="n">
        <v>0</v>
      </c>
      <c r="O547" t="n">
        <v>0</v>
      </c>
      <c r="P547" t="n">
        <v>0</v>
      </c>
      <c r="Q547" t="n">
        <v>0</v>
      </c>
      <c r="R547" s="2" t="inlineStr"/>
    </row>
    <row r="548" ht="15" customHeight="1">
      <c r="A548" t="inlineStr">
        <is>
          <t>A 25557-2023</t>
        </is>
      </c>
      <c r="B548" s="1" t="n">
        <v>45089</v>
      </c>
      <c r="C548" s="1" t="n">
        <v>45925</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50534-2024</t>
        </is>
      </c>
      <c r="B549" s="1" t="n">
        <v>45601.56726851852</v>
      </c>
      <c r="C549" s="1" t="n">
        <v>45925</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29362-2022</t>
        </is>
      </c>
      <c r="B550" s="1" t="n">
        <v>44753</v>
      </c>
      <c r="C550" s="1" t="n">
        <v>45925</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42094-2023</t>
        </is>
      </c>
      <c r="B551" s="1" t="n">
        <v>45177.61498842593</v>
      </c>
      <c r="C551" s="1" t="n">
        <v>45925</v>
      </c>
      <c r="D551" t="inlineStr">
        <is>
          <t>STOCKHOLMS LÄN</t>
        </is>
      </c>
      <c r="E551" t="inlineStr">
        <is>
          <t>NORRTÄLJE</t>
        </is>
      </c>
      <c r="G551" t="n">
        <v>0.3</v>
      </c>
      <c r="H551" t="n">
        <v>0</v>
      </c>
      <c r="I551" t="n">
        <v>0</v>
      </c>
      <c r="J551" t="n">
        <v>0</v>
      </c>
      <c r="K551" t="n">
        <v>0</v>
      </c>
      <c r="L551" t="n">
        <v>0</v>
      </c>
      <c r="M551" t="n">
        <v>0</v>
      </c>
      <c r="N551" t="n">
        <v>0</v>
      </c>
      <c r="O551" t="n">
        <v>0</v>
      </c>
      <c r="P551" t="n">
        <v>0</v>
      </c>
      <c r="Q551" t="n">
        <v>0</v>
      </c>
      <c r="R551" s="2" t="inlineStr"/>
    </row>
    <row r="552" ht="15" customHeight="1">
      <c r="A552" t="inlineStr">
        <is>
          <t>A 58530-2024</t>
        </is>
      </c>
      <c r="B552" s="1" t="n">
        <v>45635.44788194444</v>
      </c>
      <c r="C552" s="1" t="n">
        <v>45925</v>
      </c>
      <c r="D552" t="inlineStr">
        <is>
          <t>STOCKHOLMS LÄN</t>
        </is>
      </c>
      <c r="E552" t="inlineStr">
        <is>
          <t>NORRTÄLJE</t>
        </is>
      </c>
      <c r="G552" t="n">
        <v>4.5</v>
      </c>
      <c r="H552" t="n">
        <v>0</v>
      </c>
      <c r="I552" t="n">
        <v>0</v>
      </c>
      <c r="J552" t="n">
        <v>0</v>
      </c>
      <c r="K552" t="n">
        <v>0</v>
      </c>
      <c r="L552" t="n">
        <v>0</v>
      </c>
      <c r="M552" t="n">
        <v>0</v>
      </c>
      <c r="N552" t="n">
        <v>0</v>
      </c>
      <c r="O552" t="n">
        <v>0</v>
      </c>
      <c r="P552" t="n">
        <v>0</v>
      </c>
      <c r="Q552" t="n">
        <v>0</v>
      </c>
      <c r="R552" s="2" t="inlineStr"/>
    </row>
    <row r="553" ht="15" customHeight="1">
      <c r="A553" t="inlineStr">
        <is>
          <t>A 9914-2023</t>
        </is>
      </c>
      <c r="B553" s="1" t="n">
        <v>44985</v>
      </c>
      <c r="C553" s="1" t="n">
        <v>45925</v>
      </c>
      <c r="D553" t="inlineStr">
        <is>
          <t>STOCKHOLMS LÄN</t>
        </is>
      </c>
      <c r="E553" t="inlineStr">
        <is>
          <t>NORRTÄLJE</t>
        </is>
      </c>
      <c r="G553" t="n">
        <v>4.2</v>
      </c>
      <c r="H553" t="n">
        <v>0</v>
      </c>
      <c r="I553" t="n">
        <v>0</v>
      </c>
      <c r="J553" t="n">
        <v>0</v>
      </c>
      <c r="K553" t="n">
        <v>0</v>
      </c>
      <c r="L553" t="n">
        <v>0</v>
      </c>
      <c r="M553" t="n">
        <v>0</v>
      </c>
      <c r="N553" t="n">
        <v>0</v>
      </c>
      <c r="O553" t="n">
        <v>0</v>
      </c>
      <c r="P553" t="n">
        <v>0</v>
      </c>
      <c r="Q553" t="n">
        <v>0</v>
      </c>
      <c r="R553" s="2" t="inlineStr"/>
    </row>
    <row r="554" ht="15" customHeight="1">
      <c r="A554" t="inlineStr">
        <is>
          <t>A 30620-2022</t>
        </is>
      </c>
      <c r="B554" s="1" t="n">
        <v>44763.40914351852</v>
      </c>
      <c r="C554" s="1" t="n">
        <v>45925</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20291-2022</t>
        </is>
      </c>
      <c r="B555" s="1" t="n">
        <v>44698</v>
      </c>
      <c r="C555" s="1" t="n">
        <v>45925</v>
      </c>
      <c r="D555" t="inlineStr">
        <is>
          <t>STOCKHOLMS LÄN</t>
        </is>
      </c>
      <c r="E555" t="inlineStr">
        <is>
          <t>NORRTÄLJE</t>
        </is>
      </c>
      <c r="F555" t="inlineStr">
        <is>
          <t>Naturvårdsverket</t>
        </is>
      </c>
      <c r="G555" t="n">
        <v>2</v>
      </c>
      <c r="H555" t="n">
        <v>0</v>
      </c>
      <c r="I555" t="n">
        <v>0</v>
      </c>
      <c r="J555" t="n">
        <v>0</v>
      </c>
      <c r="K555" t="n">
        <v>0</v>
      </c>
      <c r="L555" t="n">
        <v>0</v>
      </c>
      <c r="M555" t="n">
        <v>0</v>
      </c>
      <c r="N555" t="n">
        <v>0</v>
      </c>
      <c r="O555" t="n">
        <v>0</v>
      </c>
      <c r="P555" t="n">
        <v>0</v>
      </c>
      <c r="Q555" t="n">
        <v>0</v>
      </c>
      <c r="R555" s="2" t="inlineStr"/>
    </row>
    <row r="556" ht="15" customHeight="1">
      <c r="A556" t="inlineStr">
        <is>
          <t>A 60525-2022</t>
        </is>
      </c>
      <c r="B556" s="1" t="n">
        <v>44904</v>
      </c>
      <c r="C556" s="1" t="n">
        <v>45925</v>
      </c>
      <c r="D556" t="inlineStr">
        <is>
          <t>STOCKHOLMS LÄN</t>
        </is>
      </c>
      <c r="E556" t="inlineStr">
        <is>
          <t>NORRTÄLJE</t>
        </is>
      </c>
      <c r="G556" t="n">
        <v>13.4</v>
      </c>
      <c r="H556" t="n">
        <v>0</v>
      </c>
      <c r="I556" t="n">
        <v>0</v>
      </c>
      <c r="J556" t="n">
        <v>0</v>
      </c>
      <c r="K556" t="n">
        <v>0</v>
      </c>
      <c r="L556" t="n">
        <v>0</v>
      </c>
      <c r="M556" t="n">
        <v>0</v>
      </c>
      <c r="N556" t="n">
        <v>0</v>
      </c>
      <c r="O556" t="n">
        <v>0</v>
      </c>
      <c r="P556" t="n">
        <v>0</v>
      </c>
      <c r="Q556" t="n">
        <v>0</v>
      </c>
      <c r="R556" s="2" t="inlineStr"/>
    </row>
    <row r="557" ht="15" customHeight="1">
      <c r="A557" t="inlineStr">
        <is>
          <t>A 12302-2025</t>
        </is>
      </c>
      <c r="B557" s="1" t="n">
        <v>45729.72851851852</v>
      </c>
      <c r="C557" s="1" t="n">
        <v>45925</v>
      </c>
      <c r="D557" t="inlineStr">
        <is>
          <t>STOCKHOLMS LÄN</t>
        </is>
      </c>
      <c r="E557" t="inlineStr">
        <is>
          <t>NORRTÄLJE</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57602-2024</t>
        </is>
      </c>
      <c r="B558" s="1" t="n">
        <v>45630.52866898148</v>
      </c>
      <c r="C558" s="1" t="n">
        <v>45925</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57987-2020</t>
        </is>
      </c>
      <c r="B559" s="1" t="n">
        <v>44143</v>
      </c>
      <c r="C559" s="1" t="n">
        <v>45925</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58302-2022</t>
        </is>
      </c>
      <c r="B560" s="1" t="n">
        <v>44901</v>
      </c>
      <c r="C560" s="1" t="n">
        <v>45925</v>
      </c>
      <c r="D560" t="inlineStr">
        <is>
          <t>STOCKHOLMS LÄN</t>
        </is>
      </c>
      <c r="E560" t="inlineStr">
        <is>
          <t>NORRTÄLJE</t>
        </is>
      </c>
      <c r="G560" t="n">
        <v>3.9</v>
      </c>
      <c r="H560" t="n">
        <v>0</v>
      </c>
      <c r="I560" t="n">
        <v>0</v>
      </c>
      <c r="J560" t="n">
        <v>0</v>
      </c>
      <c r="K560" t="n">
        <v>0</v>
      </c>
      <c r="L560" t="n">
        <v>0</v>
      </c>
      <c r="M560" t="n">
        <v>0</v>
      </c>
      <c r="N560" t="n">
        <v>0</v>
      </c>
      <c r="O560" t="n">
        <v>0</v>
      </c>
      <c r="P560" t="n">
        <v>0</v>
      </c>
      <c r="Q560" t="n">
        <v>0</v>
      </c>
      <c r="R560" s="2" t="inlineStr"/>
    </row>
    <row r="561" ht="15" customHeight="1">
      <c r="A561" t="inlineStr">
        <is>
          <t>A 11854-2025</t>
        </is>
      </c>
      <c r="B561" s="1" t="n">
        <v>45728.38924768518</v>
      </c>
      <c r="C561" s="1" t="n">
        <v>45925</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1283-2025</t>
        </is>
      </c>
      <c r="B562" s="1" t="n">
        <v>45667.49878472222</v>
      </c>
      <c r="C562" s="1" t="n">
        <v>45925</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31926-2022</t>
        </is>
      </c>
      <c r="B563" s="1" t="n">
        <v>44777</v>
      </c>
      <c r="C563" s="1" t="n">
        <v>45925</v>
      </c>
      <c r="D563" t="inlineStr">
        <is>
          <t>STOCKHOLMS LÄN</t>
        </is>
      </c>
      <c r="E563" t="inlineStr">
        <is>
          <t>NORRTÄLJE</t>
        </is>
      </c>
      <c r="G563" t="n">
        <v>5.2</v>
      </c>
      <c r="H563" t="n">
        <v>0</v>
      </c>
      <c r="I563" t="n">
        <v>0</v>
      </c>
      <c r="J563" t="n">
        <v>0</v>
      </c>
      <c r="K563" t="n">
        <v>0</v>
      </c>
      <c r="L563" t="n">
        <v>0</v>
      </c>
      <c r="M563" t="n">
        <v>0</v>
      </c>
      <c r="N563" t="n">
        <v>0</v>
      </c>
      <c r="O563" t="n">
        <v>0</v>
      </c>
      <c r="P563" t="n">
        <v>0</v>
      </c>
      <c r="Q563" t="n">
        <v>0</v>
      </c>
      <c r="R563" s="2" t="inlineStr"/>
    </row>
    <row r="564" ht="15" customHeight="1">
      <c r="A564" t="inlineStr">
        <is>
          <t>A 1425-2025</t>
        </is>
      </c>
      <c r="B564" s="1" t="n">
        <v>45668.67446759259</v>
      </c>
      <c r="C564" s="1" t="n">
        <v>45925</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1453-2025</t>
        </is>
      </c>
      <c r="B565" s="1" t="n">
        <v>45670.3079050926</v>
      </c>
      <c r="C565" s="1" t="n">
        <v>45925</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3386-2021</t>
        </is>
      </c>
      <c r="B566" s="1" t="n">
        <v>44218</v>
      </c>
      <c r="C566" s="1" t="n">
        <v>45925</v>
      </c>
      <c r="D566" t="inlineStr">
        <is>
          <t>STOCKHOLMS LÄN</t>
        </is>
      </c>
      <c r="E566" t="inlineStr">
        <is>
          <t>NORRTÄLJE</t>
        </is>
      </c>
      <c r="G566" t="n">
        <v>8</v>
      </c>
      <c r="H566" t="n">
        <v>0</v>
      </c>
      <c r="I566" t="n">
        <v>0</v>
      </c>
      <c r="J566" t="n">
        <v>0</v>
      </c>
      <c r="K566" t="n">
        <v>0</v>
      </c>
      <c r="L566" t="n">
        <v>0</v>
      </c>
      <c r="M566" t="n">
        <v>0</v>
      </c>
      <c r="N566" t="n">
        <v>0</v>
      </c>
      <c r="O566" t="n">
        <v>0</v>
      </c>
      <c r="P566" t="n">
        <v>0</v>
      </c>
      <c r="Q566" t="n">
        <v>0</v>
      </c>
      <c r="R566" s="2" t="inlineStr"/>
    </row>
    <row r="567" ht="15" customHeight="1">
      <c r="A567" t="inlineStr">
        <is>
          <t>A 13860-2023</t>
        </is>
      </c>
      <c r="B567" s="1" t="n">
        <v>45007</v>
      </c>
      <c r="C567" s="1" t="n">
        <v>45925</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6070-2022</t>
        </is>
      </c>
      <c r="B568" s="1" t="n">
        <v>44599.58428240741</v>
      </c>
      <c r="C568" s="1" t="n">
        <v>45925</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9130-2025</t>
        </is>
      </c>
      <c r="B569" s="1" t="n">
        <v>45713.92623842593</v>
      </c>
      <c r="C569" s="1" t="n">
        <v>45925</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27828-2022</t>
        </is>
      </c>
      <c r="B570" s="1" t="n">
        <v>44743.59765046297</v>
      </c>
      <c r="C570" s="1" t="n">
        <v>45925</v>
      </c>
      <c r="D570" t="inlineStr">
        <is>
          <t>STOCKHOLMS LÄN</t>
        </is>
      </c>
      <c r="E570" t="inlineStr">
        <is>
          <t>NORRTÄLJE</t>
        </is>
      </c>
      <c r="F570" t="inlineStr">
        <is>
          <t>Kommuner</t>
        </is>
      </c>
      <c r="G570" t="n">
        <v>1.6</v>
      </c>
      <c r="H570" t="n">
        <v>0</v>
      </c>
      <c r="I570" t="n">
        <v>0</v>
      </c>
      <c r="J570" t="n">
        <v>0</v>
      </c>
      <c r="K570" t="n">
        <v>0</v>
      </c>
      <c r="L570" t="n">
        <v>0</v>
      </c>
      <c r="M570" t="n">
        <v>0</v>
      </c>
      <c r="N570" t="n">
        <v>0</v>
      </c>
      <c r="O570" t="n">
        <v>0</v>
      </c>
      <c r="P570" t="n">
        <v>0</v>
      </c>
      <c r="Q570" t="n">
        <v>0</v>
      </c>
      <c r="R570" s="2" t="inlineStr"/>
    </row>
    <row r="571" ht="15" customHeight="1">
      <c r="A571" t="inlineStr">
        <is>
          <t>A 4860-2022</t>
        </is>
      </c>
      <c r="B571" s="1" t="n">
        <v>44592</v>
      </c>
      <c r="C571" s="1" t="n">
        <v>45925</v>
      </c>
      <c r="D571" t="inlineStr">
        <is>
          <t>STOCKHOLMS LÄN</t>
        </is>
      </c>
      <c r="E571" t="inlineStr">
        <is>
          <t>NORRTÄLJE</t>
        </is>
      </c>
      <c r="G571" t="n">
        <v>22.3</v>
      </c>
      <c r="H571" t="n">
        <v>0</v>
      </c>
      <c r="I571" t="n">
        <v>0</v>
      </c>
      <c r="J571" t="n">
        <v>0</v>
      </c>
      <c r="K571" t="n">
        <v>0</v>
      </c>
      <c r="L571" t="n">
        <v>0</v>
      </c>
      <c r="M571" t="n">
        <v>0</v>
      </c>
      <c r="N571" t="n">
        <v>0</v>
      </c>
      <c r="O571" t="n">
        <v>0</v>
      </c>
      <c r="P571" t="n">
        <v>0</v>
      </c>
      <c r="Q571" t="n">
        <v>0</v>
      </c>
      <c r="R571" s="2" t="inlineStr"/>
    </row>
    <row r="572" ht="15" customHeight="1">
      <c r="A572" t="inlineStr">
        <is>
          <t>A 60217-2021</t>
        </is>
      </c>
      <c r="B572" s="1" t="n">
        <v>44495.5893287037</v>
      </c>
      <c r="C572" s="1" t="n">
        <v>45925</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23269-2023</t>
        </is>
      </c>
      <c r="B573" s="1" t="n">
        <v>45075.91148148148</v>
      </c>
      <c r="C573" s="1" t="n">
        <v>45925</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59873-2024</t>
        </is>
      </c>
      <c r="B574" s="1" t="n">
        <v>45640.57305555556</v>
      </c>
      <c r="C574" s="1" t="n">
        <v>45925</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23060-2023</t>
        </is>
      </c>
      <c r="B575" s="1" t="n">
        <v>45075</v>
      </c>
      <c r="C575" s="1" t="n">
        <v>45925</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28900-2022</t>
        </is>
      </c>
      <c r="B576" s="1" t="n">
        <v>44749.55258101852</v>
      </c>
      <c r="C576" s="1" t="n">
        <v>45925</v>
      </c>
      <c r="D576" t="inlineStr">
        <is>
          <t>STOCKHOLMS LÄN</t>
        </is>
      </c>
      <c r="E576" t="inlineStr">
        <is>
          <t>NORRTÄLJE</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32514-2022</t>
        </is>
      </c>
      <c r="B577" s="1" t="n">
        <v>44782</v>
      </c>
      <c r="C577" s="1" t="n">
        <v>45925</v>
      </c>
      <c r="D577" t="inlineStr">
        <is>
          <t>STOCKHOLMS LÄN</t>
        </is>
      </c>
      <c r="E577" t="inlineStr">
        <is>
          <t>NORRTÄLJE</t>
        </is>
      </c>
      <c r="G577" t="n">
        <v>5.1</v>
      </c>
      <c r="H577" t="n">
        <v>0</v>
      </c>
      <c r="I577" t="n">
        <v>0</v>
      </c>
      <c r="J577" t="n">
        <v>0</v>
      </c>
      <c r="K577" t="n">
        <v>0</v>
      </c>
      <c r="L577" t="n">
        <v>0</v>
      </c>
      <c r="M577" t="n">
        <v>0</v>
      </c>
      <c r="N577" t="n">
        <v>0</v>
      </c>
      <c r="O577" t="n">
        <v>0</v>
      </c>
      <c r="P577" t="n">
        <v>0</v>
      </c>
      <c r="Q577" t="n">
        <v>0</v>
      </c>
      <c r="R577" s="2" t="inlineStr"/>
    </row>
    <row r="578" ht="15" customHeight="1">
      <c r="A578" t="inlineStr">
        <is>
          <t>A 58661-2020</t>
        </is>
      </c>
      <c r="B578" s="1" t="n">
        <v>44145</v>
      </c>
      <c r="C578" s="1" t="n">
        <v>45925</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43916-2025</t>
        </is>
      </c>
      <c r="B579" s="1" t="n">
        <v>45914.78884259259</v>
      </c>
      <c r="C579" s="1" t="n">
        <v>45925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22359-2025</t>
        </is>
      </c>
      <c r="B580" s="1" t="n">
        <v>45786</v>
      </c>
      <c r="C580" s="1" t="n">
        <v>45925</v>
      </c>
      <c r="D580" t="inlineStr">
        <is>
          <t>STOCKHOLMS LÄN</t>
        </is>
      </c>
      <c r="E580" t="inlineStr">
        <is>
          <t>NORRTÄLJE</t>
        </is>
      </c>
      <c r="G580" t="n">
        <v>5</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44326.61967592593</v>
      </c>
      <c r="C581" s="1" t="n">
        <v>45925</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48161-2022</t>
        </is>
      </c>
      <c r="B582" s="1" t="n">
        <v>44858</v>
      </c>
      <c r="C582" s="1" t="n">
        <v>45925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44349-2025</t>
        </is>
      </c>
      <c r="B583" s="1" t="n">
        <v>45916.43929398148</v>
      </c>
      <c r="C583" s="1" t="n">
        <v>45925</v>
      </c>
      <c r="D583" t="inlineStr">
        <is>
          <t>STOCKHOLMS LÄN</t>
        </is>
      </c>
      <c r="E583" t="inlineStr">
        <is>
          <t>NORRTÄLJE</t>
        </is>
      </c>
      <c r="G583" t="n">
        <v>3.5</v>
      </c>
      <c r="H583" t="n">
        <v>0</v>
      </c>
      <c r="I583" t="n">
        <v>0</v>
      </c>
      <c r="J583" t="n">
        <v>0</v>
      </c>
      <c r="K583" t="n">
        <v>0</v>
      </c>
      <c r="L583" t="n">
        <v>0</v>
      </c>
      <c r="M583" t="n">
        <v>0</v>
      </c>
      <c r="N583" t="n">
        <v>0</v>
      </c>
      <c r="O583" t="n">
        <v>0</v>
      </c>
      <c r="P583" t="n">
        <v>0</v>
      </c>
      <c r="Q583" t="n">
        <v>0</v>
      </c>
      <c r="R583" s="2" t="inlineStr"/>
    </row>
    <row r="584" ht="15" customHeight="1">
      <c r="A584" t="inlineStr">
        <is>
          <t>A 52743-2024</t>
        </is>
      </c>
      <c r="B584" s="1" t="n">
        <v>45610.47414351852</v>
      </c>
      <c r="C584" s="1" t="n">
        <v>45925</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44333-2025</t>
        </is>
      </c>
      <c r="B585" s="1" t="n">
        <v>45916.42293981482</v>
      </c>
      <c r="C585" s="1" t="n">
        <v>45925</v>
      </c>
      <c r="D585" t="inlineStr">
        <is>
          <t>STOCKHOLMS LÄN</t>
        </is>
      </c>
      <c r="E585" t="inlineStr">
        <is>
          <t>NORRTÄLJE</t>
        </is>
      </c>
      <c r="G585" t="n">
        <v>1.5</v>
      </c>
      <c r="H585" t="n">
        <v>0</v>
      </c>
      <c r="I585" t="n">
        <v>0</v>
      </c>
      <c r="J585" t="n">
        <v>0</v>
      </c>
      <c r="K585" t="n">
        <v>0</v>
      </c>
      <c r="L585" t="n">
        <v>0</v>
      </c>
      <c r="M585" t="n">
        <v>0</v>
      </c>
      <c r="N585" t="n">
        <v>0</v>
      </c>
      <c r="O585" t="n">
        <v>0</v>
      </c>
      <c r="P585" t="n">
        <v>0</v>
      </c>
      <c r="Q585" t="n">
        <v>0</v>
      </c>
      <c r="R585" s="2" t="inlineStr"/>
    </row>
    <row r="586" ht="15" customHeight="1">
      <c r="A586" t="inlineStr">
        <is>
          <t>A 43150-2023</t>
        </is>
      </c>
      <c r="B586" s="1" t="n">
        <v>45183</v>
      </c>
      <c r="C586" s="1" t="n">
        <v>45925</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11499-2023</t>
        </is>
      </c>
      <c r="B587" s="1" t="n">
        <v>44993.66707175926</v>
      </c>
      <c r="C587" s="1" t="n">
        <v>45925</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53652-2020</t>
        </is>
      </c>
      <c r="B588" s="1" t="n">
        <v>44124</v>
      </c>
      <c r="C588" s="1" t="n">
        <v>45925</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64600-2021</t>
        </is>
      </c>
      <c r="B589" s="1" t="n">
        <v>44511.70518518519</v>
      </c>
      <c r="C589" s="1" t="n">
        <v>45925</v>
      </c>
      <c r="D589" t="inlineStr">
        <is>
          <t>STOCKHOLMS LÄN</t>
        </is>
      </c>
      <c r="E589" t="inlineStr">
        <is>
          <t>NORRTÄLJE</t>
        </is>
      </c>
      <c r="G589" t="n">
        <v>6.2</v>
      </c>
      <c r="H589" t="n">
        <v>0</v>
      </c>
      <c r="I589" t="n">
        <v>0</v>
      </c>
      <c r="J589" t="n">
        <v>0</v>
      </c>
      <c r="K589" t="n">
        <v>0</v>
      </c>
      <c r="L589" t="n">
        <v>0</v>
      </c>
      <c r="M589" t="n">
        <v>0</v>
      </c>
      <c r="N589" t="n">
        <v>0</v>
      </c>
      <c r="O589" t="n">
        <v>0</v>
      </c>
      <c r="P589" t="n">
        <v>0</v>
      </c>
      <c r="Q589" t="n">
        <v>0</v>
      </c>
      <c r="R589" s="2" t="inlineStr"/>
    </row>
    <row r="590" ht="15" customHeight="1">
      <c r="A590" t="inlineStr">
        <is>
          <t>A 35640-2024</t>
        </is>
      </c>
      <c r="B590" s="1" t="n">
        <v>45531</v>
      </c>
      <c r="C590" s="1" t="n">
        <v>45925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59534-2024</t>
        </is>
      </c>
      <c r="B591" s="1" t="n">
        <v>45638.5987037037</v>
      </c>
      <c r="C591" s="1" t="n">
        <v>45925</v>
      </c>
      <c r="D591" t="inlineStr">
        <is>
          <t>STOCKHOLMS LÄN</t>
        </is>
      </c>
      <c r="E591" t="inlineStr">
        <is>
          <t>NORRTÄLJE</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23307-2024</t>
        </is>
      </c>
      <c r="B592" s="1" t="n">
        <v>45453</v>
      </c>
      <c r="C592" s="1" t="n">
        <v>45925</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8586-2023</t>
        </is>
      </c>
      <c r="B593" s="1" t="n">
        <v>44977</v>
      </c>
      <c r="C593" s="1" t="n">
        <v>45925</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19450-2025</t>
        </is>
      </c>
      <c r="B594" s="1" t="n">
        <v>45770</v>
      </c>
      <c r="C594" s="1" t="n">
        <v>45925</v>
      </c>
      <c r="D594" t="inlineStr">
        <is>
          <t>STOCKHOLMS LÄN</t>
        </is>
      </c>
      <c r="E594" t="inlineStr">
        <is>
          <t>NORRTÄLJE</t>
        </is>
      </c>
      <c r="G594" t="n">
        <v>5.3</v>
      </c>
      <c r="H594" t="n">
        <v>0</v>
      </c>
      <c r="I594" t="n">
        <v>0</v>
      </c>
      <c r="J594" t="n">
        <v>0</v>
      </c>
      <c r="K594" t="n">
        <v>0</v>
      </c>
      <c r="L594" t="n">
        <v>0</v>
      </c>
      <c r="M594" t="n">
        <v>0</v>
      </c>
      <c r="N594" t="n">
        <v>0</v>
      </c>
      <c r="O594" t="n">
        <v>0</v>
      </c>
      <c r="P594" t="n">
        <v>0</v>
      </c>
      <c r="Q594" t="n">
        <v>0</v>
      </c>
      <c r="R594" s="2" t="inlineStr"/>
    </row>
    <row r="595" ht="15" customHeight="1">
      <c r="A595" t="inlineStr">
        <is>
          <t>A 67990-2021</t>
        </is>
      </c>
      <c r="B595" s="1" t="n">
        <v>44525</v>
      </c>
      <c r="C595" s="1" t="n">
        <v>45925</v>
      </c>
      <c r="D595" t="inlineStr">
        <is>
          <t>STOCKHOLMS LÄN</t>
        </is>
      </c>
      <c r="E595" t="inlineStr">
        <is>
          <t>NORRTÄLJE</t>
        </is>
      </c>
      <c r="F595" t="inlineStr">
        <is>
          <t>Sveaskog</t>
        </is>
      </c>
      <c r="G595" t="n">
        <v>7.8</v>
      </c>
      <c r="H595" t="n">
        <v>0</v>
      </c>
      <c r="I595" t="n">
        <v>0</v>
      </c>
      <c r="J595" t="n">
        <v>0</v>
      </c>
      <c r="K595" t="n">
        <v>0</v>
      </c>
      <c r="L595" t="n">
        <v>0</v>
      </c>
      <c r="M595" t="n">
        <v>0</v>
      </c>
      <c r="N595" t="n">
        <v>0</v>
      </c>
      <c r="O595" t="n">
        <v>0</v>
      </c>
      <c r="P595" t="n">
        <v>0</v>
      </c>
      <c r="Q595" t="n">
        <v>0</v>
      </c>
      <c r="R595" s="2" t="inlineStr"/>
    </row>
    <row r="596" ht="15" customHeight="1">
      <c r="A596" t="inlineStr">
        <is>
          <t>A 2281-2024</t>
        </is>
      </c>
      <c r="B596" s="1" t="n">
        <v>45310.40628472222</v>
      </c>
      <c r="C596" s="1" t="n">
        <v>45925</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2287-2024</t>
        </is>
      </c>
      <c r="B597" s="1" t="n">
        <v>45310</v>
      </c>
      <c r="C597" s="1" t="n">
        <v>45925</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23125-2022</t>
        </is>
      </c>
      <c r="B598" s="1" t="n">
        <v>44719</v>
      </c>
      <c r="C598" s="1" t="n">
        <v>45925</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44343-2025</t>
        </is>
      </c>
      <c r="B599" s="1" t="n">
        <v>45916.43378472222</v>
      </c>
      <c r="C599" s="1" t="n">
        <v>45925</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44354-2025</t>
        </is>
      </c>
      <c r="B600" s="1" t="n">
        <v>45916.44655092592</v>
      </c>
      <c r="C600" s="1" t="n">
        <v>45925</v>
      </c>
      <c r="D600" t="inlineStr">
        <is>
          <t>STOCKHOLMS LÄN</t>
        </is>
      </c>
      <c r="E600" t="inlineStr">
        <is>
          <t>NORRTÄLJE</t>
        </is>
      </c>
      <c r="G600" t="n">
        <v>2.3</v>
      </c>
      <c r="H600" t="n">
        <v>0</v>
      </c>
      <c r="I600" t="n">
        <v>0</v>
      </c>
      <c r="J600" t="n">
        <v>0</v>
      </c>
      <c r="K600" t="n">
        <v>0</v>
      </c>
      <c r="L600" t="n">
        <v>0</v>
      </c>
      <c r="M600" t="n">
        <v>0</v>
      </c>
      <c r="N600" t="n">
        <v>0</v>
      </c>
      <c r="O600" t="n">
        <v>0</v>
      </c>
      <c r="P600" t="n">
        <v>0</v>
      </c>
      <c r="Q600" t="n">
        <v>0</v>
      </c>
      <c r="R600" s="2" t="inlineStr"/>
    </row>
    <row r="601" ht="15" customHeight="1">
      <c r="A601" t="inlineStr">
        <is>
          <t>A 20618-2022</t>
        </is>
      </c>
      <c r="B601" s="1" t="n">
        <v>44700.50659722222</v>
      </c>
      <c r="C601" s="1" t="n">
        <v>45925</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59504-2023</t>
        </is>
      </c>
      <c r="B602" s="1" t="n">
        <v>45254</v>
      </c>
      <c r="C602" s="1" t="n">
        <v>45925</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9329-2023</t>
        </is>
      </c>
      <c r="B603" s="1" t="n">
        <v>44980</v>
      </c>
      <c r="C603" s="1" t="n">
        <v>45925</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6855-2025</t>
        </is>
      </c>
      <c r="B604" s="1" t="n">
        <v>45700</v>
      </c>
      <c r="C604" s="1" t="n">
        <v>45925</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21696-2024</t>
        </is>
      </c>
      <c r="B605" s="1" t="n">
        <v>45442.45686342593</v>
      </c>
      <c r="C605" s="1" t="n">
        <v>45925</v>
      </c>
      <c r="D605" t="inlineStr">
        <is>
          <t>STOCKHOLMS LÄN</t>
        </is>
      </c>
      <c r="E605" t="inlineStr">
        <is>
          <t>NORRTÄLJE</t>
        </is>
      </c>
      <c r="G605" t="n">
        <v>2.9</v>
      </c>
      <c r="H605" t="n">
        <v>0</v>
      </c>
      <c r="I605" t="n">
        <v>0</v>
      </c>
      <c r="J605" t="n">
        <v>0</v>
      </c>
      <c r="K605" t="n">
        <v>0</v>
      </c>
      <c r="L605" t="n">
        <v>0</v>
      </c>
      <c r="M605" t="n">
        <v>0</v>
      </c>
      <c r="N605" t="n">
        <v>0</v>
      </c>
      <c r="O605" t="n">
        <v>0</v>
      </c>
      <c r="P605" t="n">
        <v>0</v>
      </c>
      <c r="Q605" t="n">
        <v>0</v>
      </c>
      <c r="R605" s="2" t="inlineStr"/>
    </row>
    <row r="606" ht="15" customHeight="1">
      <c r="A606" t="inlineStr">
        <is>
          <t>A 37136-2023</t>
        </is>
      </c>
      <c r="B606" s="1" t="n">
        <v>45155</v>
      </c>
      <c r="C606" s="1" t="n">
        <v>45925</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1740-2023</t>
        </is>
      </c>
      <c r="B607" s="1" t="n">
        <v>44938</v>
      </c>
      <c r="C607" s="1" t="n">
        <v>45925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14873-2025</t>
        </is>
      </c>
      <c r="B608" s="1" t="n">
        <v>45743.44953703704</v>
      </c>
      <c r="C608" s="1" t="n">
        <v>45925</v>
      </c>
      <c r="D608" t="inlineStr">
        <is>
          <t>STOCKHOLMS LÄN</t>
        </is>
      </c>
      <c r="E608" t="inlineStr">
        <is>
          <t>NORRTÄLJE</t>
        </is>
      </c>
      <c r="G608" t="n">
        <v>10.2</v>
      </c>
      <c r="H608" t="n">
        <v>0</v>
      </c>
      <c r="I608" t="n">
        <v>0</v>
      </c>
      <c r="J608" t="n">
        <v>0</v>
      </c>
      <c r="K608" t="n">
        <v>0</v>
      </c>
      <c r="L608" t="n">
        <v>0</v>
      </c>
      <c r="M608" t="n">
        <v>0</v>
      </c>
      <c r="N608" t="n">
        <v>0</v>
      </c>
      <c r="O608" t="n">
        <v>0</v>
      </c>
      <c r="P608" t="n">
        <v>0</v>
      </c>
      <c r="Q608" t="n">
        <v>0</v>
      </c>
      <c r="R608" s="2" t="inlineStr"/>
    </row>
    <row r="609" ht="15" customHeight="1">
      <c r="A609" t="inlineStr">
        <is>
          <t>A 25656-2023</t>
        </is>
      </c>
      <c r="B609" s="1" t="n">
        <v>45089</v>
      </c>
      <c r="C609" s="1" t="n">
        <v>45925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38049-2023</t>
        </is>
      </c>
      <c r="B610" s="1" t="n">
        <v>45159</v>
      </c>
      <c r="C610" s="1" t="n">
        <v>45925</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8135-2025</t>
        </is>
      </c>
      <c r="B611" s="1" t="n">
        <v>45707.84997685185</v>
      </c>
      <c r="C611" s="1" t="n">
        <v>45925</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3966-2024</t>
        </is>
      </c>
      <c r="B612" s="1" t="n">
        <v>45322</v>
      </c>
      <c r="C612" s="1" t="n">
        <v>45925</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31936-2022</t>
        </is>
      </c>
      <c r="B613" s="1" t="n">
        <v>44777</v>
      </c>
      <c r="C613" s="1" t="n">
        <v>45925</v>
      </c>
      <c r="D613" t="inlineStr">
        <is>
          <t>STOCKHOLMS LÄN</t>
        </is>
      </c>
      <c r="E613" t="inlineStr">
        <is>
          <t>NORRTÄLJE</t>
        </is>
      </c>
      <c r="G613" t="n">
        <v>5.2</v>
      </c>
      <c r="H613" t="n">
        <v>0</v>
      </c>
      <c r="I613" t="n">
        <v>0</v>
      </c>
      <c r="J613" t="n">
        <v>0</v>
      </c>
      <c r="K613" t="n">
        <v>0</v>
      </c>
      <c r="L613" t="n">
        <v>0</v>
      </c>
      <c r="M613" t="n">
        <v>0</v>
      </c>
      <c r="N613" t="n">
        <v>0</v>
      </c>
      <c r="O613" t="n">
        <v>0</v>
      </c>
      <c r="P613" t="n">
        <v>0</v>
      </c>
      <c r="Q613" t="n">
        <v>0</v>
      </c>
      <c r="R613" s="2" t="inlineStr"/>
    </row>
    <row r="614" ht="15" customHeight="1">
      <c r="A614" t="inlineStr">
        <is>
          <t>A 24887-2023</t>
        </is>
      </c>
      <c r="B614" s="1" t="n">
        <v>45085</v>
      </c>
      <c r="C614" s="1" t="n">
        <v>45925</v>
      </c>
      <c r="D614" t="inlineStr">
        <is>
          <t>STOCKHOLMS LÄN</t>
        </is>
      </c>
      <c r="E614" t="inlineStr">
        <is>
          <t>NORRTÄLJE</t>
        </is>
      </c>
      <c r="G614" t="n">
        <v>13.9</v>
      </c>
      <c r="H614" t="n">
        <v>0</v>
      </c>
      <c r="I614" t="n">
        <v>0</v>
      </c>
      <c r="J614" t="n">
        <v>0</v>
      </c>
      <c r="K614" t="n">
        <v>0</v>
      </c>
      <c r="L614" t="n">
        <v>0</v>
      </c>
      <c r="M614" t="n">
        <v>0</v>
      </c>
      <c r="N614" t="n">
        <v>0</v>
      </c>
      <c r="O614" t="n">
        <v>0</v>
      </c>
      <c r="P614" t="n">
        <v>0</v>
      </c>
      <c r="Q614" t="n">
        <v>0</v>
      </c>
      <c r="R614" s="2" t="inlineStr"/>
    </row>
    <row r="615" ht="15" customHeight="1">
      <c r="A615" t="inlineStr">
        <is>
          <t>A 17348-2024</t>
        </is>
      </c>
      <c r="B615" s="1" t="n">
        <v>45414.58650462963</v>
      </c>
      <c r="C615" s="1" t="n">
        <v>45925</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56428-2023</t>
        </is>
      </c>
      <c r="B616" s="1" t="n">
        <v>45243.45289351852</v>
      </c>
      <c r="C616" s="1" t="n">
        <v>45925</v>
      </c>
      <c r="D616" t="inlineStr">
        <is>
          <t>STOCKHOLMS LÄN</t>
        </is>
      </c>
      <c r="E616" t="inlineStr">
        <is>
          <t>NORRTÄLJE</t>
        </is>
      </c>
      <c r="F616" t="inlineStr">
        <is>
          <t>Kyrkan</t>
        </is>
      </c>
      <c r="G616" t="n">
        <v>1.3</v>
      </c>
      <c r="H616" t="n">
        <v>0</v>
      </c>
      <c r="I616" t="n">
        <v>0</v>
      </c>
      <c r="J616" t="n">
        <v>0</v>
      </c>
      <c r="K616" t="n">
        <v>0</v>
      </c>
      <c r="L616" t="n">
        <v>0</v>
      </c>
      <c r="M616" t="n">
        <v>0</v>
      </c>
      <c r="N616" t="n">
        <v>0</v>
      </c>
      <c r="O616" t="n">
        <v>0</v>
      </c>
      <c r="P616" t="n">
        <v>0</v>
      </c>
      <c r="Q616" t="n">
        <v>0</v>
      </c>
      <c r="R616" s="2" t="inlineStr"/>
    </row>
    <row r="617" ht="15" customHeight="1">
      <c r="A617" t="inlineStr">
        <is>
          <t>A 44311-2025</t>
        </is>
      </c>
      <c r="B617" s="1" t="n">
        <v>45916.38394675926</v>
      </c>
      <c r="C617" s="1" t="n">
        <v>45925</v>
      </c>
      <c r="D617" t="inlineStr">
        <is>
          <t>STOCKHOLMS LÄN</t>
        </is>
      </c>
      <c r="E617" t="inlineStr">
        <is>
          <t>NORRTÄLJE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38591-2023</t>
        </is>
      </c>
      <c r="B618" s="1" t="n">
        <v>45162</v>
      </c>
      <c r="C618" s="1" t="n">
        <v>45925</v>
      </c>
      <c r="D618" t="inlineStr">
        <is>
          <t>STOCKHOLMS LÄN</t>
        </is>
      </c>
      <c r="E618" t="inlineStr">
        <is>
          <t>NORRTÄLJE</t>
        </is>
      </c>
      <c r="F618" t="inlineStr">
        <is>
          <t>Övriga Aktiebolag</t>
        </is>
      </c>
      <c r="G618" t="n">
        <v>3.1</v>
      </c>
      <c r="H618" t="n">
        <v>0</v>
      </c>
      <c r="I618" t="n">
        <v>0</v>
      </c>
      <c r="J618" t="n">
        <v>0</v>
      </c>
      <c r="K618" t="n">
        <v>0</v>
      </c>
      <c r="L618" t="n">
        <v>0</v>
      </c>
      <c r="M618" t="n">
        <v>0</v>
      </c>
      <c r="N618" t="n">
        <v>0</v>
      </c>
      <c r="O618" t="n">
        <v>0</v>
      </c>
      <c r="P618" t="n">
        <v>0</v>
      </c>
      <c r="Q618" t="n">
        <v>0</v>
      </c>
      <c r="R618" s="2" t="inlineStr"/>
    </row>
    <row r="619" ht="15" customHeight="1">
      <c r="A619" t="inlineStr">
        <is>
          <t>A 3273-2025</t>
        </is>
      </c>
      <c r="B619" s="1" t="n">
        <v>45679</v>
      </c>
      <c r="C619" s="1" t="n">
        <v>45925</v>
      </c>
      <c r="D619" t="inlineStr">
        <is>
          <t>STOCKHOLMS LÄN</t>
        </is>
      </c>
      <c r="E619" t="inlineStr">
        <is>
          <t>NORRTÄLJE</t>
        </is>
      </c>
      <c r="G619" t="n">
        <v>1.2</v>
      </c>
      <c r="H619" t="n">
        <v>0</v>
      </c>
      <c r="I619" t="n">
        <v>0</v>
      </c>
      <c r="J619" t="n">
        <v>0</v>
      </c>
      <c r="K619" t="n">
        <v>0</v>
      </c>
      <c r="L619" t="n">
        <v>0</v>
      </c>
      <c r="M619" t="n">
        <v>0</v>
      </c>
      <c r="N619" t="n">
        <v>0</v>
      </c>
      <c r="O619" t="n">
        <v>0</v>
      </c>
      <c r="P619" t="n">
        <v>0</v>
      </c>
      <c r="Q619" t="n">
        <v>0</v>
      </c>
      <c r="R619" s="2" t="inlineStr"/>
    </row>
    <row r="620" ht="15" customHeight="1">
      <c r="A620" t="inlineStr">
        <is>
          <t>A 66662-2020</t>
        </is>
      </c>
      <c r="B620" s="1" t="n">
        <v>44179</v>
      </c>
      <c r="C620" s="1" t="n">
        <v>45925</v>
      </c>
      <c r="D620" t="inlineStr">
        <is>
          <t>STOCKHOLMS LÄN</t>
        </is>
      </c>
      <c r="E620" t="inlineStr">
        <is>
          <t>NORRTÄLJE</t>
        </is>
      </c>
      <c r="G620" t="n">
        <v>1.9</v>
      </c>
      <c r="H620" t="n">
        <v>0</v>
      </c>
      <c r="I620" t="n">
        <v>0</v>
      </c>
      <c r="J620" t="n">
        <v>0</v>
      </c>
      <c r="K620" t="n">
        <v>0</v>
      </c>
      <c r="L620" t="n">
        <v>0</v>
      </c>
      <c r="M620" t="n">
        <v>0</v>
      </c>
      <c r="N620" t="n">
        <v>0</v>
      </c>
      <c r="O620" t="n">
        <v>0</v>
      </c>
      <c r="P620" t="n">
        <v>0</v>
      </c>
      <c r="Q620" t="n">
        <v>0</v>
      </c>
      <c r="R620" s="2" t="inlineStr"/>
    </row>
    <row r="621" ht="15" customHeight="1">
      <c r="A621" t="inlineStr">
        <is>
          <t>A 63824-2020</t>
        </is>
      </c>
      <c r="B621" s="1" t="n">
        <v>44162</v>
      </c>
      <c r="C621" s="1" t="n">
        <v>45925</v>
      </c>
      <c r="D621" t="inlineStr">
        <is>
          <t>STOCKHOLMS LÄN</t>
        </is>
      </c>
      <c r="E621" t="inlineStr">
        <is>
          <t>NORRTÄLJE</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30338-2022</t>
        </is>
      </c>
      <c r="B622" s="1" t="n">
        <v>44760</v>
      </c>
      <c r="C622" s="1" t="n">
        <v>45925</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44306-2025</t>
        </is>
      </c>
      <c r="B623" s="1" t="n">
        <v>45916.37736111111</v>
      </c>
      <c r="C623" s="1" t="n">
        <v>45925</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5423-2023</t>
        </is>
      </c>
      <c r="B624" s="1" t="n">
        <v>44959.74533564815</v>
      </c>
      <c r="C624" s="1" t="n">
        <v>45925</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58492-2022</t>
        </is>
      </c>
      <c r="B625" s="1" t="n">
        <v>44902</v>
      </c>
      <c r="C625" s="1" t="n">
        <v>45925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34461-2023</t>
        </is>
      </c>
      <c r="B626" s="1" t="n">
        <v>45139</v>
      </c>
      <c r="C626" s="1" t="n">
        <v>45925</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18541-2023</t>
        </is>
      </c>
      <c r="B627" s="1" t="n">
        <v>45042.74291666667</v>
      </c>
      <c r="C627" s="1" t="n">
        <v>45925</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32857-2021</t>
        </is>
      </c>
      <c r="B628" s="1" t="n">
        <v>44375</v>
      </c>
      <c r="C628" s="1" t="n">
        <v>45925</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51325-2023</t>
        </is>
      </c>
      <c r="B629" s="1" t="n">
        <v>45219</v>
      </c>
      <c r="C629" s="1" t="n">
        <v>45925</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21729-2024</t>
        </is>
      </c>
      <c r="B630" s="1" t="n">
        <v>45442</v>
      </c>
      <c r="C630" s="1" t="n">
        <v>45925</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15217-2023</t>
        </is>
      </c>
      <c r="B631" s="1" t="n">
        <v>45019.28847222222</v>
      </c>
      <c r="C631" s="1" t="n">
        <v>45925</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24522-2023</t>
        </is>
      </c>
      <c r="B632" s="1" t="n">
        <v>45082.69179398148</v>
      </c>
      <c r="C632" s="1" t="n">
        <v>45925</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13291-2025</t>
        </is>
      </c>
      <c r="B633" s="1" t="n">
        <v>45735</v>
      </c>
      <c r="C633" s="1" t="n">
        <v>45925</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44937-2025</t>
        </is>
      </c>
      <c r="B634" s="1" t="n">
        <v>45918.58224537037</v>
      </c>
      <c r="C634" s="1" t="n">
        <v>45925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21894-2023</t>
        </is>
      </c>
      <c r="B635" s="1" t="n">
        <v>45068.51783564815</v>
      </c>
      <c r="C635" s="1" t="n">
        <v>45925</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29176-2024</t>
        </is>
      </c>
      <c r="B636" s="1" t="n">
        <v>45482.53388888889</v>
      </c>
      <c r="C636" s="1" t="n">
        <v>45925</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4581-2025</t>
        </is>
      </c>
      <c r="B637" s="1" t="n">
        <v>45687</v>
      </c>
      <c r="C637" s="1" t="n">
        <v>45925</v>
      </c>
      <c r="D637" t="inlineStr">
        <is>
          <t>STOCKHOLMS LÄN</t>
        </is>
      </c>
      <c r="E637" t="inlineStr">
        <is>
          <t>NORRTÄLJE</t>
        </is>
      </c>
      <c r="F637" t="inlineStr">
        <is>
          <t>Holmen skog AB</t>
        </is>
      </c>
      <c r="G637" t="n">
        <v>2.8</v>
      </c>
      <c r="H637" t="n">
        <v>0</v>
      </c>
      <c r="I637" t="n">
        <v>0</v>
      </c>
      <c r="J637" t="n">
        <v>0</v>
      </c>
      <c r="K637" t="n">
        <v>0</v>
      </c>
      <c r="L637" t="n">
        <v>0</v>
      </c>
      <c r="M637" t="n">
        <v>0</v>
      </c>
      <c r="N637" t="n">
        <v>0</v>
      </c>
      <c r="O637" t="n">
        <v>0</v>
      </c>
      <c r="P637" t="n">
        <v>0</v>
      </c>
      <c r="Q637" t="n">
        <v>0</v>
      </c>
      <c r="R637" s="2" t="inlineStr"/>
    </row>
    <row r="638" ht="15" customHeight="1">
      <c r="A638" t="inlineStr">
        <is>
          <t>A 37261-2025</t>
        </is>
      </c>
      <c r="B638" s="1" t="n">
        <v>45876.45253472222</v>
      </c>
      <c r="C638" s="1" t="n">
        <v>45925</v>
      </c>
      <c r="D638" t="inlineStr">
        <is>
          <t>STOCKHOLMS LÄN</t>
        </is>
      </c>
      <c r="E638" t="inlineStr">
        <is>
          <t>NORRTÄLJE</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21732-2023</t>
        </is>
      </c>
      <c r="B639" s="1" t="n">
        <v>45063</v>
      </c>
      <c r="C639" s="1" t="n">
        <v>45925</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4596-2023</t>
        </is>
      </c>
      <c r="B640" s="1" t="n">
        <v>44956</v>
      </c>
      <c r="C640" s="1" t="n">
        <v>45925</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36157-2024</t>
        </is>
      </c>
      <c r="B641" s="1" t="n">
        <v>45534.38240740741</v>
      </c>
      <c r="C641" s="1" t="n">
        <v>45925</v>
      </c>
      <c r="D641" t="inlineStr">
        <is>
          <t>STOCKHOLMS LÄN</t>
        </is>
      </c>
      <c r="E641" t="inlineStr">
        <is>
          <t>NORRTÄLJE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62398-2022</t>
        </is>
      </c>
      <c r="B642" s="1" t="n">
        <v>44923.90159722222</v>
      </c>
      <c r="C642" s="1" t="n">
        <v>45925</v>
      </c>
      <c r="D642" t="inlineStr">
        <is>
          <t>STOCKHOLMS LÄN</t>
        </is>
      </c>
      <c r="E642" t="inlineStr">
        <is>
          <t>NORRTÄLJE</t>
        </is>
      </c>
      <c r="G642" t="n">
        <v>4</v>
      </c>
      <c r="H642" t="n">
        <v>0</v>
      </c>
      <c r="I642" t="n">
        <v>0</v>
      </c>
      <c r="J642" t="n">
        <v>0</v>
      </c>
      <c r="K642" t="n">
        <v>0</v>
      </c>
      <c r="L642" t="n">
        <v>0</v>
      </c>
      <c r="M642" t="n">
        <v>0</v>
      </c>
      <c r="N642" t="n">
        <v>0</v>
      </c>
      <c r="O642" t="n">
        <v>0</v>
      </c>
      <c r="P642" t="n">
        <v>0</v>
      </c>
      <c r="Q642" t="n">
        <v>0</v>
      </c>
      <c r="R642" s="2" t="inlineStr"/>
    </row>
    <row r="643" ht="15" customHeight="1">
      <c r="A643" t="inlineStr">
        <is>
          <t>A 4438-2023</t>
        </is>
      </c>
      <c r="B643" s="1" t="n">
        <v>44956</v>
      </c>
      <c r="C643" s="1" t="n">
        <v>45925</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68081-2020</t>
        </is>
      </c>
      <c r="B644" s="1" t="n">
        <v>44183</v>
      </c>
      <c r="C644" s="1" t="n">
        <v>45925</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17039-2024</t>
        </is>
      </c>
      <c r="B645" s="1" t="n">
        <v>45412.4104050926</v>
      </c>
      <c r="C645" s="1" t="n">
        <v>45925</v>
      </c>
      <c r="D645" t="inlineStr">
        <is>
          <t>STOCKHOLMS LÄN</t>
        </is>
      </c>
      <c r="E645" t="inlineStr">
        <is>
          <t>NORRTÄLJE</t>
        </is>
      </c>
      <c r="G645" t="n">
        <v>5.9</v>
      </c>
      <c r="H645" t="n">
        <v>0</v>
      </c>
      <c r="I645" t="n">
        <v>0</v>
      </c>
      <c r="J645" t="n">
        <v>0</v>
      </c>
      <c r="K645" t="n">
        <v>0</v>
      </c>
      <c r="L645" t="n">
        <v>0</v>
      </c>
      <c r="M645" t="n">
        <v>0</v>
      </c>
      <c r="N645" t="n">
        <v>0</v>
      </c>
      <c r="O645" t="n">
        <v>0</v>
      </c>
      <c r="P645" t="n">
        <v>0</v>
      </c>
      <c r="Q645" t="n">
        <v>0</v>
      </c>
      <c r="R645" s="2" t="inlineStr"/>
    </row>
    <row r="646" ht="15" customHeight="1">
      <c r="A646" t="inlineStr">
        <is>
          <t>A 24727-2023</t>
        </is>
      </c>
      <c r="B646" s="1" t="n">
        <v>45084.57695601852</v>
      </c>
      <c r="C646" s="1" t="n">
        <v>45925</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59904-2023</t>
        </is>
      </c>
      <c r="B647" s="1" t="n">
        <v>45257</v>
      </c>
      <c r="C647" s="1" t="n">
        <v>45925</v>
      </c>
      <c r="D647" t="inlineStr">
        <is>
          <t>STOCKHOLMS LÄN</t>
        </is>
      </c>
      <c r="E647" t="inlineStr">
        <is>
          <t>NORRTÄLJE</t>
        </is>
      </c>
      <c r="G647" t="n">
        <v>17.4</v>
      </c>
      <c r="H647" t="n">
        <v>0</v>
      </c>
      <c r="I647" t="n">
        <v>0</v>
      </c>
      <c r="J647" t="n">
        <v>0</v>
      </c>
      <c r="K647" t="n">
        <v>0</v>
      </c>
      <c r="L647" t="n">
        <v>0</v>
      </c>
      <c r="M647" t="n">
        <v>0</v>
      </c>
      <c r="N647" t="n">
        <v>0</v>
      </c>
      <c r="O647" t="n">
        <v>0</v>
      </c>
      <c r="P647" t="n">
        <v>0</v>
      </c>
      <c r="Q647" t="n">
        <v>0</v>
      </c>
      <c r="R647" s="2" t="inlineStr"/>
    </row>
    <row r="648" ht="15" customHeight="1">
      <c r="A648" t="inlineStr">
        <is>
          <t>A 3509-2022</t>
        </is>
      </c>
      <c r="B648" s="1" t="n">
        <v>44585</v>
      </c>
      <c r="C648" s="1" t="n">
        <v>45925</v>
      </c>
      <c r="D648" t="inlineStr">
        <is>
          <t>STOCKHOLMS LÄN</t>
        </is>
      </c>
      <c r="E648" t="inlineStr">
        <is>
          <t>NORRTÄLJE</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36308-2022</t>
        </is>
      </c>
      <c r="B649" s="1" t="n">
        <v>44803</v>
      </c>
      <c r="C649" s="1" t="n">
        <v>45925</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7806-2025</t>
        </is>
      </c>
      <c r="B650" s="1" t="n">
        <v>45706.61178240741</v>
      </c>
      <c r="C650" s="1" t="n">
        <v>45925</v>
      </c>
      <c r="D650" t="inlineStr">
        <is>
          <t>STOCKHOLMS LÄN</t>
        </is>
      </c>
      <c r="E650" t="inlineStr">
        <is>
          <t>NORRTÄLJE</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37444-2021</t>
        </is>
      </c>
      <c r="B651" s="1" t="n">
        <v>44398</v>
      </c>
      <c r="C651" s="1" t="n">
        <v>45925</v>
      </c>
      <c r="D651" t="inlineStr">
        <is>
          <t>STOCKHOLMS LÄN</t>
        </is>
      </c>
      <c r="E651" t="inlineStr">
        <is>
          <t>NORRTÄLJE</t>
        </is>
      </c>
      <c r="F651" t="inlineStr">
        <is>
          <t>Holmen skog AB</t>
        </is>
      </c>
      <c r="G651" t="n">
        <v>3.2</v>
      </c>
      <c r="H651" t="n">
        <v>0</v>
      </c>
      <c r="I651" t="n">
        <v>0</v>
      </c>
      <c r="J651" t="n">
        <v>0</v>
      </c>
      <c r="K651" t="n">
        <v>0</v>
      </c>
      <c r="L651" t="n">
        <v>0</v>
      </c>
      <c r="M651" t="n">
        <v>0</v>
      </c>
      <c r="N651" t="n">
        <v>0</v>
      </c>
      <c r="O651" t="n">
        <v>0</v>
      </c>
      <c r="P651" t="n">
        <v>0</v>
      </c>
      <c r="Q651" t="n">
        <v>0</v>
      </c>
      <c r="R651" s="2" t="inlineStr"/>
    </row>
    <row r="652" ht="15" customHeight="1">
      <c r="A652" t="inlineStr">
        <is>
          <t>A 20692-2025</t>
        </is>
      </c>
      <c r="B652" s="1" t="n">
        <v>45776.46369212963</v>
      </c>
      <c r="C652" s="1" t="n">
        <v>45925</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35636-2025</t>
        </is>
      </c>
      <c r="B653" s="1" t="n">
        <v>45859</v>
      </c>
      <c r="C653" s="1" t="n">
        <v>45925</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35639-2025</t>
        </is>
      </c>
      <c r="B654" s="1" t="n">
        <v>45859</v>
      </c>
      <c r="C654" s="1" t="n">
        <v>45925</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7697-2025</t>
        </is>
      </c>
      <c r="B655" s="1" t="n">
        <v>45706.40086805556</v>
      </c>
      <c r="C655" s="1" t="n">
        <v>45925</v>
      </c>
      <c r="D655" t="inlineStr">
        <is>
          <t>STOCKHOLMS LÄN</t>
        </is>
      </c>
      <c r="E655" t="inlineStr">
        <is>
          <t>NORRTÄLJE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39669-2024</t>
        </is>
      </c>
      <c r="B656" s="1" t="n">
        <v>45552.52827546297</v>
      </c>
      <c r="C656" s="1" t="n">
        <v>45925</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2982-2023</t>
        </is>
      </c>
      <c r="B657" s="1" t="n">
        <v>44945.67409722223</v>
      </c>
      <c r="C657" s="1" t="n">
        <v>45925</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1448-2023</t>
        </is>
      </c>
      <c r="B658" s="1" t="n">
        <v>44937</v>
      </c>
      <c r="C658" s="1" t="n">
        <v>45925</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45173-2023</t>
        </is>
      </c>
      <c r="B659" s="1" t="n">
        <v>45191</v>
      </c>
      <c r="C659" s="1" t="n">
        <v>45925</v>
      </c>
      <c r="D659" t="inlineStr">
        <is>
          <t>STOCKHOLMS LÄN</t>
        </is>
      </c>
      <c r="E659" t="inlineStr">
        <is>
          <t>NORRTÄLJE</t>
        </is>
      </c>
      <c r="F659" t="inlineStr">
        <is>
          <t>Sveaskog</t>
        </is>
      </c>
      <c r="G659" t="n">
        <v>3.6</v>
      </c>
      <c r="H659" t="n">
        <v>0</v>
      </c>
      <c r="I659" t="n">
        <v>0</v>
      </c>
      <c r="J659" t="n">
        <v>0</v>
      </c>
      <c r="K659" t="n">
        <v>0</v>
      </c>
      <c r="L659" t="n">
        <v>0</v>
      </c>
      <c r="M659" t="n">
        <v>0</v>
      </c>
      <c r="N659" t="n">
        <v>0</v>
      </c>
      <c r="O659" t="n">
        <v>0</v>
      </c>
      <c r="P659" t="n">
        <v>0</v>
      </c>
      <c r="Q659" t="n">
        <v>0</v>
      </c>
      <c r="R659" s="2" t="inlineStr"/>
    </row>
    <row r="660" ht="15" customHeight="1">
      <c r="A660" t="inlineStr">
        <is>
          <t>A 18787-2022</t>
        </is>
      </c>
      <c r="B660" s="1" t="n">
        <v>44687</v>
      </c>
      <c r="C660" s="1" t="n">
        <v>45925</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46071-2024</t>
        </is>
      </c>
      <c r="B661" s="1" t="n">
        <v>45581</v>
      </c>
      <c r="C661" s="1" t="n">
        <v>45925</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35127-2023</t>
        </is>
      </c>
      <c r="B662" s="1" t="n">
        <v>45145.51</v>
      </c>
      <c r="C662" s="1" t="n">
        <v>45925</v>
      </c>
      <c r="D662" t="inlineStr">
        <is>
          <t>STOCKHOLMS LÄN</t>
        </is>
      </c>
      <c r="E662" t="inlineStr">
        <is>
          <t>NORRTÄLJE</t>
        </is>
      </c>
      <c r="G662" t="n">
        <v>4.7</v>
      </c>
      <c r="H662" t="n">
        <v>0</v>
      </c>
      <c r="I662" t="n">
        <v>0</v>
      </c>
      <c r="J662" t="n">
        <v>0</v>
      </c>
      <c r="K662" t="n">
        <v>0</v>
      </c>
      <c r="L662" t="n">
        <v>0</v>
      </c>
      <c r="M662" t="n">
        <v>0</v>
      </c>
      <c r="N662" t="n">
        <v>0</v>
      </c>
      <c r="O662" t="n">
        <v>0</v>
      </c>
      <c r="P662" t="n">
        <v>0</v>
      </c>
      <c r="Q662" t="n">
        <v>0</v>
      </c>
      <c r="R662" s="2" t="inlineStr"/>
    </row>
    <row r="663" ht="15" customHeight="1">
      <c r="A663" t="inlineStr">
        <is>
          <t>A 50136-2023</t>
        </is>
      </c>
      <c r="B663" s="1" t="n">
        <v>45215</v>
      </c>
      <c r="C663" s="1" t="n">
        <v>45925</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29369-2024</t>
        </is>
      </c>
      <c r="B664" s="1" t="n">
        <v>45483.57244212963</v>
      </c>
      <c r="C664" s="1" t="n">
        <v>45925</v>
      </c>
      <c r="D664" t="inlineStr">
        <is>
          <t>STOCKHOLMS LÄN</t>
        </is>
      </c>
      <c r="E664" t="inlineStr">
        <is>
          <t>NORRTÄLJE</t>
        </is>
      </c>
      <c r="G664" t="n">
        <v>15.9</v>
      </c>
      <c r="H664" t="n">
        <v>0</v>
      </c>
      <c r="I664" t="n">
        <v>0</v>
      </c>
      <c r="J664" t="n">
        <v>0</v>
      </c>
      <c r="K664" t="n">
        <v>0</v>
      </c>
      <c r="L664" t="n">
        <v>0</v>
      </c>
      <c r="M664" t="n">
        <v>0</v>
      </c>
      <c r="N664" t="n">
        <v>0</v>
      </c>
      <c r="O664" t="n">
        <v>0</v>
      </c>
      <c r="P664" t="n">
        <v>0</v>
      </c>
      <c r="Q664" t="n">
        <v>0</v>
      </c>
      <c r="R664" s="2" t="inlineStr"/>
    </row>
    <row r="665" ht="15" customHeight="1">
      <c r="A665" t="inlineStr">
        <is>
          <t>A 37630-2025</t>
        </is>
      </c>
      <c r="B665" s="1" t="n">
        <v>45880.46372685185</v>
      </c>
      <c r="C665" s="1" t="n">
        <v>45925</v>
      </c>
      <c r="D665" t="inlineStr">
        <is>
          <t>STOCKHOLMS LÄN</t>
        </is>
      </c>
      <c r="E665" t="inlineStr">
        <is>
          <t>NORRTÄLJE</t>
        </is>
      </c>
      <c r="F665" t="inlineStr">
        <is>
          <t>Sveaskog</t>
        </is>
      </c>
      <c r="G665" t="n">
        <v>12.9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44510.51422453704</v>
      </c>
      <c r="C666" s="1" t="n">
        <v>45925</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50497-2020</t>
        </is>
      </c>
      <c r="B667" s="1" t="n">
        <v>44110</v>
      </c>
      <c r="C667" s="1" t="n">
        <v>45925</v>
      </c>
      <c r="D667" t="inlineStr">
        <is>
          <t>STOCKHOLMS LÄN</t>
        </is>
      </c>
      <c r="E667" t="inlineStr">
        <is>
          <t>NORRTÄLJE</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38720-2022</t>
        </is>
      </c>
      <c r="B668" s="1" t="n">
        <v>44815.74539351852</v>
      </c>
      <c r="C668" s="1" t="n">
        <v>45925</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37632-2025</t>
        </is>
      </c>
      <c r="B669" s="1" t="n">
        <v>45880.46524305556</v>
      </c>
      <c r="C669" s="1" t="n">
        <v>45925</v>
      </c>
      <c r="D669" t="inlineStr">
        <is>
          <t>STOCKHOLMS LÄN</t>
        </is>
      </c>
      <c r="E669" t="inlineStr">
        <is>
          <t>NORRTÄLJE</t>
        </is>
      </c>
      <c r="F669" t="inlineStr">
        <is>
          <t>Sveaskog</t>
        </is>
      </c>
      <c r="G669" t="n">
        <v>6.4</v>
      </c>
      <c r="H669" t="n">
        <v>0</v>
      </c>
      <c r="I669" t="n">
        <v>0</v>
      </c>
      <c r="J669" t="n">
        <v>0</v>
      </c>
      <c r="K669" t="n">
        <v>0</v>
      </c>
      <c r="L669" t="n">
        <v>0</v>
      </c>
      <c r="M669" t="n">
        <v>0</v>
      </c>
      <c r="N669" t="n">
        <v>0</v>
      </c>
      <c r="O669" t="n">
        <v>0</v>
      </c>
      <c r="P669" t="n">
        <v>0</v>
      </c>
      <c r="Q669" t="n">
        <v>0</v>
      </c>
      <c r="R669" s="2" t="inlineStr"/>
    </row>
    <row r="670" ht="15" customHeight="1">
      <c r="A670" t="inlineStr">
        <is>
          <t>A 29841-2024</t>
        </is>
      </c>
      <c r="B670" s="1" t="n">
        <v>45485.60261574074</v>
      </c>
      <c r="C670" s="1" t="n">
        <v>45925</v>
      </c>
      <c r="D670" t="inlineStr">
        <is>
          <t>STOCKHOLMS LÄN</t>
        </is>
      </c>
      <c r="E670" t="inlineStr">
        <is>
          <t>NORRTÄLJE</t>
        </is>
      </c>
      <c r="G670" t="n">
        <v>15.9</v>
      </c>
      <c r="H670" t="n">
        <v>0</v>
      </c>
      <c r="I670" t="n">
        <v>0</v>
      </c>
      <c r="J670" t="n">
        <v>0</v>
      </c>
      <c r="K670" t="n">
        <v>0</v>
      </c>
      <c r="L670" t="n">
        <v>0</v>
      </c>
      <c r="M670" t="n">
        <v>0</v>
      </c>
      <c r="N670" t="n">
        <v>0</v>
      </c>
      <c r="O670" t="n">
        <v>0</v>
      </c>
      <c r="P670" t="n">
        <v>0</v>
      </c>
      <c r="Q670" t="n">
        <v>0</v>
      </c>
      <c r="R670" s="2" t="inlineStr"/>
    </row>
    <row r="671" ht="15" customHeight="1">
      <c r="A671" t="inlineStr">
        <is>
          <t>A 34432-2021</t>
        </is>
      </c>
      <c r="B671" s="1" t="n">
        <v>44380.77346064815</v>
      </c>
      <c r="C671" s="1" t="n">
        <v>45925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19911-2025</t>
        </is>
      </c>
      <c r="B672" s="1" t="n">
        <v>45771</v>
      </c>
      <c r="C672" s="1" t="n">
        <v>45925</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14130-2025</t>
        </is>
      </c>
      <c r="B673" s="1" t="n">
        <v>45740.47288194444</v>
      </c>
      <c r="C673" s="1" t="n">
        <v>45925</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12532-2025</t>
        </is>
      </c>
      <c r="B674" s="1" t="n">
        <v>45730.69143518519</v>
      </c>
      <c r="C674" s="1" t="n">
        <v>45925</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37628-2025</t>
        </is>
      </c>
      <c r="B675" s="1" t="n">
        <v>45880.46189814815</v>
      </c>
      <c r="C675" s="1" t="n">
        <v>45925</v>
      </c>
      <c r="D675" t="inlineStr">
        <is>
          <t>STOCKHOLMS LÄN</t>
        </is>
      </c>
      <c r="E675" t="inlineStr">
        <is>
          <t>NORRTÄLJE</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40175-2024</t>
        </is>
      </c>
      <c r="B676" s="1" t="n">
        <v>45554.55707175926</v>
      </c>
      <c r="C676" s="1" t="n">
        <v>45925</v>
      </c>
      <c r="D676" t="inlineStr">
        <is>
          <t>STOCKHOLMS LÄN</t>
        </is>
      </c>
      <c r="E676" t="inlineStr">
        <is>
          <t>NORRTÄLJE</t>
        </is>
      </c>
      <c r="G676" t="n">
        <v>7.7</v>
      </c>
      <c r="H676" t="n">
        <v>0</v>
      </c>
      <c r="I676" t="n">
        <v>0</v>
      </c>
      <c r="J676" t="n">
        <v>0</v>
      </c>
      <c r="K676" t="n">
        <v>0</v>
      </c>
      <c r="L676" t="n">
        <v>0</v>
      </c>
      <c r="M676" t="n">
        <v>0</v>
      </c>
      <c r="N676" t="n">
        <v>0</v>
      </c>
      <c r="O676" t="n">
        <v>0</v>
      </c>
      <c r="P676" t="n">
        <v>0</v>
      </c>
      <c r="Q676" t="n">
        <v>0</v>
      </c>
      <c r="R676" s="2" t="inlineStr"/>
    </row>
    <row r="677" ht="15" customHeight="1">
      <c r="A677" t="inlineStr">
        <is>
          <t>A 50108-2021</t>
        </is>
      </c>
      <c r="B677" s="1" t="n">
        <v>44456</v>
      </c>
      <c r="C677" s="1" t="n">
        <v>45925</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16229-2022</t>
        </is>
      </c>
      <c r="B678" s="1" t="n">
        <v>44670.4190162037</v>
      </c>
      <c r="C678" s="1" t="n">
        <v>45925</v>
      </c>
      <c r="D678" t="inlineStr">
        <is>
          <t>STOCKHOLMS LÄN</t>
        </is>
      </c>
      <c r="E678" t="inlineStr">
        <is>
          <t>NORRTÄLJE</t>
        </is>
      </c>
      <c r="G678" t="n">
        <v>7.4</v>
      </c>
      <c r="H678" t="n">
        <v>0</v>
      </c>
      <c r="I678" t="n">
        <v>0</v>
      </c>
      <c r="J678" t="n">
        <v>0</v>
      </c>
      <c r="K678" t="n">
        <v>0</v>
      </c>
      <c r="L678" t="n">
        <v>0</v>
      </c>
      <c r="M678" t="n">
        <v>0</v>
      </c>
      <c r="N678" t="n">
        <v>0</v>
      </c>
      <c r="O678" t="n">
        <v>0</v>
      </c>
      <c r="P678" t="n">
        <v>0</v>
      </c>
      <c r="Q678" t="n">
        <v>0</v>
      </c>
      <c r="R678" s="2" t="inlineStr"/>
    </row>
    <row r="679" ht="15" customHeight="1">
      <c r="A679" t="inlineStr">
        <is>
          <t>A 45697-2025</t>
        </is>
      </c>
      <c r="B679" s="1" t="n">
        <v>45923.39877314815</v>
      </c>
      <c r="C679" s="1" t="n">
        <v>45925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46914-2022</t>
        </is>
      </c>
      <c r="B680" s="1" t="n">
        <v>44851</v>
      </c>
      <c r="C680" s="1" t="n">
        <v>45925</v>
      </c>
      <c r="D680" t="inlineStr">
        <is>
          <t>STOCKHOLMS LÄN</t>
        </is>
      </c>
      <c r="E680" t="inlineStr">
        <is>
          <t>NORRTÄLJE</t>
        </is>
      </c>
      <c r="G680" t="n">
        <v>2.4</v>
      </c>
      <c r="H680" t="n">
        <v>0</v>
      </c>
      <c r="I680" t="n">
        <v>0</v>
      </c>
      <c r="J680" t="n">
        <v>0</v>
      </c>
      <c r="K680" t="n">
        <v>0</v>
      </c>
      <c r="L680" t="n">
        <v>0</v>
      </c>
      <c r="M680" t="n">
        <v>0</v>
      </c>
      <c r="N680" t="n">
        <v>0</v>
      </c>
      <c r="O680" t="n">
        <v>0</v>
      </c>
      <c r="P680" t="n">
        <v>0</v>
      </c>
      <c r="Q680" t="n">
        <v>0</v>
      </c>
      <c r="R680" s="2" t="inlineStr"/>
    </row>
    <row r="681" ht="15" customHeight="1">
      <c r="A681" t="inlineStr">
        <is>
          <t>A 24350-2025</t>
        </is>
      </c>
      <c r="B681" s="1" t="n">
        <v>45797.58350694444</v>
      </c>
      <c r="C681" s="1" t="n">
        <v>45925</v>
      </c>
      <c r="D681" t="inlineStr">
        <is>
          <t>STOCKHOLMS LÄN</t>
        </is>
      </c>
      <c r="E681" t="inlineStr">
        <is>
          <t>NORRTÄLJE</t>
        </is>
      </c>
      <c r="G681" t="n">
        <v>4.5</v>
      </c>
      <c r="H681" t="n">
        <v>0</v>
      </c>
      <c r="I681" t="n">
        <v>0</v>
      </c>
      <c r="J681" t="n">
        <v>0</v>
      </c>
      <c r="K681" t="n">
        <v>0</v>
      </c>
      <c r="L681" t="n">
        <v>0</v>
      </c>
      <c r="M681" t="n">
        <v>0</v>
      </c>
      <c r="N681" t="n">
        <v>0</v>
      </c>
      <c r="O681" t="n">
        <v>0</v>
      </c>
      <c r="P681" t="n">
        <v>0</v>
      </c>
      <c r="Q681" t="n">
        <v>0</v>
      </c>
      <c r="R681" s="2" t="inlineStr"/>
    </row>
    <row r="682" ht="15" customHeight="1">
      <c r="A682" t="inlineStr">
        <is>
          <t>A 20244-2025</t>
        </is>
      </c>
      <c r="B682" s="1" t="n">
        <v>45772.71221064815</v>
      </c>
      <c r="C682" s="1" t="n">
        <v>45925</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25621-2022</t>
        </is>
      </c>
      <c r="B683" s="1" t="n">
        <v>44732</v>
      </c>
      <c r="C683" s="1" t="n">
        <v>45925</v>
      </c>
      <c r="D683" t="inlineStr">
        <is>
          <t>STOCKHOLMS LÄN</t>
        </is>
      </c>
      <c r="E683" t="inlineStr">
        <is>
          <t>NORRTÄLJE</t>
        </is>
      </c>
      <c r="G683" t="n">
        <v>3.1</v>
      </c>
      <c r="H683" t="n">
        <v>0</v>
      </c>
      <c r="I683" t="n">
        <v>0</v>
      </c>
      <c r="J683" t="n">
        <v>0</v>
      </c>
      <c r="K683" t="n">
        <v>0</v>
      </c>
      <c r="L683" t="n">
        <v>0</v>
      </c>
      <c r="M683" t="n">
        <v>0</v>
      </c>
      <c r="N683" t="n">
        <v>0</v>
      </c>
      <c r="O683" t="n">
        <v>0</v>
      </c>
      <c r="P683" t="n">
        <v>0</v>
      </c>
      <c r="Q683" t="n">
        <v>0</v>
      </c>
      <c r="R683" s="2" t="inlineStr"/>
    </row>
    <row r="684" ht="15" customHeight="1">
      <c r="A684" t="inlineStr">
        <is>
          <t>A 20304-2023</t>
        </is>
      </c>
      <c r="B684" s="1" t="n">
        <v>45056</v>
      </c>
      <c r="C684" s="1" t="n">
        <v>45925</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35235-2024</t>
        </is>
      </c>
      <c r="B685" s="1" t="n">
        <v>45530</v>
      </c>
      <c r="C685" s="1" t="n">
        <v>45925</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50143-2023</t>
        </is>
      </c>
      <c r="B686" s="1" t="n">
        <v>45215</v>
      </c>
      <c r="C686" s="1" t="n">
        <v>45925</v>
      </c>
      <c r="D686" t="inlineStr">
        <is>
          <t>STOCKHOLMS LÄN</t>
        </is>
      </c>
      <c r="E686" t="inlineStr">
        <is>
          <t>NORRTÄLJE</t>
        </is>
      </c>
      <c r="G686" t="n">
        <v>10.3</v>
      </c>
      <c r="H686" t="n">
        <v>0</v>
      </c>
      <c r="I686" t="n">
        <v>0</v>
      </c>
      <c r="J686" t="n">
        <v>0</v>
      </c>
      <c r="K686" t="n">
        <v>0</v>
      </c>
      <c r="L686" t="n">
        <v>0</v>
      </c>
      <c r="M686" t="n">
        <v>0</v>
      </c>
      <c r="N686" t="n">
        <v>0</v>
      </c>
      <c r="O686" t="n">
        <v>0</v>
      </c>
      <c r="P686" t="n">
        <v>0</v>
      </c>
      <c r="Q686" t="n">
        <v>0</v>
      </c>
      <c r="R686" s="2" t="inlineStr"/>
    </row>
    <row r="687" ht="15" customHeight="1">
      <c r="A687" t="inlineStr">
        <is>
          <t>A 26703-2025</t>
        </is>
      </c>
      <c r="B687" s="1" t="n">
        <v>45810.45263888889</v>
      </c>
      <c r="C687" s="1" t="n">
        <v>45925</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51061-2023</t>
        </is>
      </c>
      <c r="B688" s="1" t="n">
        <v>45218.65849537037</v>
      </c>
      <c r="C688" s="1" t="n">
        <v>45925</v>
      </c>
      <c r="D688" t="inlineStr">
        <is>
          <t>STOCKHOLMS LÄN</t>
        </is>
      </c>
      <c r="E688" t="inlineStr">
        <is>
          <t>NORRTÄLJE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39213-2022</t>
        </is>
      </c>
      <c r="B689" s="1" t="n">
        <v>44817.56120370371</v>
      </c>
      <c r="C689" s="1" t="n">
        <v>45925</v>
      </c>
      <c r="D689" t="inlineStr">
        <is>
          <t>STOCKHOLMS LÄN</t>
        </is>
      </c>
      <c r="E689" t="inlineStr">
        <is>
          <t>NORRTÄLJE</t>
        </is>
      </c>
      <c r="G689" t="n">
        <v>3.4</v>
      </c>
      <c r="H689" t="n">
        <v>0</v>
      </c>
      <c r="I689" t="n">
        <v>0</v>
      </c>
      <c r="J689" t="n">
        <v>0</v>
      </c>
      <c r="K689" t="n">
        <v>0</v>
      </c>
      <c r="L689" t="n">
        <v>0</v>
      </c>
      <c r="M689" t="n">
        <v>0</v>
      </c>
      <c r="N689" t="n">
        <v>0</v>
      </c>
      <c r="O689" t="n">
        <v>0</v>
      </c>
      <c r="P689" t="n">
        <v>0</v>
      </c>
      <c r="Q689" t="n">
        <v>0</v>
      </c>
      <c r="R689" s="2" t="inlineStr"/>
    </row>
    <row r="690" ht="15" customHeight="1">
      <c r="A690" t="inlineStr">
        <is>
          <t>A 36246-2021</t>
        </is>
      </c>
      <c r="B690" s="1" t="n">
        <v>44390</v>
      </c>
      <c r="C690" s="1" t="n">
        <v>45925</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20015-2023</t>
        </is>
      </c>
      <c r="B691" s="1" t="n">
        <v>45054</v>
      </c>
      <c r="C691" s="1" t="n">
        <v>45925</v>
      </c>
      <c r="D691" t="inlineStr">
        <is>
          <t>STOCKHOLMS LÄN</t>
        </is>
      </c>
      <c r="E691" t="inlineStr">
        <is>
          <t>NORRTÄLJE</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5027-2025</t>
        </is>
      </c>
      <c r="B692" s="1" t="n">
        <v>45691.41101851852</v>
      </c>
      <c r="C692" s="1" t="n">
        <v>45925</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15905-2023</t>
        </is>
      </c>
      <c r="B693" s="1" t="n">
        <v>45022</v>
      </c>
      <c r="C693" s="1" t="n">
        <v>45925</v>
      </c>
      <c r="D693" t="inlineStr">
        <is>
          <t>STOCKHOLMS LÄN</t>
        </is>
      </c>
      <c r="E693" t="inlineStr">
        <is>
          <t>NORRTÄLJE</t>
        </is>
      </c>
      <c r="G693" t="n">
        <v>3.2</v>
      </c>
      <c r="H693" t="n">
        <v>0</v>
      </c>
      <c r="I693" t="n">
        <v>0</v>
      </c>
      <c r="J693" t="n">
        <v>0</v>
      </c>
      <c r="K693" t="n">
        <v>0</v>
      </c>
      <c r="L693" t="n">
        <v>0</v>
      </c>
      <c r="M693" t="n">
        <v>0</v>
      </c>
      <c r="N693" t="n">
        <v>0</v>
      </c>
      <c r="O693" t="n">
        <v>0</v>
      </c>
      <c r="P693" t="n">
        <v>0</v>
      </c>
      <c r="Q693" t="n">
        <v>0</v>
      </c>
      <c r="R693" s="2" t="inlineStr"/>
    </row>
    <row r="694" ht="15" customHeight="1">
      <c r="A694" t="inlineStr">
        <is>
          <t>A 11041-2025</t>
        </is>
      </c>
      <c r="B694" s="1" t="n">
        <v>45723</v>
      </c>
      <c r="C694" s="1" t="n">
        <v>45925</v>
      </c>
      <c r="D694" t="inlineStr">
        <is>
          <t>STOCKHOLMS LÄN</t>
        </is>
      </c>
      <c r="E694" t="inlineStr">
        <is>
          <t>NORRTÄLJE</t>
        </is>
      </c>
      <c r="F694" t="inlineStr">
        <is>
          <t>Övriga Aktiebolag</t>
        </is>
      </c>
      <c r="G694" t="n">
        <v>1.8</v>
      </c>
      <c r="H694" t="n">
        <v>0</v>
      </c>
      <c r="I694" t="n">
        <v>0</v>
      </c>
      <c r="J694" t="n">
        <v>0</v>
      </c>
      <c r="K694" t="n">
        <v>0</v>
      </c>
      <c r="L694" t="n">
        <v>0</v>
      </c>
      <c r="M694" t="n">
        <v>0</v>
      </c>
      <c r="N694" t="n">
        <v>0</v>
      </c>
      <c r="O694" t="n">
        <v>0</v>
      </c>
      <c r="P694" t="n">
        <v>0</v>
      </c>
      <c r="Q694" t="n">
        <v>0</v>
      </c>
      <c r="R694" s="2" t="inlineStr"/>
    </row>
    <row r="695" ht="15" customHeight="1">
      <c r="A695" t="inlineStr">
        <is>
          <t>A 13137-2024</t>
        </is>
      </c>
      <c r="B695" s="1" t="n">
        <v>45386.34175925926</v>
      </c>
      <c r="C695" s="1" t="n">
        <v>45925</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20011-2025</t>
        </is>
      </c>
      <c r="B696" s="1" t="n">
        <v>45772.29622685185</v>
      </c>
      <c r="C696" s="1" t="n">
        <v>45925</v>
      </c>
      <c r="D696" t="inlineStr">
        <is>
          <t>STOCKHOLMS LÄN</t>
        </is>
      </c>
      <c r="E696" t="inlineStr">
        <is>
          <t>NORRTÄLJE</t>
        </is>
      </c>
      <c r="G696" t="n">
        <v>3.5</v>
      </c>
      <c r="H696" t="n">
        <v>0</v>
      </c>
      <c r="I696" t="n">
        <v>0</v>
      </c>
      <c r="J696" t="n">
        <v>0</v>
      </c>
      <c r="K696" t="n">
        <v>0</v>
      </c>
      <c r="L696" t="n">
        <v>0</v>
      </c>
      <c r="M696" t="n">
        <v>0</v>
      </c>
      <c r="N696" t="n">
        <v>0</v>
      </c>
      <c r="O696" t="n">
        <v>0</v>
      </c>
      <c r="P696" t="n">
        <v>0</v>
      </c>
      <c r="Q696" t="n">
        <v>0</v>
      </c>
      <c r="R696" s="2" t="inlineStr"/>
    </row>
    <row r="697" ht="15" customHeight="1">
      <c r="A697" t="inlineStr">
        <is>
          <t>A 38153-2025</t>
        </is>
      </c>
      <c r="B697" s="1" t="n">
        <v>45882.59722222222</v>
      </c>
      <c r="C697" s="1" t="n">
        <v>45925</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8315-2025</t>
        </is>
      </c>
      <c r="B698" s="1" t="n">
        <v>45708.61761574074</v>
      </c>
      <c r="C698" s="1" t="n">
        <v>45925</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44917-2022</t>
        </is>
      </c>
      <c r="B699" s="1" t="n">
        <v>44841.52804398148</v>
      </c>
      <c r="C699" s="1" t="n">
        <v>45925</v>
      </c>
      <c r="D699" t="inlineStr">
        <is>
          <t>STOCKHOLMS LÄN</t>
        </is>
      </c>
      <c r="E699" t="inlineStr">
        <is>
          <t>NORRTÄLJE</t>
        </is>
      </c>
      <c r="F699" t="inlineStr">
        <is>
          <t>Holmen skog AB</t>
        </is>
      </c>
      <c r="G699" t="n">
        <v>3.3</v>
      </c>
      <c r="H699" t="n">
        <v>0</v>
      </c>
      <c r="I699" t="n">
        <v>0</v>
      </c>
      <c r="J699" t="n">
        <v>0</v>
      </c>
      <c r="K699" t="n">
        <v>0</v>
      </c>
      <c r="L699" t="n">
        <v>0</v>
      </c>
      <c r="M699" t="n">
        <v>0</v>
      </c>
      <c r="N699" t="n">
        <v>0</v>
      </c>
      <c r="O699" t="n">
        <v>0</v>
      </c>
      <c r="P699" t="n">
        <v>0</v>
      </c>
      <c r="Q699" t="n">
        <v>0</v>
      </c>
      <c r="R699" s="2" t="inlineStr"/>
    </row>
    <row r="700" ht="15" customHeight="1">
      <c r="A700" t="inlineStr">
        <is>
          <t>A 33173-2024</t>
        </is>
      </c>
      <c r="B700" s="1" t="n">
        <v>45518</v>
      </c>
      <c r="C700" s="1" t="n">
        <v>45925</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17551-2025</t>
        </is>
      </c>
      <c r="B701" s="1" t="n">
        <v>45757.61421296297</v>
      </c>
      <c r="C701" s="1" t="n">
        <v>45925</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12251-2025</t>
        </is>
      </c>
      <c r="B702" s="1" t="n">
        <v>45729.60859953704</v>
      </c>
      <c r="C702" s="1" t="n">
        <v>45925</v>
      </c>
      <c r="D702" t="inlineStr">
        <is>
          <t>STOCKHOLMS LÄN</t>
        </is>
      </c>
      <c r="E702" t="inlineStr">
        <is>
          <t>NORRTÄLJE</t>
        </is>
      </c>
      <c r="F702" t="inlineStr">
        <is>
          <t>Holmen skog AB</t>
        </is>
      </c>
      <c r="G702" t="n">
        <v>5.9</v>
      </c>
      <c r="H702" t="n">
        <v>0</v>
      </c>
      <c r="I702" t="n">
        <v>0</v>
      </c>
      <c r="J702" t="n">
        <v>0</v>
      </c>
      <c r="K702" t="n">
        <v>0</v>
      </c>
      <c r="L702" t="n">
        <v>0</v>
      </c>
      <c r="M702" t="n">
        <v>0</v>
      </c>
      <c r="N702" t="n">
        <v>0</v>
      </c>
      <c r="O702" t="n">
        <v>0</v>
      </c>
      <c r="P702" t="n">
        <v>0</v>
      </c>
      <c r="Q702" t="n">
        <v>0</v>
      </c>
      <c r="R702" s="2" t="inlineStr"/>
    </row>
    <row r="703" ht="15" customHeight="1">
      <c r="A703" t="inlineStr">
        <is>
          <t>A 33219-2025</t>
        </is>
      </c>
      <c r="B703" s="1" t="n">
        <v>45840</v>
      </c>
      <c r="C703" s="1" t="n">
        <v>45925</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10678-2025</t>
        </is>
      </c>
      <c r="B704" s="1" t="n">
        <v>45721.89123842592</v>
      </c>
      <c r="C704" s="1" t="n">
        <v>45925</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54776-2023</t>
        </is>
      </c>
      <c r="B705" s="1" t="n">
        <v>45236.46369212963</v>
      </c>
      <c r="C705" s="1" t="n">
        <v>45925</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8370-2025</t>
        </is>
      </c>
      <c r="B706" s="1" t="n">
        <v>45708</v>
      </c>
      <c r="C706" s="1" t="n">
        <v>45925</v>
      </c>
      <c r="D706" t="inlineStr">
        <is>
          <t>STOCKHOLMS LÄN</t>
        </is>
      </c>
      <c r="E706" t="inlineStr">
        <is>
          <t>NORRTÄLJE</t>
        </is>
      </c>
      <c r="F706" t="inlineStr">
        <is>
          <t>Övriga Aktiebolag</t>
        </is>
      </c>
      <c r="G706" t="n">
        <v>5.6</v>
      </c>
      <c r="H706" t="n">
        <v>0</v>
      </c>
      <c r="I706" t="n">
        <v>0</v>
      </c>
      <c r="J706" t="n">
        <v>0</v>
      </c>
      <c r="K706" t="n">
        <v>0</v>
      </c>
      <c r="L706" t="n">
        <v>0</v>
      </c>
      <c r="M706" t="n">
        <v>0</v>
      </c>
      <c r="N706" t="n">
        <v>0</v>
      </c>
      <c r="O706" t="n">
        <v>0</v>
      </c>
      <c r="P706" t="n">
        <v>0</v>
      </c>
      <c r="Q706" t="n">
        <v>0</v>
      </c>
      <c r="R706" s="2" t="inlineStr"/>
    </row>
    <row r="707" ht="15" customHeight="1">
      <c r="A707" t="inlineStr">
        <is>
          <t>A 20144-2023</t>
        </is>
      </c>
      <c r="B707" s="1" t="n">
        <v>45055.43509259259</v>
      </c>
      <c r="C707" s="1" t="n">
        <v>45925</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951-2023</t>
        </is>
      </c>
      <c r="B708" s="1" t="n">
        <v>44934</v>
      </c>
      <c r="C708" s="1" t="n">
        <v>45925</v>
      </c>
      <c r="D708" t="inlineStr">
        <is>
          <t>STOCKHOLMS LÄN</t>
        </is>
      </c>
      <c r="E708" t="inlineStr">
        <is>
          <t>NORRTÄLJE</t>
        </is>
      </c>
      <c r="G708" t="n">
        <v>3.7</v>
      </c>
      <c r="H708" t="n">
        <v>0</v>
      </c>
      <c r="I708" t="n">
        <v>0</v>
      </c>
      <c r="J708" t="n">
        <v>0</v>
      </c>
      <c r="K708" t="n">
        <v>0</v>
      </c>
      <c r="L708" t="n">
        <v>0</v>
      </c>
      <c r="M708" t="n">
        <v>0</v>
      </c>
      <c r="N708" t="n">
        <v>0</v>
      </c>
      <c r="O708" t="n">
        <v>0</v>
      </c>
      <c r="P708" t="n">
        <v>0</v>
      </c>
      <c r="Q708" t="n">
        <v>0</v>
      </c>
      <c r="R708" s="2" t="inlineStr"/>
    </row>
    <row r="709" ht="15" customHeight="1">
      <c r="A709" t="inlineStr">
        <is>
          <t>A 13314-2025</t>
        </is>
      </c>
      <c r="B709" s="1" t="n">
        <v>45735.59287037037</v>
      </c>
      <c r="C709" s="1" t="n">
        <v>45925</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23056-2023</t>
        </is>
      </c>
      <c r="B710" s="1" t="n">
        <v>45075</v>
      </c>
      <c r="C710" s="1" t="n">
        <v>45925</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32100-2022</t>
        </is>
      </c>
      <c r="B711" s="1" t="n">
        <v>44778</v>
      </c>
      <c r="C711" s="1" t="n">
        <v>45925</v>
      </c>
      <c r="D711" t="inlineStr">
        <is>
          <t>STOCKHOLMS LÄN</t>
        </is>
      </c>
      <c r="E711" t="inlineStr">
        <is>
          <t>NORRTÄLJE</t>
        </is>
      </c>
      <c r="G711" t="n">
        <v>3.3</v>
      </c>
      <c r="H711" t="n">
        <v>0</v>
      </c>
      <c r="I711" t="n">
        <v>0</v>
      </c>
      <c r="J711" t="n">
        <v>0</v>
      </c>
      <c r="K711" t="n">
        <v>0</v>
      </c>
      <c r="L711" t="n">
        <v>0</v>
      </c>
      <c r="M711" t="n">
        <v>0</v>
      </c>
      <c r="N711" t="n">
        <v>0</v>
      </c>
      <c r="O711" t="n">
        <v>0</v>
      </c>
      <c r="P711" t="n">
        <v>0</v>
      </c>
      <c r="Q711" t="n">
        <v>0</v>
      </c>
      <c r="R711" s="2" t="inlineStr"/>
    </row>
    <row r="712" ht="15" customHeight="1">
      <c r="A712" t="inlineStr">
        <is>
          <t>A 13172-2025</t>
        </is>
      </c>
      <c r="B712" s="1" t="n">
        <v>45735.36873842592</v>
      </c>
      <c r="C712" s="1" t="n">
        <v>45925</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2888-2022</t>
        </is>
      </c>
      <c r="B713" s="1" t="n">
        <v>44581</v>
      </c>
      <c r="C713" s="1" t="n">
        <v>45925</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11902-2024</t>
        </is>
      </c>
      <c r="B714" s="1" t="n">
        <v>45376.55704861111</v>
      </c>
      <c r="C714" s="1" t="n">
        <v>45925</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13-2024</t>
        </is>
      </c>
      <c r="B715" s="1" t="n">
        <v>45293.37263888889</v>
      </c>
      <c r="C715" s="1" t="n">
        <v>45925</v>
      </c>
      <c r="D715" t="inlineStr">
        <is>
          <t>STOCKHOLMS LÄN</t>
        </is>
      </c>
      <c r="E715" t="inlineStr">
        <is>
          <t>NORRTÄLJE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19025-2025</t>
        </is>
      </c>
      <c r="B716" s="1" t="n">
        <v>45764.6359837963</v>
      </c>
      <c r="C716" s="1" t="n">
        <v>45925</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58260-2023</t>
        </is>
      </c>
      <c r="B717" s="1" t="n">
        <v>45245</v>
      </c>
      <c r="C717" s="1" t="n">
        <v>45925</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58261-2023</t>
        </is>
      </c>
      <c r="B718" s="1" t="n">
        <v>45245</v>
      </c>
      <c r="C718" s="1" t="n">
        <v>45925</v>
      </c>
      <c r="D718" t="inlineStr">
        <is>
          <t>STOCKHOLMS LÄN</t>
        </is>
      </c>
      <c r="E718" t="inlineStr">
        <is>
          <t>NORRTÄLJE</t>
        </is>
      </c>
      <c r="G718" t="n">
        <v>53.5</v>
      </c>
      <c r="H718" t="n">
        <v>0</v>
      </c>
      <c r="I718" t="n">
        <v>0</v>
      </c>
      <c r="J718" t="n">
        <v>0</v>
      </c>
      <c r="K718" t="n">
        <v>0</v>
      </c>
      <c r="L718" t="n">
        <v>0</v>
      </c>
      <c r="M718" t="n">
        <v>0</v>
      </c>
      <c r="N718" t="n">
        <v>0</v>
      </c>
      <c r="O718" t="n">
        <v>0</v>
      </c>
      <c r="P718" t="n">
        <v>0</v>
      </c>
      <c r="Q718" t="n">
        <v>0</v>
      </c>
      <c r="R718" s="2" t="inlineStr"/>
    </row>
    <row r="719" ht="15" customHeight="1">
      <c r="A719" t="inlineStr">
        <is>
          <t>A 5867-2022</t>
        </is>
      </c>
      <c r="B719" s="1" t="n">
        <v>44596.66335648148</v>
      </c>
      <c r="C719" s="1" t="n">
        <v>45925</v>
      </c>
      <c r="D719" t="inlineStr">
        <is>
          <t>STOCKHOLMS LÄN</t>
        </is>
      </c>
      <c r="E719" t="inlineStr">
        <is>
          <t>NORRTÄLJE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4553-2023</t>
        </is>
      </c>
      <c r="B720" s="1" t="n">
        <v>44956.65920138889</v>
      </c>
      <c r="C720" s="1" t="n">
        <v>45925</v>
      </c>
      <c r="D720" t="inlineStr">
        <is>
          <t>STOCKHOLMS LÄN</t>
        </is>
      </c>
      <c r="E720" t="inlineStr">
        <is>
          <t>NORRTÄLJE</t>
        </is>
      </c>
      <c r="G720" t="n">
        <v>7.5</v>
      </c>
      <c r="H720" t="n">
        <v>0</v>
      </c>
      <c r="I720" t="n">
        <v>0</v>
      </c>
      <c r="J720" t="n">
        <v>0</v>
      </c>
      <c r="K720" t="n">
        <v>0</v>
      </c>
      <c r="L720" t="n">
        <v>0</v>
      </c>
      <c r="M720" t="n">
        <v>0</v>
      </c>
      <c r="N720" t="n">
        <v>0</v>
      </c>
      <c r="O720" t="n">
        <v>0</v>
      </c>
      <c r="P720" t="n">
        <v>0</v>
      </c>
      <c r="Q720" t="n">
        <v>0</v>
      </c>
      <c r="R720" s="2" t="inlineStr"/>
    </row>
    <row r="721" ht="15" customHeight="1">
      <c r="A721" t="inlineStr">
        <is>
          <t>A 875-2023</t>
        </is>
      </c>
      <c r="B721" s="1" t="n">
        <v>44931.65626157408</v>
      </c>
      <c r="C721" s="1" t="n">
        <v>45925</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45925</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24575-2024</t>
        </is>
      </c>
      <c r="B723" s="1" t="n">
        <v>45460.45523148148</v>
      </c>
      <c r="C723" s="1" t="n">
        <v>45925</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19-2024</t>
        </is>
      </c>
      <c r="B724" s="1" t="n">
        <v>45293</v>
      </c>
      <c r="C724" s="1" t="n">
        <v>45925</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58493-2020</t>
        </is>
      </c>
      <c r="B725" s="1" t="n">
        <v>44145</v>
      </c>
      <c r="C725" s="1" t="n">
        <v>45925</v>
      </c>
      <c r="D725" t="inlineStr">
        <is>
          <t>STOCKHOLMS LÄN</t>
        </is>
      </c>
      <c r="E725" t="inlineStr">
        <is>
          <t>NORRTÄLJE</t>
        </is>
      </c>
      <c r="G725" t="n">
        <v>2.8</v>
      </c>
      <c r="H725" t="n">
        <v>0</v>
      </c>
      <c r="I725" t="n">
        <v>0</v>
      </c>
      <c r="J725" t="n">
        <v>0</v>
      </c>
      <c r="K725" t="n">
        <v>0</v>
      </c>
      <c r="L725" t="n">
        <v>0</v>
      </c>
      <c r="M725" t="n">
        <v>0</v>
      </c>
      <c r="N725" t="n">
        <v>0</v>
      </c>
      <c r="O725" t="n">
        <v>0</v>
      </c>
      <c r="P725" t="n">
        <v>0</v>
      </c>
      <c r="Q725" t="n">
        <v>0</v>
      </c>
      <c r="R725" s="2" t="inlineStr"/>
    </row>
    <row r="726" ht="15" customHeight="1">
      <c r="A726" t="inlineStr">
        <is>
          <t>A 21731-2023</t>
        </is>
      </c>
      <c r="B726" s="1" t="n">
        <v>45063</v>
      </c>
      <c r="C726" s="1" t="n">
        <v>45925</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21745-2023</t>
        </is>
      </c>
      <c r="B727" s="1" t="n">
        <v>45065.55917824074</v>
      </c>
      <c r="C727" s="1" t="n">
        <v>45925</v>
      </c>
      <c r="D727" t="inlineStr">
        <is>
          <t>STOCKHOLMS LÄN</t>
        </is>
      </c>
      <c r="E727" t="inlineStr">
        <is>
          <t>NORRTÄLJE</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11333-2025</t>
        </is>
      </c>
      <c r="B728" s="1" t="n">
        <v>45726.48377314815</v>
      </c>
      <c r="C728" s="1" t="n">
        <v>45925</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21529-2021</t>
        </is>
      </c>
      <c r="B729" s="1" t="n">
        <v>44321</v>
      </c>
      <c r="C729" s="1" t="n">
        <v>45925</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30221-2024</t>
        </is>
      </c>
      <c r="B730" s="1" t="n">
        <v>45490.45342592592</v>
      </c>
      <c r="C730" s="1" t="n">
        <v>45925</v>
      </c>
      <c r="D730" t="inlineStr">
        <is>
          <t>STOCKHOLMS LÄN</t>
        </is>
      </c>
      <c r="E730" t="inlineStr">
        <is>
          <t>NORRTÄLJE</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26365-2024</t>
        </is>
      </c>
      <c r="B731" s="1" t="n">
        <v>45469</v>
      </c>
      <c r="C731" s="1" t="n">
        <v>45925</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31827-2023</t>
        </is>
      </c>
      <c r="B732" s="1" t="n">
        <v>45118</v>
      </c>
      <c r="C732" s="1" t="n">
        <v>45925</v>
      </c>
      <c r="D732" t="inlineStr">
        <is>
          <t>STOCKHOLMS LÄN</t>
        </is>
      </c>
      <c r="E732" t="inlineStr">
        <is>
          <t>NORRTÄLJE</t>
        </is>
      </c>
      <c r="F732" t="inlineStr">
        <is>
          <t>Kyrkan</t>
        </is>
      </c>
      <c r="G732" t="n">
        <v>4.9</v>
      </c>
      <c r="H732" t="n">
        <v>0</v>
      </c>
      <c r="I732" t="n">
        <v>0</v>
      </c>
      <c r="J732" t="n">
        <v>0</v>
      </c>
      <c r="K732" t="n">
        <v>0</v>
      </c>
      <c r="L732" t="n">
        <v>0</v>
      </c>
      <c r="M732" t="n">
        <v>0</v>
      </c>
      <c r="N732" t="n">
        <v>0</v>
      </c>
      <c r="O732" t="n">
        <v>0</v>
      </c>
      <c r="P732" t="n">
        <v>0</v>
      </c>
      <c r="Q732" t="n">
        <v>0</v>
      </c>
      <c r="R732" s="2" t="inlineStr"/>
    </row>
    <row r="733" ht="15" customHeight="1">
      <c r="A733" t="inlineStr">
        <is>
          <t>A 50602-2021</t>
        </is>
      </c>
      <c r="B733" s="1" t="n">
        <v>44459</v>
      </c>
      <c r="C733" s="1" t="n">
        <v>45925</v>
      </c>
      <c r="D733" t="inlineStr">
        <is>
          <t>STOCKHOLMS LÄN</t>
        </is>
      </c>
      <c r="E733" t="inlineStr">
        <is>
          <t>NORRTÄLJE</t>
        </is>
      </c>
      <c r="F733" t="inlineStr">
        <is>
          <t>Holmen skog AB</t>
        </is>
      </c>
      <c r="G733" t="n">
        <v>2</v>
      </c>
      <c r="H733" t="n">
        <v>0</v>
      </c>
      <c r="I733" t="n">
        <v>0</v>
      </c>
      <c r="J733" t="n">
        <v>0</v>
      </c>
      <c r="K733" t="n">
        <v>0</v>
      </c>
      <c r="L733" t="n">
        <v>0</v>
      </c>
      <c r="M733" t="n">
        <v>0</v>
      </c>
      <c r="N733" t="n">
        <v>0</v>
      </c>
      <c r="O733" t="n">
        <v>0</v>
      </c>
      <c r="P733" t="n">
        <v>0</v>
      </c>
      <c r="Q733" t="n">
        <v>0</v>
      </c>
      <c r="R733" s="2" t="inlineStr"/>
    </row>
    <row r="734" ht="15" customHeight="1">
      <c r="A734" t="inlineStr">
        <is>
          <t>A 10973-2025</t>
        </is>
      </c>
      <c r="B734" s="1" t="n">
        <v>45723</v>
      </c>
      <c r="C734" s="1" t="n">
        <v>45925</v>
      </c>
      <c r="D734" t="inlineStr">
        <is>
          <t>STOCKHOLMS LÄN</t>
        </is>
      </c>
      <c r="E734" t="inlineStr">
        <is>
          <t>NORRTÄLJE</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54496-2024</t>
        </is>
      </c>
      <c r="B735" s="1" t="n">
        <v>45617.57439814815</v>
      </c>
      <c r="C735" s="1" t="n">
        <v>45925</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48798-2021</t>
        </is>
      </c>
      <c r="B736" s="1" t="n">
        <v>44452</v>
      </c>
      <c r="C736" s="1" t="n">
        <v>45925</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53607-2020</t>
        </is>
      </c>
      <c r="B737" s="1" t="n">
        <v>44124</v>
      </c>
      <c r="C737" s="1" t="n">
        <v>45925</v>
      </c>
      <c r="D737" t="inlineStr">
        <is>
          <t>STOCKHOLMS LÄN</t>
        </is>
      </c>
      <c r="E737" t="inlineStr">
        <is>
          <t>NORRTÄLJE</t>
        </is>
      </c>
      <c r="F737" t="inlineStr">
        <is>
          <t>Holmen skog AB</t>
        </is>
      </c>
      <c r="G737" t="n">
        <v>1.9</v>
      </c>
      <c r="H737" t="n">
        <v>0</v>
      </c>
      <c r="I737" t="n">
        <v>0</v>
      </c>
      <c r="J737" t="n">
        <v>0</v>
      </c>
      <c r="K737" t="n">
        <v>0</v>
      </c>
      <c r="L737" t="n">
        <v>0</v>
      </c>
      <c r="M737" t="n">
        <v>0</v>
      </c>
      <c r="N737" t="n">
        <v>0</v>
      </c>
      <c r="O737" t="n">
        <v>0</v>
      </c>
      <c r="P737" t="n">
        <v>0</v>
      </c>
      <c r="Q737" t="n">
        <v>0</v>
      </c>
      <c r="R737" s="2" t="inlineStr"/>
    </row>
    <row r="738" ht="15" customHeight="1">
      <c r="A738" t="inlineStr">
        <is>
          <t>A 7796-2025</t>
        </is>
      </c>
      <c r="B738" s="1" t="n">
        <v>45706.60130787037</v>
      </c>
      <c r="C738" s="1" t="n">
        <v>45925</v>
      </c>
      <c r="D738" t="inlineStr">
        <is>
          <t>STOCKHOLMS LÄN</t>
        </is>
      </c>
      <c r="E738" t="inlineStr">
        <is>
          <t>NORRTÄLJE</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59767-2022</t>
        </is>
      </c>
      <c r="B739" s="1" t="n">
        <v>44900</v>
      </c>
      <c r="C739" s="1" t="n">
        <v>45925</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22756-2022</t>
        </is>
      </c>
      <c r="B740" s="1" t="n">
        <v>44714.92253472222</v>
      </c>
      <c r="C740" s="1" t="n">
        <v>45925</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30283-2022</t>
        </is>
      </c>
      <c r="B741" s="1" t="n">
        <v>44760</v>
      </c>
      <c r="C741" s="1" t="n">
        <v>45925</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30290-2022</t>
        </is>
      </c>
      <c r="B742" s="1" t="n">
        <v>44760</v>
      </c>
      <c r="C742" s="1" t="n">
        <v>45925</v>
      </c>
      <c r="D742" t="inlineStr">
        <is>
          <t>STOCKHOLMS LÄN</t>
        </is>
      </c>
      <c r="E742" t="inlineStr">
        <is>
          <t>NORRTÄLJE</t>
        </is>
      </c>
      <c r="G742" t="n">
        <v>4.8</v>
      </c>
      <c r="H742" t="n">
        <v>0</v>
      </c>
      <c r="I742" t="n">
        <v>0</v>
      </c>
      <c r="J742" t="n">
        <v>0</v>
      </c>
      <c r="K742" t="n">
        <v>0</v>
      </c>
      <c r="L742" t="n">
        <v>0</v>
      </c>
      <c r="M742" t="n">
        <v>0</v>
      </c>
      <c r="N742" t="n">
        <v>0</v>
      </c>
      <c r="O742" t="n">
        <v>0</v>
      </c>
      <c r="P742" t="n">
        <v>0</v>
      </c>
      <c r="Q742" t="n">
        <v>0</v>
      </c>
      <c r="R742" s="2" t="inlineStr"/>
    </row>
    <row r="743" ht="15" customHeight="1">
      <c r="A743" t="inlineStr">
        <is>
          <t>A 38985-2022</t>
        </is>
      </c>
      <c r="B743" s="1" t="n">
        <v>44816</v>
      </c>
      <c r="C743" s="1" t="n">
        <v>45925</v>
      </c>
      <c r="D743" t="inlineStr">
        <is>
          <t>STOCKHOLMS LÄN</t>
        </is>
      </c>
      <c r="E743" t="inlineStr">
        <is>
          <t>NORRTÄLJE</t>
        </is>
      </c>
      <c r="G743" t="n">
        <v>10.1</v>
      </c>
      <c r="H743" t="n">
        <v>0</v>
      </c>
      <c r="I743" t="n">
        <v>0</v>
      </c>
      <c r="J743" t="n">
        <v>0</v>
      </c>
      <c r="K743" t="n">
        <v>0</v>
      </c>
      <c r="L743" t="n">
        <v>0</v>
      </c>
      <c r="M743" t="n">
        <v>0</v>
      </c>
      <c r="N743" t="n">
        <v>0</v>
      </c>
      <c r="O743" t="n">
        <v>0</v>
      </c>
      <c r="P743" t="n">
        <v>0</v>
      </c>
      <c r="Q743" t="n">
        <v>0</v>
      </c>
      <c r="R743" s="2" t="inlineStr"/>
    </row>
    <row r="744" ht="15" customHeight="1">
      <c r="A744" t="inlineStr">
        <is>
          <t>A 25625-2023</t>
        </is>
      </c>
      <c r="B744" s="1" t="n">
        <v>45089</v>
      </c>
      <c r="C744" s="1" t="n">
        <v>45925</v>
      </c>
      <c r="D744" t="inlineStr">
        <is>
          <t>STOCKHOLMS LÄN</t>
        </is>
      </c>
      <c r="E744" t="inlineStr">
        <is>
          <t>NORRTÄLJE</t>
        </is>
      </c>
      <c r="G744" t="n">
        <v>5.5</v>
      </c>
      <c r="H744" t="n">
        <v>0</v>
      </c>
      <c r="I744" t="n">
        <v>0</v>
      </c>
      <c r="J744" t="n">
        <v>0</v>
      </c>
      <c r="K744" t="n">
        <v>0</v>
      </c>
      <c r="L744" t="n">
        <v>0</v>
      </c>
      <c r="M744" t="n">
        <v>0</v>
      </c>
      <c r="N744" t="n">
        <v>0</v>
      </c>
      <c r="O744" t="n">
        <v>0</v>
      </c>
      <c r="P744" t="n">
        <v>0</v>
      </c>
      <c r="Q744" t="n">
        <v>0</v>
      </c>
      <c r="R744" s="2" t="inlineStr"/>
    </row>
    <row r="745" ht="15" customHeight="1">
      <c r="A745" t="inlineStr">
        <is>
          <t>A 58311-2023</t>
        </is>
      </c>
      <c r="B745" s="1" t="n">
        <v>45245</v>
      </c>
      <c r="C745" s="1" t="n">
        <v>45925</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8739-2024</t>
        </is>
      </c>
      <c r="B746" s="1" t="n">
        <v>45356.47784722222</v>
      </c>
      <c r="C746" s="1" t="n">
        <v>45925</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26640-2023</t>
        </is>
      </c>
      <c r="B747" s="1" t="n">
        <v>45092</v>
      </c>
      <c r="C747" s="1" t="n">
        <v>45925</v>
      </c>
      <c r="D747" t="inlineStr">
        <is>
          <t>STOCKHOLMS LÄN</t>
        </is>
      </c>
      <c r="E747" t="inlineStr">
        <is>
          <t>NORRTÄLJE</t>
        </is>
      </c>
      <c r="G747" t="n">
        <v>5.7</v>
      </c>
      <c r="H747" t="n">
        <v>0</v>
      </c>
      <c r="I747" t="n">
        <v>0</v>
      </c>
      <c r="J747" t="n">
        <v>0</v>
      </c>
      <c r="K747" t="n">
        <v>0</v>
      </c>
      <c r="L747" t="n">
        <v>0</v>
      </c>
      <c r="M747" t="n">
        <v>0</v>
      </c>
      <c r="N747" t="n">
        <v>0</v>
      </c>
      <c r="O747" t="n">
        <v>0</v>
      </c>
      <c r="P747" t="n">
        <v>0</v>
      </c>
      <c r="Q747" t="n">
        <v>0</v>
      </c>
      <c r="R747" s="2" t="inlineStr"/>
    </row>
    <row r="748" ht="15" customHeight="1">
      <c r="A748" t="inlineStr">
        <is>
          <t>A 62765-2022</t>
        </is>
      </c>
      <c r="B748" s="1" t="n">
        <v>44637</v>
      </c>
      <c r="C748" s="1" t="n">
        <v>45925</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38990-2022</t>
        </is>
      </c>
      <c r="B749" s="1" t="n">
        <v>44816</v>
      </c>
      <c r="C749" s="1" t="n">
        <v>45925</v>
      </c>
      <c r="D749" t="inlineStr">
        <is>
          <t>STOCKHOLMS LÄN</t>
        </is>
      </c>
      <c r="E749" t="inlineStr">
        <is>
          <t>NORRTÄLJE</t>
        </is>
      </c>
      <c r="G749" t="n">
        <v>5.7</v>
      </c>
      <c r="H749" t="n">
        <v>0</v>
      </c>
      <c r="I749" t="n">
        <v>0</v>
      </c>
      <c r="J749" t="n">
        <v>0</v>
      </c>
      <c r="K749" t="n">
        <v>0</v>
      </c>
      <c r="L749" t="n">
        <v>0</v>
      </c>
      <c r="M749" t="n">
        <v>0</v>
      </c>
      <c r="N749" t="n">
        <v>0</v>
      </c>
      <c r="O749" t="n">
        <v>0</v>
      </c>
      <c r="P749" t="n">
        <v>0</v>
      </c>
      <c r="Q749" t="n">
        <v>0</v>
      </c>
      <c r="R749" s="2" t="inlineStr"/>
    </row>
    <row r="750" ht="15" customHeight="1">
      <c r="A750" t="inlineStr">
        <is>
          <t>A 17545-2025</t>
        </is>
      </c>
      <c r="B750" s="1" t="n">
        <v>45757.60658564815</v>
      </c>
      <c r="C750" s="1" t="n">
        <v>45925</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14132-2025</t>
        </is>
      </c>
      <c r="B751" s="1" t="n">
        <v>45740.47550925926</v>
      </c>
      <c r="C751" s="1" t="n">
        <v>45925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14133-2025</t>
        </is>
      </c>
      <c r="B752" s="1" t="n">
        <v>45740.47724537037</v>
      </c>
      <c r="C752" s="1" t="n">
        <v>45925</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7186-2024</t>
        </is>
      </c>
      <c r="B753" s="1" t="n">
        <v>45344</v>
      </c>
      <c r="C753" s="1" t="n">
        <v>45925</v>
      </c>
      <c r="D753" t="inlineStr">
        <is>
          <t>STOCKHOLMS LÄN</t>
        </is>
      </c>
      <c r="E753" t="inlineStr">
        <is>
          <t>NORRTÄLJE</t>
        </is>
      </c>
      <c r="G753" t="n">
        <v>4.9</v>
      </c>
      <c r="H753" t="n">
        <v>0</v>
      </c>
      <c r="I753" t="n">
        <v>0</v>
      </c>
      <c r="J753" t="n">
        <v>0</v>
      </c>
      <c r="K753" t="n">
        <v>0</v>
      </c>
      <c r="L753" t="n">
        <v>0</v>
      </c>
      <c r="M753" t="n">
        <v>0</v>
      </c>
      <c r="N753" t="n">
        <v>0</v>
      </c>
      <c r="O753" t="n">
        <v>0</v>
      </c>
      <c r="P753" t="n">
        <v>0</v>
      </c>
      <c r="Q753" t="n">
        <v>0</v>
      </c>
      <c r="R753" s="2" t="inlineStr"/>
    </row>
    <row r="754" ht="15" customHeight="1">
      <c r="A754" t="inlineStr">
        <is>
          <t>A 17956-2025</t>
        </is>
      </c>
      <c r="B754" s="1" t="n">
        <v>45760.91174768518</v>
      </c>
      <c r="C754" s="1" t="n">
        <v>45925</v>
      </c>
      <c r="D754" t="inlineStr">
        <is>
          <t>STOCKHOLMS LÄN</t>
        </is>
      </c>
      <c r="E754" t="inlineStr">
        <is>
          <t>NORRTÄLJE</t>
        </is>
      </c>
      <c r="G754" t="n">
        <v>4.3</v>
      </c>
      <c r="H754" t="n">
        <v>0</v>
      </c>
      <c r="I754" t="n">
        <v>0</v>
      </c>
      <c r="J754" t="n">
        <v>0</v>
      </c>
      <c r="K754" t="n">
        <v>0</v>
      </c>
      <c r="L754" t="n">
        <v>0</v>
      </c>
      <c r="M754" t="n">
        <v>0</v>
      </c>
      <c r="N754" t="n">
        <v>0</v>
      </c>
      <c r="O754" t="n">
        <v>0</v>
      </c>
      <c r="P754" t="n">
        <v>0</v>
      </c>
      <c r="Q754" t="n">
        <v>0</v>
      </c>
      <c r="R754" s="2" t="inlineStr"/>
    </row>
    <row r="755" ht="15" customHeight="1">
      <c r="A755" t="inlineStr">
        <is>
          <t>A 39202-2024</t>
        </is>
      </c>
      <c r="B755" s="1" t="n">
        <v>45548.72306712963</v>
      </c>
      <c r="C755" s="1" t="n">
        <v>45925</v>
      </c>
      <c r="D755" t="inlineStr">
        <is>
          <t>STOCKHOLMS LÄN</t>
        </is>
      </c>
      <c r="E755" t="inlineStr">
        <is>
          <t>NORRTÄLJE</t>
        </is>
      </c>
      <c r="G755" t="n">
        <v>1.9</v>
      </c>
      <c r="H755" t="n">
        <v>0</v>
      </c>
      <c r="I755" t="n">
        <v>0</v>
      </c>
      <c r="J755" t="n">
        <v>0</v>
      </c>
      <c r="K755" t="n">
        <v>0</v>
      </c>
      <c r="L755" t="n">
        <v>0</v>
      </c>
      <c r="M755" t="n">
        <v>0</v>
      </c>
      <c r="N755" t="n">
        <v>0</v>
      </c>
      <c r="O755" t="n">
        <v>0</v>
      </c>
      <c r="P755" t="n">
        <v>0</v>
      </c>
      <c r="Q755" t="n">
        <v>0</v>
      </c>
      <c r="R755" s="2" t="inlineStr"/>
    </row>
    <row r="756" ht="15" customHeight="1">
      <c r="A756" t="inlineStr">
        <is>
          <t>A 23265-2023</t>
        </is>
      </c>
      <c r="B756" s="1" t="n">
        <v>45075.90703703704</v>
      </c>
      <c r="C756" s="1" t="n">
        <v>45925</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30268-2024</t>
        </is>
      </c>
      <c r="B757" s="1" t="n">
        <v>45490.60572916667</v>
      </c>
      <c r="C757" s="1" t="n">
        <v>45925</v>
      </c>
      <c r="D757" t="inlineStr">
        <is>
          <t>STOCKHOLMS LÄN</t>
        </is>
      </c>
      <c r="E757" t="inlineStr">
        <is>
          <t>NORRTÄLJE</t>
        </is>
      </c>
      <c r="G757" t="n">
        <v>5.6</v>
      </c>
      <c r="H757" t="n">
        <v>0</v>
      </c>
      <c r="I757" t="n">
        <v>0</v>
      </c>
      <c r="J757" t="n">
        <v>0</v>
      </c>
      <c r="K757" t="n">
        <v>0</v>
      </c>
      <c r="L757" t="n">
        <v>0</v>
      </c>
      <c r="M757" t="n">
        <v>0</v>
      </c>
      <c r="N757" t="n">
        <v>0</v>
      </c>
      <c r="O757" t="n">
        <v>0</v>
      </c>
      <c r="P757" t="n">
        <v>0</v>
      </c>
      <c r="Q757" t="n">
        <v>0</v>
      </c>
      <c r="R757" s="2" t="inlineStr"/>
    </row>
    <row r="758" ht="15" customHeight="1">
      <c r="A758" t="inlineStr">
        <is>
          <t>A 59535-2024</t>
        </is>
      </c>
      <c r="B758" s="1" t="n">
        <v>45638.59979166667</v>
      </c>
      <c r="C758" s="1" t="n">
        <v>45925</v>
      </c>
      <c r="D758" t="inlineStr">
        <is>
          <t>STOCKHOLMS LÄN</t>
        </is>
      </c>
      <c r="E758" t="inlineStr">
        <is>
          <t>NORRTÄLJE</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9246-2024</t>
        </is>
      </c>
      <c r="B759" s="1" t="n">
        <v>45357</v>
      </c>
      <c r="C759" s="1" t="n">
        <v>45925</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20852-2023</t>
        </is>
      </c>
      <c r="B760" s="1" t="n">
        <v>45058.78607638889</v>
      </c>
      <c r="C760" s="1" t="n">
        <v>45925</v>
      </c>
      <c r="D760" t="inlineStr">
        <is>
          <t>STOCKHOLMS LÄN</t>
        </is>
      </c>
      <c r="E760" t="inlineStr">
        <is>
          <t>NORRTÄLJE</t>
        </is>
      </c>
      <c r="G760" t="n">
        <v>3.5</v>
      </c>
      <c r="H760" t="n">
        <v>0</v>
      </c>
      <c r="I760" t="n">
        <v>0</v>
      </c>
      <c r="J760" t="n">
        <v>0</v>
      </c>
      <c r="K760" t="n">
        <v>0</v>
      </c>
      <c r="L760" t="n">
        <v>0</v>
      </c>
      <c r="M760" t="n">
        <v>0</v>
      </c>
      <c r="N760" t="n">
        <v>0</v>
      </c>
      <c r="O760" t="n">
        <v>0</v>
      </c>
      <c r="P760" t="n">
        <v>0</v>
      </c>
      <c r="Q760" t="n">
        <v>0</v>
      </c>
      <c r="R760" s="2" t="inlineStr"/>
    </row>
    <row r="761" ht="15" customHeight="1">
      <c r="A761" t="inlineStr">
        <is>
          <t>A 50355-2024</t>
        </is>
      </c>
      <c r="B761" s="1" t="n">
        <v>45600.86128472222</v>
      </c>
      <c r="C761" s="1" t="n">
        <v>45925</v>
      </c>
      <c r="D761" t="inlineStr">
        <is>
          <t>STOCKHOLMS LÄN</t>
        </is>
      </c>
      <c r="E761" t="inlineStr">
        <is>
          <t>NORRTÄLJE</t>
        </is>
      </c>
      <c r="F761" t="inlineStr">
        <is>
          <t>Kommuner</t>
        </is>
      </c>
      <c r="G761" t="n">
        <v>1</v>
      </c>
      <c r="H761" t="n">
        <v>0</v>
      </c>
      <c r="I761" t="n">
        <v>0</v>
      </c>
      <c r="J761" t="n">
        <v>0</v>
      </c>
      <c r="K761" t="n">
        <v>0</v>
      </c>
      <c r="L761" t="n">
        <v>0</v>
      </c>
      <c r="M761" t="n">
        <v>0</v>
      </c>
      <c r="N761" t="n">
        <v>0</v>
      </c>
      <c r="O761" t="n">
        <v>0</v>
      </c>
      <c r="P761" t="n">
        <v>0</v>
      </c>
      <c r="Q761" t="n">
        <v>0</v>
      </c>
      <c r="R761" s="2" t="inlineStr"/>
    </row>
    <row r="762" ht="15" customHeight="1">
      <c r="A762" t="inlineStr">
        <is>
          <t>A 53792-2023</t>
        </is>
      </c>
      <c r="B762" s="1" t="n">
        <v>45231.34144675926</v>
      </c>
      <c r="C762" s="1" t="n">
        <v>45925</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60694-2024</t>
        </is>
      </c>
      <c r="B763" s="1" t="n">
        <v>45644.47878472223</v>
      </c>
      <c r="C763" s="1" t="n">
        <v>45925</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28816-2023</t>
        </is>
      </c>
      <c r="B764" s="1" t="n">
        <v>45104</v>
      </c>
      <c r="C764" s="1" t="n">
        <v>45925</v>
      </c>
      <c r="D764" t="inlineStr">
        <is>
          <t>STOCKHOLMS LÄN</t>
        </is>
      </c>
      <c r="E764" t="inlineStr">
        <is>
          <t>NORRTÄLJE</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11280-2023</t>
        </is>
      </c>
      <c r="B765" s="1" t="n">
        <v>44992</v>
      </c>
      <c r="C765" s="1" t="n">
        <v>45925</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57442-2021</t>
        </is>
      </c>
      <c r="B766" s="1" t="n">
        <v>44483</v>
      </c>
      <c r="C766" s="1" t="n">
        <v>45925</v>
      </c>
      <c r="D766" t="inlineStr">
        <is>
          <t>STOCKHOLMS LÄN</t>
        </is>
      </c>
      <c r="E766" t="inlineStr">
        <is>
          <t>NORRTÄLJE</t>
        </is>
      </c>
      <c r="G766" t="n">
        <v>3.3</v>
      </c>
      <c r="H766" t="n">
        <v>0</v>
      </c>
      <c r="I766" t="n">
        <v>0</v>
      </c>
      <c r="J766" t="n">
        <v>0</v>
      </c>
      <c r="K766" t="n">
        <v>0</v>
      </c>
      <c r="L766" t="n">
        <v>0</v>
      </c>
      <c r="M766" t="n">
        <v>0</v>
      </c>
      <c r="N766" t="n">
        <v>0</v>
      </c>
      <c r="O766" t="n">
        <v>0</v>
      </c>
      <c r="P766" t="n">
        <v>0</v>
      </c>
      <c r="Q766" t="n">
        <v>0</v>
      </c>
      <c r="R766" s="2" t="inlineStr"/>
    </row>
    <row r="767" ht="15" customHeight="1">
      <c r="A767" t="inlineStr">
        <is>
          <t>A 25094-2023</t>
        </is>
      </c>
      <c r="B767" s="1" t="n">
        <v>45086.3629050926</v>
      </c>
      <c r="C767" s="1" t="n">
        <v>45925</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59276-2023</t>
        </is>
      </c>
      <c r="B768" s="1" t="n">
        <v>45253.55641203704</v>
      </c>
      <c r="C768" s="1" t="n">
        <v>45925</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13767-2025</t>
        </is>
      </c>
      <c r="B769" s="1" t="n">
        <v>45737.43347222222</v>
      </c>
      <c r="C769" s="1" t="n">
        <v>45925</v>
      </c>
      <c r="D769" t="inlineStr">
        <is>
          <t>STOCKHOLMS LÄN</t>
        </is>
      </c>
      <c r="E769" t="inlineStr">
        <is>
          <t>NORRTÄLJE</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19952-2023</t>
        </is>
      </c>
      <c r="B770" s="1" t="n">
        <v>45054.54091435186</v>
      </c>
      <c r="C770" s="1" t="n">
        <v>45925</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19994-2023</t>
        </is>
      </c>
      <c r="B771" s="1" t="n">
        <v>45054</v>
      </c>
      <c r="C771" s="1" t="n">
        <v>45925</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41587-2023</t>
        </is>
      </c>
      <c r="B772" s="1" t="n">
        <v>45175</v>
      </c>
      <c r="C772" s="1" t="n">
        <v>45925</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29003-2023</t>
        </is>
      </c>
      <c r="B773" s="1" t="n">
        <v>45104</v>
      </c>
      <c r="C773" s="1" t="n">
        <v>45925</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15956-2023</t>
        </is>
      </c>
      <c r="B774" s="1" t="n">
        <v>45022.61003472222</v>
      </c>
      <c r="C774" s="1" t="n">
        <v>45925</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5950-2021</t>
        </is>
      </c>
      <c r="B775" s="1" t="n">
        <v>44231</v>
      </c>
      <c r="C775" s="1" t="n">
        <v>45925</v>
      </c>
      <c r="D775" t="inlineStr">
        <is>
          <t>STOCKHOLMS LÄN</t>
        </is>
      </c>
      <c r="E775" t="inlineStr">
        <is>
          <t>NORRTÄLJE</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3444-2023</t>
        </is>
      </c>
      <c r="B776" s="1" t="n">
        <v>44949</v>
      </c>
      <c r="C776" s="1" t="n">
        <v>45925</v>
      </c>
      <c r="D776" t="inlineStr">
        <is>
          <t>STOCKHOLMS LÄN</t>
        </is>
      </c>
      <c r="E776" t="inlineStr">
        <is>
          <t>NORRTÄLJE</t>
        </is>
      </c>
      <c r="G776" t="n">
        <v>5.1</v>
      </c>
      <c r="H776" t="n">
        <v>0</v>
      </c>
      <c r="I776" t="n">
        <v>0</v>
      </c>
      <c r="J776" t="n">
        <v>0</v>
      </c>
      <c r="K776" t="n">
        <v>0</v>
      </c>
      <c r="L776" t="n">
        <v>0</v>
      </c>
      <c r="M776" t="n">
        <v>0</v>
      </c>
      <c r="N776" t="n">
        <v>0</v>
      </c>
      <c r="O776" t="n">
        <v>0</v>
      </c>
      <c r="P776" t="n">
        <v>0</v>
      </c>
      <c r="Q776" t="n">
        <v>0</v>
      </c>
      <c r="R776" s="2" t="inlineStr"/>
    </row>
    <row r="777" ht="15" customHeight="1">
      <c r="A777" t="inlineStr">
        <is>
          <t>A 27381-2024</t>
        </is>
      </c>
      <c r="B777" s="1" t="n">
        <v>45473.94501157408</v>
      </c>
      <c r="C777" s="1" t="n">
        <v>45925</v>
      </c>
      <c r="D777" t="inlineStr">
        <is>
          <t>STOCKHOLMS LÄN</t>
        </is>
      </c>
      <c r="E777" t="inlineStr">
        <is>
          <t>NORRTÄLJE</t>
        </is>
      </c>
      <c r="G777" t="n">
        <v>4.5</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45925</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60529-2023</t>
        </is>
      </c>
      <c r="B779" s="1" t="n">
        <v>45259</v>
      </c>
      <c r="C779" s="1" t="n">
        <v>45925</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3383-2023</t>
        </is>
      </c>
      <c r="B780" s="1" t="n">
        <v>44949</v>
      </c>
      <c r="C780" s="1" t="n">
        <v>45925</v>
      </c>
      <c r="D780" t="inlineStr">
        <is>
          <t>STOCKHOLMS LÄN</t>
        </is>
      </c>
      <c r="E780" t="inlineStr">
        <is>
          <t>NORRTÄLJE</t>
        </is>
      </c>
      <c r="G780" t="n">
        <v>14.6</v>
      </c>
      <c r="H780" t="n">
        <v>0</v>
      </c>
      <c r="I780" t="n">
        <v>0</v>
      </c>
      <c r="J780" t="n">
        <v>0</v>
      </c>
      <c r="K780" t="n">
        <v>0</v>
      </c>
      <c r="L780" t="n">
        <v>0</v>
      </c>
      <c r="M780" t="n">
        <v>0</v>
      </c>
      <c r="N780" t="n">
        <v>0</v>
      </c>
      <c r="O780" t="n">
        <v>0</v>
      </c>
      <c r="P780" t="n">
        <v>0</v>
      </c>
      <c r="Q780" t="n">
        <v>0</v>
      </c>
      <c r="R780" s="2" t="inlineStr"/>
    </row>
    <row r="781" ht="15" customHeight="1">
      <c r="A781" t="inlineStr">
        <is>
          <t>A 4316-2023</t>
        </is>
      </c>
      <c r="B781" s="1" t="n">
        <v>44953.67443287037</v>
      </c>
      <c r="C781" s="1" t="n">
        <v>45925</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5839-2023</t>
        </is>
      </c>
      <c r="B782" s="1" t="n">
        <v>44963</v>
      </c>
      <c r="C782" s="1" t="n">
        <v>45925</v>
      </c>
      <c r="D782" t="inlineStr">
        <is>
          <t>STOCKHOLMS LÄN</t>
        </is>
      </c>
      <c r="E782" t="inlineStr">
        <is>
          <t>NORRTÄLJE</t>
        </is>
      </c>
      <c r="G782" t="n">
        <v>3.6</v>
      </c>
      <c r="H782" t="n">
        <v>0</v>
      </c>
      <c r="I782" t="n">
        <v>0</v>
      </c>
      <c r="J782" t="n">
        <v>0</v>
      </c>
      <c r="K782" t="n">
        <v>0</v>
      </c>
      <c r="L782" t="n">
        <v>0</v>
      </c>
      <c r="M782" t="n">
        <v>0</v>
      </c>
      <c r="N782" t="n">
        <v>0</v>
      </c>
      <c r="O782" t="n">
        <v>0</v>
      </c>
      <c r="P782" t="n">
        <v>0</v>
      </c>
      <c r="Q782" t="n">
        <v>0</v>
      </c>
      <c r="R782" s="2" t="inlineStr"/>
    </row>
    <row r="783" ht="15" customHeight="1">
      <c r="A783" t="inlineStr">
        <is>
          <t>A 59326-2023</t>
        </is>
      </c>
      <c r="B783" s="1" t="n">
        <v>45253.63089120371</v>
      </c>
      <c r="C783" s="1" t="n">
        <v>45925</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20790-2025</t>
        </is>
      </c>
      <c r="B784" s="1" t="n">
        <v>45776.62563657408</v>
      </c>
      <c r="C784" s="1" t="n">
        <v>45925</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3152-2024</t>
        </is>
      </c>
      <c r="B785" s="1" t="n">
        <v>45316.60306712963</v>
      </c>
      <c r="C785" s="1" t="n">
        <v>45925</v>
      </c>
      <c r="D785" t="inlineStr">
        <is>
          <t>STOCKHOLMS LÄN</t>
        </is>
      </c>
      <c r="E785" t="inlineStr">
        <is>
          <t>NORRTÄLJE</t>
        </is>
      </c>
      <c r="G785" t="n">
        <v>7.9</v>
      </c>
      <c r="H785" t="n">
        <v>0</v>
      </c>
      <c r="I785" t="n">
        <v>0</v>
      </c>
      <c r="J785" t="n">
        <v>0</v>
      </c>
      <c r="K785" t="n">
        <v>0</v>
      </c>
      <c r="L785" t="n">
        <v>0</v>
      </c>
      <c r="M785" t="n">
        <v>0</v>
      </c>
      <c r="N785" t="n">
        <v>0</v>
      </c>
      <c r="O785" t="n">
        <v>0</v>
      </c>
      <c r="P785" t="n">
        <v>0</v>
      </c>
      <c r="Q785" t="n">
        <v>0</v>
      </c>
      <c r="R785" s="2" t="inlineStr"/>
    </row>
    <row r="786" ht="15" customHeight="1">
      <c r="A786" t="inlineStr">
        <is>
          <t>A 20699-2025</t>
        </is>
      </c>
      <c r="B786" s="1" t="n">
        <v>45776.47346064815</v>
      </c>
      <c r="C786" s="1" t="n">
        <v>45925</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5804-2025</t>
        </is>
      </c>
      <c r="B787" s="1" t="n">
        <v>45694.68207175926</v>
      </c>
      <c r="C787" s="1" t="n">
        <v>45925</v>
      </c>
      <c r="D787" t="inlineStr">
        <is>
          <t>STOCKHOLMS LÄN</t>
        </is>
      </c>
      <c r="E787" t="inlineStr">
        <is>
          <t>NORRTÄLJE</t>
        </is>
      </c>
      <c r="F787" t="inlineStr">
        <is>
          <t>Holmen skog AB</t>
        </is>
      </c>
      <c r="G787" t="n">
        <v>2.6</v>
      </c>
      <c r="H787" t="n">
        <v>0</v>
      </c>
      <c r="I787" t="n">
        <v>0</v>
      </c>
      <c r="J787" t="n">
        <v>0</v>
      </c>
      <c r="K787" t="n">
        <v>0</v>
      </c>
      <c r="L787" t="n">
        <v>0</v>
      </c>
      <c r="M787" t="n">
        <v>0</v>
      </c>
      <c r="N787" t="n">
        <v>0</v>
      </c>
      <c r="O787" t="n">
        <v>0</v>
      </c>
      <c r="P787" t="n">
        <v>0</v>
      </c>
      <c r="Q787" t="n">
        <v>0</v>
      </c>
      <c r="R787" s="2" t="inlineStr"/>
    </row>
    <row r="788" ht="15" customHeight="1">
      <c r="A788" t="inlineStr">
        <is>
          <t>A 20779-2025</t>
        </is>
      </c>
      <c r="B788" s="1" t="n">
        <v>45776.59871527777</v>
      </c>
      <c r="C788" s="1" t="n">
        <v>45925</v>
      </c>
      <c r="D788" t="inlineStr">
        <is>
          <t>STOCKHOLMS LÄN</t>
        </is>
      </c>
      <c r="E788" t="inlineStr">
        <is>
          <t>NORRTÄLJE</t>
        </is>
      </c>
      <c r="G788" t="n">
        <v>6.9</v>
      </c>
      <c r="H788" t="n">
        <v>0</v>
      </c>
      <c r="I788" t="n">
        <v>0</v>
      </c>
      <c r="J788" t="n">
        <v>0</v>
      </c>
      <c r="K788" t="n">
        <v>0</v>
      </c>
      <c r="L788" t="n">
        <v>0</v>
      </c>
      <c r="M788" t="n">
        <v>0</v>
      </c>
      <c r="N788" t="n">
        <v>0</v>
      </c>
      <c r="O788" t="n">
        <v>0</v>
      </c>
      <c r="P788" t="n">
        <v>0</v>
      </c>
      <c r="Q788" t="n">
        <v>0</v>
      </c>
      <c r="R788" s="2" t="inlineStr"/>
    </row>
    <row r="789" ht="15" customHeight="1">
      <c r="A789" t="inlineStr">
        <is>
          <t>A 44836-2023</t>
        </is>
      </c>
      <c r="B789" s="1" t="n">
        <v>45190.55609953704</v>
      </c>
      <c r="C789" s="1" t="n">
        <v>45925</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24705-2023</t>
        </is>
      </c>
      <c r="B790" s="1" t="n">
        <v>45084.54459490741</v>
      </c>
      <c r="C790" s="1" t="n">
        <v>45925</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54358-2022</t>
        </is>
      </c>
      <c r="B791" s="1" t="n">
        <v>44882</v>
      </c>
      <c r="C791" s="1" t="n">
        <v>45925</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23749-2024</t>
        </is>
      </c>
      <c r="B792" s="1" t="n">
        <v>45455.33037037037</v>
      </c>
      <c r="C792" s="1" t="n">
        <v>45925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35691-2023</t>
        </is>
      </c>
      <c r="B793" s="1" t="n">
        <v>45147.65222222222</v>
      </c>
      <c r="C793" s="1" t="n">
        <v>45925</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35693-2023</t>
        </is>
      </c>
      <c r="B794" s="1" t="n">
        <v>45147.65311342593</v>
      </c>
      <c r="C794" s="1" t="n">
        <v>45925</v>
      </c>
      <c r="D794" t="inlineStr">
        <is>
          <t>STOCKHOLMS LÄN</t>
        </is>
      </c>
      <c r="E794" t="inlineStr">
        <is>
          <t>NORRTÄLJE</t>
        </is>
      </c>
      <c r="G794" t="n">
        <v>2.2</v>
      </c>
      <c r="H794" t="n">
        <v>0</v>
      </c>
      <c r="I794" t="n">
        <v>0</v>
      </c>
      <c r="J794" t="n">
        <v>0</v>
      </c>
      <c r="K794" t="n">
        <v>0</v>
      </c>
      <c r="L794" t="n">
        <v>0</v>
      </c>
      <c r="M794" t="n">
        <v>0</v>
      </c>
      <c r="N794" t="n">
        <v>0</v>
      </c>
      <c r="O794" t="n">
        <v>0</v>
      </c>
      <c r="P794" t="n">
        <v>0</v>
      </c>
      <c r="Q794" t="n">
        <v>0</v>
      </c>
      <c r="R794" s="2" t="inlineStr"/>
    </row>
    <row r="795" ht="15" customHeight="1">
      <c r="A795" t="inlineStr">
        <is>
          <t>A 35698-2023</t>
        </is>
      </c>
      <c r="B795" s="1" t="n">
        <v>45147</v>
      </c>
      <c r="C795" s="1" t="n">
        <v>45925</v>
      </c>
      <c r="D795" t="inlineStr">
        <is>
          <t>STOCKHOLMS LÄN</t>
        </is>
      </c>
      <c r="E795" t="inlineStr">
        <is>
          <t>NORRTÄLJE</t>
        </is>
      </c>
      <c r="G795" t="n">
        <v>2.1</v>
      </c>
      <c r="H795" t="n">
        <v>0</v>
      </c>
      <c r="I795" t="n">
        <v>0</v>
      </c>
      <c r="J795" t="n">
        <v>0</v>
      </c>
      <c r="K795" t="n">
        <v>0</v>
      </c>
      <c r="L795" t="n">
        <v>0</v>
      </c>
      <c r="M795" t="n">
        <v>0</v>
      </c>
      <c r="N795" t="n">
        <v>0</v>
      </c>
      <c r="O795" t="n">
        <v>0</v>
      </c>
      <c r="P795" t="n">
        <v>0</v>
      </c>
      <c r="Q795" t="n">
        <v>0</v>
      </c>
      <c r="R795" s="2" t="inlineStr"/>
    </row>
    <row r="796" ht="15" customHeight="1">
      <c r="A796" t="inlineStr">
        <is>
          <t>A 21771-2025</t>
        </is>
      </c>
      <c r="B796" s="1" t="n">
        <v>45783</v>
      </c>
      <c r="C796" s="1" t="n">
        <v>45925</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73992-2021</t>
        </is>
      </c>
      <c r="B797" s="1" t="n">
        <v>44556</v>
      </c>
      <c r="C797" s="1" t="n">
        <v>45925</v>
      </c>
      <c r="D797" t="inlineStr">
        <is>
          <t>STOCKHOLMS LÄN</t>
        </is>
      </c>
      <c r="E797" t="inlineStr">
        <is>
          <t>NORRTÄLJE</t>
        </is>
      </c>
      <c r="G797" t="n">
        <v>12.5</v>
      </c>
      <c r="H797" t="n">
        <v>0</v>
      </c>
      <c r="I797" t="n">
        <v>0</v>
      </c>
      <c r="J797" t="n">
        <v>0</v>
      </c>
      <c r="K797" t="n">
        <v>0</v>
      </c>
      <c r="L797" t="n">
        <v>0</v>
      </c>
      <c r="M797" t="n">
        <v>0</v>
      </c>
      <c r="N797" t="n">
        <v>0</v>
      </c>
      <c r="O797" t="n">
        <v>0</v>
      </c>
      <c r="P797" t="n">
        <v>0</v>
      </c>
      <c r="Q797" t="n">
        <v>0</v>
      </c>
      <c r="R797" s="2" t="inlineStr"/>
    </row>
    <row r="798" ht="15" customHeight="1">
      <c r="A798" t="inlineStr">
        <is>
          <t>A 21329-2022</t>
        </is>
      </c>
      <c r="B798" s="1" t="n">
        <v>44705.60626157407</v>
      </c>
      <c r="C798" s="1" t="n">
        <v>45925</v>
      </c>
      <c r="D798" t="inlineStr">
        <is>
          <t>STOCKHOLMS LÄN</t>
        </is>
      </c>
      <c r="E798" t="inlineStr">
        <is>
          <t>NORRTÄLJE</t>
        </is>
      </c>
      <c r="G798" t="n">
        <v>4.1</v>
      </c>
      <c r="H798" t="n">
        <v>0</v>
      </c>
      <c r="I798" t="n">
        <v>0</v>
      </c>
      <c r="J798" t="n">
        <v>0</v>
      </c>
      <c r="K798" t="n">
        <v>0</v>
      </c>
      <c r="L798" t="n">
        <v>0</v>
      </c>
      <c r="M798" t="n">
        <v>0</v>
      </c>
      <c r="N798" t="n">
        <v>0</v>
      </c>
      <c r="O798" t="n">
        <v>0</v>
      </c>
      <c r="P798" t="n">
        <v>0</v>
      </c>
      <c r="Q798" t="n">
        <v>0</v>
      </c>
      <c r="R798" s="2" t="inlineStr"/>
    </row>
    <row r="799" ht="15" customHeight="1">
      <c r="A799" t="inlineStr">
        <is>
          <t>A 21778-2025</t>
        </is>
      </c>
      <c r="B799" s="1" t="n">
        <v>45783.66429398148</v>
      </c>
      <c r="C799" s="1" t="n">
        <v>45925</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54276-2021</t>
        </is>
      </c>
      <c r="B800" s="1" t="n">
        <v>44470</v>
      </c>
      <c r="C800" s="1" t="n">
        <v>45925</v>
      </c>
      <c r="D800" t="inlineStr">
        <is>
          <t>STOCKHOLMS LÄN</t>
        </is>
      </c>
      <c r="E800" t="inlineStr">
        <is>
          <t>NORRTÄLJE</t>
        </is>
      </c>
      <c r="G800" t="n">
        <v>7.3</v>
      </c>
      <c r="H800" t="n">
        <v>0</v>
      </c>
      <c r="I800" t="n">
        <v>0</v>
      </c>
      <c r="J800" t="n">
        <v>0</v>
      </c>
      <c r="K800" t="n">
        <v>0</v>
      </c>
      <c r="L800" t="n">
        <v>0</v>
      </c>
      <c r="M800" t="n">
        <v>0</v>
      </c>
      <c r="N800" t="n">
        <v>0</v>
      </c>
      <c r="O800" t="n">
        <v>0</v>
      </c>
      <c r="P800" t="n">
        <v>0</v>
      </c>
      <c r="Q800" t="n">
        <v>0</v>
      </c>
      <c r="R800" s="2" t="inlineStr"/>
    </row>
    <row r="801" ht="15" customHeight="1">
      <c r="A801" t="inlineStr">
        <is>
          <t>A 10090-2022</t>
        </is>
      </c>
      <c r="B801" s="1" t="n">
        <v>44621</v>
      </c>
      <c r="C801" s="1" t="n">
        <v>45925</v>
      </c>
      <c r="D801" t="inlineStr">
        <is>
          <t>STOCKHOLMS LÄN</t>
        </is>
      </c>
      <c r="E801" t="inlineStr">
        <is>
          <t>NORRTÄLJE</t>
        </is>
      </c>
      <c r="G801" t="n">
        <v>5.2</v>
      </c>
      <c r="H801" t="n">
        <v>0</v>
      </c>
      <c r="I801" t="n">
        <v>0</v>
      </c>
      <c r="J801" t="n">
        <v>0</v>
      </c>
      <c r="K801" t="n">
        <v>0</v>
      </c>
      <c r="L801" t="n">
        <v>0</v>
      </c>
      <c r="M801" t="n">
        <v>0</v>
      </c>
      <c r="N801" t="n">
        <v>0</v>
      </c>
      <c r="O801" t="n">
        <v>0</v>
      </c>
      <c r="P801" t="n">
        <v>0</v>
      </c>
      <c r="Q801" t="n">
        <v>0</v>
      </c>
      <c r="R801" s="2" t="inlineStr"/>
    </row>
    <row r="802" ht="15" customHeight="1">
      <c r="A802" t="inlineStr">
        <is>
          <t>A 13785-2024</t>
        </is>
      </c>
      <c r="B802" s="1" t="n">
        <v>45391.3395949074</v>
      </c>
      <c r="C802" s="1" t="n">
        <v>45925</v>
      </c>
      <c r="D802" t="inlineStr">
        <is>
          <t>STOCKHOLMS LÄN</t>
        </is>
      </c>
      <c r="E802" t="inlineStr">
        <is>
          <t>NORRTÄLJE</t>
        </is>
      </c>
      <c r="G802" t="n">
        <v>5</v>
      </c>
      <c r="H802" t="n">
        <v>0</v>
      </c>
      <c r="I802" t="n">
        <v>0</v>
      </c>
      <c r="J802" t="n">
        <v>0</v>
      </c>
      <c r="K802" t="n">
        <v>0</v>
      </c>
      <c r="L802" t="n">
        <v>0</v>
      </c>
      <c r="M802" t="n">
        <v>0</v>
      </c>
      <c r="N802" t="n">
        <v>0</v>
      </c>
      <c r="O802" t="n">
        <v>0</v>
      </c>
      <c r="P802" t="n">
        <v>0</v>
      </c>
      <c r="Q802" t="n">
        <v>0</v>
      </c>
      <c r="R802" s="2" t="inlineStr"/>
    </row>
    <row r="803" ht="15" customHeight="1">
      <c r="A803" t="inlineStr">
        <is>
          <t>A 12902-2024</t>
        </is>
      </c>
      <c r="B803" s="1" t="n">
        <v>45385.38146990741</v>
      </c>
      <c r="C803" s="1" t="n">
        <v>45925</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51116-2022</t>
        </is>
      </c>
      <c r="B804" s="1" t="n">
        <v>44868.45741898148</v>
      </c>
      <c r="C804" s="1" t="n">
        <v>45925</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39237-2024</t>
        </is>
      </c>
      <c r="B805" s="1" t="n">
        <v>45549</v>
      </c>
      <c r="C805" s="1" t="n">
        <v>45925</v>
      </c>
      <c r="D805" t="inlineStr">
        <is>
          <t>STOCKHOLMS LÄN</t>
        </is>
      </c>
      <c r="E805" t="inlineStr">
        <is>
          <t>NORRTÄLJE</t>
        </is>
      </c>
      <c r="G805" t="n">
        <v>13.3</v>
      </c>
      <c r="H805" t="n">
        <v>0</v>
      </c>
      <c r="I805" t="n">
        <v>0</v>
      </c>
      <c r="J805" t="n">
        <v>0</v>
      </c>
      <c r="K805" t="n">
        <v>0</v>
      </c>
      <c r="L805" t="n">
        <v>0</v>
      </c>
      <c r="M805" t="n">
        <v>0</v>
      </c>
      <c r="N805" t="n">
        <v>0</v>
      </c>
      <c r="O805" t="n">
        <v>0</v>
      </c>
      <c r="P805" t="n">
        <v>0</v>
      </c>
      <c r="Q805" t="n">
        <v>0</v>
      </c>
      <c r="R805" s="2" t="inlineStr"/>
    </row>
    <row r="806" ht="15" customHeight="1">
      <c r="A806" t="inlineStr">
        <is>
          <t>A 29972-2024</t>
        </is>
      </c>
      <c r="B806" s="1" t="n">
        <v>45485</v>
      </c>
      <c r="C806" s="1" t="n">
        <v>45925</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44891-2023</t>
        </is>
      </c>
      <c r="B807" s="1" t="n">
        <v>45187</v>
      </c>
      <c r="C807" s="1" t="n">
        <v>45925</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13268-2025</t>
        </is>
      </c>
      <c r="B808" s="1" t="n">
        <v>45735</v>
      </c>
      <c r="C808" s="1" t="n">
        <v>45925</v>
      </c>
      <c r="D808" t="inlineStr">
        <is>
          <t>STOCKHOLMS LÄN</t>
        </is>
      </c>
      <c r="E808" t="inlineStr">
        <is>
          <t>NORRTÄLJE</t>
        </is>
      </c>
      <c r="G808" t="n">
        <v>11.4</v>
      </c>
      <c r="H808" t="n">
        <v>0</v>
      </c>
      <c r="I808" t="n">
        <v>0</v>
      </c>
      <c r="J808" t="n">
        <v>0</v>
      </c>
      <c r="K808" t="n">
        <v>0</v>
      </c>
      <c r="L808" t="n">
        <v>0</v>
      </c>
      <c r="M808" t="n">
        <v>0</v>
      </c>
      <c r="N808" t="n">
        <v>0</v>
      </c>
      <c r="O808" t="n">
        <v>0</v>
      </c>
      <c r="P808" t="n">
        <v>0</v>
      </c>
      <c r="Q808" t="n">
        <v>0</v>
      </c>
      <c r="R808" s="2" t="inlineStr"/>
    </row>
    <row r="809" ht="15" customHeight="1">
      <c r="A809" t="inlineStr">
        <is>
          <t>A 8414-2025</t>
        </is>
      </c>
      <c r="B809" s="1" t="n">
        <v>45709.39361111111</v>
      </c>
      <c r="C809" s="1" t="n">
        <v>45925</v>
      </c>
      <c r="D809" t="inlineStr">
        <is>
          <t>STOCKHOLMS LÄN</t>
        </is>
      </c>
      <c r="E809" t="inlineStr">
        <is>
          <t>NORRTÄLJE</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28809-2023</t>
        </is>
      </c>
      <c r="B810" s="1" t="n">
        <v>45104</v>
      </c>
      <c r="C810" s="1" t="n">
        <v>45925</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28813-2023</t>
        </is>
      </c>
      <c r="B811" s="1" t="n">
        <v>45104</v>
      </c>
      <c r="C811" s="1" t="n">
        <v>45925</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19131-2025</t>
        </is>
      </c>
      <c r="B812" s="1" t="n">
        <v>45769</v>
      </c>
      <c r="C812" s="1" t="n">
        <v>45925</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44032-2024</t>
        </is>
      </c>
      <c r="B813" s="1" t="n">
        <v>45572.57828703704</v>
      </c>
      <c r="C813" s="1" t="n">
        <v>45925</v>
      </c>
      <c r="D813" t="inlineStr">
        <is>
          <t>STOCKHOLMS LÄN</t>
        </is>
      </c>
      <c r="E813" t="inlineStr">
        <is>
          <t>NORRTÄLJE</t>
        </is>
      </c>
      <c r="G813" t="n">
        <v>8.6</v>
      </c>
      <c r="H813" t="n">
        <v>0</v>
      </c>
      <c r="I813" t="n">
        <v>0</v>
      </c>
      <c r="J813" t="n">
        <v>0</v>
      </c>
      <c r="K813" t="n">
        <v>0</v>
      </c>
      <c r="L813" t="n">
        <v>0</v>
      </c>
      <c r="M813" t="n">
        <v>0</v>
      </c>
      <c r="N813" t="n">
        <v>0</v>
      </c>
      <c r="O813" t="n">
        <v>0</v>
      </c>
      <c r="P813" t="n">
        <v>0</v>
      </c>
      <c r="Q813" t="n">
        <v>0</v>
      </c>
      <c r="R813" s="2" t="inlineStr"/>
    </row>
    <row r="814" ht="15" customHeight="1">
      <c r="A814" t="inlineStr">
        <is>
          <t>A 11929-2024</t>
        </is>
      </c>
      <c r="B814" s="1" t="n">
        <v>45376.64532407407</v>
      </c>
      <c r="C814" s="1" t="n">
        <v>45925</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24563-2024</t>
        </is>
      </c>
      <c r="B815" s="1" t="n">
        <v>45460.44347222222</v>
      </c>
      <c r="C815" s="1" t="n">
        <v>45925</v>
      </c>
      <c r="D815" t="inlineStr">
        <is>
          <t>STOCKHOLMS LÄN</t>
        </is>
      </c>
      <c r="E815" t="inlineStr">
        <is>
          <t>NORRTÄLJE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64145-2021</t>
        </is>
      </c>
      <c r="B816" s="1" t="n">
        <v>44510</v>
      </c>
      <c r="C816" s="1" t="n">
        <v>45925</v>
      </c>
      <c r="D816" t="inlineStr">
        <is>
          <t>STOCKHOLMS LÄN</t>
        </is>
      </c>
      <c r="E816" t="inlineStr">
        <is>
          <t>NORRTÄLJE</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22202-2025</t>
        </is>
      </c>
      <c r="B817" s="1" t="n">
        <v>45785.65300925926</v>
      </c>
      <c r="C817" s="1" t="n">
        <v>45925</v>
      </c>
      <c r="D817" t="inlineStr">
        <is>
          <t>STOCKHOLMS LÄN</t>
        </is>
      </c>
      <c r="E817" t="inlineStr">
        <is>
          <t>NORRTÄLJE</t>
        </is>
      </c>
      <c r="G817" t="n">
        <v>10.2</v>
      </c>
      <c r="H817" t="n">
        <v>0</v>
      </c>
      <c r="I817" t="n">
        <v>0</v>
      </c>
      <c r="J817" t="n">
        <v>0</v>
      </c>
      <c r="K817" t="n">
        <v>0</v>
      </c>
      <c r="L817" t="n">
        <v>0</v>
      </c>
      <c r="M817" t="n">
        <v>0</v>
      </c>
      <c r="N817" t="n">
        <v>0</v>
      </c>
      <c r="O817" t="n">
        <v>0</v>
      </c>
      <c r="P817" t="n">
        <v>0</v>
      </c>
      <c r="Q817" t="n">
        <v>0</v>
      </c>
      <c r="R817" s="2" t="inlineStr"/>
    </row>
    <row r="818" ht="15" customHeight="1">
      <c r="A818" t="inlineStr">
        <is>
          <t>A 36625-2024</t>
        </is>
      </c>
      <c r="B818" s="1" t="n">
        <v>45537</v>
      </c>
      <c r="C818" s="1" t="n">
        <v>45925</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45451-2024</t>
        </is>
      </c>
      <c r="B819" s="1" t="n">
        <v>45576</v>
      </c>
      <c r="C819" s="1" t="n">
        <v>45925</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45746-2024</t>
        </is>
      </c>
      <c r="B820" s="1" t="n">
        <v>45579</v>
      </c>
      <c r="C820" s="1" t="n">
        <v>45925</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49327-2020</t>
        </is>
      </c>
      <c r="B821" s="1" t="n">
        <v>44105</v>
      </c>
      <c r="C821" s="1" t="n">
        <v>45925</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30719-2025</t>
        </is>
      </c>
      <c r="B822" s="1" t="n">
        <v>45831.56521990741</v>
      </c>
      <c r="C822" s="1" t="n">
        <v>45925</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8400-2024</t>
        </is>
      </c>
      <c r="B823" s="1" t="n">
        <v>45352.74090277778</v>
      </c>
      <c r="C823" s="1" t="n">
        <v>45925</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17843-2024</t>
        </is>
      </c>
      <c r="B824" s="1" t="n">
        <v>45418</v>
      </c>
      <c r="C824" s="1" t="n">
        <v>45925</v>
      </c>
      <c r="D824" t="inlineStr">
        <is>
          <t>STOCKHOLMS LÄN</t>
        </is>
      </c>
      <c r="E824" t="inlineStr">
        <is>
          <t>NORRTÄLJE</t>
        </is>
      </c>
      <c r="G824" t="n">
        <v>5.4</v>
      </c>
      <c r="H824" t="n">
        <v>0</v>
      </c>
      <c r="I824" t="n">
        <v>0</v>
      </c>
      <c r="J824" t="n">
        <v>0</v>
      </c>
      <c r="K824" t="n">
        <v>0</v>
      </c>
      <c r="L824" t="n">
        <v>0</v>
      </c>
      <c r="M824" t="n">
        <v>0</v>
      </c>
      <c r="N824" t="n">
        <v>0</v>
      </c>
      <c r="O824" t="n">
        <v>0</v>
      </c>
      <c r="P824" t="n">
        <v>0</v>
      </c>
      <c r="Q824" t="n">
        <v>0</v>
      </c>
      <c r="R824" s="2" t="inlineStr"/>
    </row>
    <row r="825" ht="15" customHeight="1">
      <c r="A825" t="inlineStr">
        <is>
          <t>A 2182-2022</t>
        </is>
      </c>
      <c r="B825" s="1" t="n">
        <v>44578</v>
      </c>
      <c r="C825" s="1" t="n">
        <v>45925</v>
      </c>
      <c r="D825" t="inlineStr">
        <is>
          <t>STOCKHOLMS LÄN</t>
        </is>
      </c>
      <c r="E825" t="inlineStr">
        <is>
          <t>NORRTÄLJE</t>
        </is>
      </c>
      <c r="G825" t="n">
        <v>7.2</v>
      </c>
      <c r="H825" t="n">
        <v>0</v>
      </c>
      <c r="I825" t="n">
        <v>0</v>
      </c>
      <c r="J825" t="n">
        <v>0</v>
      </c>
      <c r="K825" t="n">
        <v>0</v>
      </c>
      <c r="L825" t="n">
        <v>0</v>
      </c>
      <c r="M825" t="n">
        <v>0</v>
      </c>
      <c r="N825" t="n">
        <v>0</v>
      </c>
      <c r="O825" t="n">
        <v>0</v>
      </c>
      <c r="P825" t="n">
        <v>0</v>
      </c>
      <c r="Q825" t="n">
        <v>0</v>
      </c>
      <c r="R825" s="2" t="inlineStr"/>
    </row>
    <row r="826" ht="15" customHeight="1">
      <c r="A826" t="inlineStr">
        <is>
          <t>A 12890-2024</t>
        </is>
      </c>
      <c r="B826" s="1" t="n">
        <v>45385.36243055556</v>
      </c>
      <c r="C826" s="1" t="n">
        <v>45925</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16620-2024</t>
        </is>
      </c>
      <c r="B827" s="1" t="n">
        <v>45408.57707175926</v>
      </c>
      <c r="C827" s="1" t="n">
        <v>45925</v>
      </c>
      <c r="D827" t="inlineStr">
        <is>
          <t>STOCKHOLMS LÄN</t>
        </is>
      </c>
      <c r="E827" t="inlineStr">
        <is>
          <t>NORRTÄLJE</t>
        </is>
      </c>
      <c r="G827" t="n">
        <v>2.7</v>
      </c>
      <c r="H827" t="n">
        <v>0</v>
      </c>
      <c r="I827" t="n">
        <v>0</v>
      </c>
      <c r="J827" t="n">
        <v>0</v>
      </c>
      <c r="K827" t="n">
        <v>0</v>
      </c>
      <c r="L827" t="n">
        <v>0</v>
      </c>
      <c r="M827" t="n">
        <v>0</v>
      </c>
      <c r="N827" t="n">
        <v>0</v>
      </c>
      <c r="O827" t="n">
        <v>0</v>
      </c>
      <c r="P827" t="n">
        <v>0</v>
      </c>
      <c r="Q827" t="n">
        <v>0</v>
      </c>
      <c r="R827" s="2" t="inlineStr"/>
    </row>
    <row r="828" ht="15" customHeight="1">
      <c r="A828" t="inlineStr">
        <is>
          <t>A 36430-2024</t>
        </is>
      </c>
      <c r="B828" s="1" t="n">
        <v>45536</v>
      </c>
      <c r="C828" s="1" t="n">
        <v>45925</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22416-2025</t>
        </is>
      </c>
      <c r="B829" s="1" t="n">
        <v>45786.55645833333</v>
      </c>
      <c r="C829" s="1" t="n">
        <v>45925</v>
      </c>
      <c r="D829" t="inlineStr">
        <is>
          <t>STOCKHOLMS LÄN</t>
        </is>
      </c>
      <c r="E829" t="inlineStr">
        <is>
          <t>NORRTÄLJE</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58785-2024</t>
        </is>
      </c>
      <c r="B830" s="1" t="n">
        <v>45635.88849537037</v>
      </c>
      <c r="C830" s="1" t="n">
        <v>45925</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62998-2023</t>
        </is>
      </c>
      <c r="B831" s="1" t="n">
        <v>45272.64479166667</v>
      </c>
      <c r="C831" s="1" t="n">
        <v>45925</v>
      </c>
      <c r="D831" t="inlineStr">
        <is>
          <t>STOCKHOLMS LÄN</t>
        </is>
      </c>
      <c r="E831" t="inlineStr">
        <is>
          <t>NORRTÄLJE</t>
        </is>
      </c>
      <c r="G831" t="n">
        <v>16.3</v>
      </c>
      <c r="H831" t="n">
        <v>0</v>
      </c>
      <c r="I831" t="n">
        <v>0</v>
      </c>
      <c r="J831" t="n">
        <v>0</v>
      </c>
      <c r="K831" t="n">
        <v>0</v>
      </c>
      <c r="L831" t="n">
        <v>0</v>
      </c>
      <c r="M831" t="n">
        <v>0</v>
      </c>
      <c r="N831" t="n">
        <v>0</v>
      </c>
      <c r="O831" t="n">
        <v>0</v>
      </c>
      <c r="P831" t="n">
        <v>0</v>
      </c>
      <c r="Q831" t="n">
        <v>0</v>
      </c>
      <c r="R831" s="2" t="inlineStr"/>
    </row>
    <row r="832" ht="15" customHeight="1">
      <c r="A832" t="inlineStr">
        <is>
          <t>A 63015-2023</t>
        </is>
      </c>
      <c r="B832" s="1" t="n">
        <v>45272</v>
      </c>
      <c r="C832" s="1" t="n">
        <v>45925</v>
      </c>
      <c r="D832" t="inlineStr">
        <is>
          <t>STOCKHOLMS LÄN</t>
        </is>
      </c>
      <c r="E832" t="inlineStr">
        <is>
          <t>NORRTÄLJE</t>
        </is>
      </c>
      <c r="G832" t="n">
        <v>13.1</v>
      </c>
      <c r="H832" t="n">
        <v>0</v>
      </c>
      <c r="I832" t="n">
        <v>0</v>
      </c>
      <c r="J832" t="n">
        <v>0</v>
      </c>
      <c r="K832" t="n">
        <v>0</v>
      </c>
      <c r="L832" t="n">
        <v>0</v>
      </c>
      <c r="M832" t="n">
        <v>0</v>
      </c>
      <c r="N832" t="n">
        <v>0</v>
      </c>
      <c r="O832" t="n">
        <v>0</v>
      </c>
      <c r="P832" t="n">
        <v>0</v>
      </c>
      <c r="Q832" t="n">
        <v>0</v>
      </c>
      <c r="R832" s="2" t="inlineStr"/>
    </row>
    <row r="833" ht="15" customHeight="1">
      <c r="A833" t="inlineStr">
        <is>
          <t>A 41172-2023</t>
        </is>
      </c>
      <c r="B833" s="1" t="n">
        <v>45170</v>
      </c>
      <c r="C833" s="1" t="n">
        <v>45925</v>
      </c>
      <c r="D833" t="inlineStr">
        <is>
          <t>STOCKHOLMS LÄN</t>
        </is>
      </c>
      <c r="E833" t="inlineStr">
        <is>
          <t>NORRTÄLJE</t>
        </is>
      </c>
      <c r="G833" t="n">
        <v>1.6</v>
      </c>
      <c r="H833" t="n">
        <v>0</v>
      </c>
      <c r="I833" t="n">
        <v>0</v>
      </c>
      <c r="J833" t="n">
        <v>0</v>
      </c>
      <c r="K833" t="n">
        <v>0</v>
      </c>
      <c r="L833" t="n">
        <v>0</v>
      </c>
      <c r="M833" t="n">
        <v>0</v>
      </c>
      <c r="N833" t="n">
        <v>0</v>
      </c>
      <c r="O833" t="n">
        <v>0</v>
      </c>
      <c r="P833" t="n">
        <v>0</v>
      </c>
      <c r="Q833" t="n">
        <v>0</v>
      </c>
      <c r="R833" s="2" t="inlineStr"/>
    </row>
    <row r="834" ht="15" customHeight="1">
      <c r="A834" t="inlineStr">
        <is>
          <t>A 12901-2024</t>
        </is>
      </c>
      <c r="B834" s="1" t="n">
        <v>45385.37922453704</v>
      </c>
      <c r="C834" s="1" t="n">
        <v>45925</v>
      </c>
      <c r="D834" t="inlineStr">
        <is>
          <t>STOCKHOLMS LÄN</t>
        </is>
      </c>
      <c r="E834" t="inlineStr">
        <is>
          <t>NORRTÄLJE</t>
        </is>
      </c>
      <c r="G834" t="n">
        <v>2.7</v>
      </c>
      <c r="H834" t="n">
        <v>0</v>
      </c>
      <c r="I834" t="n">
        <v>0</v>
      </c>
      <c r="J834" t="n">
        <v>0</v>
      </c>
      <c r="K834" t="n">
        <v>0</v>
      </c>
      <c r="L834" t="n">
        <v>0</v>
      </c>
      <c r="M834" t="n">
        <v>0</v>
      </c>
      <c r="N834" t="n">
        <v>0</v>
      </c>
      <c r="O834" t="n">
        <v>0</v>
      </c>
      <c r="P834" t="n">
        <v>0</v>
      </c>
      <c r="Q834" t="n">
        <v>0</v>
      </c>
      <c r="R834" s="2" t="inlineStr"/>
    </row>
    <row r="835" ht="15" customHeight="1">
      <c r="A835" t="inlineStr">
        <is>
          <t>A 12301-2025</t>
        </is>
      </c>
      <c r="B835" s="1" t="n">
        <v>45729.7271875</v>
      </c>
      <c r="C835" s="1" t="n">
        <v>45925</v>
      </c>
      <c r="D835" t="inlineStr">
        <is>
          <t>STOCKHOLMS LÄN</t>
        </is>
      </c>
      <c r="E835" t="inlineStr">
        <is>
          <t>NORRTÄLJE</t>
        </is>
      </c>
      <c r="G835" t="n">
        <v>3.2</v>
      </c>
      <c r="H835" t="n">
        <v>0</v>
      </c>
      <c r="I835" t="n">
        <v>0</v>
      </c>
      <c r="J835" t="n">
        <v>0</v>
      </c>
      <c r="K835" t="n">
        <v>0</v>
      </c>
      <c r="L835" t="n">
        <v>0</v>
      </c>
      <c r="M835" t="n">
        <v>0</v>
      </c>
      <c r="N835" t="n">
        <v>0</v>
      </c>
      <c r="O835" t="n">
        <v>0</v>
      </c>
      <c r="P835" t="n">
        <v>0</v>
      </c>
      <c r="Q835" t="n">
        <v>0</v>
      </c>
      <c r="R835" s="2" t="inlineStr"/>
    </row>
    <row r="836" ht="15" customHeight="1">
      <c r="A836" t="inlineStr">
        <is>
          <t>A 67921-2021</t>
        </is>
      </c>
      <c r="B836" s="1" t="n">
        <v>44525</v>
      </c>
      <c r="C836" s="1" t="n">
        <v>45925</v>
      </c>
      <c r="D836" t="inlineStr">
        <is>
          <t>STOCKHOLMS LÄN</t>
        </is>
      </c>
      <c r="E836" t="inlineStr">
        <is>
          <t>NORRTÄLJE</t>
        </is>
      </c>
      <c r="G836" t="n">
        <v>6.3</v>
      </c>
      <c r="H836" t="n">
        <v>0</v>
      </c>
      <c r="I836" t="n">
        <v>0</v>
      </c>
      <c r="J836" t="n">
        <v>0</v>
      </c>
      <c r="K836" t="n">
        <v>0</v>
      </c>
      <c r="L836" t="n">
        <v>0</v>
      </c>
      <c r="M836" t="n">
        <v>0</v>
      </c>
      <c r="N836" t="n">
        <v>0</v>
      </c>
      <c r="O836" t="n">
        <v>0</v>
      </c>
      <c r="P836" t="n">
        <v>0</v>
      </c>
      <c r="Q836" t="n">
        <v>0</v>
      </c>
      <c r="R836" s="2" t="inlineStr"/>
    </row>
    <row r="837" ht="15" customHeight="1">
      <c r="A837" t="inlineStr">
        <is>
          <t>A 72704-2021</t>
        </is>
      </c>
      <c r="B837" s="1" t="n">
        <v>44546</v>
      </c>
      <c r="C837" s="1" t="n">
        <v>45925</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65499-2021</t>
        </is>
      </c>
      <c r="B838" s="1" t="n">
        <v>44516</v>
      </c>
      <c r="C838" s="1" t="n">
        <v>45925</v>
      </c>
      <c r="D838" t="inlineStr">
        <is>
          <t>STOCKHOLMS LÄN</t>
        </is>
      </c>
      <c r="E838" t="inlineStr">
        <is>
          <t>NORRTÄLJE</t>
        </is>
      </c>
      <c r="F838" t="inlineStr">
        <is>
          <t>Kommuner</t>
        </is>
      </c>
      <c r="G838" t="n">
        <v>5.2</v>
      </c>
      <c r="H838" t="n">
        <v>0</v>
      </c>
      <c r="I838" t="n">
        <v>0</v>
      </c>
      <c r="J838" t="n">
        <v>0</v>
      </c>
      <c r="K838" t="n">
        <v>0</v>
      </c>
      <c r="L838" t="n">
        <v>0</v>
      </c>
      <c r="M838" t="n">
        <v>0</v>
      </c>
      <c r="N838" t="n">
        <v>0</v>
      </c>
      <c r="O838" t="n">
        <v>0</v>
      </c>
      <c r="P838" t="n">
        <v>0</v>
      </c>
      <c r="Q838" t="n">
        <v>0</v>
      </c>
      <c r="R838" s="2" t="inlineStr"/>
    </row>
    <row r="839" ht="15" customHeight="1">
      <c r="A839" t="inlineStr">
        <is>
          <t>A 65511-2021</t>
        </is>
      </c>
      <c r="B839" s="1" t="n">
        <v>44516.40674768519</v>
      </c>
      <c r="C839" s="1" t="n">
        <v>45925</v>
      </c>
      <c r="D839" t="inlineStr">
        <is>
          <t>STOCKHOLMS LÄN</t>
        </is>
      </c>
      <c r="E839" t="inlineStr">
        <is>
          <t>NORRTÄLJE</t>
        </is>
      </c>
      <c r="F839" t="inlineStr">
        <is>
          <t>Kommuner</t>
        </is>
      </c>
      <c r="G839" t="n">
        <v>2.8</v>
      </c>
      <c r="H839" t="n">
        <v>0</v>
      </c>
      <c r="I839" t="n">
        <v>0</v>
      </c>
      <c r="J839" t="n">
        <v>0</v>
      </c>
      <c r="K839" t="n">
        <v>0</v>
      </c>
      <c r="L839" t="n">
        <v>0</v>
      </c>
      <c r="M839" t="n">
        <v>0</v>
      </c>
      <c r="N839" t="n">
        <v>0</v>
      </c>
      <c r="O839" t="n">
        <v>0</v>
      </c>
      <c r="P839" t="n">
        <v>0</v>
      </c>
      <c r="Q839" t="n">
        <v>0</v>
      </c>
      <c r="R839" s="2" t="inlineStr"/>
    </row>
    <row r="840" ht="15" customHeight="1">
      <c r="A840" t="inlineStr">
        <is>
          <t>A 8950-2025</t>
        </is>
      </c>
      <c r="B840" s="1" t="n">
        <v>45713</v>
      </c>
      <c r="C840" s="1" t="n">
        <v>45925</v>
      </c>
      <c r="D840" t="inlineStr">
        <is>
          <t>STOCKHOLMS LÄN</t>
        </is>
      </c>
      <c r="E840" t="inlineStr">
        <is>
          <t>NORRTÄLJE</t>
        </is>
      </c>
      <c r="F840" t="inlineStr">
        <is>
          <t>Övriga Aktiebolag</t>
        </is>
      </c>
      <c r="G840" t="n">
        <v>3.6</v>
      </c>
      <c r="H840" t="n">
        <v>0</v>
      </c>
      <c r="I840" t="n">
        <v>0</v>
      </c>
      <c r="J840" t="n">
        <v>0</v>
      </c>
      <c r="K840" t="n">
        <v>0</v>
      </c>
      <c r="L840" t="n">
        <v>0</v>
      </c>
      <c r="M840" t="n">
        <v>0</v>
      </c>
      <c r="N840" t="n">
        <v>0</v>
      </c>
      <c r="O840" t="n">
        <v>0</v>
      </c>
      <c r="P840" t="n">
        <v>0</v>
      </c>
      <c r="Q840" t="n">
        <v>0</v>
      </c>
      <c r="R840" s="2" t="inlineStr"/>
    </row>
    <row r="841" ht="15" customHeight="1">
      <c r="A841" t="inlineStr">
        <is>
          <t>A 26113-2024</t>
        </is>
      </c>
      <c r="B841" s="1" t="n">
        <v>45468.45541666666</v>
      </c>
      <c r="C841" s="1" t="n">
        <v>45925</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26116-2024</t>
        </is>
      </c>
      <c r="B842" s="1" t="n">
        <v>45468.45747685185</v>
      </c>
      <c r="C842" s="1" t="n">
        <v>45925</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20730-2024</t>
        </is>
      </c>
      <c r="B843" s="1" t="n">
        <v>45436</v>
      </c>
      <c r="C843" s="1" t="n">
        <v>45925</v>
      </c>
      <c r="D843" t="inlineStr">
        <is>
          <t>STOCKHOLMS LÄN</t>
        </is>
      </c>
      <c r="E843" t="inlineStr">
        <is>
          <t>NORRTÄLJE</t>
        </is>
      </c>
      <c r="G843" t="n">
        <v>7.3</v>
      </c>
      <c r="H843" t="n">
        <v>0</v>
      </c>
      <c r="I843" t="n">
        <v>0</v>
      </c>
      <c r="J843" t="n">
        <v>0</v>
      </c>
      <c r="K843" t="n">
        <v>0</v>
      </c>
      <c r="L843" t="n">
        <v>0</v>
      </c>
      <c r="M843" t="n">
        <v>0</v>
      </c>
      <c r="N843" t="n">
        <v>0</v>
      </c>
      <c r="O843" t="n">
        <v>0</v>
      </c>
      <c r="P843" t="n">
        <v>0</v>
      </c>
      <c r="Q843" t="n">
        <v>0</v>
      </c>
      <c r="R843" s="2" t="inlineStr"/>
    </row>
    <row r="844" ht="15" customHeight="1">
      <c r="A844" t="inlineStr">
        <is>
          <t>A 33175-2024</t>
        </is>
      </c>
      <c r="B844" s="1" t="n">
        <v>45518</v>
      </c>
      <c r="C844" s="1" t="n">
        <v>45925</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13283-2025</t>
        </is>
      </c>
      <c r="B845" s="1" t="n">
        <v>45735</v>
      </c>
      <c r="C845" s="1" t="n">
        <v>45925</v>
      </c>
      <c r="D845" t="inlineStr">
        <is>
          <t>STOCKHOLMS LÄN</t>
        </is>
      </c>
      <c r="E845" t="inlineStr">
        <is>
          <t>NORRTÄLJE</t>
        </is>
      </c>
      <c r="G845" t="n">
        <v>4.9</v>
      </c>
      <c r="H845" t="n">
        <v>0</v>
      </c>
      <c r="I845" t="n">
        <v>0</v>
      </c>
      <c r="J845" t="n">
        <v>0</v>
      </c>
      <c r="K845" t="n">
        <v>0</v>
      </c>
      <c r="L845" t="n">
        <v>0</v>
      </c>
      <c r="M845" t="n">
        <v>0</v>
      </c>
      <c r="N845" t="n">
        <v>0</v>
      </c>
      <c r="O845" t="n">
        <v>0</v>
      </c>
      <c r="P845" t="n">
        <v>0</v>
      </c>
      <c r="Q845" t="n">
        <v>0</v>
      </c>
      <c r="R845" s="2" t="inlineStr"/>
    </row>
    <row r="846" ht="15" customHeight="1">
      <c r="A846" t="inlineStr">
        <is>
          <t>A 52686-2024</t>
        </is>
      </c>
      <c r="B846" s="1" t="n">
        <v>45610.39271990741</v>
      </c>
      <c r="C846" s="1" t="n">
        <v>45925</v>
      </c>
      <c r="D846" t="inlineStr">
        <is>
          <t>STOCKHOLMS LÄN</t>
        </is>
      </c>
      <c r="E846" t="inlineStr">
        <is>
          <t>NORRTÄLJE</t>
        </is>
      </c>
      <c r="G846" t="n">
        <v>5.7</v>
      </c>
      <c r="H846" t="n">
        <v>0</v>
      </c>
      <c r="I846" t="n">
        <v>0</v>
      </c>
      <c r="J846" t="n">
        <v>0</v>
      </c>
      <c r="K846" t="n">
        <v>0</v>
      </c>
      <c r="L846" t="n">
        <v>0</v>
      </c>
      <c r="M846" t="n">
        <v>0</v>
      </c>
      <c r="N846" t="n">
        <v>0</v>
      </c>
      <c r="O846" t="n">
        <v>0</v>
      </c>
      <c r="P846" t="n">
        <v>0</v>
      </c>
      <c r="Q846" t="n">
        <v>0</v>
      </c>
      <c r="R846" s="2" t="inlineStr"/>
    </row>
    <row r="847" ht="15" customHeight="1">
      <c r="A847" t="inlineStr">
        <is>
          <t>A 27831-2024</t>
        </is>
      </c>
      <c r="B847" s="1" t="n">
        <v>45475.61896990741</v>
      </c>
      <c r="C847" s="1" t="n">
        <v>45925</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31105-2022</t>
        </is>
      </c>
      <c r="B848" s="1" t="n">
        <v>44769.66039351852</v>
      </c>
      <c r="C848" s="1" t="n">
        <v>45925</v>
      </c>
      <c r="D848" t="inlineStr">
        <is>
          <t>STOCKHOLMS LÄN</t>
        </is>
      </c>
      <c r="E848" t="inlineStr">
        <is>
          <t>NORRTÄLJE</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62644-2023</t>
        </is>
      </c>
      <c r="B849" s="1" t="n">
        <v>45271</v>
      </c>
      <c r="C849" s="1" t="n">
        <v>45925</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60185-2024</t>
        </is>
      </c>
      <c r="B850" s="1" t="n">
        <v>45642.64634259259</v>
      </c>
      <c r="C850" s="1" t="n">
        <v>45925</v>
      </c>
      <c r="D850" t="inlineStr">
        <is>
          <t>STOCKHOLMS LÄN</t>
        </is>
      </c>
      <c r="E850" t="inlineStr">
        <is>
          <t>NORRTÄLJE</t>
        </is>
      </c>
      <c r="G850" t="n">
        <v>0.3</v>
      </c>
      <c r="H850" t="n">
        <v>0</v>
      </c>
      <c r="I850" t="n">
        <v>0</v>
      </c>
      <c r="J850" t="n">
        <v>0</v>
      </c>
      <c r="K850" t="n">
        <v>0</v>
      </c>
      <c r="L850" t="n">
        <v>0</v>
      </c>
      <c r="M850" t="n">
        <v>0</v>
      </c>
      <c r="N850" t="n">
        <v>0</v>
      </c>
      <c r="O850" t="n">
        <v>0</v>
      </c>
      <c r="P850" t="n">
        <v>0</v>
      </c>
      <c r="Q850" t="n">
        <v>0</v>
      </c>
      <c r="R850" s="2" t="inlineStr"/>
    </row>
    <row r="851" ht="15" customHeight="1">
      <c r="A851" t="inlineStr">
        <is>
          <t>A 60765-2023</t>
        </is>
      </c>
      <c r="B851" s="1" t="n">
        <v>45260</v>
      </c>
      <c r="C851" s="1" t="n">
        <v>45925</v>
      </c>
      <c r="D851" t="inlineStr">
        <is>
          <t>STOCKHOLMS LÄN</t>
        </is>
      </c>
      <c r="E851" t="inlineStr">
        <is>
          <t>NORRTÄLJE</t>
        </is>
      </c>
      <c r="G851" t="n">
        <v>3.7</v>
      </c>
      <c r="H851" t="n">
        <v>0</v>
      </c>
      <c r="I851" t="n">
        <v>0</v>
      </c>
      <c r="J851" t="n">
        <v>0</v>
      </c>
      <c r="K851" t="n">
        <v>0</v>
      </c>
      <c r="L851" t="n">
        <v>0</v>
      </c>
      <c r="M851" t="n">
        <v>0</v>
      </c>
      <c r="N851" t="n">
        <v>0</v>
      </c>
      <c r="O851" t="n">
        <v>0</v>
      </c>
      <c r="P851" t="n">
        <v>0</v>
      </c>
      <c r="Q851" t="n">
        <v>0</v>
      </c>
      <c r="R851" s="2" t="inlineStr"/>
    </row>
    <row r="852" ht="15" customHeight="1">
      <c r="A852" t="inlineStr">
        <is>
          <t>A 12268-2022</t>
        </is>
      </c>
      <c r="B852" s="1" t="n">
        <v>44637</v>
      </c>
      <c r="C852" s="1" t="n">
        <v>45925</v>
      </c>
      <c r="D852" t="inlineStr">
        <is>
          <t>STOCKHOLMS LÄN</t>
        </is>
      </c>
      <c r="E852" t="inlineStr">
        <is>
          <t>NORRTÄLJE</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21803-2022</t>
        </is>
      </c>
      <c r="B853" s="1" t="n">
        <v>44708.67822916667</v>
      </c>
      <c r="C853" s="1" t="n">
        <v>45925</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22832-2021</t>
        </is>
      </c>
      <c r="B854" s="1" t="n">
        <v>44325</v>
      </c>
      <c r="C854" s="1" t="n">
        <v>45925</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51315-2021</t>
        </is>
      </c>
      <c r="B855" s="1" t="n">
        <v>44461</v>
      </c>
      <c r="C855" s="1" t="n">
        <v>45925</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33279-2025</t>
        </is>
      </c>
      <c r="B856" s="1" t="n">
        <v>45840.70885416667</v>
      </c>
      <c r="C856" s="1" t="n">
        <v>45925</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24687-2025</t>
        </is>
      </c>
      <c r="B857" s="1" t="n">
        <v>45798.66767361111</v>
      </c>
      <c r="C857" s="1" t="n">
        <v>45925</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22008-2024</t>
        </is>
      </c>
      <c r="B858" s="1" t="n">
        <v>45443</v>
      </c>
      <c r="C858" s="1" t="n">
        <v>45925</v>
      </c>
      <c r="D858" t="inlineStr">
        <is>
          <t>STOCKHOLMS LÄN</t>
        </is>
      </c>
      <c r="E858" t="inlineStr">
        <is>
          <t>NORRTÄLJE</t>
        </is>
      </c>
      <c r="G858" t="n">
        <v>2</v>
      </c>
      <c r="H858" t="n">
        <v>0</v>
      </c>
      <c r="I858" t="n">
        <v>0</v>
      </c>
      <c r="J858" t="n">
        <v>0</v>
      </c>
      <c r="K858" t="n">
        <v>0</v>
      </c>
      <c r="L858" t="n">
        <v>0</v>
      </c>
      <c r="M858" t="n">
        <v>0</v>
      </c>
      <c r="N858" t="n">
        <v>0</v>
      </c>
      <c r="O858" t="n">
        <v>0</v>
      </c>
      <c r="P858" t="n">
        <v>0</v>
      </c>
      <c r="Q858" t="n">
        <v>0</v>
      </c>
      <c r="R858" s="2" t="inlineStr"/>
    </row>
    <row r="859" ht="15" customHeight="1">
      <c r="A859" t="inlineStr">
        <is>
          <t>A 24690-2025</t>
        </is>
      </c>
      <c r="B859" s="1" t="n">
        <v>45798.67082175926</v>
      </c>
      <c r="C859" s="1" t="n">
        <v>45925</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58277-2023</t>
        </is>
      </c>
      <c r="B860" s="1" t="n">
        <v>45245</v>
      </c>
      <c r="C860" s="1" t="n">
        <v>45925</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24638-2025</t>
        </is>
      </c>
      <c r="B861" s="1" t="n">
        <v>45798</v>
      </c>
      <c r="C861" s="1" t="n">
        <v>45925</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24351-2025</t>
        </is>
      </c>
      <c r="B862" s="1" t="n">
        <v>45797.58399305555</v>
      </c>
      <c r="C862" s="1" t="n">
        <v>45925</v>
      </c>
      <c r="D862" t="inlineStr">
        <is>
          <t>STOCKHOLMS LÄN</t>
        </is>
      </c>
      <c r="E862" t="inlineStr">
        <is>
          <t>NORRTÄLJE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9480-2025</t>
        </is>
      </c>
      <c r="B863" s="1" t="n">
        <v>45715</v>
      </c>
      <c r="C863" s="1" t="n">
        <v>45925</v>
      </c>
      <c r="D863" t="inlineStr">
        <is>
          <t>STOCKHOLMS LÄN</t>
        </is>
      </c>
      <c r="E863" t="inlineStr">
        <is>
          <t>NORRTÄLJE</t>
        </is>
      </c>
      <c r="F863" t="inlineStr">
        <is>
          <t>Övriga Aktiebolag</t>
        </is>
      </c>
      <c r="G863" t="n">
        <v>3.9</v>
      </c>
      <c r="H863" t="n">
        <v>0</v>
      </c>
      <c r="I863" t="n">
        <v>0</v>
      </c>
      <c r="J863" t="n">
        <v>0</v>
      </c>
      <c r="K863" t="n">
        <v>0</v>
      </c>
      <c r="L863" t="n">
        <v>0</v>
      </c>
      <c r="M863" t="n">
        <v>0</v>
      </c>
      <c r="N863" t="n">
        <v>0</v>
      </c>
      <c r="O863" t="n">
        <v>0</v>
      </c>
      <c r="P863" t="n">
        <v>0</v>
      </c>
      <c r="Q863" t="n">
        <v>0</v>
      </c>
      <c r="R863" s="2" t="inlineStr"/>
    </row>
    <row r="864" ht="15" customHeight="1">
      <c r="A864" t="inlineStr">
        <is>
          <t>A 49898-2020</t>
        </is>
      </c>
      <c r="B864" s="1" t="n">
        <v>44108</v>
      </c>
      <c r="C864" s="1" t="n">
        <v>45925</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28603-2024</t>
        </is>
      </c>
      <c r="B865" s="1" t="n">
        <v>45478.42887731481</v>
      </c>
      <c r="C865" s="1" t="n">
        <v>45925</v>
      </c>
      <c r="D865" t="inlineStr">
        <is>
          <t>STOCKHOLMS LÄN</t>
        </is>
      </c>
      <c r="E865" t="inlineStr">
        <is>
          <t>NORRTÄLJE</t>
        </is>
      </c>
      <c r="G865" t="n">
        <v>5.6</v>
      </c>
      <c r="H865" t="n">
        <v>0</v>
      </c>
      <c r="I865" t="n">
        <v>0</v>
      </c>
      <c r="J865" t="n">
        <v>0</v>
      </c>
      <c r="K865" t="n">
        <v>0</v>
      </c>
      <c r="L865" t="n">
        <v>0</v>
      </c>
      <c r="M865" t="n">
        <v>0</v>
      </c>
      <c r="N865" t="n">
        <v>0</v>
      </c>
      <c r="O865" t="n">
        <v>0</v>
      </c>
      <c r="P865" t="n">
        <v>0</v>
      </c>
      <c r="Q865" t="n">
        <v>0</v>
      </c>
      <c r="R865" s="2" t="inlineStr"/>
    </row>
    <row r="866" ht="15" customHeight="1">
      <c r="A866" t="inlineStr">
        <is>
          <t>A 25702-2025</t>
        </is>
      </c>
      <c r="B866" s="1" t="n">
        <v>45800</v>
      </c>
      <c r="C866" s="1" t="n">
        <v>45925</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4322-2023</t>
        </is>
      </c>
      <c r="B867" s="1" t="n">
        <v>44953.69298611111</v>
      </c>
      <c r="C867" s="1" t="n">
        <v>45925</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25709-2025</t>
        </is>
      </c>
      <c r="B868" s="1" t="n">
        <v>45800</v>
      </c>
      <c r="C868" s="1" t="n">
        <v>45925</v>
      </c>
      <c r="D868" t="inlineStr">
        <is>
          <t>STOCKHOLMS LÄN</t>
        </is>
      </c>
      <c r="E868" t="inlineStr">
        <is>
          <t>NORRTÄLJE</t>
        </is>
      </c>
      <c r="G868" t="n">
        <v>4.6</v>
      </c>
      <c r="H868" t="n">
        <v>0</v>
      </c>
      <c r="I868" t="n">
        <v>0</v>
      </c>
      <c r="J868" t="n">
        <v>0</v>
      </c>
      <c r="K868" t="n">
        <v>0</v>
      </c>
      <c r="L868" t="n">
        <v>0</v>
      </c>
      <c r="M868" t="n">
        <v>0</v>
      </c>
      <c r="N868" t="n">
        <v>0</v>
      </c>
      <c r="O868" t="n">
        <v>0</v>
      </c>
      <c r="P868" t="n">
        <v>0</v>
      </c>
      <c r="Q868" t="n">
        <v>0</v>
      </c>
      <c r="R868" s="2" t="inlineStr"/>
    </row>
    <row r="869" ht="15" customHeight="1">
      <c r="A869" t="inlineStr">
        <is>
          <t>A 25721-2025</t>
        </is>
      </c>
      <c r="B869" s="1" t="n">
        <v>45800</v>
      </c>
      <c r="C869" s="1" t="n">
        <v>45925</v>
      </c>
      <c r="D869" t="inlineStr">
        <is>
          <t>STOCKHOLMS LÄN</t>
        </is>
      </c>
      <c r="E869" t="inlineStr">
        <is>
          <t>NORRTÄLJE</t>
        </is>
      </c>
      <c r="G869" t="n">
        <v>6</v>
      </c>
      <c r="H869" t="n">
        <v>0</v>
      </c>
      <c r="I869" t="n">
        <v>0</v>
      </c>
      <c r="J869" t="n">
        <v>0</v>
      </c>
      <c r="K869" t="n">
        <v>0</v>
      </c>
      <c r="L869" t="n">
        <v>0</v>
      </c>
      <c r="M869" t="n">
        <v>0</v>
      </c>
      <c r="N869" t="n">
        <v>0</v>
      </c>
      <c r="O869" t="n">
        <v>0</v>
      </c>
      <c r="P869" t="n">
        <v>0</v>
      </c>
      <c r="Q869" t="n">
        <v>0</v>
      </c>
      <c r="R869" s="2" t="inlineStr"/>
    </row>
    <row r="870" ht="15" customHeight="1">
      <c r="A870" t="inlineStr">
        <is>
          <t>A 35916-2024</t>
        </is>
      </c>
      <c r="B870" s="1" t="n">
        <v>45533</v>
      </c>
      <c r="C870" s="1" t="n">
        <v>45925</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38889-2024</t>
        </is>
      </c>
      <c r="B871" s="1" t="n">
        <v>45547</v>
      </c>
      <c r="C871" s="1" t="n">
        <v>45925</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57216-2020</t>
        </is>
      </c>
      <c r="B872" s="1" t="n">
        <v>44139.54078703704</v>
      </c>
      <c r="C872" s="1" t="n">
        <v>45925</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24835-2025</t>
        </is>
      </c>
      <c r="B873" s="1" t="n">
        <v>45799</v>
      </c>
      <c r="C873" s="1" t="n">
        <v>45925</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25733-2025</t>
        </is>
      </c>
      <c r="B874" s="1" t="n">
        <v>45800</v>
      </c>
      <c r="C874" s="1" t="n">
        <v>45925</v>
      </c>
      <c r="D874" t="inlineStr">
        <is>
          <t>STOCKHOLMS LÄN</t>
        </is>
      </c>
      <c r="E874" t="inlineStr">
        <is>
          <t>NORRTÄLJE</t>
        </is>
      </c>
      <c r="G874" t="n">
        <v>2.2</v>
      </c>
      <c r="H874" t="n">
        <v>0</v>
      </c>
      <c r="I874" t="n">
        <v>0</v>
      </c>
      <c r="J874" t="n">
        <v>0</v>
      </c>
      <c r="K874" t="n">
        <v>0</v>
      </c>
      <c r="L874" t="n">
        <v>0</v>
      </c>
      <c r="M874" t="n">
        <v>0</v>
      </c>
      <c r="N874" t="n">
        <v>0</v>
      </c>
      <c r="O874" t="n">
        <v>0</v>
      </c>
      <c r="P874" t="n">
        <v>0</v>
      </c>
      <c r="Q874" t="n">
        <v>0</v>
      </c>
      <c r="R874" s="2" t="inlineStr"/>
    </row>
    <row r="875" ht="15" customHeight="1">
      <c r="A875" t="inlineStr">
        <is>
          <t>A 25725-2025</t>
        </is>
      </c>
      <c r="B875" s="1" t="n">
        <v>45800</v>
      </c>
      <c r="C875" s="1" t="n">
        <v>45925</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3299-2022</t>
        </is>
      </c>
      <c r="B876" s="1" t="n">
        <v>44584.91001157407</v>
      </c>
      <c r="C876" s="1" t="n">
        <v>45925</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25571-2025</t>
        </is>
      </c>
      <c r="B877" s="1" t="n">
        <v>45803.4675</v>
      </c>
      <c r="C877" s="1" t="n">
        <v>45925</v>
      </c>
      <c r="D877" t="inlineStr">
        <is>
          <t>STOCKHOLMS LÄN</t>
        </is>
      </c>
      <c r="E877" t="inlineStr">
        <is>
          <t>NORRTÄLJE</t>
        </is>
      </c>
      <c r="G877" t="n">
        <v>5.4</v>
      </c>
      <c r="H877" t="n">
        <v>0</v>
      </c>
      <c r="I877" t="n">
        <v>0</v>
      </c>
      <c r="J877" t="n">
        <v>0</v>
      </c>
      <c r="K877" t="n">
        <v>0</v>
      </c>
      <c r="L877" t="n">
        <v>0</v>
      </c>
      <c r="M877" t="n">
        <v>0</v>
      </c>
      <c r="N877" t="n">
        <v>0</v>
      </c>
      <c r="O877" t="n">
        <v>0</v>
      </c>
      <c r="P877" t="n">
        <v>0</v>
      </c>
      <c r="Q877" t="n">
        <v>0</v>
      </c>
      <c r="R877" s="2" t="inlineStr"/>
    </row>
    <row r="878" ht="15" customHeight="1">
      <c r="A878" t="inlineStr">
        <is>
          <t>A 42075-2023</t>
        </is>
      </c>
      <c r="B878" s="1" t="n">
        <v>45177</v>
      </c>
      <c r="C878" s="1" t="n">
        <v>45925</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10676-2025</t>
        </is>
      </c>
      <c r="B879" s="1" t="n">
        <v>45721.88684027778</v>
      </c>
      <c r="C879" s="1" t="n">
        <v>45925</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53561-2023</t>
        </is>
      </c>
      <c r="B880" s="1" t="n">
        <v>45224</v>
      </c>
      <c r="C880" s="1" t="n">
        <v>45925</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25270-2025</t>
        </is>
      </c>
      <c r="B881" s="1" t="n">
        <v>45800</v>
      </c>
      <c r="C881" s="1" t="n">
        <v>45925</v>
      </c>
      <c r="D881" t="inlineStr">
        <is>
          <t>STOCKHOLMS LÄN</t>
        </is>
      </c>
      <c r="E881" t="inlineStr">
        <is>
          <t>NORRTÄLJE</t>
        </is>
      </c>
      <c r="F881" t="inlineStr">
        <is>
          <t>Övriga Aktiebolag</t>
        </is>
      </c>
      <c r="G881" t="n">
        <v>30</v>
      </c>
      <c r="H881" t="n">
        <v>0</v>
      </c>
      <c r="I881" t="n">
        <v>0</v>
      </c>
      <c r="J881" t="n">
        <v>0</v>
      </c>
      <c r="K881" t="n">
        <v>0</v>
      </c>
      <c r="L881" t="n">
        <v>0</v>
      </c>
      <c r="M881" t="n">
        <v>0</v>
      </c>
      <c r="N881" t="n">
        <v>0</v>
      </c>
      <c r="O881" t="n">
        <v>0</v>
      </c>
      <c r="P881" t="n">
        <v>0</v>
      </c>
      <c r="Q881" t="n">
        <v>0</v>
      </c>
      <c r="R881" s="2" t="inlineStr"/>
    </row>
    <row r="882" ht="15" customHeight="1">
      <c r="A882" t="inlineStr">
        <is>
          <t>A 25712-2025</t>
        </is>
      </c>
      <c r="B882" s="1" t="n">
        <v>45803.69228009259</v>
      </c>
      <c r="C882" s="1" t="n">
        <v>45925</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41218-2024</t>
        </is>
      </c>
      <c r="B883" s="1" t="n">
        <v>45559.54706018518</v>
      </c>
      <c r="C883" s="1" t="n">
        <v>45925</v>
      </c>
      <c r="D883" t="inlineStr">
        <is>
          <t>STOCKHOLMS LÄN</t>
        </is>
      </c>
      <c r="E883" t="inlineStr">
        <is>
          <t>NORRTÄLJE</t>
        </is>
      </c>
      <c r="G883" t="n">
        <v>6</v>
      </c>
      <c r="H883" t="n">
        <v>0</v>
      </c>
      <c r="I883" t="n">
        <v>0</v>
      </c>
      <c r="J883" t="n">
        <v>0</v>
      </c>
      <c r="K883" t="n">
        <v>0</v>
      </c>
      <c r="L883" t="n">
        <v>0</v>
      </c>
      <c r="M883" t="n">
        <v>0</v>
      </c>
      <c r="N883" t="n">
        <v>0</v>
      </c>
      <c r="O883" t="n">
        <v>0</v>
      </c>
      <c r="P883" t="n">
        <v>0</v>
      </c>
      <c r="Q883" t="n">
        <v>0</v>
      </c>
      <c r="R883" s="2" t="inlineStr"/>
    </row>
    <row r="884" ht="15" customHeight="1">
      <c r="A884" t="inlineStr">
        <is>
          <t>A 26051-2025</t>
        </is>
      </c>
      <c r="B884" s="1" t="n">
        <v>45804.74479166666</v>
      </c>
      <c r="C884" s="1" t="n">
        <v>45925</v>
      </c>
      <c r="D884" t="inlineStr">
        <is>
          <t>STOCKHOLMS LÄN</t>
        </is>
      </c>
      <c r="E884" t="inlineStr">
        <is>
          <t>NORRTÄLJE</t>
        </is>
      </c>
      <c r="G884" t="n">
        <v>3.2</v>
      </c>
      <c r="H884" t="n">
        <v>0</v>
      </c>
      <c r="I884" t="n">
        <v>0</v>
      </c>
      <c r="J884" t="n">
        <v>0</v>
      </c>
      <c r="K884" t="n">
        <v>0</v>
      </c>
      <c r="L884" t="n">
        <v>0</v>
      </c>
      <c r="M884" t="n">
        <v>0</v>
      </c>
      <c r="N884" t="n">
        <v>0</v>
      </c>
      <c r="O884" t="n">
        <v>0</v>
      </c>
      <c r="P884" t="n">
        <v>0</v>
      </c>
      <c r="Q884" t="n">
        <v>0</v>
      </c>
      <c r="R884" s="2" t="inlineStr"/>
    </row>
    <row r="885" ht="15" customHeight="1">
      <c r="A885" t="inlineStr">
        <is>
          <t>A 50154-2024</t>
        </is>
      </c>
      <c r="B885" s="1" t="n">
        <v>45600.4558912037</v>
      </c>
      <c r="C885" s="1" t="n">
        <v>45925</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37273-2024</t>
        </is>
      </c>
      <c r="B886" s="1" t="n">
        <v>45540</v>
      </c>
      <c r="C886" s="1" t="n">
        <v>45925</v>
      </c>
      <c r="D886" t="inlineStr">
        <is>
          <t>STOCKHOLMS LÄN</t>
        </is>
      </c>
      <c r="E886" t="inlineStr">
        <is>
          <t>NORRTÄLJE</t>
        </is>
      </c>
      <c r="F886" t="inlineStr">
        <is>
          <t>Sveaskog</t>
        </is>
      </c>
      <c r="G886" t="n">
        <v>12.5</v>
      </c>
      <c r="H886" t="n">
        <v>0</v>
      </c>
      <c r="I886" t="n">
        <v>0</v>
      </c>
      <c r="J886" t="n">
        <v>0</v>
      </c>
      <c r="K886" t="n">
        <v>0</v>
      </c>
      <c r="L886" t="n">
        <v>0</v>
      </c>
      <c r="M886" t="n">
        <v>0</v>
      </c>
      <c r="N886" t="n">
        <v>0</v>
      </c>
      <c r="O886" t="n">
        <v>0</v>
      </c>
      <c r="P886" t="n">
        <v>0</v>
      </c>
      <c r="Q886" t="n">
        <v>0</v>
      </c>
      <c r="R886" s="2" t="inlineStr"/>
    </row>
    <row r="887" ht="15" customHeight="1">
      <c r="A887" t="inlineStr">
        <is>
          <t>A 39238-2024</t>
        </is>
      </c>
      <c r="B887" s="1" t="n">
        <v>45549</v>
      </c>
      <c r="C887" s="1" t="n">
        <v>45925</v>
      </c>
      <c r="D887" t="inlineStr">
        <is>
          <t>STOCKHOLMS LÄN</t>
        </is>
      </c>
      <c r="E887" t="inlineStr">
        <is>
          <t>NORRTÄLJE</t>
        </is>
      </c>
      <c r="G887" t="n">
        <v>3.6</v>
      </c>
      <c r="H887" t="n">
        <v>0</v>
      </c>
      <c r="I887" t="n">
        <v>0</v>
      </c>
      <c r="J887" t="n">
        <v>0</v>
      </c>
      <c r="K887" t="n">
        <v>0</v>
      </c>
      <c r="L887" t="n">
        <v>0</v>
      </c>
      <c r="M887" t="n">
        <v>0</v>
      </c>
      <c r="N887" t="n">
        <v>0</v>
      </c>
      <c r="O887" t="n">
        <v>0</v>
      </c>
      <c r="P887" t="n">
        <v>0</v>
      </c>
      <c r="Q887" t="n">
        <v>0</v>
      </c>
      <c r="R887" s="2" t="inlineStr"/>
    </row>
    <row r="888" ht="15" customHeight="1">
      <c r="A888" t="inlineStr">
        <is>
          <t>A 38449-2022</t>
        </is>
      </c>
      <c r="B888" s="1" t="n">
        <v>44813</v>
      </c>
      <c r="C888" s="1" t="n">
        <v>45925</v>
      </c>
      <c r="D888" t="inlineStr">
        <is>
          <t>STOCKHOLMS LÄN</t>
        </is>
      </c>
      <c r="E888" t="inlineStr">
        <is>
          <t>NORRTÄLJE</t>
        </is>
      </c>
      <c r="G888" t="n">
        <v>4.2</v>
      </c>
      <c r="H888" t="n">
        <v>0</v>
      </c>
      <c r="I888" t="n">
        <v>0</v>
      </c>
      <c r="J888" t="n">
        <v>0</v>
      </c>
      <c r="K888" t="n">
        <v>0</v>
      </c>
      <c r="L888" t="n">
        <v>0</v>
      </c>
      <c r="M888" t="n">
        <v>0</v>
      </c>
      <c r="N888" t="n">
        <v>0</v>
      </c>
      <c r="O888" t="n">
        <v>0</v>
      </c>
      <c r="P888" t="n">
        <v>0</v>
      </c>
      <c r="Q888" t="n">
        <v>0</v>
      </c>
      <c r="R888" s="2" t="inlineStr"/>
    </row>
    <row r="889" ht="15" customHeight="1">
      <c r="A889" t="inlineStr">
        <is>
          <t>A 25697-2025</t>
        </is>
      </c>
      <c r="B889" s="1" t="n">
        <v>45803.66587962963</v>
      </c>
      <c r="C889" s="1" t="n">
        <v>45925</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47259-2024</t>
        </is>
      </c>
      <c r="B890" s="1" t="n">
        <v>45586</v>
      </c>
      <c r="C890" s="1" t="n">
        <v>45925</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34773-2022</t>
        </is>
      </c>
      <c r="B891" s="1" t="n">
        <v>44795</v>
      </c>
      <c r="C891" s="1" t="n">
        <v>45925</v>
      </c>
      <c r="D891" t="inlineStr">
        <is>
          <t>STOCKHOLMS LÄN</t>
        </is>
      </c>
      <c r="E891" t="inlineStr">
        <is>
          <t>NORRTÄLJE</t>
        </is>
      </c>
      <c r="G891" t="n">
        <v>3.9</v>
      </c>
      <c r="H891" t="n">
        <v>0</v>
      </c>
      <c r="I891" t="n">
        <v>0</v>
      </c>
      <c r="J891" t="n">
        <v>0</v>
      </c>
      <c r="K891" t="n">
        <v>0</v>
      </c>
      <c r="L891" t="n">
        <v>0</v>
      </c>
      <c r="M891" t="n">
        <v>0</v>
      </c>
      <c r="N891" t="n">
        <v>0</v>
      </c>
      <c r="O891" t="n">
        <v>0</v>
      </c>
      <c r="P891" t="n">
        <v>0</v>
      </c>
      <c r="Q891" t="n">
        <v>0</v>
      </c>
      <c r="R891" s="2" t="inlineStr"/>
    </row>
    <row r="892" ht="15" customHeight="1">
      <c r="A892" t="inlineStr">
        <is>
          <t>A 23263-2023</t>
        </is>
      </c>
      <c r="B892" s="1" t="n">
        <v>45075</v>
      </c>
      <c r="C892" s="1" t="n">
        <v>45925</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23264-2023</t>
        </is>
      </c>
      <c r="B893" s="1" t="n">
        <v>45075</v>
      </c>
      <c r="C893" s="1" t="n">
        <v>45925</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23267-2023</t>
        </is>
      </c>
      <c r="B894" s="1" t="n">
        <v>45075.90934027778</v>
      </c>
      <c r="C894" s="1" t="n">
        <v>45925</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25654-2023</t>
        </is>
      </c>
      <c r="B895" s="1" t="n">
        <v>45089</v>
      </c>
      <c r="C895" s="1" t="n">
        <v>45925</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34478-2025</t>
        </is>
      </c>
      <c r="B896" s="1" t="n">
        <v>45847.37414351852</v>
      </c>
      <c r="C896" s="1" t="n">
        <v>45925</v>
      </c>
      <c r="D896" t="inlineStr">
        <is>
          <t>STOCKHOLMS LÄN</t>
        </is>
      </c>
      <c r="E896" t="inlineStr">
        <is>
          <t>NORRTÄLJE</t>
        </is>
      </c>
      <c r="F896" t="inlineStr">
        <is>
          <t>Övriga Aktiebolag</t>
        </is>
      </c>
      <c r="G896" t="n">
        <v>10.8</v>
      </c>
      <c r="H896" t="n">
        <v>0</v>
      </c>
      <c r="I896" t="n">
        <v>0</v>
      </c>
      <c r="J896" t="n">
        <v>0</v>
      </c>
      <c r="K896" t="n">
        <v>0</v>
      </c>
      <c r="L896" t="n">
        <v>0</v>
      </c>
      <c r="M896" t="n">
        <v>0</v>
      </c>
      <c r="N896" t="n">
        <v>0</v>
      </c>
      <c r="O896" t="n">
        <v>0</v>
      </c>
      <c r="P896" t="n">
        <v>0</v>
      </c>
      <c r="Q896" t="n">
        <v>0</v>
      </c>
      <c r="R896" s="2" t="inlineStr"/>
    </row>
    <row r="897" ht="15" customHeight="1">
      <c r="A897" t="inlineStr">
        <is>
          <t>A 47758-2023</t>
        </is>
      </c>
      <c r="B897" s="1" t="n">
        <v>45203.83891203703</v>
      </c>
      <c r="C897" s="1" t="n">
        <v>45925</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48151-2024</t>
        </is>
      </c>
      <c r="B898" s="1" t="n">
        <v>45589.68289351852</v>
      </c>
      <c r="C898" s="1" t="n">
        <v>45925</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26675-2025</t>
        </is>
      </c>
      <c r="B899" s="1" t="n">
        <v>45810.42393518519</v>
      </c>
      <c r="C899" s="1" t="n">
        <v>45925</v>
      </c>
      <c r="D899" t="inlineStr">
        <is>
          <t>STOCKHOLMS LÄN</t>
        </is>
      </c>
      <c r="E899" t="inlineStr">
        <is>
          <t>NORRTÄLJE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5831-2022</t>
        </is>
      </c>
      <c r="B900" s="1" t="n">
        <v>44596</v>
      </c>
      <c r="C900" s="1" t="n">
        <v>45925</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58853-2024</t>
        </is>
      </c>
      <c r="B901" s="1" t="n">
        <v>45636.38974537037</v>
      </c>
      <c r="C901" s="1" t="n">
        <v>45925</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59712-2024</t>
        </is>
      </c>
      <c r="B902" s="1" t="n">
        <v>45639.45166666667</v>
      </c>
      <c r="C902" s="1" t="n">
        <v>45925</v>
      </c>
      <c r="D902" t="inlineStr">
        <is>
          <t>STOCKHOLMS LÄN</t>
        </is>
      </c>
      <c r="E902" t="inlineStr">
        <is>
          <t>NORRTÄLJE</t>
        </is>
      </c>
      <c r="G902" t="n">
        <v>4.4</v>
      </c>
      <c r="H902" t="n">
        <v>0</v>
      </c>
      <c r="I902" t="n">
        <v>0</v>
      </c>
      <c r="J902" t="n">
        <v>0</v>
      </c>
      <c r="K902" t="n">
        <v>0</v>
      </c>
      <c r="L902" t="n">
        <v>0</v>
      </c>
      <c r="M902" t="n">
        <v>0</v>
      </c>
      <c r="N902" t="n">
        <v>0</v>
      </c>
      <c r="O902" t="n">
        <v>0</v>
      </c>
      <c r="P902" t="n">
        <v>0</v>
      </c>
      <c r="Q902" t="n">
        <v>0</v>
      </c>
      <c r="R902" s="2" t="inlineStr"/>
    </row>
    <row r="903" ht="15" customHeight="1">
      <c r="A903" t="inlineStr">
        <is>
          <t>A 23061-2025</t>
        </is>
      </c>
      <c r="B903" s="1" t="n">
        <v>45790.81410879629</v>
      </c>
      <c r="C903" s="1" t="n">
        <v>45925</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59721-2024</t>
        </is>
      </c>
      <c r="B904" s="1" t="n">
        <v>45639.47385416667</v>
      </c>
      <c r="C904" s="1" t="n">
        <v>45925</v>
      </c>
      <c r="D904" t="inlineStr">
        <is>
          <t>STOCKHOLMS LÄN</t>
        </is>
      </c>
      <c r="E904" t="inlineStr">
        <is>
          <t>NORRTÄLJE</t>
        </is>
      </c>
      <c r="G904" t="n">
        <v>4.6</v>
      </c>
      <c r="H904" t="n">
        <v>0</v>
      </c>
      <c r="I904" t="n">
        <v>0</v>
      </c>
      <c r="J904" t="n">
        <v>0</v>
      </c>
      <c r="K904" t="n">
        <v>0</v>
      </c>
      <c r="L904" t="n">
        <v>0</v>
      </c>
      <c r="M904" t="n">
        <v>0</v>
      </c>
      <c r="N904" t="n">
        <v>0</v>
      </c>
      <c r="O904" t="n">
        <v>0</v>
      </c>
      <c r="P904" t="n">
        <v>0</v>
      </c>
      <c r="Q904" t="n">
        <v>0</v>
      </c>
      <c r="R904" s="2" t="inlineStr"/>
    </row>
    <row r="905" ht="15" customHeight="1">
      <c r="A905" t="inlineStr">
        <is>
          <t>A 26747-2025</t>
        </is>
      </c>
      <c r="B905" s="1" t="n">
        <v>45810.5333912037</v>
      </c>
      <c r="C905" s="1" t="n">
        <v>45925</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60884-2024</t>
        </is>
      </c>
      <c r="B906" s="1" t="n">
        <v>45644.90815972222</v>
      </c>
      <c r="C906" s="1" t="n">
        <v>45925</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26702-2025</t>
        </is>
      </c>
      <c r="B907" s="1" t="n">
        <v>45810.45236111111</v>
      </c>
      <c r="C907" s="1" t="n">
        <v>45925</v>
      </c>
      <c r="D907" t="inlineStr">
        <is>
          <t>STOCKHOLMS LÄN</t>
        </is>
      </c>
      <c r="E907" t="inlineStr">
        <is>
          <t>NORRTÄLJE</t>
        </is>
      </c>
      <c r="G907" t="n">
        <v>7.3</v>
      </c>
      <c r="H907" t="n">
        <v>0</v>
      </c>
      <c r="I907" t="n">
        <v>0</v>
      </c>
      <c r="J907" t="n">
        <v>0</v>
      </c>
      <c r="K907" t="n">
        <v>0</v>
      </c>
      <c r="L907" t="n">
        <v>0</v>
      </c>
      <c r="M907" t="n">
        <v>0</v>
      </c>
      <c r="N907" t="n">
        <v>0</v>
      </c>
      <c r="O907" t="n">
        <v>0</v>
      </c>
      <c r="P907" t="n">
        <v>0</v>
      </c>
      <c r="Q907" t="n">
        <v>0</v>
      </c>
      <c r="R907" s="2" t="inlineStr"/>
    </row>
    <row r="908" ht="15" customHeight="1">
      <c r="A908" t="inlineStr">
        <is>
          <t>A 23150-2024</t>
        </is>
      </c>
      <c r="B908" s="1" t="n">
        <v>45450.64643518518</v>
      </c>
      <c r="C908" s="1" t="n">
        <v>45925</v>
      </c>
      <c r="D908" t="inlineStr">
        <is>
          <t>STOCKHOLMS LÄN</t>
        </is>
      </c>
      <c r="E908" t="inlineStr">
        <is>
          <t>NORRTÄLJE</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59878-2024</t>
        </is>
      </c>
      <c r="B909" s="1" t="n">
        <v>45640.60240740741</v>
      </c>
      <c r="C909" s="1" t="n">
        <v>45925</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50182-2024</t>
        </is>
      </c>
      <c r="B910" s="1" t="n">
        <v>45600.47275462963</v>
      </c>
      <c r="C910" s="1" t="n">
        <v>45925</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2549-2022</t>
        </is>
      </c>
      <c r="B911" s="1" t="n">
        <v>44580</v>
      </c>
      <c r="C911" s="1" t="n">
        <v>45925</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31140-2023</t>
        </is>
      </c>
      <c r="B912" s="1" t="n">
        <v>45113</v>
      </c>
      <c r="C912" s="1" t="n">
        <v>45925</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31149-2023</t>
        </is>
      </c>
      <c r="B913" s="1" t="n">
        <v>45113</v>
      </c>
      <c r="C913" s="1" t="n">
        <v>45925</v>
      </c>
      <c r="D913" t="inlineStr">
        <is>
          <t>STOCKHOLMS LÄN</t>
        </is>
      </c>
      <c r="E913" t="inlineStr">
        <is>
          <t>NORRTÄLJE</t>
        </is>
      </c>
      <c r="G913" t="n">
        <v>7.1</v>
      </c>
      <c r="H913" t="n">
        <v>0</v>
      </c>
      <c r="I913" t="n">
        <v>0</v>
      </c>
      <c r="J913" t="n">
        <v>0</v>
      </c>
      <c r="K913" t="n">
        <v>0</v>
      </c>
      <c r="L913" t="n">
        <v>0</v>
      </c>
      <c r="M913" t="n">
        <v>0</v>
      </c>
      <c r="N913" t="n">
        <v>0</v>
      </c>
      <c r="O913" t="n">
        <v>0</v>
      </c>
      <c r="P913" t="n">
        <v>0</v>
      </c>
      <c r="Q913" t="n">
        <v>0</v>
      </c>
      <c r="R913" s="2" t="inlineStr"/>
    </row>
    <row r="914" ht="15" customHeight="1">
      <c r="A914" t="inlineStr">
        <is>
          <t>A 16835-2022</t>
        </is>
      </c>
      <c r="B914" s="1" t="n">
        <v>44673</v>
      </c>
      <c r="C914" s="1" t="n">
        <v>45925</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26708-2025</t>
        </is>
      </c>
      <c r="B915" s="1" t="n">
        <v>45810.45633101852</v>
      </c>
      <c r="C915" s="1" t="n">
        <v>45925</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27040-2025</t>
        </is>
      </c>
      <c r="B916" s="1" t="n">
        <v>45811.60451388889</v>
      </c>
      <c r="C916" s="1" t="n">
        <v>45925</v>
      </c>
      <c r="D916" t="inlineStr">
        <is>
          <t>STOCKHOLMS LÄN</t>
        </is>
      </c>
      <c r="E916" t="inlineStr">
        <is>
          <t>NORRTÄLJE</t>
        </is>
      </c>
      <c r="G916" t="n">
        <v>4.3</v>
      </c>
      <c r="H916" t="n">
        <v>0</v>
      </c>
      <c r="I916" t="n">
        <v>0</v>
      </c>
      <c r="J916" t="n">
        <v>0</v>
      </c>
      <c r="K916" t="n">
        <v>0</v>
      </c>
      <c r="L916" t="n">
        <v>0</v>
      </c>
      <c r="M916" t="n">
        <v>0</v>
      </c>
      <c r="N916" t="n">
        <v>0</v>
      </c>
      <c r="O916" t="n">
        <v>0</v>
      </c>
      <c r="P916" t="n">
        <v>0</v>
      </c>
      <c r="Q916" t="n">
        <v>0</v>
      </c>
      <c r="R916" s="2" t="inlineStr"/>
    </row>
    <row r="917" ht="15" customHeight="1">
      <c r="A917" t="inlineStr">
        <is>
          <t>A 13701-2022</t>
        </is>
      </c>
      <c r="B917" s="1" t="n">
        <v>44648</v>
      </c>
      <c r="C917" s="1" t="n">
        <v>45925</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13089-2022</t>
        </is>
      </c>
      <c r="B918" s="1" t="n">
        <v>44643</v>
      </c>
      <c r="C918" s="1" t="n">
        <v>45925</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27677-2025</t>
        </is>
      </c>
      <c r="B919" s="1" t="n">
        <v>45813.63650462963</v>
      </c>
      <c r="C919" s="1" t="n">
        <v>45925</v>
      </c>
      <c r="D919" t="inlineStr">
        <is>
          <t>STOCKHOLMS LÄN</t>
        </is>
      </c>
      <c r="E919" t="inlineStr">
        <is>
          <t>NORRTÄLJE</t>
        </is>
      </c>
      <c r="G919" t="n">
        <v>2</v>
      </c>
      <c r="H919" t="n">
        <v>0</v>
      </c>
      <c r="I919" t="n">
        <v>0</v>
      </c>
      <c r="J919" t="n">
        <v>0</v>
      </c>
      <c r="K919" t="n">
        <v>0</v>
      </c>
      <c r="L919" t="n">
        <v>0</v>
      </c>
      <c r="M919" t="n">
        <v>0</v>
      </c>
      <c r="N919" t="n">
        <v>0</v>
      </c>
      <c r="O919" t="n">
        <v>0</v>
      </c>
      <c r="P919" t="n">
        <v>0</v>
      </c>
      <c r="Q919" t="n">
        <v>0</v>
      </c>
      <c r="R919" s="2" t="inlineStr"/>
    </row>
    <row r="920" ht="15" customHeight="1">
      <c r="A920" t="inlineStr">
        <is>
          <t>A 27697-2025</t>
        </is>
      </c>
      <c r="B920" s="1" t="n">
        <v>45813.66961805556</v>
      </c>
      <c r="C920" s="1" t="n">
        <v>45925</v>
      </c>
      <c r="D920" t="inlineStr">
        <is>
          <t>STOCKHOLMS LÄN</t>
        </is>
      </c>
      <c r="E920" t="inlineStr">
        <is>
          <t>NORRTÄLJE</t>
        </is>
      </c>
      <c r="G920" t="n">
        <v>6.2</v>
      </c>
      <c r="H920" t="n">
        <v>0</v>
      </c>
      <c r="I920" t="n">
        <v>0</v>
      </c>
      <c r="J920" t="n">
        <v>0</v>
      </c>
      <c r="K920" t="n">
        <v>0</v>
      </c>
      <c r="L920" t="n">
        <v>0</v>
      </c>
      <c r="M920" t="n">
        <v>0</v>
      </c>
      <c r="N920" t="n">
        <v>0</v>
      </c>
      <c r="O920" t="n">
        <v>0</v>
      </c>
      <c r="P920" t="n">
        <v>0</v>
      </c>
      <c r="Q920" t="n">
        <v>0</v>
      </c>
      <c r="R920" s="2" t="inlineStr"/>
    </row>
    <row r="921" ht="15" customHeight="1">
      <c r="A921" t="inlineStr">
        <is>
          <t>A 27700-2025</t>
        </is>
      </c>
      <c r="B921" s="1" t="n">
        <v>45813.6799537037</v>
      </c>
      <c r="C921" s="1" t="n">
        <v>45925</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27554-2025</t>
        </is>
      </c>
      <c r="B922" s="1" t="n">
        <v>45813.4709375</v>
      </c>
      <c r="C922" s="1" t="n">
        <v>45925</v>
      </c>
      <c r="D922" t="inlineStr">
        <is>
          <t>STOCKHOLMS LÄN</t>
        </is>
      </c>
      <c r="E922" t="inlineStr">
        <is>
          <t>NORRTÄLJE</t>
        </is>
      </c>
      <c r="F922" t="inlineStr">
        <is>
          <t>Övriga Aktiebolag</t>
        </is>
      </c>
      <c r="G922" t="n">
        <v>2.5</v>
      </c>
      <c r="H922" t="n">
        <v>0</v>
      </c>
      <c r="I922" t="n">
        <v>0</v>
      </c>
      <c r="J922" t="n">
        <v>0</v>
      </c>
      <c r="K922" t="n">
        <v>0</v>
      </c>
      <c r="L922" t="n">
        <v>0</v>
      </c>
      <c r="M922" t="n">
        <v>0</v>
      </c>
      <c r="N922" t="n">
        <v>0</v>
      </c>
      <c r="O922" t="n">
        <v>0</v>
      </c>
      <c r="P922" t="n">
        <v>0</v>
      </c>
      <c r="Q922" t="n">
        <v>0</v>
      </c>
      <c r="R922" s="2" t="inlineStr"/>
    </row>
    <row r="923" ht="15" customHeight="1">
      <c r="A923" t="inlineStr">
        <is>
          <t>A 38759-2022</t>
        </is>
      </c>
      <c r="B923" s="1" t="n">
        <v>44816</v>
      </c>
      <c r="C923" s="1" t="n">
        <v>45925</v>
      </c>
      <c r="D923" t="inlineStr">
        <is>
          <t>STOCKHOLMS LÄN</t>
        </is>
      </c>
      <c r="E923" t="inlineStr">
        <is>
          <t>NORRTÄLJE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23998-2024</t>
        </is>
      </c>
      <c r="B924" s="1" t="n">
        <v>45456</v>
      </c>
      <c r="C924" s="1" t="n">
        <v>45925</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54504-2024</t>
        </is>
      </c>
      <c r="B925" s="1" t="n">
        <v>45617.58453703704</v>
      </c>
      <c r="C925" s="1" t="n">
        <v>45925</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11901-2024</t>
        </is>
      </c>
      <c r="B926" s="1" t="n">
        <v>45376.55638888889</v>
      </c>
      <c r="C926" s="1" t="n">
        <v>45925</v>
      </c>
      <c r="D926" t="inlineStr">
        <is>
          <t>STOCKHOLMS LÄN</t>
        </is>
      </c>
      <c r="E926" t="inlineStr">
        <is>
          <t>NORRTÄLJE</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32595-2023</t>
        </is>
      </c>
      <c r="B927" s="1" t="n">
        <v>45121</v>
      </c>
      <c r="C927" s="1" t="n">
        <v>45925</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11332-2025</t>
        </is>
      </c>
      <c r="B928" s="1" t="n">
        <v>45726.48152777777</v>
      </c>
      <c r="C928" s="1" t="n">
        <v>45925</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27802-2025</t>
        </is>
      </c>
      <c r="B929" s="1" t="n">
        <v>45817.2565625</v>
      </c>
      <c r="C929" s="1" t="n">
        <v>45925</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27806-2025</t>
        </is>
      </c>
      <c r="B930" s="1" t="n">
        <v>45817.30329861111</v>
      </c>
      <c r="C930" s="1" t="n">
        <v>45925</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27808-2025</t>
        </is>
      </c>
      <c r="B931" s="1" t="n">
        <v>45817.31085648148</v>
      </c>
      <c r="C931" s="1" t="n">
        <v>45925</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27810-2025</t>
        </is>
      </c>
      <c r="B932" s="1" t="n">
        <v>45817.31708333334</v>
      </c>
      <c r="C932" s="1" t="n">
        <v>45925</v>
      </c>
      <c r="D932" t="inlineStr">
        <is>
          <t>STOCKHOLMS LÄN</t>
        </is>
      </c>
      <c r="E932" t="inlineStr">
        <is>
          <t>NORRTÄLJE</t>
        </is>
      </c>
      <c r="G932" t="n">
        <v>3.9</v>
      </c>
      <c r="H932" t="n">
        <v>0</v>
      </c>
      <c r="I932" t="n">
        <v>0</v>
      </c>
      <c r="J932" t="n">
        <v>0</v>
      </c>
      <c r="K932" t="n">
        <v>0</v>
      </c>
      <c r="L932" t="n">
        <v>0</v>
      </c>
      <c r="M932" t="n">
        <v>0</v>
      </c>
      <c r="N932" t="n">
        <v>0</v>
      </c>
      <c r="O932" t="n">
        <v>0</v>
      </c>
      <c r="P932" t="n">
        <v>0</v>
      </c>
      <c r="Q932" t="n">
        <v>0</v>
      </c>
      <c r="R932" s="2" t="inlineStr"/>
    </row>
    <row r="933" ht="15" customHeight="1">
      <c r="A933" t="inlineStr">
        <is>
          <t>A 27811-2025</t>
        </is>
      </c>
      <c r="B933" s="1" t="n">
        <v>45817.31986111111</v>
      </c>
      <c r="C933" s="1" t="n">
        <v>45925</v>
      </c>
      <c r="D933" t="inlineStr">
        <is>
          <t>STOCKHOLMS LÄN</t>
        </is>
      </c>
      <c r="E933" t="inlineStr">
        <is>
          <t>NORRTÄLJE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27818-2025</t>
        </is>
      </c>
      <c r="B934" s="1" t="n">
        <v>45817.33503472222</v>
      </c>
      <c r="C934" s="1" t="n">
        <v>45925</v>
      </c>
      <c r="D934" t="inlineStr">
        <is>
          <t>STOCKHOLMS LÄN</t>
        </is>
      </c>
      <c r="E934" t="inlineStr">
        <is>
          <t>NORRTÄLJE</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15528-2025</t>
        </is>
      </c>
      <c r="B935" s="1" t="n">
        <v>45747.63471064815</v>
      </c>
      <c r="C935" s="1" t="n">
        <v>45925</v>
      </c>
      <c r="D935" t="inlineStr">
        <is>
          <t>STOCKHOLMS LÄN</t>
        </is>
      </c>
      <c r="E935" t="inlineStr">
        <is>
          <t>NORRTÄLJE</t>
        </is>
      </c>
      <c r="G935" t="n">
        <v>10</v>
      </c>
      <c r="H935" t="n">
        <v>0</v>
      </c>
      <c r="I935" t="n">
        <v>0</v>
      </c>
      <c r="J935" t="n">
        <v>0</v>
      </c>
      <c r="K935" t="n">
        <v>0</v>
      </c>
      <c r="L935" t="n">
        <v>0</v>
      </c>
      <c r="M935" t="n">
        <v>0</v>
      </c>
      <c r="N935" t="n">
        <v>0</v>
      </c>
      <c r="O935" t="n">
        <v>0</v>
      </c>
      <c r="P935" t="n">
        <v>0</v>
      </c>
      <c r="Q935" t="n">
        <v>0</v>
      </c>
      <c r="R935" s="2" t="inlineStr"/>
    </row>
    <row r="936" ht="15" customHeight="1">
      <c r="A936" t="inlineStr">
        <is>
          <t>A 27803-2025</t>
        </is>
      </c>
      <c r="B936" s="1" t="n">
        <v>45817.291875</v>
      </c>
      <c r="C936" s="1" t="n">
        <v>45925</v>
      </c>
      <c r="D936" t="inlineStr">
        <is>
          <t>STOCKHOLMS LÄN</t>
        </is>
      </c>
      <c r="E936" t="inlineStr">
        <is>
          <t>NORRTÄLJE</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27813-2025</t>
        </is>
      </c>
      <c r="B937" s="1" t="n">
        <v>45817.32538194444</v>
      </c>
      <c r="C937" s="1" t="n">
        <v>45925</v>
      </c>
      <c r="D937" t="inlineStr">
        <is>
          <t>STOCKHOLMS LÄN</t>
        </is>
      </c>
      <c r="E937" t="inlineStr">
        <is>
          <t>NORRTÄLJE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13718-2022</t>
        </is>
      </c>
      <c r="B938" s="1" t="n">
        <v>44649</v>
      </c>
      <c r="C938" s="1" t="n">
        <v>45925</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61363-2020</t>
        </is>
      </c>
      <c r="B939" s="1" t="n">
        <v>44155.69458333333</v>
      </c>
      <c r="C939" s="1" t="n">
        <v>45925</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27801-2025</t>
        </is>
      </c>
      <c r="B940" s="1" t="n">
        <v>45817.25471064815</v>
      </c>
      <c r="C940" s="1" t="n">
        <v>45925</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27821-2025</t>
        </is>
      </c>
      <c r="B941" s="1" t="n">
        <v>45817.34083333334</v>
      </c>
      <c r="C941" s="1" t="n">
        <v>45925</v>
      </c>
      <c r="D941" t="inlineStr">
        <is>
          <t>STOCKHOLMS LÄN</t>
        </is>
      </c>
      <c r="E941" t="inlineStr">
        <is>
          <t>NORRTÄLJE</t>
        </is>
      </c>
      <c r="G941" t="n">
        <v>3.2</v>
      </c>
      <c r="H941" t="n">
        <v>0</v>
      </c>
      <c r="I941" t="n">
        <v>0</v>
      </c>
      <c r="J941" t="n">
        <v>0</v>
      </c>
      <c r="K941" t="n">
        <v>0</v>
      </c>
      <c r="L941" t="n">
        <v>0</v>
      </c>
      <c r="M941" t="n">
        <v>0</v>
      </c>
      <c r="N941" t="n">
        <v>0</v>
      </c>
      <c r="O941" t="n">
        <v>0</v>
      </c>
      <c r="P941" t="n">
        <v>0</v>
      </c>
      <c r="Q941" t="n">
        <v>0</v>
      </c>
      <c r="R941" s="2" t="inlineStr"/>
    </row>
    <row r="942" ht="15" customHeight="1">
      <c r="A942" t="inlineStr">
        <is>
          <t>A 54259-2023</t>
        </is>
      </c>
      <c r="B942" s="1" t="n">
        <v>45232</v>
      </c>
      <c r="C942" s="1" t="n">
        <v>45925</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13171-2025</t>
        </is>
      </c>
      <c r="B943" s="1" t="n">
        <v>45735.36594907408</v>
      </c>
      <c r="C943" s="1" t="n">
        <v>45925</v>
      </c>
      <c r="D943" t="inlineStr">
        <is>
          <t>STOCKHOLMS LÄN</t>
        </is>
      </c>
      <c r="E943" t="inlineStr">
        <is>
          <t>NORRTÄLJE</t>
        </is>
      </c>
      <c r="G943" t="n">
        <v>5.1</v>
      </c>
      <c r="H943" t="n">
        <v>0</v>
      </c>
      <c r="I943" t="n">
        <v>0</v>
      </c>
      <c r="J943" t="n">
        <v>0</v>
      </c>
      <c r="K943" t="n">
        <v>0</v>
      </c>
      <c r="L943" t="n">
        <v>0</v>
      </c>
      <c r="M943" t="n">
        <v>0</v>
      </c>
      <c r="N943" t="n">
        <v>0</v>
      </c>
      <c r="O943" t="n">
        <v>0</v>
      </c>
      <c r="P943" t="n">
        <v>0</v>
      </c>
      <c r="Q943" t="n">
        <v>0</v>
      </c>
      <c r="R943" s="2" t="inlineStr"/>
    </row>
    <row r="944" ht="15" customHeight="1">
      <c r="A944" t="inlineStr">
        <is>
          <t>A 12299-2025</t>
        </is>
      </c>
      <c r="B944" s="1" t="n">
        <v>45729.71065972222</v>
      </c>
      <c r="C944" s="1" t="n">
        <v>45925</v>
      </c>
      <c r="D944" t="inlineStr">
        <is>
          <t>STOCKHOLMS LÄN</t>
        </is>
      </c>
      <c r="E944" t="inlineStr">
        <is>
          <t>NORRTÄLJE</t>
        </is>
      </c>
      <c r="F944" t="inlineStr">
        <is>
          <t>Holmen skog AB</t>
        </is>
      </c>
      <c r="G944" t="n">
        <v>6.9</v>
      </c>
      <c r="H944" t="n">
        <v>0</v>
      </c>
      <c r="I944" t="n">
        <v>0</v>
      </c>
      <c r="J944" t="n">
        <v>0</v>
      </c>
      <c r="K944" t="n">
        <v>0</v>
      </c>
      <c r="L944" t="n">
        <v>0</v>
      </c>
      <c r="M944" t="n">
        <v>0</v>
      </c>
      <c r="N944" t="n">
        <v>0</v>
      </c>
      <c r="O944" t="n">
        <v>0</v>
      </c>
      <c r="P944" t="n">
        <v>0</v>
      </c>
      <c r="Q944" t="n">
        <v>0</v>
      </c>
      <c r="R944" s="2" t="inlineStr"/>
    </row>
    <row r="945" ht="15" customHeight="1">
      <c r="A945" t="inlineStr">
        <is>
          <t>A 11900-2024</t>
        </is>
      </c>
      <c r="B945" s="1" t="n">
        <v>45376.55484953704</v>
      </c>
      <c r="C945" s="1" t="n">
        <v>45925</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44075-2023</t>
        </is>
      </c>
      <c r="B946" s="1" t="n">
        <v>45188.41637731482</v>
      </c>
      <c r="C946" s="1" t="n">
        <v>45925</v>
      </c>
      <c r="D946" t="inlineStr">
        <is>
          <t>STOCKHOLMS LÄN</t>
        </is>
      </c>
      <c r="E946" t="inlineStr">
        <is>
          <t>NORRTÄLJE</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43300-2023</t>
        </is>
      </c>
      <c r="B947" s="1" t="n">
        <v>45183</v>
      </c>
      <c r="C947" s="1" t="n">
        <v>45925</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13276-2022</t>
        </is>
      </c>
      <c r="B948" s="1" t="n">
        <v>44644</v>
      </c>
      <c r="C948" s="1" t="n">
        <v>45925</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29250-2025</t>
        </is>
      </c>
      <c r="B949" s="1" t="n">
        <v>45824.37275462963</v>
      </c>
      <c r="C949" s="1" t="n">
        <v>45925</v>
      </c>
      <c r="D949" t="inlineStr">
        <is>
          <t>STOCKHOLMS LÄN</t>
        </is>
      </c>
      <c r="E949" t="inlineStr">
        <is>
          <t>NORRTÄLJE</t>
        </is>
      </c>
      <c r="F949" t="inlineStr">
        <is>
          <t>Sveaskog</t>
        </is>
      </c>
      <c r="G949" t="n">
        <v>6.4</v>
      </c>
      <c r="H949" t="n">
        <v>0</v>
      </c>
      <c r="I949" t="n">
        <v>0</v>
      </c>
      <c r="J949" t="n">
        <v>0</v>
      </c>
      <c r="K949" t="n">
        <v>0</v>
      </c>
      <c r="L949" t="n">
        <v>0</v>
      </c>
      <c r="M949" t="n">
        <v>0</v>
      </c>
      <c r="N949" t="n">
        <v>0</v>
      </c>
      <c r="O949" t="n">
        <v>0</v>
      </c>
      <c r="P949" t="n">
        <v>0</v>
      </c>
      <c r="Q949" t="n">
        <v>0</v>
      </c>
      <c r="R949" s="2" t="inlineStr"/>
    </row>
    <row r="950" ht="15" customHeight="1">
      <c r="A950" t="inlineStr">
        <is>
          <t>A 11900-2022</t>
        </is>
      </c>
      <c r="B950" s="1" t="n">
        <v>44635</v>
      </c>
      <c r="C950" s="1" t="n">
        <v>45925</v>
      </c>
      <c r="D950" t="inlineStr">
        <is>
          <t>STOCKHOLMS LÄN</t>
        </is>
      </c>
      <c r="E950" t="inlineStr">
        <is>
          <t>NORRTÄLJE</t>
        </is>
      </c>
      <c r="G950" t="n">
        <v>2.4</v>
      </c>
      <c r="H950" t="n">
        <v>0</v>
      </c>
      <c r="I950" t="n">
        <v>0</v>
      </c>
      <c r="J950" t="n">
        <v>0</v>
      </c>
      <c r="K950" t="n">
        <v>0</v>
      </c>
      <c r="L950" t="n">
        <v>0</v>
      </c>
      <c r="M950" t="n">
        <v>0</v>
      </c>
      <c r="N950" t="n">
        <v>0</v>
      </c>
      <c r="O950" t="n">
        <v>0</v>
      </c>
      <c r="P950" t="n">
        <v>0</v>
      </c>
      <c r="Q950" t="n">
        <v>0</v>
      </c>
      <c r="R950" s="2" t="inlineStr"/>
    </row>
    <row r="951" ht="15" customHeight="1">
      <c r="A951" t="inlineStr">
        <is>
          <t>A 14724-2022</t>
        </is>
      </c>
      <c r="B951" s="1" t="n">
        <v>44656</v>
      </c>
      <c r="C951" s="1" t="n">
        <v>45925</v>
      </c>
      <c r="D951" t="inlineStr">
        <is>
          <t>STOCKHOLMS LÄN</t>
        </is>
      </c>
      <c r="E951" t="inlineStr">
        <is>
          <t>NORRTÄLJE</t>
        </is>
      </c>
      <c r="F951" t="inlineStr">
        <is>
          <t>Sveaskog</t>
        </is>
      </c>
      <c r="G951" t="n">
        <v>9</v>
      </c>
      <c r="H951" t="n">
        <v>0</v>
      </c>
      <c r="I951" t="n">
        <v>0</v>
      </c>
      <c r="J951" t="n">
        <v>0</v>
      </c>
      <c r="K951" t="n">
        <v>0</v>
      </c>
      <c r="L951" t="n">
        <v>0</v>
      </c>
      <c r="M951" t="n">
        <v>0</v>
      </c>
      <c r="N951" t="n">
        <v>0</v>
      </c>
      <c r="O951" t="n">
        <v>0</v>
      </c>
      <c r="P951" t="n">
        <v>0</v>
      </c>
      <c r="Q951" t="n">
        <v>0</v>
      </c>
      <c r="R951" s="2" t="inlineStr"/>
    </row>
    <row r="952" ht="15" customHeight="1">
      <c r="A952" t="inlineStr">
        <is>
          <t>A 4580-2025</t>
        </is>
      </c>
      <c r="B952" s="1" t="n">
        <v>45687.5038425926</v>
      </c>
      <c r="C952" s="1" t="n">
        <v>45925</v>
      </c>
      <c r="D952" t="inlineStr">
        <is>
          <t>STOCKHOLMS LÄN</t>
        </is>
      </c>
      <c r="E952" t="inlineStr">
        <is>
          <t>NORRTÄLJE</t>
        </is>
      </c>
      <c r="F952" t="inlineStr">
        <is>
          <t>Holmen skog AB</t>
        </is>
      </c>
      <c r="G952" t="n">
        <v>4.8</v>
      </c>
      <c r="H952" t="n">
        <v>0</v>
      </c>
      <c r="I952" t="n">
        <v>0</v>
      </c>
      <c r="J952" t="n">
        <v>0</v>
      </c>
      <c r="K952" t="n">
        <v>0</v>
      </c>
      <c r="L952" t="n">
        <v>0</v>
      </c>
      <c r="M952" t="n">
        <v>0</v>
      </c>
      <c r="N952" t="n">
        <v>0</v>
      </c>
      <c r="O952" t="n">
        <v>0</v>
      </c>
      <c r="P952" t="n">
        <v>0</v>
      </c>
      <c r="Q952" t="n">
        <v>0</v>
      </c>
      <c r="R952" s="2" t="inlineStr"/>
    </row>
    <row r="953" ht="15" customHeight="1">
      <c r="A953" t="inlineStr">
        <is>
          <t>A 16202-2022</t>
        </is>
      </c>
      <c r="B953" s="1" t="n">
        <v>44670</v>
      </c>
      <c r="C953" s="1" t="n">
        <v>45925</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6003-2025</t>
        </is>
      </c>
      <c r="B954" s="1" t="n">
        <v>45695.57881944445</v>
      </c>
      <c r="C954" s="1" t="n">
        <v>45925</v>
      </c>
      <c r="D954" t="inlineStr">
        <is>
          <t>STOCKHOLMS LÄN</t>
        </is>
      </c>
      <c r="E954" t="inlineStr">
        <is>
          <t>NORRTÄLJE</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52321-2024</t>
        </is>
      </c>
      <c r="B955" s="1" t="n">
        <v>45608</v>
      </c>
      <c r="C955" s="1" t="n">
        <v>45925</v>
      </c>
      <c r="D955" t="inlineStr">
        <is>
          <t>STOCKHOLMS LÄN</t>
        </is>
      </c>
      <c r="E955" t="inlineStr">
        <is>
          <t>NORRTÄLJE</t>
        </is>
      </c>
      <c r="G955" t="n">
        <v>18.1</v>
      </c>
      <c r="H955" t="n">
        <v>0</v>
      </c>
      <c r="I955" t="n">
        <v>0</v>
      </c>
      <c r="J955" t="n">
        <v>0</v>
      </c>
      <c r="K955" t="n">
        <v>0</v>
      </c>
      <c r="L955" t="n">
        <v>0</v>
      </c>
      <c r="M955" t="n">
        <v>0</v>
      </c>
      <c r="N955" t="n">
        <v>0</v>
      </c>
      <c r="O955" t="n">
        <v>0</v>
      </c>
      <c r="P955" t="n">
        <v>0</v>
      </c>
      <c r="Q955" t="n">
        <v>0</v>
      </c>
      <c r="R955" s="2" t="inlineStr"/>
    </row>
    <row r="956" ht="15" customHeight="1">
      <c r="A956" t="inlineStr">
        <is>
          <t>A 54558-2024</t>
        </is>
      </c>
      <c r="B956" s="1" t="n">
        <v>45617.62358796296</v>
      </c>
      <c r="C956" s="1" t="n">
        <v>45925</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22157-2023</t>
        </is>
      </c>
      <c r="B957" s="1" t="n">
        <v>45069</v>
      </c>
      <c r="C957" s="1" t="n">
        <v>45925</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c r="U957">
        <f>HYPERLINK("https://klasma.github.io/Logging_0188/knärot/A 22157-2023 karta knärot.png", "A 22157-2023")</f>
        <v/>
      </c>
      <c r="V957">
        <f>HYPERLINK("https://klasma.github.io/Logging_0188/klagomål/A 22157-2023 FSC-klagomål.docx", "A 22157-2023")</f>
        <v/>
      </c>
      <c r="W957">
        <f>HYPERLINK("https://klasma.github.io/Logging_0188/klagomålsmail/A 22157-2023 FSC-klagomål mail.docx", "A 22157-2023")</f>
        <v/>
      </c>
      <c r="X957">
        <f>HYPERLINK("https://klasma.github.io/Logging_0188/tillsyn/A 22157-2023 tillsynsbegäran.docx", "A 22157-2023")</f>
        <v/>
      </c>
      <c r="Y957">
        <f>HYPERLINK("https://klasma.github.io/Logging_0188/tillsynsmail/A 22157-2023 tillsynsbegäran mail.docx", "A 22157-2023")</f>
        <v/>
      </c>
    </row>
    <row r="958" ht="15" customHeight="1">
      <c r="A958" t="inlineStr">
        <is>
          <t>A 48633-2023</t>
        </is>
      </c>
      <c r="B958" s="1" t="n">
        <v>45208.58004629629</v>
      </c>
      <c r="C958" s="1" t="n">
        <v>45925</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19057-2024</t>
        </is>
      </c>
      <c r="B959" s="1" t="n">
        <v>45427.88731481481</v>
      </c>
      <c r="C959" s="1" t="n">
        <v>45925</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47419-2023</t>
        </is>
      </c>
      <c r="B960" s="1" t="n">
        <v>45202.65660879629</v>
      </c>
      <c r="C960" s="1" t="n">
        <v>45925</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652-2025</t>
        </is>
      </c>
      <c r="B961" s="1" t="n">
        <v>45664</v>
      </c>
      <c r="C961" s="1" t="n">
        <v>45925</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10653-2022</t>
        </is>
      </c>
      <c r="B962" s="1" t="n">
        <v>44624.59434027778</v>
      </c>
      <c r="C962" s="1" t="n">
        <v>45925</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35695-2023</t>
        </is>
      </c>
      <c r="B963" s="1" t="n">
        <v>45147.65407407407</v>
      </c>
      <c r="C963" s="1" t="n">
        <v>45925</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18665-2022</t>
        </is>
      </c>
      <c r="B964" s="1" t="n">
        <v>44687</v>
      </c>
      <c r="C964" s="1" t="n">
        <v>45925</v>
      </c>
      <c r="D964" t="inlineStr">
        <is>
          <t>STOCKHOLMS LÄN</t>
        </is>
      </c>
      <c r="E964" t="inlineStr">
        <is>
          <t>NORRTÄLJE</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17574-2025</t>
        </is>
      </c>
      <c r="B965" s="1" t="n">
        <v>45757.65178240741</v>
      </c>
      <c r="C965" s="1" t="n">
        <v>45925</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20370-2025</t>
        </is>
      </c>
      <c r="B966" s="1" t="n">
        <v>45775.41451388889</v>
      </c>
      <c r="C966" s="1" t="n">
        <v>45925</v>
      </c>
      <c r="D966" t="inlineStr">
        <is>
          <t>STOCKHOLMS LÄN</t>
        </is>
      </c>
      <c r="E966" t="inlineStr">
        <is>
          <t>NORRTÄLJE</t>
        </is>
      </c>
      <c r="G966" t="n">
        <v>2.9</v>
      </c>
      <c r="H966" t="n">
        <v>0</v>
      </c>
      <c r="I966" t="n">
        <v>0</v>
      </c>
      <c r="J966" t="n">
        <v>0</v>
      </c>
      <c r="K966" t="n">
        <v>0</v>
      </c>
      <c r="L966" t="n">
        <v>0</v>
      </c>
      <c r="M966" t="n">
        <v>0</v>
      </c>
      <c r="N966" t="n">
        <v>0</v>
      </c>
      <c r="O966" t="n">
        <v>0</v>
      </c>
      <c r="P966" t="n">
        <v>0</v>
      </c>
      <c r="Q966" t="n">
        <v>0</v>
      </c>
      <c r="R966" s="2" t="inlineStr"/>
    </row>
    <row r="967" ht="15" customHeight="1">
      <c r="A967" t="inlineStr">
        <is>
          <t>A 19982-2022</t>
        </is>
      </c>
      <c r="B967" s="1" t="n">
        <v>44697</v>
      </c>
      <c r="C967" s="1" t="n">
        <v>45925</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30668-2025</t>
        </is>
      </c>
      <c r="B968" s="1" t="n">
        <v>45831.51659722222</v>
      </c>
      <c r="C968" s="1" t="n">
        <v>45925</v>
      </c>
      <c r="D968" t="inlineStr">
        <is>
          <t>STOCKHOLMS LÄN</t>
        </is>
      </c>
      <c r="E968" t="inlineStr">
        <is>
          <t>NORRTÄLJE</t>
        </is>
      </c>
      <c r="G968" t="n">
        <v>4.9</v>
      </c>
      <c r="H968" t="n">
        <v>0</v>
      </c>
      <c r="I968" t="n">
        <v>0</v>
      </c>
      <c r="J968" t="n">
        <v>0</v>
      </c>
      <c r="K968" t="n">
        <v>0</v>
      </c>
      <c r="L968" t="n">
        <v>0</v>
      </c>
      <c r="M968" t="n">
        <v>0</v>
      </c>
      <c r="N968" t="n">
        <v>0</v>
      </c>
      <c r="O968" t="n">
        <v>0</v>
      </c>
      <c r="P968" t="n">
        <v>0</v>
      </c>
      <c r="Q968" t="n">
        <v>0</v>
      </c>
      <c r="R968" s="2" t="inlineStr"/>
    </row>
    <row r="969" ht="15" customHeight="1">
      <c r="A969" t="inlineStr">
        <is>
          <t>A 35438-2023</t>
        </is>
      </c>
      <c r="B969" s="1" t="n">
        <v>45146</v>
      </c>
      <c r="C969" s="1" t="n">
        <v>45925</v>
      </c>
      <c r="D969" t="inlineStr">
        <is>
          <t>STOCKHOLMS LÄN</t>
        </is>
      </c>
      <c r="E969" t="inlineStr">
        <is>
          <t>NORRTÄLJE</t>
        </is>
      </c>
      <c r="F969" t="inlineStr">
        <is>
          <t>Kommuner</t>
        </is>
      </c>
      <c r="G969" t="n">
        <v>1.9</v>
      </c>
      <c r="H969" t="n">
        <v>0</v>
      </c>
      <c r="I969" t="n">
        <v>0</v>
      </c>
      <c r="J969" t="n">
        <v>0</v>
      </c>
      <c r="K969" t="n">
        <v>0</v>
      </c>
      <c r="L969" t="n">
        <v>0</v>
      </c>
      <c r="M969" t="n">
        <v>0</v>
      </c>
      <c r="N969" t="n">
        <v>0</v>
      </c>
      <c r="O969" t="n">
        <v>0</v>
      </c>
      <c r="P969" t="n">
        <v>0</v>
      </c>
      <c r="Q969" t="n">
        <v>0</v>
      </c>
      <c r="R969" s="2" t="inlineStr"/>
    </row>
    <row r="970" ht="15" customHeight="1">
      <c r="A970" t="inlineStr">
        <is>
          <t>A 30799-2025</t>
        </is>
      </c>
      <c r="B970" s="1" t="n">
        <v>45831.65079861111</v>
      </c>
      <c r="C970" s="1" t="n">
        <v>45925</v>
      </c>
      <c r="D970" t="inlineStr">
        <is>
          <t>STOCKHOLMS LÄN</t>
        </is>
      </c>
      <c r="E970" t="inlineStr">
        <is>
          <t>NORRTÄLJE</t>
        </is>
      </c>
      <c r="F970" t="inlineStr">
        <is>
          <t>Holmen skog AB</t>
        </is>
      </c>
      <c r="G970" t="n">
        <v>7.9</v>
      </c>
      <c r="H970" t="n">
        <v>0</v>
      </c>
      <c r="I970" t="n">
        <v>0</v>
      </c>
      <c r="J970" t="n">
        <v>0</v>
      </c>
      <c r="K970" t="n">
        <v>0</v>
      </c>
      <c r="L970" t="n">
        <v>0</v>
      </c>
      <c r="M970" t="n">
        <v>0</v>
      </c>
      <c r="N970" t="n">
        <v>0</v>
      </c>
      <c r="O970" t="n">
        <v>0</v>
      </c>
      <c r="P970" t="n">
        <v>0</v>
      </c>
      <c r="Q970" t="n">
        <v>0</v>
      </c>
      <c r="R970" s="2" t="inlineStr"/>
    </row>
    <row r="971" ht="15" customHeight="1">
      <c r="A971" t="inlineStr">
        <is>
          <t>A 33878-2024</t>
        </is>
      </c>
      <c r="B971" s="1" t="n">
        <v>45522.44414351852</v>
      </c>
      <c r="C971" s="1" t="n">
        <v>45925</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4183-2025</t>
        </is>
      </c>
      <c r="B972" s="1" t="n">
        <v>45685.44592592592</v>
      </c>
      <c r="C972" s="1" t="n">
        <v>45925</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17556-2025</t>
        </is>
      </c>
      <c r="B973" s="1" t="n">
        <v>45757.62482638889</v>
      </c>
      <c r="C973" s="1" t="n">
        <v>45925</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30639-2025</t>
        </is>
      </c>
      <c r="B974" s="1" t="n">
        <v>45831.4844212963</v>
      </c>
      <c r="C974" s="1" t="n">
        <v>45925</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31170-2025</t>
        </is>
      </c>
      <c r="B975" s="1" t="n">
        <v>45832.66385416667</v>
      </c>
      <c r="C975" s="1" t="n">
        <v>45925</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30699-2025</t>
        </is>
      </c>
      <c r="B976" s="1" t="n">
        <v>45831.54618055555</v>
      </c>
      <c r="C976" s="1" t="n">
        <v>45925</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41335-2023</t>
        </is>
      </c>
      <c r="B977" s="1" t="n">
        <v>45174.68702546296</v>
      </c>
      <c r="C977" s="1" t="n">
        <v>45925</v>
      </c>
      <c r="D977" t="inlineStr">
        <is>
          <t>STOCKHOLMS LÄN</t>
        </is>
      </c>
      <c r="E977" t="inlineStr">
        <is>
          <t>NORRTÄLJE</t>
        </is>
      </c>
      <c r="F977" t="inlineStr">
        <is>
          <t>Holmen skog AB</t>
        </is>
      </c>
      <c r="G977" t="n">
        <v>4.4</v>
      </c>
      <c r="H977" t="n">
        <v>0</v>
      </c>
      <c r="I977" t="n">
        <v>0</v>
      </c>
      <c r="J977" t="n">
        <v>0</v>
      </c>
      <c r="K977" t="n">
        <v>0</v>
      </c>
      <c r="L977" t="n">
        <v>0</v>
      </c>
      <c r="M977" t="n">
        <v>0</v>
      </c>
      <c r="N977" t="n">
        <v>0</v>
      </c>
      <c r="O977" t="n">
        <v>0</v>
      </c>
      <c r="P977" t="n">
        <v>0</v>
      </c>
      <c r="Q977" t="n">
        <v>0</v>
      </c>
      <c r="R977" s="2" t="inlineStr"/>
    </row>
    <row r="978" ht="15" customHeight="1">
      <c r="A978" t="inlineStr">
        <is>
          <t>A 4484-2025</t>
        </is>
      </c>
      <c r="B978" s="1" t="n">
        <v>45686.65545138889</v>
      </c>
      <c r="C978" s="1" t="n">
        <v>45925</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10511-2025</t>
        </is>
      </c>
      <c r="B979" s="1" t="n">
        <v>45721.40780092592</v>
      </c>
      <c r="C979" s="1" t="n">
        <v>45925</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8419-2025</t>
        </is>
      </c>
      <c r="B980" s="1" t="n">
        <v>45709.40231481481</v>
      </c>
      <c r="C980" s="1" t="n">
        <v>45925</v>
      </c>
      <c r="D980" t="inlineStr">
        <is>
          <t>STOCKHOLMS LÄN</t>
        </is>
      </c>
      <c r="E980" t="inlineStr">
        <is>
          <t>NORRTÄLJE</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21480-2022</t>
        </is>
      </c>
      <c r="B981" s="1" t="n">
        <v>44704</v>
      </c>
      <c r="C981" s="1" t="n">
        <v>45925</v>
      </c>
      <c r="D981" t="inlineStr">
        <is>
          <t>STOCKHOLMS LÄN</t>
        </is>
      </c>
      <c r="E981" t="inlineStr">
        <is>
          <t>NORRTÄLJE</t>
        </is>
      </c>
      <c r="G981" t="n">
        <v>2.8</v>
      </c>
      <c r="H981" t="n">
        <v>0</v>
      </c>
      <c r="I981" t="n">
        <v>0</v>
      </c>
      <c r="J981" t="n">
        <v>0</v>
      </c>
      <c r="K981" t="n">
        <v>0</v>
      </c>
      <c r="L981" t="n">
        <v>0</v>
      </c>
      <c r="M981" t="n">
        <v>0</v>
      </c>
      <c r="N981" t="n">
        <v>0</v>
      </c>
      <c r="O981" t="n">
        <v>0</v>
      </c>
      <c r="P981" t="n">
        <v>0</v>
      </c>
      <c r="Q981" t="n">
        <v>0</v>
      </c>
      <c r="R981" s="2" t="inlineStr"/>
    </row>
    <row r="982" ht="15" customHeight="1">
      <c r="A982" t="inlineStr">
        <is>
          <t>A 31874-2025</t>
        </is>
      </c>
      <c r="B982" s="1" t="n">
        <v>45834</v>
      </c>
      <c r="C982" s="1" t="n">
        <v>45925</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31868-2025</t>
        </is>
      </c>
      <c r="B983" s="1" t="n">
        <v>45834.6447337963</v>
      </c>
      <c r="C983" s="1" t="n">
        <v>45925</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6413-2025</t>
        </is>
      </c>
      <c r="B984" s="1" t="n">
        <v>45699.46283564815</v>
      </c>
      <c r="C984" s="1" t="n">
        <v>45925</v>
      </c>
      <c r="D984" t="inlineStr">
        <is>
          <t>STOCKHOLMS LÄN</t>
        </is>
      </c>
      <c r="E984" t="inlineStr">
        <is>
          <t>NORRTÄLJE</t>
        </is>
      </c>
      <c r="G984" t="n">
        <v>3.6</v>
      </c>
      <c r="H984" t="n">
        <v>0</v>
      </c>
      <c r="I984" t="n">
        <v>0</v>
      </c>
      <c r="J984" t="n">
        <v>0</v>
      </c>
      <c r="K984" t="n">
        <v>0</v>
      </c>
      <c r="L984" t="n">
        <v>0</v>
      </c>
      <c r="M984" t="n">
        <v>0</v>
      </c>
      <c r="N984" t="n">
        <v>0</v>
      </c>
      <c r="O984" t="n">
        <v>0</v>
      </c>
      <c r="P984" t="n">
        <v>0</v>
      </c>
      <c r="Q984" t="n">
        <v>0</v>
      </c>
      <c r="R984" s="2" t="inlineStr"/>
    </row>
    <row r="985" ht="15" customHeight="1">
      <c r="A985" t="inlineStr">
        <is>
          <t>A 1654-2025</t>
        </is>
      </c>
      <c r="B985" s="1" t="n">
        <v>45670.65921296296</v>
      </c>
      <c r="C985" s="1" t="n">
        <v>45925</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31880-2025</t>
        </is>
      </c>
      <c r="B986" s="1" t="n">
        <v>45834.65538194445</v>
      </c>
      <c r="C986" s="1" t="n">
        <v>45925</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48686-2023</t>
        </is>
      </c>
      <c r="B987" s="1" t="n">
        <v>45208</v>
      </c>
      <c r="C987" s="1" t="n">
        <v>45925</v>
      </c>
      <c r="D987" t="inlineStr">
        <is>
          <t>STOCKHOLMS LÄN</t>
        </is>
      </c>
      <c r="E987" t="inlineStr">
        <is>
          <t>NORRTÄLJE</t>
        </is>
      </c>
      <c r="G987" t="n">
        <v>6</v>
      </c>
      <c r="H987" t="n">
        <v>0</v>
      </c>
      <c r="I987" t="n">
        <v>0</v>
      </c>
      <c r="J987" t="n">
        <v>0</v>
      </c>
      <c r="K987" t="n">
        <v>0</v>
      </c>
      <c r="L987" t="n">
        <v>0</v>
      </c>
      <c r="M987" t="n">
        <v>0</v>
      </c>
      <c r="N987" t="n">
        <v>0</v>
      </c>
      <c r="O987" t="n">
        <v>0</v>
      </c>
      <c r="P987" t="n">
        <v>0</v>
      </c>
      <c r="Q987" t="n">
        <v>0</v>
      </c>
      <c r="R987" s="2" t="inlineStr"/>
    </row>
    <row r="988" ht="15" customHeight="1">
      <c r="A988" t="inlineStr">
        <is>
          <t>A 48691-2023</t>
        </is>
      </c>
      <c r="B988" s="1" t="n">
        <v>45208</v>
      </c>
      <c r="C988" s="1" t="n">
        <v>45925</v>
      </c>
      <c r="D988" t="inlineStr">
        <is>
          <t>STOCKHOLMS LÄN</t>
        </is>
      </c>
      <c r="E988" t="inlineStr">
        <is>
          <t>NORRTÄLJE</t>
        </is>
      </c>
      <c r="G988" t="n">
        <v>5.8</v>
      </c>
      <c r="H988" t="n">
        <v>0</v>
      </c>
      <c r="I988" t="n">
        <v>0</v>
      </c>
      <c r="J988" t="n">
        <v>0</v>
      </c>
      <c r="K988" t="n">
        <v>0</v>
      </c>
      <c r="L988" t="n">
        <v>0</v>
      </c>
      <c r="M988" t="n">
        <v>0</v>
      </c>
      <c r="N988" t="n">
        <v>0</v>
      </c>
      <c r="O988" t="n">
        <v>0</v>
      </c>
      <c r="P988" t="n">
        <v>0</v>
      </c>
      <c r="Q988" t="n">
        <v>0</v>
      </c>
      <c r="R988" s="2" t="inlineStr"/>
    </row>
    <row r="989" ht="15" customHeight="1">
      <c r="A989" t="inlineStr">
        <is>
          <t>A 32283-2025</t>
        </is>
      </c>
      <c r="B989" s="1" t="n">
        <v>45835.68076388889</v>
      </c>
      <c r="C989" s="1" t="n">
        <v>45925</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55243-2023</t>
        </is>
      </c>
      <c r="B990" s="1" t="n">
        <v>45237</v>
      </c>
      <c r="C990" s="1" t="n">
        <v>45925</v>
      </c>
      <c r="D990" t="inlineStr">
        <is>
          <t>STOCKHOLMS LÄN</t>
        </is>
      </c>
      <c r="E990" t="inlineStr">
        <is>
          <t>NORRTÄLJE</t>
        </is>
      </c>
      <c r="G990" t="n">
        <v>6.5</v>
      </c>
      <c r="H990" t="n">
        <v>0</v>
      </c>
      <c r="I990" t="n">
        <v>0</v>
      </c>
      <c r="J990" t="n">
        <v>0</v>
      </c>
      <c r="K990" t="n">
        <v>0</v>
      </c>
      <c r="L990" t="n">
        <v>0</v>
      </c>
      <c r="M990" t="n">
        <v>0</v>
      </c>
      <c r="N990" t="n">
        <v>0</v>
      </c>
      <c r="O990" t="n">
        <v>0</v>
      </c>
      <c r="P990" t="n">
        <v>0</v>
      </c>
      <c r="Q990" t="n">
        <v>0</v>
      </c>
      <c r="R990" s="2" t="inlineStr"/>
    </row>
    <row r="991" ht="15" customHeight="1">
      <c r="A991" t="inlineStr">
        <is>
          <t>A 35210-2023</t>
        </is>
      </c>
      <c r="B991" s="1" t="n">
        <v>45145.63584490741</v>
      </c>
      <c r="C991" s="1" t="n">
        <v>45925</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32122-2025</t>
        </is>
      </c>
      <c r="B992" s="1" t="n">
        <v>45835.4928125</v>
      </c>
      <c r="C992" s="1" t="n">
        <v>45925</v>
      </c>
      <c r="D992" t="inlineStr">
        <is>
          <t>STOCKHOLMS LÄN</t>
        </is>
      </c>
      <c r="E992" t="inlineStr">
        <is>
          <t>NORRTÄLJE</t>
        </is>
      </c>
      <c r="F992" t="inlineStr">
        <is>
          <t>Holmen skog AB</t>
        </is>
      </c>
      <c r="G992" t="n">
        <v>1.9</v>
      </c>
      <c r="H992" t="n">
        <v>0</v>
      </c>
      <c r="I992" t="n">
        <v>0</v>
      </c>
      <c r="J992" t="n">
        <v>0</v>
      </c>
      <c r="K992" t="n">
        <v>0</v>
      </c>
      <c r="L992" t="n">
        <v>0</v>
      </c>
      <c r="M992" t="n">
        <v>0</v>
      </c>
      <c r="N992" t="n">
        <v>0</v>
      </c>
      <c r="O992" t="n">
        <v>0</v>
      </c>
      <c r="P992" t="n">
        <v>0</v>
      </c>
      <c r="Q992" t="n">
        <v>0</v>
      </c>
      <c r="R992" s="2" t="inlineStr"/>
    </row>
    <row r="993" ht="15" customHeight="1">
      <c r="A993" t="inlineStr">
        <is>
          <t>A 6678-2025</t>
        </is>
      </c>
      <c r="B993" s="1" t="n">
        <v>45700</v>
      </c>
      <c r="C993" s="1" t="n">
        <v>45925</v>
      </c>
      <c r="D993" t="inlineStr">
        <is>
          <t>STOCKHOLMS LÄN</t>
        </is>
      </c>
      <c r="E993" t="inlineStr">
        <is>
          <t>NORRTÄLJE</t>
        </is>
      </c>
      <c r="F993" t="inlineStr">
        <is>
          <t>Övriga Aktiebolag</t>
        </is>
      </c>
      <c r="G993" t="n">
        <v>6.6</v>
      </c>
      <c r="H993" t="n">
        <v>0</v>
      </c>
      <c r="I993" t="n">
        <v>0</v>
      </c>
      <c r="J993" t="n">
        <v>0</v>
      </c>
      <c r="K993" t="n">
        <v>0</v>
      </c>
      <c r="L993" t="n">
        <v>0</v>
      </c>
      <c r="M993" t="n">
        <v>0</v>
      </c>
      <c r="N993" t="n">
        <v>0</v>
      </c>
      <c r="O993" t="n">
        <v>0</v>
      </c>
      <c r="P993" t="n">
        <v>0</v>
      </c>
      <c r="Q993" t="n">
        <v>0</v>
      </c>
      <c r="R993" s="2" t="inlineStr"/>
    </row>
    <row r="994" ht="15" customHeight="1">
      <c r="A994" t="inlineStr">
        <is>
          <t>A 32094-2025</t>
        </is>
      </c>
      <c r="B994" s="1" t="n">
        <v>45835.46034722222</v>
      </c>
      <c r="C994" s="1" t="n">
        <v>45925</v>
      </c>
      <c r="D994" t="inlineStr">
        <is>
          <t>STOCKHOLMS LÄN</t>
        </is>
      </c>
      <c r="E994" t="inlineStr">
        <is>
          <t>NORRTÄLJE</t>
        </is>
      </c>
      <c r="F994" t="inlineStr">
        <is>
          <t>Holmen skog AB</t>
        </is>
      </c>
      <c r="G994" t="n">
        <v>2.9</v>
      </c>
      <c r="H994" t="n">
        <v>0</v>
      </c>
      <c r="I994" t="n">
        <v>0</v>
      </c>
      <c r="J994" t="n">
        <v>0</v>
      </c>
      <c r="K994" t="n">
        <v>0</v>
      </c>
      <c r="L994" t="n">
        <v>0</v>
      </c>
      <c r="M994" t="n">
        <v>0</v>
      </c>
      <c r="N994" t="n">
        <v>0</v>
      </c>
      <c r="O994" t="n">
        <v>0</v>
      </c>
      <c r="P994" t="n">
        <v>0</v>
      </c>
      <c r="Q994" t="n">
        <v>0</v>
      </c>
      <c r="R994" s="2" t="inlineStr"/>
    </row>
    <row r="995" ht="15" customHeight="1">
      <c r="A995" t="inlineStr">
        <is>
          <t>A 32016-2025</t>
        </is>
      </c>
      <c r="B995" s="1" t="n">
        <v>45835</v>
      </c>
      <c r="C995" s="1" t="n">
        <v>45925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32396-2025</t>
        </is>
      </c>
      <c r="B996" s="1" t="n">
        <v>45837</v>
      </c>
      <c r="C996" s="1" t="n">
        <v>45925</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32397-2025</t>
        </is>
      </c>
      <c r="B997" s="1" t="n">
        <v>45837.94081018519</v>
      </c>
      <c r="C997" s="1" t="n">
        <v>45925</v>
      </c>
      <c r="D997" t="inlineStr">
        <is>
          <t>STOCKHOLMS LÄN</t>
        </is>
      </c>
      <c r="E997" t="inlineStr">
        <is>
          <t>NORRTÄLJE</t>
        </is>
      </c>
      <c r="G997" t="n">
        <v>5.9</v>
      </c>
      <c r="H997" t="n">
        <v>0</v>
      </c>
      <c r="I997" t="n">
        <v>0</v>
      </c>
      <c r="J997" t="n">
        <v>0</v>
      </c>
      <c r="K997" t="n">
        <v>0</v>
      </c>
      <c r="L997" t="n">
        <v>0</v>
      </c>
      <c r="M997" t="n">
        <v>0</v>
      </c>
      <c r="N997" t="n">
        <v>0</v>
      </c>
      <c r="O997" t="n">
        <v>0</v>
      </c>
      <c r="P997" t="n">
        <v>0</v>
      </c>
      <c r="Q997" t="n">
        <v>0</v>
      </c>
      <c r="R997" s="2" t="inlineStr"/>
    </row>
    <row r="998" ht="15" customHeight="1">
      <c r="A998" t="inlineStr">
        <is>
          <t>A 17612-2022</t>
        </is>
      </c>
      <c r="B998" s="1" t="n">
        <v>44680</v>
      </c>
      <c r="C998" s="1" t="n">
        <v>45925</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32480-2025</t>
        </is>
      </c>
      <c r="B999" s="1" t="n">
        <v>45838.43261574074</v>
      </c>
      <c r="C999" s="1" t="n">
        <v>45925</v>
      </c>
      <c r="D999" t="inlineStr">
        <is>
          <t>STOCKHOLMS LÄN</t>
        </is>
      </c>
      <c r="E999" t="inlineStr">
        <is>
          <t>NORRTÄLJE</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32395-2025</t>
        </is>
      </c>
      <c r="B1000" s="1" t="n">
        <v>45837.93730324074</v>
      </c>
      <c r="C1000" s="1" t="n">
        <v>45925</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33211-2025</t>
        </is>
      </c>
      <c r="B1001" s="1" t="n">
        <v>45840.62755787037</v>
      </c>
      <c r="C1001" s="1" t="n">
        <v>45925</v>
      </c>
      <c r="D1001" t="inlineStr">
        <is>
          <t>STOCKHOLMS LÄN</t>
        </is>
      </c>
      <c r="E1001" t="inlineStr">
        <is>
          <t>NORRTÄLJE</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58297-2023</t>
        </is>
      </c>
      <c r="B1002" s="1" t="n">
        <v>45245</v>
      </c>
      <c r="C1002" s="1" t="n">
        <v>45925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32903-2025</t>
        </is>
      </c>
      <c r="B1003" s="1" t="n">
        <v>45839.62398148148</v>
      </c>
      <c r="C1003" s="1" t="n">
        <v>45925</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21726-2022</t>
        </is>
      </c>
      <c r="B1004" s="1" t="n">
        <v>44708</v>
      </c>
      <c r="C1004" s="1" t="n">
        <v>45925</v>
      </c>
      <c r="D1004" t="inlineStr">
        <is>
          <t>STOCKHOLMS LÄN</t>
        </is>
      </c>
      <c r="E1004" t="inlineStr">
        <is>
          <t>NORRTÄLJE</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21739-2022</t>
        </is>
      </c>
      <c r="B1005" s="1" t="n">
        <v>44708.36708333333</v>
      </c>
      <c r="C1005" s="1" t="n">
        <v>45925</v>
      </c>
      <c r="D1005" t="inlineStr">
        <is>
          <t>STOCKHOLMS LÄN</t>
        </is>
      </c>
      <c r="E1005" t="inlineStr">
        <is>
          <t>NORRTÄLJE</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33265-2025</t>
        </is>
      </c>
      <c r="B1006" s="1" t="n">
        <v>45840.67829861111</v>
      </c>
      <c r="C1006" s="1" t="n">
        <v>45925</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28182-2022</t>
        </is>
      </c>
      <c r="B1007" s="1" t="n">
        <v>44746.58530092592</v>
      </c>
      <c r="C1007" s="1" t="n">
        <v>45925</v>
      </c>
      <c r="D1007" t="inlineStr">
        <is>
          <t>STOCKHOLMS LÄN</t>
        </is>
      </c>
      <c r="E1007" t="inlineStr">
        <is>
          <t>NORRTÄLJE</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32872-2025</t>
        </is>
      </c>
      <c r="B1008" s="1" t="n">
        <v>45839</v>
      </c>
      <c r="C1008" s="1" t="n">
        <v>45925</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3283-2025</t>
        </is>
      </c>
      <c r="B1009" s="1" t="n">
        <v>45679</v>
      </c>
      <c r="C1009" s="1" t="n">
        <v>45925</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18092-2022</t>
        </is>
      </c>
      <c r="B1010" s="1" t="n">
        <v>44684</v>
      </c>
      <c r="C1010" s="1" t="n">
        <v>45925</v>
      </c>
      <c r="D1010" t="inlineStr">
        <is>
          <t>STOCKHOLMS LÄN</t>
        </is>
      </c>
      <c r="E1010" t="inlineStr">
        <is>
          <t>NORRTÄLJE</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33295-2023</t>
        </is>
      </c>
      <c r="B1011" s="1" t="n">
        <v>45127.69371527778</v>
      </c>
      <c r="C1011" s="1" t="n">
        <v>45925</v>
      </c>
      <c r="D1011" t="inlineStr">
        <is>
          <t>STOCKHOLMS LÄN</t>
        </is>
      </c>
      <c r="E1011" t="inlineStr">
        <is>
          <t>NORRTÄLJE</t>
        </is>
      </c>
      <c r="F1011" t="inlineStr">
        <is>
          <t>Holmen skog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33702-2025</t>
        </is>
      </c>
      <c r="B1012" s="1" t="n">
        <v>45841.74596064815</v>
      </c>
      <c r="C1012" s="1" t="n">
        <v>45925</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33336-2025</t>
        </is>
      </c>
      <c r="B1013" s="1" t="n">
        <v>45841.35611111111</v>
      </c>
      <c r="C1013" s="1" t="n">
        <v>45925</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58404-2023</t>
        </is>
      </c>
      <c r="B1014" s="1" t="n">
        <v>45245</v>
      </c>
      <c r="C1014" s="1" t="n">
        <v>45925</v>
      </c>
      <c r="D1014" t="inlineStr">
        <is>
          <t>STOCKHOLMS LÄN</t>
        </is>
      </c>
      <c r="E1014" t="inlineStr">
        <is>
          <t>NORRTÄLJE</t>
        </is>
      </c>
      <c r="G1014" t="n">
        <v>53.5</v>
      </c>
      <c r="H1014" t="n">
        <v>0</v>
      </c>
      <c r="I1014" t="n">
        <v>0</v>
      </c>
      <c r="J1014" t="n">
        <v>0</v>
      </c>
      <c r="K1014" t="n">
        <v>0</v>
      </c>
      <c r="L1014" t="n">
        <v>0</v>
      </c>
      <c r="M1014" t="n">
        <v>0</v>
      </c>
      <c r="N1014" t="n">
        <v>0</v>
      </c>
      <c r="O1014" t="n">
        <v>0</v>
      </c>
      <c r="P1014" t="n">
        <v>0</v>
      </c>
      <c r="Q1014" t="n">
        <v>0</v>
      </c>
      <c r="R1014" s="2" t="inlineStr"/>
    </row>
    <row r="1015" ht="15" customHeight="1">
      <c r="A1015" t="inlineStr">
        <is>
          <t>A 27885-2022</t>
        </is>
      </c>
      <c r="B1015" s="1" t="n">
        <v>44743.67418981482</v>
      </c>
      <c r="C1015" s="1" t="n">
        <v>45925</v>
      </c>
      <c r="D1015" t="inlineStr">
        <is>
          <t>STOCKHOLMS LÄN</t>
        </is>
      </c>
      <c r="E1015" t="inlineStr">
        <is>
          <t>NORRTÄLJE</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38593-2025</t>
        </is>
      </c>
      <c r="B1016" s="1" t="n">
        <v>45884.48696759259</v>
      </c>
      <c r="C1016" s="1" t="n">
        <v>45925</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25525-2022</t>
        </is>
      </c>
      <c r="B1017" s="1" t="n">
        <v>44732</v>
      </c>
      <c r="C1017" s="1" t="n">
        <v>45925</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33552-2025</t>
        </is>
      </c>
      <c r="B1018" s="1" t="n">
        <v>45841.5737962963</v>
      </c>
      <c r="C1018" s="1" t="n">
        <v>45925</v>
      </c>
      <c r="D1018" t="inlineStr">
        <is>
          <t>STOCKHOLMS LÄN</t>
        </is>
      </c>
      <c r="E1018" t="inlineStr">
        <is>
          <t>NORRTÄLJE</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33824-2025</t>
        </is>
      </c>
      <c r="B1019" s="1" t="n">
        <v>45842.46885416667</v>
      </c>
      <c r="C1019" s="1" t="n">
        <v>45925</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48722-2023</t>
        </is>
      </c>
      <c r="B1020" s="1" t="n">
        <v>45208.70996527778</v>
      </c>
      <c r="C1020" s="1" t="n">
        <v>45925</v>
      </c>
      <c r="D1020" t="inlineStr">
        <is>
          <t>STOCKHOLMS LÄN</t>
        </is>
      </c>
      <c r="E1020" t="inlineStr">
        <is>
          <t>NORRTÄLJE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39149-2025</t>
        </is>
      </c>
      <c r="B1021" s="1" t="n">
        <v>45888.60714120371</v>
      </c>
      <c r="C1021" s="1" t="n">
        <v>45925</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67393-2020</t>
        </is>
      </c>
      <c r="B1022" s="1" t="n">
        <v>44181</v>
      </c>
      <c r="C1022" s="1" t="n">
        <v>45925</v>
      </c>
      <c r="D1022" t="inlineStr">
        <is>
          <t>STOCKHOLMS LÄN</t>
        </is>
      </c>
      <c r="E1022" t="inlineStr">
        <is>
          <t>NORRTÄLJE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46073-2024</t>
        </is>
      </c>
      <c r="B1023" s="1" t="n">
        <v>45581</v>
      </c>
      <c r="C1023" s="1" t="n">
        <v>45925</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23801-2022</t>
        </is>
      </c>
      <c r="B1024" s="1" t="n">
        <v>44722</v>
      </c>
      <c r="C1024" s="1" t="n">
        <v>45925</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36689-2023</t>
        </is>
      </c>
      <c r="B1025" s="1" t="n">
        <v>45152</v>
      </c>
      <c r="C1025" s="1" t="n">
        <v>45925</v>
      </c>
      <c r="D1025" t="inlineStr">
        <is>
          <t>STOCKHOLMS LÄN</t>
        </is>
      </c>
      <c r="E1025" t="inlineStr">
        <is>
          <t>NORRTÄLJE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34139-2025</t>
        </is>
      </c>
      <c r="B1026" s="1" t="n">
        <v>45845</v>
      </c>
      <c r="C1026" s="1" t="n">
        <v>45925</v>
      </c>
      <c r="D1026" t="inlineStr">
        <is>
          <t>STOCKHOLMS LÄN</t>
        </is>
      </c>
      <c r="E1026" t="inlineStr">
        <is>
          <t>NORRTÄLJE</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34006-2025</t>
        </is>
      </c>
      <c r="B1027" s="1" t="n">
        <v>45844.62609953704</v>
      </c>
      <c r="C1027" s="1" t="n">
        <v>45925</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33353-2023</t>
        </is>
      </c>
      <c r="B1028" s="1" t="n">
        <v>45128</v>
      </c>
      <c r="C1028" s="1" t="n">
        <v>45925</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34010-2025</t>
        </is>
      </c>
      <c r="B1029" s="1" t="n">
        <v>45844.91234953704</v>
      </c>
      <c r="C1029" s="1" t="n">
        <v>45925</v>
      </c>
      <c r="D1029" t="inlineStr">
        <is>
          <t>STOCKHOLMS LÄN</t>
        </is>
      </c>
      <c r="E1029" t="inlineStr">
        <is>
          <t>NORRTÄLJE</t>
        </is>
      </c>
      <c r="F1029" t="inlineStr">
        <is>
          <t>Övriga Aktiebolag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39610-2025</t>
        </is>
      </c>
      <c r="B1030" s="1" t="n">
        <v>45890.56001157407</v>
      </c>
      <c r="C1030" s="1" t="n">
        <v>45925</v>
      </c>
      <c r="D1030" t="inlineStr">
        <is>
          <t>STOCKHOLMS LÄN</t>
        </is>
      </c>
      <c r="E1030" t="inlineStr">
        <is>
          <t>NORRTÄLJE</t>
        </is>
      </c>
      <c r="G1030" t="n">
        <v>28.6</v>
      </c>
      <c r="H1030" t="n">
        <v>0</v>
      </c>
      <c r="I1030" t="n">
        <v>0</v>
      </c>
      <c r="J1030" t="n">
        <v>0</v>
      </c>
      <c r="K1030" t="n">
        <v>0</v>
      </c>
      <c r="L1030" t="n">
        <v>0</v>
      </c>
      <c r="M1030" t="n">
        <v>0</v>
      </c>
      <c r="N1030" t="n">
        <v>0</v>
      </c>
      <c r="O1030" t="n">
        <v>0</v>
      </c>
      <c r="P1030" t="n">
        <v>0</v>
      </c>
      <c r="Q1030" t="n">
        <v>0</v>
      </c>
      <c r="R1030" s="2" t="inlineStr"/>
    </row>
    <row r="1031" ht="15" customHeight="1">
      <c r="A1031" t="inlineStr">
        <is>
          <t>A 35708-2022</t>
        </is>
      </c>
      <c r="B1031" s="1" t="n">
        <v>44799.65013888889</v>
      </c>
      <c r="C1031" s="1" t="n">
        <v>45925</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15733-2025</t>
        </is>
      </c>
      <c r="B1032" s="1" t="n">
        <v>45748</v>
      </c>
      <c r="C1032" s="1" t="n">
        <v>45925</v>
      </c>
      <c r="D1032" t="inlineStr">
        <is>
          <t>STOCKHOLMS LÄN</t>
        </is>
      </c>
      <c r="E1032" t="inlineStr">
        <is>
          <t>NORRTÄLJE</t>
        </is>
      </c>
      <c r="G1032" t="n">
        <v>13.3</v>
      </c>
      <c r="H1032" t="n">
        <v>0</v>
      </c>
      <c r="I1032" t="n">
        <v>0</v>
      </c>
      <c r="J1032" t="n">
        <v>0</v>
      </c>
      <c r="K1032" t="n">
        <v>0</v>
      </c>
      <c r="L1032" t="n">
        <v>0</v>
      </c>
      <c r="M1032" t="n">
        <v>0</v>
      </c>
      <c r="N1032" t="n">
        <v>0</v>
      </c>
      <c r="O1032" t="n">
        <v>0</v>
      </c>
      <c r="P1032" t="n">
        <v>0</v>
      </c>
      <c r="Q1032" t="n">
        <v>0</v>
      </c>
      <c r="R1032" s="2" t="inlineStr"/>
    </row>
    <row r="1033" ht="15" customHeight="1">
      <c r="A1033" t="inlineStr">
        <is>
          <t>A 3426-2025</t>
        </is>
      </c>
      <c r="B1033" s="1" t="n">
        <v>45680.42665509259</v>
      </c>
      <c r="C1033" s="1" t="n">
        <v>45925</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9-2024</t>
        </is>
      </c>
      <c r="B1034" s="1" t="n">
        <v>45293</v>
      </c>
      <c r="C1034" s="1" t="n">
        <v>45925</v>
      </c>
      <c r="D1034" t="inlineStr">
        <is>
          <t>STOCKHOLMS LÄN</t>
        </is>
      </c>
      <c r="E1034" t="inlineStr">
        <is>
          <t>NORRTÄLJE</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51312-2023</t>
        </is>
      </c>
      <c r="B1035" s="1" t="n">
        <v>45219.56697916667</v>
      </c>
      <c r="C1035" s="1" t="n">
        <v>45925</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39692-2025</t>
        </is>
      </c>
      <c r="B1036" s="1" t="n">
        <v>45890.68083333333</v>
      </c>
      <c r="C1036" s="1" t="n">
        <v>45925</v>
      </c>
      <c r="D1036" t="inlineStr">
        <is>
          <t>STOCKHOLMS LÄN</t>
        </is>
      </c>
      <c r="E1036" t="inlineStr">
        <is>
          <t>NORRTÄLJE</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11849-2025</t>
        </is>
      </c>
      <c r="B1037" s="1" t="n">
        <v>45728.38409722222</v>
      </c>
      <c r="C1037" s="1" t="n">
        <v>45925</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38610-2022</t>
        </is>
      </c>
      <c r="B1038" s="1" t="n">
        <v>44813.59915509259</v>
      </c>
      <c r="C1038" s="1" t="n">
        <v>45925</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22816-2021</t>
        </is>
      </c>
      <c r="B1039" s="1" t="n">
        <v>44325</v>
      </c>
      <c r="C1039" s="1" t="n">
        <v>45925</v>
      </c>
      <c r="D1039" t="inlineStr">
        <is>
          <t>STOCKHOLMS LÄN</t>
        </is>
      </c>
      <c r="E1039" t="inlineStr">
        <is>
          <t>NORRTÄLJE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59468-2023</t>
        </is>
      </c>
      <c r="B1040" s="1" t="n">
        <v>45254.41509259259</v>
      </c>
      <c r="C1040" s="1" t="n">
        <v>45925</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18846-2022</t>
        </is>
      </c>
      <c r="B1041" s="1" t="n">
        <v>44690</v>
      </c>
      <c r="C1041" s="1" t="n">
        <v>45925</v>
      </c>
      <c r="D1041" t="inlineStr">
        <is>
          <t>STOCKHOLMS LÄN</t>
        </is>
      </c>
      <c r="E1041" t="inlineStr">
        <is>
          <t>NORRTÄLJE</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12535-2025</t>
        </is>
      </c>
      <c r="B1042" s="1" t="n">
        <v>45730.69502314815</v>
      </c>
      <c r="C1042" s="1" t="n">
        <v>45925</v>
      </c>
      <c r="D1042" t="inlineStr">
        <is>
          <t>STOCKHOLMS LÄN</t>
        </is>
      </c>
      <c r="E1042" t="inlineStr">
        <is>
          <t>NORRTÄLJE</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574-2023</t>
        </is>
      </c>
      <c r="B1043" s="1" t="n">
        <v>44925</v>
      </c>
      <c r="C1043" s="1" t="n">
        <v>45925</v>
      </c>
      <c r="D1043" t="inlineStr">
        <is>
          <t>STOCKHOLMS LÄN</t>
        </is>
      </c>
      <c r="E1043" t="inlineStr">
        <is>
          <t>NORRTÄLJE</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50738-2020</t>
        </is>
      </c>
      <c r="B1044" s="1" t="n">
        <v>44111.44373842593</v>
      </c>
      <c r="C1044" s="1" t="n">
        <v>45925</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37010-2022</t>
        </is>
      </c>
      <c r="B1045" s="1" t="n">
        <v>44806.41576388889</v>
      </c>
      <c r="C1045" s="1" t="n">
        <v>45925</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32705-2022</t>
        </is>
      </c>
      <c r="B1046" s="1" t="n">
        <v>44783</v>
      </c>
      <c r="C1046" s="1" t="n">
        <v>45925</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33149-2022</t>
        </is>
      </c>
      <c r="B1047" s="1" t="n">
        <v>44785</v>
      </c>
      <c r="C1047" s="1" t="n">
        <v>45925</v>
      </c>
      <c r="D1047" t="inlineStr">
        <is>
          <t>STOCKHOLMS LÄN</t>
        </is>
      </c>
      <c r="E1047" t="inlineStr">
        <is>
          <t>NORRTÄLJE</t>
        </is>
      </c>
      <c r="F1047" t="inlineStr">
        <is>
          <t>Holmen skog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14559-2024</t>
        </is>
      </c>
      <c r="B1048" s="1" t="n">
        <v>45394.72869212963</v>
      </c>
      <c r="C1048" s="1" t="n">
        <v>45925</v>
      </c>
      <c r="D1048" t="inlineStr">
        <is>
          <t>STOCKHOLMS LÄN</t>
        </is>
      </c>
      <c r="E1048" t="inlineStr">
        <is>
          <t>NORRTÄLJE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11-2024</t>
        </is>
      </c>
      <c r="B1049" s="1" t="n">
        <v>45293</v>
      </c>
      <c r="C1049" s="1" t="n">
        <v>45925</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15256-2023</t>
        </is>
      </c>
      <c r="B1050" s="1" t="n">
        <v>45019.3959837963</v>
      </c>
      <c r="C1050" s="1" t="n">
        <v>45925</v>
      </c>
      <c r="D1050" t="inlineStr">
        <is>
          <t>STOCKHOLMS LÄN</t>
        </is>
      </c>
      <c r="E1050" t="inlineStr">
        <is>
          <t>NORRTÄLJE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7413-2024</t>
        </is>
      </c>
      <c r="B1051" s="1" t="n">
        <v>45345.6059837963</v>
      </c>
      <c r="C1051" s="1" t="n">
        <v>45925</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58040-2024</t>
        </is>
      </c>
      <c r="B1052" s="1" t="n">
        <v>45631.73952546297</v>
      </c>
      <c r="C1052" s="1" t="n">
        <v>45925</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58041-2024</t>
        </is>
      </c>
      <c r="B1053" s="1" t="n">
        <v>45631.74673611111</v>
      </c>
      <c r="C1053" s="1" t="n">
        <v>45925</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31057-2022</t>
        </is>
      </c>
      <c r="B1054" s="1" t="n">
        <v>44769</v>
      </c>
      <c r="C1054" s="1" t="n">
        <v>45925</v>
      </c>
      <c r="D1054" t="inlineStr">
        <is>
          <t>STOCKHOLMS LÄN</t>
        </is>
      </c>
      <c r="E1054" t="inlineStr">
        <is>
          <t>NORRTÄLJE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3143-2021</t>
        </is>
      </c>
      <c r="B1055" s="1" t="n">
        <v>44217.40149305556</v>
      </c>
      <c r="C1055" s="1" t="n">
        <v>45925</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25619-2022</t>
        </is>
      </c>
      <c r="B1056" s="1" t="n">
        <v>44732</v>
      </c>
      <c r="C1056" s="1" t="n">
        <v>45925</v>
      </c>
      <c r="D1056" t="inlineStr">
        <is>
          <t>STOCKHOLMS LÄN</t>
        </is>
      </c>
      <c r="E1056" t="inlineStr">
        <is>
          <t>NORRTÄLJE</t>
        </is>
      </c>
      <c r="G1056" t="n">
        <v>3.9</v>
      </c>
      <c r="H1056" t="n">
        <v>0</v>
      </c>
      <c r="I1056" t="n">
        <v>0</v>
      </c>
      <c r="J1056" t="n">
        <v>0</v>
      </c>
      <c r="K1056" t="n">
        <v>0</v>
      </c>
      <c r="L1056" t="n">
        <v>0</v>
      </c>
      <c r="M1056" t="n">
        <v>0</v>
      </c>
      <c r="N1056" t="n">
        <v>0</v>
      </c>
      <c r="O1056" t="n">
        <v>0</v>
      </c>
      <c r="P1056" t="n">
        <v>0</v>
      </c>
      <c r="Q1056" t="n">
        <v>0</v>
      </c>
      <c r="R1056" s="2" t="inlineStr"/>
    </row>
    <row r="1057">
      <c r="A1057" t="inlineStr">
        <is>
          <t>A 15422-2024</t>
        </is>
      </c>
      <c r="B1057" s="1" t="n">
        <v>45401.3653125</v>
      </c>
      <c r="C1057" s="1" t="n">
        <v>45925</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2025-09-25T10:38:18Z</dcterms:created>
  <dcterms:modified xmlns:dcterms="http://purl.org/dc/terms/" xmlns:xsi="http://www.w3.org/2001/XMLSchema-instance" xsi:type="dcterms:W3CDTF">2025-09-25T10:38:19Z</dcterms:modified>
</cp:coreProperties>
</file>