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46186</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46186</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46186</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46186</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46186</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46186</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46186</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46186</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46186</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21927-2025</t>
        </is>
      </c>
      <c r="B15" s="1" t="n">
        <v>45784.54878472222</v>
      </c>
      <c r="C15" s="1" t="n">
        <v>46186</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639-2026</t>
        </is>
      </c>
      <c r="B16" s="1" t="n">
        <v>46029</v>
      </c>
      <c r="C16" s="1" t="n">
        <v>46186</v>
      </c>
      <c r="D16" t="inlineStr">
        <is>
          <t>STOCKHOLMS LÄN</t>
        </is>
      </c>
      <c r="E16" t="inlineStr">
        <is>
          <t>NORRTÄLJE</t>
        </is>
      </c>
      <c r="G16" t="n">
        <v>24.7</v>
      </c>
      <c r="H16" t="n">
        <v>12</v>
      </c>
      <c r="I16" t="n">
        <v>0</v>
      </c>
      <c r="J16" t="n">
        <v>5</v>
      </c>
      <c r="K16" t="n">
        <v>1</v>
      </c>
      <c r="L16" t="n">
        <v>0</v>
      </c>
      <c r="M16" t="n">
        <v>0</v>
      </c>
      <c r="N16" t="n">
        <v>0</v>
      </c>
      <c r="O16" t="n">
        <v>6</v>
      </c>
      <c r="P16" t="n">
        <v>1</v>
      </c>
      <c r="Q16" t="n">
        <v>12</v>
      </c>
      <c r="R16" s="2" t="inlineStr">
        <is>
          <t>Stare
Entita
Gulsparv
Nordfladdermus
Rödvingetrast
Talltita
Enkelbeckasin
Grönsiska
Järnsparv
Kungsfågel
Större brunfladdermus
Blåsippa</t>
        </is>
      </c>
      <c r="S16">
        <f>HYPERLINK("https://klasma.github.io/Logging_0188/artfynd/A 639-2026 artfynd.xlsx", "A 639-2026")</f>
        <v/>
      </c>
      <c r="T16">
        <f>HYPERLINK("https://klasma.github.io/Logging_0188/kartor/A 639-2026 karta.png", "A 639-2026")</f>
        <v/>
      </c>
      <c r="V16">
        <f>HYPERLINK("https://klasma.github.io/Logging_0188/klagomål/A 639-2026 FSC-klagomål.docx", "A 639-2026")</f>
        <v/>
      </c>
      <c r="W16">
        <f>HYPERLINK("https://klasma.github.io/Logging_0188/klagomålsmail/A 639-2026 FSC-klagomål mail.docx", "A 639-2026")</f>
        <v/>
      </c>
      <c r="X16">
        <f>HYPERLINK("https://klasma.github.io/Logging_0188/tillsyn/A 639-2026 tillsynsbegäran.docx", "A 639-2026")</f>
        <v/>
      </c>
      <c r="Y16">
        <f>HYPERLINK("https://klasma.github.io/Logging_0188/tillsynsmail/A 639-2026 tillsynsbegäran mail.docx", "A 639-2026")</f>
        <v/>
      </c>
      <c r="Z16">
        <f>HYPERLINK("https://klasma.github.io/Logging_0188/fåglar/A 639-2026 prioriterade fågelarter.docx", "A 639-2026")</f>
        <v/>
      </c>
    </row>
    <row r="17" ht="15" customHeight="1">
      <c r="A17" t="inlineStr">
        <is>
          <t>A 17645-2026</t>
        </is>
      </c>
      <c r="B17" s="1" t="n">
        <v>46121.51921296296</v>
      </c>
      <c r="C17" s="1" t="n">
        <v>46186</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25732-2025</t>
        </is>
      </c>
      <c r="B18" s="1" t="n">
        <v>45800</v>
      </c>
      <c r="C18" s="1" t="n">
        <v>46186</v>
      </c>
      <c r="D18" t="inlineStr">
        <is>
          <t>STOCKHOLMS LÄN</t>
        </is>
      </c>
      <c r="E18" t="inlineStr">
        <is>
          <t>NORRTÄLJE</t>
        </is>
      </c>
      <c r="G18" t="n">
        <v>7.4</v>
      </c>
      <c r="H18" t="n">
        <v>5</v>
      </c>
      <c r="I18" t="n">
        <v>4</v>
      </c>
      <c r="J18" t="n">
        <v>5</v>
      </c>
      <c r="K18" t="n">
        <v>1</v>
      </c>
      <c r="L18" t="n">
        <v>0</v>
      </c>
      <c r="M18" t="n">
        <v>0</v>
      </c>
      <c r="N18" t="n">
        <v>0</v>
      </c>
      <c r="O18" t="n">
        <v>6</v>
      </c>
      <c r="P18" t="n">
        <v>1</v>
      </c>
      <c r="Q18" t="n">
        <v>11</v>
      </c>
      <c r="R18" s="2" t="inlineStr">
        <is>
          <t>Knärot
Blå taggsvamp
Motaggsvamp
Skrovlig taggsvamp
Spillkråka
Talltita
Björksplintborre
Dropptaggsvamp
Grönpyrola
Plattlummer
Kungsfågel</t>
        </is>
      </c>
      <c r="S18">
        <f>HYPERLINK("https://klasma.github.io/Logging_0188/artfynd/A 25732-2025 artfynd.xlsx", "A 25732-2025")</f>
        <v/>
      </c>
      <c r="T18">
        <f>HYPERLINK("https://klasma.github.io/Logging_0188/kartor/A 25732-2025 karta.png", "A 25732-2025")</f>
        <v/>
      </c>
      <c r="U18">
        <f>HYPERLINK("https://klasma.github.io/Logging_0188/knärot/A 25732-2025 karta knärot.png", "A 25732-2025")</f>
        <v/>
      </c>
      <c r="V18">
        <f>HYPERLINK("https://klasma.github.io/Logging_0188/klagomål/A 25732-2025 FSC-klagomål.docx", "A 25732-2025")</f>
        <v/>
      </c>
      <c r="W18">
        <f>HYPERLINK("https://klasma.github.io/Logging_0188/klagomålsmail/A 25732-2025 FSC-klagomål mail.docx", "A 25732-2025")</f>
        <v/>
      </c>
      <c r="X18">
        <f>HYPERLINK("https://klasma.github.io/Logging_0188/tillsyn/A 25732-2025 tillsynsbegäran.docx", "A 25732-2025")</f>
        <v/>
      </c>
      <c r="Y18">
        <f>HYPERLINK("https://klasma.github.io/Logging_0188/tillsynsmail/A 25732-2025 tillsynsbegäran mail.docx", "A 25732-2025")</f>
        <v/>
      </c>
      <c r="Z18">
        <f>HYPERLINK("https://klasma.github.io/Logging_0188/fåglar/A 25732-2025 prioriterade fågelarter.docx", "A 25732-2025")</f>
        <v/>
      </c>
    </row>
    <row r="19" ht="15" customHeight="1">
      <c r="A19" t="inlineStr">
        <is>
          <t>A 3472-2023</t>
        </is>
      </c>
      <c r="B19" s="1" t="n">
        <v>44949</v>
      </c>
      <c r="C19" s="1" t="n">
        <v>46186</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46186</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46186</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46186</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50326-2024</t>
        </is>
      </c>
      <c r="B23" s="1" t="n">
        <v>45600</v>
      </c>
      <c r="C23" s="1" t="n">
        <v>46186</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26081-2026</t>
        </is>
      </c>
      <c r="B24" s="1" t="n">
        <v>46181.62855324074</v>
      </c>
      <c r="C24" s="1" t="n">
        <v>46186</v>
      </c>
      <c r="D24" t="inlineStr">
        <is>
          <t>STOCKHOLMS LÄN</t>
        </is>
      </c>
      <c r="E24" t="inlineStr">
        <is>
          <t>NORRTÄLJE</t>
        </is>
      </c>
      <c r="G24" t="n">
        <v>13.9</v>
      </c>
      <c r="H24" t="n">
        <v>1</v>
      </c>
      <c r="I24" t="n">
        <v>4</v>
      </c>
      <c r="J24" t="n">
        <v>3</v>
      </c>
      <c r="K24" t="n">
        <v>1</v>
      </c>
      <c r="L24" t="n">
        <v>0</v>
      </c>
      <c r="M24" t="n">
        <v>0</v>
      </c>
      <c r="N24" t="n">
        <v>0</v>
      </c>
      <c r="O24" t="n">
        <v>4</v>
      </c>
      <c r="P24" t="n">
        <v>1</v>
      </c>
      <c r="Q24" t="n">
        <v>9</v>
      </c>
      <c r="R24" s="2" t="inlineStr">
        <is>
          <t>Koppartaggsvamp
Dofttaggsvamp
Orange taggsvamp
Ullticka
Fjällig taggsvamp s.str.
Grönpyrola
Kamjordstjärna
Svavelriska
Blåsippa</t>
        </is>
      </c>
      <c r="S24">
        <f>HYPERLINK("https://klasma.github.io/Logging_0188/artfynd/A 26081-2026 artfynd.xlsx", "A 26081-2026")</f>
        <v/>
      </c>
      <c r="T24">
        <f>HYPERLINK("https://klasma.github.io/Logging_0188/kartor/A 26081-2026 karta.png", "A 26081-2026")</f>
        <v/>
      </c>
      <c r="V24">
        <f>HYPERLINK("https://klasma.github.io/Logging_0188/klagomål/A 26081-2026 FSC-klagomål.docx", "A 26081-2026")</f>
        <v/>
      </c>
      <c r="W24">
        <f>HYPERLINK("https://klasma.github.io/Logging_0188/klagomålsmail/A 26081-2026 FSC-klagomål mail.docx", "A 26081-2026")</f>
        <v/>
      </c>
      <c r="X24">
        <f>HYPERLINK("https://klasma.github.io/Logging_0188/tillsyn/A 26081-2026 tillsynsbegäran.docx", "A 26081-2026")</f>
        <v/>
      </c>
      <c r="Y24">
        <f>HYPERLINK("https://klasma.github.io/Logging_0188/tillsynsmail/A 26081-2026 tillsynsbegäran mail.docx", "A 26081-2026")</f>
        <v/>
      </c>
    </row>
    <row r="25" ht="15" customHeight="1">
      <c r="A25" t="inlineStr">
        <is>
          <t>A 52815-2021</t>
        </is>
      </c>
      <c r="B25" s="1" t="n">
        <v>44467</v>
      </c>
      <c r="C25" s="1" t="n">
        <v>46186</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47274-2024</t>
        </is>
      </c>
      <c r="B26" s="1" t="n">
        <v>45586</v>
      </c>
      <c r="C26" s="1" t="n">
        <v>46186</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61099-2025</t>
        </is>
      </c>
      <c r="B27" s="1" t="n">
        <v>46000.44185185185</v>
      </c>
      <c r="C27" s="1" t="n">
        <v>46186</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46186</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46186</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47346-2021</t>
        </is>
      </c>
      <c r="B30" s="1" t="n">
        <v>44447</v>
      </c>
      <c r="C30" s="1" t="n">
        <v>46186</v>
      </c>
      <c r="D30" t="inlineStr">
        <is>
          <t>STOCKHOLMS LÄN</t>
        </is>
      </c>
      <c r="E30" t="inlineStr">
        <is>
          <t>NORRTÄLJE</t>
        </is>
      </c>
      <c r="G30" t="n">
        <v>5.5</v>
      </c>
      <c r="H30" t="n">
        <v>1</v>
      </c>
      <c r="I30" t="n">
        <v>4</v>
      </c>
      <c r="J30" t="n">
        <v>0</v>
      </c>
      <c r="K30" t="n">
        <v>2</v>
      </c>
      <c r="L30" t="n">
        <v>0</v>
      </c>
      <c r="M30" t="n">
        <v>0</v>
      </c>
      <c r="N30" t="n">
        <v>0</v>
      </c>
      <c r="O30" t="n">
        <v>2</v>
      </c>
      <c r="P30" t="n">
        <v>2</v>
      </c>
      <c r="Q30" t="n">
        <v>7</v>
      </c>
      <c r="R30" s="2" t="inlineStr">
        <is>
          <t>Grangråticka
Violgubbe
Anisspindling
Fjällig taggsvamp s.str.
Skarp dropptaggsvamp
Toppvaxing
Revlummer</t>
        </is>
      </c>
      <c r="S30">
        <f>HYPERLINK("https://klasma.github.io/Logging_0188/artfynd/A 47346-2021 artfynd.xlsx", "A 47346-2021")</f>
        <v/>
      </c>
      <c r="T30">
        <f>HYPERLINK("https://klasma.github.io/Logging_0188/kartor/A 47346-2021 karta.png", "A 47346-2021")</f>
        <v/>
      </c>
      <c r="V30">
        <f>HYPERLINK("https://klasma.github.io/Logging_0188/klagomål/A 47346-2021 FSC-klagomål.docx", "A 47346-2021")</f>
        <v/>
      </c>
      <c r="W30">
        <f>HYPERLINK("https://klasma.github.io/Logging_0188/klagomålsmail/A 47346-2021 FSC-klagomål mail.docx", "A 47346-2021")</f>
        <v/>
      </c>
      <c r="X30">
        <f>HYPERLINK("https://klasma.github.io/Logging_0188/tillsyn/A 47346-2021 tillsynsbegäran.docx", "A 47346-2021")</f>
        <v/>
      </c>
      <c r="Y30">
        <f>HYPERLINK("https://klasma.github.io/Logging_0188/tillsynsmail/A 47346-2021 tillsynsbegäran mail.docx", "A 47346-2021")</f>
        <v/>
      </c>
    </row>
    <row r="31" ht="15" customHeight="1">
      <c r="A31" t="inlineStr">
        <is>
          <t>A 13933-2022</t>
        </is>
      </c>
      <c r="B31" s="1" t="n">
        <v>44650</v>
      </c>
      <c r="C31" s="1" t="n">
        <v>46186</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15278-2024</t>
        </is>
      </c>
      <c r="B32" s="1" t="n">
        <v>45400.5958912037</v>
      </c>
      <c r="C32" s="1" t="n">
        <v>46186</v>
      </c>
      <c r="D32" t="inlineStr">
        <is>
          <t>STOCKHOLMS LÄN</t>
        </is>
      </c>
      <c r="E32" t="inlineStr">
        <is>
          <t>NORRTÄLJE</t>
        </is>
      </c>
      <c r="G32" t="n">
        <v>7.4</v>
      </c>
      <c r="H32" t="n">
        <v>2</v>
      </c>
      <c r="I32" t="n">
        <v>4</v>
      </c>
      <c r="J32" t="n">
        <v>1</v>
      </c>
      <c r="K32" t="n">
        <v>1</v>
      </c>
      <c r="L32" t="n">
        <v>0</v>
      </c>
      <c r="M32" t="n">
        <v>0</v>
      </c>
      <c r="N32" t="n">
        <v>0</v>
      </c>
      <c r="O32" t="n">
        <v>2</v>
      </c>
      <c r="P32" t="n">
        <v>1</v>
      </c>
      <c r="Q32" t="n">
        <v>7</v>
      </c>
      <c r="R32" s="2" t="inlineStr">
        <is>
          <t>Knärot
Ullticka
Fjällig taggsvamp s.str.
Grönpyrola
Kattfotslav
Vedticka
Blåsippa</t>
        </is>
      </c>
      <c r="S32">
        <f>HYPERLINK("https://klasma.github.io/Logging_0188/artfynd/A 15278-2024 artfynd.xlsx", "A 15278-2024")</f>
        <v/>
      </c>
      <c r="T32">
        <f>HYPERLINK("https://klasma.github.io/Logging_0188/kartor/A 15278-2024 karta.png", "A 15278-2024")</f>
        <v/>
      </c>
      <c r="U32">
        <f>HYPERLINK("https://klasma.github.io/Logging_0188/knärot/A 15278-2024 karta knärot.png", "A 15278-2024")</f>
        <v/>
      </c>
      <c r="V32">
        <f>HYPERLINK("https://klasma.github.io/Logging_0188/klagomål/A 15278-2024 FSC-klagomål.docx", "A 15278-2024")</f>
        <v/>
      </c>
      <c r="W32">
        <f>HYPERLINK("https://klasma.github.io/Logging_0188/klagomålsmail/A 15278-2024 FSC-klagomål mail.docx", "A 15278-2024")</f>
        <v/>
      </c>
      <c r="X32">
        <f>HYPERLINK("https://klasma.github.io/Logging_0188/tillsyn/A 15278-2024 tillsynsbegäran.docx", "A 15278-2024")</f>
        <v/>
      </c>
      <c r="Y32">
        <f>HYPERLINK("https://klasma.github.io/Logging_0188/tillsynsmail/A 15278-2024 tillsynsbegäran mail.docx", "A 15278-2024")</f>
        <v/>
      </c>
    </row>
    <row r="33" ht="15" customHeight="1">
      <c r="A33" t="inlineStr">
        <is>
          <t>A 10430-2026</t>
        </is>
      </c>
      <c r="B33" s="1" t="n">
        <v>46077</v>
      </c>
      <c r="C33" s="1" t="n">
        <v>46186</v>
      </c>
      <c r="D33" t="inlineStr">
        <is>
          <t>STOCKHOLMS LÄN</t>
        </is>
      </c>
      <c r="E33" t="inlineStr">
        <is>
          <t>NORRTÄLJE</t>
        </is>
      </c>
      <c r="G33" t="n">
        <v>2</v>
      </c>
      <c r="H33" t="n">
        <v>0</v>
      </c>
      <c r="I33" t="n">
        <v>3</v>
      </c>
      <c r="J33" t="n">
        <v>2</v>
      </c>
      <c r="K33" t="n">
        <v>1</v>
      </c>
      <c r="L33" t="n">
        <v>0</v>
      </c>
      <c r="M33" t="n">
        <v>0</v>
      </c>
      <c r="N33" t="n">
        <v>0</v>
      </c>
      <c r="O33" t="n">
        <v>3</v>
      </c>
      <c r="P33" t="n">
        <v>1</v>
      </c>
      <c r="Q33" t="n">
        <v>6</v>
      </c>
      <c r="R33" s="2" t="inlineStr">
        <is>
          <t>Granrotspindling
Bittermusseron
Persiljespindling
Olivspindling
Skarp dropptaggsvamp
Svavelriska</t>
        </is>
      </c>
      <c r="S33">
        <f>HYPERLINK("https://klasma.github.io/Logging_0188/artfynd/A 10430-2026 artfynd.xlsx", "A 10430-2026")</f>
        <v/>
      </c>
      <c r="T33">
        <f>HYPERLINK("https://klasma.github.io/Logging_0188/kartor/A 10430-2026 karta.png", "A 10430-2026")</f>
        <v/>
      </c>
      <c r="V33">
        <f>HYPERLINK("https://klasma.github.io/Logging_0188/klagomål/A 10430-2026 FSC-klagomål.docx", "A 10430-2026")</f>
        <v/>
      </c>
      <c r="W33">
        <f>HYPERLINK("https://klasma.github.io/Logging_0188/klagomålsmail/A 10430-2026 FSC-klagomål mail.docx", "A 10430-2026")</f>
        <v/>
      </c>
      <c r="X33">
        <f>HYPERLINK("https://klasma.github.io/Logging_0188/tillsyn/A 10430-2026 tillsynsbegäran.docx", "A 10430-2026")</f>
        <v/>
      </c>
      <c r="Y33">
        <f>HYPERLINK("https://klasma.github.io/Logging_0188/tillsynsmail/A 10430-2026 tillsynsbegäran mail.docx", "A 10430-2026")</f>
        <v/>
      </c>
    </row>
    <row r="34" ht="15" customHeight="1">
      <c r="A34" t="inlineStr">
        <is>
          <t>A 34528-2025</t>
        </is>
      </c>
      <c r="B34" s="1" t="n">
        <v>45847.48436342592</v>
      </c>
      <c r="C34" s="1" t="n">
        <v>46186</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46186</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30687-2025</t>
        </is>
      </c>
      <c r="B36" s="1" t="n">
        <v>45831.53390046296</v>
      </c>
      <c r="C36" s="1" t="n">
        <v>46186</v>
      </c>
      <c r="D36" t="inlineStr">
        <is>
          <t>STOCKHOLMS LÄN</t>
        </is>
      </c>
      <c r="E36" t="inlineStr">
        <is>
          <t>NORRTÄLJE</t>
        </is>
      </c>
      <c r="G36" t="n">
        <v>6.7</v>
      </c>
      <c r="H36" t="n">
        <v>1</v>
      </c>
      <c r="I36" t="n">
        <v>2</v>
      </c>
      <c r="J36" t="n">
        <v>2</v>
      </c>
      <c r="K36" t="n">
        <v>0</v>
      </c>
      <c r="L36" t="n">
        <v>0</v>
      </c>
      <c r="M36" t="n">
        <v>0</v>
      </c>
      <c r="N36" t="n">
        <v>0</v>
      </c>
      <c r="O36" t="n">
        <v>2</v>
      </c>
      <c r="P36" t="n">
        <v>0</v>
      </c>
      <c r="Q36" t="n">
        <v>5</v>
      </c>
      <c r="R36" s="2" t="inlineStr">
        <is>
          <t>Ekvaxskivling
Kandelabersvamp
Stinkbrosking
Svart trolldruva
Blåsippa</t>
        </is>
      </c>
      <c r="S36">
        <f>HYPERLINK("https://klasma.github.io/Logging_0188/artfynd/A 30687-2025 artfynd.xlsx", "A 30687-2025")</f>
        <v/>
      </c>
      <c r="T36">
        <f>HYPERLINK("https://klasma.github.io/Logging_0188/kartor/A 30687-2025 karta.png", "A 30687-2025")</f>
        <v/>
      </c>
      <c r="V36">
        <f>HYPERLINK("https://klasma.github.io/Logging_0188/klagomål/A 30687-2025 FSC-klagomål.docx", "A 30687-2025")</f>
        <v/>
      </c>
      <c r="W36">
        <f>HYPERLINK("https://klasma.github.io/Logging_0188/klagomålsmail/A 30687-2025 FSC-klagomål mail.docx", "A 30687-2025")</f>
        <v/>
      </c>
      <c r="X36">
        <f>HYPERLINK("https://klasma.github.io/Logging_0188/tillsyn/A 30687-2025 tillsynsbegäran.docx", "A 30687-2025")</f>
        <v/>
      </c>
      <c r="Y36">
        <f>HYPERLINK("https://klasma.github.io/Logging_0188/tillsynsmail/A 30687-2025 tillsynsbegäran mail.docx", "A 30687-2025")</f>
        <v/>
      </c>
    </row>
    <row r="37" ht="15" customHeight="1">
      <c r="A37" t="inlineStr">
        <is>
          <t>A 3444-2023</t>
        </is>
      </c>
      <c r="B37" s="1" t="n">
        <v>44949</v>
      </c>
      <c r="C37" s="1" t="n">
        <v>46186</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72111-2021</t>
        </is>
      </c>
      <c r="B38" s="1" t="n">
        <v>44544</v>
      </c>
      <c r="C38" s="1" t="n">
        <v>46186</v>
      </c>
      <c r="D38" t="inlineStr">
        <is>
          <t>STOCKHOLMS LÄN</t>
        </is>
      </c>
      <c r="E38" t="inlineStr">
        <is>
          <t>NORRTÄLJE</t>
        </is>
      </c>
      <c r="G38" t="n">
        <v>5.1</v>
      </c>
      <c r="H38" t="n">
        <v>1</v>
      </c>
      <c r="I38" t="n">
        <v>3</v>
      </c>
      <c r="J38" t="n">
        <v>1</v>
      </c>
      <c r="K38" t="n">
        <v>0</v>
      </c>
      <c r="L38" t="n">
        <v>0</v>
      </c>
      <c r="M38" t="n">
        <v>0</v>
      </c>
      <c r="N38" t="n">
        <v>0</v>
      </c>
      <c r="O38" t="n">
        <v>1</v>
      </c>
      <c r="P38" t="n">
        <v>0</v>
      </c>
      <c r="Q38" t="n">
        <v>5</v>
      </c>
      <c r="R38" s="2" t="inlineStr">
        <is>
          <t>Lunglav
Scharlakansvårskål agg.
Sårläka
Vårärt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15913-2026</t>
        </is>
      </c>
      <c r="B39" s="1" t="n">
        <v>46107</v>
      </c>
      <c r="C39" s="1" t="n">
        <v>46186</v>
      </c>
      <c r="D39" t="inlineStr">
        <is>
          <t>STOCKHOLMS LÄN</t>
        </is>
      </c>
      <c r="E39" t="inlineStr">
        <is>
          <t>NORRTÄLJE</t>
        </is>
      </c>
      <c r="G39" t="n">
        <v>4.2</v>
      </c>
      <c r="H39" t="n">
        <v>4</v>
      </c>
      <c r="I39" t="n">
        <v>2</v>
      </c>
      <c r="J39" t="n">
        <v>1</v>
      </c>
      <c r="K39" t="n">
        <v>0</v>
      </c>
      <c r="L39" t="n">
        <v>0</v>
      </c>
      <c r="M39" t="n">
        <v>0</v>
      </c>
      <c r="N39" t="n">
        <v>0</v>
      </c>
      <c r="O39" t="n">
        <v>1</v>
      </c>
      <c r="P39" t="n">
        <v>0</v>
      </c>
      <c r="Q39" t="n">
        <v>5</v>
      </c>
      <c r="R39" s="2" t="inlineStr">
        <is>
          <t>Talltita
Fjällig taggsvamp s.str.
Nästrot
Nattviol
Blåsippa</t>
        </is>
      </c>
      <c r="S39">
        <f>HYPERLINK("https://klasma.github.io/Logging_0188/artfynd/A 15913-2026 artfynd.xlsx", "A 15913-2026")</f>
        <v/>
      </c>
      <c r="T39">
        <f>HYPERLINK("https://klasma.github.io/Logging_0188/kartor/A 15913-2026 karta.png", "A 15913-2026")</f>
        <v/>
      </c>
      <c r="U39">
        <f>HYPERLINK("https://klasma.github.io/Logging_0188/knärot/A 15913-2026 karta knärot.png", "A 15913-2026")</f>
        <v/>
      </c>
      <c r="V39">
        <f>HYPERLINK("https://klasma.github.io/Logging_0188/klagomål/A 15913-2026 FSC-klagomål.docx", "A 15913-2026")</f>
        <v/>
      </c>
      <c r="W39">
        <f>HYPERLINK("https://klasma.github.io/Logging_0188/klagomålsmail/A 15913-2026 FSC-klagomål mail.docx", "A 15913-2026")</f>
        <v/>
      </c>
      <c r="X39">
        <f>HYPERLINK("https://klasma.github.io/Logging_0188/tillsyn/A 15913-2026 tillsynsbegäran.docx", "A 15913-2026")</f>
        <v/>
      </c>
      <c r="Y39">
        <f>HYPERLINK("https://klasma.github.io/Logging_0188/tillsynsmail/A 15913-2026 tillsynsbegäran mail.docx", "A 15913-2026")</f>
        <v/>
      </c>
      <c r="Z39">
        <f>HYPERLINK("https://klasma.github.io/Logging_0188/fåglar/A 15913-2026 prioriterade fågelarter.docx", "A 15913-2026")</f>
        <v/>
      </c>
    </row>
    <row r="40" ht="15" customHeight="1">
      <c r="A40" t="inlineStr">
        <is>
          <t>A 15925-2026</t>
        </is>
      </c>
      <c r="B40" s="1" t="n">
        <v>46107</v>
      </c>
      <c r="C40" s="1" t="n">
        <v>46186</v>
      </c>
      <c r="D40" t="inlineStr">
        <is>
          <t>STOCKHOLMS LÄN</t>
        </is>
      </c>
      <c r="E40" t="inlineStr">
        <is>
          <t>NORRTÄLJE</t>
        </is>
      </c>
      <c r="G40" t="n">
        <v>2.9</v>
      </c>
      <c r="H40" t="n">
        <v>3</v>
      </c>
      <c r="I40" t="n">
        <v>1</v>
      </c>
      <c r="J40" t="n">
        <v>2</v>
      </c>
      <c r="K40" t="n">
        <v>1</v>
      </c>
      <c r="L40" t="n">
        <v>0</v>
      </c>
      <c r="M40" t="n">
        <v>0</v>
      </c>
      <c r="N40" t="n">
        <v>0</v>
      </c>
      <c r="O40" t="n">
        <v>3</v>
      </c>
      <c r="P40" t="n">
        <v>1</v>
      </c>
      <c r="Q40" t="n">
        <v>5</v>
      </c>
      <c r="R40" s="2" t="inlineStr">
        <is>
          <t>Knärot
Spillkråka
Ullticka
Fjällig taggsvamp s.str.
Blåsippa</t>
        </is>
      </c>
      <c r="S40">
        <f>HYPERLINK("https://klasma.github.io/Logging_0188/artfynd/A 15925-2026 artfynd.xlsx", "A 15925-2026")</f>
        <v/>
      </c>
      <c r="T40">
        <f>HYPERLINK("https://klasma.github.io/Logging_0188/kartor/A 15925-2026 karta.png", "A 15925-2026")</f>
        <v/>
      </c>
      <c r="U40">
        <f>HYPERLINK("https://klasma.github.io/Logging_0188/knärot/A 15925-2026 karta knärot.png", "A 15925-2026")</f>
        <v/>
      </c>
      <c r="V40">
        <f>HYPERLINK("https://klasma.github.io/Logging_0188/klagomål/A 15925-2026 FSC-klagomål.docx", "A 15925-2026")</f>
        <v/>
      </c>
      <c r="W40">
        <f>HYPERLINK("https://klasma.github.io/Logging_0188/klagomålsmail/A 15925-2026 FSC-klagomål mail.docx", "A 15925-2026")</f>
        <v/>
      </c>
      <c r="X40">
        <f>HYPERLINK("https://klasma.github.io/Logging_0188/tillsyn/A 15925-2026 tillsynsbegäran.docx", "A 15925-2026")</f>
        <v/>
      </c>
      <c r="Y40">
        <f>HYPERLINK("https://klasma.github.io/Logging_0188/tillsynsmail/A 15925-2026 tillsynsbegäran mail.docx", "A 15925-2026")</f>
        <v/>
      </c>
      <c r="Z40">
        <f>HYPERLINK("https://klasma.github.io/Logging_0188/fåglar/A 15925-2026 prioriterade fågelarter.docx", "A 15925-2026")</f>
        <v/>
      </c>
    </row>
    <row r="41" ht="15" customHeight="1">
      <c r="A41" t="inlineStr">
        <is>
          <t>A 21922-2023</t>
        </is>
      </c>
      <c r="B41" s="1" t="n">
        <v>45068</v>
      </c>
      <c r="C41" s="1" t="n">
        <v>46186</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22071-2022</t>
        </is>
      </c>
      <c r="B42" s="1" t="n">
        <v>44711</v>
      </c>
      <c r="C42" s="1" t="n">
        <v>46186</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21730-2025</t>
        </is>
      </c>
      <c r="B43" s="1" t="n">
        <v>45783.58123842593</v>
      </c>
      <c r="C43" s="1" t="n">
        <v>46186</v>
      </c>
      <c r="D43" t="inlineStr">
        <is>
          <t>STOCKHOLMS LÄN</t>
        </is>
      </c>
      <c r="E43" t="inlineStr">
        <is>
          <t>NORRTÄLJE</t>
        </is>
      </c>
      <c r="G43" t="n">
        <v>4.2</v>
      </c>
      <c r="H43" t="n">
        <v>2</v>
      </c>
      <c r="I43" t="n">
        <v>2</v>
      </c>
      <c r="J43" t="n">
        <v>0</v>
      </c>
      <c r="K43" t="n">
        <v>0</v>
      </c>
      <c r="L43" t="n">
        <v>0</v>
      </c>
      <c r="M43" t="n">
        <v>0</v>
      </c>
      <c r="N43" t="n">
        <v>0</v>
      </c>
      <c r="O43" t="n">
        <v>0</v>
      </c>
      <c r="P43" t="n">
        <v>0</v>
      </c>
      <c r="Q43" t="n">
        <v>4</v>
      </c>
      <c r="R43" s="2" t="inlineStr">
        <is>
          <t>Blåmossa
Brandticka
Blåsippa
Revlummer</t>
        </is>
      </c>
      <c r="S43">
        <f>HYPERLINK("https://klasma.github.io/Logging_0188/artfynd/A 21730-2025 artfynd.xlsx", "A 21730-2025")</f>
        <v/>
      </c>
      <c r="T43">
        <f>HYPERLINK("https://klasma.github.io/Logging_0188/kartor/A 21730-2025 karta.png", "A 21730-2025")</f>
        <v/>
      </c>
      <c r="V43">
        <f>HYPERLINK("https://klasma.github.io/Logging_0188/klagomål/A 21730-2025 FSC-klagomål.docx", "A 21730-2025")</f>
        <v/>
      </c>
      <c r="W43">
        <f>HYPERLINK("https://klasma.github.io/Logging_0188/klagomålsmail/A 21730-2025 FSC-klagomål mail.docx", "A 21730-2025")</f>
        <v/>
      </c>
      <c r="X43">
        <f>HYPERLINK("https://klasma.github.io/Logging_0188/tillsyn/A 21730-2025 tillsynsbegäran.docx", "A 21730-2025")</f>
        <v/>
      </c>
      <c r="Y43">
        <f>HYPERLINK("https://klasma.github.io/Logging_0188/tillsynsmail/A 21730-2025 tillsynsbegäran mail.docx", "A 21730-2025")</f>
        <v/>
      </c>
    </row>
    <row r="44" ht="15" customHeight="1">
      <c r="A44" t="inlineStr">
        <is>
          <t>A 41276-2025</t>
        </is>
      </c>
      <c r="B44" s="1" t="n">
        <v>45898.62723379629</v>
      </c>
      <c r="C44" s="1" t="n">
        <v>46186</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72305-2021</t>
        </is>
      </c>
      <c r="B45" s="1" t="n">
        <v>44545</v>
      </c>
      <c r="C45" s="1" t="n">
        <v>46186</v>
      </c>
      <c r="D45" t="inlineStr">
        <is>
          <t>STOCKHOLMS LÄN</t>
        </is>
      </c>
      <c r="E45" t="inlineStr">
        <is>
          <t>NORRTÄLJE</t>
        </is>
      </c>
      <c r="G45" t="n">
        <v>1.5</v>
      </c>
      <c r="H45" t="n">
        <v>1</v>
      </c>
      <c r="I45" t="n">
        <v>3</v>
      </c>
      <c r="J45" t="n">
        <v>0</v>
      </c>
      <c r="K45" t="n">
        <v>0</v>
      </c>
      <c r="L45" t="n">
        <v>0</v>
      </c>
      <c r="M45" t="n">
        <v>0</v>
      </c>
      <c r="N45" t="n">
        <v>0</v>
      </c>
      <c r="O45" t="n">
        <v>0</v>
      </c>
      <c r="P45" t="n">
        <v>0</v>
      </c>
      <c r="Q45" t="n">
        <v>4</v>
      </c>
      <c r="R45" s="2" t="inlineStr">
        <is>
          <t>Svart trolldruva
Sårläka
Vårärt
Blåsippa</t>
        </is>
      </c>
      <c r="S45">
        <f>HYPERLINK("https://klasma.github.io/Logging_0188/artfynd/A 72305-2021 artfynd.xlsx", "A 72305-2021")</f>
        <v/>
      </c>
      <c r="T45">
        <f>HYPERLINK("https://klasma.github.io/Logging_0188/kartor/A 72305-2021 karta.png", "A 72305-2021")</f>
        <v/>
      </c>
      <c r="V45">
        <f>HYPERLINK("https://klasma.github.io/Logging_0188/klagomål/A 72305-2021 FSC-klagomål.docx", "A 72305-2021")</f>
        <v/>
      </c>
      <c r="W45">
        <f>HYPERLINK("https://klasma.github.io/Logging_0188/klagomålsmail/A 72305-2021 FSC-klagomål mail.docx", "A 72305-2021")</f>
        <v/>
      </c>
      <c r="X45">
        <f>HYPERLINK("https://klasma.github.io/Logging_0188/tillsyn/A 72305-2021 tillsynsbegäran.docx", "A 72305-2021")</f>
        <v/>
      </c>
      <c r="Y45">
        <f>HYPERLINK("https://klasma.github.io/Logging_0188/tillsynsmail/A 72305-2021 tillsynsbegäran mail.docx", "A 72305-2021")</f>
        <v/>
      </c>
    </row>
    <row r="46" ht="15" customHeight="1">
      <c r="A46" t="inlineStr">
        <is>
          <t>A 34521-2025</t>
        </is>
      </c>
      <c r="B46" s="1" t="n">
        <v>45847.47052083333</v>
      </c>
      <c r="C46" s="1" t="n">
        <v>46186</v>
      </c>
      <c r="D46" t="inlineStr">
        <is>
          <t>STOCKHOLMS LÄN</t>
        </is>
      </c>
      <c r="E46" t="inlineStr">
        <is>
          <t>NORRTÄLJE</t>
        </is>
      </c>
      <c r="G46" t="n">
        <v>4.3</v>
      </c>
      <c r="H46" t="n">
        <v>0</v>
      </c>
      <c r="I46" t="n">
        <v>2</v>
      </c>
      <c r="J46" t="n">
        <v>2</v>
      </c>
      <c r="K46" t="n">
        <v>0</v>
      </c>
      <c r="L46" t="n">
        <v>0</v>
      </c>
      <c r="M46" t="n">
        <v>0</v>
      </c>
      <c r="N46" t="n">
        <v>0</v>
      </c>
      <c r="O46" t="n">
        <v>2</v>
      </c>
      <c r="P46" t="n">
        <v>0</v>
      </c>
      <c r="Q46" t="n">
        <v>4</v>
      </c>
      <c r="R46" s="2" t="inlineStr">
        <is>
          <t>Kandelabersvamp
Vedtrappmossa
Anisspindling
Stor aspticka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row>
    <row r="47" ht="15" customHeight="1">
      <c r="A47" t="inlineStr">
        <is>
          <t>A 44709-2022</t>
        </is>
      </c>
      <c r="B47" s="1" t="n">
        <v>44839</v>
      </c>
      <c r="C47" s="1" t="n">
        <v>46186</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45113-2022</t>
        </is>
      </c>
      <c r="B48" s="1" t="n">
        <v>44843</v>
      </c>
      <c r="C48" s="1" t="n">
        <v>46186</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46186</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54110-2024</t>
        </is>
      </c>
      <c r="B50" s="1" t="n">
        <v>45616.54866898148</v>
      </c>
      <c r="C50" s="1" t="n">
        <v>46186</v>
      </c>
      <c r="D50" t="inlineStr">
        <is>
          <t>STOCKHOLMS LÄN</t>
        </is>
      </c>
      <c r="E50" t="inlineStr">
        <is>
          <t>NORRTÄLJE</t>
        </is>
      </c>
      <c r="G50" t="n">
        <v>6.7</v>
      </c>
      <c r="H50" t="n">
        <v>2</v>
      </c>
      <c r="I50" t="n">
        <v>0</v>
      </c>
      <c r="J50" t="n">
        <v>1</v>
      </c>
      <c r="K50" t="n">
        <v>0</v>
      </c>
      <c r="L50" t="n">
        <v>0</v>
      </c>
      <c r="M50" t="n">
        <v>0</v>
      </c>
      <c r="N50" t="n">
        <v>0</v>
      </c>
      <c r="O50" t="n">
        <v>1</v>
      </c>
      <c r="P50" t="n">
        <v>0</v>
      </c>
      <c r="Q50" t="n">
        <v>3</v>
      </c>
      <c r="R50" s="2" t="inlineStr">
        <is>
          <t>Klasefibbla
Nattviol
Gullviva</t>
        </is>
      </c>
      <c r="S50">
        <f>HYPERLINK("https://klasma.github.io/Logging_0188/artfynd/A 54110-2024 artfynd.xlsx", "A 54110-2024")</f>
        <v/>
      </c>
      <c r="T50">
        <f>HYPERLINK("https://klasma.github.io/Logging_0188/kartor/A 54110-2024 karta.png", "A 54110-2024")</f>
        <v/>
      </c>
      <c r="V50">
        <f>HYPERLINK("https://klasma.github.io/Logging_0188/klagomål/A 54110-2024 FSC-klagomål.docx", "A 54110-2024")</f>
        <v/>
      </c>
      <c r="W50">
        <f>HYPERLINK("https://klasma.github.io/Logging_0188/klagomålsmail/A 54110-2024 FSC-klagomål mail.docx", "A 54110-2024")</f>
        <v/>
      </c>
      <c r="X50">
        <f>HYPERLINK("https://klasma.github.io/Logging_0188/tillsyn/A 54110-2024 tillsynsbegäran.docx", "A 54110-2024")</f>
        <v/>
      </c>
      <c r="Y50">
        <f>HYPERLINK("https://klasma.github.io/Logging_0188/tillsynsmail/A 54110-2024 tillsynsbegäran mail.docx", "A 54110-2024")</f>
        <v/>
      </c>
    </row>
    <row r="51" ht="15" customHeight="1">
      <c r="A51" t="inlineStr">
        <is>
          <t>A 29185-2025</t>
        </is>
      </c>
      <c r="B51" s="1" t="n">
        <v>45821</v>
      </c>
      <c r="C51" s="1" t="n">
        <v>46186</v>
      </c>
      <c r="D51" t="inlineStr">
        <is>
          <t>STOCKHOLMS LÄN</t>
        </is>
      </c>
      <c r="E51" t="inlineStr">
        <is>
          <t>NORRTÄLJE</t>
        </is>
      </c>
      <c r="F51" t="inlineStr">
        <is>
          <t>Övriga Aktiebolag</t>
        </is>
      </c>
      <c r="G51" t="n">
        <v>8.5</v>
      </c>
      <c r="H51" t="n">
        <v>2</v>
      </c>
      <c r="I51" t="n">
        <v>1</v>
      </c>
      <c r="J51" t="n">
        <v>0</v>
      </c>
      <c r="K51" t="n">
        <v>0</v>
      </c>
      <c r="L51" t="n">
        <v>0</v>
      </c>
      <c r="M51" t="n">
        <v>0</v>
      </c>
      <c r="N51" t="n">
        <v>0</v>
      </c>
      <c r="O51" t="n">
        <v>0</v>
      </c>
      <c r="P51" t="n">
        <v>0</v>
      </c>
      <c r="Q51" t="n">
        <v>3</v>
      </c>
      <c r="R51" s="2" t="inlineStr">
        <is>
          <t>Vårärt
Fläcknycklar
Blåsippa</t>
        </is>
      </c>
      <c r="S51">
        <f>HYPERLINK("https://klasma.github.io/Logging_0188/artfynd/A 29185-2025 artfynd.xlsx", "A 29185-2025")</f>
        <v/>
      </c>
      <c r="T51">
        <f>HYPERLINK("https://klasma.github.io/Logging_0188/kartor/A 29185-2025 karta.png", "A 29185-2025")</f>
        <v/>
      </c>
      <c r="V51">
        <f>HYPERLINK("https://klasma.github.io/Logging_0188/klagomål/A 29185-2025 FSC-klagomål.docx", "A 29185-2025")</f>
        <v/>
      </c>
      <c r="W51">
        <f>HYPERLINK("https://klasma.github.io/Logging_0188/klagomålsmail/A 29185-2025 FSC-klagomål mail.docx", "A 29185-2025")</f>
        <v/>
      </c>
      <c r="X51">
        <f>HYPERLINK("https://klasma.github.io/Logging_0188/tillsyn/A 29185-2025 tillsynsbegäran.docx", "A 29185-2025")</f>
        <v/>
      </c>
      <c r="Y51">
        <f>HYPERLINK("https://klasma.github.io/Logging_0188/tillsynsmail/A 29185-2025 tillsynsbegäran mail.docx", "A 29185-2025")</f>
        <v/>
      </c>
    </row>
    <row r="52" ht="15" customHeight="1">
      <c r="A52" t="inlineStr">
        <is>
          <t>A 22190-2024</t>
        </is>
      </c>
      <c r="B52" s="1" t="n">
        <v>45446.35888888889</v>
      </c>
      <c r="C52" s="1" t="n">
        <v>46186</v>
      </c>
      <c r="D52" t="inlineStr">
        <is>
          <t>STOCKHOLMS LÄN</t>
        </is>
      </c>
      <c r="E52" t="inlineStr">
        <is>
          <t>NORRTÄLJE</t>
        </is>
      </c>
      <c r="G52" t="n">
        <v>2.8</v>
      </c>
      <c r="H52" t="n">
        <v>3</v>
      </c>
      <c r="I52" t="n">
        <v>1</v>
      </c>
      <c r="J52" t="n">
        <v>0</v>
      </c>
      <c r="K52" t="n">
        <v>0</v>
      </c>
      <c r="L52" t="n">
        <v>0</v>
      </c>
      <c r="M52" t="n">
        <v>0</v>
      </c>
      <c r="N52" t="n">
        <v>0</v>
      </c>
      <c r="O52" t="n">
        <v>0</v>
      </c>
      <c r="P52" t="n">
        <v>0</v>
      </c>
      <c r="Q52" t="n">
        <v>3</v>
      </c>
      <c r="R52" s="2" t="inlineStr">
        <is>
          <t>Skogsknipprot
Åkergroda
Vanlig groda</t>
        </is>
      </c>
      <c r="S52">
        <f>HYPERLINK("https://klasma.github.io/Logging_0188/artfynd/A 22190-2024 artfynd.xlsx", "A 22190-2024")</f>
        <v/>
      </c>
      <c r="T52">
        <f>HYPERLINK("https://klasma.github.io/Logging_0188/kartor/A 22190-2024 karta.png", "A 22190-2024")</f>
        <v/>
      </c>
      <c r="V52">
        <f>HYPERLINK("https://klasma.github.io/Logging_0188/klagomål/A 22190-2024 FSC-klagomål.docx", "A 22190-2024")</f>
        <v/>
      </c>
      <c r="W52">
        <f>HYPERLINK("https://klasma.github.io/Logging_0188/klagomålsmail/A 22190-2024 FSC-klagomål mail.docx", "A 22190-2024")</f>
        <v/>
      </c>
      <c r="X52">
        <f>HYPERLINK("https://klasma.github.io/Logging_0188/tillsyn/A 22190-2024 tillsynsbegäran.docx", "A 22190-2024")</f>
        <v/>
      </c>
      <c r="Y52">
        <f>HYPERLINK("https://klasma.github.io/Logging_0188/tillsynsmail/A 22190-2024 tillsynsbegäran mail.docx", "A 22190-2024")</f>
        <v/>
      </c>
    </row>
    <row r="53" ht="15" customHeight="1">
      <c r="A53" t="inlineStr">
        <is>
          <t>A 34524-2025</t>
        </is>
      </c>
      <c r="B53" s="1" t="n">
        <v>45847.47685185185</v>
      </c>
      <c r="C53" s="1" t="n">
        <v>46186</v>
      </c>
      <c r="D53" t="inlineStr">
        <is>
          <t>STOCKHOLMS LÄN</t>
        </is>
      </c>
      <c r="E53" t="inlineStr">
        <is>
          <t>NORRTÄLJE</t>
        </is>
      </c>
      <c r="G53" t="n">
        <v>3.3</v>
      </c>
      <c r="H53" t="n">
        <v>0</v>
      </c>
      <c r="I53" t="n">
        <v>1</v>
      </c>
      <c r="J53" t="n">
        <v>2</v>
      </c>
      <c r="K53" t="n">
        <v>0</v>
      </c>
      <c r="L53" t="n">
        <v>0</v>
      </c>
      <c r="M53" t="n">
        <v>0</v>
      </c>
      <c r="N53" t="n">
        <v>0</v>
      </c>
      <c r="O53" t="n">
        <v>2</v>
      </c>
      <c r="P53" t="n">
        <v>0</v>
      </c>
      <c r="Q53" t="n">
        <v>3</v>
      </c>
      <c r="R53" s="2" t="inlineStr">
        <is>
          <t>Tallticka
Vedtrappmossa
Kornknutmossa</t>
        </is>
      </c>
      <c r="S53">
        <f>HYPERLINK("https://klasma.github.io/Logging_0188/artfynd/A 34524-2025 artfynd.xlsx", "A 34524-2025")</f>
        <v/>
      </c>
      <c r="T53">
        <f>HYPERLINK("https://klasma.github.io/Logging_0188/kartor/A 34524-2025 karta.png", "A 34524-2025")</f>
        <v/>
      </c>
      <c r="V53">
        <f>HYPERLINK("https://klasma.github.io/Logging_0188/klagomål/A 34524-2025 FSC-klagomål.docx", "A 34524-2025")</f>
        <v/>
      </c>
      <c r="W53">
        <f>HYPERLINK("https://klasma.github.io/Logging_0188/klagomålsmail/A 34524-2025 FSC-klagomål mail.docx", "A 34524-2025")</f>
        <v/>
      </c>
      <c r="X53">
        <f>HYPERLINK("https://klasma.github.io/Logging_0188/tillsyn/A 34524-2025 tillsynsbegäran.docx", "A 34524-2025")</f>
        <v/>
      </c>
      <c r="Y53">
        <f>HYPERLINK("https://klasma.github.io/Logging_0188/tillsynsmail/A 34524-2025 tillsynsbegäran mail.docx", "A 34524-2025")</f>
        <v/>
      </c>
    </row>
    <row r="54" ht="15" customHeight="1">
      <c r="A54" t="inlineStr">
        <is>
          <t>A 27870-2022</t>
        </is>
      </c>
      <c r="B54" s="1" t="n">
        <v>44743.64592592593</v>
      </c>
      <c r="C54" s="1" t="n">
        <v>46186</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40192-2023</t>
        </is>
      </c>
      <c r="B55" s="1" t="n">
        <v>45169</v>
      </c>
      <c r="C55" s="1" t="n">
        <v>46186</v>
      </c>
      <c r="D55" t="inlineStr">
        <is>
          <t>STOCKHOLMS LÄN</t>
        </is>
      </c>
      <c r="E55" t="inlineStr">
        <is>
          <t>NORRTÄLJE</t>
        </is>
      </c>
      <c r="F55" t="inlineStr">
        <is>
          <t>Kyrkan</t>
        </is>
      </c>
      <c r="G55" t="n">
        <v>0.7</v>
      </c>
      <c r="H55" t="n">
        <v>3</v>
      </c>
      <c r="I55" t="n">
        <v>0</v>
      </c>
      <c r="J55" t="n">
        <v>0</v>
      </c>
      <c r="K55" t="n">
        <v>0</v>
      </c>
      <c r="L55" t="n">
        <v>0</v>
      </c>
      <c r="M55" t="n">
        <v>0</v>
      </c>
      <c r="N55" t="n">
        <v>0</v>
      </c>
      <c r="O55" t="n">
        <v>0</v>
      </c>
      <c r="P55" t="n">
        <v>0</v>
      </c>
      <c r="Q55" t="n">
        <v>3</v>
      </c>
      <c r="R55" s="2" t="inlineStr">
        <is>
          <t>Grönsiska
Skogsduva
Törnskata</t>
        </is>
      </c>
      <c r="S55">
        <f>HYPERLINK("https://klasma.github.io/Logging_0188/artfynd/A 40192-2023 artfynd.xlsx", "A 40192-2023")</f>
        <v/>
      </c>
      <c r="T55">
        <f>HYPERLINK("https://klasma.github.io/Logging_0188/kartor/A 40192-2023 karta.png", "A 40192-2023")</f>
        <v/>
      </c>
      <c r="V55">
        <f>HYPERLINK("https://klasma.github.io/Logging_0188/klagomål/A 40192-2023 FSC-klagomål.docx", "A 40192-2023")</f>
        <v/>
      </c>
      <c r="W55">
        <f>HYPERLINK("https://klasma.github.io/Logging_0188/klagomålsmail/A 40192-2023 FSC-klagomål mail.docx", "A 40192-2023")</f>
        <v/>
      </c>
      <c r="X55">
        <f>HYPERLINK("https://klasma.github.io/Logging_0188/tillsyn/A 40192-2023 tillsynsbegäran.docx", "A 40192-2023")</f>
        <v/>
      </c>
      <c r="Y55">
        <f>HYPERLINK("https://klasma.github.io/Logging_0188/tillsynsmail/A 40192-2023 tillsynsbegäran mail.docx", "A 40192-2023")</f>
        <v/>
      </c>
      <c r="Z55">
        <f>HYPERLINK("https://klasma.github.io/Logging_0188/fåglar/A 40192-2023 prioriterade fågelarter.docx", "A 40192-2023")</f>
        <v/>
      </c>
    </row>
    <row r="56" ht="15" customHeight="1">
      <c r="A56" t="inlineStr">
        <is>
          <t>A 50618-2022</t>
        </is>
      </c>
      <c r="B56" s="1" t="n">
        <v>44866</v>
      </c>
      <c r="C56" s="1" t="n">
        <v>46186</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25913-2026</t>
        </is>
      </c>
      <c r="B57" s="1" t="n">
        <v>46178.72743055555</v>
      </c>
      <c r="C57" s="1" t="n">
        <v>46186</v>
      </c>
      <c r="D57" t="inlineStr">
        <is>
          <t>STOCKHOLMS LÄN</t>
        </is>
      </c>
      <c r="E57" t="inlineStr">
        <is>
          <t>NORRTÄLJE</t>
        </is>
      </c>
      <c r="G57" t="n">
        <v>10.3</v>
      </c>
      <c r="H57" t="n">
        <v>2</v>
      </c>
      <c r="I57" t="n">
        <v>0</v>
      </c>
      <c r="J57" t="n">
        <v>3</v>
      </c>
      <c r="K57" t="n">
        <v>0</v>
      </c>
      <c r="L57" t="n">
        <v>0</v>
      </c>
      <c r="M57" t="n">
        <v>0</v>
      </c>
      <c r="N57" t="n">
        <v>0</v>
      </c>
      <c r="O57" t="n">
        <v>3</v>
      </c>
      <c r="P57" t="n">
        <v>0</v>
      </c>
      <c r="Q57" t="n">
        <v>3</v>
      </c>
      <c r="R57" s="2" t="inlineStr">
        <is>
          <t>Havsörn
Igelkott
Talltita</t>
        </is>
      </c>
      <c r="S57">
        <f>HYPERLINK("https://klasma.github.io/Logging_0188/artfynd/A 25913-2026 artfynd.xlsx", "A 25913-2026")</f>
        <v/>
      </c>
      <c r="T57">
        <f>HYPERLINK("https://klasma.github.io/Logging_0188/kartor/A 25913-2026 karta.png", "A 25913-2026")</f>
        <v/>
      </c>
      <c r="V57">
        <f>HYPERLINK("https://klasma.github.io/Logging_0188/klagomål/A 25913-2026 FSC-klagomål.docx", "A 25913-2026")</f>
        <v/>
      </c>
      <c r="W57">
        <f>HYPERLINK("https://klasma.github.io/Logging_0188/klagomålsmail/A 25913-2026 FSC-klagomål mail.docx", "A 25913-2026")</f>
        <v/>
      </c>
      <c r="X57">
        <f>HYPERLINK("https://klasma.github.io/Logging_0188/tillsyn/A 25913-2026 tillsynsbegäran.docx", "A 25913-2026")</f>
        <v/>
      </c>
      <c r="Y57">
        <f>HYPERLINK("https://klasma.github.io/Logging_0188/tillsynsmail/A 25913-2026 tillsynsbegäran mail.docx", "A 25913-2026")</f>
        <v/>
      </c>
      <c r="Z57">
        <f>HYPERLINK("https://klasma.github.io/Logging_0188/fåglar/A 25913-2026 prioriterade fågelarter.docx", "A 25913-2026")</f>
        <v/>
      </c>
    </row>
    <row r="58" ht="15" customHeight="1">
      <c r="A58" t="inlineStr">
        <is>
          <t>A 26221-2026</t>
        </is>
      </c>
      <c r="B58" s="1" t="n">
        <v>46182.45509259259</v>
      </c>
      <c r="C58" s="1" t="n">
        <v>46186</v>
      </c>
      <c r="D58" t="inlineStr">
        <is>
          <t>STOCKHOLMS LÄN</t>
        </is>
      </c>
      <c r="E58" t="inlineStr">
        <is>
          <t>NORRTÄLJE</t>
        </is>
      </c>
      <c r="G58" t="n">
        <v>4.1</v>
      </c>
      <c r="H58" t="n">
        <v>3</v>
      </c>
      <c r="I58" t="n">
        <v>0</v>
      </c>
      <c r="J58" t="n">
        <v>3</v>
      </c>
      <c r="K58" t="n">
        <v>0</v>
      </c>
      <c r="L58" t="n">
        <v>0</v>
      </c>
      <c r="M58" t="n">
        <v>0</v>
      </c>
      <c r="N58" t="n">
        <v>0</v>
      </c>
      <c r="O58" t="n">
        <v>3</v>
      </c>
      <c r="P58" t="n">
        <v>0</v>
      </c>
      <c r="Q58" t="n">
        <v>3</v>
      </c>
      <c r="R58" s="2" t="inlineStr">
        <is>
          <t>Duvhök
Havsörn
Kråka</t>
        </is>
      </c>
      <c r="S58">
        <f>HYPERLINK("https://klasma.github.io/Logging_0188/artfynd/A 26221-2026 artfynd.xlsx", "A 26221-2026")</f>
        <v/>
      </c>
      <c r="T58">
        <f>HYPERLINK("https://klasma.github.io/Logging_0188/kartor/A 26221-2026 karta.png", "A 26221-2026")</f>
        <v/>
      </c>
      <c r="V58">
        <f>HYPERLINK("https://klasma.github.io/Logging_0188/klagomål/A 26221-2026 FSC-klagomål.docx", "A 26221-2026")</f>
        <v/>
      </c>
      <c r="W58">
        <f>HYPERLINK("https://klasma.github.io/Logging_0188/klagomålsmail/A 26221-2026 FSC-klagomål mail.docx", "A 26221-2026")</f>
        <v/>
      </c>
      <c r="X58">
        <f>HYPERLINK("https://klasma.github.io/Logging_0188/tillsyn/A 26221-2026 tillsynsbegäran.docx", "A 26221-2026")</f>
        <v/>
      </c>
      <c r="Y58">
        <f>HYPERLINK("https://klasma.github.io/Logging_0188/tillsynsmail/A 26221-2026 tillsynsbegäran mail.docx", "A 26221-2026")</f>
        <v/>
      </c>
      <c r="Z58">
        <f>HYPERLINK("https://klasma.github.io/Logging_0188/fåglar/A 26221-2026 prioriterade fågelarter.docx", "A 26221-2026")</f>
        <v/>
      </c>
    </row>
    <row r="59" ht="15" customHeight="1">
      <c r="A59" t="inlineStr">
        <is>
          <t>A 20185-2022</t>
        </is>
      </c>
      <c r="B59" s="1" t="n">
        <v>44698</v>
      </c>
      <c r="C59" s="1" t="n">
        <v>46186</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52133-2022</t>
        </is>
      </c>
      <c r="B60" s="1" t="n">
        <v>44868</v>
      </c>
      <c r="C60" s="1" t="n">
        <v>46186</v>
      </c>
      <c r="D60" t="inlineStr">
        <is>
          <t>STOCKHOLMS LÄN</t>
        </is>
      </c>
      <c r="E60" t="inlineStr">
        <is>
          <t>NORRTÄLJE</t>
        </is>
      </c>
      <c r="G60" t="n">
        <v>11.5</v>
      </c>
      <c r="H60" t="n">
        <v>1</v>
      </c>
      <c r="I60" t="n">
        <v>0</v>
      </c>
      <c r="J60" t="n">
        <v>1</v>
      </c>
      <c r="K60" t="n">
        <v>1</v>
      </c>
      <c r="L60" t="n">
        <v>0</v>
      </c>
      <c r="M60" t="n">
        <v>0</v>
      </c>
      <c r="N60" t="n">
        <v>0</v>
      </c>
      <c r="O60" t="n">
        <v>2</v>
      </c>
      <c r="P60" t="n">
        <v>1</v>
      </c>
      <c r="Q60" t="n">
        <v>2</v>
      </c>
      <c r="R60" s="2" t="inlineStr">
        <is>
          <t>Knärot
Grön aspvedbock</t>
        </is>
      </c>
      <c r="S60">
        <f>HYPERLINK("https://klasma.github.io/Logging_0188/artfynd/A 52133-2022 artfynd.xlsx", "A 52133-2022")</f>
        <v/>
      </c>
      <c r="T60">
        <f>HYPERLINK("https://klasma.github.io/Logging_0188/kartor/A 52133-2022 karta.png", "A 52133-2022")</f>
        <v/>
      </c>
      <c r="U60">
        <f>HYPERLINK("https://klasma.github.io/Logging_0188/knärot/A 52133-2022 karta knärot.png", "A 52133-2022")</f>
        <v/>
      </c>
      <c r="V60">
        <f>HYPERLINK("https://klasma.github.io/Logging_0188/klagomål/A 52133-2022 FSC-klagomål.docx", "A 52133-2022")</f>
        <v/>
      </c>
      <c r="W60">
        <f>HYPERLINK("https://klasma.github.io/Logging_0188/klagomålsmail/A 52133-2022 FSC-klagomål mail.docx", "A 52133-2022")</f>
        <v/>
      </c>
      <c r="X60">
        <f>HYPERLINK("https://klasma.github.io/Logging_0188/tillsyn/A 52133-2022 tillsynsbegäran.docx", "A 52133-2022")</f>
        <v/>
      </c>
      <c r="Y60">
        <f>HYPERLINK("https://klasma.github.io/Logging_0188/tillsynsmail/A 52133-2022 tillsynsbegäran mail.docx", "A 52133-2022")</f>
        <v/>
      </c>
    </row>
    <row r="61" ht="15" customHeight="1">
      <c r="A61" t="inlineStr">
        <is>
          <t>A 31803-2021</t>
        </is>
      </c>
      <c r="B61" s="1" t="n">
        <v>44370</v>
      </c>
      <c r="C61" s="1" t="n">
        <v>46186</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46186</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46186</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50697-2025</t>
        </is>
      </c>
      <c r="B64" s="1" t="n">
        <v>45945.90854166666</v>
      </c>
      <c r="C64" s="1" t="n">
        <v>46186</v>
      </c>
      <c r="D64" t="inlineStr">
        <is>
          <t>STOCKHOLMS LÄN</t>
        </is>
      </c>
      <c r="E64" t="inlineStr">
        <is>
          <t>NORRTÄLJE</t>
        </is>
      </c>
      <c r="G64" t="n">
        <v>5.5</v>
      </c>
      <c r="H64" t="n">
        <v>0</v>
      </c>
      <c r="I64" t="n">
        <v>0</v>
      </c>
      <c r="J64" t="n">
        <v>2</v>
      </c>
      <c r="K64" t="n">
        <v>0</v>
      </c>
      <c r="L64" t="n">
        <v>0</v>
      </c>
      <c r="M64" t="n">
        <v>0</v>
      </c>
      <c r="N64" t="n">
        <v>0</v>
      </c>
      <c r="O64" t="n">
        <v>2</v>
      </c>
      <c r="P64" t="n">
        <v>0</v>
      </c>
      <c r="Q64" t="n">
        <v>2</v>
      </c>
      <c r="R64" s="2" t="inlineStr">
        <is>
          <t>Skogsklocka
Småflikig brosklav</t>
        </is>
      </c>
      <c r="S64">
        <f>HYPERLINK("https://klasma.github.io/Logging_0188/artfynd/A 50697-2025 artfynd.xlsx", "A 50697-2025")</f>
        <v/>
      </c>
      <c r="T64">
        <f>HYPERLINK("https://klasma.github.io/Logging_0188/kartor/A 50697-2025 karta.png", "A 50697-2025")</f>
        <v/>
      </c>
      <c r="V64">
        <f>HYPERLINK("https://klasma.github.io/Logging_0188/klagomål/A 50697-2025 FSC-klagomål.docx", "A 50697-2025")</f>
        <v/>
      </c>
      <c r="W64">
        <f>HYPERLINK("https://klasma.github.io/Logging_0188/klagomålsmail/A 50697-2025 FSC-klagomål mail.docx", "A 50697-2025")</f>
        <v/>
      </c>
      <c r="X64">
        <f>HYPERLINK("https://klasma.github.io/Logging_0188/tillsyn/A 50697-2025 tillsynsbegäran.docx", "A 50697-2025")</f>
        <v/>
      </c>
      <c r="Y64">
        <f>HYPERLINK("https://klasma.github.io/Logging_0188/tillsynsmail/A 50697-2025 tillsynsbegäran mail.docx", "A 50697-2025")</f>
        <v/>
      </c>
    </row>
    <row r="65" ht="15" customHeight="1">
      <c r="A65" t="inlineStr">
        <is>
          <t>A 30693-2022</t>
        </is>
      </c>
      <c r="B65" s="1" t="n">
        <v>44763</v>
      </c>
      <c r="C65" s="1" t="n">
        <v>46186</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17952-2022</t>
        </is>
      </c>
      <c r="B66" s="1" t="n">
        <v>44683</v>
      </c>
      <c r="C66" s="1" t="n">
        <v>46186</v>
      </c>
      <c r="D66" t="inlineStr">
        <is>
          <t>STOCKHOLMS LÄN</t>
        </is>
      </c>
      <c r="E66" t="inlineStr">
        <is>
          <t>NORRTÄLJE</t>
        </is>
      </c>
      <c r="G66" t="n">
        <v>51.1</v>
      </c>
      <c r="H66" t="n">
        <v>1</v>
      </c>
      <c r="I66" t="n">
        <v>0</v>
      </c>
      <c r="J66" t="n">
        <v>0</v>
      </c>
      <c r="K66" t="n">
        <v>1</v>
      </c>
      <c r="L66" t="n">
        <v>0</v>
      </c>
      <c r="M66" t="n">
        <v>0</v>
      </c>
      <c r="N66" t="n">
        <v>0</v>
      </c>
      <c r="O66" t="n">
        <v>1</v>
      </c>
      <c r="P66" t="n">
        <v>1</v>
      </c>
      <c r="Q66" t="n">
        <v>2</v>
      </c>
      <c r="R66" s="2" t="inlineStr">
        <is>
          <t>Kattunvisslare
Revlummer</t>
        </is>
      </c>
      <c r="S66">
        <f>HYPERLINK("https://klasma.github.io/Logging_0188/artfynd/A 17952-2022 artfynd.xlsx", "A 17952-2022")</f>
        <v/>
      </c>
      <c r="T66">
        <f>HYPERLINK("https://klasma.github.io/Logging_0188/kartor/A 17952-2022 karta.png", "A 17952-2022")</f>
        <v/>
      </c>
      <c r="V66">
        <f>HYPERLINK("https://klasma.github.io/Logging_0188/klagomål/A 17952-2022 FSC-klagomål.docx", "A 17952-2022")</f>
        <v/>
      </c>
      <c r="W66">
        <f>HYPERLINK("https://klasma.github.io/Logging_0188/klagomålsmail/A 17952-2022 FSC-klagomål mail.docx", "A 17952-2022")</f>
        <v/>
      </c>
      <c r="X66">
        <f>HYPERLINK("https://klasma.github.io/Logging_0188/tillsyn/A 17952-2022 tillsynsbegäran.docx", "A 17952-2022")</f>
        <v/>
      </c>
      <c r="Y66">
        <f>HYPERLINK("https://klasma.github.io/Logging_0188/tillsynsmail/A 17952-2022 tillsynsbegäran mail.docx", "A 17952-2022")</f>
        <v/>
      </c>
    </row>
    <row r="67" ht="15" customHeight="1">
      <c r="A67" t="inlineStr">
        <is>
          <t>A 21781-2026</t>
        </is>
      </c>
      <c r="B67" s="1" t="n">
        <v>46150.37699074074</v>
      </c>
      <c r="C67" s="1" t="n">
        <v>46186</v>
      </c>
      <c r="D67" t="inlineStr">
        <is>
          <t>STOCKHOLMS LÄN</t>
        </is>
      </c>
      <c r="E67" t="inlineStr">
        <is>
          <t>NORRTÄLJE</t>
        </is>
      </c>
      <c r="G67" t="n">
        <v>6.2</v>
      </c>
      <c r="H67" t="n">
        <v>1</v>
      </c>
      <c r="I67" t="n">
        <v>0</v>
      </c>
      <c r="J67" t="n">
        <v>1</v>
      </c>
      <c r="K67" t="n">
        <v>1</v>
      </c>
      <c r="L67" t="n">
        <v>0</v>
      </c>
      <c r="M67" t="n">
        <v>0</v>
      </c>
      <c r="N67" t="n">
        <v>0</v>
      </c>
      <c r="O67" t="n">
        <v>2</v>
      </c>
      <c r="P67" t="n">
        <v>1</v>
      </c>
      <c r="Q67" t="n">
        <v>2</v>
      </c>
      <c r="R67" s="2" t="inlineStr">
        <is>
          <t>Hällebräcka
Slåtterfibbla</t>
        </is>
      </c>
      <c r="S67">
        <f>HYPERLINK("https://klasma.github.io/Logging_0188/artfynd/A 21781-2026 artfynd.xlsx", "A 21781-2026")</f>
        <v/>
      </c>
      <c r="T67">
        <f>HYPERLINK("https://klasma.github.io/Logging_0188/kartor/A 21781-2026 karta.png", "A 21781-2026")</f>
        <v/>
      </c>
      <c r="V67">
        <f>HYPERLINK("https://klasma.github.io/Logging_0188/klagomål/A 21781-2026 FSC-klagomål.docx", "A 21781-2026")</f>
        <v/>
      </c>
      <c r="W67">
        <f>HYPERLINK("https://klasma.github.io/Logging_0188/klagomålsmail/A 21781-2026 FSC-klagomål mail.docx", "A 21781-2026")</f>
        <v/>
      </c>
      <c r="X67">
        <f>HYPERLINK("https://klasma.github.io/Logging_0188/tillsyn/A 21781-2026 tillsynsbegäran.docx", "A 21781-2026")</f>
        <v/>
      </c>
      <c r="Y67">
        <f>HYPERLINK("https://klasma.github.io/Logging_0188/tillsynsmail/A 21781-2026 tillsynsbegäran mail.docx", "A 21781-2026")</f>
        <v/>
      </c>
    </row>
    <row r="68" ht="15" customHeight="1">
      <c r="A68" t="inlineStr">
        <is>
          <t>A 51980-2022</t>
        </is>
      </c>
      <c r="B68" s="1" t="n">
        <v>44872</v>
      </c>
      <c r="C68" s="1" t="n">
        <v>46186</v>
      </c>
      <c r="D68" t="inlineStr">
        <is>
          <t>STOCKHOLMS LÄN</t>
        </is>
      </c>
      <c r="E68" t="inlineStr">
        <is>
          <t>NORRTÄLJE</t>
        </is>
      </c>
      <c r="G68" t="n">
        <v>7.9</v>
      </c>
      <c r="H68" t="n">
        <v>1</v>
      </c>
      <c r="I68" t="n">
        <v>2</v>
      </c>
      <c r="J68" t="n">
        <v>0</v>
      </c>
      <c r="K68" t="n">
        <v>0</v>
      </c>
      <c r="L68" t="n">
        <v>0</v>
      </c>
      <c r="M68" t="n">
        <v>0</v>
      </c>
      <c r="N68" t="n">
        <v>0</v>
      </c>
      <c r="O68" t="n">
        <v>0</v>
      </c>
      <c r="P68" t="n">
        <v>0</v>
      </c>
      <c r="Q68" t="n">
        <v>2</v>
      </c>
      <c r="R68" s="2" t="inlineStr">
        <is>
          <t>Rödgul trumpetsvamp
Skogsknipprot</t>
        </is>
      </c>
      <c r="S68">
        <f>HYPERLINK("https://klasma.github.io/Logging_0188/artfynd/A 51980-2022 artfynd.xlsx", "A 51980-2022")</f>
        <v/>
      </c>
      <c r="T68">
        <f>HYPERLINK("https://klasma.github.io/Logging_0188/kartor/A 51980-2022 karta.png", "A 51980-2022")</f>
        <v/>
      </c>
      <c r="V68">
        <f>HYPERLINK("https://klasma.github.io/Logging_0188/klagomål/A 51980-2022 FSC-klagomål.docx", "A 51980-2022")</f>
        <v/>
      </c>
      <c r="W68">
        <f>HYPERLINK("https://klasma.github.io/Logging_0188/klagomålsmail/A 51980-2022 FSC-klagomål mail.docx", "A 51980-2022")</f>
        <v/>
      </c>
      <c r="X68">
        <f>HYPERLINK("https://klasma.github.io/Logging_0188/tillsyn/A 51980-2022 tillsynsbegäran.docx", "A 51980-2022")</f>
        <v/>
      </c>
      <c r="Y68">
        <f>HYPERLINK("https://klasma.github.io/Logging_0188/tillsynsmail/A 51980-2022 tillsynsbegäran mail.docx", "A 51980-2022")</f>
        <v/>
      </c>
    </row>
    <row r="69" ht="15" customHeight="1">
      <c r="A69" t="inlineStr">
        <is>
          <t>A 23548-2026</t>
        </is>
      </c>
      <c r="B69" s="1" t="n">
        <v>46163.57045138889</v>
      </c>
      <c r="C69" s="1" t="n">
        <v>46186</v>
      </c>
      <c r="D69" t="inlineStr">
        <is>
          <t>STOCKHOLMS LÄN</t>
        </is>
      </c>
      <c r="E69" t="inlineStr">
        <is>
          <t>NORRTÄLJE</t>
        </is>
      </c>
      <c r="G69" t="n">
        <v>2.3</v>
      </c>
      <c r="H69" t="n">
        <v>2</v>
      </c>
      <c r="I69" t="n">
        <v>0</v>
      </c>
      <c r="J69" t="n">
        <v>0</v>
      </c>
      <c r="K69" t="n">
        <v>0</v>
      </c>
      <c r="L69" t="n">
        <v>0</v>
      </c>
      <c r="M69" t="n">
        <v>0</v>
      </c>
      <c r="N69" t="n">
        <v>0</v>
      </c>
      <c r="O69" t="n">
        <v>0</v>
      </c>
      <c r="P69" t="n">
        <v>0</v>
      </c>
      <c r="Q69" t="n">
        <v>2</v>
      </c>
      <c r="R69" s="2" t="inlineStr">
        <is>
          <t>Nattviol × grönvit nattviol
Ängsnattviol × grönvit nattviol</t>
        </is>
      </c>
      <c r="S69">
        <f>HYPERLINK("https://klasma.github.io/Logging_0188/artfynd/A 23548-2026 artfynd.xlsx", "A 23548-2026")</f>
        <v/>
      </c>
      <c r="T69">
        <f>HYPERLINK("https://klasma.github.io/Logging_0188/kartor/A 23548-2026 karta.png", "A 23548-2026")</f>
        <v/>
      </c>
      <c r="V69">
        <f>HYPERLINK("https://klasma.github.io/Logging_0188/klagomål/A 23548-2026 FSC-klagomål.docx", "A 23548-2026")</f>
        <v/>
      </c>
      <c r="W69">
        <f>HYPERLINK("https://klasma.github.io/Logging_0188/klagomålsmail/A 23548-2026 FSC-klagomål mail.docx", "A 23548-2026")</f>
        <v/>
      </c>
      <c r="X69">
        <f>HYPERLINK("https://klasma.github.io/Logging_0188/tillsyn/A 23548-2026 tillsynsbegäran.docx", "A 23548-2026")</f>
        <v/>
      </c>
      <c r="Y69">
        <f>HYPERLINK("https://klasma.github.io/Logging_0188/tillsynsmail/A 23548-2026 tillsynsbegäran mail.docx", "A 23548-2026")</f>
        <v/>
      </c>
    </row>
    <row r="70" ht="15" customHeight="1">
      <c r="A70" t="inlineStr">
        <is>
          <t>A 51220-2023</t>
        </is>
      </c>
      <c r="B70" s="1" t="n">
        <v>45219</v>
      </c>
      <c r="C70" s="1" t="n">
        <v>46186</v>
      </c>
      <c r="D70" t="inlineStr">
        <is>
          <t>STOCKHOLMS LÄN</t>
        </is>
      </c>
      <c r="E70" t="inlineStr">
        <is>
          <t>NORRTÄLJE</t>
        </is>
      </c>
      <c r="G70" t="n">
        <v>7.7</v>
      </c>
      <c r="H70" t="n">
        <v>1</v>
      </c>
      <c r="I70" t="n">
        <v>0</v>
      </c>
      <c r="J70" t="n">
        <v>1</v>
      </c>
      <c r="K70" t="n">
        <v>0</v>
      </c>
      <c r="L70" t="n">
        <v>0</v>
      </c>
      <c r="M70" t="n">
        <v>0</v>
      </c>
      <c r="N70" t="n">
        <v>0</v>
      </c>
      <c r="O70" t="n">
        <v>1</v>
      </c>
      <c r="P70" t="n">
        <v>0</v>
      </c>
      <c r="Q70" t="n">
        <v>2</v>
      </c>
      <c r="R70" s="2" t="inlineStr">
        <is>
          <t>Ullticka
Blåsippa</t>
        </is>
      </c>
      <c r="S70">
        <f>HYPERLINK("https://klasma.github.io/Logging_0188/artfynd/A 51220-2023 artfynd.xlsx", "A 51220-2023")</f>
        <v/>
      </c>
      <c r="T70">
        <f>HYPERLINK("https://klasma.github.io/Logging_0188/kartor/A 51220-2023 karta.png", "A 51220-2023")</f>
        <v/>
      </c>
      <c r="V70">
        <f>HYPERLINK("https://klasma.github.io/Logging_0188/klagomål/A 51220-2023 FSC-klagomål.docx", "A 51220-2023")</f>
        <v/>
      </c>
      <c r="W70">
        <f>HYPERLINK("https://klasma.github.io/Logging_0188/klagomålsmail/A 51220-2023 FSC-klagomål mail.docx", "A 51220-2023")</f>
        <v/>
      </c>
      <c r="X70">
        <f>HYPERLINK("https://klasma.github.io/Logging_0188/tillsyn/A 51220-2023 tillsynsbegäran.docx", "A 51220-2023")</f>
        <v/>
      </c>
      <c r="Y70">
        <f>HYPERLINK("https://klasma.github.io/Logging_0188/tillsynsmail/A 51220-2023 tillsynsbegäran mail.docx", "A 51220-2023")</f>
        <v/>
      </c>
    </row>
    <row r="71" ht="15" customHeight="1">
      <c r="A71" t="inlineStr">
        <is>
          <t>A 52124-2022</t>
        </is>
      </c>
      <c r="B71" s="1" t="n">
        <v>44868</v>
      </c>
      <c r="C71" s="1" t="n">
        <v>46186</v>
      </c>
      <c r="D71" t="inlineStr">
        <is>
          <t>STOCKHOLMS LÄN</t>
        </is>
      </c>
      <c r="E71" t="inlineStr">
        <is>
          <t>NORRTÄLJE</t>
        </is>
      </c>
      <c r="G71" t="n">
        <v>4.8</v>
      </c>
      <c r="H71" t="n">
        <v>1</v>
      </c>
      <c r="I71" t="n">
        <v>0</v>
      </c>
      <c r="J71" t="n">
        <v>1</v>
      </c>
      <c r="K71" t="n">
        <v>0</v>
      </c>
      <c r="L71" t="n">
        <v>0</v>
      </c>
      <c r="M71" t="n">
        <v>0</v>
      </c>
      <c r="N71" t="n">
        <v>0</v>
      </c>
      <c r="O71" t="n">
        <v>1</v>
      </c>
      <c r="P71" t="n">
        <v>0</v>
      </c>
      <c r="Q71" t="n">
        <v>2</v>
      </c>
      <c r="R71" s="2" t="inlineStr">
        <is>
          <t>Kandelabersvamp
Blåsippa</t>
        </is>
      </c>
      <c r="S71">
        <f>HYPERLINK("https://klasma.github.io/Logging_0188/artfynd/A 52124-2022 artfynd.xlsx", "A 52124-2022")</f>
        <v/>
      </c>
      <c r="T71">
        <f>HYPERLINK("https://klasma.github.io/Logging_0188/kartor/A 52124-2022 karta.png", "A 52124-2022")</f>
        <v/>
      </c>
      <c r="V71">
        <f>HYPERLINK("https://klasma.github.io/Logging_0188/klagomål/A 52124-2022 FSC-klagomål.docx", "A 52124-2022")</f>
        <v/>
      </c>
      <c r="W71">
        <f>HYPERLINK("https://klasma.github.io/Logging_0188/klagomålsmail/A 52124-2022 FSC-klagomål mail.docx", "A 52124-2022")</f>
        <v/>
      </c>
      <c r="X71">
        <f>HYPERLINK("https://klasma.github.io/Logging_0188/tillsyn/A 52124-2022 tillsynsbegäran.docx", "A 52124-2022")</f>
        <v/>
      </c>
      <c r="Y71">
        <f>HYPERLINK("https://klasma.github.io/Logging_0188/tillsynsmail/A 52124-2022 tillsynsbegäran mail.docx", "A 52124-2022")</f>
        <v/>
      </c>
    </row>
    <row r="72" ht="15" customHeight="1">
      <c r="A72" t="inlineStr">
        <is>
          <t>A 52825-2023</t>
        </is>
      </c>
      <c r="B72" s="1" t="n">
        <v>45226</v>
      </c>
      <c r="C72" s="1" t="n">
        <v>46186</v>
      </c>
      <c r="D72" t="inlineStr">
        <is>
          <t>STOCKHOLMS LÄN</t>
        </is>
      </c>
      <c r="E72" t="inlineStr">
        <is>
          <t>NORRTÄLJE</t>
        </is>
      </c>
      <c r="G72" t="n">
        <v>1</v>
      </c>
      <c r="H72" t="n">
        <v>0</v>
      </c>
      <c r="I72" t="n">
        <v>2</v>
      </c>
      <c r="J72" t="n">
        <v>0</v>
      </c>
      <c r="K72" t="n">
        <v>0</v>
      </c>
      <c r="L72" t="n">
        <v>0</v>
      </c>
      <c r="M72" t="n">
        <v>0</v>
      </c>
      <c r="N72" t="n">
        <v>0</v>
      </c>
      <c r="O72" t="n">
        <v>0</v>
      </c>
      <c r="P72" t="n">
        <v>0</v>
      </c>
      <c r="Q72" t="n">
        <v>2</v>
      </c>
      <c r="R72" s="2" t="inlineStr">
        <is>
          <t>Fjällig taggsvamp s.str.
Strimspindling</t>
        </is>
      </c>
      <c r="S72">
        <f>HYPERLINK("https://klasma.github.io/Logging_0188/artfynd/A 52825-2023 artfynd.xlsx", "A 52825-2023")</f>
        <v/>
      </c>
      <c r="T72">
        <f>HYPERLINK("https://klasma.github.io/Logging_0188/kartor/A 52825-2023 karta.png", "A 52825-2023")</f>
        <v/>
      </c>
      <c r="V72">
        <f>HYPERLINK("https://klasma.github.io/Logging_0188/klagomål/A 52825-2023 FSC-klagomål.docx", "A 52825-2023")</f>
        <v/>
      </c>
      <c r="W72">
        <f>HYPERLINK("https://klasma.github.io/Logging_0188/klagomålsmail/A 52825-2023 FSC-klagomål mail.docx", "A 52825-2023")</f>
        <v/>
      </c>
      <c r="X72">
        <f>HYPERLINK("https://klasma.github.io/Logging_0188/tillsyn/A 52825-2023 tillsynsbegäran.docx", "A 52825-2023")</f>
        <v/>
      </c>
      <c r="Y72">
        <f>HYPERLINK("https://klasma.github.io/Logging_0188/tillsynsmail/A 52825-2023 tillsynsbegäran mail.docx", "A 52825-2023")</f>
        <v/>
      </c>
    </row>
    <row r="73" ht="15" customHeight="1">
      <c r="A73" t="inlineStr">
        <is>
          <t>A 26207-2026</t>
        </is>
      </c>
      <c r="B73" s="1" t="n">
        <v>46182.42454861111</v>
      </c>
      <c r="C73" s="1" t="n">
        <v>46186</v>
      </c>
      <c r="D73" t="inlineStr">
        <is>
          <t>STOCKHOLMS LÄN</t>
        </is>
      </c>
      <c r="E73" t="inlineStr">
        <is>
          <t>NORRTÄLJE</t>
        </is>
      </c>
      <c r="G73" t="n">
        <v>4.2</v>
      </c>
      <c r="H73" t="n">
        <v>2</v>
      </c>
      <c r="I73" t="n">
        <v>0</v>
      </c>
      <c r="J73" t="n">
        <v>1</v>
      </c>
      <c r="K73" t="n">
        <v>0</v>
      </c>
      <c r="L73" t="n">
        <v>0</v>
      </c>
      <c r="M73" t="n">
        <v>0</v>
      </c>
      <c r="N73" t="n">
        <v>0</v>
      </c>
      <c r="O73" t="n">
        <v>1</v>
      </c>
      <c r="P73" t="n">
        <v>0</v>
      </c>
      <c r="Q73" t="n">
        <v>2</v>
      </c>
      <c r="R73" s="2" t="inlineStr">
        <is>
          <t>Björktrast
Grönsiska</t>
        </is>
      </c>
      <c r="S73">
        <f>HYPERLINK("https://klasma.github.io/Logging_0188/artfynd/A 26207-2026 artfynd.xlsx", "A 26207-2026")</f>
        <v/>
      </c>
      <c r="T73">
        <f>HYPERLINK("https://klasma.github.io/Logging_0188/kartor/A 26207-2026 karta.png", "A 26207-2026")</f>
        <v/>
      </c>
      <c r="V73">
        <f>HYPERLINK("https://klasma.github.io/Logging_0188/klagomål/A 26207-2026 FSC-klagomål.docx", "A 26207-2026")</f>
        <v/>
      </c>
      <c r="W73">
        <f>HYPERLINK("https://klasma.github.io/Logging_0188/klagomålsmail/A 26207-2026 FSC-klagomål mail.docx", "A 26207-2026")</f>
        <v/>
      </c>
      <c r="X73">
        <f>HYPERLINK("https://klasma.github.io/Logging_0188/tillsyn/A 26207-2026 tillsynsbegäran.docx", "A 26207-2026")</f>
        <v/>
      </c>
      <c r="Y73">
        <f>HYPERLINK("https://klasma.github.io/Logging_0188/tillsynsmail/A 26207-2026 tillsynsbegäran mail.docx", "A 26207-2026")</f>
        <v/>
      </c>
      <c r="Z73">
        <f>HYPERLINK("https://klasma.github.io/Logging_0188/fåglar/A 26207-2026 prioriterade fågelarter.docx", "A 26207-2026")</f>
        <v/>
      </c>
    </row>
    <row r="74" ht="15" customHeight="1">
      <c r="A74" t="inlineStr">
        <is>
          <t>A 52360-2024</t>
        </is>
      </c>
      <c r="B74" s="1" t="n">
        <v>45609.37094907407</v>
      </c>
      <c r="C74" s="1" t="n">
        <v>46186</v>
      </c>
      <c r="D74" t="inlineStr">
        <is>
          <t>STOCKHOLMS LÄN</t>
        </is>
      </c>
      <c r="E74" t="inlineStr">
        <is>
          <t>NORRTÄLJE</t>
        </is>
      </c>
      <c r="G74" t="n">
        <v>2.2</v>
      </c>
      <c r="H74" t="n">
        <v>1</v>
      </c>
      <c r="I74" t="n">
        <v>1</v>
      </c>
      <c r="J74" t="n">
        <v>0</v>
      </c>
      <c r="K74" t="n">
        <v>0</v>
      </c>
      <c r="L74" t="n">
        <v>0</v>
      </c>
      <c r="M74" t="n">
        <v>0</v>
      </c>
      <c r="N74" t="n">
        <v>0</v>
      </c>
      <c r="O74" t="n">
        <v>0</v>
      </c>
      <c r="P74" t="n">
        <v>0</v>
      </c>
      <c r="Q74" t="n">
        <v>2</v>
      </c>
      <c r="R74" s="2" t="inlineStr">
        <is>
          <t>Brandticka
Blåsippa</t>
        </is>
      </c>
      <c r="S74">
        <f>HYPERLINK("https://klasma.github.io/Logging_0188/artfynd/A 52360-2024 artfynd.xlsx", "A 52360-2024")</f>
        <v/>
      </c>
      <c r="T74">
        <f>HYPERLINK("https://klasma.github.io/Logging_0188/kartor/A 52360-2024 karta.png", "A 52360-2024")</f>
        <v/>
      </c>
      <c r="V74">
        <f>HYPERLINK("https://klasma.github.io/Logging_0188/klagomål/A 52360-2024 FSC-klagomål.docx", "A 52360-2024")</f>
        <v/>
      </c>
      <c r="W74">
        <f>HYPERLINK("https://klasma.github.io/Logging_0188/klagomålsmail/A 52360-2024 FSC-klagomål mail.docx", "A 52360-2024")</f>
        <v/>
      </c>
      <c r="X74">
        <f>HYPERLINK("https://klasma.github.io/Logging_0188/tillsyn/A 52360-2024 tillsynsbegäran.docx", "A 52360-2024")</f>
        <v/>
      </c>
      <c r="Y74">
        <f>HYPERLINK("https://klasma.github.io/Logging_0188/tillsynsmail/A 52360-2024 tillsynsbegäran mail.docx", "A 52360-2024")</f>
        <v/>
      </c>
    </row>
    <row r="75" ht="15" customHeight="1">
      <c r="A75" t="inlineStr">
        <is>
          <t>A 53608-2025</t>
        </is>
      </c>
      <c r="B75" s="1" t="n">
        <v>45960</v>
      </c>
      <c r="C75" s="1" t="n">
        <v>46186</v>
      </c>
      <c r="D75" t="inlineStr">
        <is>
          <t>STOCKHOLMS LÄN</t>
        </is>
      </c>
      <c r="E75" t="inlineStr">
        <is>
          <t>NORRTÄLJE</t>
        </is>
      </c>
      <c r="F75" t="inlineStr">
        <is>
          <t>Holmen skog AB</t>
        </is>
      </c>
      <c r="G75" t="n">
        <v>3.2</v>
      </c>
      <c r="H75" t="n">
        <v>2</v>
      </c>
      <c r="I75" t="n">
        <v>0</v>
      </c>
      <c r="J75" t="n">
        <v>1</v>
      </c>
      <c r="K75" t="n">
        <v>0</v>
      </c>
      <c r="L75" t="n">
        <v>1</v>
      </c>
      <c r="M75" t="n">
        <v>0</v>
      </c>
      <c r="N75" t="n">
        <v>0</v>
      </c>
      <c r="O75" t="n">
        <v>2</v>
      </c>
      <c r="P75" t="n">
        <v>1</v>
      </c>
      <c r="Q75" t="n">
        <v>2</v>
      </c>
      <c r="R75" s="2" t="inlineStr">
        <is>
          <t>Asknätfjäril
Spillkråka</t>
        </is>
      </c>
      <c r="S75">
        <f>HYPERLINK("https://klasma.github.io/Logging_0188/artfynd/A 53608-2025 artfynd.xlsx", "A 53608-2025")</f>
        <v/>
      </c>
      <c r="T75">
        <f>HYPERLINK("https://klasma.github.io/Logging_0188/kartor/A 53608-2025 karta.png", "A 53608-2025")</f>
        <v/>
      </c>
      <c r="V75">
        <f>HYPERLINK("https://klasma.github.io/Logging_0188/klagomål/A 53608-2025 FSC-klagomål.docx", "A 53608-2025")</f>
        <v/>
      </c>
      <c r="W75">
        <f>HYPERLINK("https://klasma.github.io/Logging_0188/klagomålsmail/A 53608-2025 FSC-klagomål mail.docx", "A 53608-2025")</f>
        <v/>
      </c>
      <c r="X75">
        <f>HYPERLINK("https://klasma.github.io/Logging_0188/tillsyn/A 53608-2025 tillsynsbegäran.docx", "A 53608-2025")</f>
        <v/>
      </c>
      <c r="Y75">
        <f>HYPERLINK("https://klasma.github.io/Logging_0188/tillsynsmail/A 53608-2025 tillsynsbegäran mail.docx", "A 53608-2025")</f>
        <v/>
      </c>
      <c r="Z75">
        <f>HYPERLINK("https://klasma.github.io/Logging_0188/fåglar/A 53608-2025 prioriterade fågelarter.docx", "A 53608-2025")</f>
        <v/>
      </c>
    </row>
    <row r="76" ht="15" customHeight="1">
      <c r="A76" t="inlineStr">
        <is>
          <t>A 1547-2022</t>
        </is>
      </c>
      <c r="B76" s="1" t="n">
        <v>44573</v>
      </c>
      <c r="C76" s="1" t="n">
        <v>46186</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46186</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30138-2021</t>
        </is>
      </c>
      <c r="B78" s="1" t="n">
        <v>44363</v>
      </c>
      <c r="C78" s="1" t="n">
        <v>46186</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46186</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11429-2023</t>
        </is>
      </c>
      <c r="B80" s="1" t="n">
        <v>44993</v>
      </c>
      <c r="C80" s="1" t="n">
        <v>46186</v>
      </c>
      <c r="D80" t="inlineStr">
        <is>
          <t>STOCKHOLMS LÄN</t>
        </is>
      </c>
      <c r="E80" t="inlineStr">
        <is>
          <t>NORRTÄLJE</t>
        </is>
      </c>
      <c r="G80" t="n">
        <v>2</v>
      </c>
      <c r="H80" t="n">
        <v>0</v>
      </c>
      <c r="I80" t="n">
        <v>0</v>
      </c>
      <c r="J80" t="n">
        <v>1</v>
      </c>
      <c r="K80" t="n">
        <v>0</v>
      </c>
      <c r="L80" t="n">
        <v>0</v>
      </c>
      <c r="M80" t="n">
        <v>0</v>
      </c>
      <c r="N80" t="n">
        <v>0</v>
      </c>
      <c r="O80" t="n">
        <v>1</v>
      </c>
      <c r="P80" t="n">
        <v>0</v>
      </c>
      <c r="Q80" t="n">
        <v>1</v>
      </c>
      <c r="R80" s="2" t="inlineStr">
        <is>
          <t>Skogsklocka</t>
        </is>
      </c>
      <c r="S80">
        <f>HYPERLINK("https://klasma.github.io/Logging_0188/artfynd/A 11429-2023 artfynd.xlsx", "A 11429-2023")</f>
        <v/>
      </c>
      <c r="T80">
        <f>HYPERLINK("https://klasma.github.io/Logging_0188/kartor/A 11429-2023 karta.png", "A 11429-2023")</f>
        <v/>
      </c>
      <c r="V80">
        <f>HYPERLINK("https://klasma.github.io/Logging_0188/klagomål/A 11429-2023 FSC-klagomål.docx", "A 11429-2023")</f>
        <v/>
      </c>
      <c r="W80">
        <f>HYPERLINK("https://klasma.github.io/Logging_0188/klagomålsmail/A 11429-2023 FSC-klagomål mail.docx", "A 11429-2023")</f>
        <v/>
      </c>
      <c r="X80">
        <f>HYPERLINK("https://klasma.github.io/Logging_0188/tillsyn/A 11429-2023 tillsynsbegäran.docx", "A 11429-2023")</f>
        <v/>
      </c>
      <c r="Y80">
        <f>HYPERLINK("https://klasma.github.io/Logging_0188/tillsynsmail/A 11429-2023 tillsynsbegäran mail.docx", "A 11429-2023")</f>
        <v/>
      </c>
    </row>
    <row r="81" ht="15" customHeight="1">
      <c r="A81" t="inlineStr">
        <is>
          <t>A 58888-2021</t>
        </is>
      </c>
      <c r="B81" s="1" t="n">
        <v>44489</v>
      </c>
      <c r="C81" s="1" t="n">
        <v>46186</v>
      </c>
      <c r="D81" t="inlineStr">
        <is>
          <t>STOCKHOLMS LÄN</t>
        </is>
      </c>
      <c r="E81" t="inlineStr">
        <is>
          <t>NORRTÄLJE</t>
        </is>
      </c>
      <c r="F81" t="inlineStr">
        <is>
          <t>Holmen skog AB</t>
        </is>
      </c>
      <c r="G81" t="n">
        <v>2.5</v>
      </c>
      <c r="H81" t="n">
        <v>1</v>
      </c>
      <c r="I81" t="n">
        <v>0</v>
      </c>
      <c r="J81" t="n">
        <v>0</v>
      </c>
      <c r="K81" t="n">
        <v>0</v>
      </c>
      <c r="L81" t="n">
        <v>1</v>
      </c>
      <c r="M81" t="n">
        <v>0</v>
      </c>
      <c r="N81" t="n">
        <v>0</v>
      </c>
      <c r="O81" t="n">
        <v>1</v>
      </c>
      <c r="P81" t="n">
        <v>1</v>
      </c>
      <c r="Q81" t="n">
        <v>1</v>
      </c>
      <c r="R81" s="2" t="inlineStr">
        <is>
          <t>Asknätfjäril</t>
        </is>
      </c>
      <c r="S81">
        <f>HYPERLINK("https://klasma.github.io/Logging_0188/artfynd/A 58888-2021 artfynd.xlsx", "A 58888-2021")</f>
        <v/>
      </c>
      <c r="T81">
        <f>HYPERLINK("https://klasma.github.io/Logging_0188/kartor/A 58888-2021 karta.png", "A 58888-2021")</f>
        <v/>
      </c>
      <c r="V81">
        <f>HYPERLINK("https://klasma.github.io/Logging_0188/klagomål/A 58888-2021 FSC-klagomål.docx", "A 58888-2021")</f>
        <v/>
      </c>
      <c r="W81">
        <f>HYPERLINK("https://klasma.github.io/Logging_0188/klagomålsmail/A 58888-2021 FSC-klagomål mail.docx", "A 58888-2021")</f>
        <v/>
      </c>
      <c r="X81">
        <f>HYPERLINK("https://klasma.github.io/Logging_0188/tillsyn/A 58888-2021 tillsynsbegäran.docx", "A 58888-2021")</f>
        <v/>
      </c>
      <c r="Y81">
        <f>HYPERLINK("https://klasma.github.io/Logging_0188/tillsynsmail/A 58888-2021 tillsynsbegäran mail.docx", "A 58888-2021")</f>
        <v/>
      </c>
    </row>
    <row r="82" ht="15" customHeight="1">
      <c r="A82" t="inlineStr">
        <is>
          <t>A 52775-2025</t>
        </is>
      </c>
      <c r="B82" s="1" t="n">
        <v>45957.41608796296</v>
      </c>
      <c r="C82" s="1" t="n">
        <v>46186</v>
      </c>
      <c r="D82" t="inlineStr">
        <is>
          <t>STOCKHOLMS LÄN</t>
        </is>
      </c>
      <c r="E82" t="inlineStr">
        <is>
          <t>NORRTÄLJE</t>
        </is>
      </c>
      <c r="F82" t="inlineStr">
        <is>
          <t>Sveaskog</t>
        </is>
      </c>
      <c r="G82" t="n">
        <v>5.6</v>
      </c>
      <c r="H82" t="n">
        <v>0</v>
      </c>
      <c r="I82" t="n">
        <v>0</v>
      </c>
      <c r="J82" t="n">
        <v>1</v>
      </c>
      <c r="K82" t="n">
        <v>0</v>
      </c>
      <c r="L82" t="n">
        <v>0</v>
      </c>
      <c r="M82" t="n">
        <v>0</v>
      </c>
      <c r="N82" t="n">
        <v>0</v>
      </c>
      <c r="O82" t="n">
        <v>1</v>
      </c>
      <c r="P82" t="n">
        <v>0</v>
      </c>
      <c r="Q82" t="n">
        <v>1</v>
      </c>
      <c r="R82" s="2" t="inlineStr">
        <is>
          <t>Vedtrappmossa</t>
        </is>
      </c>
      <c r="S82">
        <f>HYPERLINK("https://klasma.github.io/Logging_0188/artfynd/A 52775-2025 artfynd.xlsx", "A 52775-2025")</f>
        <v/>
      </c>
      <c r="T82">
        <f>HYPERLINK("https://klasma.github.io/Logging_0188/kartor/A 52775-2025 karta.png", "A 52775-2025")</f>
        <v/>
      </c>
      <c r="V82">
        <f>HYPERLINK("https://klasma.github.io/Logging_0188/klagomål/A 52775-2025 FSC-klagomål.docx", "A 52775-2025")</f>
        <v/>
      </c>
      <c r="W82">
        <f>HYPERLINK("https://klasma.github.io/Logging_0188/klagomålsmail/A 52775-2025 FSC-klagomål mail.docx", "A 52775-2025")</f>
        <v/>
      </c>
      <c r="X82">
        <f>HYPERLINK("https://klasma.github.io/Logging_0188/tillsyn/A 52775-2025 tillsynsbegäran.docx", "A 52775-2025")</f>
        <v/>
      </c>
      <c r="Y82">
        <f>HYPERLINK("https://klasma.github.io/Logging_0188/tillsynsmail/A 52775-2025 tillsynsbegäran mail.docx", "A 52775-2025")</f>
        <v/>
      </c>
    </row>
    <row r="83" ht="15" customHeight="1">
      <c r="A83" t="inlineStr">
        <is>
          <t>A 53716-2025</t>
        </is>
      </c>
      <c r="B83" s="1" t="n">
        <v>45960.61782407408</v>
      </c>
      <c r="C83" s="1" t="n">
        <v>46186</v>
      </c>
      <c r="D83" t="inlineStr">
        <is>
          <t>STOCKHOLMS LÄN</t>
        </is>
      </c>
      <c r="E83" t="inlineStr">
        <is>
          <t>NORRTÄLJE</t>
        </is>
      </c>
      <c r="G83" t="n">
        <v>3.4</v>
      </c>
      <c r="H83" t="n">
        <v>0</v>
      </c>
      <c r="I83" t="n">
        <v>0</v>
      </c>
      <c r="J83" t="n">
        <v>0</v>
      </c>
      <c r="K83" t="n">
        <v>0</v>
      </c>
      <c r="L83" t="n">
        <v>1</v>
      </c>
      <c r="M83" t="n">
        <v>0</v>
      </c>
      <c r="N83" t="n">
        <v>0</v>
      </c>
      <c r="O83" t="n">
        <v>1</v>
      </c>
      <c r="P83" t="n">
        <v>1</v>
      </c>
      <c r="Q83" t="n">
        <v>1</v>
      </c>
      <c r="R83" s="2" t="inlineStr">
        <is>
          <t>Fältgentiana</t>
        </is>
      </c>
      <c r="S83">
        <f>HYPERLINK("https://klasma.github.io/Logging_0188/artfynd/A 53716-2025 artfynd.xlsx", "A 53716-2025")</f>
        <v/>
      </c>
      <c r="T83">
        <f>HYPERLINK("https://klasma.github.io/Logging_0188/kartor/A 53716-2025 karta.png", "A 53716-2025")</f>
        <v/>
      </c>
      <c r="V83">
        <f>HYPERLINK("https://klasma.github.io/Logging_0188/klagomål/A 53716-2025 FSC-klagomål.docx", "A 53716-2025")</f>
        <v/>
      </c>
      <c r="W83">
        <f>HYPERLINK("https://klasma.github.io/Logging_0188/klagomålsmail/A 53716-2025 FSC-klagomål mail.docx", "A 53716-2025")</f>
        <v/>
      </c>
      <c r="X83">
        <f>HYPERLINK("https://klasma.github.io/Logging_0188/tillsyn/A 53716-2025 tillsynsbegäran.docx", "A 53716-2025")</f>
        <v/>
      </c>
      <c r="Y83">
        <f>HYPERLINK("https://klasma.github.io/Logging_0188/tillsynsmail/A 53716-2025 tillsynsbegäran mail.docx", "A 53716-2025")</f>
        <v/>
      </c>
    </row>
    <row r="84" ht="15" customHeight="1">
      <c r="A84" t="inlineStr">
        <is>
          <t>A 40861-2025</t>
        </is>
      </c>
      <c r="B84" s="1" t="n">
        <v>45897.56356481482</v>
      </c>
      <c r="C84" s="1" t="n">
        <v>46186</v>
      </c>
      <c r="D84" t="inlineStr">
        <is>
          <t>STOCKHOLMS LÄN</t>
        </is>
      </c>
      <c r="E84" t="inlineStr">
        <is>
          <t>NORRTÄLJE</t>
        </is>
      </c>
      <c r="G84" t="n">
        <v>4</v>
      </c>
      <c r="H84" t="n">
        <v>0</v>
      </c>
      <c r="I84" t="n">
        <v>0</v>
      </c>
      <c r="J84" t="n">
        <v>1</v>
      </c>
      <c r="K84" t="n">
        <v>0</v>
      </c>
      <c r="L84" t="n">
        <v>0</v>
      </c>
      <c r="M84" t="n">
        <v>0</v>
      </c>
      <c r="N84" t="n">
        <v>0</v>
      </c>
      <c r="O84" t="n">
        <v>1</v>
      </c>
      <c r="P84" t="n">
        <v>0</v>
      </c>
      <c r="Q84" t="n">
        <v>1</v>
      </c>
      <c r="R84" s="2" t="inlineStr">
        <is>
          <t>Skogsklocka</t>
        </is>
      </c>
      <c r="S84">
        <f>HYPERLINK("https://klasma.github.io/Logging_0188/artfynd/A 40861-2025 artfynd.xlsx", "A 40861-2025")</f>
        <v/>
      </c>
      <c r="T84">
        <f>HYPERLINK("https://klasma.github.io/Logging_0188/kartor/A 40861-2025 karta.png", "A 40861-2025")</f>
        <v/>
      </c>
      <c r="V84">
        <f>HYPERLINK("https://klasma.github.io/Logging_0188/klagomål/A 40861-2025 FSC-klagomål.docx", "A 40861-2025")</f>
        <v/>
      </c>
      <c r="W84">
        <f>HYPERLINK("https://klasma.github.io/Logging_0188/klagomålsmail/A 40861-2025 FSC-klagomål mail.docx", "A 40861-2025")</f>
        <v/>
      </c>
      <c r="X84">
        <f>HYPERLINK("https://klasma.github.io/Logging_0188/tillsyn/A 40861-2025 tillsynsbegäran.docx", "A 40861-2025")</f>
        <v/>
      </c>
      <c r="Y84">
        <f>HYPERLINK("https://klasma.github.io/Logging_0188/tillsynsmail/A 40861-2025 tillsynsbegäran mail.docx", "A 40861-2025")</f>
        <v/>
      </c>
    </row>
    <row r="85" ht="15" customHeight="1">
      <c r="A85" t="inlineStr">
        <is>
          <t>A 42313-2025</t>
        </is>
      </c>
      <c r="B85" s="1" t="n">
        <v>45904.6575</v>
      </c>
      <c r="C85" s="1" t="n">
        <v>46186</v>
      </c>
      <c r="D85" t="inlineStr">
        <is>
          <t>STOCKHOLMS LÄN</t>
        </is>
      </c>
      <c r="E85" t="inlineStr">
        <is>
          <t>NORRTÄLJE</t>
        </is>
      </c>
      <c r="G85" t="n">
        <v>1.7</v>
      </c>
      <c r="H85" t="n">
        <v>1</v>
      </c>
      <c r="I85" t="n">
        <v>0</v>
      </c>
      <c r="J85" t="n">
        <v>0</v>
      </c>
      <c r="K85" t="n">
        <v>0</v>
      </c>
      <c r="L85" t="n">
        <v>0</v>
      </c>
      <c r="M85" t="n">
        <v>0</v>
      </c>
      <c r="N85" t="n">
        <v>0</v>
      </c>
      <c r="O85" t="n">
        <v>0</v>
      </c>
      <c r="P85" t="n">
        <v>0</v>
      </c>
      <c r="Q85" t="n">
        <v>1</v>
      </c>
      <c r="R85" s="2" t="inlineStr">
        <is>
          <t>Vanlig padda</t>
        </is>
      </c>
      <c r="S85">
        <f>HYPERLINK("https://klasma.github.io/Logging_0188/artfynd/A 42313-2025 artfynd.xlsx", "A 42313-2025")</f>
        <v/>
      </c>
      <c r="T85">
        <f>HYPERLINK("https://klasma.github.io/Logging_0188/kartor/A 42313-2025 karta.png", "A 42313-2025")</f>
        <v/>
      </c>
      <c r="V85">
        <f>HYPERLINK("https://klasma.github.io/Logging_0188/klagomål/A 42313-2025 FSC-klagomål.docx", "A 42313-2025")</f>
        <v/>
      </c>
      <c r="W85">
        <f>HYPERLINK("https://klasma.github.io/Logging_0188/klagomålsmail/A 42313-2025 FSC-klagomål mail.docx", "A 42313-2025")</f>
        <v/>
      </c>
      <c r="X85">
        <f>HYPERLINK("https://klasma.github.io/Logging_0188/tillsyn/A 42313-2025 tillsynsbegäran.docx", "A 42313-2025")</f>
        <v/>
      </c>
      <c r="Y85">
        <f>HYPERLINK("https://klasma.github.io/Logging_0188/tillsynsmail/A 42313-2025 tillsynsbegäran mail.docx", "A 42313-2025")</f>
        <v/>
      </c>
    </row>
    <row r="86" ht="15" customHeight="1">
      <c r="A86" t="inlineStr">
        <is>
          <t>A 9955-2022</t>
        </is>
      </c>
      <c r="B86" s="1" t="n">
        <v>44620</v>
      </c>
      <c r="C86" s="1" t="n">
        <v>46186</v>
      </c>
      <c r="D86" t="inlineStr">
        <is>
          <t>STOCKHOLMS LÄN</t>
        </is>
      </c>
      <c r="E86" t="inlineStr">
        <is>
          <t>NORRTÄLJE</t>
        </is>
      </c>
      <c r="G86" t="n">
        <v>7.8</v>
      </c>
      <c r="H86" t="n">
        <v>1</v>
      </c>
      <c r="I86" t="n">
        <v>0</v>
      </c>
      <c r="J86" t="n">
        <v>0</v>
      </c>
      <c r="K86" t="n">
        <v>0</v>
      </c>
      <c r="L86" t="n">
        <v>0</v>
      </c>
      <c r="M86" t="n">
        <v>0</v>
      </c>
      <c r="N86" t="n">
        <v>0</v>
      </c>
      <c r="O86" t="n">
        <v>0</v>
      </c>
      <c r="P86" t="n">
        <v>0</v>
      </c>
      <c r="Q86" t="n">
        <v>1</v>
      </c>
      <c r="R86" s="2" t="inlineStr">
        <is>
          <t>Åkergroda</t>
        </is>
      </c>
      <c r="S86">
        <f>HYPERLINK("https://klasma.github.io/Logging_0188/artfynd/A 9955-2022 artfynd.xlsx", "A 9955-2022")</f>
        <v/>
      </c>
      <c r="T86">
        <f>HYPERLINK("https://klasma.github.io/Logging_0188/kartor/A 9955-2022 karta.png", "A 9955-2022")</f>
        <v/>
      </c>
      <c r="V86">
        <f>HYPERLINK("https://klasma.github.io/Logging_0188/klagomål/A 9955-2022 FSC-klagomål.docx", "A 9955-2022")</f>
        <v/>
      </c>
      <c r="W86">
        <f>HYPERLINK("https://klasma.github.io/Logging_0188/klagomålsmail/A 9955-2022 FSC-klagomål mail.docx", "A 9955-2022")</f>
        <v/>
      </c>
      <c r="X86">
        <f>HYPERLINK("https://klasma.github.io/Logging_0188/tillsyn/A 9955-2022 tillsynsbegäran.docx", "A 9955-2022")</f>
        <v/>
      </c>
      <c r="Y86">
        <f>HYPERLINK("https://klasma.github.io/Logging_0188/tillsynsmail/A 9955-2022 tillsynsbegäran mail.docx", "A 9955-2022")</f>
        <v/>
      </c>
    </row>
    <row r="87" ht="15" customHeight="1">
      <c r="A87" t="inlineStr">
        <is>
          <t>A 4595-2023</t>
        </is>
      </c>
      <c r="B87" s="1" t="n">
        <v>44956</v>
      </c>
      <c r="C87" s="1" t="n">
        <v>46186</v>
      </c>
      <c r="D87" t="inlineStr">
        <is>
          <t>STOCKHOLMS LÄN</t>
        </is>
      </c>
      <c r="E87" t="inlineStr">
        <is>
          <t>NORRTÄLJE</t>
        </is>
      </c>
      <c r="G87" t="n">
        <v>0.6</v>
      </c>
      <c r="H87" t="n">
        <v>1</v>
      </c>
      <c r="I87" t="n">
        <v>0</v>
      </c>
      <c r="J87" t="n">
        <v>0</v>
      </c>
      <c r="K87" t="n">
        <v>0</v>
      </c>
      <c r="L87" t="n">
        <v>0</v>
      </c>
      <c r="M87" t="n">
        <v>0</v>
      </c>
      <c r="N87" t="n">
        <v>0</v>
      </c>
      <c r="O87" t="n">
        <v>0</v>
      </c>
      <c r="P87" t="n">
        <v>0</v>
      </c>
      <c r="Q87" t="n">
        <v>1</v>
      </c>
      <c r="R87" s="2" t="inlineStr">
        <is>
          <t>Blåsippa</t>
        </is>
      </c>
      <c r="S87">
        <f>HYPERLINK("https://klasma.github.io/Logging_0188/artfynd/A 4595-2023 artfynd.xlsx", "A 4595-2023")</f>
        <v/>
      </c>
      <c r="T87">
        <f>HYPERLINK("https://klasma.github.io/Logging_0188/kartor/A 4595-2023 karta.png", "A 4595-2023")</f>
        <v/>
      </c>
      <c r="V87">
        <f>HYPERLINK("https://klasma.github.io/Logging_0188/klagomål/A 4595-2023 FSC-klagomål.docx", "A 4595-2023")</f>
        <v/>
      </c>
      <c r="W87">
        <f>HYPERLINK("https://klasma.github.io/Logging_0188/klagomålsmail/A 4595-2023 FSC-klagomål mail.docx", "A 4595-2023")</f>
        <v/>
      </c>
      <c r="X87">
        <f>HYPERLINK("https://klasma.github.io/Logging_0188/tillsyn/A 4595-2023 tillsynsbegäran.docx", "A 4595-2023")</f>
        <v/>
      </c>
      <c r="Y87">
        <f>HYPERLINK("https://klasma.github.io/Logging_0188/tillsynsmail/A 4595-2023 tillsynsbegäran mail.docx", "A 4595-2023")</f>
        <v/>
      </c>
    </row>
    <row r="88" ht="15" customHeight="1">
      <c r="A88" t="inlineStr">
        <is>
          <t>A 24535-2023</t>
        </is>
      </c>
      <c r="B88" s="1" t="n">
        <v>45082</v>
      </c>
      <c r="C88" s="1" t="n">
        <v>46186</v>
      </c>
      <c r="D88" t="inlineStr">
        <is>
          <t>STOCKHOLMS LÄN</t>
        </is>
      </c>
      <c r="E88" t="inlineStr">
        <is>
          <t>NORRTÄLJE</t>
        </is>
      </c>
      <c r="F88" t="inlineStr">
        <is>
          <t>Kommuner</t>
        </is>
      </c>
      <c r="G88" t="n">
        <v>2</v>
      </c>
      <c r="H88" t="n">
        <v>1</v>
      </c>
      <c r="I88" t="n">
        <v>0</v>
      </c>
      <c r="J88" t="n">
        <v>0</v>
      </c>
      <c r="K88" t="n">
        <v>0</v>
      </c>
      <c r="L88" t="n">
        <v>0</v>
      </c>
      <c r="M88" t="n">
        <v>0</v>
      </c>
      <c r="N88" t="n">
        <v>0</v>
      </c>
      <c r="O88" t="n">
        <v>0</v>
      </c>
      <c r="P88" t="n">
        <v>0</v>
      </c>
      <c r="Q88" t="n">
        <v>1</v>
      </c>
      <c r="R88" s="2" t="inlineStr">
        <is>
          <t>Blåsippa</t>
        </is>
      </c>
      <c r="S88">
        <f>HYPERLINK("https://klasma.github.io/Logging_0188/artfynd/A 24535-2023 artfynd.xlsx", "A 24535-2023")</f>
        <v/>
      </c>
      <c r="T88">
        <f>HYPERLINK("https://klasma.github.io/Logging_0188/kartor/A 24535-2023 karta.png", "A 24535-2023")</f>
        <v/>
      </c>
      <c r="V88">
        <f>HYPERLINK("https://klasma.github.io/Logging_0188/klagomål/A 24535-2023 FSC-klagomål.docx", "A 24535-2023")</f>
        <v/>
      </c>
      <c r="W88">
        <f>HYPERLINK("https://klasma.github.io/Logging_0188/klagomålsmail/A 24535-2023 FSC-klagomål mail.docx", "A 24535-2023")</f>
        <v/>
      </c>
      <c r="X88">
        <f>HYPERLINK("https://klasma.github.io/Logging_0188/tillsyn/A 24535-2023 tillsynsbegäran.docx", "A 24535-2023")</f>
        <v/>
      </c>
      <c r="Y88">
        <f>HYPERLINK("https://klasma.github.io/Logging_0188/tillsynsmail/A 24535-2023 tillsynsbegäran mail.docx", "A 24535-2023")</f>
        <v/>
      </c>
    </row>
    <row r="89" ht="15" customHeight="1">
      <c r="A89" t="inlineStr">
        <is>
          <t>A 59682-2025</t>
        </is>
      </c>
      <c r="B89" s="1" t="n">
        <v>45992.47116898148</v>
      </c>
      <c r="C89" s="1" t="n">
        <v>46186</v>
      </c>
      <c r="D89" t="inlineStr">
        <is>
          <t>STOCKHOLMS LÄN</t>
        </is>
      </c>
      <c r="E89" t="inlineStr">
        <is>
          <t>NORRTÄLJE</t>
        </is>
      </c>
      <c r="G89" t="n">
        <v>1.6</v>
      </c>
      <c r="H89" t="n">
        <v>0</v>
      </c>
      <c r="I89" t="n">
        <v>1</v>
      </c>
      <c r="J89" t="n">
        <v>0</v>
      </c>
      <c r="K89" t="n">
        <v>0</v>
      </c>
      <c r="L89" t="n">
        <v>0</v>
      </c>
      <c r="M89" t="n">
        <v>0</v>
      </c>
      <c r="N89" t="n">
        <v>0</v>
      </c>
      <c r="O89" t="n">
        <v>0</v>
      </c>
      <c r="P89" t="n">
        <v>0</v>
      </c>
      <c r="Q89" t="n">
        <v>1</v>
      </c>
      <c r="R89" s="2" t="inlineStr">
        <is>
          <t>Grönpyrola</t>
        </is>
      </c>
      <c r="S89">
        <f>HYPERLINK("https://klasma.github.io/Logging_0188/artfynd/A 59682-2025 artfynd.xlsx", "A 59682-2025")</f>
        <v/>
      </c>
      <c r="T89">
        <f>HYPERLINK("https://klasma.github.io/Logging_0188/kartor/A 59682-2025 karta.png", "A 59682-2025")</f>
        <v/>
      </c>
      <c r="V89">
        <f>HYPERLINK("https://klasma.github.io/Logging_0188/klagomål/A 59682-2025 FSC-klagomål.docx", "A 59682-2025")</f>
        <v/>
      </c>
      <c r="W89">
        <f>HYPERLINK("https://klasma.github.io/Logging_0188/klagomålsmail/A 59682-2025 FSC-klagomål mail.docx", "A 59682-2025")</f>
        <v/>
      </c>
      <c r="X89">
        <f>HYPERLINK("https://klasma.github.io/Logging_0188/tillsyn/A 59682-2025 tillsynsbegäran.docx", "A 59682-2025")</f>
        <v/>
      </c>
      <c r="Y89">
        <f>HYPERLINK("https://klasma.github.io/Logging_0188/tillsynsmail/A 59682-2025 tillsynsbegäran mail.docx", "A 59682-2025")</f>
        <v/>
      </c>
    </row>
    <row r="90" ht="15" customHeight="1">
      <c r="A90" t="inlineStr">
        <is>
          <t>A 31281-2022</t>
        </is>
      </c>
      <c r="B90" s="1" t="n">
        <v>44771</v>
      </c>
      <c r="C90" s="1" t="n">
        <v>46186</v>
      </c>
      <c r="D90" t="inlineStr">
        <is>
          <t>STOCKHOLMS LÄN</t>
        </is>
      </c>
      <c r="E90" t="inlineStr">
        <is>
          <t>NORRTÄLJE</t>
        </is>
      </c>
      <c r="F90" t="inlineStr">
        <is>
          <t>Holmen skog AB</t>
        </is>
      </c>
      <c r="G90" t="n">
        <v>5.2</v>
      </c>
      <c r="H90" t="n">
        <v>1</v>
      </c>
      <c r="I90" t="n">
        <v>0</v>
      </c>
      <c r="J90" t="n">
        <v>1</v>
      </c>
      <c r="K90" t="n">
        <v>0</v>
      </c>
      <c r="L90" t="n">
        <v>0</v>
      </c>
      <c r="M90" t="n">
        <v>0</v>
      </c>
      <c r="N90" t="n">
        <v>0</v>
      </c>
      <c r="O90" t="n">
        <v>1</v>
      </c>
      <c r="P90" t="n">
        <v>0</v>
      </c>
      <c r="Q90" t="n">
        <v>1</v>
      </c>
      <c r="R90" s="2" t="inlineStr">
        <is>
          <t>Kråka</t>
        </is>
      </c>
      <c r="S90">
        <f>HYPERLINK("https://klasma.github.io/Logging_0188/artfynd/A 31281-2022 artfynd.xlsx", "A 31281-2022")</f>
        <v/>
      </c>
      <c r="T90">
        <f>HYPERLINK("https://klasma.github.io/Logging_0188/kartor/A 31281-2022 karta.png", "A 31281-2022")</f>
        <v/>
      </c>
      <c r="V90">
        <f>HYPERLINK("https://klasma.github.io/Logging_0188/klagomål/A 31281-2022 FSC-klagomål.docx", "A 31281-2022")</f>
        <v/>
      </c>
      <c r="W90">
        <f>HYPERLINK("https://klasma.github.io/Logging_0188/klagomålsmail/A 31281-2022 FSC-klagomål mail.docx", "A 31281-2022")</f>
        <v/>
      </c>
      <c r="X90">
        <f>HYPERLINK("https://klasma.github.io/Logging_0188/tillsyn/A 31281-2022 tillsynsbegäran.docx", "A 31281-2022")</f>
        <v/>
      </c>
      <c r="Y90">
        <f>HYPERLINK("https://klasma.github.io/Logging_0188/tillsynsmail/A 31281-2022 tillsynsbegäran mail.docx", "A 31281-2022")</f>
        <v/>
      </c>
      <c r="Z90">
        <f>HYPERLINK("https://klasma.github.io/Logging_0188/fåglar/A 31281-2022 prioriterade fågelarter.docx", "A 31281-2022")</f>
        <v/>
      </c>
    </row>
    <row r="91" ht="15" customHeight="1">
      <c r="A91" t="inlineStr">
        <is>
          <t>A 4532-2025</t>
        </is>
      </c>
      <c r="B91" s="1" t="n">
        <v>45687.34177083334</v>
      </c>
      <c r="C91" s="1" t="n">
        <v>46186</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62715-2025</t>
        </is>
      </c>
      <c r="B92" s="1" t="n">
        <v>46008.52034722222</v>
      </c>
      <c r="C92" s="1" t="n">
        <v>46186</v>
      </c>
      <c r="D92" t="inlineStr">
        <is>
          <t>STOCKHOLMS LÄN</t>
        </is>
      </c>
      <c r="E92" t="inlineStr">
        <is>
          <t>NORRTÄLJE</t>
        </is>
      </c>
      <c r="G92" t="n">
        <v>0.8</v>
      </c>
      <c r="H92" t="n">
        <v>0</v>
      </c>
      <c r="I92" t="n">
        <v>1</v>
      </c>
      <c r="J92" t="n">
        <v>0</v>
      </c>
      <c r="K92" t="n">
        <v>0</v>
      </c>
      <c r="L92" t="n">
        <v>0</v>
      </c>
      <c r="M92" t="n">
        <v>0</v>
      </c>
      <c r="N92" t="n">
        <v>0</v>
      </c>
      <c r="O92" t="n">
        <v>0</v>
      </c>
      <c r="P92" t="n">
        <v>0</v>
      </c>
      <c r="Q92" t="n">
        <v>1</v>
      </c>
      <c r="R92" s="2" t="inlineStr">
        <is>
          <t>Granbarkgnagare</t>
        </is>
      </c>
      <c r="S92">
        <f>HYPERLINK("https://klasma.github.io/Logging_0188/artfynd/A 62715-2025 artfynd.xlsx", "A 62715-2025")</f>
        <v/>
      </c>
      <c r="T92">
        <f>HYPERLINK("https://klasma.github.io/Logging_0188/kartor/A 62715-2025 karta.png", "A 62715-2025")</f>
        <v/>
      </c>
      <c r="V92">
        <f>HYPERLINK("https://klasma.github.io/Logging_0188/klagomål/A 62715-2025 FSC-klagomål.docx", "A 62715-2025")</f>
        <v/>
      </c>
      <c r="W92">
        <f>HYPERLINK("https://klasma.github.io/Logging_0188/klagomålsmail/A 62715-2025 FSC-klagomål mail.docx", "A 62715-2025")</f>
        <v/>
      </c>
      <c r="X92">
        <f>HYPERLINK("https://klasma.github.io/Logging_0188/tillsyn/A 62715-2025 tillsynsbegäran.docx", "A 62715-2025")</f>
        <v/>
      </c>
      <c r="Y92">
        <f>HYPERLINK("https://klasma.github.io/Logging_0188/tillsynsmail/A 62715-2025 tillsynsbegäran mail.docx", "A 62715-2025")</f>
        <v/>
      </c>
    </row>
    <row r="93" ht="15" customHeight="1">
      <c r="A93" t="inlineStr">
        <is>
          <t>A 35691-2023</t>
        </is>
      </c>
      <c r="B93" s="1" t="n">
        <v>45147.65222222222</v>
      </c>
      <c r="C93" s="1" t="n">
        <v>46186</v>
      </c>
      <c r="D93" t="inlineStr">
        <is>
          <t>STOCKHOLMS LÄN</t>
        </is>
      </c>
      <c r="E93" t="inlineStr">
        <is>
          <t>NORRTÄLJE</t>
        </is>
      </c>
      <c r="G93" t="n">
        <v>2.3</v>
      </c>
      <c r="H93" t="n">
        <v>1</v>
      </c>
      <c r="I93" t="n">
        <v>0</v>
      </c>
      <c r="J93" t="n">
        <v>0</v>
      </c>
      <c r="K93" t="n">
        <v>0</v>
      </c>
      <c r="L93" t="n">
        <v>0</v>
      </c>
      <c r="M93" t="n">
        <v>0</v>
      </c>
      <c r="N93" t="n">
        <v>0</v>
      </c>
      <c r="O93" t="n">
        <v>0</v>
      </c>
      <c r="P93" t="n">
        <v>0</v>
      </c>
      <c r="Q93" t="n">
        <v>1</v>
      </c>
      <c r="R93" s="2" t="inlineStr">
        <is>
          <t>Kungsfågel</t>
        </is>
      </c>
      <c r="S93">
        <f>HYPERLINK("https://klasma.github.io/Logging_0188/artfynd/A 35691-2023 artfynd.xlsx", "A 35691-2023")</f>
        <v/>
      </c>
      <c r="T93">
        <f>HYPERLINK("https://klasma.github.io/Logging_0188/kartor/A 35691-2023 karta.png", "A 35691-2023")</f>
        <v/>
      </c>
      <c r="V93">
        <f>HYPERLINK("https://klasma.github.io/Logging_0188/klagomål/A 35691-2023 FSC-klagomål.docx", "A 35691-2023")</f>
        <v/>
      </c>
      <c r="W93">
        <f>HYPERLINK("https://klasma.github.io/Logging_0188/klagomålsmail/A 35691-2023 FSC-klagomål mail.docx", "A 35691-2023")</f>
        <v/>
      </c>
      <c r="X93">
        <f>HYPERLINK("https://klasma.github.io/Logging_0188/tillsyn/A 35691-2023 tillsynsbegäran.docx", "A 35691-2023")</f>
        <v/>
      </c>
      <c r="Y93">
        <f>HYPERLINK("https://klasma.github.io/Logging_0188/tillsynsmail/A 35691-2023 tillsynsbegäran mail.docx", "A 35691-2023")</f>
        <v/>
      </c>
      <c r="Z93">
        <f>HYPERLINK("https://klasma.github.io/Logging_0188/fåglar/A 35691-2023 prioriterade fågelarter.docx", "A 35691-2023")</f>
        <v/>
      </c>
    </row>
    <row r="94" ht="15" customHeight="1">
      <c r="A94" t="inlineStr">
        <is>
          <t>A 35693-2023</t>
        </is>
      </c>
      <c r="B94" s="1" t="n">
        <v>45147.65311342593</v>
      </c>
      <c r="C94" s="1" t="n">
        <v>46186</v>
      </c>
      <c r="D94" t="inlineStr">
        <is>
          <t>STOCKHOLMS LÄN</t>
        </is>
      </c>
      <c r="E94" t="inlineStr">
        <is>
          <t>NORRTÄLJE</t>
        </is>
      </c>
      <c r="G94" t="n">
        <v>2.2</v>
      </c>
      <c r="H94" t="n">
        <v>0</v>
      </c>
      <c r="I94" t="n">
        <v>0</v>
      </c>
      <c r="J94" t="n">
        <v>1</v>
      </c>
      <c r="K94" t="n">
        <v>0</v>
      </c>
      <c r="L94" t="n">
        <v>0</v>
      </c>
      <c r="M94" t="n">
        <v>0</v>
      </c>
      <c r="N94" t="n">
        <v>0</v>
      </c>
      <c r="O94" t="n">
        <v>1</v>
      </c>
      <c r="P94" t="n">
        <v>0</v>
      </c>
      <c r="Q94" t="n">
        <v>1</v>
      </c>
      <c r="R94" s="2" t="inlineStr">
        <is>
          <t>Motaggsvamp</t>
        </is>
      </c>
      <c r="S94">
        <f>HYPERLINK("https://klasma.github.io/Logging_0188/artfynd/A 35693-2023 artfynd.xlsx", "A 35693-2023")</f>
        <v/>
      </c>
      <c r="T94">
        <f>HYPERLINK("https://klasma.github.io/Logging_0188/kartor/A 35693-2023 karta.png", "A 35693-2023")</f>
        <v/>
      </c>
      <c r="V94">
        <f>HYPERLINK("https://klasma.github.io/Logging_0188/klagomål/A 35693-2023 FSC-klagomål.docx", "A 35693-2023")</f>
        <v/>
      </c>
      <c r="W94">
        <f>HYPERLINK("https://klasma.github.io/Logging_0188/klagomålsmail/A 35693-2023 FSC-klagomål mail.docx", "A 35693-2023")</f>
        <v/>
      </c>
      <c r="X94">
        <f>HYPERLINK("https://klasma.github.io/Logging_0188/tillsyn/A 35693-2023 tillsynsbegäran.docx", "A 35693-2023")</f>
        <v/>
      </c>
      <c r="Y94">
        <f>HYPERLINK("https://klasma.github.io/Logging_0188/tillsynsmail/A 35693-2023 tillsynsbegäran mail.docx", "A 35693-2023")</f>
        <v/>
      </c>
    </row>
    <row r="95" ht="15" customHeight="1">
      <c r="A95" t="inlineStr">
        <is>
          <t>A 364-2026</t>
        </is>
      </c>
      <c r="B95" s="1" t="n">
        <v>46027.67134259259</v>
      </c>
      <c r="C95" s="1" t="n">
        <v>46186</v>
      </c>
      <c r="D95" t="inlineStr">
        <is>
          <t>STOCKHOLMS LÄN</t>
        </is>
      </c>
      <c r="E95" t="inlineStr">
        <is>
          <t>NORRTÄLJE</t>
        </is>
      </c>
      <c r="F95" t="inlineStr">
        <is>
          <t>Holmen skog AB</t>
        </is>
      </c>
      <c r="G95" t="n">
        <v>4.3</v>
      </c>
      <c r="H95" t="n">
        <v>1</v>
      </c>
      <c r="I95" t="n">
        <v>0</v>
      </c>
      <c r="J95" t="n">
        <v>0</v>
      </c>
      <c r="K95" t="n">
        <v>0</v>
      </c>
      <c r="L95" t="n">
        <v>1</v>
      </c>
      <c r="M95" t="n">
        <v>0</v>
      </c>
      <c r="N95" t="n">
        <v>0</v>
      </c>
      <c r="O95" t="n">
        <v>1</v>
      </c>
      <c r="P95" t="n">
        <v>1</v>
      </c>
      <c r="Q95" t="n">
        <v>1</v>
      </c>
      <c r="R95" s="2" t="inlineStr">
        <is>
          <t>Asknätfjäril</t>
        </is>
      </c>
      <c r="S95">
        <f>HYPERLINK("https://klasma.github.io/Logging_0188/artfynd/A 364-2026 artfynd.xlsx", "A 364-2026")</f>
        <v/>
      </c>
      <c r="T95">
        <f>HYPERLINK("https://klasma.github.io/Logging_0188/kartor/A 364-2026 karta.png", "A 364-2026")</f>
        <v/>
      </c>
      <c r="V95">
        <f>HYPERLINK("https://klasma.github.io/Logging_0188/klagomål/A 364-2026 FSC-klagomål.docx", "A 364-2026")</f>
        <v/>
      </c>
      <c r="W95">
        <f>HYPERLINK("https://klasma.github.io/Logging_0188/klagomålsmail/A 364-2026 FSC-klagomål mail.docx", "A 364-2026")</f>
        <v/>
      </c>
      <c r="X95">
        <f>HYPERLINK("https://klasma.github.io/Logging_0188/tillsyn/A 364-2026 tillsynsbegäran.docx", "A 364-2026")</f>
        <v/>
      </c>
      <c r="Y95">
        <f>HYPERLINK("https://klasma.github.io/Logging_0188/tillsynsmail/A 364-2026 tillsynsbegäran mail.docx", "A 364-2026")</f>
        <v/>
      </c>
    </row>
    <row r="96" ht="15" customHeight="1">
      <c r="A96" t="inlineStr">
        <is>
          <t>A 50854-2022</t>
        </is>
      </c>
      <c r="B96" s="1" t="n">
        <v>44863</v>
      </c>
      <c r="C96" s="1" t="n">
        <v>46186</v>
      </c>
      <c r="D96" t="inlineStr">
        <is>
          <t>STOCKHOLMS LÄN</t>
        </is>
      </c>
      <c r="E96" t="inlineStr">
        <is>
          <t>NORRTÄLJE</t>
        </is>
      </c>
      <c r="G96" t="n">
        <v>2.9</v>
      </c>
      <c r="H96" t="n">
        <v>0</v>
      </c>
      <c r="I96" t="n">
        <v>1</v>
      </c>
      <c r="J96" t="n">
        <v>0</v>
      </c>
      <c r="K96" t="n">
        <v>0</v>
      </c>
      <c r="L96" t="n">
        <v>0</v>
      </c>
      <c r="M96" t="n">
        <v>0</v>
      </c>
      <c r="N96" t="n">
        <v>0</v>
      </c>
      <c r="O96" t="n">
        <v>0</v>
      </c>
      <c r="P96" t="n">
        <v>0</v>
      </c>
      <c r="Q96" t="n">
        <v>1</v>
      </c>
      <c r="R96" s="2" t="inlineStr">
        <is>
          <t>Tibast</t>
        </is>
      </c>
      <c r="S96">
        <f>HYPERLINK("https://klasma.github.io/Logging_0188/artfynd/A 50854-2022 artfynd.xlsx", "A 50854-2022")</f>
        <v/>
      </c>
      <c r="T96">
        <f>HYPERLINK("https://klasma.github.io/Logging_0188/kartor/A 50854-2022 karta.png", "A 50854-2022")</f>
        <v/>
      </c>
      <c r="V96">
        <f>HYPERLINK("https://klasma.github.io/Logging_0188/klagomål/A 50854-2022 FSC-klagomål.docx", "A 50854-2022")</f>
        <v/>
      </c>
      <c r="W96">
        <f>HYPERLINK("https://klasma.github.io/Logging_0188/klagomålsmail/A 50854-2022 FSC-klagomål mail.docx", "A 50854-2022")</f>
        <v/>
      </c>
      <c r="X96">
        <f>HYPERLINK("https://klasma.github.io/Logging_0188/tillsyn/A 50854-2022 tillsynsbegäran.docx", "A 50854-2022")</f>
        <v/>
      </c>
      <c r="Y96">
        <f>HYPERLINK("https://klasma.github.io/Logging_0188/tillsynsmail/A 50854-2022 tillsynsbegäran mail.docx", "A 50854-2022")</f>
        <v/>
      </c>
    </row>
    <row r="97" ht="15" customHeight="1">
      <c r="A97" t="inlineStr">
        <is>
          <t>A 23905-2025</t>
        </is>
      </c>
      <c r="B97" s="1" t="n">
        <v>45794.63298611111</v>
      </c>
      <c r="C97" s="1" t="n">
        <v>46186</v>
      </c>
      <c r="D97" t="inlineStr">
        <is>
          <t>STOCKHOLMS LÄN</t>
        </is>
      </c>
      <c r="E97" t="inlineStr">
        <is>
          <t>NORRTÄLJE</t>
        </is>
      </c>
      <c r="G97" t="n">
        <v>8.4</v>
      </c>
      <c r="H97" t="n">
        <v>1</v>
      </c>
      <c r="I97" t="n">
        <v>0</v>
      </c>
      <c r="J97" t="n">
        <v>0</v>
      </c>
      <c r="K97" t="n">
        <v>0</v>
      </c>
      <c r="L97" t="n">
        <v>0</v>
      </c>
      <c r="M97" t="n">
        <v>0</v>
      </c>
      <c r="N97" t="n">
        <v>0</v>
      </c>
      <c r="O97" t="n">
        <v>0</v>
      </c>
      <c r="P97" t="n">
        <v>0</v>
      </c>
      <c r="Q97" t="n">
        <v>1</v>
      </c>
      <c r="R97" s="2" t="inlineStr">
        <is>
          <t>Blåsippa</t>
        </is>
      </c>
      <c r="S97">
        <f>HYPERLINK("https://klasma.github.io/Logging_0188/artfynd/A 23905-2025 artfynd.xlsx", "A 23905-2025")</f>
        <v/>
      </c>
      <c r="T97">
        <f>HYPERLINK("https://klasma.github.io/Logging_0188/kartor/A 23905-2025 karta.png", "A 23905-2025")</f>
        <v/>
      </c>
      <c r="V97">
        <f>HYPERLINK("https://klasma.github.io/Logging_0188/klagomål/A 23905-2025 FSC-klagomål.docx", "A 23905-2025")</f>
        <v/>
      </c>
      <c r="W97">
        <f>HYPERLINK("https://klasma.github.io/Logging_0188/klagomålsmail/A 23905-2025 FSC-klagomål mail.docx", "A 23905-2025")</f>
        <v/>
      </c>
      <c r="X97">
        <f>HYPERLINK("https://klasma.github.io/Logging_0188/tillsyn/A 23905-2025 tillsynsbegäran.docx", "A 23905-2025")</f>
        <v/>
      </c>
      <c r="Y97">
        <f>HYPERLINK("https://klasma.github.io/Logging_0188/tillsynsmail/A 23905-2025 tillsynsbegäran mail.docx", "A 23905-2025")</f>
        <v/>
      </c>
    </row>
    <row r="98" ht="15" customHeight="1">
      <c r="A98" t="inlineStr">
        <is>
          <t>A 25669-2025</t>
        </is>
      </c>
      <c r="B98" s="1" t="n">
        <v>45803.62766203703</v>
      </c>
      <c r="C98" s="1" t="n">
        <v>46186</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46186</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35649-2023</t>
        </is>
      </c>
      <c r="B100" s="1" t="n">
        <v>45146</v>
      </c>
      <c r="C100" s="1" t="n">
        <v>46186</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26120-2024</t>
        </is>
      </c>
      <c r="B101" s="1" t="n">
        <v>45468.45995370371</v>
      </c>
      <c r="C101" s="1" t="n">
        <v>46186</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6381-2023</t>
        </is>
      </c>
      <c r="B102" s="1" t="n">
        <v>44965</v>
      </c>
      <c r="C102" s="1" t="n">
        <v>46186</v>
      </c>
      <c r="D102" t="inlineStr">
        <is>
          <t>STOCKHOLMS LÄN</t>
        </is>
      </c>
      <c r="E102" t="inlineStr">
        <is>
          <t>NORRTÄLJE</t>
        </is>
      </c>
      <c r="G102" t="n">
        <v>3.5</v>
      </c>
      <c r="H102" t="n">
        <v>1</v>
      </c>
      <c r="I102" t="n">
        <v>1</v>
      </c>
      <c r="J102" t="n">
        <v>0</v>
      </c>
      <c r="K102" t="n">
        <v>0</v>
      </c>
      <c r="L102" t="n">
        <v>0</v>
      </c>
      <c r="M102" t="n">
        <v>0</v>
      </c>
      <c r="N102" t="n">
        <v>0</v>
      </c>
      <c r="O102" t="n">
        <v>0</v>
      </c>
      <c r="P102" t="n">
        <v>0</v>
      </c>
      <c r="Q102" t="n">
        <v>1</v>
      </c>
      <c r="R102" s="2" t="inlineStr">
        <is>
          <t>Guckusko</t>
        </is>
      </c>
      <c r="S102">
        <f>HYPERLINK("https://klasma.github.io/Logging_0188/artfynd/A 6381-2023 artfynd.xlsx", "A 6381-2023")</f>
        <v/>
      </c>
      <c r="T102">
        <f>HYPERLINK("https://klasma.github.io/Logging_0188/kartor/A 6381-2023 karta.png", "A 6381-2023")</f>
        <v/>
      </c>
      <c r="V102">
        <f>HYPERLINK("https://klasma.github.io/Logging_0188/klagomål/A 6381-2023 FSC-klagomål.docx", "A 6381-2023")</f>
        <v/>
      </c>
      <c r="W102">
        <f>HYPERLINK("https://klasma.github.io/Logging_0188/klagomålsmail/A 6381-2023 FSC-klagomål mail.docx", "A 6381-2023")</f>
        <v/>
      </c>
      <c r="X102">
        <f>HYPERLINK("https://klasma.github.io/Logging_0188/tillsyn/A 6381-2023 tillsynsbegäran.docx", "A 6381-2023")</f>
        <v/>
      </c>
      <c r="Y102">
        <f>HYPERLINK("https://klasma.github.io/Logging_0188/tillsynsmail/A 6381-2023 tillsynsbegäran mail.docx", "A 6381-2023")</f>
        <v/>
      </c>
    </row>
    <row r="103" ht="15" customHeight="1">
      <c r="A103" t="inlineStr">
        <is>
          <t>A 64456-2023</t>
        </is>
      </c>
      <c r="B103" s="1" t="n">
        <v>45280</v>
      </c>
      <c r="C103" s="1" t="n">
        <v>46186</v>
      </c>
      <c r="D103" t="inlineStr">
        <is>
          <t>STOCKHOLMS LÄN</t>
        </is>
      </c>
      <c r="E103" t="inlineStr">
        <is>
          <t>NORRTÄLJE</t>
        </is>
      </c>
      <c r="G103" t="n">
        <v>2.5</v>
      </c>
      <c r="H103" t="n">
        <v>0</v>
      </c>
      <c r="I103" t="n">
        <v>1</v>
      </c>
      <c r="J103" t="n">
        <v>0</v>
      </c>
      <c r="K103" t="n">
        <v>0</v>
      </c>
      <c r="L103" t="n">
        <v>0</v>
      </c>
      <c r="M103" t="n">
        <v>0</v>
      </c>
      <c r="N103" t="n">
        <v>0</v>
      </c>
      <c r="O103" t="n">
        <v>0</v>
      </c>
      <c r="P103" t="n">
        <v>0</v>
      </c>
      <c r="Q103" t="n">
        <v>1</v>
      </c>
      <c r="R103" s="2" t="inlineStr">
        <is>
          <t>Rödgul trumpetsvamp</t>
        </is>
      </c>
      <c r="S103">
        <f>HYPERLINK("https://klasma.github.io/Logging_0188/artfynd/A 64456-2023 artfynd.xlsx", "A 64456-2023")</f>
        <v/>
      </c>
      <c r="T103">
        <f>HYPERLINK("https://klasma.github.io/Logging_0188/kartor/A 64456-2023 karta.png", "A 64456-2023")</f>
        <v/>
      </c>
      <c r="V103">
        <f>HYPERLINK("https://klasma.github.io/Logging_0188/klagomål/A 64456-2023 FSC-klagomål.docx", "A 64456-2023")</f>
        <v/>
      </c>
      <c r="W103">
        <f>HYPERLINK("https://klasma.github.io/Logging_0188/klagomålsmail/A 64456-2023 FSC-klagomål mail.docx", "A 64456-2023")</f>
        <v/>
      </c>
      <c r="X103">
        <f>HYPERLINK("https://klasma.github.io/Logging_0188/tillsyn/A 64456-2023 tillsynsbegäran.docx", "A 64456-2023")</f>
        <v/>
      </c>
      <c r="Y103">
        <f>HYPERLINK("https://klasma.github.io/Logging_0188/tillsynsmail/A 64456-2023 tillsynsbegäran mail.docx", "A 64456-2023")</f>
        <v/>
      </c>
    </row>
    <row r="104" ht="15" customHeight="1">
      <c r="A104" t="inlineStr">
        <is>
          <t>A 29946-2025</t>
        </is>
      </c>
      <c r="B104" s="1" t="n">
        <v>45826.46392361111</v>
      </c>
      <c r="C104" s="1" t="n">
        <v>46186</v>
      </c>
      <c r="D104" t="inlineStr">
        <is>
          <t>STOCKHOLMS LÄN</t>
        </is>
      </c>
      <c r="E104" t="inlineStr">
        <is>
          <t>NORRTÄLJE</t>
        </is>
      </c>
      <c r="F104" t="inlineStr">
        <is>
          <t>Holmen skog AB</t>
        </is>
      </c>
      <c r="G104" t="n">
        <v>3.6</v>
      </c>
      <c r="H104" t="n">
        <v>1</v>
      </c>
      <c r="I104" t="n">
        <v>0</v>
      </c>
      <c r="J104" t="n">
        <v>0</v>
      </c>
      <c r="K104" t="n">
        <v>0</v>
      </c>
      <c r="L104" t="n">
        <v>1</v>
      </c>
      <c r="M104" t="n">
        <v>0</v>
      </c>
      <c r="N104" t="n">
        <v>0</v>
      </c>
      <c r="O104" t="n">
        <v>1</v>
      </c>
      <c r="P104" t="n">
        <v>1</v>
      </c>
      <c r="Q104" t="n">
        <v>1</v>
      </c>
      <c r="R104" s="2" t="inlineStr">
        <is>
          <t>Asknätfjäril</t>
        </is>
      </c>
      <c r="S104">
        <f>HYPERLINK("https://klasma.github.io/Logging_0188/artfynd/A 29946-2025 artfynd.xlsx", "A 29946-2025")</f>
        <v/>
      </c>
      <c r="T104">
        <f>HYPERLINK("https://klasma.github.io/Logging_0188/kartor/A 29946-2025 karta.png", "A 29946-2025")</f>
        <v/>
      </c>
      <c r="V104">
        <f>HYPERLINK("https://klasma.github.io/Logging_0188/klagomål/A 29946-2025 FSC-klagomål.docx", "A 29946-2025")</f>
        <v/>
      </c>
      <c r="W104">
        <f>HYPERLINK("https://klasma.github.io/Logging_0188/klagomålsmail/A 29946-2025 FSC-klagomål mail.docx", "A 29946-2025")</f>
        <v/>
      </c>
      <c r="X104">
        <f>HYPERLINK("https://klasma.github.io/Logging_0188/tillsyn/A 29946-2025 tillsynsbegäran.docx", "A 29946-2025")</f>
        <v/>
      </c>
      <c r="Y104">
        <f>HYPERLINK("https://klasma.github.io/Logging_0188/tillsynsmail/A 29946-2025 tillsynsbegäran mail.docx", "A 29946-2025")</f>
        <v/>
      </c>
    </row>
    <row r="105" ht="15" customHeight="1">
      <c r="A105" t="inlineStr">
        <is>
          <t>A 24330-2023</t>
        </is>
      </c>
      <c r="B105" s="1" t="n">
        <v>45081</v>
      </c>
      <c r="C105" s="1" t="n">
        <v>46186</v>
      </c>
      <c r="D105" t="inlineStr">
        <is>
          <t>STOCKHOLMS LÄN</t>
        </is>
      </c>
      <c r="E105" t="inlineStr">
        <is>
          <t>NORRTÄLJE</t>
        </is>
      </c>
      <c r="G105" t="n">
        <v>5</v>
      </c>
      <c r="H105" t="n">
        <v>1</v>
      </c>
      <c r="I105" t="n">
        <v>0</v>
      </c>
      <c r="J105" t="n">
        <v>1</v>
      </c>
      <c r="K105" t="n">
        <v>0</v>
      </c>
      <c r="L105" t="n">
        <v>0</v>
      </c>
      <c r="M105" t="n">
        <v>0</v>
      </c>
      <c r="N105" t="n">
        <v>0</v>
      </c>
      <c r="O105" t="n">
        <v>1</v>
      </c>
      <c r="P105" t="n">
        <v>0</v>
      </c>
      <c r="Q105" t="n">
        <v>1</v>
      </c>
      <c r="R105" s="2" t="inlineStr">
        <is>
          <t>Mindre hackspett</t>
        </is>
      </c>
      <c r="S105">
        <f>HYPERLINK("https://klasma.github.io/Logging_0188/artfynd/A 24330-2023 artfynd.xlsx", "A 24330-2023")</f>
        <v/>
      </c>
      <c r="T105">
        <f>HYPERLINK("https://klasma.github.io/Logging_0188/kartor/A 24330-2023 karta.png", "A 24330-2023")</f>
        <v/>
      </c>
      <c r="V105">
        <f>HYPERLINK("https://klasma.github.io/Logging_0188/klagomål/A 24330-2023 FSC-klagomål.docx", "A 24330-2023")</f>
        <v/>
      </c>
      <c r="W105">
        <f>HYPERLINK("https://klasma.github.io/Logging_0188/klagomålsmail/A 24330-2023 FSC-klagomål mail.docx", "A 24330-2023")</f>
        <v/>
      </c>
      <c r="X105">
        <f>HYPERLINK("https://klasma.github.io/Logging_0188/tillsyn/A 24330-2023 tillsynsbegäran.docx", "A 24330-2023")</f>
        <v/>
      </c>
      <c r="Y105">
        <f>HYPERLINK("https://klasma.github.io/Logging_0188/tillsynsmail/A 24330-2023 tillsynsbegäran mail.docx", "A 24330-2023")</f>
        <v/>
      </c>
      <c r="Z105">
        <f>HYPERLINK("https://klasma.github.io/Logging_0188/fåglar/A 24330-2023 prioriterade fågelarter.docx", "A 24330-2023")</f>
        <v/>
      </c>
    </row>
    <row r="106" ht="15" customHeight="1">
      <c r="A106" t="inlineStr">
        <is>
          <t>A 52611-2024</t>
        </is>
      </c>
      <c r="B106" s="1" t="n">
        <v>45609.83747685186</v>
      </c>
      <c r="C106" s="1" t="n">
        <v>46186</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15886-2026</t>
        </is>
      </c>
      <c r="B107" s="1" t="n">
        <v>46107</v>
      </c>
      <c r="C107" s="1" t="n">
        <v>46186</v>
      </c>
      <c r="D107" t="inlineStr">
        <is>
          <t>STOCKHOLMS LÄN</t>
        </is>
      </c>
      <c r="E107" t="inlineStr">
        <is>
          <t>NORRTÄLJE</t>
        </is>
      </c>
      <c r="G107" t="n">
        <v>1.3</v>
      </c>
      <c r="H107" t="n">
        <v>1</v>
      </c>
      <c r="I107" t="n">
        <v>0</v>
      </c>
      <c r="J107" t="n">
        <v>0</v>
      </c>
      <c r="K107" t="n">
        <v>0</v>
      </c>
      <c r="L107" t="n">
        <v>1</v>
      </c>
      <c r="M107" t="n">
        <v>0</v>
      </c>
      <c r="N107" t="n">
        <v>0</v>
      </c>
      <c r="O107" t="n">
        <v>1</v>
      </c>
      <c r="P107" t="n">
        <v>1</v>
      </c>
      <c r="Q107" t="n">
        <v>1</v>
      </c>
      <c r="R107" s="2" t="inlineStr">
        <is>
          <t>Grönfink</t>
        </is>
      </c>
      <c r="S107">
        <f>HYPERLINK("https://klasma.github.io/Logging_0188/artfynd/A 15886-2026 artfynd.xlsx", "A 15886-2026")</f>
        <v/>
      </c>
      <c r="T107">
        <f>HYPERLINK("https://klasma.github.io/Logging_0188/kartor/A 15886-2026 karta.png", "A 15886-2026")</f>
        <v/>
      </c>
      <c r="V107">
        <f>HYPERLINK("https://klasma.github.io/Logging_0188/klagomål/A 15886-2026 FSC-klagomål.docx", "A 15886-2026")</f>
        <v/>
      </c>
      <c r="W107">
        <f>HYPERLINK("https://klasma.github.io/Logging_0188/klagomålsmail/A 15886-2026 FSC-klagomål mail.docx", "A 15886-2026")</f>
        <v/>
      </c>
      <c r="X107">
        <f>HYPERLINK("https://klasma.github.io/Logging_0188/tillsyn/A 15886-2026 tillsynsbegäran.docx", "A 15886-2026")</f>
        <v/>
      </c>
      <c r="Y107">
        <f>HYPERLINK("https://klasma.github.io/Logging_0188/tillsynsmail/A 15886-2026 tillsynsbegäran mail.docx", "A 15886-2026")</f>
        <v/>
      </c>
      <c r="Z107">
        <f>HYPERLINK("https://klasma.github.io/Logging_0188/fåglar/A 15886-2026 prioriterade fågelarter.docx", "A 15886-2026")</f>
        <v/>
      </c>
    </row>
    <row r="108" ht="15" customHeight="1">
      <c r="A108" t="inlineStr">
        <is>
          <t>A 21821-2026</t>
        </is>
      </c>
      <c r="B108" s="1" t="n">
        <v>46150.48150462963</v>
      </c>
      <c r="C108" s="1" t="n">
        <v>46186</v>
      </c>
      <c r="D108" t="inlineStr">
        <is>
          <t>STOCKHOLMS LÄN</t>
        </is>
      </c>
      <c r="E108" t="inlineStr">
        <is>
          <t>NORRTÄLJE</t>
        </is>
      </c>
      <c r="G108" t="n">
        <v>2.6</v>
      </c>
      <c r="H108" t="n">
        <v>1</v>
      </c>
      <c r="I108" t="n">
        <v>0</v>
      </c>
      <c r="J108" t="n">
        <v>0</v>
      </c>
      <c r="K108" t="n">
        <v>0</v>
      </c>
      <c r="L108" t="n">
        <v>1</v>
      </c>
      <c r="M108" t="n">
        <v>0</v>
      </c>
      <c r="N108" t="n">
        <v>0</v>
      </c>
      <c r="O108" t="n">
        <v>1</v>
      </c>
      <c r="P108" t="n">
        <v>1</v>
      </c>
      <c r="Q108" t="n">
        <v>1</v>
      </c>
      <c r="R108" s="2" t="inlineStr">
        <is>
          <t>Bredgentiana</t>
        </is>
      </c>
      <c r="S108">
        <f>HYPERLINK("https://klasma.github.io/Logging_0188/artfynd/A 21821-2026 artfynd.xlsx", "A 21821-2026")</f>
        <v/>
      </c>
      <c r="T108">
        <f>HYPERLINK("https://klasma.github.io/Logging_0188/kartor/A 21821-2026 karta.png", "A 21821-2026")</f>
        <v/>
      </c>
      <c r="V108">
        <f>HYPERLINK("https://klasma.github.io/Logging_0188/klagomål/A 21821-2026 FSC-klagomål.docx", "A 21821-2026")</f>
        <v/>
      </c>
      <c r="W108">
        <f>HYPERLINK("https://klasma.github.io/Logging_0188/klagomålsmail/A 21821-2026 FSC-klagomål mail.docx", "A 21821-2026")</f>
        <v/>
      </c>
      <c r="X108">
        <f>HYPERLINK("https://klasma.github.io/Logging_0188/tillsyn/A 21821-2026 tillsynsbegäran.docx", "A 21821-2026")</f>
        <v/>
      </c>
      <c r="Y108">
        <f>HYPERLINK("https://klasma.github.io/Logging_0188/tillsynsmail/A 21821-2026 tillsynsbegäran mail.docx", "A 21821-2026")</f>
        <v/>
      </c>
    </row>
    <row r="109" ht="15" customHeight="1">
      <c r="A109" t="inlineStr">
        <is>
          <t>A 26635-2023</t>
        </is>
      </c>
      <c r="B109" s="1" t="n">
        <v>45092</v>
      </c>
      <c r="C109" s="1" t="n">
        <v>46186</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8371-2025</t>
        </is>
      </c>
      <c r="B110" s="1" t="n">
        <v>45708</v>
      </c>
      <c r="C110" s="1" t="n">
        <v>46186</v>
      </c>
      <c r="D110" t="inlineStr">
        <is>
          <t>STOCKHOLMS LÄN</t>
        </is>
      </c>
      <c r="E110" t="inlineStr">
        <is>
          <t>NORRTÄLJE</t>
        </is>
      </c>
      <c r="F110" t="inlineStr">
        <is>
          <t>Övriga Aktiebolag</t>
        </is>
      </c>
      <c r="G110" t="n">
        <v>2.9</v>
      </c>
      <c r="H110" t="n">
        <v>1</v>
      </c>
      <c r="I110" t="n">
        <v>0</v>
      </c>
      <c r="J110" t="n">
        <v>1</v>
      </c>
      <c r="K110" t="n">
        <v>0</v>
      </c>
      <c r="L110" t="n">
        <v>0</v>
      </c>
      <c r="M110" t="n">
        <v>0</v>
      </c>
      <c r="N110" t="n">
        <v>0</v>
      </c>
      <c r="O110" t="n">
        <v>1</v>
      </c>
      <c r="P110" t="n">
        <v>0</v>
      </c>
      <c r="Q110" t="n">
        <v>1</v>
      </c>
      <c r="R110" s="2" t="inlineStr">
        <is>
          <t>Spillkråka</t>
        </is>
      </c>
      <c r="S110">
        <f>HYPERLINK("https://klasma.github.io/Logging_0188/artfynd/A 8371-2025 artfynd.xlsx", "A 8371-2025")</f>
        <v/>
      </c>
      <c r="T110">
        <f>HYPERLINK("https://klasma.github.io/Logging_0188/kartor/A 8371-2025 karta.png", "A 8371-2025")</f>
        <v/>
      </c>
      <c r="V110">
        <f>HYPERLINK("https://klasma.github.io/Logging_0188/klagomål/A 8371-2025 FSC-klagomål.docx", "A 8371-2025")</f>
        <v/>
      </c>
      <c r="W110">
        <f>HYPERLINK("https://klasma.github.io/Logging_0188/klagomålsmail/A 8371-2025 FSC-klagomål mail.docx", "A 8371-2025")</f>
        <v/>
      </c>
      <c r="X110">
        <f>HYPERLINK("https://klasma.github.io/Logging_0188/tillsyn/A 8371-2025 tillsynsbegäran.docx", "A 8371-2025")</f>
        <v/>
      </c>
      <c r="Y110">
        <f>HYPERLINK("https://klasma.github.io/Logging_0188/tillsynsmail/A 8371-2025 tillsynsbegäran mail.docx", "A 8371-2025")</f>
        <v/>
      </c>
      <c r="Z110">
        <f>HYPERLINK("https://klasma.github.io/Logging_0188/fåglar/A 8371-2025 prioriterade fågelarter.docx", "A 8371-2025")</f>
        <v/>
      </c>
    </row>
    <row r="111" ht="15" customHeight="1">
      <c r="A111" t="inlineStr">
        <is>
          <t>A 47898-2022</t>
        </is>
      </c>
      <c r="B111" s="1" t="n">
        <v>44855</v>
      </c>
      <c r="C111" s="1" t="n">
        <v>46186</v>
      </c>
      <c r="D111" t="inlineStr">
        <is>
          <t>STOCKHOLMS LÄN</t>
        </is>
      </c>
      <c r="E111" t="inlineStr">
        <is>
          <t>NORRTÄLJE</t>
        </is>
      </c>
      <c r="G111" t="n">
        <v>6.7</v>
      </c>
      <c r="H111" t="n">
        <v>1</v>
      </c>
      <c r="I111" t="n">
        <v>1</v>
      </c>
      <c r="J111" t="n">
        <v>0</v>
      </c>
      <c r="K111" t="n">
        <v>0</v>
      </c>
      <c r="L111" t="n">
        <v>0</v>
      </c>
      <c r="M111" t="n">
        <v>0</v>
      </c>
      <c r="N111" t="n">
        <v>0</v>
      </c>
      <c r="O111" t="n">
        <v>0</v>
      </c>
      <c r="P111" t="n">
        <v>0</v>
      </c>
      <c r="Q111" t="n">
        <v>1</v>
      </c>
      <c r="R111" s="2" t="inlineStr">
        <is>
          <t>Guckusko</t>
        </is>
      </c>
      <c r="S111">
        <f>HYPERLINK("https://klasma.github.io/Logging_0188/artfynd/A 47898-2022 artfynd.xlsx", "A 47898-2022")</f>
        <v/>
      </c>
      <c r="T111">
        <f>HYPERLINK("https://klasma.github.io/Logging_0188/kartor/A 47898-2022 karta.png", "A 47898-2022")</f>
        <v/>
      </c>
      <c r="V111">
        <f>HYPERLINK("https://klasma.github.io/Logging_0188/klagomål/A 47898-2022 FSC-klagomål.docx", "A 47898-2022")</f>
        <v/>
      </c>
      <c r="W111">
        <f>HYPERLINK("https://klasma.github.io/Logging_0188/klagomålsmail/A 47898-2022 FSC-klagomål mail.docx", "A 47898-2022")</f>
        <v/>
      </c>
      <c r="X111">
        <f>HYPERLINK("https://klasma.github.io/Logging_0188/tillsyn/A 47898-2022 tillsynsbegäran.docx", "A 47898-2022")</f>
        <v/>
      </c>
      <c r="Y111">
        <f>HYPERLINK("https://klasma.github.io/Logging_0188/tillsynsmail/A 47898-2022 tillsynsbegäran mail.docx", "A 47898-2022")</f>
        <v/>
      </c>
    </row>
    <row r="112" ht="15" customHeight="1">
      <c r="A112" t="inlineStr">
        <is>
          <t>A 19355-2026</t>
        </is>
      </c>
      <c r="B112" s="1" t="n">
        <v>46133.49074074074</v>
      </c>
      <c r="C112" s="1" t="n">
        <v>46186</v>
      </c>
      <c r="D112" t="inlineStr">
        <is>
          <t>STOCKHOLMS LÄN</t>
        </is>
      </c>
      <c r="E112" t="inlineStr">
        <is>
          <t>NORRTÄLJE</t>
        </is>
      </c>
      <c r="G112" t="n">
        <v>22.5</v>
      </c>
      <c r="H112" t="n">
        <v>0</v>
      </c>
      <c r="I112" t="n">
        <v>1</v>
      </c>
      <c r="J112" t="n">
        <v>0</v>
      </c>
      <c r="K112" t="n">
        <v>0</v>
      </c>
      <c r="L112" t="n">
        <v>0</v>
      </c>
      <c r="M112" t="n">
        <v>0</v>
      </c>
      <c r="N112" t="n">
        <v>0</v>
      </c>
      <c r="O112" t="n">
        <v>0</v>
      </c>
      <c r="P112" t="n">
        <v>0</v>
      </c>
      <c r="Q112" t="n">
        <v>1</v>
      </c>
      <c r="R112" s="2" t="inlineStr">
        <is>
          <t>Mönjevaxing</t>
        </is>
      </c>
      <c r="S112">
        <f>HYPERLINK("https://klasma.github.io/Logging_0188/artfynd/A 19355-2026 artfynd.xlsx", "A 19355-2026")</f>
        <v/>
      </c>
      <c r="T112">
        <f>HYPERLINK("https://klasma.github.io/Logging_0188/kartor/A 19355-2026 karta.png", "A 19355-2026")</f>
        <v/>
      </c>
      <c r="V112">
        <f>HYPERLINK("https://klasma.github.io/Logging_0188/klagomål/A 19355-2026 FSC-klagomål.docx", "A 19355-2026")</f>
        <v/>
      </c>
      <c r="W112">
        <f>HYPERLINK("https://klasma.github.io/Logging_0188/klagomålsmail/A 19355-2026 FSC-klagomål mail.docx", "A 19355-2026")</f>
        <v/>
      </c>
      <c r="X112">
        <f>HYPERLINK("https://klasma.github.io/Logging_0188/tillsyn/A 19355-2026 tillsynsbegäran.docx", "A 19355-2026")</f>
        <v/>
      </c>
      <c r="Y112">
        <f>HYPERLINK("https://klasma.github.io/Logging_0188/tillsynsmail/A 19355-2026 tillsynsbegäran mail.docx", "A 19355-2026")</f>
        <v/>
      </c>
    </row>
    <row r="113" ht="15" customHeight="1">
      <c r="A113" t="inlineStr">
        <is>
          <t>A 14365-2025</t>
        </is>
      </c>
      <c r="B113" s="1" t="n">
        <v>45741.38688657407</v>
      </c>
      <c r="C113" s="1" t="n">
        <v>46186</v>
      </c>
      <c r="D113" t="inlineStr">
        <is>
          <t>STOCKHOLMS LÄN</t>
        </is>
      </c>
      <c r="E113" t="inlineStr">
        <is>
          <t>NORRTÄLJE</t>
        </is>
      </c>
      <c r="G113" t="n">
        <v>2.4</v>
      </c>
      <c r="H113" t="n">
        <v>0</v>
      </c>
      <c r="I113" t="n">
        <v>0</v>
      </c>
      <c r="J113" t="n">
        <v>1</v>
      </c>
      <c r="K113" t="n">
        <v>0</v>
      </c>
      <c r="L113" t="n">
        <v>0</v>
      </c>
      <c r="M113" t="n">
        <v>0</v>
      </c>
      <c r="N113" t="n">
        <v>0</v>
      </c>
      <c r="O113" t="n">
        <v>1</v>
      </c>
      <c r="P113" t="n">
        <v>0</v>
      </c>
      <c r="Q113" t="n">
        <v>1</v>
      </c>
      <c r="R113" s="2" t="inlineStr">
        <is>
          <t>Granticka</t>
        </is>
      </c>
      <c r="S113">
        <f>HYPERLINK("https://klasma.github.io/Logging_0188/artfynd/A 14365-2025 artfynd.xlsx", "A 14365-2025")</f>
        <v/>
      </c>
      <c r="T113">
        <f>HYPERLINK("https://klasma.github.io/Logging_0188/kartor/A 14365-2025 karta.png", "A 14365-2025")</f>
        <v/>
      </c>
      <c r="V113">
        <f>HYPERLINK("https://klasma.github.io/Logging_0188/klagomål/A 14365-2025 FSC-klagomål.docx", "A 14365-2025")</f>
        <v/>
      </c>
      <c r="W113">
        <f>HYPERLINK("https://klasma.github.io/Logging_0188/klagomålsmail/A 14365-2025 FSC-klagomål mail.docx", "A 14365-2025")</f>
        <v/>
      </c>
      <c r="X113">
        <f>HYPERLINK("https://klasma.github.io/Logging_0188/tillsyn/A 14365-2025 tillsynsbegäran.docx", "A 14365-2025")</f>
        <v/>
      </c>
      <c r="Y113">
        <f>HYPERLINK("https://klasma.github.io/Logging_0188/tillsynsmail/A 14365-2025 tillsynsbegäran mail.docx", "A 14365-2025")</f>
        <v/>
      </c>
    </row>
    <row r="114" ht="15" customHeight="1">
      <c r="A114" t="inlineStr">
        <is>
          <t>A 32111-2022</t>
        </is>
      </c>
      <c r="B114" s="1" t="n">
        <v>44778.92797453704</v>
      </c>
      <c r="C114" s="1" t="n">
        <v>46186</v>
      </c>
      <c r="D114" t="inlineStr">
        <is>
          <t>STOCKHOLMS LÄN</t>
        </is>
      </c>
      <c r="E114" t="inlineStr">
        <is>
          <t>NORRTÄLJE</t>
        </is>
      </c>
      <c r="G114" t="n">
        <v>3.1</v>
      </c>
      <c r="H114" t="n">
        <v>0</v>
      </c>
      <c r="I114" t="n">
        <v>0</v>
      </c>
      <c r="J114" t="n">
        <v>1</v>
      </c>
      <c r="K114" t="n">
        <v>0</v>
      </c>
      <c r="L114" t="n">
        <v>0</v>
      </c>
      <c r="M114" t="n">
        <v>0</v>
      </c>
      <c r="N114" t="n">
        <v>0</v>
      </c>
      <c r="O114" t="n">
        <v>1</v>
      </c>
      <c r="P114" t="n">
        <v>0</v>
      </c>
      <c r="Q114" t="n">
        <v>1</v>
      </c>
      <c r="R114" s="2" t="inlineStr">
        <is>
          <t>Orange taggsvamp</t>
        </is>
      </c>
      <c r="S114">
        <f>HYPERLINK("https://klasma.github.io/Logging_0188/artfynd/A 32111-2022 artfynd.xlsx", "A 32111-2022")</f>
        <v/>
      </c>
      <c r="T114">
        <f>HYPERLINK("https://klasma.github.io/Logging_0188/kartor/A 32111-2022 karta.png", "A 32111-2022")</f>
        <v/>
      </c>
      <c r="V114">
        <f>HYPERLINK("https://klasma.github.io/Logging_0188/klagomål/A 32111-2022 FSC-klagomål.docx", "A 32111-2022")</f>
        <v/>
      </c>
      <c r="W114">
        <f>HYPERLINK("https://klasma.github.io/Logging_0188/klagomålsmail/A 32111-2022 FSC-klagomål mail.docx", "A 32111-2022")</f>
        <v/>
      </c>
      <c r="X114">
        <f>HYPERLINK("https://klasma.github.io/Logging_0188/tillsyn/A 32111-2022 tillsynsbegäran.docx", "A 32111-2022")</f>
        <v/>
      </c>
      <c r="Y114">
        <f>HYPERLINK("https://klasma.github.io/Logging_0188/tillsynsmail/A 32111-2022 tillsynsbegäran mail.docx", "A 32111-2022")</f>
        <v/>
      </c>
    </row>
    <row r="115" ht="15" customHeight="1">
      <c r="A115" t="inlineStr">
        <is>
          <t>A 25911-2026</t>
        </is>
      </c>
      <c r="B115" s="1" t="n">
        <v>46178.71341435185</v>
      </c>
      <c r="C115" s="1" t="n">
        <v>46186</v>
      </c>
      <c r="D115" t="inlineStr">
        <is>
          <t>STOCKHOLMS LÄN</t>
        </is>
      </c>
      <c r="E115" t="inlineStr">
        <is>
          <t>NORRTÄLJE</t>
        </is>
      </c>
      <c r="G115" t="n">
        <v>11.3</v>
      </c>
      <c r="H115" t="n">
        <v>1</v>
      </c>
      <c r="I115" t="n">
        <v>0</v>
      </c>
      <c r="J115" t="n">
        <v>1</v>
      </c>
      <c r="K115" t="n">
        <v>0</v>
      </c>
      <c r="L115" t="n">
        <v>0</v>
      </c>
      <c r="M115" t="n">
        <v>0</v>
      </c>
      <c r="N115" t="n">
        <v>0</v>
      </c>
      <c r="O115" t="n">
        <v>1</v>
      </c>
      <c r="P115" t="n">
        <v>0</v>
      </c>
      <c r="Q115" t="n">
        <v>1</v>
      </c>
      <c r="R115" s="2" t="inlineStr">
        <is>
          <t>Talltita</t>
        </is>
      </c>
      <c r="S115">
        <f>HYPERLINK("https://klasma.github.io/Logging_0188/artfynd/A 25911-2026 artfynd.xlsx", "A 25911-2026")</f>
        <v/>
      </c>
      <c r="T115">
        <f>HYPERLINK("https://klasma.github.io/Logging_0188/kartor/A 25911-2026 karta.png", "A 25911-2026")</f>
        <v/>
      </c>
      <c r="V115">
        <f>HYPERLINK("https://klasma.github.io/Logging_0188/klagomål/A 25911-2026 FSC-klagomål.docx", "A 25911-2026")</f>
        <v/>
      </c>
      <c r="W115">
        <f>HYPERLINK("https://klasma.github.io/Logging_0188/klagomålsmail/A 25911-2026 FSC-klagomål mail.docx", "A 25911-2026")</f>
        <v/>
      </c>
      <c r="X115">
        <f>HYPERLINK("https://klasma.github.io/Logging_0188/tillsyn/A 25911-2026 tillsynsbegäran.docx", "A 25911-2026")</f>
        <v/>
      </c>
      <c r="Y115">
        <f>HYPERLINK("https://klasma.github.io/Logging_0188/tillsynsmail/A 25911-2026 tillsynsbegäran mail.docx", "A 25911-2026")</f>
        <v/>
      </c>
      <c r="Z115">
        <f>HYPERLINK("https://klasma.github.io/Logging_0188/fåglar/A 25911-2026 prioriterade fågelarter.docx", "A 25911-2026")</f>
        <v/>
      </c>
    </row>
    <row r="116" ht="15" customHeight="1">
      <c r="A116" t="inlineStr">
        <is>
          <t>A 7734-2026</t>
        </is>
      </c>
      <c r="B116" s="1" t="n">
        <v>46062.52902777777</v>
      </c>
      <c r="C116" s="1" t="n">
        <v>46186</v>
      </c>
      <c r="D116" t="inlineStr">
        <is>
          <t>STOCKHOLMS LÄN</t>
        </is>
      </c>
      <c r="E116" t="inlineStr">
        <is>
          <t>NORRTÄLJE</t>
        </is>
      </c>
      <c r="G116" t="n">
        <v>6.6</v>
      </c>
      <c r="H116" t="n">
        <v>0</v>
      </c>
      <c r="I116" t="n">
        <v>1</v>
      </c>
      <c r="J116" t="n">
        <v>0</v>
      </c>
      <c r="K116" t="n">
        <v>0</v>
      </c>
      <c r="L116" t="n">
        <v>0</v>
      </c>
      <c r="M116" t="n">
        <v>0</v>
      </c>
      <c r="N116" t="n">
        <v>0</v>
      </c>
      <c r="O116" t="n">
        <v>0</v>
      </c>
      <c r="P116" t="n">
        <v>0</v>
      </c>
      <c r="Q116" t="n">
        <v>1</v>
      </c>
      <c r="R116" s="2" t="inlineStr">
        <is>
          <t>Kastanjefjällskivling</t>
        </is>
      </c>
      <c r="S116">
        <f>HYPERLINK("https://klasma.github.io/Logging_0188/artfynd/A 7734-2026 artfynd.xlsx", "A 7734-2026")</f>
        <v/>
      </c>
      <c r="T116">
        <f>HYPERLINK("https://klasma.github.io/Logging_0188/kartor/A 7734-2026 karta.png", "A 7734-2026")</f>
        <v/>
      </c>
      <c r="V116">
        <f>HYPERLINK("https://klasma.github.io/Logging_0188/klagomål/A 7734-2026 FSC-klagomål.docx", "A 7734-2026")</f>
        <v/>
      </c>
      <c r="W116">
        <f>HYPERLINK("https://klasma.github.io/Logging_0188/klagomålsmail/A 7734-2026 FSC-klagomål mail.docx", "A 7734-2026")</f>
        <v/>
      </c>
      <c r="X116">
        <f>HYPERLINK("https://klasma.github.io/Logging_0188/tillsyn/A 7734-2026 tillsynsbegäran.docx", "A 7734-2026")</f>
        <v/>
      </c>
      <c r="Y116">
        <f>HYPERLINK("https://klasma.github.io/Logging_0188/tillsynsmail/A 7734-2026 tillsynsbegäran mail.docx", "A 7734-2026")</f>
        <v/>
      </c>
    </row>
    <row r="117" ht="15" customHeight="1">
      <c r="A117" t="inlineStr">
        <is>
          <t>A 33546-2025</t>
        </is>
      </c>
      <c r="B117" s="1" t="n">
        <v>45841.56996527778</v>
      </c>
      <c r="C117" s="1" t="n">
        <v>46186</v>
      </c>
      <c r="D117" t="inlineStr">
        <is>
          <t>STOCKHOLMS LÄN</t>
        </is>
      </c>
      <c r="E117" t="inlineStr">
        <is>
          <t>NORRTÄLJE</t>
        </is>
      </c>
      <c r="G117" t="n">
        <v>7.2</v>
      </c>
      <c r="H117" t="n">
        <v>1</v>
      </c>
      <c r="I117" t="n">
        <v>1</v>
      </c>
      <c r="J117" t="n">
        <v>0</v>
      </c>
      <c r="K117" t="n">
        <v>0</v>
      </c>
      <c r="L117" t="n">
        <v>0</v>
      </c>
      <c r="M117" t="n">
        <v>0</v>
      </c>
      <c r="N117" t="n">
        <v>0</v>
      </c>
      <c r="O117" t="n">
        <v>0</v>
      </c>
      <c r="P117" t="n">
        <v>0</v>
      </c>
      <c r="Q117" t="n">
        <v>1</v>
      </c>
      <c r="R117" s="2" t="inlineStr">
        <is>
          <t>Nästrot</t>
        </is>
      </c>
      <c r="S117">
        <f>HYPERLINK("https://klasma.github.io/Logging_0188/artfynd/A 33546-2025 artfynd.xlsx", "A 33546-2025")</f>
        <v/>
      </c>
      <c r="T117">
        <f>HYPERLINK("https://klasma.github.io/Logging_0188/kartor/A 33546-2025 karta.png", "A 33546-2025")</f>
        <v/>
      </c>
      <c r="V117">
        <f>HYPERLINK("https://klasma.github.io/Logging_0188/klagomål/A 33546-2025 FSC-klagomål.docx", "A 33546-2025")</f>
        <v/>
      </c>
      <c r="W117">
        <f>HYPERLINK("https://klasma.github.io/Logging_0188/klagomålsmail/A 33546-2025 FSC-klagomål mail.docx", "A 33546-2025")</f>
        <v/>
      </c>
      <c r="X117">
        <f>HYPERLINK("https://klasma.github.io/Logging_0188/tillsyn/A 33546-2025 tillsynsbegäran.docx", "A 33546-2025")</f>
        <v/>
      </c>
      <c r="Y117">
        <f>HYPERLINK("https://klasma.github.io/Logging_0188/tillsynsmail/A 33546-2025 tillsynsbegäran mail.docx", "A 33546-2025")</f>
        <v/>
      </c>
    </row>
    <row r="118" ht="15" customHeight="1">
      <c r="A118" t="inlineStr">
        <is>
          <t>A 4385-2023</t>
        </is>
      </c>
      <c r="B118" s="1" t="n">
        <v>44955.71322916666</v>
      </c>
      <c r="C118" s="1" t="n">
        <v>46186</v>
      </c>
      <c r="D118" t="inlineStr">
        <is>
          <t>STOCKHOLMS LÄN</t>
        </is>
      </c>
      <c r="E118" t="inlineStr">
        <is>
          <t>NORRTÄLJE</t>
        </is>
      </c>
      <c r="G118" t="n">
        <v>7.8</v>
      </c>
      <c r="H118" t="n">
        <v>1</v>
      </c>
      <c r="I118" t="n">
        <v>1</v>
      </c>
      <c r="J118" t="n">
        <v>0</v>
      </c>
      <c r="K118" t="n">
        <v>0</v>
      </c>
      <c r="L118" t="n">
        <v>0</v>
      </c>
      <c r="M118" t="n">
        <v>0</v>
      </c>
      <c r="N118" t="n">
        <v>0</v>
      </c>
      <c r="O118" t="n">
        <v>0</v>
      </c>
      <c r="P118" t="n">
        <v>0</v>
      </c>
      <c r="Q118" t="n">
        <v>1</v>
      </c>
      <c r="R118" s="2" t="inlineStr">
        <is>
          <t>Skogsknipprot</t>
        </is>
      </c>
      <c r="S118">
        <f>HYPERLINK("https://klasma.github.io/Logging_0188/artfynd/A 4385-2023 artfynd.xlsx", "A 4385-2023")</f>
        <v/>
      </c>
      <c r="T118">
        <f>HYPERLINK("https://klasma.github.io/Logging_0188/kartor/A 4385-2023 karta.png", "A 4385-2023")</f>
        <v/>
      </c>
      <c r="V118">
        <f>HYPERLINK("https://klasma.github.io/Logging_0188/klagomål/A 4385-2023 FSC-klagomål.docx", "A 4385-2023")</f>
        <v/>
      </c>
      <c r="W118">
        <f>HYPERLINK("https://klasma.github.io/Logging_0188/klagomålsmail/A 4385-2023 FSC-klagomål mail.docx", "A 4385-2023")</f>
        <v/>
      </c>
      <c r="X118">
        <f>HYPERLINK("https://klasma.github.io/Logging_0188/tillsyn/A 4385-2023 tillsynsbegäran.docx", "A 4385-2023")</f>
        <v/>
      </c>
      <c r="Y118">
        <f>HYPERLINK("https://klasma.github.io/Logging_0188/tillsynsmail/A 4385-2023 tillsynsbegäran mail.docx", "A 4385-2023")</f>
        <v/>
      </c>
    </row>
    <row r="119" ht="15" customHeight="1">
      <c r="A119" t="inlineStr">
        <is>
          <t>A 4860-2022</t>
        </is>
      </c>
      <c r="B119" s="1" t="n">
        <v>44592</v>
      </c>
      <c r="C119" s="1" t="n">
        <v>46186</v>
      </c>
      <c r="D119" t="inlineStr">
        <is>
          <t>STOCKHOLMS LÄN</t>
        </is>
      </c>
      <c r="E119" t="inlineStr">
        <is>
          <t>NORRTÄLJE</t>
        </is>
      </c>
      <c r="G119" t="n">
        <v>22.3</v>
      </c>
      <c r="H119" t="n">
        <v>0</v>
      </c>
      <c r="I119" t="n">
        <v>0</v>
      </c>
      <c r="J119" t="n">
        <v>1</v>
      </c>
      <c r="K119" t="n">
        <v>0</v>
      </c>
      <c r="L119" t="n">
        <v>0</v>
      </c>
      <c r="M119" t="n">
        <v>0</v>
      </c>
      <c r="N119" t="n">
        <v>0</v>
      </c>
      <c r="O119" t="n">
        <v>1</v>
      </c>
      <c r="P119" t="n">
        <v>0</v>
      </c>
      <c r="Q119" t="n">
        <v>1</v>
      </c>
      <c r="R119" s="2" t="inlineStr">
        <is>
          <t>Igelkott</t>
        </is>
      </c>
      <c r="S119">
        <f>HYPERLINK("https://klasma.github.io/Logging_0188/artfynd/A 4860-2022 artfynd.xlsx", "A 4860-2022")</f>
        <v/>
      </c>
      <c r="T119">
        <f>HYPERLINK("https://klasma.github.io/Logging_0188/kartor/A 4860-2022 karta.png", "A 4860-2022")</f>
        <v/>
      </c>
      <c r="V119">
        <f>HYPERLINK("https://klasma.github.io/Logging_0188/klagomål/A 4860-2022 FSC-klagomål.docx", "A 4860-2022")</f>
        <v/>
      </c>
      <c r="W119">
        <f>HYPERLINK("https://klasma.github.io/Logging_0188/klagomålsmail/A 4860-2022 FSC-klagomål mail.docx", "A 4860-2022")</f>
        <v/>
      </c>
      <c r="X119">
        <f>HYPERLINK("https://klasma.github.io/Logging_0188/tillsyn/A 4860-2022 tillsynsbegäran.docx", "A 4860-2022")</f>
        <v/>
      </c>
      <c r="Y119">
        <f>HYPERLINK("https://klasma.github.io/Logging_0188/tillsynsmail/A 4860-2022 tillsynsbegäran mail.docx", "A 4860-2022")</f>
        <v/>
      </c>
    </row>
    <row r="120" ht="15" customHeight="1">
      <c r="A120" t="inlineStr">
        <is>
          <t>A 63292-2025</t>
        </is>
      </c>
      <c r="B120" s="1" t="n">
        <v>46010.59232638889</v>
      </c>
      <c r="C120" s="1" t="n">
        <v>46186</v>
      </c>
      <c r="D120" t="inlineStr">
        <is>
          <t>STOCKHOLMS LÄN</t>
        </is>
      </c>
      <c r="E120" t="inlineStr">
        <is>
          <t>NORRTÄLJE</t>
        </is>
      </c>
      <c r="G120" t="n">
        <v>11.1</v>
      </c>
      <c r="H120" t="n">
        <v>1</v>
      </c>
      <c r="I120" t="n">
        <v>1</v>
      </c>
      <c r="J120" t="n">
        <v>0</v>
      </c>
      <c r="K120" t="n">
        <v>0</v>
      </c>
      <c r="L120" t="n">
        <v>0</v>
      </c>
      <c r="M120" t="n">
        <v>0</v>
      </c>
      <c r="N120" t="n">
        <v>0</v>
      </c>
      <c r="O120" t="n">
        <v>0</v>
      </c>
      <c r="P120" t="n">
        <v>0</v>
      </c>
      <c r="Q120" t="n">
        <v>1</v>
      </c>
      <c r="R120" s="2" t="inlineStr">
        <is>
          <t>Nästrot</t>
        </is>
      </c>
      <c r="S120">
        <f>HYPERLINK("https://klasma.github.io/Logging_0188/artfynd/A 63292-2025 artfynd.xlsx", "A 63292-2025")</f>
        <v/>
      </c>
      <c r="T120">
        <f>HYPERLINK("https://klasma.github.io/Logging_0188/kartor/A 63292-2025 karta.png", "A 63292-2025")</f>
        <v/>
      </c>
      <c r="V120">
        <f>HYPERLINK("https://klasma.github.io/Logging_0188/klagomål/A 63292-2025 FSC-klagomål.docx", "A 63292-2025")</f>
        <v/>
      </c>
      <c r="W120">
        <f>HYPERLINK("https://klasma.github.io/Logging_0188/klagomålsmail/A 63292-2025 FSC-klagomål mail.docx", "A 63292-2025")</f>
        <v/>
      </c>
      <c r="X120">
        <f>HYPERLINK("https://klasma.github.io/Logging_0188/tillsyn/A 63292-2025 tillsynsbegäran.docx", "A 63292-2025")</f>
        <v/>
      </c>
      <c r="Y120">
        <f>HYPERLINK("https://klasma.github.io/Logging_0188/tillsynsmail/A 63292-2025 tillsynsbegäran mail.docx", "A 63292-2025")</f>
        <v/>
      </c>
    </row>
    <row r="121" ht="15" customHeight="1">
      <c r="A121" t="inlineStr">
        <is>
          <t>A 25916-2026</t>
        </is>
      </c>
      <c r="B121" s="1" t="n">
        <v>46178.73321759259</v>
      </c>
      <c r="C121" s="1" t="n">
        <v>46186</v>
      </c>
      <c r="D121" t="inlineStr">
        <is>
          <t>STOCKHOLMS LÄN</t>
        </is>
      </c>
      <c r="E121" t="inlineStr">
        <is>
          <t>NORRTÄLJE</t>
        </is>
      </c>
      <c r="G121" t="n">
        <v>9.5</v>
      </c>
      <c r="H121" t="n">
        <v>0</v>
      </c>
      <c r="I121" t="n">
        <v>0</v>
      </c>
      <c r="J121" t="n">
        <v>0</v>
      </c>
      <c r="K121" t="n">
        <v>1</v>
      </c>
      <c r="L121" t="n">
        <v>0</v>
      </c>
      <c r="M121" t="n">
        <v>0</v>
      </c>
      <c r="N121" t="n">
        <v>0</v>
      </c>
      <c r="O121" t="n">
        <v>1</v>
      </c>
      <c r="P121" t="n">
        <v>1</v>
      </c>
      <c r="Q121" t="n">
        <v>1</v>
      </c>
      <c r="R121" s="2" t="inlineStr">
        <is>
          <t>Violgubbe</t>
        </is>
      </c>
      <c r="S121">
        <f>HYPERLINK("https://klasma.github.io/Logging_0188/artfynd/A 25916-2026 artfynd.xlsx", "A 25916-2026")</f>
        <v/>
      </c>
      <c r="T121">
        <f>HYPERLINK("https://klasma.github.io/Logging_0188/kartor/A 25916-2026 karta.png", "A 25916-2026")</f>
        <v/>
      </c>
      <c r="V121">
        <f>HYPERLINK("https://klasma.github.io/Logging_0188/klagomål/A 25916-2026 FSC-klagomål.docx", "A 25916-2026")</f>
        <v/>
      </c>
      <c r="W121">
        <f>HYPERLINK("https://klasma.github.io/Logging_0188/klagomålsmail/A 25916-2026 FSC-klagomål mail.docx", "A 25916-2026")</f>
        <v/>
      </c>
      <c r="X121">
        <f>HYPERLINK("https://klasma.github.io/Logging_0188/tillsyn/A 25916-2026 tillsynsbegäran.docx", "A 25916-2026")</f>
        <v/>
      </c>
      <c r="Y121">
        <f>HYPERLINK("https://klasma.github.io/Logging_0188/tillsynsmail/A 25916-2026 tillsynsbegäran mail.docx", "A 25916-2026")</f>
        <v/>
      </c>
    </row>
    <row r="122" ht="15" customHeight="1">
      <c r="A122" t="inlineStr">
        <is>
          <t>A 19829-2022</t>
        </is>
      </c>
      <c r="B122" s="1" t="n">
        <v>44695.43527777777</v>
      </c>
      <c r="C122" s="1" t="n">
        <v>46186</v>
      </c>
      <c r="D122" t="inlineStr">
        <is>
          <t>STOCKHOLMS LÄN</t>
        </is>
      </c>
      <c r="E122" t="inlineStr">
        <is>
          <t>NORRTÄLJE</t>
        </is>
      </c>
      <c r="G122" t="n">
        <v>2</v>
      </c>
      <c r="H122" t="n">
        <v>1</v>
      </c>
      <c r="I122" t="n">
        <v>1</v>
      </c>
      <c r="J122" t="n">
        <v>0</v>
      </c>
      <c r="K122" t="n">
        <v>0</v>
      </c>
      <c r="L122" t="n">
        <v>0</v>
      </c>
      <c r="M122" t="n">
        <v>0</v>
      </c>
      <c r="N122" t="n">
        <v>0</v>
      </c>
      <c r="O122" t="n">
        <v>0</v>
      </c>
      <c r="P122" t="n">
        <v>0</v>
      </c>
      <c r="Q122" t="n">
        <v>1</v>
      </c>
      <c r="R122" s="2" t="inlineStr">
        <is>
          <t>Guckusko</t>
        </is>
      </c>
      <c r="S122">
        <f>HYPERLINK("https://klasma.github.io/Logging_0188/artfynd/A 19829-2022 artfynd.xlsx", "A 19829-2022")</f>
        <v/>
      </c>
      <c r="T122">
        <f>HYPERLINK("https://klasma.github.io/Logging_0188/kartor/A 19829-2022 karta.png", "A 19829-2022")</f>
        <v/>
      </c>
      <c r="V122">
        <f>HYPERLINK("https://klasma.github.io/Logging_0188/klagomål/A 19829-2022 FSC-klagomål.docx", "A 19829-2022")</f>
        <v/>
      </c>
      <c r="W122">
        <f>HYPERLINK("https://klasma.github.io/Logging_0188/klagomålsmail/A 19829-2022 FSC-klagomål mail.docx", "A 19829-2022")</f>
        <v/>
      </c>
      <c r="X122">
        <f>HYPERLINK("https://klasma.github.io/Logging_0188/tillsyn/A 19829-2022 tillsynsbegäran.docx", "A 19829-2022")</f>
        <v/>
      </c>
      <c r="Y122">
        <f>HYPERLINK("https://klasma.github.io/Logging_0188/tillsynsmail/A 19829-2022 tillsynsbegäran mail.docx", "A 19829-2022")</f>
        <v/>
      </c>
    </row>
    <row r="123" ht="15" customHeight="1">
      <c r="A123" t="inlineStr">
        <is>
          <t>A 16870-2025</t>
        </is>
      </c>
      <c r="B123" s="1" t="n">
        <v>45754</v>
      </c>
      <c r="C123" s="1" t="n">
        <v>46186</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28816-2023</t>
        </is>
      </c>
      <c r="B124" s="1" t="n">
        <v>45104</v>
      </c>
      <c r="C124" s="1" t="n">
        <v>46186</v>
      </c>
      <c r="D124" t="inlineStr">
        <is>
          <t>STOCKHOLMS LÄN</t>
        </is>
      </c>
      <c r="E124" t="inlineStr">
        <is>
          <t>NORRTÄLJE</t>
        </is>
      </c>
      <c r="F124" t="inlineStr">
        <is>
          <t>Kommuner</t>
        </is>
      </c>
      <c r="G124" t="n">
        <v>0.5</v>
      </c>
      <c r="H124" t="n">
        <v>1</v>
      </c>
      <c r="I124" t="n">
        <v>0</v>
      </c>
      <c r="J124" t="n">
        <v>0</v>
      </c>
      <c r="K124" t="n">
        <v>0</v>
      </c>
      <c r="L124" t="n">
        <v>0</v>
      </c>
      <c r="M124" t="n">
        <v>0</v>
      </c>
      <c r="N124" t="n">
        <v>0</v>
      </c>
      <c r="O124" t="n">
        <v>0</v>
      </c>
      <c r="P124" t="n">
        <v>0</v>
      </c>
      <c r="Q124" t="n">
        <v>1</v>
      </c>
      <c r="R124" s="2" t="inlineStr">
        <is>
          <t>Kungsfågel</t>
        </is>
      </c>
      <c r="S124">
        <f>HYPERLINK("https://klasma.github.io/Logging_0188/artfynd/A 28816-2023 artfynd.xlsx", "A 28816-2023")</f>
        <v/>
      </c>
      <c r="T124">
        <f>HYPERLINK("https://klasma.github.io/Logging_0188/kartor/A 28816-2023 karta.png", "A 28816-2023")</f>
        <v/>
      </c>
      <c r="V124">
        <f>HYPERLINK("https://klasma.github.io/Logging_0188/klagomål/A 28816-2023 FSC-klagomål.docx", "A 28816-2023")</f>
        <v/>
      </c>
      <c r="W124">
        <f>HYPERLINK("https://klasma.github.io/Logging_0188/klagomålsmail/A 28816-2023 FSC-klagomål mail.docx", "A 28816-2023")</f>
        <v/>
      </c>
      <c r="X124">
        <f>HYPERLINK("https://klasma.github.io/Logging_0188/tillsyn/A 28816-2023 tillsynsbegäran.docx", "A 28816-2023")</f>
        <v/>
      </c>
      <c r="Y124">
        <f>HYPERLINK("https://klasma.github.io/Logging_0188/tillsynsmail/A 28816-2023 tillsynsbegäran mail.docx", "A 28816-2023")</f>
        <v/>
      </c>
      <c r="Z124">
        <f>HYPERLINK("https://klasma.github.io/Logging_0188/fåglar/A 28816-2023 prioriterade fågelarter.docx", "A 28816-2023")</f>
        <v/>
      </c>
    </row>
    <row r="125" ht="15" customHeight="1">
      <c r="A125" t="inlineStr">
        <is>
          <t>A 26415-2026</t>
        </is>
      </c>
      <c r="B125" s="1" t="n">
        <v>46183.41864583334</v>
      </c>
      <c r="C125" s="1" t="n">
        <v>46186</v>
      </c>
      <c r="D125" t="inlineStr">
        <is>
          <t>STOCKHOLMS LÄN</t>
        </is>
      </c>
      <c r="E125" t="inlineStr">
        <is>
          <t>NORRTÄLJE</t>
        </is>
      </c>
      <c r="G125" t="n">
        <v>2.3</v>
      </c>
      <c r="H125" t="n">
        <v>1</v>
      </c>
      <c r="I125" t="n">
        <v>1</v>
      </c>
      <c r="J125" t="n">
        <v>0</v>
      </c>
      <c r="K125" t="n">
        <v>0</v>
      </c>
      <c r="L125" t="n">
        <v>0</v>
      </c>
      <c r="M125" t="n">
        <v>0</v>
      </c>
      <c r="N125" t="n">
        <v>0</v>
      </c>
      <c r="O125" t="n">
        <v>0</v>
      </c>
      <c r="P125" t="n">
        <v>0</v>
      </c>
      <c r="Q125" t="n">
        <v>1</v>
      </c>
      <c r="R125" s="2" t="inlineStr">
        <is>
          <t>Korallrot</t>
        </is>
      </c>
      <c r="S125">
        <f>HYPERLINK("https://klasma.github.io/Logging_0188/artfynd/A 26415-2026 artfynd.xlsx", "A 26415-2026")</f>
        <v/>
      </c>
      <c r="T125">
        <f>HYPERLINK("https://klasma.github.io/Logging_0188/kartor/A 26415-2026 karta.png", "A 26415-2026")</f>
        <v/>
      </c>
      <c r="V125">
        <f>HYPERLINK("https://klasma.github.io/Logging_0188/klagomål/A 26415-2026 FSC-klagomål.docx", "A 26415-2026")</f>
        <v/>
      </c>
      <c r="W125">
        <f>HYPERLINK("https://klasma.github.io/Logging_0188/klagomålsmail/A 26415-2026 FSC-klagomål mail.docx", "A 26415-2026")</f>
        <v/>
      </c>
      <c r="X125">
        <f>HYPERLINK("https://klasma.github.io/Logging_0188/tillsyn/A 26415-2026 tillsynsbegäran.docx", "A 26415-2026")</f>
        <v/>
      </c>
      <c r="Y125">
        <f>HYPERLINK("https://klasma.github.io/Logging_0188/tillsynsmail/A 26415-2026 tillsynsbegäran mail.docx", "A 26415-2026")</f>
        <v/>
      </c>
    </row>
    <row r="126" ht="15" customHeight="1">
      <c r="A126" t="inlineStr">
        <is>
          <t>A 26399-2026</t>
        </is>
      </c>
      <c r="B126" s="1" t="n">
        <v>46183</v>
      </c>
      <c r="C126" s="1" t="n">
        <v>46186</v>
      </c>
      <c r="D126" t="inlineStr">
        <is>
          <t>STOCKHOLMS LÄN</t>
        </is>
      </c>
      <c r="E126" t="inlineStr">
        <is>
          <t>NORRTÄLJE</t>
        </is>
      </c>
      <c r="G126" t="n">
        <v>7.4</v>
      </c>
      <c r="H126" t="n">
        <v>0</v>
      </c>
      <c r="I126" t="n">
        <v>1</v>
      </c>
      <c r="J126" t="n">
        <v>0</v>
      </c>
      <c r="K126" t="n">
        <v>0</v>
      </c>
      <c r="L126" t="n">
        <v>0</v>
      </c>
      <c r="M126" t="n">
        <v>0</v>
      </c>
      <c r="N126" t="n">
        <v>0</v>
      </c>
      <c r="O126" t="n">
        <v>0</v>
      </c>
      <c r="P126" t="n">
        <v>0</v>
      </c>
      <c r="Q126" t="n">
        <v>1</v>
      </c>
      <c r="R126" s="2" t="inlineStr">
        <is>
          <t>Stor aspticka</t>
        </is>
      </c>
      <c r="S126">
        <f>HYPERLINK("https://klasma.github.io/Logging_0188/artfynd/A 26399-2026 artfynd.xlsx", "A 26399-2026")</f>
        <v/>
      </c>
      <c r="T126">
        <f>HYPERLINK("https://klasma.github.io/Logging_0188/kartor/A 26399-2026 karta.png", "A 26399-2026")</f>
        <v/>
      </c>
      <c r="V126">
        <f>HYPERLINK("https://klasma.github.io/Logging_0188/klagomål/A 26399-2026 FSC-klagomål.docx", "A 26399-2026")</f>
        <v/>
      </c>
      <c r="W126">
        <f>HYPERLINK("https://klasma.github.io/Logging_0188/klagomålsmail/A 26399-2026 FSC-klagomål mail.docx", "A 26399-2026")</f>
        <v/>
      </c>
      <c r="X126">
        <f>HYPERLINK("https://klasma.github.io/Logging_0188/tillsyn/A 26399-2026 tillsynsbegäran.docx", "A 26399-2026")</f>
        <v/>
      </c>
      <c r="Y126">
        <f>HYPERLINK("https://klasma.github.io/Logging_0188/tillsynsmail/A 26399-2026 tillsynsbegäran mail.docx", "A 26399-2026")</f>
        <v/>
      </c>
    </row>
    <row r="127" ht="15" customHeight="1">
      <c r="A127" t="inlineStr">
        <is>
          <t>A 52508-2023</t>
        </is>
      </c>
      <c r="B127" s="1" t="n">
        <v>45225</v>
      </c>
      <c r="C127" s="1" t="n">
        <v>46186</v>
      </c>
      <c r="D127" t="inlineStr">
        <is>
          <t>STOCKHOLMS LÄN</t>
        </is>
      </c>
      <c r="E127" t="inlineStr">
        <is>
          <t>NORRTÄLJE</t>
        </is>
      </c>
      <c r="G127" t="n">
        <v>19.7</v>
      </c>
      <c r="H127" t="n">
        <v>1</v>
      </c>
      <c r="I127" t="n">
        <v>0</v>
      </c>
      <c r="J127" t="n">
        <v>0</v>
      </c>
      <c r="K127" t="n">
        <v>1</v>
      </c>
      <c r="L127" t="n">
        <v>0</v>
      </c>
      <c r="M127" t="n">
        <v>0</v>
      </c>
      <c r="N127" t="n">
        <v>0</v>
      </c>
      <c r="O127" t="n">
        <v>1</v>
      </c>
      <c r="P127" t="n">
        <v>1</v>
      </c>
      <c r="Q127" t="n">
        <v>1</v>
      </c>
      <c r="R127" s="2" t="inlineStr">
        <is>
          <t>Svärta</t>
        </is>
      </c>
      <c r="S127">
        <f>HYPERLINK("https://klasma.github.io/Logging_0188/artfynd/A 52508-2023 artfynd.xlsx", "A 52508-2023")</f>
        <v/>
      </c>
      <c r="T127">
        <f>HYPERLINK("https://klasma.github.io/Logging_0188/kartor/A 52508-2023 karta.png", "A 52508-2023")</f>
        <v/>
      </c>
      <c r="V127">
        <f>HYPERLINK("https://klasma.github.io/Logging_0188/klagomål/A 52508-2023 FSC-klagomål.docx", "A 52508-2023")</f>
        <v/>
      </c>
      <c r="W127">
        <f>HYPERLINK("https://klasma.github.io/Logging_0188/klagomålsmail/A 52508-2023 FSC-klagomål mail.docx", "A 52508-2023")</f>
        <v/>
      </c>
      <c r="X127">
        <f>HYPERLINK("https://klasma.github.io/Logging_0188/tillsyn/A 52508-2023 tillsynsbegäran.docx", "A 52508-2023")</f>
        <v/>
      </c>
      <c r="Y127">
        <f>HYPERLINK("https://klasma.github.io/Logging_0188/tillsynsmail/A 52508-2023 tillsynsbegäran mail.docx", "A 52508-2023")</f>
        <v/>
      </c>
    </row>
    <row r="128" ht="15" customHeight="1">
      <c r="A128" t="inlineStr">
        <is>
          <t>A 27827-2022</t>
        </is>
      </c>
      <c r="B128" s="1" t="n">
        <v>44743.59504629629</v>
      </c>
      <c r="C128" s="1" t="n">
        <v>46186</v>
      </c>
      <c r="D128" t="inlineStr">
        <is>
          <t>STOCKHOLMS LÄN</t>
        </is>
      </c>
      <c r="E128" t="inlineStr">
        <is>
          <t>NORRTÄLJE</t>
        </is>
      </c>
      <c r="F128" t="inlineStr">
        <is>
          <t>Holmen skog AB</t>
        </is>
      </c>
      <c r="G128" t="n">
        <v>4.7</v>
      </c>
      <c r="H128" t="n">
        <v>1</v>
      </c>
      <c r="I128" t="n">
        <v>0</v>
      </c>
      <c r="J128" t="n">
        <v>1</v>
      </c>
      <c r="K128" t="n">
        <v>0</v>
      </c>
      <c r="L128" t="n">
        <v>0</v>
      </c>
      <c r="M128" t="n">
        <v>0</v>
      </c>
      <c r="N128" t="n">
        <v>0</v>
      </c>
      <c r="O128" t="n">
        <v>1</v>
      </c>
      <c r="P128" t="n">
        <v>0</v>
      </c>
      <c r="Q128" t="n">
        <v>1</v>
      </c>
      <c r="R128" s="2" t="inlineStr">
        <is>
          <t>Nordfladdermus</t>
        </is>
      </c>
      <c r="S128">
        <f>HYPERLINK("https://klasma.github.io/Logging_0188/artfynd/A 27827-2022 artfynd.xlsx", "A 27827-2022")</f>
        <v/>
      </c>
      <c r="T128">
        <f>HYPERLINK("https://klasma.github.io/Logging_0188/kartor/A 27827-2022 karta.png", "A 27827-2022")</f>
        <v/>
      </c>
      <c r="V128">
        <f>HYPERLINK("https://klasma.github.io/Logging_0188/klagomål/A 27827-2022 FSC-klagomål.docx", "A 27827-2022")</f>
        <v/>
      </c>
      <c r="W128">
        <f>HYPERLINK("https://klasma.github.io/Logging_0188/klagomålsmail/A 27827-2022 FSC-klagomål mail.docx", "A 27827-2022")</f>
        <v/>
      </c>
      <c r="X128">
        <f>HYPERLINK("https://klasma.github.io/Logging_0188/tillsyn/A 27827-2022 tillsynsbegäran.docx", "A 27827-2022")</f>
        <v/>
      </c>
      <c r="Y128">
        <f>HYPERLINK("https://klasma.github.io/Logging_0188/tillsynsmail/A 27827-2022 tillsynsbegäran mail.docx", "A 27827-2022")</f>
        <v/>
      </c>
    </row>
    <row r="129" ht="15" customHeight="1">
      <c r="A129" t="inlineStr">
        <is>
          <t>A 23146-2024</t>
        </is>
      </c>
      <c r="B129" s="1" t="n">
        <v>45450.63958333333</v>
      </c>
      <c r="C129" s="1" t="n">
        <v>46186</v>
      </c>
      <c r="D129" t="inlineStr">
        <is>
          <t>STOCKHOLMS LÄN</t>
        </is>
      </c>
      <c r="E129" t="inlineStr">
        <is>
          <t>NORRTÄLJE</t>
        </is>
      </c>
      <c r="F129" t="inlineStr">
        <is>
          <t>Kommuner</t>
        </is>
      </c>
      <c r="G129" t="n">
        <v>6</v>
      </c>
      <c r="H129" t="n">
        <v>0</v>
      </c>
      <c r="I129" t="n">
        <v>0</v>
      </c>
      <c r="J129" t="n">
        <v>1</v>
      </c>
      <c r="K129" t="n">
        <v>0</v>
      </c>
      <c r="L129" t="n">
        <v>0</v>
      </c>
      <c r="M129" t="n">
        <v>0</v>
      </c>
      <c r="N129" t="n">
        <v>0</v>
      </c>
      <c r="O129" t="n">
        <v>1</v>
      </c>
      <c r="P129" t="n">
        <v>0</v>
      </c>
      <c r="Q129" t="n">
        <v>1</v>
      </c>
      <c r="R129" s="2" t="inlineStr">
        <is>
          <t>Motaggsvamp</t>
        </is>
      </c>
      <c r="S129">
        <f>HYPERLINK("https://klasma.github.io/Logging_0188/artfynd/A 23146-2024 artfynd.xlsx", "A 23146-2024")</f>
        <v/>
      </c>
      <c r="T129">
        <f>HYPERLINK("https://klasma.github.io/Logging_0188/kartor/A 23146-2024 karta.png", "A 23146-2024")</f>
        <v/>
      </c>
      <c r="V129">
        <f>HYPERLINK("https://klasma.github.io/Logging_0188/klagomål/A 23146-2024 FSC-klagomål.docx", "A 23146-2024")</f>
        <v/>
      </c>
      <c r="W129">
        <f>HYPERLINK("https://klasma.github.io/Logging_0188/klagomålsmail/A 23146-2024 FSC-klagomål mail.docx", "A 23146-2024")</f>
        <v/>
      </c>
      <c r="X129">
        <f>HYPERLINK("https://klasma.github.io/Logging_0188/tillsyn/A 23146-2024 tillsynsbegäran.docx", "A 23146-2024")</f>
        <v/>
      </c>
      <c r="Y129">
        <f>HYPERLINK("https://klasma.github.io/Logging_0188/tillsynsmail/A 23146-2024 tillsynsbegäran mail.docx", "A 23146-2024")</f>
        <v/>
      </c>
    </row>
    <row r="130" ht="15" customHeight="1">
      <c r="A130" t="inlineStr">
        <is>
          <t>A 27538-2024</t>
        </is>
      </c>
      <c r="B130" s="1" t="n">
        <v>45474</v>
      </c>
      <c r="C130" s="1" t="n">
        <v>46186</v>
      </c>
      <c r="D130" t="inlineStr">
        <is>
          <t>STOCKHOLMS LÄN</t>
        </is>
      </c>
      <c r="E130" t="inlineStr">
        <is>
          <t>NORRTÄLJE</t>
        </is>
      </c>
      <c r="G130" t="n">
        <v>1.5</v>
      </c>
      <c r="H130" t="n">
        <v>1</v>
      </c>
      <c r="I130" t="n">
        <v>1</v>
      </c>
      <c r="J130" t="n">
        <v>0</v>
      </c>
      <c r="K130" t="n">
        <v>0</v>
      </c>
      <c r="L130" t="n">
        <v>0</v>
      </c>
      <c r="M130" t="n">
        <v>0</v>
      </c>
      <c r="N130" t="n">
        <v>0</v>
      </c>
      <c r="O130" t="n">
        <v>0</v>
      </c>
      <c r="P130" t="n">
        <v>0</v>
      </c>
      <c r="Q130" t="n">
        <v>1</v>
      </c>
      <c r="R130" s="2" t="inlineStr">
        <is>
          <t>Skogsknipprot</t>
        </is>
      </c>
      <c r="S130">
        <f>HYPERLINK("https://klasma.github.io/Logging_0188/artfynd/A 27538-2024 artfynd.xlsx", "A 27538-2024")</f>
        <v/>
      </c>
      <c r="T130">
        <f>HYPERLINK("https://klasma.github.io/Logging_0188/kartor/A 27538-2024 karta.png", "A 27538-2024")</f>
        <v/>
      </c>
      <c r="V130">
        <f>HYPERLINK("https://klasma.github.io/Logging_0188/klagomål/A 27538-2024 FSC-klagomål.docx", "A 27538-2024")</f>
        <v/>
      </c>
      <c r="W130">
        <f>HYPERLINK("https://klasma.github.io/Logging_0188/klagomålsmail/A 27538-2024 FSC-klagomål mail.docx", "A 27538-2024")</f>
        <v/>
      </c>
      <c r="X130">
        <f>HYPERLINK("https://klasma.github.io/Logging_0188/tillsyn/A 27538-2024 tillsynsbegäran.docx", "A 27538-2024")</f>
        <v/>
      </c>
      <c r="Y130">
        <f>HYPERLINK("https://klasma.github.io/Logging_0188/tillsynsmail/A 27538-2024 tillsynsbegäran mail.docx", "A 27538-2024")</f>
        <v/>
      </c>
    </row>
    <row r="131" ht="15" customHeight="1">
      <c r="A131" t="inlineStr">
        <is>
          <t>A 48131-2023</t>
        </is>
      </c>
      <c r="B131" s="1" t="n">
        <v>45205</v>
      </c>
      <c r="C131" s="1" t="n">
        <v>46186</v>
      </c>
      <c r="D131" t="inlineStr">
        <is>
          <t>STOCKHOLMS LÄN</t>
        </is>
      </c>
      <c r="E131" t="inlineStr">
        <is>
          <t>NORRTÄLJE</t>
        </is>
      </c>
      <c r="G131" t="n">
        <v>2.3</v>
      </c>
      <c r="H131" t="n">
        <v>0</v>
      </c>
      <c r="I131" t="n">
        <v>0</v>
      </c>
      <c r="J131" t="n">
        <v>1</v>
      </c>
      <c r="K131" t="n">
        <v>0</v>
      </c>
      <c r="L131" t="n">
        <v>0</v>
      </c>
      <c r="M131" t="n">
        <v>0</v>
      </c>
      <c r="N131" t="n">
        <v>0</v>
      </c>
      <c r="O131" t="n">
        <v>1</v>
      </c>
      <c r="P131" t="n">
        <v>0</v>
      </c>
      <c r="Q131" t="n">
        <v>1</v>
      </c>
      <c r="R131" s="2" t="inlineStr">
        <is>
          <t>Slåtterfibbla</t>
        </is>
      </c>
      <c r="S131">
        <f>HYPERLINK("https://klasma.github.io/Logging_0188/artfynd/A 48131-2023 artfynd.xlsx", "A 48131-2023")</f>
        <v/>
      </c>
      <c r="T131">
        <f>HYPERLINK("https://klasma.github.io/Logging_0188/kartor/A 48131-2023 karta.png", "A 48131-2023")</f>
        <v/>
      </c>
      <c r="V131">
        <f>HYPERLINK("https://klasma.github.io/Logging_0188/klagomål/A 48131-2023 FSC-klagomål.docx", "A 48131-2023")</f>
        <v/>
      </c>
      <c r="W131">
        <f>HYPERLINK("https://klasma.github.io/Logging_0188/klagomålsmail/A 48131-2023 FSC-klagomål mail.docx", "A 48131-2023")</f>
        <v/>
      </c>
      <c r="X131">
        <f>HYPERLINK("https://klasma.github.io/Logging_0188/tillsyn/A 48131-2023 tillsynsbegäran.docx", "A 48131-2023")</f>
        <v/>
      </c>
      <c r="Y131">
        <f>HYPERLINK("https://klasma.github.io/Logging_0188/tillsynsmail/A 48131-2023 tillsynsbegäran mail.docx", "A 48131-2023")</f>
        <v/>
      </c>
    </row>
    <row r="132" ht="15" customHeight="1">
      <c r="A132" t="inlineStr">
        <is>
          <t>A 21150-2022</t>
        </is>
      </c>
      <c r="B132" s="1" t="n">
        <v>44704</v>
      </c>
      <c r="C132" s="1" t="n">
        <v>46186</v>
      </c>
      <c r="D132" t="inlineStr">
        <is>
          <t>STOCKHOLMS LÄN</t>
        </is>
      </c>
      <c r="E132" t="inlineStr">
        <is>
          <t>NORRTÄLJE</t>
        </is>
      </c>
      <c r="G132" t="n">
        <v>12.5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21150-2022 artfynd.xlsx", "A 21150-2022")</f>
        <v/>
      </c>
      <c r="T132">
        <f>HYPERLINK("https://klasma.github.io/Logging_0188/kartor/A 21150-2022 karta.png", "A 21150-2022")</f>
        <v/>
      </c>
      <c r="V132">
        <f>HYPERLINK("https://klasma.github.io/Logging_0188/klagomål/A 21150-2022 FSC-klagomål.docx", "A 21150-2022")</f>
        <v/>
      </c>
      <c r="W132">
        <f>HYPERLINK("https://klasma.github.io/Logging_0188/klagomålsmail/A 21150-2022 FSC-klagomål mail.docx", "A 21150-2022")</f>
        <v/>
      </c>
      <c r="X132">
        <f>HYPERLINK("https://klasma.github.io/Logging_0188/tillsyn/A 21150-2022 tillsynsbegäran.docx", "A 21150-2022")</f>
        <v/>
      </c>
      <c r="Y132">
        <f>HYPERLINK("https://klasma.github.io/Logging_0188/tillsynsmail/A 21150-2022 tillsynsbegäran mail.docx", "A 21150-2022")</f>
        <v/>
      </c>
    </row>
    <row r="133" ht="15" customHeight="1">
      <c r="A133" t="inlineStr">
        <is>
          <t>A 12877-2022</t>
        </is>
      </c>
      <c r="B133" s="1" t="n">
        <v>44642</v>
      </c>
      <c r="C133" s="1" t="n">
        <v>46186</v>
      </c>
      <c r="D133" t="inlineStr">
        <is>
          <t>STOCKHOLMS LÄN</t>
        </is>
      </c>
      <c r="E133" t="inlineStr">
        <is>
          <t>NORRTÄLJE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71543-2021</t>
        </is>
      </c>
      <c r="B134" s="1" t="n">
        <v>44540</v>
      </c>
      <c r="C134" s="1" t="n">
        <v>46186</v>
      </c>
      <c r="D134" t="inlineStr">
        <is>
          <t>STOCKHOLMS LÄN</t>
        </is>
      </c>
      <c r="E134" t="inlineStr">
        <is>
          <t>NORRTÄLJE</t>
        </is>
      </c>
      <c r="G134" t="n">
        <v>1.8</v>
      </c>
      <c r="H134" t="n">
        <v>0</v>
      </c>
      <c r="I134" t="n">
        <v>0</v>
      </c>
      <c r="J134" t="n">
        <v>0</v>
      </c>
      <c r="K134" t="n">
        <v>0</v>
      </c>
      <c r="L134" t="n">
        <v>0</v>
      </c>
      <c r="M134" t="n">
        <v>0</v>
      </c>
      <c r="N134" t="n">
        <v>0</v>
      </c>
      <c r="O134" t="n">
        <v>0</v>
      </c>
      <c r="P134" t="n">
        <v>0</v>
      </c>
      <c r="Q134" t="n">
        <v>0</v>
      </c>
      <c r="R134" s="2" t="inlineStr"/>
    </row>
    <row r="135" ht="15" customHeight="1">
      <c r="A135" t="inlineStr">
        <is>
          <t>A 14036-2022</t>
        </is>
      </c>
      <c r="B135" s="1" t="n">
        <v>44650.8699537037</v>
      </c>
      <c r="C135" s="1" t="n">
        <v>46186</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47344-2021</t>
        </is>
      </c>
      <c r="B136" s="1" t="n">
        <v>44447</v>
      </c>
      <c r="C136" s="1" t="n">
        <v>46186</v>
      </c>
      <c r="D136" t="inlineStr">
        <is>
          <t>STOCKHOLMS LÄN</t>
        </is>
      </c>
      <c r="E136" t="inlineStr">
        <is>
          <t>NORRTÄLJE</t>
        </is>
      </c>
      <c r="G136" t="n">
        <v>3.3</v>
      </c>
      <c r="H136" t="n">
        <v>0</v>
      </c>
      <c r="I136" t="n">
        <v>0</v>
      </c>
      <c r="J136" t="n">
        <v>0</v>
      </c>
      <c r="K136" t="n">
        <v>0</v>
      </c>
      <c r="L136" t="n">
        <v>0</v>
      </c>
      <c r="M136" t="n">
        <v>0</v>
      </c>
      <c r="N136" t="n">
        <v>0</v>
      </c>
      <c r="O136" t="n">
        <v>0</v>
      </c>
      <c r="P136" t="n">
        <v>0</v>
      </c>
      <c r="Q136" t="n">
        <v>0</v>
      </c>
      <c r="R136" s="2" t="inlineStr"/>
    </row>
    <row r="137" ht="15" customHeight="1">
      <c r="A137" t="inlineStr">
        <is>
          <t>A 43036-2022</t>
        </is>
      </c>
      <c r="B137" s="1" t="n">
        <v>44833</v>
      </c>
      <c r="C137" s="1" t="n">
        <v>46186</v>
      </c>
      <c r="D137" t="inlineStr">
        <is>
          <t>STOCKHOLMS LÄN</t>
        </is>
      </c>
      <c r="E137" t="inlineStr">
        <is>
          <t>NORRTÄLJE</t>
        </is>
      </c>
      <c r="F137" t="inlineStr">
        <is>
          <t>Kyrkan</t>
        </is>
      </c>
      <c r="G137" t="n">
        <v>1.7</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46186</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46186</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31934-2022</t>
        </is>
      </c>
      <c r="B140" s="1" t="n">
        <v>44777</v>
      </c>
      <c r="C140" s="1" t="n">
        <v>46186</v>
      </c>
      <c r="D140" t="inlineStr">
        <is>
          <t>STOCKHOLMS LÄN</t>
        </is>
      </c>
      <c r="E140" t="inlineStr">
        <is>
          <t>NORRTÄLJE</t>
        </is>
      </c>
      <c r="G140" t="n">
        <v>1.2</v>
      </c>
      <c r="H140" t="n">
        <v>0</v>
      </c>
      <c r="I140" t="n">
        <v>0</v>
      </c>
      <c r="J140" t="n">
        <v>0</v>
      </c>
      <c r="K140" t="n">
        <v>0</v>
      </c>
      <c r="L140" t="n">
        <v>0</v>
      </c>
      <c r="M140" t="n">
        <v>0</v>
      </c>
      <c r="N140" t="n">
        <v>0</v>
      </c>
      <c r="O140" t="n">
        <v>0</v>
      </c>
      <c r="P140" t="n">
        <v>0</v>
      </c>
      <c r="Q140" t="n">
        <v>0</v>
      </c>
      <c r="R140" s="2" t="inlineStr"/>
    </row>
    <row r="141" ht="15" customHeight="1">
      <c r="A141" t="inlineStr">
        <is>
          <t>A 24977-2022</t>
        </is>
      </c>
      <c r="B141" s="1" t="n">
        <v>44728.73465277778</v>
      </c>
      <c r="C141" s="1" t="n">
        <v>46186</v>
      </c>
      <c r="D141" t="inlineStr">
        <is>
          <t>STOCKHOLMS LÄN</t>
        </is>
      </c>
      <c r="E141" t="inlineStr">
        <is>
          <t>NORRTÄLJE</t>
        </is>
      </c>
      <c r="F141" t="inlineStr">
        <is>
          <t>Kyrkan</t>
        </is>
      </c>
      <c r="G141" t="n">
        <v>1</v>
      </c>
      <c r="H141" t="n">
        <v>0</v>
      </c>
      <c r="I141" t="n">
        <v>0</v>
      </c>
      <c r="J141" t="n">
        <v>0</v>
      </c>
      <c r="K141" t="n">
        <v>0</v>
      </c>
      <c r="L141" t="n">
        <v>0</v>
      </c>
      <c r="M141" t="n">
        <v>0</v>
      </c>
      <c r="N141" t="n">
        <v>0</v>
      </c>
      <c r="O141" t="n">
        <v>0</v>
      </c>
      <c r="P141" t="n">
        <v>0</v>
      </c>
      <c r="Q141" t="n">
        <v>0</v>
      </c>
      <c r="R141" s="2" t="inlineStr"/>
    </row>
    <row r="142" ht="15" customHeight="1">
      <c r="A142" t="inlineStr">
        <is>
          <t>A 37815-2022</t>
        </is>
      </c>
      <c r="B142" s="1" t="n">
        <v>44810.85092592592</v>
      </c>
      <c r="C142" s="1" t="n">
        <v>46186</v>
      </c>
      <c r="D142" t="inlineStr">
        <is>
          <t>STOCKHOLMS LÄN</t>
        </is>
      </c>
      <c r="E142" t="inlineStr">
        <is>
          <t>NORRTÄLJE</t>
        </is>
      </c>
      <c r="G142" t="n">
        <v>1.3</v>
      </c>
      <c r="H142" t="n">
        <v>0</v>
      </c>
      <c r="I142" t="n">
        <v>0</v>
      </c>
      <c r="J142" t="n">
        <v>0</v>
      </c>
      <c r="K142" t="n">
        <v>0</v>
      </c>
      <c r="L142" t="n">
        <v>0</v>
      </c>
      <c r="M142" t="n">
        <v>0</v>
      </c>
      <c r="N142" t="n">
        <v>0</v>
      </c>
      <c r="O142" t="n">
        <v>0</v>
      </c>
      <c r="P142" t="n">
        <v>0</v>
      </c>
      <c r="Q142" t="n">
        <v>0</v>
      </c>
      <c r="R142" s="2" t="inlineStr"/>
    </row>
    <row r="143" ht="15" customHeight="1">
      <c r="A143" t="inlineStr">
        <is>
          <t>A 73855-2021</t>
        </is>
      </c>
      <c r="B143" s="1" t="n">
        <v>44552</v>
      </c>
      <c r="C143" s="1" t="n">
        <v>46186</v>
      </c>
      <c r="D143" t="inlineStr">
        <is>
          <t>STOCKHOLMS LÄN</t>
        </is>
      </c>
      <c r="E143" t="inlineStr">
        <is>
          <t>NORRTÄLJE</t>
        </is>
      </c>
      <c r="F143" t="inlineStr">
        <is>
          <t>Övriga Aktiebolag</t>
        </is>
      </c>
      <c r="G143" t="n">
        <v>4</v>
      </c>
      <c r="H143" t="n">
        <v>0</v>
      </c>
      <c r="I143" t="n">
        <v>0</v>
      </c>
      <c r="J143" t="n">
        <v>0</v>
      </c>
      <c r="K143" t="n">
        <v>0</v>
      </c>
      <c r="L143" t="n">
        <v>0</v>
      </c>
      <c r="M143" t="n">
        <v>0</v>
      </c>
      <c r="N143" t="n">
        <v>0</v>
      </c>
      <c r="O143" t="n">
        <v>0</v>
      </c>
      <c r="P143" t="n">
        <v>0</v>
      </c>
      <c r="Q143" t="n">
        <v>0</v>
      </c>
      <c r="R143" s="2" t="inlineStr"/>
    </row>
    <row r="144" ht="15" customHeight="1">
      <c r="A144" t="inlineStr">
        <is>
          <t>A 74468-2021</t>
        </is>
      </c>
      <c r="B144" s="1" t="n">
        <v>44560</v>
      </c>
      <c r="C144" s="1" t="n">
        <v>46186</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31283-2022</t>
        </is>
      </c>
      <c r="B145" s="1" t="n">
        <v>44771</v>
      </c>
      <c r="C145" s="1" t="n">
        <v>46186</v>
      </c>
      <c r="D145" t="inlineStr">
        <is>
          <t>STOCKHOLMS LÄN</t>
        </is>
      </c>
      <c r="E145" t="inlineStr">
        <is>
          <t>NORRTÄLJE</t>
        </is>
      </c>
      <c r="G145" t="n">
        <v>0.5</v>
      </c>
      <c r="H145" t="n">
        <v>0</v>
      </c>
      <c r="I145" t="n">
        <v>0</v>
      </c>
      <c r="J145" t="n">
        <v>0</v>
      </c>
      <c r="K145" t="n">
        <v>0</v>
      </c>
      <c r="L145" t="n">
        <v>0</v>
      </c>
      <c r="M145" t="n">
        <v>0</v>
      </c>
      <c r="N145" t="n">
        <v>0</v>
      </c>
      <c r="O145" t="n">
        <v>0</v>
      </c>
      <c r="P145" t="n">
        <v>0</v>
      </c>
      <c r="Q145" t="n">
        <v>0</v>
      </c>
      <c r="R145" s="2" t="inlineStr"/>
    </row>
    <row r="146" ht="15" customHeight="1">
      <c r="A146" t="inlineStr">
        <is>
          <t>A 56225-2021</t>
        </is>
      </c>
      <c r="B146" s="1" t="n">
        <v>44477.94327546296</v>
      </c>
      <c r="C146" s="1" t="n">
        <v>46186</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34436-2021</t>
        </is>
      </c>
      <c r="B147" s="1" t="n">
        <v>44380</v>
      </c>
      <c r="C147" s="1" t="n">
        <v>46186</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67525-2021</t>
        </is>
      </c>
      <c r="B148" s="1" t="n">
        <v>44524</v>
      </c>
      <c r="C148" s="1" t="n">
        <v>46186</v>
      </c>
      <c r="D148" t="inlineStr">
        <is>
          <t>STOCKHOLMS LÄN</t>
        </is>
      </c>
      <c r="E148" t="inlineStr">
        <is>
          <t>NORRTÄLJE</t>
        </is>
      </c>
      <c r="G148" t="n">
        <v>0.8</v>
      </c>
      <c r="H148" t="n">
        <v>0</v>
      </c>
      <c r="I148" t="n">
        <v>0</v>
      </c>
      <c r="J148" t="n">
        <v>0</v>
      </c>
      <c r="K148" t="n">
        <v>0</v>
      </c>
      <c r="L148" t="n">
        <v>0</v>
      </c>
      <c r="M148" t="n">
        <v>0</v>
      </c>
      <c r="N148" t="n">
        <v>0</v>
      </c>
      <c r="O148" t="n">
        <v>0</v>
      </c>
      <c r="P148" t="n">
        <v>0</v>
      </c>
      <c r="Q148" t="n">
        <v>0</v>
      </c>
      <c r="R148" s="2" t="inlineStr"/>
    </row>
    <row r="149" ht="15" customHeight="1">
      <c r="A149" t="inlineStr">
        <is>
          <t>A 65737-2021</t>
        </is>
      </c>
      <c r="B149" s="1" t="n">
        <v>44516.72827546296</v>
      </c>
      <c r="C149" s="1" t="n">
        <v>46186</v>
      </c>
      <c r="D149" t="inlineStr">
        <is>
          <t>STOCKHOLMS LÄN</t>
        </is>
      </c>
      <c r="E149" t="inlineStr">
        <is>
          <t>NORRTÄLJE</t>
        </is>
      </c>
      <c r="G149" t="n">
        <v>3</v>
      </c>
      <c r="H149" t="n">
        <v>0</v>
      </c>
      <c r="I149" t="n">
        <v>0</v>
      </c>
      <c r="J149" t="n">
        <v>0</v>
      </c>
      <c r="K149" t="n">
        <v>0</v>
      </c>
      <c r="L149" t="n">
        <v>0</v>
      </c>
      <c r="M149" t="n">
        <v>0</v>
      </c>
      <c r="N149" t="n">
        <v>0</v>
      </c>
      <c r="O149" t="n">
        <v>0</v>
      </c>
      <c r="P149" t="n">
        <v>0</v>
      </c>
      <c r="Q149" t="n">
        <v>0</v>
      </c>
      <c r="R149" s="2" t="inlineStr"/>
    </row>
    <row r="150" ht="15" customHeight="1">
      <c r="A150" t="inlineStr">
        <is>
          <t>A 1704-2022</t>
        </is>
      </c>
      <c r="B150" s="1" t="n">
        <v>44574.42978009259</v>
      </c>
      <c r="C150" s="1" t="n">
        <v>46186</v>
      </c>
      <c r="D150" t="inlineStr">
        <is>
          <t>STOCKHOLMS LÄN</t>
        </is>
      </c>
      <c r="E150" t="inlineStr">
        <is>
          <t>NORRTÄLJE</t>
        </is>
      </c>
      <c r="G150" t="n">
        <v>6.2</v>
      </c>
      <c r="H150" t="n">
        <v>0</v>
      </c>
      <c r="I150" t="n">
        <v>0</v>
      </c>
      <c r="J150" t="n">
        <v>0</v>
      </c>
      <c r="K150" t="n">
        <v>0</v>
      </c>
      <c r="L150" t="n">
        <v>0</v>
      </c>
      <c r="M150" t="n">
        <v>0</v>
      </c>
      <c r="N150" t="n">
        <v>0</v>
      </c>
      <c r="O150" t="n">
        <v>0</v>
      </c>
      <c r="P150" t="n">
        <v>0</v>
      </c>
      <c r="Q150" t="n">
        <v>0</v>
      </c>
      <c r="R150" s="2" t="inlineStr"/>
    </row>
    <row r="151" ht="15" customHeight="1">
      <c r="A151" t="inlineStr">
        <is>
          <t>A 43374-2022</t>
        </is>
      </c>
      <c r="B151" s="1" t="n">
        <v>44834</v>
      </c>
      <c r="C151" s="1" t="n">
        <v>46186</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46186</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46186</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48492-2022</t>
        </is>
      </c>
      <c r="B154" s="1" t="n">
        <v>44858</v>
      </c>
      <c r="C154" s="1" t="n">
        <v>46186</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46186</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46186</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46186</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46186</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46186</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46186</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46186</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46186</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46186</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46186</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46186</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46186</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11821-2022</t>
        </is>
      </c>
      <c r="B167" s="1" t="n">
        <v>44634</v>
      </c>
      <c r="C167" s="1" t="n">
        <v>46186</v>
      </c>
      <c r="D167" t="inlineStr">
        <is>
          <t>STOCKHOLMS LÄN</t>
        </is>
      </c>
      <c r="E167" t="inlineStr">
        <is>
          <t>NORRTÄLJE</t>
        </is>
      </c>
      <c r="G167" t="n">
        <v>1.1</v>
      </c>
      <c r="H167" t="n">
        <v>0</v>
      </c>
      <c r="I167" t="n">
        <v>0</v>
      </c>
      <c r="J167" t="n">
        <v>0</v>
      </c>
      <c r="K167" t="n">
        <v>0</v>
      </c>
      <c r="L167" t="n">
        <v>0</v>
      </c>
      <c r="M167" t="n">
        <v>0</v>
      </c>
      <c r="N167" t="n">
        <v>0</v>
      </c>
      <c r="O167" t="n">
        <v>0</v>
      </c>
      <c r="P167" t="n">
        <v>0</v>
      </c>
      <c r="Q167" t="n">
        <v>0</v>
      </c>
      <c r="R167" s="2" t="inlineStr"/>
    </row>
    <row r="168" ht="15" customHeight="1">
      <c r="A168" t="inlineStr">
        <is>
          <t>A 2977-2022</t>
        </is>
      </c>
      <c r="B168" s="1" t="n">
        <v>44581.75819444445</v>
      </c>
      <c r="C168" s="1" t="n">
        <v>46186</v>
      </c>
      <c r="D168" t="inlineStr">
        <is>
          <t>STOCKHOLMS LÄN</t>
        </is>
      </c>
      <c r="E168" t="inlineStr">
        <is>
          <t>NORRTÄLJE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60186-2021</t>
        </is>
      </c>
      <c r="B169" s="1" t="n">
        <v>44495</v>
      </c>
      <c r="C169" s="1" t="n">
        <v>46186</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28959-2022</t>
        </is>
      </c>
      <c r="B170" s="1" t="n">
        <v>44749.61980324074</v>
      </c>
      <c r="C170" s="1" t="n">
        <v>46186</v>
      </c>
      <c r="D170" t="inlineStr">
        <is>
          <t>STOCKHOLMS LÄN</t>
        </is>
      </c>
      <c r="E170" t="inlineStr">
        <is>
          <t>NORRTÄLJE</t>
        </is>
      </c>
      <c r="G170" t="n">
        <v>5.2</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46186</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72308-2021</t>
        </is>
      </c>
      <c r="B172" s="1" t="n">
        <v>44545.4189699074</v>
      </c>
      <c r="C172" s="1" t="n">
        <v>46186</v>
      </c>
      <c r="D172" t="inlineStr">
        <is>
          <t>STOCKHOLMS LÄN</t>
        </is>
      </c>
      <c r="E172" t="inlineStr">
        <is>
          <t>NORRTÄLJE</t>
        </is>
      </c>
      <c r="G172" t="n">
        <v>1.1</v>
      </c>
      <c r="H172" t="n">
        <v>0</v>
      </c>
      <c r="I172" t="n">
        <v>0</v>
      </c>
      <c r="J172" t="n">
        <v>0</v>
      </c>
      <c r="K172" t="n">
        <v>0</v>
      </c>
      <c r="L172" t="n">
        <v>0</v>
      </c>
      <c r="M172" t="n">
        <v>0</v>
      </c>
      <c r="N172" t="n">
        <v>0</v>
      </c>
      <c r="O172" t="n">
        <v>0</v>
      </c>
      <c r="P172" t="n">
        <v>0</v>
      </c>
      <c r="Q172" t="n">
        <v>0</v>
      </c>
      <c r="R172" s="2" t="inlineStr"/>
    </row>
    <row r="173" ht="15" customHeight="1">
      <c r="A173" t="inlineStr">
        <is>
          <t>A 23770-2022</t>
        </is>
      </c>
      <c r="B173" s="1" t="n">
        <v>44722</v>
      </c>
      <c r="C173" s="1" t="n">
        <v>46186</v>
      </c>
      <c r="D173" t="inlineStr">
        <is>
          <t>STOCKHOLMS LÄN</t>
        </is>
      </c>
      <c r="E173" t="inlineStr">
        <is>
          <t>NORRTÄLJE</t>
        </is>
      </c>
      <c r="G173" t="n">
        <v>1.6</v>
      </c>
      <c r="H173" t="n">
        <v>0</v>
      </c>
      <c r="I173" t="n">
        <v>0</v>
      </c>
      <c r="J173" t="n">
        <v>0</v>
      </c>
      <c r="K173" t="n">
        <v>0</v>
      </c>
      <c r="L173" t="n">
        <v>0</v>
      </c>
      <c r="M173" t="n">
        <v>0</v>
      </c>
      <c r="N173" t="n">
        <v>0</v>
      </c>
      <c r="O173" t="n">
        <v>0</v>
      </c>
      <c r="P173" t="n">
        <v>0</v>
      </c>
      <c r="Q173" t="n">
        <v>0</v>
      </c>
      <c r="R173" s="2" t="inlineStr"/>
    </row>
    <row r="174" ht="15" customHeight="1">
      <c r="A174" t="inlineStr">
        <is>
          <t>A 27538-2022</t>
        </is>
      </c>
      <c r="B174" s="1" t="n">
        <v>44742</v>
      </c>
      <c r="C174" s="1" t="n">
        <v>46186</v>
      </c>
      <c r="D174" t="inlineStr">
        <is>
          <t>STOCKHOLMS LÄN</t>
        </is>
      </c>
      <c r="E174" t="inlineStr">
        <is>
          <t>NORRTÄLJE</t>
        </is>
      </c>
      <c r="G174" t="n">
        <v>2.2</v>
      </c>
      <c r="H174" t="n">
        <v>0</v>
      </c>
      <c r="I174" t="n">
        <v>0</v>
      </c>
      <c r="J174" t="n">
        <v>0</v>
      </c>
      <c r="K174" t="n">
        <v>0</v>
      </c>
      <c r="L174" t="n">
        <v>0</v>
      </c>
      <c r="M174" t="n">
        <v>0</v>
      </c>
      <c r="N174" t="n">
        <v>0</v>
      </c>
      <c r="O174" t="n">
        <v>0</v>
      </c>
      <c r="P174" t="n">
        <v>0</v>
      </c>
      <c r="Q174" t="n">
        <v>0</v>
      </c>
      <c r="R174" s="2" t="inlineStr"/>
    </row>
    <row r="175" ht="15" customHeight="1">
      <c r="A175" t="inlineStr">
        <is>
          <t>A 29868-2022</t>
        </is>
      </c>
      <c r="B175" s="1" t="n">
        <v>44756.40881944444</v>
      </c>
      <c r="C175" s="1" t="n">
        <v>46186</v>
      </c>
      <c r="D175" t="inlineStr">
        <is>
          <t>STOCKHOLMS LÄN</t>
        </is>
      </c>
      <c r="E175" t="inlineStr">
        <is>
          <t>NORRTÄLJE</t>
        </is>
      </c>
      <c r="G175" t="n">
        <v>1.8</v>
      </c>
      <c r="H175" t="n">
        <v>0</v>
      </c>
      <c r="I175" t="n">
        <v>0</v>
      </c>
      <c r="J175" t="n">
        <v>0</v>
      </c>
      <c r="K175" t="n">
        <v>0</v>
      </c>
      <c r="L175" t="n">
        <v>0</v>
      </c>
      <c r="M175" t="n">
        <v>0</v>
      </c>
      <c r="N175" t="n">
        <v>0</v>
      </c>
      <c r="O175" t="n">
        <v>0</v>
      </c>
      <c r="P175" t="n">
        <v>0</v>
      </c>
      <c r="Q175" t="n">
        <v>0</v>
      </c>
      <c r="R175" s="2" t="inlineStr"/>
    </row>
    <row r="176" ht="15" customHeight="1">
      <c r="A176" t="inlineStr">
        <is>
          <t>A 36975-2022</t>
        </is>
      </c>
      <c r="B176" s="1" t="n">
        <v>44806.34577546296</v>
      </c>
      <c r="C176" s="1" t="n">
        <v>46186</v>
      </c>
      <c r="D176" t="inlineStr">
        <is>
          <t>STOCKHOLMS LÄN</t>
        </is>
      </c>
      <c r="E176" t="inlineStr">
        <is>
          <t>NORRTÄLJE</t>
        </is>
      </c>
      <c r="G176" t="n">
        <v>4.7</v>
      </c>
      <c r="H176" t="n">
        <v>0</v>
      </c>
      <c r="I176" t="n">
        <v>0</v>
      </c>
      <c r="J176" t="n">
        <v>0</v>
      </c>
      <c r="K176" t="n">
        <v>0</v>
      </c>
      <c r="L176" t="n">
        <v>0</v>
      </c>
      <c r="M176" t="n">
        <v>0</v>
      </c>
      <c r="N176" t="n">
        <v>0</v>
      </c>
      <c r="O176" t="n">
        <v>0</v>
      </c>
      <c r="P176" t="n">
        <v>0</v>
      </c>
      <c r="Q176" t="n">
        <v>0</v>
      </c>
      <c r="R176" s="2" t="inlineStr"/>
    </row>
    <row r="177" ht="15" customHeight="1">
      <c r="A177" t="inlineStr">
        <is>
          <t>A 64599-2021</t>
        </is>
      </c>
      <c r="B177" s="1" t="n">
        <v>44511.69885416667</v>
      </c>
      <c r="C177" s="1" t="n">
        <v>46186</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64212-2021</t>
        </is>
      </c>
      <c r="B178" s="1" t="n">
        <v>44510</v>
      </c>
      <c r="C178" s="1" t="n">
        <v>46186</v>
      </c>
      <c r="D178" t="inlineStr">
        <is>
          <t>STOCKHOLMS LÄN</t>
        </is>
      </c>
      <c r="E178" t="inlineStr">
        <is>
          <t>NORRTÄLJE</t>
        </is>
      </c>
      <c r="G178" t="n">
        <v>28.7</v>
      </c>
      <c r="H178" t="n">
        <v>0</v>
      </c>
      <c r="I178" t="n">
        <v>0</v>
      </c>
      <c r="J178" t="n">
        <v>0</v>
      </c>
      <c r="K178" t="n">
        <v>0</v>
      </c>
      <c r="L178" t="n">
        <v>0</v>
      </c>
      <c r="M178" t="n">
        <v>0</v>
      </c>
      <c r="N178" t="n">
        <v>0</v>
      </c>
      <c r="O178" t="n">
        <v>0</v>
      </c>
      <c r="P178" t="n">
        <v>0</v>
      </c>
      <c r="Q178" t="n">
        <v>0</v>
      </c>
      <c r="R178" s="2" t="inlineStr"/>
    </row>
    <row r="179" ht="15" customHeight="1">
      <c r="A179" t="inlineStr">
        <is>
          <t>A 47349-2021</t>
        </is>
      </c>
      <c r="B179" s="1" t="n">
        <v>44447</v>
      </c>
      <c r="C179" s="1" t="n">
        <v>46186</v>
      </c>
      <c r="D179" t="inlineStr">
        <is>
          <t>STOCKHOLMS LÄN</t>
        </is>
      </c>
      <c r="E179" t="inlineStr">
        <is>
          <t>NORRTÄLJE</t>
        </is>
      </c>
      <c r="G179" t="n">
        <v>3.3</v>
      </c>
      <c r="H179" t="n">
        <v>0</v>
      </c>
      <c r="I179" t="n">
        <v>0</v>
      </c>
      <c r="J179" t="n">
        <v>0</v>
      </c>
      <c r="K179" t="n">
        <v>0</v>
      </c>
      <c r="L179" t="n">
        <v>0</v>
      </c>
      <c r="M179" t="n">
        <v>0</v>
      </c>
      <c r="N179" t="n">
        <v>0</v>
      </c>
      <c r="O179" t="n">
        <v>0</v>
      </c>
      <c r="P179" t="n">
        <v>0</v>
      </c>
      <c r="Q179" t="n">
        <v>0</v>
      </c>
      <c r="R179" s="2" t="inlineStr"/>
    </row>
    <row r="180" ht="15" customHeight="1">
      <c r="A180" t="inlineStr">
        <is>
          <t>A 44274-2021</t>
        </is>
      </c>
      <c r="B180" s="1" t="n">
        <v>44435</v>
      </c>
      <c r="C180" s="1" t="n">
        <v>46186</v>
      </c>
      <c r="D180" t="inlineStr">
        <is>
          <t>STOCKHOLMS LÄN</t>
        </is>
      </c>
      <c r="E180" t="inlineStr">
        <is>
          <t>NORRTÄLJE</t>
        </is>
      </c>
      <c r="G180" t="n">
        <v>1</v>
      </c>
      <c r="H180" t="n">
        <v>0</v>
      </c>
      <c r="I180" t="n">
        <v>0</v>
      </c>
      <c r="J180" t="n">
        <v>0</v>
      </c>
      <c r="K180" t="n">
        <v>0</v>
      </c>
      <c r="L180" t="n">
        <v>0</v>
      </c>
      <c r="M180" t="n">
        <v>0</v>
      </c>
      <c r="N180" t="n">
        <v>0</v>
      </c>
      <c r="O180" t="n">
        <v>0</v>
      </c>
      <c r="P180" t="n">
        <v>0</v>
      </c>
      <c r="Q180" t="n">
        <v>0</v>
      </c>
      <c r="R180" s="2" t="inlineStr"/>
    </row>
    <row r="181" ht="15" customHeight="1">
      <c r="A181" t="inlineStr">
        <is>
          <t>A 36565-2021</t>
        </is>
      </c>
      <c r="B181" s="1" t="n">
        <v>44391.5580787037</v>
      </c>
      <c r="C181" s="1" t="n">
        <v>46186</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50970-2022</t>
        </is>
      </c>
      <c r="B182" s="1" t="n">
        <v>44867</v>
      </c>
      <c r="C182" s="1" t="n">
        <v>46186</v>
      </c>
      <c r="D182" t="inlineStr">
        <is>
          <t>STOCKHOLMS LÄN</t>
        </is>
      </c>
      <c r="E182" t="inlineStr">
        <is>
          <t>NORRTÄLJE</t>
        </is>
      </c>
      <c r="G182" t="n">
        <v>9</v>
      </c>
      <c r="H182" t="n">
        <v>0</v>
      </c>
      <c r="I182" t="n">
        <v>0</v>
      </c>
      <c r="J182" t="n">
        <v>0</v>
      </c>
      <c r="K182" t="n">
        <v>0</v>
      </c>
      <c r="L182" t="n">
        <v>0</v>
      </c>
      <c r="M182" t="n">
        <v>0</v>
      </c>
      <c r="N182" t="n">
        <v>0</v>
      </c>
      <c r="O182" t="n">
        <v>0</v>
      </c>
      <c r="P182" t="n">
        <v>0</v>
      </c>
      <c r="Q182" t="n">
        <v>0</v>
      </c>
      <c r="R182" s="2" t="inlineStr"/>
    </row>
    <row r="183" ht="15" customHeight="1">
      <c r="A183" t="inlineStr">
        <is>
          <t>A 49113-2021</t>
        </is>
      </c>
      <c r="B183" s="1" t="n">
        <v>44453</v>
      </c>
      <c r="C183" s="1" t="n">
        <v>46186</v>
      </c>
      <c r="D183" t="inlineStr">
        <is>
          <t>STOCKHOLMS LÄN</t>
        </is>
      </c>
      <c r="E183" t="inlineStr">
        <is>
          <t>NORRTÄLJE</t>
        </is>
      </c>
      <c r="G183" t="n">
        <v>0.7</v>
      </c>
      <c r="H183" t="n">
        <v>0</v>
      </c>
      <c r="I183" t="n">
        <v>0</v>
      </c>
      <c r="J183" t="n">
        <v>0</v>
      </c>
      <c r="K183" t="n">
        <v>0</v>
      </c>
      <c r="L183" t="n">
        <v>0</v>
      </c>
      <c r="M183" t="n">
        <v>0</v>
      </c>
      <c r="N183" t="n">
        <v>0</v>
      </c>
      <c r="O183" t="n">
        <v>0</v>
      </c>
      <c r="P183" t="n">
        <v>0</v>
      </c>
      <c r="Q183" t="n">
        <v>0</v>
      </c>
      <c r="R183" s="2" t="inlineStr"/>
    </row>
    <row r="184" ht="15" customHeight="1">
      <c r="A184" t="inlineStr">
        <is>
          <t>A 64628-2021</t>
        </is>
      </c>
      <c r="B184" s="1" t="n">
        <v>44511</v>
      </c>
      <c r="C184" s="1" t="n">
        <v>46186</v>
      </c>
      <c r="D184" t="inlineStr">
        <is>
          <t>STOCKHOLMS LÄN</t>
        </is>
      </c>
      <c r="E184" t="inlineStr">
        <is>
          <t>NORRTÄLJE</t>
        </is>
      </c>
      <c r="G184" t="n">
        <v>0.7</v>
      </c>
      <c r="H184" t="n">
        <v>0</v>
      </c>
      <c r="I184" t="n">
        <v>0</v>
      </c>
      <c r="J184" t="n">
        <v>0</v>
      </c>
      <c r="K184" t="n">
        <v>0</v>
      </c>
      <c r="L184" t="n">
        <v>0</v>
      </c>
      <c r="M184" t="n">
        <v>0</v>
      </c>
      <c r="N184" t="n">
        <v>0</v>
      </c>
      <c r="O184" t="n">
        <v>0</v>
      </c>
      <c r="P184" t="n">
        <v>0</v>
      </c>
      <c r="Q184" t="n">
        <v>0</v>
      </c>
      <c r="R184" s="2" t="inlineStr"/>
    </row>
    <row r="185" ht="15" customHeight="1">
      <c r="A185" t="inlineStr">
        <is>
          <t>A 60209-2021</t>
        </is>
      </c>
      <c r="B185" s="1" t="n">
        <v>44495</v>
      </c>
      <c r="C185" s="1" t="n">
        <v>46186</v>
      </c>
      <c r="D185" t="inlineStr">
        <is>
          <t>STOCKHOLMS LÄN</t>
        </is>
      </c>
      <c r="E185" t="inlineStr">
        <is>
          <t>NORRTÄLJE</t>
        </is>
      </c>
      <c r="G185" t="n">
        <v>4.3</v>
      </c>
      <c r="H185" t="n">
        <v>0</v>
      </c>
      <c r="I185" t="n">
        <v>0</v>
      </c>
      <c r="J185" t="n">
        <v>0</v>
      </c>
      <c r="K185" t="n">
        <v>0</v>
      </c>
      <c r="L185" t="n">
        <v>0</v>
      </c>
      <c r="M185" t="n">
        <v>0</v>
      </c>
      <c r="N185" t="n">
        <v>0</v>
      </c>
      <c r="O185" t="n">
        <v>0</v>
      </c>
      <c r="P185" t="n">
        <v>0</v>
      </c>
      <c r="Q185" t="n">
        <v>0</v>
      </c>
      <c r="R185" s="2" t="inlineStr"/>
    </row>
    <row r="186" ht="15" customHeight="1">
      <c r="A186" t="inlineStr">
        <is>
          <t>A 17803-2022</t>
        </is>
      </c>
      <c r="B186" s="1" t="n">
        <v>44683</v>
      </c>
      <c r="C186" s="1" t="n">
        <v>46186</v>
      </c>
      <c r="D186" t="inlineStr">
        <is>
          <t>STOCKHOLMS LÄN</t>
        </is>
      </c>
      <c r="E186" t="inlineStr">
        <is>
          <t>NORRTÄLJE</t>
        </is>
      </c>
      <c r="G186" t="n">
        <v>1.4</v>
      </c>
      <c r="H186" t="n">
        <v>0</v>
      </c>
      <c r="I186" t="n">
        <v>0</v>
      </c>
      <c r="J186" t="n">
        <v>0</v>
      </c>
      <c r="K186" t="n">
        <v>0</v>
      </c>
      <c r="L186" t="n">
        <v>0</v>
      </c>
      <c r="M186" t="n">
        <v>0</v>
      </c>
      <c r="N186" t="n">
        <v>0</v>
      </c>
      <c r="O186" t="n">
        <v>0</v>
      </c>
      <c r="P186" t="n">
        <v>0</v>
      </c>
      <c r="Q186" t="n">
        <v>0</v>
      </c>
      <c r="R186" s="2" t="inlineStr"/>
    </row>
    <row r="187" ht="15" customHeight="1">
      <c r="A187" t="inlineStr">
        <is>
          <t>A 32561-2021</t>
        </is>
      </c>
      <c r="B187" s="1" t="n">
        <v>44375</v>
      </c>
      <c r="C187" s="1" t="n">
        <v>46186</v>
      </c>
      <c r="D187" t="inlineStr">
        <is>
          <t>STOCKHOLMS LÄN</t>
        </is>
      </c>
      <c r="E187" t="inlineStr">
        <is>
          <t>NORRTÄLJE</t>
        </is>
      </c>
      <c r="G187" t="n">
        <v>3.4</v>
      </c>
      <c r="H187" t="n">
        <v>0</v>
      </c>
      <c r="I187" t="n">
        <v>0</v>
      </c>
      <c r="J187" t="n">
        <v>0</v>
      </c>
      <c r="K187" t="n">
        <v>0</v>
      </c>
      <c r="L187" t="n">
        <v>0</v>
      </c>
      <c r="M187" t="n">
        <v>0</v>
      </c>
      <c r="N187" t="n">
        <v>0</v>
      </c>
      <c r="O187" t="n">
        <v>0</v>
      </c>
      <c r="P187" t="n">
        <v>0</v>
      </c>
      <c r="Q187" t="n">
        <v>0</v>
      </c>
      <c r="R187" s="2" t="inlineStr"/>
    </row>
    <row r="188" ht="15" customHeight="1">
      <c r="A188" t="inlineStr">
        <is>
          <t>A 71325-2021</t>
        </is>
      </c>
      <c r="B188" s="1" t="n">
        <v>44539</v>
      </c>
      <c r="C188" s="1" t="n">
        <v>46186</v>
      </c>
      <c r="D188" t="inlineStr">
        <is>
          <t>STOCKHOLMS LÄN</t>
        </is>
      </c>
      <c r="E188" t="inlineStr">
        <is>
          <t>NORRTÄLJE</t>
        </is>
      </c>
      <c r="G188" t="n">
        <v>2.1</v>
      </c>
      <c r="H188" t="n">
        <v>0</v>
      </c>
      <c r="I188" t="n">
        <v>0</v>
      </c>
      <c r="J188" t="n">
        <v>0</v>
      </c>
      <c r="K188" t="n">
        <v>0</v>
      </c>
      <c r="L188" t="n">
        <v>0</v>
      </c>
      <c r="M188" t="n">
        <v>0</v>
      </c>
      <c r="N188" t="n">
        <v>0</v>
      </c>
      <c r="O188" t="n">
        <v>0</v>
      </c>
      <c r="P188" t="n">
        <v>0</v>
      </c>
      <c r="Q188" t="n">
        <v>0</v>
      </c>
      <c r="R188" s="2" t="inlineStr"/>
    </row>
    <row r="189" ht="15" customHeight="1">
      <c r="A189" t="inlineStr">
        <is>
          <t>A 60813-2021</t>
        </is>
      </c>
      <c r="B189" s="1" t="n">
        <v>44496</v>
      </c>
      <c r="C189" s="1" t="n">
        <v>46186</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65611-2021</t>
        </is>
      </c>
      <c r="B190" s="1" t="n">
        <v>44516.5275462963</v>
      </c>
      <c r="C190" s="1" t="n">
        <v>46186</v>
      </c>
      <c r="D190" t="inlineStr">
        <is>
          <t>STOCKHOLMS LÄN</t>
        </is>
      </c>
      <c r="E190" t="inlineStr">
        <is>
          <t>NORRTÄLJE</t>
        </is>
      </c>
      <c r="G190" t="n">
        <v>2.5</v>
      </c>
      <c r="H190" t="n">
        <v>0</v>
      </c>
      <c r="I190" t="n">
        <v>0</v>
      </c>
      <c r="J190" t="n">
        <v>0</v>
      </c>
      <c r="K190" t="n">
        <v>0</v>
      </c>
      <c r="L190" t="n">
        <v>0</v>
      </c>
      <c r="M190" t="n">
        <v>0</v>
      </c>
      <c r="N190" t="n">
        <v>0</v>
      </c>
      <c r="O190" t="n">
        <v>0</v>
      </c>
      <c r="P190" t="n">
        <v>0</v>
      </c>
      <c r="Q190" t="n">
        <v>0</v>
      </c>
      <c r="R190" s="2" t="inlineStr"/>
    </row>
    <row r="191" ht="15" customHeight="1">
      <c r="A191" t="inlineStr">
        <is>
          <t>A 39497-2021</t>
        </is>
      </c>
      <c r="B191" s="1" t="n">
        <v>44414.81494212963</v>
      </c>
      <c r="C191" s="1" t="n">
        <v>46186</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34431-2021</t>
        </is>
      </c>
      <c r="B192" s="1" t="n">
        <v>44380</v>
      </c>
      <c r="C192" s="1" t="n">
        <v>46186</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5351-2022</t>
        </is>
      </c>
      <c r="B193" s="1" t="n">
        <v>44594.75950231482</v>
      </c>
      <c r="C193" s="1" t="n">
        <v>46186</v>
      </c>
      <c r="D193" t="inlineStr">
        <is>
          <t>STOCKHOLMS LÄN</t>
        </is>
      </c>
      <c r="E193" t="inlineStr">
        <is>
          <t>NORRTÄLJE</t>
        </is>
      </c>
      <c r="G193" t="n">
        <v>4</v>
      </c>
      <c r="H193" t="n">
        <v>0</v>
      </c>
      <c r="I193" t="n">
        <v>0</v>
      </c>
      <c r="J193" t="n">
        <v>0</v>
      </c>
      <c r="K193" t="n">
        <v>0</v>
      </c>
      <c r="L193" t="n">
        <v>0</v>
      </c>
      <c r="M193" t="n">
        <v>0</v>
      </c>
      <c r="N193" t="n">
        <v>0</v>
      </c>
      <c r="O193" t="n">
        <v>0</v>
      </c>
      <c r="P193" t="n">
        <v>0</v>
      </c>
      <c r="Q193" t="n">
        <v>0</v>
      </c>
      <c r="R193" s="2" t="inlineStr"/>
    </row>
    <row r="194" ht="15" customHeight="1">
      <c r="A194" t="inlineStr">
        <is>
          <t>A 30129-2021</t>
        </is>
      </c>
      <c r="B194" s="1" t="n">
        <v>44363.5784375</v>
      </c>
      <c r="C194" s="1" t="n">
        <v>46186</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31092-2022</t>
        </is>
      </c>
      <c r="B195" s="1" t="n">
        <v>44769.62320601852</v>
      </c>
      <c r="C195" s="1" t="n">
        <v>46186</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22316-2022</t>
        </is>
      </c>
      <c r="B196" s="1" t="n">
        <v>44712.83118055556</v>
      </c>
      <c r="C196" s="1" t="n">
        <v>46186</v>
      </c>
      <c r="D196" t="inlineStr">
        <is>
          <t>STOCKHOLMS LÄN</t>
        </is>
      </c>
      <c r="E196" t="inlineStr">
        <is>
          <t>NORRTÄLJE</t>
        </is>
      </c>
      <c r="G196" t="n">
        <v>6.3</v>
      </c>
      <c r="H196" t="n">
        <v>0</v>
      </c>
      <c r="I196" t="n">
        <v>0</v>
      </c>
      <c r="J196" t="n">
        <v>0</v>
      </c>
      <c r="K196" t="n">
        <v>0</v>
      </c>
      <c r="L196" t="n">
        <v>0</v>
      </c>
      <c r="M196" t="n">
        <v>0</v>
      </c>
      <c r="N196" t="n">
        <v>0</v>
      </c>
      <c r="O196" t="n">
        <v>0</v>
      </c>
      <c r="P196" t="n">
        <v>0</v>
      </c>
      <c r="Q196" t="n">
        <v>0</v>
      </c>
      <c r="R196" s="2" t="inlineStr"/>
    </row>
    <row r="197" ht="15" customHeight="1">
      <c r="A197" t="inlineStr">
        <is>
          <t>A 71871-2021</t>
        </is>
      </c>
      <c r="B197" s="1" t="n">
        <v>44543</v>
      </c>
      <c r="C197" s="1" t="n">
        <v>46186</v>
      </c>
      <c r="D197" t="inlineStr">
        <is>
          <t>STOCKHOLMS LÄN</t>
        </is>
      </c>
      <c r="E197" t="inlineStr">
        <is>
          <t>NORRTÄLJE</t>
        </is>
      </c>
      <c r="G197" t="n">
        <v>2.5</v>
      </c>
      <c r="H197" t="n">
        <v>0</v>
      </c>
      <c r="I197" t="n">
        <v>0</v>
      </c>
      <c r="J197" t="n">
        <v>0</v>
      </c>
      <c r="K197" t="n">
        <v>0</v>
      </c>
      <c r="L197" t="n">
        <v>0</v>
      </c>
      <c r="M197" t="n">
        <v>0</v>
      </c>
      <c r="N197" t="n">
        <v>0</v>
      </c>
      <c r="O197" t="n">
        <v>0</v>
      </c>
      <c r="P197" t="n">
        <v>0</v>
      </c>
      <c r="Q197" t="n">
        <v>0</v>
      </c>
      <c r="R197" s="2" t="inlineStr"/>
    </row>
    <row r="198" ht="15" customHeight="1">
      <c r="A198" t="inlineStr">
        <is>
          <t>A 71873-2021</t>
        </is>
      </c>
      <c r="B198" s="1" t="n">
        <v>44543</v>
      </c>
      <c r="C198" s="1" t="n">
        <v>46186</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9988-2022</t>
        </is>
      </c>
      <c r="B199" s="1" t="n">
        <v>44621</v>
      </c>
      <c r="C199" s="1" t="n">
        <v>46186</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72355-2021</t>
        </is>
      </c>
      <c r="B200" s="1" t="n">
        <v>44545</v>
      </c>
      <c r="C200" s="1" t="n">
        <v>46186</v>
      </c>
      <c r="D200" t="inlineStr">
        <is>
          <t>STOCKHOLMS LÄN</t>
        </is>
      </c>
      <c r="E200" t="inlineStr">
        <is>
          <t>NORRTÄLJE</t>
        </is>
      </c>
      <c r="G200" t="n">
        <v>3.6</v>
      </c>
      <c r="H200" t="n">
        <v>0</v>
      </c>
      <c r="I200" t="n">
        <v>0</v>
      </c>
      <c r="J200" t="n">
        <v>0</v>
      </c>
      <c r="K200" t="n">
        <v>0</v>
      </c>
      <c r="L200" t="n">
        <v>0</v>
      </c>
      <c r="M200" t="n">
        <v>0</v>
      </c>
      <c r="N200" t="n">
        <v>0</v>
      </c>
      <c r="O200" t="n">
        <v>0</v>
      </c>
      <c r="P200" t="n">
        <v>0</v>
      </c>
      <c r="Q200" t="n">
        <v>0</v>
      </c>
      <c r="R200" s="2" t="inlineStr"/>
    </row>
    <row r="201" ht="15" customHeight="1">
      <c r="A201" t="inlineStr">
        <is>
          <t>A 72357-2021</t>
        </is>
      </c>
      <c r="B201" s="1" t="n">
        <v>44545</v>
      </c>
      <c r="C201" s="1" t="n">
        <v>46186</v>
      </c>
      <c r="D201" t="inlineStr">
        <is>
          <t>STOCKHOLMS LÄN</t>
        </is>
      </c>
      <c r="E201" t="inlineStr">
        <is>
          <t>NORRTÄLJE</t>
        </is>
      </c>
      <c r="G201" t="n">
        <v>5.1</v>
      </c>
      <c r="H201" t="n">
        <v>0</v>
      </c>
      <c r="I201" t="n">
        <v>0</v>
      </c>
      <c r="J201" t="n">
        <v>0</v>
      </c>
      <c r="K201" t="n">
        <v>0</v>
      </c>
      <c r="L201" t="n">
        <v>0</v>
      </c>
      <c r="M201" t="n">
        <v>0</v>
      </c>
      <c r="N201" t="n">
        <v>0</v>
      </c>
      <c r="O201" t="n">
        <v>0</v>
      </c>
      <c r="P201" t="n">
        <v>0</v>
      </c>
      <c r="Q201" t="n">
        <v>0</v>
      </c>
      <c r="R201" s="2" t="inlineStr"/>
    </row>
    <row r="202" ht="15" customHeight="1">
      <c r="A202" t="inlineStr">
        <is>
          <t>A 60733-2021</t>
        </is>
      </c>
      <c r="B202" s="1" t="n">
        <v>44496.77542824074</v>
      </c>
      <c r="C202" s="1" t="n">
        <v>46186</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53884-2022</t>
        </is>
      </c>
      <c r="B203" s="1" t="n">
        <v>44880.68423611111</v>
      </c>
      <c r="C203" s="1" t="n">
        <v>46186</v>
      </c>
      <c r="D203" t="inlineStr">
        <is>
          <t>STOCKHOLMS LÄN</t>
        </is>
      </c>
      <c r="E203" t="inlineStr">
        <is>
          <t>NORRTÄLJE</t>
        </is>
      </c>
      <c r="G203" t="n">
        <v>0.6</v>
      </c>
      <c r="H203" t="n">
        <v>0</v>
      </c>
      <c r="I203" t="n">
        <v>0</v>
      </c>
      <c r="J203" t="n">
        <v>0</v>
      </c>
      <c r="K203" t="n">
        <v>0</v>
      </c>
      <c r="L203" t="n">
        <v>0</v>
      </c>
      <c r="M203" t="n">
        <v>0</v>
      </c>
      <c r="N203" t="n">
        <v>0</v>
      </c>
      <c r="O203" t="n">
        <v>0</v>
      </c>
      <c r="P203" t="n">
        <v>0</v>
      </c>
      <c r="Q203" t="n">
        <v>0</v>
      </c>
      <c r="R203" s="2" t="inlineStr"/>
    </row>
    <row r="204" ht="15" customHeight="1">
      <c r="A204" t="inlineStr">
        <is>
          <t>A 12357-2022</t>
        </is>
      </c>
      <c r="B204" s="1" t="n">
        <v>44637</v>
      </c>
      <c r="C204" s="1" t="n">
        <v>46186</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26335-2022</t>
        </is>
      </c>
      <c r="B205" s="1" t="n">
        <v>44735</v>
      </c>
      <c r="C205" s="1" t="n">
        <v>46186</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30624-2022</t>
        </is>
      </c>
      <c r="B206" s="1" t="n">
        <v>44763.4182175926</v>
      </c>
      <c r="C206" s="1" t="n">
        <v>46186</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33046-2021</t>
        </is>
      </c>
      <c r="B207" s="1" t="n">
        <v>44376</v>
      </c>
      <c r="C207" s="1" t="n">
        <v>46186</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26328-2022</t>
        </is>
      </c>
      <c r="B208" s="1" t="n">
        <v>44735</v>
      </c>
      <c r="C208" s="1" t="n">
        <v>46186</v>
      </c>
      <c r="D208" t="inlineStr">
        <is>
          <t>STOCKHOLMS LÄN</t>
        </is>
      </c>
      <c r="E208" t="inlineStr">
        <is>
          <t>NORRTÄLJE</t>
        </is>
      </c>
      <c r="G208" t="n">
        <v>2.8</v>
      </c>
      <c r="H208" t="n">
        <v>0</v>
      </c>
      <c r="I208" t="n">
        <v>0</v>
      </c>
      <c r="J208" t="n">
        <v>0</v>
      </c>
      <c r="K208" t="n">
        <v>0</v>
      </c>
      <c r="L208" t="n">
        <v>0</v>
      </c>
      <c r="M208" t="n">
        <v>0</v>
      </c>
      <c r="N208" t="n">
        <v>0</v>
      </c>
      <c r="O208" t="n">
        <v>0</v>
      </c>
      <c r="P208" t="n">
        <v>0</v>
      </c>
      <c r="Q208" t="n">
        <v>0</v>
      </c>
      <c r="R208" s="2" t="inlineStr"/>
    </row>
    <row r="209" ht="15" customHeight="1">
      <c r="A209" t="inlineStr">
        <is>
          <t>A 67598-2021</t>
        </is>
      </c>
      <c r="B209" s="1" t="n">
        <v>44524</v>
      </c>
      <c r="C209" s="1" t="n">
        <v>46186</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34520-2021</t>
        </is>
      </c>
      <c r="B210" s="1" t="n">
        <v>44379</v>
      </c>
      <c r="C210" s="1" t="n">
        <v>46186</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1968-2022</t>
        </is>
      </c>
      <c r="B211" s="1" t="n">
        <v>44575.52831018518</v>
      </c>
      <c r="C211" s="1" t="n">
        <v>46186</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46186</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14051-2022</t>
        </is>
      </c>
      <c r="B213" s="1" t="n">
        <v>44650.92714120371</v>
      </c>
      <c r="C213" s="1" t="n">
        <v>46186</v>
      </c>
      <c r="D213" t="inlineStr">
        <is>
          <t>STOCKHOLMS LÄN</t>
        </is>
      </c>
      <c r="E213" t="inlineStr">
        <is>
          <t>NORRTÄLJE</t>
        </is>
      </c>
      <c r="G213" t="n">
        <v>2.3</v>
      </c>
      <c r="H213" t="n">
        <v>0</v>
      </c>
      <c r="I213" t="n">
        <v>0</v>
      </c>
      <c r="J213" t="n">
        <v>0</v>
      </c>
      <c r="K213" t="n">
        <v>0</v>
      </c>
      <c r="L213" t="n">
        <v>0</v>
      </c>
      <c r="M213" t="n">
        <v>0</v>
      </c>
      <c r="N213" t="n">
        <v>0</v>
      </c>
      <c r="O213" t="n">
        <v>0</v>
      </c>
      <c r="P213" t="n">
        <v>0</v>
      </c>
      <c r="Q213" t="n">
        <v>0</v>
      </c>
      <c r="R213" s="2" t="inlineStr"/>
    </row>
    <row r="214" ht="15" customHeight="1">
      <c r="A214" t="inlineStr">
        <is>
          <t>A 24167-2022</t>
        </is>
      </c>
      <c r="B214" s="1" t="n">
        <v>44725.49491898148</v>
      </c>
      <c r="C214" s="1" t="n">
        <v>46186</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42396-2021</t>
        </is>
      </c>
      <c r="B215" s="1" t="n">
        <v>44427</v>
      </c>
      <c r="C215" s="1" t="n">
        <v>46186</v>
      </c>
      <c r="D215" t="inlineStr">
        <is>
          <t>STOCKHOLMS LÄN</t>
        </is>
      </c>
      <c r="E215" t="inlineStr">
        <is>
          <t>NORRTÄLJE</t>
        </is>
      </c>
      <c r="G215" t="n">
        <v>2</v>
      </c>
      <c r="H215" t="n">
        <v>0</v>
      </c>
      <c r="I215" t="n">
        <v>0</v>
      </c>
      <c r="J215" t="n">
        <v>0</v>
      </c>
      <c r="K215" t="n">
        <v>0</v>
      </c>
      <c r="L215" t="n">
        <v>0</v>
      </c>
      <c r="M215" t="n">
        <v>0</v>
      </c>
      <c r="N215" t="n">
        <v>0</v>
      </c>
      <c r="O215" t="n">
        <v>0</v>
      </c>
      <c r="P215" t="n">
        <v>0</v>
      </c>
      <c r="Q215" t="n">
        <v>0</v>
      </c>
      <c r="R215" s="2" t="inlineStr"/>
    </row>
    <row r="216" ht="15" customHeight="1">
      <c r="A216" t="inlineStr">
        <is>
          <t>A 2732-2022</t>
        </is>
      </c>
      <c r="B216" s="1" t="n">
        <v>44580</v>
      </c>
      <c r="C216" s="1" t="n">
        <v>46186</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31924-2022</t>
        </is>
      </c>
      <c r="B217" s="1" t="n">
        <v>44777</v>
      </c>
      <c r="C217" s="1" t="n">
        <v>46186</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16119-2022</t>
        </is>
      </c>
      <c r="B218" s="1" t="n">
        <v>44665.66407407408</v>
      </c>
      <c r="C218" s="1" t="n">
        <v>46186</v>
      </c>
      <c r="D218" t="inlineStr">
        <is>
          <t>STOCKHOLMS LÄN</t>
        </is>
      </c>
      <c r="E218" t="inlineStr">
        <is>
          <t>NORRTÄLJE</t>
        </is>
      </c>
      <c r="G218" t="n">
        <v>3.9</v>
      </c>
      <c r="H218" t="n">
        <v>0</v>
      </c>
      <c r="I218" t="n">
        <v>0</v>
      </c>
      <c r="J218" t="n">
        <v>0</v>
      </c>
      <c r="K218" t="n">
        <v>0</v>
      </c>
      <c r="L218" t="n">
        <v>0</v>
      </c>
      <c r="M218" t="n">
        <v>0</v>
      </c>
      <c r="N218" t="n">
        <v>0</v>
      </c>
      <c r="O218" t="n">
        <v>0</v>
      </c>
      <c r="P218" t="n">
        <v>0</v>
      </c>
      <c r="Q218" t="n">
        <v>0</v>
      </c>
      <c r="R218" s="2" t="inlineStr"/>
    </row>
    <row r="219" ht="15" customHeight="1">
      <c r="A219" t="inlineStr">
        <is>
          <t>A 12270-2022</t>
        </is>
      </c>
      <c r="B219" s="1" t="n">
        <v>44637</v>
      </c>
      <c r="C219" s="1" t="n">
        <v>46186</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14543-2022</t>
        </is>
      </c>
      <c r="B220" s="1" t="n">
        <v>44655.45373842592</v>
      </c>
      <c r="C220" s="1" t="n">
        <v>46186</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5513-2022</t>
        </is>
      </c>
      <c r="B221" s="1" t="n">
        <v>44595</v>
      </c>
      <c r="C221" s="1" t="n">
        <v>46186</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28042-2022</t>
        </is>
      </c>
      <c r="B222" s="1" t="n">
        <v>44744</v>
      </c>
      <c r="C222" s="1" t="n">
        <v>46186</v>
      </c>
      <c r="D222" t="inlineStr">
        <is>
          <t>STOCKHOLMS LÄN</t>
        </is>
      </c>
      <c r="E222" t="inlineStr">
        <is>
          <t>NORRTÄLJE</t>
        </is>
      </c>
      <c r="G222" t="n">
        <v>0.2</v>
      </c>
      <c r="H222" t="n">
        <v>0</v>
      </c>
      <c r="I222" t="n">
        <v>0</v>
      </c>
      <c r="J222" t="n">
        <v>0</v>
      </c>
      <c r="K222" t="n">
        <v>0</v>
      </c>
      <c r="L222" t="n">
        <v>0</v>
      </c>
      <c r="M222" t="n">
        <v>0</v>
      </c>
      <c r="N222" t="n">
        <v>0</v>
      </c>
      <c r="O222" t="n">
        <v>0</v>
      </c>
      <c r="P222" t="n">
        <v>0</v>
      </c>
      <c r="Q222" t="n">
        <v>0</v>
      </c>
      <c r="R222" s="2" t="inlineStr"/>
    </row>
    <row r="223" ht="15" customHeight="1">
      <c r="A223" t="inlineStr">
        <is>
          <t>A 41398-2022</t>
        </is>
      </c>
      <c r="B223" s="1" t="n">
        <v>44826</v>
      </c>
      <c r="C223" s="1" t="n">
        <v>46186</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45541-2022</t>
        </is>
      </c>
      <c r="B224" s="1" t="n">
        <v>44845.47672453704</v>
      </c>
      <c r="C224" s="1" t="n">
        <v>46186</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46186</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52139-2022</t>
        </is>
      </c>
      <c r="B226" s="1" t="n">
        <v>44868</v>
      </c>
      <c r="C226" s="1" t="n">
        <v>46186</v>
      </c>
      <c r="D226" t="inlineStr">
        <is>
          <t>STOCKHOLMS LÄN</t>
        </is>
      </c>
      <c r="E226" t="inlineStr">
        <is>
          <t>NORRTÄLJE</t>
        </is>
      </c>
      <c r="G226" t="n">
        <v>3.2</v>
      </c>
      <c r="H226" t="n">
        <v>0</v>
      </c>
      <c r="I226" t="n">
        <v>0</v>
      </c>
      <c r="J226" t="n">
        <v>0</v>
      </c>
      <c r="K226" t="n">
        <v>0</v>
      </c>
      <c r="L226" t="n">
        <v>0</v>
      </c>
      <c r="M226" t="n">
        <v>0</v>
      </c>
      <c r="N226" t="n">
        <v>0</v>
      </c>
      <c r="O226" t="n">
        <v>0</v>
      </c>
      <c r="P226" t="n">
        <v>0</v>
      </c>
      <c r="Q226" t="n">
        <v>0</v>
      </c>
      <c r="R226" s="2" t="inlineStr"/>
      <c r="U226">
        <f>HYPERLINK("https://klasma.github.io/Logging_0188/knärot/A 52139-2022 karta knärot.png", "A 52139-2022")</f>
        <v/>
      </c>
      <c r="V226">
        <f>HYPERLINK("https://klasma.github.io/Logging_0188/klagomål/A 52139-2022 FSC-klagomål.docx", "A 52139-2022")</f>
        <v/>
      </c>
      <c r="W226">
        <f>HYPERLINK("https://klasma.github.io/Logging_0188/klagomålsmail/A 52139-2022 FSC-klagomål mail.docx", "A 52139-2022")</f>
        <v/>
      </c>
      <c r="X226">
        <f>HYPERLINK("https://klasma.github.io/Logging_0188/tillsyn/A 52139-2022 tillsynsbegäran.docx", "A 52139-2022")</f>
        <v/>
      </c>
      <c r="Y226">
        <f>HYPERLINK("https://klasma.github.io/Logging_0188/tillsynsmail/A 52139-2022 tillsynsbegäran mail.docx", "A 52139-2022")</f>
        <v/>
      </c>
    </row>
    <row r="227" ht="15" customHeight="1">
      <c r="A227" t="inlineStr">
        <is>
          <t>A 12875-2022</t>
        </is>
      </c>
      <c r="B227" s="1" t="n">
        <v>44642.55565972222</v>
      </c>
      <c r="C227" s="1" t="n">
        <v>46186</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62030-2021</t>
        </is>
      </c>
      <c r="B228" s="1" t="n">
        <v>44502</v>
      </c>
      <c r="C228" s="1" t="n">
        <v>46186</v>
      </c>
      <c r="D228" t="inlineStr">
        <is>
          <t>STOCKHOLMS LÄN</t>
        </is>
      </c>
      <c r="E228" t="inlineStr">
        <is>
          <t>NORRTÄLJE</t>
        </is>
      </c>
      <c r="G228" t="n">
        <v>4.7</v>
      </c>
      <c r="H228" t="n">
        <v>0</v>
      </c>
      <c r="I228" t="n">
        <v>0</v>
      </c>
      <c r="J228" t="n">
        <v>0</v>
      </c>
      <c r="K228" t="n">
        <v>0</v>
      </c>
      <c r="L228" t="n">
        <v>0</v>
      </c>
      <c r="M228" t="n">
        <v>0</v>
      </c>
      <c r="N228" t="n">
        <v>0</v>
      </c>
      <c r="O228" t="n">
        <v>0</v>
      </c>
      <c r="P228" t="n">
        <v>0</v>
      </c>
      <c r="Q228" t="n">
        <v>0</v>
      </c>
      <c r="R228" s="2" t="inlineStr"/>
    </row>
    <row r="229" ht="15" customHeight="1">
      <c r="A229" t="inlineStr">
        <is>
          <t>A 12355-2022</t>
        </is>
      </c>
      <c r="B229" s="1" t="n">
        <v>44637</v>
      </c>
      <c r="C229" s="1" t="n">
        <v>46186</v>
      </c>
      <c r="D229" t="inlineStr">
        <is>
          <t>STOCKHOLMS LÄN</t>
        </is>
      </c>
      <c r="E229" t="inlineStr">
        <is>
          <t>NORRTÄLJE</t>
        </is>
      </c>
      <c r="G229" t="n">
        <v>10.4</v>
      </c>
      <c r="H229" t="n">
        <v>0</v>
      </c>
      <c r="I229" t="n">
        <v>0</v>
      </c>
      <c r="J229" t="n">
        <v>0</v>
      </c>
      <c r="K229" t="n">
        <v>0</v>
      </c>
      <c r="L229" t="n">
        <v>0</v>
      </c>
      <c r="M229" t="n">
        <v>0</v>
      </c>
      <c r="N229" t="n">
        <v>0</v>
      </c>
      <c r="O229" t="n">
        <v>0</v>
      </c>
      <c r="P229" t="n">
        <v>0</v>
      </c>
      <c r="Q229" t="n">
        <v>0</v>
      </c>
      <c r="R229" s="2" t="inlineStr"/>
    </row>
    <row r="230" ht="15" customHeight="1">
      <c r="A230" t="inlineStr">
        <is>
          <t>A 7565-2022</t>
        </is>
      </c>
      <c r="B230" s="1" t="n">
        <v>44607</v>
      </c>
      <c r="C230" s="1" t="n">
        <v>46186</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41822-2021</t>
        </is>
      </c>
      <c r="B231" s="1" t="n">
        <v>44425</v>
      </c>
      <c r="C231" s="1" t="n">
        <v>46186</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41823-2021</t>
        </is>
      </c>
      <c r="B232" s="1" t="n">
        <v>44425</v>
      </c>
      <c r="C232" s="1" t="n">
        <v>46186</v>
      </c>
      <c r="D232" t="inlineStr">
        <is>
          <t>STOCKHOLMS LÄN</t>
        </is>
      </c>
      <c r="E232" t="inlineStr">
        <is>
          <t>NORRTÄLJE</t>
        </is>
      </c>
      <c r="G232" t="n">
        <v>2.4</v>
      </c>
      <c r="H232" t="n">
        <v>0</v>
      </c>
      <c r="I232" t="n">
        <v>0</v>
      </c>
      <c r="J232" t="n">
        <v>0</v>
      </c>
      <c r="K232" t="n">
        <v>0</v>
      </c>
      <c r="L232" t="n">
        <v>0</v>
      </c>
      <c r="M232" t="n">
        <v>0</v>
      </c>
      <c r="N232" t="n">
        <v>0</v>
      </c>
      <c r="O232" t="n">
        <v>0</v>
      </c>
      <c r="P232" t="n">
        <v>0</v>
      </c>
      <c r="Q232" t="n">
        <v>0</v>
      </c>
      <c r="R232" s="2" t="inlineStr"/>
    </row>
    <row r="233" ht="15" customHeight="1">
      <c r="A233" t="inlineStr">
        <is>
          <t>A 20295-2022</t>
        </is>
      </c>
      <c r="B233" s="1" t="n">
        <v>44698</v>
      </c>
      <c r="C233" s="1" t="n">
        <v>46186</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37415-2021</t>
        </is>
      </c>
      <c r="B234" s="1" t="n">
        <v>44397</v>
      </c>
      <c r="C234" s="1" t="n">
        <v>46186</v>
      </c>
      <c r="D234" t="inlineStr">
        <is>
          <t>STOCKHOLMS LÄN</t>
        </is>
      </c>
      <c r="E234" t="inlineStr">
        <is>
          <t>NORRTÄLJE</t>
        </is>
      </c>
      <c r="F234" t="inlineStr">
        <is>
          <t>Övriga Aktiebolag</t>
        </is>
      </c>
      <c r="G234" t="n">
        <v>3</v>
      </c>
      <c r="H234" t="n">
        <v>0</v>
      </c>
      <c r="I234" t="n">
        <v>0</v>
      </c>
      <c r="J234" t="n">
        <v>0</v>
      </c>
      <c r="K234" t="n">
        <v>0</v>
      </c>
      <c r="L234" t="n">
        <v>0</v>
      </c>
      <c r="M234" t="n">
        <v>0</v>
      </c>
      <c r="N234" t="n">
        <v>0</v>
      </c>
      <c r="O234" t="n">
        <v>0</v>
      </c>
      <c r="P234" t="n">
        <v>0</v>
      </c>
      <c r="Q234" t="n">
        <v>0</v>
      </c>
      <c r="R234" s="2" t="inlineStr"/>
    </row>
    <row r="235" ht="15" customHeight="1">
      <c r="A235" t="inlineStr">
        <is>
          <t>A 8160-2022</t>
        </is>
      </c>
      <c r="B235" s="1" t="n">
        <v>44609</v>
      </c>
      <c r="C235" s="1" t="n">
        <v>46186</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30286-2022</t>
        </is>
      </c>
      <c r="B236" s="1" t="n">
        <v>44760</v>
      </c>
      <c r="C236" s="1" t="n">
        <v>46186</v>
      </c>
      <c r="D236" t="inlineStr">
        <is>
          <t>STOCKHOLMS LÄN</t>
        </is>
      </c>
      <c r="E236" t="inlineStr">
        <is>
          <t>NORRTÄLJE</t>
        </is>
      </c>
      <c r="G236" t="n">
        <v>0.3</v>
      </c>
      <c r="H236" t="n">
        <v>0</v>
      </c>
      <c r="I236" t="n">
        <v>0</v>
      </c>
      <c r="J236" t="n">
        <v>0</v>
      </c>
      <c r="K236" t="n">
        <v>0</v>
      </c>
      <c r="L236" t="n">
        <v>0</v>
      </c>
      <c r="M236" t="n">
        <v>0</v>
      </c>
      <c r="N236" t="n">
        <v>0</v>
      </c>
      <c r="O236" t="n">
        <v>0</v>
      </c>
      <c r="P236" t="n">
        <v>0</v>
      </c>
      <c r="Q236" t="n">
        <v>0</v>
      </c>
      <c r="R236" s="2" t="inlineStr"/>
    </row>
    <row r="237" ht="15" customHeight="1">
      <c r="A237" t="inlineStr">
        <is>
          <t>A 39319-2022</t>
        </is>
      </c>
      <c r="B237" s="1" t="n">
        <v>44817.70516203704</v>
      </c>
      <c r="C237" s="1" t="n">
        <v>46186</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56219-2021</t>
        </is>
      </c>
      <c r="B238" s="1" t="n">
        <v>44477</v>
      </c>
      <c r="C238" s="1" t="n">
        <v>46186</v>
      </c>
      <c r="D238" t="inlineStr">
        <is>
          <t>STOCKHOLMS LÄN</t>
        </is>
      </c>
      <c r="E238" t="inlineStr">
        <is>
          <t>NORRTÄLJE</t>
        </is>
      </c>
      <c r="F238" t="inlineStr">
        <is>
          <t>Kommuner</t>
        </is>
      </c>
      <c r="G238" t="n">
        <v>2.3</v>
      </c>
      <c r="H238" t="n">
        <v>0</v>
      </c>
      <c r="I238" t="n">
        <v>0</v>
      </c>
      <c r="J238" t="n">
        <v>0</v>
      </c>
      <c r="K238" t="n">
        <v>0</v>
      </c>
      <c r="L238" t="n">
        <v>0</v>
      </c>
      <c r="M238" t="n">
        <v>0</v>
      </c>
      <c r="N238" t="n">
        <v>0</v>
      </c>
      <c r="O238" t="n">
        <v>0</v>
      </c>
      <c r="P238" t="n">
        <v>0</v>
      </c>
      <c r="Q238" t="n">
        <v>0</v>
      </c>
      <c r="R238" s="2" t="inlineStr"/>
    </row>
    <row r="239" ht="15" customHeight="1">
      <c r="A239" t="inlineStr">
        <is>
          <t>A 15226-2022</t>
        </is>
      </c>
      <c r="B239" s="1" t="n">
        <v>44658</v>
      </c>
      <c r="C239" s="1" t="n">
        <v>46186</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3300-2022</t>
        </is>
      </c>
      <c r="B240" s="1" t="n">
        <v>44584.91538194445</v>
      </c>
      <c r="C240" s="1" t="n">
        <v>46186</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17388-2022</t>
        </is>
      </c>
      <c r="B241" s="1" t="n">
        <v>44678</v>
      </c>
      <c r="C241" s="1" t="n">
        <v>46186</v>
      </c>
      <c r="D241" t="inlineStr">
        <is>
          <t>STOCKHOLMS LÄN</t>
        </is>
      </c>
      <c r="E241" t="inlineStr">
        <is>
          <t>NORRTÄLJE</t>
        </is>
      </c>
      <c r="G241" t="n">
        <v>2.4</v>
      </c>
      <c r="H241" t="n">
        <v>0</v>
      </c>
      <c r="I241" t="n">
        <v>0</v>
      </c>
      <c r="J241" t="n">
        <v>0</v>
      </c>
      <c r="K241" t="n">
        <v>0</v>
      </c>
      <c r="L241" t="n">
        <v>0</v>
      </c>
      <c r="M241" t="n">
        <v>0</v>
      </c>
      <c r="N241" t="n">
        <v>0</v>
      </c>
      <c r="O241" t="n">
        <v>0</v>
      </c>
      <c r="P241" t="n">
        <v>0</v>
      </c>
      <c r="Q241" t="n">
        <v>0</v>
      </c>
      <c r="R241" s="2" t="inlineStr"/>
    </row>
    <row r="242" ht="15" customHeight="1">
      <c r="A242" t="inlineStr">
        <is>
          <t>A 17771-2022</t>
        </is>
      </c>
      <c r="B242" s="1" t="n">
        <v>44682.75924768519</v>
      </c>
      <c r="C242" s="1" t="n">
        <v>46186</v>
      </c>
      <c r="D242" t="inlineStr">
        <is>
          <t>STOCKHOLMS LÄN</t>
        </is>
      </c>
      <c r="E242" t="inlineStr">
        <is>
          <t>NORRTÄLJE</t>
        </is>
      </c>
      <c r="G242" t="n">
        <v>13.3</v>
      </c>
      <c r="H242" t="n">
        <v>0</v>
      </c>
      <c r="I242" t="n">
        <v>0</v>
      </c>
      <c r="J242" t="n">
        <v>0</v>
      </c>
      <c r="K242" t="n">
        <v>0</v>
      </c>
      <c r="L242" t="n">
        <v>0</v>
      </c>
      <c r="M242" t="n">
        <v>0</v>
      </c>
      <c r="N242" t="n">
        <v>0</v>
      </c>
      <c r="O242" t="n">
        <v>0</v>
      </c>
      <c r="P242" t="n">
        <v>0</v>
      </c>
      <c r="Q242" t="n">
        <v>0</v>
      </c>
      <c r="R242" s="2" t="inlineStr"/>
    </row>
    <row r="243" ht="15" customHeight="1">
      <c r="A243" t="inlineStr">
        <is>
          <t>A 17773-2022</t>
        </is>
      </c>
      <c r="B243" s="1" t="n">
        <v>44682.77616898148</v>
      </c>
      <c r="C243" s="1" t="n">
        <v>46186</v>
      </c>
      <c r="D243" t="inlineStr">
        <is>
          <t>STOCKHOLMS LÄN</t>
        </is>
      </c>
      <c r="E243" t="inlineStr">
        <is>
          <t>NORRTÄLJE</t>
        </is>
      </c>
      <c r="G243" t="n">
        <v>10.8</v>
      </c>
      <c r="H243" t="n">
        <v>0</v>
      </c>
      <c r="I243" t="n">
        <v>0</v>
      </c>
      <c r="J243" t="n">
        <v>0</v>
      </c>
      <c r="K243" t="n">
        <v>0</v>
      </c>
      <c r="L243" t="n">
        <v>0</v>
      </c>
      <c r="M243" t="n">
        <v>0</v>
      </c>
      <c r="N243" t="n">
        <v>0</v>
      </c>
      <c r="O243" t="n">
        <v>0</v>
      </c>
      <c r="P243" t="n">
        <v>0</v>
      </c>
      <c r="Q243" t="n">
        <v>0</v>
      </c>
      <c r="R243" s="2" t="inlineStr"/>
    </row>
    <row r="244" ht="15" customHeight="1">
      <c r="A244" t="inlineStr">
        <is>
          <t>A 10521-2022</t>
        </is>
      </c>
      <c r="B244" s="1" t="n">
        <v>44623</v>
      </c>
      <c r="C244" s="1" t="n">
        <v>46186</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16117-2022</t>
        </is>
      </c>
      <c r="B245" s="1" t="n">
        <v>44665.65474537037</v>
      </c>
      <c r="C245" s="1" t="n">
        <v>46186</v>
      </c>
      <c r="D245" t="inlineStr">
        <is>
          <t>STOCKHOLMS LÄN</t>
        </is>
      </c>
      <c r="E245" t="inlineStr">
        <is>
          <t>NORRTÄLJE</t>
        </is>
      </c>
      <c r="G245" t="n">
        <v>8.1</v>
      </c>
      <c r="H245" t="n">
        <v>0</v>
      </c>
      <c r="I245" t="n">
        <v>0</v>
      </c>
      <c r="J245" t="n">
        <v>0</v>
      </c>
      <c r="K245" t="n">
        <v>0</v>
      </c>
      <c r="L245" t="n">
        <v>0</v>
      </c>
      <c r="M245" t="n">
        <v>0</v>
      </c>
      <c r="N245" t="n">
        <v>0</v>
      </c>
      <c r="O245" t="n">
        <v>0</v>
      </c>
      <c r="P245" t="n">
        <v>0</v>
      </c>
      <c r="Q245" t="n">
        <v>0</v>
      </c>
      <c r="R245" s="2" t="inlineStr"/>
    </row>
    <row r="246" ht="15" customHeight="1">
      <c r="A246" t="inlineStr">
        <is>
          <t>A 16132-2022</t>
        </is>
      </c>
      <c r="B246" s="1" t="n">
        <v>44665.78351851852</v>
      </c>
      <c r="C246" s="1" t="n">
        <v>46186</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70170-2021</t>
        </is>
      </c>
      <c r="B247" s="1" t="n">
        <v>44533</v>
      </c>
      <c r="C247" s="1" t="n">
        <v>46186</v>
      </c>
      <c r="D247" t="inlineStr">
        <is>
          <t>STOCKHOLMS LÄN</t>
        </is>
      </c>
      <c r="E247" t="inlineStr">
        <is>
          <t>NORRTÄLJE</t>
        </is>
      </c>
      <c r="G247" t="n">
        <v>2.7</v>
      </c>
      <c r="H247" t="n">
        <v>0</v>
      </c>
      <c r="I247" t="n">
        <v>0</v>
      </c>
      <c r="J247" t="n">
        <v>0</v>
      </c>
      <c r="K247" t="n">
        <v>0</v>
      </c>
      <c r="L247" t="n">
        <v>0</v>
      </c>
      <c r="M247" t="n">
        <v>0</v>
      </c>
      <c r="N247" t="n">
        <v>0</v>
      </c>
      <c r="O247" t="n">
        <v>0</v>
      </c>
      <c r="P247" t="n">
        <v>0</v>
      </c>
      <c r="Q247" t="n">
        <v>0</v>
      </c>
      <c r="R247" s="2" t="inlineStr"/>
    </row>
    <row r="248" ht="15" customHeight="1">
      <c r="A248" t="inlineStr">
        <is>
          <t>A 71880-2021</t>
        </is>
      </c>
      <c r="B248" s="1" t="n">
        <v>44543</v>
      </c>
      <c r="C248" s="1" t="n">
        <v>46186</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21102-2022</t>
        </is>
      </c>
      <c r="B249" s="1" t="n">
        <v>44704</v>
      </c>
      <c r="C249" s="1" t="n">
        <v>46186</v>
      </c>
      <c r="D249" t="inlineStr">
        <is>
          <t>STOCKHOLMS LÄN</t>
        </is>
      </c>
      <c r="E249" t="inlineStr">
        <is>
          <t>NORRTÄLJE</t>
        </is>
      </c>
      <c r="G249" t="n">
        <v>0.2</v>
      </c>
      <c r="H249" t="n">
        <v>0</v>
      </c>
      <c r="I249" t="n">
        <v>0</v>
      </c>
      <c r="J249" t="n">
        <v>0</v>
      </c>
      <c r="K249" t="n">
        <v>0</v>
      </c>
      <c r="L249" t="n">
        <v>0</v>
      </c>
      <c r="M249" t="n">
        <v>0</v>
      </c>
      <c r="N249" t="n">
        <v>0</v>
      </c>
      <c r="O249" t="n">
        <v>0</v>
      </c>
      <c r="P249" t="n">
        <v>0</v>
      </c>
      <c r="Q249" t="n">
        <v>0</v>
      </c>
      <c r="R249" s="2" t="inlineStr"/>
    </row>
    <row r="250" ht="15" customHeight="1">
      <c r="A250" t="inlineStr">
        <is>
          <t>A 17772-2022</t>
        </is>
      </c>
      <c r="B250" s="1" t="n">
        <v>44682.76528935185</v>
      </c>
      <c r="C250" s="1" t="n">
        <v>46186</v>
      </c>
      <c r="D250" t="inlineStr">
        <is>
          <t>STOCKHOLMS LÄN</t>
        </is>
      </c>
      <c r="E250" t="inlineStr">
        <is>
          <t>NORRTÄLJE</t>
        </is>
      </c>
      <c r="G250" t="n">
        <v>4</v>
      </c>
      <c r="H250" t="n">
        <v>0</v>
      </c>
      <c r="I250" t="n">
        <v>0</v>
      </c>
      <c r="J250" t="n">
        <v>0</v>
      </c>
      <c r="K250" t="n">
        <v>0</v>
      </c>
      <c r="L250" t="n">
        <v>0</v>
      </c>
      <c r="M250" t="n">
        <v>0</v>
      </c>
      <c r="N250" t="n">
        <v>0</v>
      </c>
      <c r="O250" t="n">
        <v>0</v>
      </c>
      <c r="P250" t="n">
        <v>0</v>
      </c>
      <c r="Q250" t="n">
        <v>0</v>
      </c>
      <c r="R250" s="2" t="inlineStr"/>
    </row>
    <row r="251" ht="15" customHeight="1">
      <c r="A251" t="inlineStr">
        <is>
          <t>A 24101-2022</t>
        </is>
      </c>
      <c r="B251" s="1" t="n">
        <v>44725</v>
      </c>
      <c r="C251" s="1" t="n">
        <v>46186</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67285-2021</t>
        </is>
      </c>
      <c r="B252" s="1" t="n">
        <v>44523.61635416667</v>
      </c>
      <c r="C252" s="1" t="n">
        <v>46186</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5611-2022</t>
        </is>
      </c>
      <c r="B253" s="1" t="n">
        <v>44595</v>
      </c>
      <c r="C253" s="1" t="n">
        <v>46186</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32055-2021</t>
        </is>
      </c>
      <c r="B254" s="1" t="n">
        <v>44370.72197916666</v>
      </c>
      <c r="C254" s="1" t="n">
        <v>46186</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38721-2022</t>
        </is>
      </c>
      <c r="B255" s="1" t="n">
        <v>44815</v>
      </c>
      <c r="C255" s="1" t="n">
        <v>46186</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60184-2021</t>
        </is>
      </c>
      <c r="B256" s="1" t="n">
        <v>44495</v>
      </c>
      <c r="C256" s="1" t="n">
        <v>46186</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27828-2022</t>
        </is>
      </c>
      <c r="B257" s="1" t="n">
        <v>44743.59765046297</v>
      </c>
      <c r="C257" s="1" t="n">
        <v>46186</v>
      </c>
      <c r="D257" t="inlineStr">
        <is>
          <t>STOCKHOLMS LÄN</t>
        </is>
      </c>
      <c r="E257" t="inlineStr">
        <is>
          <t>NORRTÄLJE</t>
        </is>
      </c>
      <c r="F257" t="inlineStr">
        <is>
          <t>Kommuner</t>
        </is>
      </c>
      <c r="G257" t="n">
        <v>1.6</v>
      </c>
      <c r="H257" t="n">
        <v>0</v>
      </c>
      <c r="I257" t="n">
        <v>0</v>
      </c>
      <c r="J257" t="n">
        <v>0</v>
      </c>
      <c r="K257" t="n">
        <v>0</v>
      </c>
      <c r="L257" t="n">
        <v>0</v>
      </c>
      <c r="M257" t="n">
        <v>0</v>
      </c>
      <c r="N257" t="n">
        <v>0</v>
      </c>
      <c r="O257" t="n">
        <v>0</v>
      </c>
      <c r="P257" t="n">
        <v>0</v>
      </c>
      <c r="Q257" t="n">
        <v>0</v>
      </c>
      <c r="R257" s="2" t="inlineStr"/>
    </row>
    <row r="258" ht="15" customHeight="1">
      <c r="A258" t="inlineStr">
        <is>
          <t>A 13053-2022</t>
        </is>
      </c>
      <c r="B258" s="1" t="n">
        <v>44643</v>
      </c>
      <c r="C258" s="1" t="n">
        <v>46186</v>
      </c>
      <c r="D258" t="inlineStr">
        <is>
          <t>STOCKHOLMS LÄN</t>
        </is>
      </c>
      <c r="E258" t="inlineStr">
        <is>
          <t>NORRTÄLJE</t>
        </is>
      </c>
      <c r="G258" t="n">
        <v>2.8</v>
      </c>
      <c r="H258" t="n">
        <v>0</v>
      </c>
      <c r="I258" t="n">
        <v>0</v>
      </c>
      <c r="J258" t="n">
        <v>0</v>
      </c>
      <c r="K258" t="n">
        <v>0</v>
      </c>
      <c r="L258" t="n">
        <v>0</v>
      </c>
      <c r="M258" t="n">
        <v>0</v>
      </c>
      <c r="N258" t="n">
        <v>0</v>
      </c>
      <c r="O258" t="n">
        <v>0</v>
      </c>
      <c r="P258" t="n">
        <v>0</v>
      </c>
      <c r="Q258" t="n">
        <v>0</v>
      </c>
      <c r="R258" s="2" t="inlineStr"/>
    </row>
    <row r="259" ht="15" customHeight="1">
      <c r="A259" t="inlineStr">
        <is>
          <t>A 15915-2023</t>
        </is>
      </c>
      <c r="B259" s="1" t="n">
        <v>45022</v>
      </c>
      <c r="C259" s="1" t="n">
        <v>46186</v>
      </c>
      <c r="D259" t="inlineStr">
        <is>
          <t>STOCKHOLMS LÄN</t>
        </is>
      </c>
      <c r="E259" t="inlineStr">
        <is>
          <t>NORRTÄLJE</t>
        </is>
      </c>
      <c r="G259" t="n">
        <v>2.9</v>
      </c>
      <c r="H259" t="n">
        <v>0</v>
      </c>
      <c r="I259" t="n">
        <v>0</v>
      </c>
      <c r="J259" t="n">
        <v>0</v>
      </c>
      <c r="K259" t="n">
        <v>0</v>
      </c>
      <c r="L259" t="n">
        <v>0</v>
      </c>
      <c r="M259" t="n">
        <v>0</v>
      </c>
      <c r="N259" t="n">
        <v>0</v>
      </c>
      <c r="O259" t="n">
        <v>0</v>
      </c>
      <c r="P259" t="n">
        <v>0</v>
      </c>
      <c r="Q259" t="n">
        <v>0</v>
      </c>
      <c r="R259" s="2" t="inlineStr"/>
    </row>
    <row r="260" ht="15" customHeight="1">
      <c r="A260" t="inlineStr">
        <is>
          <t>A 16229-2022</t>
        </is>
      </c>
      <c r="B260" s="1" t="n">
        <v>44670.4190162037</v>
      </c>
      <c r="C260" s="1" t="n">
        <v>46186</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33226-2024</t>
        </is>
      </c>
      <c r="B261" s="1" t="n">
        <v>45518</v>
      </c>
      <c r="C261" s="1" t="n">
        <v>46186</v>
      </c>
      <c r="D261" t="inlineStr">
        <is>
          <t>STOCKHOLMS LÄN</t>
        </is>
      </c>
      <c r="E261" t="inlineStr">
        <is>
          <t>NORRTÄLJE</t>
        </is>
      </c>
      <c r="G261" t="n">
        <v>13.8</v>
      </c>
      <c r="H261" t="n">
        <v>0</v>
      </c>
      <c r="I261" t="n">
        <v>0</v>
      </c>
      <c r="J261" t="n">
        <v>0</v>
      </c>
      <c r="K261" t="n">
        <v>0</v>
      </c>
      <c r="L261" t="n">
        <v>0</v>
      </c>
      <c r="M261" t="n">
        <v>0</v>
      </c>
      <c r="N261" t="n">
        <v>0</v>
      </c>
      <c r="O261" t="n">
        <v>0</v>
      </c>
      <c r="P261" t="n">
        <v>0</v>
      </c>
      <c r="Q261" t="n">
        <v>0</v>
      </c>
      <c r="R261" s="2" t="inlineStr"/>
    </row>
    <row r="262" ht="15" customHeight="1">
      <c r="A262" t="inlineStr">
        <is>
          <t>A 22008-2024</t>
        </is>
      </c>
      <c r="B262" s="1" t="n">
        <v>45443</v>
      </c>
      <c r="C262" s="1" t="n">
        <v>46186</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55243-2023</t>
        </is>
      </c>
      <c r="B263" s="1" t="n">
        <v>45237</v>
      </c>
      <c r="C263" s="1" t="n">
        <v>46186</v>
      </c>
      <c r="D263" t="inlineStr">
        <is>
          <t>STOCKHOLMS LÄN</t>
        </is>
      </c>
      <c r="E263" t="inlineStr">
        <is>
          <t>NORRTÄLJE</t>
        </is>
      </c>
      <c r="G263" t="n">
        <v>6.5</v>
      </c>
      <c r="H263" t="n">
        <v>0</v>
      </c>
      <c r="I263" t="n">
        <v>0</v>
      </c>
      <c r="J263" t="n">
        <v>0</v>
      </c>
      <c r="K263" t="n">
        <v>0</v>
      </c>
      <c r="L263" t="n">
        <v>0</v>
      </c>
      <c r="M263" t="n">
        <v>0</v>
      </c>
      <c r="N263" t="n">
        <v>0</v>
      </c>
      <c r="O263" t="n">
        <v>0</v>
      </c>
      <c r="P263" t="n">
        <v>0</v>
      </c>
      <c r="Q263" t="n">
        <v>0</v>
      </c>
      <c r="R263" s="2" t="inlineStr"/>
    </row>
    <row r="264" ht="15" customHeight="1">
      <c r="A264" t="inlineStr">
        <is>
          <t>A 29972-2024</t>
        </is>
      </c>
      <c r="B264" s="1" t="n">
        <v>45485</v>
      </c>
      <c r="C264" s="1" t="n">
        <v>46186</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52260-2022</t>
        </is>
      </c>
      <c r="B265" s="1" t="n">
        <v>44869</v>
      </c>
      <c r="C265" s="1" t="n">
        <v>46186</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64137-2021</t>
        </is>
      </c>
      <c r="B266" s="1" t="n">
        <v>44510.51422453704</v>
      </c>
      <c r="C266" s="1" t="n">
        <v>46186</v>
      </c>
      <c r="D266" t="inlineStr">
        <is>
          <t>STOCKHOLMS LÄN</t>
        </is>
      </c>
      <c r="E266" t="inlineStr">
        <is>
          <t>NORRTÄLJE</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25557-2023</t>
        </is>
      </c>
      <c r="B267" s="1" t="n">
        <v>45089</v>
      </c>
      <c r="C267" s="1" t="n">
        <v>46186</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27715-2022</t>
        </is>
      </c>
      <c r="B268" s="1" t="n">
        <v>44743.47407407407</v>
      </c>
      <c r="C268" s="1" t="n">
        <v>46186</v>
      </c>
      <c r="D268" t="inlineStr">
        <is>
          <t>STOCKHOLMS LÄN</t>
        </is>
      </c>
      <c r="E268" t="inlineStr">
        <is>
          <t>NORRTÄLJE</t>
        </is>
      </c>
      <c r="G268" t="n">
        <v>2.2</v>
      </c>
      <c r="H268" t="n">
        <v>0</v>
      </c>
      <c r="I268" t="n">
        <v>0</v>
      </c>
      <c r="J268" t="n">
        <v>0</v>
      </c>
      <c r="K268" t="n">
        <v>0</v>
      </c>
      <c r="L268" t="n">
        <v>0</v>
      </c>
      <c r="M268" t="n">
        <v>0</v>
      </c>
      <c r="N268" t="n">
        <v>0</v>
      </c>
      <c r="O268" t="n">
        <v>0</v>
      </c>
      <c r="P268" t="n">
        <v>0</v>
      </c>
      <c r="Q268" t="n">
        <v>0</v>
      </c>
      <c r="R268" s="2" t="inlineStr"/>
    </row>
    <row r="269" ht="15" customHeight="1">
      <c r="A269" t="inlineStr">
        <is>
          <t>A 48716-2023</t>
        </is>
      </c>
      <c r="B269" s="1" t="n">
        <v>45208.69671296296</v>
      </c>
      <c r="C269" s="1" t="n">
        <v>46186</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5027-2025</t>
        </is>
      </c>
      <c r="B270" s="1" t="n">
        <v>45691.41101851852</v>
      </c>
      <c r="C270" s="1" t="n">
        <v>46186</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12268-2022</t>
        </is>
      </c>
      <c r="B271" s="1" t="n">
        <v>44637</v>
      </c>
      <c r="C271" s="1" t="n">
        <v>46186</v>
      </c>
      <c r="D271" t="inlineStr">
        <is>
          <t>STOCKHOLMS LÄN</t>
        </is>
      </c>
      <c r="E271" t="inlineStr">
        <is>
          <t>NORRTÄLJE</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20015-2023</t>
        </is>
      </c>
      <c r="B272" s="1" t="n">
        <v>45054</v>
      </c>
      <c r="C272" s="1" t="n">
        <v>46186</v>
      </c>
      <c r="D272" t="inlineStr">
        <is>
          <t>STOCKHOLMS LÄN</t>
        </is>
      </c>
      <c r="E272" t="inlineStr">
        <is>
          <t>NORRTÄLJE</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24245-2024</t>
        </is>
      </c>
      <c r="B273" s="1" t="n">
        <v>45457</v>
      </c>
      <c r="C273" s="1" t="n">
        <v>46186</v>
      </c>
      <c r="D273" t="inlineStr">
        <is>
          <t>STOCKHOLMS LÄN</t>
        </is>
      </c>
      <c r="E273" t="inlineStr">
        <is>
          <t>NORRTÄLJE</t>
        </is>
      </c>
      <c r="F273" t="inlineStr">
        <is>
          <t>Holmen skog AB</t>
        </is>
      </c>
      <c r="G273" t="n">
        <v>3.4</v>
      </c>
      <c r="H273" t="n">
        <v>0</v>
      </c>
      <c r="I273" t="n">
        <v>0</v>
      </c>
      <c r="J273" t="n">
        <v>0</v>
      </c>
      <c r="K273" t="n">
        <v>0</v>
      </c>
      <c r="L273" t="n">
        <v>0</v>
      </c>
      <c r="M273" t="n">
        <v>0</v>
      </c>
      <c r="N273" t="n">
        <v>0</v>
      </c>
      <c r="O273" t="n">
        <v>0</v>
      </c>
      <c r="P273" t="n">
        <v>0</v>
      </c>
      <c r="Q273" t="n">
        <v>0</v>
      </c>
      <c r="R273" s="2" t="inlineStr"/>
    </row>
    <row r="274" ht="15" customHeight="1">
      <c r="A274" t="inlineStr">
        <is>
          <t>A 65499-2021</t>
        </is>
      </c>
      <c r="B274" s="1" t="n">
        <v>44516</v>
      </c>
      <c r="C274" s="1" t="n">
        <v>46186</v>
      </c>
      <c r="D274" t="inlineStr">
        <is>
          <t>STOCKHOLMS LÄN</t>
        </is>
      </c>
      <c r="E274" t="inlineStr">
        <is>
          <t>NORRTÄLJE</t>
        </is>
      </c>
      <c r="F274" t="inlineStr">
        <is>
          <t>Kommuner</t>
        </is>
      </c>
      <c r="G274" t="n">
        <v>5.2</v>
      </c>
      <c r="H274" t="n">
        <v>0</v>
      </c>
      <c r="I274" t="n">
        <v>0</v>
      </c>
      <c r="J274" t="n">
        <v>0</v>
      </c>
      <c r="K274" t="n">
        <v>0</v>
      </c>
      <c r="L274" t="n">
        <v>0</v>
      </c>
      <c r="M274" t="n">
        <v>0</v>
      </c>
      <c r="N274" t="n">
        <v>0</v>
      </c>
      <c r="O274" t="n">
        <v>0</v>
      </c>
      <c r="P274" t="n">
        <v>0</v>
      </c>
      <c r="Q274" t="n">
        <v>0</v>
      </c>
      <c r="R274" s="2" t="inlineStr"/>
    </row>
    <row r="275" ht="15" customHeight="1">
      <c r="A275" t="inlineStr">
        <is>
          <t>A 48370-2025</t>
        </is>
      </c>
      <c r="B275" s="1" t="n">
        <v>45933.67854166667</v>
      </c>
      <c r="C275" s="1" t="n">
        <v>46186</v>
      </c>
      <c r="D275" t="inlineStr">
        <is>
          <t>STOCKHOLMS LÄN</t>
        </is>
      </c>
      <c r="E275" t="inlineStr">
        <is>
          <t>NORRTÄLJE</t>
        </is>
      </c>
      <c r="G275" t="n">
        <v>4.5</v>
      </c>
      <c r="H275" t="n">
        <v>0</v>
      </c>
      <c r="I275" t="n">
        <v>0</v>
      </c>
      <c r="J275" t="n">
        <v>0</v>
      </c>
      <c r="K275" t="n">
        <v>0</v>
      </c>
      <c r="L275" t="n">
        <v>0</v>
      </c>
      <c r="M275" t="n">
        <v>0</v>
      </c>
      <c r="N275" t="n">
        <v>0</v>
      </c>
      <c r="O275" t="n">
        <v>0</v>
      </c>
      <c r="P275" t="n">
        <v>0</v>
      </c>
      <c r="Q275" t="n">
        <v>0</v>
      </c>
      <c r="R275" s="2" t="inlineStr"/>
    </row>
    <row r="276" ht="15" customHeight="1">
      <c r="A276" t="inlineStr">
        <is>
          <t>A 48364-2025</t>
        </is>
      </c>
      <c r="B276" s="1" t="n">
        <v>45933.66796296297</v>
      </c>
      <c r="C276" s="1" t="n">
        <v>46186</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48174-2025</t>
        </is>
      </c>
      <c r="B277" s="1" t="n">
        <v>45933.44230324074</v>
      </c>
      <c r="C277" s="1" t="n">
        <v>46186</v>
      </c>
      <c r="D277" t="inlineStr">
        <is>
          <t>STOCKHOLMS LÄN</t>
        </is>
      </c>
      <c r="E277" t="inlineStr">
        <is>
          <t>NORRTÄLJE</t>
        </is>
      </c>
      <c r="G277" t="n">
        <v>2.6</v>
      </c>
      <c r="H277" t="n">
        <v>0</v>
      </c>
      <c r="I277" t="n">
        <v>0</v>
      </c>
      <c r="J277" t="n">
        <v>0</v>
      </c>
      <c r="K277" t="n">
        <v>0</v>
      </c>
      <c r="L277" t="n">
        <v>0</v>
      </c>
      <c r="M277" t="n">
        <v>0</v>
      </c>
      <c r="N277" t="n">
        <v>0</v>
      </c>
      <c r="O277" t="n">
        <v>0</v>
      </c>
      <c r="P277" t="n">
        <v>0</v>
      </c>
      <c r="Q277" t="n">
        <v>0</v>
      </c>
      <c r="R277" s="2" t="inlineStr"/>
    </row>
    <row r="278" ht="15" customHeight="1">
      <c r="A278" t="inlineStr">
        <is>
          <t>A 15256-2023</t>
        </is>
      </c>
      <c r="B278" s="1" t="n">
        <v>45019.3959837963</v>
      </c>
      <c r="C278" s="1" t="n">
        <v>46186</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20428-2024</t>
        </is>
      </c>
      <c r="B279" s="1" t="n">
        <v>45435</v>
      </c>
      <c r="C279" s="1" t="n">
        <v>46186</v>
      </c>
      <c r="D279" t="inlineStr">
        <is>
          <t>STOCKHOLMS LÄN</t>
        </is>
      </c>
      <c r="E279" t="inlineStr">
        <is>
          <t>NORRTÄLJE</t>
        </is>
      </c>
      <c r="G279" t="n">
        <v>3.7</v>
      </c>
      <c r="H279" t="n">
        <v>0</v>
      </c>
      <c r="I279" t="n">
        <v>0</v>
      </c>
      <c r="J279" t="n">
        <v>0</v>
      </c>
      <c r="K279" t="n">
        <v>0</v>
      </c>
      <c r="L279" t="n">
        <v>0</v>
      </c>
      <c r="M279" t="n">
        <v>0</v>
      </c>
      <c r="N279" t="n">
        <v>0</v>
      </c>
      <c r="O279" t="n">
        <v>0</v>
      </c>
      <c r="P279" t="n">
        <v>0</v>
      </c>
      <c r="Q279" t="n">
        <v>0</v>
      </c>
      <c r="R279" s="2" t="inlineStr"/>
    </row>
    <row r="280" ht="15" customHeight="1">
      <c r="A280" t="inlineStr">
        <is>
          <t>A 48718-2025</t>
        </is>
      </c>
      <c r="B280" s="1" t="n">
        <v>45936</v>
      </c>
      <c r="C280" s="1" t="n">
        <v>46186</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7571-2024</t>
        </is>
      </c>
      <c r="B281" s="1" t="n">
        <v>45348.46300925926</v>
      </c>
      <c r="C281" s="1" t="n">
        <v>46186</v>
      </c>
      <c r="D281" t="inlineStr">
        <is>
          <t>STOCKHOLMS LÄN</t>
        </is>
      </c>
      <c r="E281" t="inlineStr">
        <is>
          <t>NORRTÄLJE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48443-2025</t>
        </is>
      </c>
      <c r="B282" s="1" t="n">
        <v>45935.55326388889</v>
      </c>
      <c r="C282" s="1" t="n">
        <v>46186</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48780-2025</t>
        </is>
      </c>
      <c r="B283" s="1" t="n">
        <v>45937.30377314815</v>
      </c>
      <c r="C283" s="1" t="n">
        <v>46186</v>
      </c>
      <c r="D283" t="inlineStr">
        <is>
          <t>STOCKHOLMS LÄN</t>
        </is>
      </c>
      <c r="E283" t="inlineStr">
        <is>
          <t>NORRTÄLJE</t>
        </is>
      </c>
      <c r="G283" t="n">
        <v>7.7</v>
      </c>
      <c r="H283" t="n">
        <v>0</v>
      </c>
      <c r="I283" t="n">
        <v>0</v>
      </c>
      <c r="J283" t="n">
        <v>0</v>
      </c>
      <c r="K283" t="n">
        <v>0</v>
      </c>
      <c r="L283" t="n">
        <v>0</v>
      </c>
      <c r="M283" t="n">
        <v>0</v>
      </c>
      <c r="N283" t="n">
        <v>0</v>
      </c>
      <c r="O283" t="n">
        <v>0</v>
      </c>
      <c r="P283" t="n">
        <v>0</v>
      </c>
      <c r="Q283" t="n">
        <v>0</v>
      </c>
      <c r="R283" s="2" t="inlineStr"/>
    </row>
    <row r="284" ht="15" customHeight="1">
      <c r="A284" t="inlineStr">
        <is>
          <t>A 11849-2025</t>
        </is>
      </c>
      <c r="B284" s="1" t="n">
        <v>45728.38409722222</v>
      </c>
      <c r="C284" s="1" t="n">
        <v>46186</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40425-2021</t>
        </is>
      </c>
      <c r="B285" s="1" t="n">
        <v>44419</v>
      </c>
      <c r="C285" s="1" t="n">
        <v>46186</v>
      </c>
      <c r="D285" t="inlineStr">
        <is>
          <t>STOCKHOLMS LÄN</t>
        </is>
      </c>
      <c r="E285" t="inlineStr">
        <is>
          <t>NORRTÄLJE</t>
        </is>
      </c>
      <c r="G285" t="n">
        <v>5</v>
      </c>
      <c r="H285" t="n">
        <v>0</v>
      </c>
      <c r="I285" t="n">
        <v>0</v>
      </c>
      <c r="J285" t="n">
        <v>0</v>
      </c>
      <c r="K285" t="n">
        <v>0</v>
      </c>
      <c r="L285" t="n">
        <v>0</v>
      </c>
      <c r="M285" t="n">
        <v>0</v>
      </c>
      <c r="N285" t="n">
        <v>0</v>
      </c>
      <c r="O285" t="n">
        <v>0</v>
      </c>
      <c r="P285" t="n">
        <v>0</v>
      </c>
      <c r="Q285" t="n">
        <v>0</v>
      </c>
      <c r="R285" s="2" t="inlineStr"/>
    </row>
    <row r="286" ht="15" customHeight="1">
      <c r="A286" t="inlineStr">
        <is>
          <t>A 58990-2021</t>
        </is>
      </c>
      <c r="B286" s="1" t="n">
        <v>44490.03621527777</v>
      </c>
      <c r="C286" s="1" t="n">
        <v>46186</v>
      </c>
      <c r="D286" t="inlineStr">
        <is>
          <t>STOCKHOLMS LÄN</t>
        </is>
      </c>
      <c r="E286" t="inlineStr">
        <is>
          <t>NORRTÄLJE</t>
        </is>
      </c>
      <c r="G286" t="n">
        <v>4.2</v>
      </c>
      <c r="H286" t="n">
        <v>0</v>
      </c>
      <c r="I286" t="n">
        <v>0</v>
      </c>
      <c r="J286" t="n">
        <v>0</v>
      </c>
      <c r="K286" t="n">
        <v>0</v>
      </c>
      <c r="L286" t="n">
        <v>0</v>
      </c>
      <c r="M286" t="n">
        <v>0</v>
      </c>
      <c r="N286" t="n">
        <v>0</v>
      </c>
      <c r="O286" t="n">
        <v>0</v>
      </c>
      <c r="P286" t="n">
        <v>0</v>
      </c>
      <c r="Q286" t="n">
        <v>0</v>
      </c>
      <c r="R286" s="2" t="inlineStr"/>
    </row>
    <row r="287" ht="15" customHeight="1">
      <c r="A287" t="inlineStr">
        <is>
          <t>A 38720-2025</t>
        </is>
      </c>
      <c r="B287" s="1" t="n">
        <v>45886</v>
      </c>
      <c r="C287" s="1" t="n">
        <v>46186</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64145-2021</t>
        </is>
      </c>
      <c r="B288" s="1" t="n">
        <v>44510</v>
      </c>
      <c r="C288" s="1" t="n">
        <v>46186</v>
      </c>
      <c r="D288" t="inlineStr">
        <is>
          <t>STOCKHOLMS LÄN</t>
        </is>
      </c>
      <c r="E288" t="inlineStr">
        <is>
          <t>NORRTÄLJE</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1740-2023</t>
        </is>
      </c>
      <c r="B289" s="1" t="n">
        <v>44938</v>
      </c>
      <c r="C289" s="1" t="n">
        <v>46186</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4596-2023</t>
        </is>
      </c>
      <c r="B290" s="1" t="n">
        <v>44956</v>
      </c>
      <c r="C290" s="1" t="n">
        <v>46186</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49129-2025</t>
        </is>
      </c>
      <c r="B291" s="1" t="n">
        <v>45937.89517361111</v>
      </c>
      <c r="C291" s="1" t="n">
        <v>46186</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50097-2025</t>
        </is>
      </c>
      <c r="B292" s="1" t="n">
        <v>45943.50207175926</v>
      </c>
      <c r="C292" s="1" t="n">
        <v>46186</v>
      </c>
      <c r="D292" t="inlineStr">
        <is>
          <t>STOCKHOLMS LÄN</t>
        </is>
      </c>
      <c r="E292" t="inlineStr">
        <is>
          <t>NORRTÄLJE</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10676-2025</t>
        </is>
      </c>
      <c r="B293" s="1" t="n">
        <v>45721.88684027778</v>
      </c>
      <c r="C293" s="1" t="n">
        <v>46186</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20699-2025</t>
        </is>
      </c>
      <c r="B294" s="1" t="n">
        <v>45776.47346064815</v>
      </c>
      <c r="C294" s="1" t="n">
        <v>46186</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3152-2024</t>
        </is>
      </c>
      <c r="B295" s="1" t="n">
        <v>45316.60306712963</v>
      </c>
      <c r="C295" s="1" t="n">
        <v>46186</v>
      </c>
      <c r="D295" t="inlineStr">
        <is>
          <t>STOCKHOLMS LÄN</t>
        </is>
      </c>
      <c r="E295" t="inlineStr">
        <is>
          <t>NORRTÄLJE</t>
        </is>
      </c>
      <c r="G295" t="n">
        <v>7.9</v>
      </c>
      <c r="H295" t="n">
        <v>0</v>
      </c>
      <c r="I295" t="n">
        <v>0</v>
      </c>
      <c r="J295" t="n">
        <v>0</v>
      </c>
      <c r="K295" t="n">
        <v>0</v>
      </c>
      <c r="L295" t="n">
        <v>0</v>
      </c>
      <c r="M295" t="n">
        <v>0</v>
      </c>
      <c r="N295" t="n">
        <v>0</v>
      </c>
      <c r="O295" t="n">
        <v>0</v>
      </c>
      <c r="P295" t="n">
        <v>0</v>
      </c>
      <c r="Q295" t="n">
        <v>0</v>
      </c>
      <c r="R295" s="2" t="inlineStr"/>
    </row>
    <row r="296" ht="15" customHeight="1">
      <c r="A296" t="inlineStr">
        <is>
          <t>A 50327-2025</t>
        </is>
      </c>
      <c r="B296" s="1" t="n">
        <v>45944.46387731482</v>
      </c>
      <c r="C296" s="1" t="n">
        <v>46186</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22456-2023</t>
        </is>
      </c>
      <c r="B297" s="1" t="n">
        <v>45070</v>
      </c>
      <c r="C297" s="1" t="n">
        <v>46186</v>
      </c>
      <c r="D297" t="inlineStr">
        <is>
          <t>STOCKHOLMS LÄN</t>
        </is>
      </c>
      <c r="E297" t="inlineStr">
        <is>
          <t>NORRTÄLJE</t>
        </is>
      </c>
      <c r="G297" t="n">
        <v>3.1</v>
      </c>
      <c r="H297" t="n">
        <v>0</v>
      </c>
      <c r="I297" t="n">
        <v>0</v>
      </c>
      <c r="J297" t="n">
        <v>0</v>
      </c>
      <c r="K297" t="n">
        <v>0</v>
      </c>
      <c r="L297" t="n">
        <v>0</v>
      </c>
      <c r="M297" t="n">
        <v>0</v>
      </c>
      <c r="N297" t="n">
        <v>0</v>
      </c>
      <c r="O297" t="n">
        <v>0</v>
      </c>
      <c r="P297" t="n">
        <v>0</v>
      </c>
      <c r="Q297" t="n">
        <v>0</v>
      </c>
      <c r="R297" s="2" t="inlineStr"/>
    </row>
    <row r="298" ht="15" customHeight="1">
      <c r="A298" t="inlineStr">
        <is>
          <t>A 59326-2023</t>
        </is>
      </c>
      <c r="B298" s="1" t="n">
        <v>45253.63089120371</v>
      </c>
      <c r="C298" s="1" t="n">
        <v>46186</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17785-2024</t>
        </is>
      </c>
      <c r="B299" s="1" t="n">
        <v>45418.6968287037</v>
      </c>
      <c r="C299" s="1" t="n">
        <v>46186</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44836-2023</t>
        </is>
      </c>
      <c r="B300" s="1" t="n">
        <v>45190.55609953704</v>
      </c>
      <c r="C300" s="1" t="n">
        <v>46186</v>
      </c>
      <c r="D300" t="inlineStr">
        <is>
          <t>STOCKHOLMS LÄN</t>
        </is>
      </c>
      <c r="E300" t="inlineStr">
        <is>
          <t>NORRTÄLJE</t>
        </is>
      </c>
      <c r="G300" t="n">
        <v>2.3</v>
      </c>
      <c r="H300" t="n">
        <v>0</v>
      </c>
      <c r="I300" t="n">
        <v>0</v>
      </c>
      <c r="J300" t="n">
        <v>0</v>
      </c>
      <c r="K300" t="n">
        <v>0</v>
      </c>
      <c r="L300" t="n">
        <v>0</v>
      </c>
      <c r="M300" t="n">
        <v>0</v>
      </c>
      <c r="N300" t="n">
        <v>0</v>
      </c>
      <c r="O300" t="n">
        <v>0</v>
      </c>
      <c r="P300" t="n">
        <v>0</v>
      </c>
      <c r="Q300" t="n">
        <v>0</v>
      </c>
      <c r="R300" s="2" t="inlineStr"/>
    </row>
    <row r="301" ht="15" customHeight="1">
      <c r="A301" t="inlineStr">
        <is>
          <t>A 50563-2025</t>
        </is>
      </c>
      <c r="B301" s="1" t="n">
        <v>45944</v>
      </c>
      <c r="C301" s="1" t="n">
        <v>46186</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51233-2025</t>
        </is>
      </c>
      <c r="B302" s="1" t="n">
        <v>45947.68232638889</v>
      </c>
      <c r="C302" s="1" t="n">
        <v>46186</v>
      </c>
      <c r="D302" t="inlineStr">
        <is>
          <t>STOCKHOLMS LÄN</t>
        </is>
      </c>
      <c r="E302" t="inlineStr">
        <is>
          <t>NORRTÄLJE</t>
        </is>
      </c>
      <c r="F302" t="inlineStr">
        <is>
          <t>Naturvårdsverket</t>
        </is>
      </c>
      <c r="G302" t="n">
        <v>8.1</v>
      </c>
      <c r="H302" t="n">
        <v>0</v>
      </c>
      <c r="I302" t="n">
        <v>0</v>
      </c>
      <c r="J302" t="n">
        <v>0</v>
      </c>
      <c r="K302" t="n">
        <v>0</v>
      </c>
      <c r="L302" t="n">
        <v>0</v>
      </c>
      <c r="M302" t="n">
        <v>0</v>
      </c>
      <c r="N302" t="n">
        <v>0</v>
      </c>
      <c r="O302" t="n">
        <v>0</v>
      </c>
      <c r="P302" t="n">
        <v>0</v>
      </c>
      <c r="Q302" t="n">
        <v>0</v>
      </c>
      <c r="R302" s="2" t="inlineStr"/>
    </row>
    <row r="303" ht="15" customHeight="1">
      <c r="A303" t="inlineStr">
        <is>
          <t>A 51236-2025</t>
        </is>
      </c>
      <c r="B303" s="1" t="n">
        <v>45947.69078703703</v>
      </c>
      <c r="C303" s="1" t="n">
        <v>46186</v>
      </c>
      <c r="D303" t="inlineStr">
        <is>
          <t>STOCKHOLMS LÄN</t>
        </is>
      </c>
      <c r="E303" t="inlineStr">
        <is>
          <t>NORRTÄLJE</t>
        </is>
      </c>
      <c r="F303" t="inlineStr">
        <is>
          <t>Naturvårdsverket</t>
        </is>
      </c>
      <c r="G303" t="n">
        <v>6.3</v>
      </c>
      <c r="H303" t="n">
        <v>0</v>
      </c>
      <c r="I303" t="n">
        <v>0</v>
      </c>
      <c r="J303" t="n">
        <v>0</v>
      </c>
      <c r="K303" t="n">
        <v>0</v>
      </c>
      <c r="L303" t="n">
        <v>0</v>
      </c>
      <c r="M303" t="n">
        <v>0</v>
      </c>
      <c r="N303" t="n">
        <v>0</v>
      </c>
      <c r="O303" t="n">
        <v>0</v>
      </c>
      <c r="P303" t="n">
        <v>0</v>
      </c>
      <c r="Q303" t="n">
        <v>0</v>
      </c>
      <c r="R303" s="2" t="inlineStr"/>
    </row>
    <row r="304" ht="15" customHeight="1">
      <c r="A304" t="inlineStr">
        <is>
          <t>A 51241-2025</t>
        </is>
      </c>
      <c r="B304" s="1" t="n">
        <v>45947.71726851852</v>
      </c>
      <c r="C304" s="1" t="n">
        <v>46186</v>
      </c>
      <c r="D304" t="inlineStr">
        <is>
          <t>STOCKHOLMS LÄN</t>
        </is>
      </c>
      <c r="E304" t="inlineStr">
        <is>
          <t>NORRTÄLJE</t>
        </is>
      </c>
      <c r="F304" t="inlineStr">
        <is>
          <t>Naturvårdsverket</t>
        </is>
      </c>
      <c r="G304" t="n">
        <v>6.4</v>
      </c>
      <c r="H304" t="n">
        <v>0</v>
      </c>
      <c r="I304" t="n">
        <v>0</v>
      </c>
      <c r="J304" t="n">
        <v>0</v>
      </c>
      <c r="K304" t="n">
        <v>0</v>
      </c>
      <c r="L304" t="n">
        <v>0</v>
      </c>
      <c r="M304" t="n">
        <v>0</v>
      </c>
      <c r="N304" t="n">
        <v>0</v>
      </c>
      <c r="O304" t="n">
        <v>0</v>
      </c>
      <c r="P304" t="n">
        <v>0</v>
      </c>
      <c r="Q304" t="n">
        <v>0</v>
      </c>
      <c r="R304" s="2" t="inlineStr"/>
    </row>
    <row r="305" ht="15" customHeight="1">
      <c r="A305" t="inlineStr">
        <is>
          <t>A 51240-2025</t>
        </is>
      </c>
      <c r="B305" s="1" t="n">
        <v>45947.70420138889</v>
      </c>
      <c r="C305" s="1" t="n">
        <v>46186</v>
      </c>
      <c r="D305" t="inlineStr">
        <is>
          <t>STOCKHOLMS LÄN</t>
        </is>
      </c>
      <c r="E305" t="inlineStr">
        <is>
          <t>NORRTÄLJE</t>
        </is>
      </c>
      <c r="F305" t="inlineStr">
        <is>
          <t>Naturvårdsverket</t>
        </is>
      </c>
      <c r="G305" t="n">
        <v>3</v>
      </c>
      <c r="H305" t="n">
        <v>0</v>
      </c>
      <c r="I305" t="n">
        <v>0</v>
      </c>
      <c r="J305" t="n">
        <v>0</v>
      </c>
      <c r="K305" t="n">
        <v>0</v>
      </c>
      <c r="L305" t="n">
        <v>0</v>
      </c>
      <c r="M305" t="n">
        <v>0</v>
      </c>
      <c r="N305" t="n">
        <v>0</v>
      </c>
      <c r="O305" t="n">
        <v>0</v>
      </c>
      <c r="P305" t="n">
        <v>0</v>
      </c>
      <c r="Q305" t="n">
        <v>0</v>
      </c>
      <c r="R305" s="2" t="inlineStr"/>
    </row>
    <row r="306" ht="15" customHeight="1">
      <c r="A306" t="inlineStr">
        <is>
          <t>A 51121-2025</t>
        </is>
      </c>
      <c r="B306" s="1" t="n">
        <v>45947.53293981482</v>
      </c>
      <c r="C306" s="1" t="n">
        <v>46186</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21771-2025</t>
        </is>
      </c>
      <c r="B307" s="1" t="n">
        <v>45783</v>
      </c>
      <c r="C307" s="1" t="n">
        <v>46186</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19982-2022</t>
        </is>
      </c>
      <c r="B308" s="1" t="n">
        <v>44697</v>
      </c>
      <c r="C308" s="1" t="n">
        <v>46186</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51532-2025</t>
        </is>
      </c>
      <c r="B309" s="1" t="n">
        <v>45950.68297453703</v>
      </c>
      <c r="C309" s="1" t="n">
        <v>46186</v>
      </c>
      <c r="D309" t="inlineStr">
        <is>
          <t>STOCKHOLMS LÄN</t>
        </is>
      </c>
      <c r="E309" t="inlineStr">
        <is>
          <t>NORRTÄLJE</t>
        </is>
      </c>
      <c r="F309" t="inlineStr">
        <is>
          <t>Naturvårdsverket</t>
        </is>
      </c>
      <c r="G309" t="n">
        <v>17.3</v>
      </c>
      <c r="H309" t="n">
        <v>0</v>
      </c>
      <c r="I309" t="n">
        <v>0</v>
      </c>
      <c r="J309" t="n">
        <v>0</v>
      </c>
      <c r="K309" t="n">
        <v>0</v>
      </c>
      <c r="L309" t="n">
        <v>0</v>
      </c>
      <c r="M309" t="n">
        <v>0</v>
      </c>
      <c r="N309" t="n">
        <v>0</v>
      </c>
      <c r="O309" t="n">
        <v>0</v>
      </c>
      <c r="P309" t="n">
        <v>0</v>
      </c>
      <c r="Q309" t="n">
        <v>0</v>
      </c>
      <c r="R309" s="2" t="inlineStr"/>
    </row>
    <row r="310" ht="15" customHeight="1">
      <c r="A310" t="inlineStr">
        <is>
          <t>A 51789-2025</t>
        </is>
      </c>
      <c r="B310" s="1" t="n">
        <v>45951.68046296296</v>
      </c>
      <c r="C310" s="1" t="n">
        <v>46186</v>
      </c>
      <c r="D310" t="inlineStr">
        <is>
          <t>STOCKHOLMS LÄN</t>
        </is>
      </c>
      <c r="E310" t="inlineStr">
        <is>
          <t>NORRTÄLJE</t>
        </is>
      </c>
      <c r="F310" t="inlineStr">
        <is>
          <t>Naturvårdsverket</t>
        </is>
      </c>
      <c r="G310" t="n">
        <v>8.9</v>
      </c>
      <c r="H310" t="n">
        <v>0</v>
      </c>
      <c r="I310" t="n">
        <v>0</v>
      </c>
      <c r="J310" t="n">
        <v>0</v>
      </c>
      <c r="K310" t="n">
        <v>0</v>
      </c>
      <c r="L310" t="n">
        <v>0</v>
      </c>
      <c r="M310" t="n">
        <v>0</v>
      </c>
      <c r="N310" t="n">
        <v>0</v>
      </c>
      <c r="O310" t="n">
        <v>0</v>
      </c>
      <c r="P310" t="n">
        <v>0</v>
      </c>
      <c r="Q310" t="n">
        <v>0</v>
      </c>
      <c r="R310" s="2" t="inlineStr"/>
    </row>
    <row r="311" ht="15" customHeight="1">
      <c r="A311" t="inlineStr">
        <is>
          <t>A 42075-2023</t>
        </is>
      </c>
      <c r="B311" s="1" t="n">
        <v>45177</v>
      </c>
      <c r="C311" s="1" t="n">
        <v>46186</v>
      </c>
      <c r="D311" t="inlineStr">
        <is>
          <t>STOCKHOLMS LÄN</t>
        </is>
      </c>
      <c r="E311" t="inlineStr">
        <is>
          <t>NORRTÄLJE</t>
        </is>
      </c>
      <c r="G311" t="n">
        <v>2.5</v>
      </c>
      <c r="H311" t="n">
        <v>0</v>
      </c>
      <c r="I311" t="n">
        <v>0</v>
      </c>
      <c r="J311" t="n">
        <v>0</v>
      </c>
      <c r="K311" t="n">
        <v>0</v>
      </c>
      <c r="L311" t="n">
        <v>0</v>
      </c>
      <c r="M311" t="n">
        <v>0</v>
      </c>
      <c r="N311" t="n">
        <v>0</v>
      </c>
      <c r="O311" t="n">
        <v>0</v>
      </c>
      <c r="P311" t="n">
        <v>0</v>
      </c>
      <c r="Q311" t="n">
        <v>0</v>
      </c>
      <c r="R311" s="2" t="inlineStr"/>
    </row>
    <row r="312" ht="15" customHeight="1">
      <c r="A312" t="inlineStr">
        <is>
          <t>A 50108-2021</t>
        </is>
      </c>
      <c r="B312" s="1" t="n">
        <v>44456</v>
      </c>
      <c r="C312" s="1" t="n">
        <v>46186</v>
      </c>
      <c r="D312" t="inlineStr">
        <is>
          <t>STOCKHOLMS LÄN</t>
        </is>
      </c>
      <c r="E312" t="inlineStr">
        <is>
          <t>NORRTÄLJE</t>
        </is>
      </c>
      <c r="G312" t="n">
        <v>0.7</v>
      </c>
      <c r="H312" t="n">
        <v>0</v>
      </c>
      <c r="I312" t="n">
        <v>0</v>
      </c>
      <c r="J312" t="n">
        <v>0</v>
      </c>
      <c r="K312" t="n">
        <v>0</v>
      </c>
      <c r="L312" t="n">
        <v>0</v>
      </c>
      <c r="M312" t="n">
        <v>0</v>
      </c>
      <c r="N312" t="n">
        <v>0</v>
      </c>
      <c r="O312" t="n">
        <v>0</v>
      </c>
      <c r="P312" t="n">
        <v>0</v>
      </c>
      <c r="Q312" t="n">
        <v>0</v>
      </c>
      <c r="R312" s="2" t="inlineStr"/>
    </row>
    <row r="313" ht="15" customHeight="1">
      <c r="A313" t="inlineStr">
        <is>
          <t>A 51960-2025</t>
        </is>
      </c>
      <c r="B313" s="1" t="n">
        <v>45952.54755787037</v>
      </c>
      <c r="C313" s="1" t="n">
        <v>46186</v>
      </c>
      <c r="D313" t="inlineStr">
        <is>
          <t>STOCKHOLMS LÄN</t>
        </is>
      </c>
      <c r="E313" t="inlineStr">
        <is>
          <t>NORRTÄLJE</t>
        </is>
      </c>
      <c r="G313" t="n">
        <v>2</v>
      </c>
      <c r="H313" t="n">
        <v>0</v>
      </c>
      <c r="I313" t="n">
        <v>0</v>
      </c>
      <c r="J313" t="n">
        <v>0</v>
      </c>
      <c r="K313" t="n">
        <v>0</v>
      </c>
      <c r="L313" t="n">
        <v>0</v>
      </c>
      <c r="M313" t="n">
        <v>0</v>
      </c>
      <c r="N313" t="n">
        <v>0</v>
      </c>
      <c r="O313" t="n">
        <v>0</v>
      </c>
      <c r="P313" t="n">
        <v>0</v>
      </c>
      <c r="Q313" t="n">
        <v>0</v>
      </c>
      <c r="R313" s="2" t="inlineStr"/>
    </row>
    <row r="314" ht="15" customHeight="1">
      <c r="A314" t="inlineStr">
        <is>
          <t>A 27677-2025</t>
        </is>
      </c>
      <c r="B314" s="1" t="n">
        <v>45813.63650462963</v>
      </c>
      <c r="C314" s="1" t="n">
        <v>46186</v>
      </c>
      <c r="D314" t="inlineStr">
        <is>
          <t>STOCKHOLMS LÄN</t>
        </is>
      </c>
      <c r="E314" t="inlineStr">
        <is>
          <t>NORRTÄLJE</t>
        </is>
      </c>
      <c r="G314" t="n">
        <v>2</v>
      </c>
      <c r="H314" t="n">
        <v>0</v>
      </c>
      <c r="I314" t="n">
        <v>0</v>
      </c>
      <c r="J314" t="n">
        <v>0</v>
      </c>
      <c r="K314" t="n">
        <v>0</v>
      </c>
      <c r="L314" t="n">
        <v>0</v>
      </c>
      <c r="M314" t="n">
        <v>0</v>
      </c>
      <c r="N314" t="n">
        <v>0</v>
      </c>
      <c r="O314" t="n">
        <v>0</v>
      </c>
      <c r="P314" t="n">
        <v>0</v>
      </c>
      <c r="Q314" t="n">
        <v>0</v>
      </c>
      <c r="R314" s="2" t="inlineStr"/>
    </row>
    <row r="315" ht="15" customHeight="1">
      <c r="A315" t="inlineStr">
        <is>
          <t>A 39152-2025</t>
        </is>
      </c>
      <c r="B315" s="1" t="n">
        <v>45888</v>
      </c>
      <c r="C315" s="1" t="n">
        <v>46186</v>
      </c>
      <c r="D315" t="inlineStr">
        <is>
          <t>STOCKHOLMS LÄN</t>
        </is>
      </c>
      <c r="E315" t="inlineStr">
        <is>
          <t>NORRTÄLJE</t>
        </is>
      </c>
      <c r="G315" t="n">
        <v>4.6</v>
      </c>
      <c r="H315" t="n">
        <v>0</v>
      </c>
      <c r="I315" t="n">
        <v>0</v>
      </c>
      <c r="J315" t="n">
        <v>0</v>
      </c>
      <c r="K315" t="n">
        <v>0</v>
      </c>
      <c r="L315" t="n">
        <v>0</v>
      </c>
      <c r="M315" t="n">
        <v>0</v>
      </c>
      <c r="N315" t="n">
        <v>0</v>
      </c>
      <c r="O315" t="n">
        <v>0</v>
      </c>
      <c r="P315" t="n">
        <v>0</v>
      </c>
      <c r="Q315" t="n">
        <v>0</v>
      </c>
      <c r="R315" s="2" t="inlineStr"/>
    </row>
    <row r="316" ht="15" customHeight="1">
      <c r="A316" t="inlineStr">
        <is>
          <t>A 50355-2024</t>
        </is>
      </c>
      <c r="B316" s="1" t="n">
        <v>45600.86128472222</v>
      </c>
      <c r="C316" s="1" t="n">
        <v>46186</v>
      </c>
      <c r="D316" t="inlineStr">
        <is>
          <t>STOCKHOLMS LÄN</t>
        </is>
      </c>
      <c r="E316" t="inlineStr">
        <is>
          <t>NORRTÄLJE</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44917-2022</t>
        </is>
      </c>
      <c r="B317" s="1" t="n">
        <v>44841.52804398148</v>
      </c>
      <c r="C317" s="1" t="n">
        <v>46186</v>
      </c>
      <c r="D317" t="inlineStr">
        <is>
          <t>STOCKHOLMS LÄN</t>
        </is>
      </c>
      <c r="E317" t="inlineStr">
        <is>
          <t>NORRTÄLJE</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52061-2025</t>
        </is>
      </c>
      <c r="B318" s="1" t="n">
        <v>45952.63679398148</v>
      </c>
      <c r="C318" s="1" t="n">
        <v>46186</v>
      </c>
      <c r="D318" t="inlineStr">
        <is>
          <t>STOCKHOLMS LÄN</t>
        </is>
      </c>
      <c r="E318" t="inlineStr">
        <is>
          <t>NORRTÄLJE</t>
        </is>
      </c>
      <c r="G318" t="n">
        <v>9.5</v>
      </c>
      <c r="H318" t="n">
        <v>0</v>
      </c>
      <c r="I318" t="n">
        <v>0</v>
      </c>
      <c r="J318" t="n">
        <v>0</v>
      </c>
      <c r="K318" t="n">
        <v>0</v>
      </c>
      <c r="L318" t="n">
        <v>0</v>
      </c>
      <c r="M318" t="n">
        <v>0</v>
      </c>
      <c r="N318" t="n">
        <v>0</v>
      </c>
      <c r="O318" t="n">
        <v>0</v>
      </c>
      <c r="P318" t="n">
        <v>0</v>
      </c>
      <c r="Q318" t="n">
        <v>0</v>
      </c>
      <c r="R318" s="2" t="inlineStr"/>
    </row>
    <row r="319" ht="15" customHeight="1">
      <c r="A319" t="inlineStr">
        <is>
          <t>A 51945-2025</t>
        </is>
      </c>
      <c r="B319" s="1" t="n">
        <v>45952.52679398148</v>
      </c>
      <c r="C319" s="1" t="n">
        <v>46186</v>
      </c>
      <c r="D319" t="inlineStr">
        <is>
          <t>STOCKHOLMS LÄN</t>
        </is>
      </c>
      <c r="E319" t="inlineStr">
        <is>
          <t>NORRTÄLJE</t>
        </is>
      </c>
      <c r="G319" t="n">
        <v>7</v>
      </c>
      <c r="H319" t="n">
        <v>0</v>
      </c>
      <c r="I319" t="n">
        <v>0</v>
      </c>
      <c r="J319" t="n">
        <v>0</v>
      </c>
      <c r="K319" t="n">
        <v>0</v>
      </c>
      <c r="L319" t="n">
        <v>0</v>
      </c>
      <c r="M319" t="n">
        <v>0</v>
      </c>
      <c r="N319" t="n">
        <v>0</v>
      </c>
      <c r="O319" t="n">
        <v>0</v>
      </c>
      <c r="P319" t="n">
        <v>0</v>
      </c>
      <c r="Q319" t="n">
        <v>0</v>
      </c>
      <c r="R319" s="2" t="inlineStr"/>
    </row>
    <row r="320" ht="15" customHeight="1">
      <c r="A320" t="inlineStr">
        <is>
          <t>A 55058-2021</t>
        </is>
      </c>
      <c r="B320" s="1" t="n">
        <v>44474.62141203704</v>
      </c>
      <c r="C320" s="1" t="n">
        <v>46186</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52773-2025</t>
        </is>
      </c>
      <c r="B321" s="1" t="n">
        <v>45957.41457175926</v>
      </c>
      <c r="C321" s="1" t="n">
        <v>46186</v>
      </c>
      <c r="D321" t="inlineStr">
        <is>
          <t>STOCKHOLMS LÄN</t>
        </is>
      </c>
      <c r="E321" t="inlineStr">
        <is>
          <t>NORRTÄLJE</t>
        </is>
      </c>
      <c r="F321" t="inlineStr">
        <is>
          <t>Sveaskog</t>
        </is>
      </c>
      <c r="G321" t="n">
        <v>10.5</v>
      </c>
      <c r="H321" t="n">
        <v>0</v>
      </c>
      <c r="I321" t="n">
        <v>0</v>
      </c>
      <c r="J321" t="n">
        <v>0</v>
      </c>
      <c r="K321" t="n">
        <v>0</v>
      </c>
      <c r="L321" t="n">
        <v>0</v>
      </c>
      <c r="M321" t="n">
        <v>0</v>
      </c>
      <c r="N321" t="n">
        <v>0</v>
      </c>
      <c r="O321" t="n">
        <v>0</v>
      </c>
      <c r="P321" t="n">
        <v>0</v>
      </c>
      <c r="Q321" t="n">
        <v>0</v>
      </c>
      <c r="R321" s="2" t="inlineStr"/>
    </row>
    <row r="322" ht="15" customHeight="1">
      <c r="A322" t="inlineStr">
        <is>
          <t>A 52777-2025</t>
        </is>
      </c>
      <c r="B322" s="1" t="n">
        <v>45957.41832175926</v>
      </c>
      <c r="C322" s="1" t="n">
        <v>46186</v>
      </c>
      <c r="D322" t="inlineStr">
        <is>
          <t>STOCKHOLMS LÄN</t>
        </is>
      </c>
      <c r="E322" t="inlineStr">
        <is>
          <t>NORRTÄLJE</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39692-2025</t>
        </is>
      </c>
      <c r="B323" s="1" t="n">
        <v>45890.68083333333</v>
      </c>
      <c r="C323" s="1" t="n">
        <v>46186</v>
      </c>
      <c r="D323" t="inlineStr">
        <is>
          <t>STOCKHOLMS LÄN</t>
        </is>
      </c>
      <c r="E323" t="inlineStr">
        <is>
          <t>NORRTÄLJE</t>
        </is>
      </c>
      <c r="G323" t="n">
        <v>10.5</v>
      </c>
      <c r="H323" t="n">
        <v>0</v>
      </c>
      <c r="I323" t="n">
        <v>0</v>
      </c>
      <c r="J323" t="n">
        <v>0</v>
      </c>
      <c r="K323" t="n">
        <v>0</v>
      </c>
      <c r="L323" t="n">
        <v>0</v>
      </c>
      <c r="M323" t="n">
        <v>0</v>
      </c>
      <c r="N323" t="n">
        <v>0</v>
      </c>
      <c r="O323" t="n">
        <v>0</v>
      </c>
      <c r="P323" t="n">
        <v>0</v>
      </c>
      <c r="Q323" t="n">
        <v>0</v>
      </c>
      <c r="R323" s="2" t="inlineStr"/>
    </row>
    <row r="324" ht="15" customHeight="1">
      <c r="A324" t="inlineStr">
        <is>
          <t>A 52526-2025</t>
        </is>
      </c>
      <c r="B324" s="1" t="n">
        <v>45954.53061342592</v>
      </c>
      <c r="C324" s="1" t="n">
        <v>46186</v>
      </c>
      <c r="D324" t="inlineStr">
        <is>
          <t>STOCKHOLMS LÄN</t>
        </is>
      </c>
      <c r="E324" t="inlineStr">
        <is>
          <t>NORRTÄLJE</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53000-2025</t>
        </is>
      </c>
      <c r="B325" s="1" t="n">
        <v>45957.74357638889</v>
      </c>
      <c r="C325" s="1" t="n">
        <v>46186</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52703-2025</t>
        </is>
      </c>
      <c r="B326" s="1" t="n">
        <v>45956.88643518519</v>
      </c>
      <c r="C326" s="1" t="n">
        <v>46186</v>
      </c>
      <c r="D326" t="inlineStr">
        <is>
          <t>STOCKHOLMS LÄN</t>
        </is>
      </c>
      <c r="E326" t="inlineStr">
        <is>
          <t>NORRTÄLJE</t>
        </is>
      </c>
      <c r="G326" t="n">
        <v>4.7</v>
      </c>
      <c r="H326" t="n">
        <v>0</v>
      </c>
      <c r="I326" t="n">
        <v>0</v>
      </c>
      <c r="J326" t="n">
        <v>0</v>
      </c>
      <c r="K326" t="n">
        <v>0</v>
      </c>
      <c r="L326" t="n">
        <v>0</v>
      </c>
      <c r="M326" t="n">
        <v>0</v>
      </c>
      <c r="N326" t="n">
        <v>0</v>
      </c>
      <c r="O326" t="n">
        <v>0</v>
      </c>
      <c r="P326" t="n">
        <v>0</v>
      </c>
      <c r="Q326" t="n">
        <v>0</v>
      </c>
      <c r="R326" s="2" t="inlineStr"/>
    </row>
    <row r="327" ht="15" customHeight="1">
      <c r="A327" t="inlineStr">
        <is>
          <t>A 52729-2025</t>
        </is>
      </c>
      <c r="B327" s="1" t="n">
        <v>45957.3636574074</v>
      </c>
      <c r="C327" s="1" t="n">
        <v>46186</v>
      </c>
      <c r="D327" t="inlineStr">
        <is>
          <t>STOCKHOLMS LÄN</t>
        </is>
      </c>
      <c r="E327" t="inlineStr">
        <is>
          <t>NORRTÄLJE</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52734-2025</t>
        </is>
      </c>
      <c r="B328" s="1" t="n">
        <v>45957.3710300926</v>
      </c>
      <c r="C328" s="1" t="n">
        <v>46186</v>
      </c>
      <c r="D328" t="inlineStr">
        <is>
          <t>STOCKHOLMS LÄN</t>
        </is>
      </c>
      <c r="E328" t="inlineStr">
        <is>
          <t>NORRTÄLJE</t>
        </is>
      </c>
      <c r="G328" t="n">
        <v>0.5</v>
      </c>
      <c r="H328" t="n">
        <v>0</v>
      </c>
      <c r="I328" t="n">
        <v>0</v>
      </c>
      <c r="J328" t="n">
        <v>0</v>
      </c>
      <c r="K328" t="n">
        <v>0</v>
      </c>
      <c r="L328" t="n">
        <v>0</v>
      </c>
      <c r="M328" t="n">
        <v>0</v>
      </c>
      <c r="N328" t="n">
        <v>0</v>
      </c>
      <c r="O328" t="n">
        <v>0</v>
      </c>
      <c r="P328" t="n">
        <v>0</v>
      </c>
      <c r="Q328" t="n">
        <v>0</v>
      </c>
      <c r="R328" s="2" t="inlineStr"/>
    </row>
    <row r="329" ht="15" customHeight="1">
      <c r="A329" t="inlineStr">
        <is>
          <t>A 52776-2025</t>
        </is>
      </c>
      <c r="B329" s="1" t="n">
        <v>45957.41724537037</v>
      </c>
      <c r="C329" s="1" t="n">
        <v>46186</v>
      </c>
      <c r="D329" t="inlineStr">
        <is>
          <t>STOCKHOLMS LÄN</t>
        </is>
      </c>
      <c r="E329" t="inlineStr">
        <is>
          <t>NORRTÄLJE</t>
        </is>
      </c>
      <c r="F329" t="inlineStr">
        <is>
          <t>Sveaskog</t>
        </is>
      </c>
      <c r="G329" t="n">
        <v>2.5</v>
      </c>
      <c r="H329" t="n">
        <v>0</v>
      </c>
      <c r="I329" t="n">
        <v>0</v>
      </c>
      <c r="J329" t="n">
        <v>0</v>
      </c>
      <c r="K329" t="n">
        <v>0</v>
      </c>
      <c r="L329" t="n">
        <v>0</v>
      </c>
      <c r="M329" t="n">
        <v>0</v>
      </c>
      <c r="N329" t="n">
        <v>0</v>
      </c>
      <c r="O329" t="n">
        <v>0</v>
      </c>
      <c r="P329" t="n">
        <v>0</v>
      </c>
      <c r="Q329" t="n">
        <v>0</v>
      </c>
      <c r="R329" s="2" t="inlineStr"/>
    </row>
    <row r="330" ht="15" customHeight="1">
      <c r="A330" t="inlineStr">
        <is>
          <t>A 52529-2025</t>
        </is>
      </c>
      <c r="B330" s="1" t="n">
        <v>45954.53229166667</v>
      </c>
      <c r="C330" s="1" t="n">
        <v>46186</v>
      </c>
      <c r="D330" t="inlineStr">
        <is>
          <t>STOCKHOLMS LÄN</t>
        </is>
      </c>
      <c r="E330" t="inlineStr">
        <is>
          <t>NORRTÄLJE</t>
        </is>
      </c>
      <c r="F330" t="inlineStr">
        <is>
          <t>Sveaskog</t>
        </is>
      </c>
      <c r="G330" t="n">
        <v>7.8</v>
      </c>
      <c r="H330" t="n">
        <v>0</v>
      </c>
      <c r="I330" t="n">
        <v>0</v>
      </c>
      <c r="J330" t="n">
        <v>0</v>
      </c>
      <c r="K330" t="n">
        <v>0</v>
      </c>
      <c r="L330" t="n">
        <v>0</v>
      </c>
      <c r="M330" t="n">
        <v>0</v>
      </c>
      <c r="N330" t="n">
        <v>0</v>
      </c>
      <c r="O330" t="n">
        <v>0</v>
      </c>
      <c r="P330" t="n">
        <v>0</v>
      </c>
      <c r="Q330" t="n">
        <v>0</v>
      </c>
      <c r="R330" s="2" t="inlineStr"/>
    </row>
    <row r="331" ht="15" customHeight="1">
      <c r="A331" t="inlineStr">
        <is>
          <t>A 52704-2025</t>
        </is>
      </c>
      <c r="B331" s="1" t="n">
        <v>45956.89097222222</v>
      </c>
      <c r="C331" s="1" t="n">
        <v>46186</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52553-2025</t>
        </is>
      </c>
      <c r="B332" s="1" t="n">
        <v>45954.5624537037</v>
      </c>
      <c r="C332" s="1" t="n">
        <v>46186</v>
      </c>
      <c r="D332" t="inlineStr">
        <is>
          <t>STOCKHOLMS LÄN</t>
        </is>
      </c>
      <c r="E332" t="inlineStr">
        <is>
          <t>NORRTÄLJE</t>
        </is>
      </c>
      <c r="G332" t="n">
        <v>4.4</v>
      </c>
      <c r="H332" t="n">
        <v>0</v>
      </c>
      <c r="I332" t="n">
        <v>0</v>
      </c>
      <c r="J332" t="n">
        <v>0</v>
      </c>
      <c r="K332" t="n">
        <v>0</v>
      </c>
      <c r="L332" t="n">
        <v>0</v>
      </c>
      <c r="M332" t="n">
        <v>0</v>
      </c>
      <c r="N332" t="n">
        <v>0</v>
      </c>
      <c r="O332" t="n">
        <v>0</v>
      </c>
      <c r="P332" t="n">
        <v>0</v>
      </c>
      <c r="Q332" t="n">
        <v>0</v>
      </c>
      <c r="R332" s="2" t="inlineStr"/>
    </row>
    <row r="333" ht="15" customHeight="1">
      <c r="A333" t="inlineStr">
        <is>
          <t>A 35639-2025</t>
        </is>
      </c>
      <c r="B333" s="1" t="n">
        <v>45859</v>
      </c>
      <c r="C333" s="1" t="n">
        <v>46186</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35636-2025</t>
        </is>
      </c>
      <c r="B334" s="1" t="n">
        <v>45859</v>
      </c>
      <c r="C334" s="1" t="n">
        <v>46186</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55012-2024</t>
        </is>
      </c>
      <c r="B335" s="1" t="n">
        <v>45621.34813657407</v>
      </c>
      <c r="C335" s="1" t="n">
        <v>46186</v>
      </c>
      <c r="D335" t="inlineStr">
        <is>
          <t>STOCKHOLMS LÄN</t>
        </is>
      </c>
      <c r="E335" t="inlineStr">
        <is>
          <t>NORRTÄLJE</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40033-2025</t>
        </is>
      </c>
      <c r="B336" s="1" t="n">
        <v>45893</v>
      </c>
      <c r="C336" s="1" t="n">
        <v>46186</v>
      </c>
      <c r="D336" t="inlineStr">
        <is>
          <t>STOCKHOLMS LÄN</t>
        </is>
      </c>
      <c r="E336" t="inlineStr">
        <is>
          <t>NORRTÄLJE</t>
        </is>
      </c>
      <c r="G336" t="n">
        <v>1.7</v>
      </c>
      <c r="H336" t="n">
        <v>0</v>
      </c>
      <c r="I336" t="n">
        <v>0</v>
      </c>
      <c r="J336" t="n">
        <v>0</v>
      </c>
      <c r="K336" t="n">
        <v>0</v>
      </c>
      <c r="L336" t="n">
        <v>0</v>
      </c>
      <c r="M336" t="n">
        <v>0</v>
      </c>
      <c r="N336" t="n">
        <v>0</v>
      </c>
      <c r="O336" t="n">
        <v>0</v>
      </c>
      <c r="P336" t="n">
        <v>0</v>
      </c>
      <c r="Q336" t="n">
        <v>0</v>
      </c>
      <c r="R336" s="2" t="inlineStr"/>
    </row>
    <row r="337" ht="15" customHeight="1">
      <c r="A337" t="inlineStr">
        <is>
          <t>A 40032-2025</t>
        </is>
      </c>
      <c r="B337" s="1" t="n">
        <v>45893</v>
      </c>
      <c r="C337" s="1" t="n">
        <v>46186</v>
      </c>
      <c r="D337" t="inlineStr">
        <is>
          <t>STOCKHOLMS LÄN</t>
        </is>
      </c>
      <c r="E337" t="inlineStr">
        <is>
          <t>NORRTÄLJE</t>
        </is>
      </c>
      <c r="G337" t="n">
        <v>2.6</v>
      </c>
      <c r="H337" t="n">
        <v>0</v>
      </c>
      <c r="I337" t="n">
        <v>0</v>
      </c>
      <c r="J337" t="n">
        <v>0</v>
      </c>
      <c r="K337" t="n">
        <v>0</v>
      </c>
      <c r="L337" t="n">
        <v>0</v>
      </c>
      <c r="M337" t="n">
        <v>0</v>
      </c>
      <c r="N337" t="n">
        <v>0</v>
      </c>
      <c r="O337" t="n">
        <v>0</v>
      </c>
      <c r="P337" t="n">
        <v>0</v>
      </c>
      <c r="Q337" t="n">
        <v>0</v>
      </c>
      <c r="R337" s="2" t="inlineStr"/>
    </row>
    <row r="338" ht="15" customHeight="1">
      <c r="A338" t="inlineStr">
        <is>
          <t>A 40292-2025</t>
        </is>
      </c>
      <c r="B338" s="1" t="n">
        <v>45895.3867824074</v>
      </c>
      <c r="C338" s="1" t="n">
        <v>46186</v>
      </c>
      <c r="D338" t="inlineStr">
        <is>
          <t>STOCKHOLMS LÄN</t>
        </is>
      </c>
      <c r="E338" t="inlineStr">
        <is>
          <t>NORRTÄLJE</t>
        </is>
      </c>
      <c r="G338" t="n">
        <v>3.5</v>
      </c>
      <c r="H338" t="n">
        <v>0</v>
      </c>
      <c r="I338" t="n">
        <v>0</v>
      </c>
      <c r="J338" t="n">
        <v>0</v>
      </c>
      <c r="K338" t="n">
        <v>0</v>
      </c>
      <c r="L338" t="n">
        <v>0</v>
      </c>
      <c r="M338" t="n">
        <v>0</v>
      </c>
      <c r="N338" t="n">
        <v>0</v>
      </c>
      <c r="O338" t="n">
        <v>0</v>
      </c>
      <c r="P338" t="n">
        <v>0</v>
      </c>
      <c r="Q338" t="n">
        <v>0</v>
      </c>
      <c r="R338" s="2" t="inlineStr"/>
    </row>
    <row r="339" ht="15" customHeight="1">
      <c r="A339" t="inlineStr">
        <is>
          <t>A 53629-2025</t>
        </is>
      </c>
      <c r="B339" s="1" t="n">
        <v>45960.49570601852</v>
      </c>
      <c r="C339" s="1" t="n">
        <v>46186</v>
      </c>
      <c r="D339" t="inlineStr">
        <is>
          <t>STOCKHOLMS LÄN</t>
        </is>
      </c>
      <c r="E339" t="inlineStr">
        <is>
          <t>NORRTÄLJE</t>
        </is>
      </c>
      <c r="F339" t="inlineStr">
        <is>
          <t>Naturvårdsverket</t>
        </is>
      </c>
      <c r="G339" t="n">
        <v>7.9</v>
      </c>
      <c r="H339" t="n">
        <v>0</v>
      </c>
      <c r="I339" t="n">
        <v>0</v>
      </c>
      <c r="J339" t="n">
        <v>0</v>
      </c>
      <c r="K339" t="n">
        <v>0</v>
      </c>
      <c r="L339" t="n">
        <v>0</v>
      </c>
      <c r="M339" t="n">
        <v>0</v>
      </c>
      <c r="N339" t="n">
        <v>0</v>
      </c>
      <c r="O339" t="n">
        <v>0</v>
      </c>
      <c r="P339" t="n">
        <v>0</v>
      </c>
      <c r="Q339" t="n">
        <v>0</v>
      </c>
      <c r="R339" s="2" t="inlineStr"/>
    </row>
    <row r="340" ht="15" customHeight="1">
      <c r="A340" t="inlineStr">
        <is>
          <t>A 21778-2025</t>
        </is>
      </c>
      <c r="B340" s="1" t="n">
        <v>45783.66429398148</v>
      </c>
      <c r="C340" s="1" t="n">
        <v>46186</v>
      </c>
      <c r="D340" t="inlineStr">
        <is>
          <t>STOCKHOLMS LÄN</t>
        </is>
      </c>
      <c r="E340" t="inlineStr">
        <is>
          <t>NORRTÄLJE</t>
        </is>
      </c>
      <c r="G340" t="n">
        <v>2</v>
      </c>
      <c r="H340" t="n">
        <v>0</v>
      </c>
      <c r="I340" t="n">
        <v>0</v>
      </c>
      <c r="J340" t="n">
        <v>0</v>
      </c>
      <c r="K340" t="n">
        <v>0</v>
      </c>
      <c r="L340" t="n">
        <v>0</v>
      </c>
      <c r="M340" t="n">
        <v>0</v>
      </c>
      <c r="N340" t="n">
        <v>0</v>
      </c>
      <c r="O340" t="n">
        <v>0</v>
      </c>
      <c r="P340" t="n">
        <v>0</v>
      </c>
      <c r="Q340" t="n">
        <v>0</v>
      </c>
      <c r="R340" s="2" t="inlineStr"/>
    </row>
    <row r="341" ht="15" customHeight="1">
      <c r="A341" t="inlineStr">
        <is>
          <t>A 53747-2025</t>
        </is>
      </c>
      <c r="B341" s="1" t="n">
        <v>45960.65415509259</v>
      </c>
      <c r="C341" s="1" t="n">
        <v>46186</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40228-2025</t>
        </is>
      </c>
      <c r="B342" s="1" t="n">
        <v>45894.70854166667</v>
      </c>
      <c r="C342" s="1" t="n">
        <v>46186</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40230-2025</t>
        </is>
      </c>
      <c r="B343" s="1" t="n">
        <v>45894.71101851852</v>
      </c>
      <c r="C343" s="1" t="n">
        <v>46186</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40217-2025</t>
        </is>
      </c>
      <c r="B344" s="1" t="n">
        <v>45894.68864583333</v>
      </c>
      <c r="C344" s="1" t="n">
        <v>46186</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40097-2025</t>
        </is>
      </c>
      <c r="B345" s="1" t="n">
        <v>45894.48322916667</v>
      </c>
      <c r="C345" s="1" t="n">
        <v>46186</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58863-2024</t>
        </is>
      </c>
      <c r="B346" s="1" t="n">
        <v>45636.41572916666</v>
      </c>
      <c r="C346" s="1" t="n">
        <v>46186</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40829-2025</t>
        </is>
      </c>
      <c r="B347" s="1" t="n">
        <v>45897.50802083333</v>
      </c>
      <c r="C347" s="1" t="n">
        <v>46186</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40837-2025</t>
        </is>
      </c>
      <c r="B348" s="1" t="n">
        <v>45897.51328703704</v>
      </c>
      <c r="C348" s="1" t="n">
        <v>46186</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40529-2025</t>
        </is>
      </c>
      <c r="B349" s="1" t="n">
        <v>45896.38466435186</v>
      </c>
      <c r="C349" s="1" t="n">
        <v>46186</v>
      </c>
      <c r="D349" t="inlineStr">
        <is>
          <t>STOCKHOLMS LÄN</t>
        </is>
      </c>
      <c r="E349" t="inlineStr">
        <is>
          <t>NORRTÄLJE</t>
        </is>
      </c>
      <c r="G349" t="n">
        <v>0.5</v>
      </c>
      <c r="H349" t="n">
        <v>0</v>
      </c>
      <c r="I349" t="n">
        <v>0</v>
      </c>
      <c r="J349" t="n">
        <v>0</v>
      </c>
      <c r="K349" t="n">
        <v>0</v>
      </c>
      <c r="L349" t="n">
        <v>0</v>
      </c>
      <c r="M349" t="n">
        <v>0</v>
      </c>
      <c r="N349" t="n">
        <v>0</v>
      </c>
      <c r="O349" t="n">
        <v>0</v>
      </c>
      <c r="P349" t="n">
        <v>0</v>
      </c>
      <c r="Q349" t="n">
        <v>0</v>
      </c>
      <c r="R349" s="2" t="inlineStr"/>
    </row>
    <row r="350" ht="15" customHeight="1">
      <c r="A350" t="inlineStr">
        <is>
          <t>A 40831-2025</t>
        </is>
      </c>
      <c r="B350" s="1" t="n">
        <v>45897.51077546296</v>
      </c>
      <c r="C350" s="1" t="n">
        <v>46186</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41158-2025</t>
        </is>
      </c>
      <c r="B351" s="1" t="n">
        <v>45898.5315625</v>
      </c>
      <c r="C351" s="1" t="n">
        <v>46186</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19058-2024</t>
        </is>
      </c>
      <c r="B352" s="1" t="n">
        <v>45427.89121527778</v>
      </c>
      <c r="C352" s="1" t="n">
        <v>46186</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11900-2024</t>
        </is>
      </c>
      <c r="B353" s="1" t="n">
        <v>45376.55484953704</v>
      </c>
      <c r="C353" s="1" t="n">
        <v>46186</v>
      </c>
      <c r="D353" t="inlineStr">
        <is>
          <t>STOCKHOLMS LÄN</t>
        </is>
      </c>
      <c r="E353" t="inlineStr">
        <is>
          <t>NORRTÄLJE</t>
        </is>
      </c>
      <c r="G353" t="n">
        <v>4.2</v>
      </c>
      <c r="H353" t="n">
        <v>0</v>
      </c>
      <c r="I353" t="n">
        <v>0</v>
      </c>
      <c r="J353" t="n">
        <v>0</v>
      </c>
      <c r="K353" t="n">
        <v>0</v>
      </c>
      <c r="L353" t="n">
        <v>0</v>
      </c>
      <c r="M353" t="n">
        <v>0</v>
      </c>
      <c r="N353" t="n">
        <v>0</v>
      </c>
      <c r="O353" t="n">
        <v>0</v>
      </c>
      <c r="P353" t="n">
        <v>0</v>
      </c>
      <c r="Q353" t="n">
        <v>0</v>
      </c>
      <c r="R353" s="2" t="inlineStr"/>
    </row>
    <row r="354" ht="15" customHeight="1">
      <c r="A354" t="inlineStr">
        <is>
          <t>A 22202-2025</t>
        </is>
      </c>
      <c r="B354" s="1" t="n">
        <v>45785.65300925926</v>
      </c>
      <c r="C354" s="1" t="n">
        <v>46186</v>
      </c>
      <c r="D354" t="inlineStr">
        <is>
          <t>STOCKHOLMS LÄN</t>
        </is>
      </c>
      <c r="E354" t="inlineStr">
        <is>
          <t>NORRTÄLJE</t>
        </is>
      </c>
      <c r="G354" t="n">
        <v>10.2</v>
      </c>
      <c r="H354" t="n">
        <v>0</v>
      </c>
      <c r="I354" t="n">
        <v>0</v>
      </c>
      <c r="J354" t="n">
        <v>0</v>
      </c>
      <c r="K354" t="n">
        <v>0</v>
      </c>
      <c r="L354" t="n">
        <v>0</v>
      </c>
      <c r="M354" t="n">
        <v>0</v>
      </c>
      <c r="N354" t="n">
        <v>0</v>
      </c>
      <c r="O354" t="n">
        <v>0</v>
      </c>
      <c r="P354" t="n">
        <v>0</v>
      </c>
      <c r="Q354" t="n">
        <v>0</v>
      </c>
      <c r="R354" s="2" t="inlineStr"/>
    </row>
    <row r="355" ht="15" customHeight="1">
      <c r="A355" t="inlineStr">
        <is>
          <t>A 41174-2025</t>
        </is>
      </c>
      <c r="B355" s="1" t="n">
        <v>45898.54921296296</v>
      </c>
      <c r="C355" s="1" t="n">
        <v>46186</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42867-2022</t>
        </is>
      </c>
      <c r="B356" s="1" t="n">
        <v>44832</v>
      </c>
      <c r="C356" s="1" t="n">
        <v>46186</v>
      </c>
      <c r="D356" t="inlineStr">
        <is>
          <t>STOCKHOLMS LÄN</t>
        </is>
      </c>
      <c r="E356" t="inlineStr">
        <is>
          <t>NORRTÄLJE</t>
        </is>
      </c>
      <c r="G356" t="n">
        <v>6.4</v>
      </c>
      <c r="H356" t="n">
        <v>0</v>
      </c>
      <c r="I356" t="n">
        <v>0</v>
      </c>
      <c r="J356" t="n">
        <v>0</v>
      </c>
      <c r="K356" t="n">
        <v>0</v>
      </c>
      <c r="L356" t="n">
        <v>0</v>
      </c>
      <c r="M356" t="n">
        <v>0</v>
      </c>
      <c r="N356" t="n">
        <v>0</v>
      </c>
      <c r="O356" t="n">
        <v>0</v>
      </c>
      <c r="P356" t="n">
        <v>0</v>
      </c>
      <c r="Q356" t="n">
        <v>0</v>
      </c>
      <c r="R356" s="2" t="inlineStr"/>
    </row>
    <row r="357" ht="15" customHeight="1">
      <c r="A357" t="inlineStr">
        <is>
          <t>A 41110-2025</t>
        </is>
      </c>
      <c r="B357" s="1" t="n">
        <v>45898.45976851852</v>
      </c>
      <c r="C357" s="1" t="n">
        <v>46186</v>
      </c>
      <c r="D357" t="inlineStr">
        <is>
          <t>STOCKHOLMS LÄN</t>
        </is>
      </c>
      <c r="E357" t="inlineStr">
        <is>
          <t>NORRTÄLJE</t>
        </is>
      </c>
      <c r="F357" t="inlineStr">
        <is>
          <t>Holmen skog AB</t>
        </is>
      </c>
      <c r="G357" t="n">
        <v>6.7</v>
      </c>
      <c r="H357" t="n">
        <v>0</v>
      </c>
      <c r="I357" t="n">
        <v>0</v>
      </c>
      <c r="J357" t="n">
        <v>0</v>
      </c>
      <c r="K357" t="n">
        <v>0</v>
      </c>
      <c r="L357" t="n">
        <v>0</v>
      </c>
      <c r="M357" t="n">
        <v>0</v>
      </c>
      <c r="N357" t="n">
        <v>0</v>
      </c>
      <c r="O357" t="n">
        <v>0</v>
      </c>
      <c r="P357" t="n">
        <v>0</v>
      </c>
      <c r="Q357" t="n">
        <v>0</v>
      </c>
      <c r="R357" s="2" t="inlineStr"/>
    </row>
    <row r="358" ht="15" customHeight="1">
      <c r="A358" t="inlineStr">
        <is>
          <t>A 10511-2025</t>
        </is>
      </c>
      <c r="B358" s="1" t="n">
        <v>45721.40780092592</v>
      </c>
      <c r="C358" s="1" t="n">
        <v>46186</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23749-2024</t>
        </is>
      </c>
      <c r="B359" s="1" t="n">
        <v>45455.33037037037</v>
      </c>
      <c r="C359" s="1" t="n">
        <v>46186</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58277-2023</t>
        </is>
      </c>
      <c r="B360" s="1" t="n">
        <v>45245</v>
      </c>
      <c r="C360" s="1" t="n">
        <v>46186</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16620-2024</t>
        </is>
      </c>
      <c r="B361" s="1" t="n">
        <v>45408.57707175926</v>
      </c>
      <c r="C361" s="1" t="n">
        <v>46186</v>
      </c>
      <c r="D361" t="inlineStr">
        <is>
          <t>STOCKHOLMS LÄN</t>
        </is>
      </c>
      <c r="E361" t="inlineStr">
        <is>
          <t>NORRTÄLJE</t>
        </is>
      </c>
      <c r="G361" t="n">
        <v>2.7</v>
      </c>
      <c r="H361" t="n">
        <v>0</v>
      </c>
      <c r="I361" t="n">
        <v>0</v>
      </c>
      <c r="J361" t="n">
        <v>0</v>
      </c>
      <c r="K361" t="n">
        <v>0</v>
      </c>
      <c r="L361" t="n">
        <v>0</v>
      </c>
      <c r="M361" t="n">
        <v>0</v>
      </c>
      <c r="N361" t="n">
        <v>0</v>
      </c>
      <c r="O361" t="n">
        <v>0</v>
      </c>
      <c r="P361" t="n">
        <v>0</v>
      </c>
      <c r="Q361" t="n">
        <v>0</v>
      </c>
      <c r="R361" s="2" t="inlineStr"/>
    </row>
    <row r="362" ht="15" customHeight="1">
      <c r="A362" t="inlineStr">
        <is>
          <t>A 54907-2025</t>
        </is>
      </c>
      <c r="B362" s="1" t="n">
        <v>45967.37137731481</v>
      </c>
      <c r="C362" s="1" t="n">
        <v>46186</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32705-2022</t>
        </is>
      </c>
      <c r="B363" s="1" t="n">
        <v>44783</v>
      </c>
      <c r="C363" s="1" t="n">
        <v>46186</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47481-2024</t>
        </is>
      </c>
      <c r="B364" s="1" t="n">
        <v>45587</v>
      </c>
      <c r="C364" s="1" t="n">
        <v>46186</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57037-2022</t>
        </is>
      </c>
      <c r="B365" s="1" t="n">
        <v>44895</v>
      </c>
      <c r="C365" s="1" t="n">
        <v>46186</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11940-2023</t>
        </is>
      </c>
      <c r="B366" s="1" t="n">
        <v>44995</v>
      </c>
      <c r="C366" s="1" t="n">
        <v>46186</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30699-2025</t>
        </is>
      </c>
      <c r="B367" s="1" t="n">
        <v>45831.54618055555</v>
      </c>
      <c r="C367" s="1" t="n">
        <v>46186</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2281-2024</t>
        </is>
      </c>
      <c r="B368" s="1" t="n">
        <v>45310.40628472222</v>
      </c>
      <c r="C368" s="1" t="n">
        <v>46186</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58785-2024</t>
        </is>
      </c>
      <c r="B369" s="1" t="n">
        <v>45635.88849537037</v>
      </c>
      <c r="C369" s="1" t="n">
        <v>46186</v>
      </c>
      <c r="D369" t="inlineStr">
        <is>
          <t>STOCKHOLMS LÄN</t>
        </is>
      </c>
      <c r="E369" t="inlineStr">
        <is>
          <t>NORRTÄLJE</t>
        </is>
      </c>
      <c r="G369" t="n">
        <v>3.3</v>
      </c>
      <c r="H369" t="n">
        <v>0</v>
      </c>
      <c r="I369" t="n">
        <v>0</v>
      </c>
      <c r="J369" t="n">
        <v>0</v>
      </c>
      <c r="K369" t="n">
        <v>0</v>
      </c>
      <c r="L369" t="n">
        <v>0</v>
      </c>
      <c r="M369" t="n">
        <v>0</v>
      </c>
      <c r="N369" t="n">
        <v>0</v>
      </c>
      <c r="O369" t="n">
        <v>0</v>
      </c>
      <c r="P369" t="n">
        <v>0</v>
      </c>
      <c r="Q369" t="n">
        <v>0</v>
      </c>
      <c r="R369" s="2" t="inlineStr"/>
    </row>
    <row r="370" ht="15" customHeight="1">
      <c r="A370" t="inlineStr">
        <is>
          <t>A 60525-2022</t>
        </is>
      </c>
      <c r="B370" s="1" t="n">
        <v>44904</v>
      </c>
      <c r="C370" s="1" t="n">
        <v>46186</v>
      </c>
      <c r="D370" t="inlineStr">
        <is>
          <t>STOCKHOLMS LÄN</t>
        </is>
      </c>
      <c r="E370" t="inlineStr">
        <is>
          <t>NORRTÄLJE</t>
        </is>
      </c>
      <c r="G370" t="n">
        <v>13.4</v>
      </c>
      <c r="H370" t="n">
        <v>0</v>
      </c>
      <c r="I370" t="n">
        <v>0</v>
      </c>
      <c r="J370" t="n">
        <v>0</v>
      </c>
      <c r="K370" t="n">
        <v>0</v>
      </c>
      <c r="L370" t="n">
        <v>0</v>
      </c>
      <c r="M370" t="n">
        <v>0</v>
      </c>
      <c r="N370" t="n">
        <v>0</v>
      </c>
      <c r="O370" t="n">
        <v>0</v>
      </c>
      <c r="P370" t="n">
        <v>0</v>
      </c>
      <c r="Q370" t="n">
        <v>0</v>
      </c>
      <c r="R370" s="2" t="inlineStr"/>
    </row>
    <row r="371" ht="15" customHeight="1">
      <c r="A371" t="inlineStr">
        <is>
          <t>A 2182-2022</t>
        </is>
      </c>
      <c r="B371" s="1" t="n">
        <v>44578</v>
      </c>
      <c r="C371" s="1" t="n">
        <v>46186</v>
      </c>
      <c r="D371" t="inlineStr">
        <is>
          <t>STOCKHOLMS LÄN</t>
        </is>
      </c>
      <c r="E371" t="inlineStr">
        <is>
          <t>NORRTÄLJE</t>
        </is>
      </c>
      <c r="G371" t="n">
        <v>7.2</v>
      </c>
      <c r="H371" t="n">
        <v>0</v>
      </c>
      <c r="I371" t="n">
        <v>0</v>
      </c>
      <c r="J371" t="n">
        <v>0</v>
      </c>
      <c r="K371" t="n">
        <v>0</v>
      </c>
      <c r="L371" t="n">
        <v>0</v>
      </c>
      <c r="M371" t="n">
        <v>0</v>
      </c>
      <c r="N371" t="n">
        <v>0</v>
      </c>
      <c r="O371" t="n">
        <v>0</v>
      </c>
      <c r="P371" t="n">
        <v>0</v>
      </c>
      <c r="Q371" t="n">
        <v>0</v>
      </c>
      <c r="R371" s="2" t="inlineStr"/>
    </row>
    <row r="372" ht="15" customHeight="1">
      <c r="A372" t="inlineStr">
        <is>
          <t>A 20011-2025</t>
        </is>
      </c>
      <c r="B372" s="1" t="n">
        <v>45772.29622685185</v>
      </c>
      <c r="C372" s="1" t="n">
        <v>46186</v>
      </c>
      <c r="D372" t="inlineStr">
        <is>
          <t>STOCKHOLMS LÄN</t>
        </is>
      </c>
      <c r="E372" t="inlineStr">
        <is>
          <t>NORRTÄLJE</t>
        </is>
      </c>
      <c r="G372" t="n">
        <v>3.5</v>
      </c>
      <c r="H372" t="n">
        <v>0</v>
      </c>
      <c r="I372" t="n">
        <v>0</v>
      </c>
      <c r="J372" t="n">
        <v>0</v>
      </c>
      <c r="K372" t="n">
        <v>0</v>
      </c>
      <c r="L372" t="n">
        <v>0</v>
      </c>
      <c r="M372" t="n">
        <v>0</v>
      </c>
      <c r="N372" t="n">
        <v>0</v>
      </c>
      <c r="O372" t="n">
        <v>0</v>
      </c>
      <c r="P372" t="n">
        <v>0</v>
      </c>
      <c r="Q372" t="n">
        <v>0</v>
      </c>
      <c r="R372" s="2" t="inlineStr"/>
    </row>
    <row r="373" ht="15" customHeight="1">
      <c r="A373" t="inlineStr">
        <is>
          <t>A 42856-2025</t>
        </is>
      </c>
      <c r="B373" s="1" t="n">
        <v>45908</v>
      </c>
      <c r="C373" s="1" t="n">
        <v>46186</v>
      </c>
      <c r="D373" t="inlineStr">
        <is>
          <t>STOCKHOLMS LÄN</t>
        </is>
      </c>
      <c r="E373" t="inlineStr">
        <is>
          <t>NORRTÄLJE</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55599-2025</t>
        </is>
      </c>
      <c r="B374" s="1" t="n">
        <v>45971.76810185185</v>
      </c>
      <c r="C374" s="1" t="n">
        <v>46186</v>
      </c>
      <c r="D374" t="inlineStr">
        <is>
          <t>STOCKHOLMS LÄN</t>
        </is>
      </c>
      <c r="E374" t="inlineStr">
        <is>
          <t>NORRTÄLJE</t>
        </is>
      </c>
      <c r="F374" t="inlineStr">
        <is>
          <t>Holmen skog AB</t>
        </is>
      </c>
      <c r="G374" t="n">
        <v>6.4</v>
      </c>
      <c r="H374" t="n">
        <v>0</v>
      </c>
      <c r="I374" t="n">
        <v>0</v>
      </c>
      <c r="J374" t="n">
        <v>0</v>
      </c>
      <c r="K374" t="n">
        <v>0</v>
      </c>
      <c r="L374" t="n">
        <v>0</v>
      </c>
      <c r="M374" t="n">
        <v>0</v>
      </c>
      <c r="N374" t="n">
        <v>0</v>
      </c>
      <c r="O374" t="n">
        <v>0</v>
      </c>
      <c r="P374" t="n">
        <v>0</v>
      </c>
      <c r="Q374" t="n">
        <v>0</v>
      </c>
      <c r="R374" s="2" t="inlineStr"/>
    </row>
    <row r="375" ht="15" customHeight="1">
      <c r="A375" t="inlineStr">
        <is>
          <t>A 56114-2025</t>
        </is>
      </c>
      <c r="B375" s="1" t="n">
        <v>45973.74474537037</v>
      </c>
      <c r="C375" s="1" t="n">
        <v>46186</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13268-2025</t>
        </is>
      </c>
      <c r="B376" s="1" t="n">
        <v>45735</v>
      </c>
      <c r="C376" s="1" t="n">
        <v>46186</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8414-2025</t>
        </is>
      </c>
      <c r="B377" s="1" t="n">
        <v>45709.39361111111</v>
      </c>
      <c r="C377" s="1" t="n">
        <v>46186</v>
      </c>
      <c r="D377" t="inlineStr">
        <is>
          <t>STOCKHOLMS LÄN</t>
        </is>
      </c>
      <c r="E377" t="inlineStr">
        <is>
          <t>NORRTÄLJE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39213-2022</t>
        </is>
      </c>
      <c r="B378" s="1" t="n">
        <v>44817.56120370371</v>
      </c>
      <c r="C378" s="1" t="n">
        <v>46186</v>
      </c>
      <c r="D378" t="inlineStr">
        <is>
          <t>STOCKHOLMS LÄN</t>
        </is>
      </c>
      <c r="E378" t="inlineStr">
        <is>
          <t>NORRTÄLJE</t>
        </is>
      </c>
      <c r="G378" t="n">
        <v>3.4</v>
      </c>
      <c r="H378" t="n">
        <v>0</v>
      </c>
      <c r="I378" t="n">
        <v>0</v>
      </c>
      <c r="J378" t="n">
        <v>0</v>
      </c>
      <c r="K378" t="n">
        <v>0</v>
      </c>
      <c r="L378" t="n">
        <v>0</v>
      </c>
      <c r="M378" t="n">
        <v>0</v>
      </c>
      <c r="N378" t="n">
        <v>0</v>
      </c>
      <c r="O378" t="n">
        <v>0</v>
      </c>
      <c r="P378" t="n">
        <v>0</v>
      </c>
      <c r="Q378" t="n">
        <v>0</v>
      </c>
      <c r="R378" s="2" t="inlineStr"/>
    </row>
    <row r="379" ht="15" customHeight="1">
      <c r="A379" t="inlineStr">
        <is>
          <t>A 36625-2024</t>
        </is>
      </c>
      <c r="B379" s="1" t="n">
        <v>45537</v>
      </c>
      <c r="C379" s="1" t="n">
        <v>46186</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41976-2024</t>
        </is>
      </c>
      <c r="B380" s="1" t="n">
        <v>45561.62141203704</v>
      </c>
      <c r="C380" s="1" t="n">
        <v>46186</v>
      </c>
      <c r="D380" t="inlineStr">
        <is>
          <t>STOCKHOLMS LÄN</t>
        </is>
      </c>
      <c r="E380" t="inlineStr">
        <is>
          <t>NORRTÄLJE</t>
        </is>
      </c>
      <c r="G380" t="n">
        <v>2.5</v>
      </c>
      <c r="H380" t="n">
        <v>0</v>
      </c>
      <c r="I380" t="n">
        <v>0</v>
      </c>
      <c r="J380" t="n">
        <v>0</v>
      </c>
      <c r="K380" t="n">
        <v>0</v>
      </c>
      <c r="L380" t="n">
        <v>0</v>
      </c>
      <c r="M380" t="n">
        <v>0</v>
      </c>
      <c r="N380" t="n">
        <v>0</v>
      </c>
      <c r="O380" t="n">
        <v>0</v>
      </c>
      <c r="P380" t="n">
        <v>0</v>
      </c>
      <c r="Q380" t="n">
        <v>0</v>
      </c>
      <c r="R380" s="2" t="inlineStr"/>
    </row>
    <row r="381" ht="15" customHeight="1">
      <c r="A381" t="inlineStr">
        <is>
          <t>A 44891-2023</t>
        </is>
      </c>
      <c r="B381" s="1" t="n">
        <v>45187</v>
      </c>
      <c r="C381" s="1" t="n">
        <v>46186</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12902-2024</t>
        </is>
      </c>
      <c r="B382" s="1" t="n">
        <v>45385.38146990741</v>
      </c>
      <c r="C382" s="1" t="n">
        <v>46186</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44032-2024</t>
        </is>
      </c>
      <c r="B383" s="1" t="n">
        <v>45572.57828703704</v>
      </c>
      <c r="C383" s="1" t="n">
        <v>46186</v>
      </c>
      <c r="D383" t="inlineStr">
        <is>
          <t>STOCKHOLMS LÄN</t>
        </is>
      </c>
      <c r="E383" t="inlineStr">
        <is>
          <t>NORRTÄLJE</t>
        </is>
      </c>
      <c r="G383" t="n">
        <v>8.6</v>
      </c>
      <c r="H383" t="n">
        <v>0</v>
      </c>
      <c r="I383" t="n">
        <v>0</v>
      </c>
      <c r="J383" t="n">
        <v>0</v>
      </c>
      <c r="K383" t="n">
        <v>0</v>
      </c>
      <c r="L383" t="n">
        <v>0</v>
      </c>
      <c r="M383" t="n">
        <v>0</v>
      </c>
      <c r="N383" t="n">
        <v>0</v>
      </c>
      <c r="O383" t="n">
        <v>0</v>
      </c>
      <c r="P383" t="n">
        <v>0</v>
      </c>
      <c r="Q383" t="n">
        <v>0</v>
      </c>
      <c r="R383" s="2" t="inlineStr"/>
    </row>
    <row r="384" ht="15" customHeight="1">
      <c r="A384" t="inlineStr">
        <is>
          <t>A 24563-2024</t>
        </is>
      </c>
      <c r="B384" s="1" t="n">
        <v>45460.44347222222</v>
      </c>
      <c r="C384" s="1" t="n">
        <v>46186</v>
      </c>
      <c r="D384" t="inlineStr">
        <is>
          <t>STOCKHOLMS LÄN</t>
        </is>
      </c>
      <c r="E384" t="inlineStr">
        <is>
          <t>NORRTÄLJE</t>
        </is>
      </c>
      <c r="G384" t="n">
        <v>1.9</v>
      </c>
      <c r="H384" t="n">
        <v>0</v>
      </c>
      <c r="I384" t="n">
        <v>0</v>
      </c>
      <c r="J384" t="n">
        <v>0</v>
      </c>
      <c r="K384" t="n">
        <v>0</v>
      </c>
      <c r="L384" t="n">
        <v>0</v>
      </c>
      <c r="M384" t="n">
        <v>0</v>
      </c>
      <c r="N384" t="n">
        <v>0</v>
      </c>
      <c r="O384" t="n">
        <v>0</v>
      </c>
      <c r="P384" t="n">
        <v>0</v>
      </c>
      <c r="Q384" t="n">
        <v>0</v>
      </c>
      <c r="R384" s="2" t="inlineStr"/>
    </row>
    <row r="385" ht="15" customHeight="1">
      <c r="A385" t="inlineStr">
        <is>
          <t>A 51325-2023</t>
        </is>
      </c>
      <c r="B385" s="1" t="n">
        <v>45219</v>
      </c>
      <c r="C385" s="1" t="n">
        <v>46186</v>
      </c>
      <c r="D385" t="inlineStr">
        <is>
          <t>STOCKHOLMS LÄN</t>
        </is>
      </c>
      <c r="E385" t="inlineStr">
        <is>
          <t>NORRTÄLJE</t>
        </is>
      </c>
      <c r="G385" t="n">
        <v>2.2</v>
      </c>
      <c r="H385" t="n">
        <v>0</v>
      </c>
      <c r="I385" t="n">
        <v>0</v>
      </c>
      <c r="J385" t="n">
        <v>0</v>
      </c>
      <c r="K385" t="n">
        <v>0</v>
      </c>
      <c r="L385" t="n">
        <v>0</v>
      </c>
      <c r="M385" t="n">
        <v>0</v>
      </c>
      <c r="N385" t="n">
        <v>0</v>
      </c>
      <c r="O385" t="n">
        <v>0</v>
      </c>
      <c r="P385" t="n">
        <v>0</v>
      </c>
      <c r="Q385" t="n">
        <v>0</v>
      </c>
      <c r="R385" s="2" t="inlineStr"/>
    </row>
    <row r="386" ht="15" customHeight="1">
      <c r="A386" t="inlineStr">
        <is>
          <t>A 39237-2024</t>
        </is>
      </c>
      <c r="B386" s="1" t="n">
        <v>45549</v>
      </c>
      <c r="C386" s="1" t="n">
        <v>46186</v>
      </c>
      <c r="D386" t="inlineStr">
        <is>
          <t>STOCKHOLMS LÄN</t>
        </is>
      </c>
      <c r="E386" t="inlineStr">
        <is>
          <t>NORRTÄLJE</t>
        </is>
      </c>
      <c r="G386" t="n">
        <v>13.3</v>
      </c>
      <c r="H386" t="n">
        <v>0</v>
      </c>
      <c r="I386" t="n">
        <v>0</v>
      </c>
      <c r="J386" t="n">
        <v>0</v>
      </c>
      <c r="K386" t="n">
        <v>0</v>
      </c>
      <c r="L386" t="n">
        <v>0</v>
      </c>
      <c r="M386" t="n">
        <v>0</v>
      </c>
      <c r="N386" t="n">
        <v>0</v>
      </c>
      <c r="O386" t="n">
        <v>0</v>
      </c>
      <c r="P386" t="n">
        <v>0</v>
      </c>
      <c r="Q386" t="n">
        <v>0</v>
      </c>
      <c r="R386" s="2" t="inlineStr"/>
    </row>
    <row r="387" ht="15" customHeight="1">
      <c r="A387" t="inlineStr">
        <is>
          <t>A 45746-2024</t>
        </is>
      </c>
      <c r="B387" s="1" t="n">
        <v>45579</v>
      </c>
      <c r="C387" s="1" t="n">
        <v>46186</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8400-2024</t>
        </is>
      </c>
      <c r="B388" s="1" t="n">
        <v>45352.74090277778</v>
      </c>
      <c r="C388" s="1" t="n">
        <v>46186</v>
      </c>
      <c r="D388" t="inlineStr">
        <is>
          <t>STOCKHOLMS LÄN</t>
        </is>
      </c>
      <c r="E388" t="inlineStr">
        <is>
          <t>NORRTÄLJE</t>
        </is>
      </c>
      <c r="G388" t="n">
        <v>4.7</v>
      </c>
      <c r="H388" t="n">
        <v>0</v>
      </c>
      <c r="I388" t="n">
        <v>0</v>
      </c>
      <c r="J388" t="n">
        <v>0</v>
      </c>
      <c r="K388" t="n">
        <v>0</v>
      </c>
      <c r="L388" t="n">
        <v>0</v>
      </c>
      <c r="M388" t="n">
        <v>0</v>
      </c>
      <c r="N388" t="n">
        <v>0</v>
      </c>
      <c r="O388" t="n">
        <v>0</v>
      </c>
      <c r="P388" t="n">
        <v>0</v>
      </c>
      <c r="Q388" t="n">
        <v>0</v>
      </c>
      <c r="R388" s="2" t="inlineStr"/>
    </row>
    <row r="389" ht="15" customHeight="1">
      <c r="A389" t="inlineStr">
        <is>
          <t>A 31107-2022</t>
        </is>
      </c>
      <c r="B389" s="1" t="n">
        <v>44769.66864583334</v>
      </c>
      <c r="C389" s="1" t="n">
        <v>46186</v>
      </c>
      <c r="D389" t="inlineStr">
        <is>
          <t>STOCKHOLMS LÄN</t>
        </is>
      </c>
      <c r="E389" t="inlineStr">
        <is>
          <t>NORRTÄLJE</t>
        </is>
      </c>
      <c r="G389" t="n">
        <v>3.8</v>
      </c>
      <c r="H389" t="n">
        <v>0</v>
      </c>
      <c r="I389" t="n">
        <v>0</v>
      </c>
      <c r="J389" t="n">
        <v>0</v>
      </c>
      <c r="K389" t="n">
        <v>0</v>
      </c>
      <c r="L389" t="n">
        <v>0</v>
      </c>
      <c r="M389" t="n">
        <v>0</v>
      </c>
      <c r="N389" t="n">
        <v>0</v>
      </c>
      <c r="O389" t="n">
        <v>0</v>
      </c>
      <c r="P389" t="n">
        <v>0</v>
      </c>
      <c r="Q389" t="n">
        <v>0</v>
      </c>
      <c r="R389" s="2" t="inlineStr"/>
    </row>
    <row r="390" ht="15" customHeight="1">
      <c r="A390" t="inlineStr">
        <is>
          <t>A 13860-2023</t>
        </is>
      </c>
      <c r="B390" s="1" t="n">
        <v>45007</v>
      </c>
      <c r="C390" s="1" t="n">
        <v>46186</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6855-2025</t>
        </is>
      </c>
      <c r="B391" s="1" t="n">
        <v>45700</v>
      </c>
      <c r="C391" s="1" t="n">
        <v>46186</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34432-2021</t>
        </is>
      </c>
      <c r="B392" s="1" t="n">
        <v>44380.77346064815</v>
      </c>
      <c r="C392" s="1" t="n">
        <v>46186</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30719-2025</t>
        </is>
      </c>
      <c r="B393" s="1" t="n">
        <v>45831</v>
      </c>
      <c r="C393" s="1" t="n">
        <v>46186</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43269-2025</t>
        </is>
      </c>
      <c r="B394" s="1" t="n">
        <v>45910.5819212963</v>
      </c>
      <c r="C394" s="1" t="n">
        <v>46186</v>
      </c>
      <c r="D394" t="inlineStr">
        <is>
          <t>STOCKHOLMS LÄN</t>
        </is>
      </c>
      <c r="E394" t="inlineStr">
        <is>
          <t>NORRTÄLJE</t>
        </is>
      </c>
      <c r="G394" t="n">
        <v>3.7</v>
      </c>
      <c r="H394" t="n">
        <v>0</v>
      </c>
      <c r="I394" t="n">
        <v>0</v>
      </c>
      <c r="J394" t="n">
        <v>0</v>
      </c>
      <c r="K394" t="n">
        <v>0</v>
      </c>
      <c r="L394" t="n">
        <v>0</v>
      </c>
      <c r="M394" t="n">
        <v>0</v>
      </c>
      <c r="N394" t="n">
        <v>0</v>
      </c>
      <c r="O394" t="n">
        <v>0</v>
      </c>
      <c r="P394" t="n">
        <v>0</v>
      </c>
      <c r="Q394" t="n">
        <v>0</v>
      </c>
      <c r="R394" s="2" t="inlineStr"/>
    </row>
    <row r="395" ht="15" customHeight="1">
      <c r="A395" t="inlineStr">
        <is>
          <t>A 56207-2025</t>
        </is>
      </c>
      <c r="B395" s="1" t="n">
        <v>45974.47329861111</v>
      </c>
      <c r="C395" s="1" t="n">
        <v>46186</v>
      </c>
      <c r="D395" t="inlineStr">
        <is>
          <t>STOCKHOLMS LÄN</t>
        </is>
      </c>
      <c r="E395" t="inlineStr">
        <is>
          <t>NORRTÄLJE</t>
        </is>
      </c>
      <c r="G395" t="n">
        <v>3.2</v>
      </c>
      <c r="H395" t="n">
        <v>0</v>
      </c>
      <c r="I395" t="n">
        <v>0</v>
      </c>
      <c r="J395" t="n">
        <v>0</v>
      </c>
      <c r="K395" t="n">
        <v>0</v>
      </c>
      <c r="L395" t="n">
        <v>0</v>
      </c>
      <c r="M395" t="n">
        <v>0</v>
      </c>
      <c r="N395" t="n">
        <v>0</v>
      </c>
      <c r="O395" t="n">
        <v>0</v>
      </c>
      <c r="P395" t="n">
        <v>0</v>
      </c>
      <c r="Q395" t="n">
        <v>0</v>
      </c>
      <c r="R395" s="2" t="inlineStr"/>
    </row>
    <row r="396" ht="15" customHeight="1">
      <c r="A396" t="inlineStr">
        <is>
          <t>A 23149-2024</t>
        </is>
      </c>
      <c r="B396" s="1" t="n">
        <v>45450.64208333333</v>
      </c>
      <c r="C396" s="1" t="n">
        <v>46186</v>
      </c>
      <c r="D396" t="inlineStr">
        <is>
          <t>STOCKHOLMS LÄN</t>
        </is>
      </c>
      <c r="E396" t="inlineStr">
        <is>
          <t>NORRTÄLJE</t>
        </is>
      </c>
      <c r="F396" t="inlineStr">
        <is>
          <t>Kommuner</t>
        </is>
      </c>
      <c r="G396" t="n">
        <v>1.3</v>
      </c>
      <c r="H396" t="n">
        <v>0</v>
      </c>
      <c r="I396" t="n">
        <v>0</v>
      </c>
      <c r="J396" t="n">
        <v>0</v>
      </c>
      <c r="K396" t="n">
        <v>0</v>
      </c>
      <c r="L396" t="n">
        <v>0</v>
      </c>
      <c r="M396" t="n">
        <v>0</v>
      </c>
      <c r="N396" t="n">
        <v>0</v>
      </c>
      <c r="O396" t="n">
        <v>0</v>
      </c>
      <c r="P396" t="n">
        <v>0</v>
      </c>
      <c r="Q396" t="n">
        <v>0</v>
      </c>
      <c r="R396" s="2" t="inlineStr"/>
    </row>
    <row r="397" ht="15" customHeight="1">
      <c r="A397" t="inlineStr">
        <is>
          <t>A 23151-2024</t>
        </is>
      </c>
      <c r="B397" s="1" t="n">
        <v>45450</v>
      </c>
      <c r="C397" s="1" t="n">
        <v>46186</v>
      </c>
      <c r="D397" t="inlineStr">
        <is>
          <t>STOCKHOLMS LÄN</t>
        </is>
      </c>
      <c r="E397" t="inlineStr">
        <is>
          <t>NORRTÄLJE</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52001-2023</t>
        </is>
      </c>
      <c r="B398" s="1" t="n">
        <v>45223</v>
      </c>
      <c r="C398" s="1" t="n">
        <v>46186</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60185-2024</t>
        </is>
      </c>
      <c r="B399" s="1" t="n">
        <v>45642.64634259259</v>
      </c>
      <c r="C399" s="1" t="n">
        <v>46186</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48686-2023</t>
        </is>
      </c>
      <c r="B400" s="1" t="n">
        <v>45208</v>
      </c>
      <c r="C400" s="1" t="n">
        <v>46186</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48691-2023</t>
        </is>
      </c>
      <c r="B401" s="1" t="n">
        <v>45208</v>
      </c>
      <c r="C401" s="1" t="n">
        <v>46186</v>
      </c>
      <c r="D401" t="inlineStr">
        <is>
          <t>STOCKHOLMS LÄN</t>
        </is>
      </c>
      <c r="E401" t="inlineStr">
        <is>
          <t>NORRTÄLJE</t>
        </is>
      </c>
      <c r="G401" t="n">
        <v>5.8</v>
      </c>
      <c r="H401" t="n">
        <v>0</v>
      </c>
      <c r="I401" t="n">
        <v>0</v>
      </c>
      <c r="J401" t="n">
        <v>0</v>
      </c>
      <c r="K401" t="n">
        <v>0</v>
      </c>
      <c r="L401" t="n">
        <v>0</v>
      </c>
      <c r="M401" t="n">
        <v>0</v>
      </c>
      <c r="N401" t="n">
        <v>0</v>
      </c>
      <c r="O401" t="n">
        <v>0</v>
      </c>
      <c r="P401" t="n">
        <v>0</v>
      </c>
      <c r="Q401" t="n">
        <v>0</v>
      </c>
      <c r="R401" s="2" t="inlineStr"/>
    </row>
    <row r="402" ht="15" customHeight="1">
      <c r="A402" t="inlineStr">
        <is>
          <t>A 44311-2025</t>
        </is>
      </c>
      <c r="B402" s="1" t="n">
        <v>45916.38394675926</v>
      </c>
      <c r="C402" s="1" t="n">
        <v>46186</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58403-2025</t>
        </is>
      </c>
      <c r="B403" s="1" t="n">
        <v>45985.56777777777</v>
      </c>
      <c r="C403" s="1" t="n">
        <v>46186</v>
      </c>
      <c r="D403" t="inlineStr">
        <is>
          <t>STOCKHOLMS LÄN</t>
        </is>
      </c>
      <c r="E403" t="inlineStr">
        <is>
          <t>NORRTÄLJE</t>
        </is>
      </c>
      <c r="F403" t="inlineStr">
        <is>
          <t>Naturvårdsverket</t>
        </is>
      </c>
      <c r="G403" t="n">
        <v>13.5</v>
      </c>
      <c r="H403" t="n">
        <v>0</v>
      </c>
      <c r="I403" t="n">
        <v>0</v>
      </c>
      <c r="J403" t="n">
        <v>0</v>
      </c>
      <c r="K403" t="n">
        <v>0</v>
      </c>
      <c r="L403" t="n">
        <v>0</v>
      </c>
      <c r="M403" t="n">
        <v>0</v>
      </c>
      <c r="N403" t="n">
        <v>0</v>
      </c>
      <c r="O403" t="n">
        <v>0</v>
      </c>
      <c r="P403" t="n">
        <v>0</v>
      </c>
      <c r="Q403" t="n">
        <v>0</v>
      </c>
      <c r="R403" s="2" t="inlineStr"/>
    </row>
    <row r="404" ht="15" customHeight="1">
      <c r="A404" t="inlineStr">
        <is>
          <t>A 57953-2025</t>
        </is>
      </c>
      <c r="B404" s="1" t="n">
        <v>45982.35016203704</v>
      </c>
      <c r="C404" s="1" t="n">
        <v>46186</v>
      </c>
      <c r="D404" t="inlineStr">
        <is>
          <t>STOCKHOLMS LÄN</t>
        </is>
      </c>
      <c r="E404" t="inlineStr">
        <is>
          <t>NORRTÄLJE</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44937-2025</t>
        </is>
      </c>
      <c r="B405" s="1" t="n">
        <v>45918</v>
      </c>
      <c r="C405" s="1" t="n">
        <v>46186</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21726-2022</t>
        </is>
      </c>
      <c r="B406" s="1" t="n">
        <v>44708</v>
      </c>
      <c r="C406" s="1" t="n">
        <v>46186</v>
      </c>
      <c r="D406" t="inlineStr">
        <is>
          <t>STOCKHOLMS LÄN</t>
        </is>
      </c>
      <c r="E406" t="inlineStr">
        <is>
          <t>NORRTÄLJE</t>
        </is>
      </c>
      <c r="G406" t="n">
        <v>0.2</v>
      </c>
      <c r="H406" t="n">
        <v>0</v>
      </c>
      <c r="I406" t="n">
        <v>0</v>
      </c>
      <c r="J406" t="n">
        <v>0</v>
      </c>
      <c r="K406" t="n">
        <v>0</v>
      </c>
      <c r="L406" t="n">
        <v>0</v>
      </c>
      <c r="M406" t="n">
        <v>0</v>
      </c>
      <c r="N406" t="n">
        <v>0</v>
      </c>
      <c r="O406" t="n">
        <v>0</v>
      </c>
      <c r="P406" t="n">
        <v>0</v>
      </c>
      <c r="Q406" t="n">
        <v>0</v>
      </c>
      <c r="R406" s="2" t="inlineStr"/>
    </row>
    <row r="407" ht="15" customHeight="1">
      <c r="A407" t="inlineStr">
        <is>
          <t>A 21739-2022</t>
        </is>
      </c>
      <c r="B407" s="1" t="n">
        <v>44708.36708333333</v>
      </c>
      <c r="C407" s="1" t="n">
        <v>46186</v>
      </c>
      <c r="D407" t="inlineStr">
        <is>
          <t>STOCKHOLMS LÄN</t>
        </is>
      </c>
      <c r="E407" t="inlineStr">
        <is>
          <t>NORRTÄLJE</t>
        </is>
      </c>
      <c r="F407" t="inlineStr">
        <is>
          <t>Holmen skog AB</t>
        </is>
      </c>
      <c r="G407" t="n">
        <v>1.1</v>
      </c>
      <c r="H407" t="n">
        <v>0</v>
      </c>
      <c r="I407" t="n">
        <v>0</v>
      </c>
      <c r="J407" t="n">
        <v>0</v>
      </c>
      <c r="K407" t="n">
        <v>0</v>
      </c>
      <c r="L407" t="n">
        <v>0</v>
      </c>
      <c r="M407" t="n">
        <v>0</v>
      </c>
      <c r="N407" t="n">
        <v>0</v>
      </c>
      <c r="O407" t="n">
        <v>0</v>
      </c>
      <c r="P407" t="n">
        <v>0</v>
      </c>
      <c r="Q407" t="n">
        <v>0</v>
      </c>
      <c r="R407" s="2" t="inlineStr"/>
    </row>
    <row r="408" ht="15" customHeight="1">
      <c r="A408" t="inlineStr">
        <is>
          <t>A 35210-2023</t>
        </is>
      </c>
      <c r="B408" s="1" t="n">
        <v>45145.63584490741</v>
      </c>
      <c r="C408" s="1" t="n">
        <v>46186</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59767-2022</t>
        </is>
      </c>
      <c r="B409" s="1" t="n">
        <v>44900</v>
      </c>
      <c r="C409" s="1" t="n">
        <v>46186</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5823-2023</t>
        </is>
      </c>
      <c r="B410" s="1" t="n">
        <v>44963</v>
      </c>
      <c r="C410" s="1" t="n">
        <v>46186</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19915-2024</t>
        </is>
      </c>
      <c r="B411" s="1" t="n">
        <v>45433.58431712963</v>
      </c>
      <c r="C411" s="1" t="n">
        <v>46186</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22359-2025</t>
        </is>
      </c>
      <c r="B412" s="1" t="n">
        <v>45786</v>
      </c>
      <c r="C412" s="1" t="n">
        <v>46186</v>
      </c>
      <c r="D412" t="inlineStr">
        <is>
          <t>STOCKHOLMS LÄN</t>
        </is>
      </c>
      <c r="E412" t="inlineStr">
        <is>
          <t>NORRTÄLJE</t>
        </is>
      </c>
      <c r="G412" t="n">
        <v>5</v>
      </c>
      <c r="H412" t="n">
        <v>0</v>
      </c>
      <c r="I412" t="n">
        <v>0</v>
      </c>
      <c r="J412" t="n">
        <v>0</v>
      </c>
      <c r="K412" t="n">
        <v>0</v>
      </c>
      <c r="L412" t="n">
        <v>0</v>
      </c>
      <c r="M412" t="n">
        <v>0</v>
      </c>
      <c r="N412" t="n">
        <v>0</v>
      </c>
      <c r="O412" t="n">
        <v>0</v>
      </c>
      <c r="P412" t="n">
        <v>0</v>
      </c>
      <c r="Q412" t="n">
        <v>0</v>
      </c>
      <c r="R412" s="2" t="inlineStr"/>
    </row>
    <row r="413" ht="15" customHeight="1">
      <c r="A413" t="inlineStr">
        <is>
          <t>A 58939-2025</t>
        </is>
      </c>
      <c r="B413" s="1" t="n">
        <v>45987.5681712963</v>
      </c>
      <c r="C413" s="1" t="n">
        <v>46186</v>
      </c>
      <c r="D413" t="inlineStr">
        <is>
          <t>STOCKHOLMS LÄN</t>
        </is>
      </c>
      <c r="E413" t="inlineStr">
        <is>
          <t>NORRTÄLJE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29176-2024</t>
        </is>
      </c>
      <c r="B414" s="1" t="n">
        <v>45482.53388888889</v>
      </c>
      <c r="C414" s="1" t="n">
        <v>46186</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36430-2024</t>
        </is>
      </c>
      <c r="B415" s="1" t="n">
        <v>45536</v>
      </c>
      <c r="C415" s="1" t="n">
        <v>46186</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45697-2025</t>
        </is>
      </c>
      <c r="B416" s="1" t="n">
        <v>45923.39877314815</v>
      </c>
      <c r="C416" s="1" t="n">
        <v>46186</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51312-2023</t>
        </is>
      </c>
      <c r="B417" s="1" t="n">
        <v>45219.56697916667</v>
      </c>
      <c r="C417" s="1" t="n">
        <v>46186</v>
      </c>
      <c r="D417" t="inlineStr">
        <is>
          <t>STOCKHOLMS LÄN</t>
        </is>
      </c>
      <c r="E417" t="inlineStr">
        <is>
          <t>NORRTÄLJE</t>
        </is>
      </c>
      <c r="G417" t="n">
        <v>1.9</v>
      </c>
      <c r="H417" t="n">
        <v>0</v>
      </c>
      <c r="I417" t="n">
        <v>0</v>
      </c>
      <c r="J417" t="n">
        <v>0</v>
      </c>
      <c r="K417" t="n">
        <v>0</v>
      </c>
      <c r="L417" t="n">
        <v>0</v>
      </c>
      <c r="M417" t="n">
        <v>0</v>
      </c>
      <c r="N417" t="n">
        <v>0</v>
      </c>
      <c r="O417" t="n">
        <v>0</v>
      </c>
      <c r="P417" t="n">
        <v>0</v>
      </c>
      <c r="Q417" t="n">
        <v>0</v>
      </c>
      <c r="R417" s="2" t="inlineStr"/>
    </row>
    <row r="418" ht="15" customHeight="1">
      <c r="A418" t="inlineStr">
        <is>
          <t>A 35640-2024</t>
        </is>
      </c>
      <c r="B418" s="1" t="n">
        <v>45531</v>
      </c>
      <c r="C418" s="1" t="n">
        <v>46186</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43212-2022</t>
        </is>
      </c>
      <c r="B419" s="1" t="n">
        <v>44834.38636574074</v>
      </c>
      <c r="C419" s="1" t="n">
        <v>46186</v>
      </c>
      <c r="D419" t="inlineStr">
        <is>
          <t>STOCKHOLMS LÄN</t>
        </is>
      </c>
      <c r="E419" t="inlineStr">
        <is>
          <t>NORRTÄLJE</t>
        </is>
      </c>
      <c r="G419" t="n">
        <v>1.3</v>
      </c>
      <c r="H419" t="n">
        <v>0</v>
      </c>
      <c r="I419" t="n">
        <v>0</v>
      </c>
      <c r="J419" t="n">
        <v>0</v>
      </c>
      <c r="K419" t="n">
        <v>0</v>
      </c>
      <c r="L419" t="n">
        <v>0</v>
      </c>
      <c r="M419" t="n">
        <v>0</v>
      </c>
      <c r="N419" t="n">
        <v>0</v>
      </c>
      <c r="O419" t="n">
        <v>0</v>
      </c>
      <c r="P419" t="n">
        <v>0</v>
      </c>
      <c r="Q419" t="n">
        <v>0</v>
      </c>
      <c r="R419" s="2" t="inlineStr"/>
    </row>
    <row r="420" ht="15" customHeight="1">
      <c r="A420" t="inlineStr">
        <is>
          <t>A 51653-2022</t>
        </is>
      </c>
      <c r="B420" s="1" t="n">
        <v>44867</v>
      </c>
      <c r="C420" s="1" t="n">
        <v>46186</v>
      </c>
      <c r="D420" t="inlineStr">
        <is>
          <t>STOCKHOLMS LÄN</t>
        </is>
      </c>
      <c r="E420" t="inlineStr">
        <is>
          <t>NORRTÄLJE</t>
        </is>
      </c>
      <c r="G420" t="n">
        <v>6.6</v>
      </c>
      <c r="H420" t="n">
        <v>0</v>
      </c>
      <c r="I420" t="n">
        <v>0</v>
      </c>
      <c r="J420" t="n">
        <v>0</v>
      </c>
      <c r="K420" t="n">
        <v>0</v>
      </c>
      <c r="L420" t="n">
        <v>0</v>
      </c>
      <c r="M420" t="n">
        <v>0</v>
      </c>
      <c r="N420" t="n">
        <v>0</v>
      </c>
      <c r="O420" t="n">
        <v>0</v>
      </c>
      <c r="P420" t="n">
        <v>0</v>
      </c>
      <c r="Q420" t="n">
        <v>0</v>
      </c>
      <c r="R420" s="2" t="inlineStr"/>
    </row>
    <row r="421" ht="15" customHeight="1">
      <c r="A421" t="inlineStr">
        <is>
          <t>A 59914-2025</t>
        </is>
      </c>
      <c r="B421" s="1" t="n">
        <v>45993.37056712963</v>
      </c>
      <c r="C421" s="1" t="n">
        <v>46186</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59672-2025</t>
        </is>
      </c>
      <c r="B422" s="1" t="n">
        <v>45992.45884259259</v>
      </c>
      <c r="C422" s="1" t="n">
        <v>46186</v>
      </c>
      <c r="D422" t="inlineStr">
        <is>
          <t>STOCKHOLMS LÄN</t>
        </is>
      </c>
      <c r="E422" t="inlineStr">
        <is>
          <t>NORRTÄLJE</t>
        </is>
      </c>
      <c r="G422" t="n">
        <v>4</v>
      </c>
      <c r="H422" t="n">
        <v>0</v>
      </c>
      <c r="I422" t="n">
        <v>0</v>
      </c>
      <c r="J422" t="n">
        <v>0</v>
      </c>
      <c r="K422" t="n">
        <v>0</v>
      </c>
      <c r="L422" t="n">
        <v>0</v>
      </c>
      <c r="M422" t="n">
        <v>0</v>
      </c>
      <c r="N422" t="n">
        <v>0</v>
      </c>
      <c r="O422" t="n">
        <v>0</v>
      </c>
      <c r="P422" t="n">
        <v>0</v>
      </c>
      <c r="Q422" t="n">
        <v>0</v>
      </c>
      <c r="R422" s="2" t="inlineStr"/>
    </row>
    <row r="423" ht="15" customHeight="1">
      <c r="A423" t="inlineStr">
        <is>
          <t>A 59907-2025</t>
        </is>
      </c>
      <c r="B423" s="1" t="n">
        <v>45993.35350694445</v>
      </c>
      <c r="C423" s="1" t="n">
        <v>46186</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59924-2025</t>
        </is>
      </c>
      <c r="B424" s="1" t="n">
        <v>45993.38928240741</v>
      </c>
      <c r="C424" s="1" t="n">
        <v>46186</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4322-2023</t>
        </is>
      </c>
      <c r="B425" s="1" t="n">
        <v>44953.69298611111</v>
      </c>
      <c r="C425" s="1" t="n">
        <v>46186</v>
      </c>
      <c r="D425" t="inlineStr">
        <is>
          <t>STOCKHOLMS LÄN</t>
        </is>
      </c>
      <c r="E425" t="inlineStr">
        <is>
          <t>NORRTÄLJE</t>
        </is>
      </c>
      <c r="G425" t="n">
        <v>1.3</v>
      </c>
      <c r="H425" t="n">
        <v>0</v>
      </c>
      <c r="I425" t="n">
        <v>0</v>
      </c>
      <c r="J425" t="n">
        <v>0</v>
      </c>
      <c r="K425" t="n">
        <v>0</v>
      </c>
      <c r="L425" t="n">
        <v>0</v>
      </c>
      <c r="M425" t="n">
        <v>0</v>
      </c>
      <c r="N425" t="n">
        <v>0</v>
      </c>
      <c r="O425" t="n">
        <v>0</v>
      </c>
      <c r="P425" t="n">
        <v>0</v>
      </c>
      <c r="Q425" t="n">
        <v>0</v>
      </c>
      <c r="R425" s="2" t="inlineStr"/>
    </row>
    <row r="426" ht="15" customHeight="1">
      <c r="A426" t="inlineStr">
        <is>
          <t>A 60253-2025</t>
        </is>
      </c>
      <c r="B426" s="1" t="n">
        <v>45994.59827546297</v>
      </c>
      <c r="C426" s="1" t="n">
        <v>46186</v>
      </c>
      <c r="D426" t="inlineStr">
        <is>
          <t>STOCKHOLMS LÄN</t>
        </is>
      </c>
      <c r="E426" t="inlineStr">
        <is>
          <t>NORRTÄLJE</t>
        </is>
      </c>
      <c r="F426" t="inlineStr">
        <is>
          <t>Holmen skog AB</t>
        </is>
      </c>
      <c r="G426" t="n">
        <v>3.6</v>
      </c>
      <c r="H426" t="n">
        <v>0</v>
      </c>
      <c r="I426" t="n">
        <v>0</v>
      </c>
      <c r="J426" t="n">
        <v>0</v>
      </c>
      <c r="K426" t="n">
        <v>0</v>
      </c>
      <c r="L426" t="n">
        <v>0</v>
      </c>
      <c r="M426" t="n">
        <v>0</v>
      </c>
      <c r="N426" t="n">
        <v>0</v>
      </c>
      <c r="O426" t="n">
        <v>0</v>
      </c>
      <c r="P426" t="n">
        <v>0</v>
      </c>
      <c r="Q426" t="n">
        <v>0</v>
      </c>
      <c r="R426" s="2" t="inlineStr"/>
    </row>
    <row r="427" ht="15" customHeight="1">
      <c r="A427" t="inlineStr">
        <is>
          <t>A 60214-2025</t>
        </is>
      </c>
      <c r="B427" s="1" t="n">
        <v>45994.53761574074</v>
      </c>
      <c r="C427" s="1" t="n">
        <v>46186</v>
      </c>
      <c r="D427" t="inlineStr">
        <is>
          <t>STOCKHOLMS LÄN</t>
        </is>
      </c>
      <c r="E427" t="inlineStr">
        <is>
          <t>NORRTÄLJE</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60223-2025</t>
        </is>
      </c>
      <c r="B428" s="1" t="n">
        <v>45994.54497685185</v>
      </c>
      <c r="C428" s="1" t="n">
        <v>46186</v>
      </c>
      <c r="D428" t="inlineStr">
        <is>
          <t>STOCKHOLMS LÄN</t>
        </is>
      </c>
      <c r="E428" t="inlineStr">
        <is>
          <t>NORRTÄLJE</t>
        </is>
      </c>
      <c r="G428" t="n">
        <v>2.4</v>
      </c>
      <c r="H428" t="n">
        <v>0</v>
      </c>
      <c r="I428" t="n">
        <v>0</v>
      </c>
      <c r="J428" t="n">
        <v>0</v>
      </c>
      <c r="K428" t="n">
        <v>0</v>
      </c>
      <c r="L428" t="n">
        <v>0</v>
      </c>
      <c r="M428" t="n">
        <v>0</v>
      </c>
      <c r="N428" t="n">
        <v>0</v>
      </c>
      <c r="O428" t="n">
        <v>0</v>
      </c>
      <c r="P428" t="n">
        <v>0</v>
      </c>
      <c r="Q428" t="n">
        <v>0</v>
      </c>
      <c r="R428" s="2" t="inlineStr"/>
    </row>
    <row r="429" ht="15" customHeight="1">
      <c r="A429" t="inlineStr">
        <is>
          <t>A 60649-2025</t>
        </is>
      </c>
      <c r="B429" s="1" t="n">
        <v>45996.4560300926</v>
      </c>
      <c r="C429" s="1" t="n">
        <v>46186</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60948-2025</t>
        </is>
      </c>
      <c r="B430" s="1" t="n">
        <v>45999.650625</v>
      </c>
      <c r="C430" s="1" t="n">
        <v>46186</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35256-2025</t>
        </is>
      </c>
      <c r="B431" s="1" t="n">
        <v>45853</v>
      </c>
      <c r="C431" s="1" t="n">
        <v>46186</v>
      </c>
      <c r="D431" t="inlineStr">
        <is>
          <t>STOCKHOLMS LÄN</t>
        </is>
      </c>
      <c r="E431" t="inlineStr">
        <is>
          <t>NORRTÄLJE</t>
        </is>
      </c>
      <c r="G431" t="n">
        <v>6.4</v>
      </c>
      <c r="H431" t="n">
        <v>0</v>
      </c>
      <c r="I431" t="n">
        <v>0</v>
      </c>
      <c r="J431" t="n">
        <v>0</v>
      </c>
      <c r="K431" t="n">
        <v>0</v>
      </c>
      <c r="L431" t="n">
        <v>0</v>
      </c>
      <c r="M431" t="n">
        <v>0</v>
      </c>
      <c r="N431" t="n">
        <v>0</v>
      </c>
      <c r="O431" t="n">
        <v>0</v>
      </c>
      <c r="P431" t="n">
        <v>0</v>
      </c>
      <c r="Q431" t="n">
        <v>0</v>
      </c>
      <c r="R431" s="2" t="inlineStr"/>
    </row>
    <row r="432" ht="15" customHeight="1">
      <c r="A432" t="inlineStr">
        <is>
          <t>A 38990-2022</t>
        </is>
      </c>
      <c r="B432" s="1" t="n">
        <v>44816</v>
      </c>
      <c r="C432" s="1" t="n">
        <v>46186</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17956-2025</t>
        </is>
      </c>
      <c r="B433" s="1" t="n">
        <v>45760.91174768518</v>
      </c>
      <c r="C433" s="1" t="n">
        <v>46186</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875-2023</t>
        </is>
      </c>
      <c r="B434" s="1" t="n">
        <v>44931.65626157408</v>
      </c>
      <c r="C434" s="1" t="n">
        <v>46186</v>
      </c>
      <c r="D434" t="inlineStr">
        <is>
          <t>STOCKHOLMS LÄN</t>
        </is>
      </c>
      <c r="E434" t="inlineStr">
        <is>
          <t>NORRTÄLJE</t>
        </is>
      </c>
      <c r="G434" t="n">
        <v>2.2</v>
      </c>
      <c r="H434" t="n">
        <v>0</v>
      </c>
      <c r="I434" t="n">
        <v>0</v>
      </c>
      <c r="J434" t="n">
        <v>0</v>
      </c>
      <c r="K434" t="n">
        <v>0</v>
      </c>
      <c r="L434" t="n">
        <v>0</v>
      </c>
      <c r="M434" t="n">
        <v>0</v>
      </c>
      <c r="N434" t="n">
        <v>0</v>
      </c>
      <c r="O434" t="n">
        <v>0</v>
      </c>
      <c r="P434" t="n">
        <v>0</v>
      </c>
      <c r="Q434" t="n">
        <v>0</v>
      </c>
      <c r="R434" s="2" t="inlineStr"/>
    </row>
    <row r="435" ht="15" customHeight="1">
      <c r="A435" t="inlineStr">
        <is>
          <t>A 31236-2022</t>
        </is>
      </c>
      <c r="B435" s="1" t="n">
        <v>44771</v>
      </c>
      <c r="C435" s="1" t="n">
        <v>46186</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61160-2025</t>
        </is>
      </c>
      <c r="B436" s="1" t="n">
        <v>46000.55262731481</v>
      </c>
      <c r="C436" s="1" t="n">
        <v>46186</v>
      </c>
      <c r="D436" t="inlineStr">
        <is>
          <t>STOCKHOLMS LÄN</t>
        </is>
      </c>
      <c r="E436" t="inlineStr">
        <is>
          <t>NORRTÄLJE</t>
        </is>
      </c>
      <c r="G436" t="n">
        <v>5.3</v>
      </c>
      <c r="H436" t="n">
        <v>0</v>
      </c>
      <c r="I436" t="n">
        <v>0</v>
      </c>
      <c r="J436" t="n">
        <v>0</v>
      </c>
      <c r="K436" t="n">
        <v>0</v>
      </c>
      <c r="L436" t="n">
        <v>0</v>
      </c>
      <c r="M436" t="n">
        <v>0</v>
      </c>
      <c r="N436" t="n">
        <v>0</v>
      </c>
      <c r="O436" t="n">
        <v>0</v>
      </c>
      <c r="P436" t="n">
        <v>0</v>
      </c>
      <c r="Q436" t="n">
        <v>0</v>
      </c>
      <c r="R436" s="2" t="inlineStr"/>
    </row>
    <row r="437" ht="15" customHeight="1">
      <c r="A437" t="inlineStr">
        <is>
          <t>A 61430-2025</t>
        </is>
      </c>
      <c r="B437" s="1" t="n">
        <v>46001.55583333333</v>
      </c>
      <c r="C437" s="1" t="n">
        <v>46186</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18665-2022</t>
        </is>
      </c>
      <c r="B438" s="1" t="n">
        <v>44687</v>
      </c>
      <c r="C438" s="1" t="n">
        <v>46186</v>
      </c>
      <c r="D438" t="inlineStr">
        <is>
          <t>STOCKHOLMS LÄN</t>
        </is>
      </c>
      <c r="E438" t="inlineStr">
        <is>
          <t>NORRTÄLJE</t>
        </is>
      </c>
      <c r="F438" t="inlineStr">
        <is>
          <t>Kyrkan</t>
        </is>
      </c>
      <c r="G438" t="n">
        <v>1.1</v>
      </c>
      <c r="H438" t="n">
        <v>0</v>
      </c>
      <c r="I438" t="n">
        <v>0</v>
      </c>
      <c r="J438" t="n">
        <v>0</v>
      </c>
      <c r="K438" t="n">
        <v>0</v>
      </c>
      <c r="L438" t="n">
        <v>0</v>
      </c>
      <c r="M438" t="n">
        <v>0</v>
      </c>
      <c r="N438" t="n">
        <v>0</v>
      </c>
      <c r="O438" t="n">
        <v>0</v>
      </c>
      <c r="P438" t="n">
        <v>0</v>
      </c>
      <c r="Q438" t="n">
        <v>0</v>
      </c>
      <c r="R438" s="2" t="inlineStr"/>
    </row>
    <row r="439" ht="15" customHeight="1">
      <c r="A439" t="inlineStr">
        <is>
          <t>A 61289-2025</t>
        </is>
      </c>
      <c r="B439" s="1" t="n">
        <v>46000.73659722223</v>
      </c>
      <c r="C439" s="1" t="n">
        <v>46186</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61769-2025</t>
        </is>
      </c>
      <c r="B440" s="1" t="n">
        <v>46002.64556712963</v>
      </c>
      <c r="C440" s="1" t="n">
        <v>46186</v>
      </c>
      <c r="D440" t="inlineStr">
        <is>
          <t>STOCKHOLMS LÄN</t>
        </is>
      </c>
      <c r="E440" t="inlineStr">
        <is>
          <t>NORRTÄLJE</t>
        </is>
      </c>
      <c r="G440" t="n">
        <v>2.9</v>
      </c>
      <c r="H440" t="n">
        <v>0</v>
      </c>
      <c r="I440" t="n">
        <v>0</v>
      </c>
      <c r="J440" t="n">
        <v>0</v>
      </c>
      <c r="K440" t="n">
        <v>0</v>
      </c>
      <c r="L440" t="n">
        <v>0</v>
      </c>
      <c r="M440" t="n">
        <v>0</v>
      </c>
      <c r="N440" t="n">
        <v>0</v>
      </c>
      <c r="O440" t="n">
        <v>0</v>
      </c>
      <c r="P440" t="n">
        <v>0</v>
      </c>
      <c r="Q440" t="n">
        <v>0</v>
      </c>
      <c r="R440" s="2" t="inlineStr"/>
    </row>
    <row r="441" ht="15" customHeight="1">
      <c r="A441" t="inlineStr">
        <is>
          <t>A 47498-2025</t>
        </is>
      </c>
      <c r="B441" s="1" t="n">
        <v>45930.8134375</v>
      </c>
      <c r="C441" s="1" t="n">
        <v>46186</v>
      </c>
      <c r="D441" t="inlineStr">
        <is>
          <t>STOCKHOLMS LÄN</t>
        </is>
      </c>
      <c r="E441" t="inlineStr">
        <is>
          <t>NORRTÄLJE</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47496-2025</t>
        </is>
      </c>
      <c r="B442" s="1" t="n">
        <v>45930.79252314815</v>
      </c>
      <c r="C442" s="1" t="n">
        <v>46186</v>
      </c>
      <c r="D442" t="inlineStr">
        <is>
          <t>STOCKHOLMS LÄN</t>
        </is>
      </c>
      <c r="E442" t="inlineStr">
        <is>
          <t>NORRTÄLJE</t>
        </is>
      </c>
      <c r="F442" t="inlineStr">
        <is>
          <t>Holmen skog AB</t>
        </is>
      </c>
      <c r="G442" t="n">
        <v>0.9</v>
      </c>
      <c r="H442" t="n">
        <v>0</v>
      </c>
      <c r="I442" t="n">
        <v>0</v>
      </c>
      <c r="J442" t="n">
        <v>0</v>
      </c>
      <c r="K442" t="n">
        <v>0</v>
      </c>
      <c r="L442" t="n">
        <v>0</v>
      </c>
      <c r="M442" t="n">
        <v>0</v>
      </c>
      <c r="N442" t="n">
        <v>0</v>
      </c>
      <c r="O442" t="n">
        <v>0</v>
      </c>
      <c r="P442" t="n">
        <v>0</v>
      </c>
      <c r="Q442" t="n">
        <v>0</v>
      </c>
      <c r="R442" s="2" t="inlineStr"/>
    </row>
    <row r="443" ht="15" customHeight="1">
      <c r="A443" t="inlineStr">
        <is>
          <t>A 47497-2025</t>
        </is>
      </c>
      <c r="B443" s="1" t="n">
        <v>45930.80217592593</v>
      </c>
      <c r="C443" s="1" t="n">
        <v>46186</v>
      </c>
      <c r="D443" t="inlineStr">
        <is>
          <t>STOCKHOLMS LÄN</t>
        </is>
      </c>
      <c r="E443" t="inlineStr">
        <is>
          <t>NORRTÄLJE</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61764-2025</t>
        </is>
      </c>
      <c r="B444" s="1" t="n">
        <v>46002.62763888889</v>
      </c>
      <c r="C444" s="1" t="n">
        <v>46186</v>
      </c>
      <c r="D444" t="inlineStr">
        <is>
          <t>STOCKHOLMS LÄN</t>
        </is>
      </c>
      <c r="E444" t="inlineStr">
        <is>
          <t>NORRTÄLJE</t>
        </is>
      </c>
      <c r="G444" t="n">
        <v>2.3</v>
      </c>
      <c r="H444" t="n">
        <v>0</v>
      </c>
      <c r="I444" t="n">
        <v>0</v>
      </c>
      <c r="J444" t="n">
        <v>0</v>
      </c>
      <c r="K444" t="n">
        <v>0</v>
      </c>
      <c r="L444" t="n">
        <v>0</v>
      </c>
      <c r="M444" t="n">
        <v>0</v>
      </c>
      <c r="N444" t="n">
        <v>0</v>
      </c>
      <c r="O444" t="n">
        <v>0</v>
      </c>
      <c r="P444" t="n">
        <v>0</v>
      </c>
      <c r="Q444" t="n">
        <v>0</v>
      </c>
      <c r="R444" s="2" t="inlineStr"/>
    </row>
    <row r="445" ht="15" customHeight="1">
      <c r="A445" t="inlineStr">
        <is>
          <t>A 58302-2022</t>
        </is>
      </c>
      <c r="B445" s="1" t="n">
        <v>44901</v>
      </c>
      <c r="C445" s="1" t="n">
        <v>46186</v>
      </c>
      <c r="D445" t="inlineStr">
        <is>
          <t>STOCKHOLMS LÄN</t>
        </is>
      </c>
      <c r="E445" t="inlineStr">
        <is>
          <t>NORRTÄLJE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38591-2023</t>
        </is>
      </c>
      <c r="B446" s="1" t="n">
        <v>45162</v>
      </c>
      <c r="C446" s="1" t="n">
        <v>46186</v>
      </c>
      <c r="D446" t="inlineStr">
        <is>
          <t>STOCKHOLMS LÄN</t>
        </is>
      </c>
      <c r="E446" t="inlineStr">
        <is>
          <t>NORRTÄLJE</t>
        </is>
      </c>
      <c r="F446" t="inlineStr">
        <is>
          <t>Övriga Aktiebolag</t>
        </is>
      </c>
      <c r="G446" t="n">
        <v>3.1</v>
      </c>
      <c r="H446" t="n">
        <v>0</v>
      </c>
      <c r="I446" t="n">
        <v>0</v>
      </c>
      <c r="J446" t="n">
        <v>0</v>
      </c>
      <c r="K446" t="n">
        <v>0</v>
      </c>
      <c r="L446" t="n">
        <v>0</v>
      </c>
      <c r="M446" t="n">
        <v>0</v>
      </c>
      <c r="N446" t="n">
        <v>0</v>
      </c>
      <c r="O446" t="n">
        <v>0</v>
      </c>
      <c r="P446" t="n">
        <v>0</v>
      </c>
      <c r="Q446" t="n">
        <v>0</v>
      </c>
      <c r="R446" s="2" t="inlineStr"/>
    </row>
    <row r="447" ht="15" customHeight="1">
      <c r="A447" t="inlineStr">
        <is>
          <t>A 33279-2025</t>
        </is>
      </c>
      <c r="B447" s="1" t="n">
        <v>45840</v>
      </c>
      <c r="C447" s="1" t="n">
        <v>46186</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53499-2025</t>
        </is>
      </c>
      <c r="B448" s="1" t="n">
        <v>45960</v>
      </c>
      <c r="C448" s="1" t="n">
        <v>46186</v>
      </c>
      <c r="D448" t="inlineStr">
        <is>
          <t>STOCKHOLMS LÄN</t>
        </is>
      </c>
      <c r="E448" t="inlineStr">
        <is>
          <t>NORRTÄLJE</t>
        </is>
      </c>
      <c r="G448" t="n">
        <v>23.8</v>
      </c>
      <c r="H448" t="n">
        <v>0</v>
      </c>
      <c r="I448" t="n">
        <v>0</v>
      </c>
      <c r="J448" t="n">
        <v>0</v>
      </c>
      <c r="K448" t="n">
        <v>0</v>
      </c>
      <c r="L448" t="n">
        <v>0</v>
      </c>
      <c r="M448" t="n">
        <v>0</v>
      </c>
      <c r="N448" t="n">
        <v>0</v>
      </c>
      <c r="O448" t="n">
        <v>0</v>
      </c>
      <c r="P448" t="n">
        <v>0</v>
      </c>
      <c r="Q448" t="n">
        <v>0</v>
      </c>
      <c r="R448" s="2" t="inlineStr"/>
    </row>
    <row r="449" ht="15" customHeight="1">
      <c r="A449" t="inlineStr">
        <is>
          <t>A 30338-2022</t>
        </is>
      </c>
      <c r="B449" s="1" t="n">
        <v>44760</v>
      </c>
      <c r="C449" s="1" t="n">
        <v>46186</v>
      </c>
      <c r="D449" t="inlineStr">
        <is>
          <t>STOCKHOLMS LÄN</t>
        </is>
      </c>
      <c r="E449" t="inlineStr">
        <is>
          <t>NORRTÄLJE</t>
        </is>
      </c>
      <c r="G449" t="n">
        <v>0.3</v>
      </c>
      <c r="H449" t="n">
        <v>0</v>
      </c>
      <c r="I449" t="n">
        <v>0</v>
      </c>
      <c r="J449" t="n">
        <v>0</v>
      </c>
      <c r="K449" t="n">
        <v>0</v>
      </c>
      <c r="L449" t="n">
        <v>0</v>
      </c>
      <c r="M449" t="n">
        <v>0</v>
      </c>
      <c r="N449" t="n">
        <v>0</v>
      </c>
      <c r="O449" t="n">
        <v>0</v>
      </c>
      <c r="P449" t="n">
        <v>0</v>
      </c>
      <c r="Q449" t="n">
        <v>0</v>
      </c>
      <c r="R449" s="2" t="inlineStr"/>
    </row>
    <row r="450" ht="15" customHeight="1">
      <c r="A450" t="inlineStr">
        <is>
          <t>A 62708-2025</t>
        </is>
      </c>
      <c r="B450" s="1" t="n">
        <v>46008.50986111111</v>
      </c>
      <c r="C450" s="1" t="n">
        <v>46186</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34478-2025</t>
        </is>
      </c>
      <c r="B451" s="1" t="n">
        <v>45847</v>
      </c>
      <c r="C451" s="1" t="n">
        <v>46186</v>
      </c>
      <c r="D451" t="inlineStr">
        <is>
          <t>STOCKHOLMS LÄN</t>
        </is>
      </c>
      <c r="E451" t="inlineStr">
        <is>
          <t>NORRTÄLJE</t>
        </is>
      </c>
      <c r="F451" t="inlineStr">
        <is>
          <t>Övriga Aktiebolag</t>
        </is>
      </c>
      <c r="G451" t="n">
        <v>10.8</v>
      </c>
      <c r="H451" t="n">
        <v>0</v>
      </c>
      <c r="I451" t="n">
        <v>0</v>
      </c>
      <c r="J451" t="n">
        <v>0</v>
      </c>
      <c r="K451" t="n">
        <v>0</v>
      </c>
      <c r="L451" t="n">
        <v>0</v>
      </c>
      <c r="M451" t="n">
        <v>0</v>
      </c>
      <c r="N451" t="n">
        <v>0</v>
      </c>
      <c r="O451" t="n">
        <v>0</v>
      </c>
      <c r="P451" t="n">
        <v>0</v>
      </c>
      <c r="Q451" t="n">
        <v>0</v>
      </c>
      <c r="R451" s="2" t="inlineStr"/>
    </row>
    <row r="452" ht="15" customHeight="1">
      <c r="A452" t="inlineStr">
        <is>
          <t>A 62681-2025</t>
        </is>
      </c>
      <c r="B452" s="1" t="n">
        <v>46008.45534722223</v>
      </c>
      <c r="C452" s="1" t="n">
        <v>46186</v>
      </c>
      <c r="D452" t="inlineStr">
        <is>
          <t>STOCKHOLMS LÄN</t>
        </is>
      </c>
      <c r="E452" t="inlineStr">
        <is>
          <t>NORRTÄLJE</t>
        </is>
      </c>
      <c r="G452" t="n">
        <v>2.4</v>
      </c>
      <c r="H452" t="n">
        <v>0</v>
      </c>
      <c r="I452" t="n">
        <v>0</v>
      </c>
      <c r="J452" t="n">
        <v>0</v>
      </c>
      <c r="K452" t="n">
        <v>0</v>
      </c>
      <c r="L452" t="n">
        <v>0</v>
      </c>
      <c r="M452" t="n">
        <v>0</v>
      </c>
      <c r="N452" t="n">
        <v>0</v>
      </c>
      <c r="O452" t="n">
        <v>0</v>
      </c>
      <c r="P452" t="n">
        <v>0</v>
      </c>
      <c r="Q452" t="n">
        <v>0</v>
      </c>
      <c r="R452" s="2" t="inlineStr"/>
    </row>
    <row r="453" ht="15" customHeight="1">
      <c r="A453" t="inlineStr">
        <is>
          <t>A 62922-2025</t>
        </is>
      </c>
      <c r="B453" s="1" t="n">
        <v>46009.38064814815</v>
      </c>
      <c r="C453" s="1" t="n">
        <v>46186</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2888-2022</t>
        </is>
      </c>
      <c r="B454" s="1" t="n">
        <v>44581</v>
      </c>
      <c r="C454" s="1" t="n">
        <v>46186</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62689-2025</t>
        </is>
      </c>
      <c r="B455" s="1" t="n">
        <v>46008.47171296296</v>
      </c>
      <c r="C455" s="1" t="n">
        <v>46186</v>
      </c>
      <c r="D455" t="inlineStr">
        <is>
          <t>STOCKHOLMS LÄN</t>
        </is>
      </c>
      <c r="E455" t="inlineStr">
        <is>
          <t>NORRTÄLJE</t>
        </is>
      </c>
      <c r="F455" t="inlineStr">
        <is>
          <t>Kyrkan</t>
        </is>
      </c>
      <c r="G455" t="n">
        <v>0.7</v>
      </c>
      <c r="H455" t="n">
        <v>0</v>
      </c>
      <c r="I455" t="n">
        <v>0</v>
      </c>
      <c r="J455" t="n">
        <v>0</v>
      </c>
      <c r="K455" t="n">
        <v>0</v>
      </c>
      <c r="L455" t="n">
        <v>0</v>
      </c>
      <c r="M455" t="n">
        <v>0</v>
      </c>
      <c r="N455" t="n">
        <v>0</v>
      </c>
      <c r="O455" t="n">
        <v>0</v>
      </c>
      <c r="P455" t="n">
        <v>0</v>
      </c>
      <c r="Q455" t="n">
        <v>0</v>
      </c>
      <c r="R455" s="2" t="inlineStr"/>
    </row>
    <row r="456" ht="15" customHeight="1">
      <c r="A456" t="inlineStr">
        <is>
          <t>A 52686-2024</t>
        </is>
      </c>
      <c r="B456" s="1" t="n">
        <v>45610.39271990741</v>
      </c>
      <c r="C456" s="1" t="n">
        <v>46186</v>
      </c>
      <c r="D456" t="inlineStr">
        <is>
          <t>STOCKHOLMS LÄN</t>
        </is>
      </c>
      <c r="E456" t="inlineStr">
        <is>
          <t>NORRTÄLJE</t>
        </is>
      </c>
      <c r="G456" t="n">
        <v>5.7</v>
      </c>
      <c r="H456" t="n">
        <v>0</v>
      </c>
      <c r="I456" t="n">
        <v>0</v>
      </c>
      <c r="J456" t="n">
        <v>0</v>
      </c>
      <c r="K456" t="n">
        <v>0</v>
      </c>
      <c r="L456" t="n">
        <v>0</v>
      </c>
      <c r="M456" t="n">
        <v>0</v>
      </c>
      <c r="N456" t="n">
        <v>0</v>
      </c>
      <c r="O456" t="n">
        <v>0</v>
      </c>
      <c r="P456" t="n">
        <v>0</v>
      </c>
      <c r="Q456" t="n">
        <v>0</v>
      </c>
      <c r="R456" s="2" t="inlineStr"/>
    </row>
    <row r="457" ht="15" customHeight="1">
      <c r="A457" t="inlineStr">
        <is>
          <t>A 9765-2024</t>
        </is>
      </c>
      <c r="B457" s="1" t="n">
        <v>45362.62811342593</v>
      </c>
      <c r="C457" s="1" t="n">
        <v>46186</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62998-2023</t>
        </is>
      </c>
      <c r="B458" s="1" t="n">
        <v>45272.64479166667</v>
      </c>
      <c r="C458" s="1" t="n">
        <v>46186</v>
      </c>
      <c r="D458" t="inlineStr">
        <is>
          <t>STOCKHOLMS LÄN</t>
        </is>
      </c>
      <c r="E458" t="inlineStr">
        <is>
          <t>NORRTÄLJE</t>
        </is>
      </c>
      <c r="G458" t="n">
        <v>16.3</v>
      </c>
      <c r="H458" t="n">
        <v>0</v>
      </c>
      <c r="I458" t="n">
        <v>0</v>
      </c>
      <c r="J458" t="n">
        <v>0</v>
      </c>
      <c r="K458" t="n">
        <v>0</v>
      </c>
      <c r="L458" t="n">
        <v>0</v>
      </c>
      <c r="M458" t="n">
        <v>0</v>
      </c>
      <c r="N458" t="n">
        <v>0</v>
      </c>
      <c r="O458" t="n">
        <v>0</v>
      </c>
      <c r="P458" t="n">
        <v>0</v>
      </c>
      <c r="Q458" t="n">
        <v>0</v>
      </c>
      <c r="R458" s="2" t="inlineStr"/>
    </row>
    <row r="459" ht="15" customHeight="1">
      <c r="A459" t="inlineStr">
        <is>
          <t>A 63015-2023</t>
        </is>
      </c>
      <c r="B459" s="1" t="n">
        <v>45272</v>
      </c>
      <c r="C459" s="1" t="n">
        <v>46186</v>
      </c>
      <c r="D459" t="inlineStr">
        <is>
          <t>STOCKHOLMS LÄN</t>
        </is>
      </c>
      <c r="E459" t="inlineStr">
        <is>
          <t>NORRTÄLJE</t>
        </is>
      </c>
      <c r="G459" t="n">
        <v>13.1</v>
      </c>
      <c r="H459" t="n">
        <v>0</v>
      </c>
      <c r="I459" t="n">
        <v>0</v>
      </c>
      <c r="J459" t="n">
        <v>0</v>
      </c>
      <c r="K459" t="n">
        <v>0</v>
      </c>
      <c r="L459" t="n">
        <v>0</v>
      </c>
      <c r="M459" t="n">
        <v>0</v>
      </c>
      <c r="N459" t="n">
        <v>0</v>
      </c>
      <c r="O459" t="n">
        <v>0</v>
      </c>
      <c r="P459" t="n">
        <v>0</v>
      </c>
      <c r="Q459" t="n">
        <v>0</v>
      </c>
      <c r="R459" s="2" t="inlineStr"/>
    </row>
    <row r="460" ht="15" customHeight="1">
      <c r="A460" t="inlineStr">
        <is>
          <t>A 59875-2024</t>
        </is>
      </c>
      <c r="B460" s="1" t="n">
        <v>45640.58716435185</v>
      </c>
      <c r="C460" s="1" t="n">
        <v>46186</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27831-2024</t>
        </is>
      </c>
      <c r="B461" s="1" t="n">
        <v>45475.61896990741</v>
      </c>
      <c r="C461" s="1" t="n">
        <v>46186</v>
      </c>
      <c r="D461" t="inlineStr">
        <is>
          <t>STOCKHOLMS LÄN</t>
        </is>
      </c>
      <c r="E461" t="inlineStr">
        <is>
          <t>NORRTÄLJE</t>
        </is>
      </c>
      <c r="G461" t="n">
        <v>3.8</v>
      </c>
      <c r="H461" t="n">
        <v>0</v>
      </c>
      <c r="I461" t="n">
        <v>0</v>
      </c>
      <c r="J461" t="n">
        <v>0</v>
      </c>
      <c r="K461" t="n">
        <v>0</v>
      </c>
      <c r="L461" t="n">
        <v>0</v>
      </c>
      <c r="M461" t="n">
        <v>0</v>
      </c>
      <c r="N461" t="n">
        <v>0</v>
      </c>
      <c r="O461" t="n">
        <v>0</v>
      </c>
      <c r="P461" t="n">
        <v>0</v>
      </c>
      <c r="Q461" t="n">
        <v>0</v>
      </c>
      <c r="R461" s="2" t="inlineStr"/>
    </row>
    <row r="462" ht="15" customHeight="1">
      <c r="A462" t="inlineStr">
        <is>
          <t>A 11-2024</t>
        </is>
      </c>
      <c r="B462" s="1" t="n">
        <v>45293</v>
      </c>
      <c r="C462" s="1" t="n">
        <v>46186</v>
      </c>
      <c r="D462" t="inlineStr">
        <is>
          <t>STOCKHOLMS LÄN</t>
        </is>
      </c>
      <c r="E462" t="inlineStr">
        <is>
          <t>NORRTÄLJE</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14559-2024</t>
        </is>
      </c>
      <c r="B463" s="1" t="n">
        <v>45394.72869212963</v>
      </c>
      <c r="C463" s="1" t="n">
        <v>46186</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8433-2022</t>
        </is>
      </c>
      <c r="B464" s="1" t="n">
        <v>44611</v>
      </c>
      <c r="C464" s="1" t="n">
        <v>46186</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25525-2022</t>
        </is>
      </c>
      <c r="B465" s="1" t="n">
        <v>44732</v>
      </c>
      <c r="C465" s="1" t="n">
        <v>46186</v>
      </c>
      <c r="D465" t="inlineStr">
        <is>
          <t>STOCKHOLMS LÄN</t>
        </is>
      </c>
      <c r="E465" t="inlineStr">
        <is>
          <t>NORRTÄLJE</t>
        </is>
      </c>
      <c r="G465" t="n">
        <v>2.2</v>
      </c>
      <c r="H465" t="n">
        <v>0</v>
      </c>
      <c r="I465" t="n">
        <v>0</v>
      </c>
      <c r="J465" t="n">
        <v>0</v>
      </c>
      <c r="K465" t="n">
        <v>0</v>
      </c>
      <c r="L465" t="n">
        <v>0</v>
      </c>
      <c r="M465" t="n">
        <v>0</v>
      </c>
      <c r="N465" t="n">
        <v>0</v>
      </c>
      <c r="O465" t="n">
        <v>0</v>
      </c>
      <c r="P465" t="n">
        <v>0</v>
      </c>
      <c r="Q465" t="n">
        <v>0</v>
      </c>
      <c r="R465" s="2" t="inlineStr"/>
    </row>
    <row r="466" ht="15" customHeight="1">
      <c r="A466" t="inlineStr">
        <is>
          <t>A 38889-2024</t>
        </is>
      </c>
      <c r="B466" s="1" t="n">
        <v>45547</v>
      </c>
      <c r="C466" s="1" t="n">
        <v>46186</v>
      </c>
      <c r="D466" t="inlineStr">
        <is>
          <t>STOCKHOLMS LÄN</t>
        </is>
      </c>
      <c r="E466" t="inlineStr">
        <is>
          <t>NORRTÄLJE</t>
        </is>
      </c>
      <c r="G466" t="n">
        <v>1.1</v>
      </c>
      <c r="H466" t="n">
        <v>0</v>
      </c>
      <c r="I466" t="n">
        <v>0</v>
      </c>
      <c r="J466" t="n">
        <v>0</v>
      </c>
      <c r="K466" t="n">
        <v>0</v>
      </c>
      <c r="L466" t="n">
        <v>0</v>
      </c>
      <c r="M466" t="n">
        <v>0</v>
      </c>
      <c r="N466" t="n">
        <v>0</v>
      </c>
      <c r="O466" t="n">
        <v>0</v>
      </c>
      <c r="P466" t="n">
        <v>0</v>
      </c>
      <c r="Q466" t="n">
        <v>0</v>
      </c>
      <c r="R466" s="2" t="inlineStr"/>
    </row>
    <row r="467" ht="15" customHeight="1">
      <c r="A467" t="inlineStr">
        <is>
          <t>A 45451-2024</t>
        </is>
      </c>
      <c r="B467" s="1" t="n">
        <v>45576</v>
      </c>
      <c r="C467" s="1" t="n">
        <v>46186</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26644-2024</t>
        </is>
      </c>
      <c r="B468" s="1" t="n">
        <v>45469</v>
      </c>
      <c r="C468" s="1" t="n">
        <v>46186</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2982-2023</t>
        </is>
      </c>
      <c r="B469" s="1" t="n">
        <v>44945.67409722223</v>
      </c>
      <c r="C469" s="1" t="n">
        <v>46186</v>
      </c>
      <c r="D469" t="inlineStr">
        <is>
          <t>STOCKHOLMS LÄN</t>
        </is>
      </c>
      <c r="E469" t="inlineStr">
        <is>
          <t>NORRTÄLJE</t>
        </is>
      </c>
      <c r="G469" t="n">
        <v>3.3</v>
      </c>
      <c r="H469" t="n">
        <v>0</v>
      </c>
      <c r="I469" t="n">
        <v>0</v>
      </c>
      <c r="J469" t="n">
        <v>0</v>
      </c>
      <c r="K469" t="n">
        <v>0</v>
      </c>
      <c r="L469" t="n">
        <v>0</v>
      </c>
      <c r="M469" t="n">
        <v>0</v>
      </c>
      <c r="N469" t="n">
        <v>0</v>
      </c>
      <c r="O469" t="n">
        <v>0</v>
      </c>
      <c r="P469" t="n">
        <v>0</v>
      </c>
      <c r="Q469" t="n">
        <v>0</v>
      </c>
      <c r="R469" s="2" t="inlineStr"/>
    </row>
    <row r="470" ht="15" customHeight="1">
      <c r="A470" t="inlineStr">
        <is>
          <t>A 37136-2023</t>
        </is>
      </c>
      <c r="B470" s="1" t="n">
        <v>45155</v>
      </c>
      <c r="C470" s="1" t="n">
        <v>46186</v>
      </c>
      <c r="D470" t="inlineStr">
        <is>
          <t>STOCKHOLMS LÄN</t>
        </is>
      </c>
      <c r="E470" t="inlineStr">
        <is>
          <t>NORRTÄLJE</t>
        </is>
      </c>
      <c r="G470" t="n">
        <v>2.5</v>
      </c>
      <c r="H470" t="n">
        <v>0</v>
      </c>
      <c r="I470" t="n">
        <v>0</v>
      </c>
      <c r="J470" t="n">
        <v>0</v>
      </c>
      <c r="K470" t="n">
        <v>0</v>
      </c>
      <c r="L470" t="n">
        <v>0</v>
      </c>
      <c r="M470" t="n">
        <v>0</v>
      </c>
      <c r="N470" t="n">
        <v>0</v>
      </c>
      <c r="O470" t="n">
        <v>0</v>
      </c>
      <c r="P470" t="n">
        <v>0</v>
      </c>
      <c r="Q470" t="n">
        <v>0</v>
      </c>
      <c r="R470" s="2" t="inlineStr"/>
    </row>
    <row r="471" ht="15" customHeight="1">
      <c r="A471" t="inlineStr">
        <is>
          <t>A 18787-2022</t>
        </is>
      </c>
      <c r="B471" s="1" t="n">
        <v>44687</v>
      </c>
      <c r="C471" s="1" t="n">
        <v>46186</v>
      </c>
      <c r="D471" t="inlineStr">
        <is>
          <t>STOCKHOLMS LÄN</t>
        </is>
      </c>
      <c r="E471" t="inlineStr">
        <is>
          <t>NORRTÄLJE</t>
        </is>
      </c>
      <c r="G471" t="n">
        <v>2</v>
      </c>
      <c r="H471" t="n">
        <v>0</v>
      </c>
      <c r="I471" t="n">
        <v>0</v>
      </c>
      <c r="J471" t="n">
        <v>0</v>
      </c>
      <c r="K471" t="n">
        <v>0</v>
      </c>
      <c r="L471" t="n">
        <v>0</v>
      </c>
      <c r="M471" t="n">
        <v>0</v>
      </c>
      <c r="N471" t="n">
        <v>0</v>
      </c>
      <c r="O471" t="n">
        <v>0</v>
      </c>
      <c r="P471" t="n">
        <v>0</v>
      </c>
      <c r="Q471" t="n">
        <v>0</v>
      </c>
      <c r="R471" s="2" t="inlineStr"/>
    </row>
    <row r="472" ht="15" customHeight="1">
      <c r="A472" t="inlineStr">
        <is>
          <t>A 13718-2022</t>
        </is>
      </c>
      <c r="B472" s="1" t="n">
        <v>44649</v>
      </c>
      <c r="C472" s="1" t="n">
        <v>46186</v>
      </c>
      <c r="D472" t="inlineStr">
        <is>
          <t>STOCKHOLMS LÄN</t>
        </is>
      </c>
      <c r="E472" t="inlineStr">
        <is>
          <t>NORRTÄLJE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36269-2022</t>
        </is>
      </c>
      <c r="B473" s="1" t="n">
        <v>44803</v>
      </c>
      <c r="C473" s="1" t="n">
        <v>46186</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36308-2022</t>
        </is>
      </c>
      <c r="B474" s="1" t="n">
        <v>44803</v>
      </c>
      <c r="C474" s="1" t="n">
        <v>46186</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718-2026</t>
        </is>
      </c>
      <c r="B475" s="1" t="n">
        <v>46029.63174768518</v>
      </c>
      <c r="C475" s="1" t="n">
        <v>46186</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33175-2024</t>
        </is>
      </c>
      <c r="B476" s="1" t="n">
        <v>45518</v>
      </c>
      <c r="C476" s="1" t="n">
        <v>46186</v>
      </c>
      <c r="D476" t="inlineStr">
        <is>
          <t>STOCKHOLMS LÄN</t>
        </is>
      </c>
      <c r="E476" t="inlineStr">
        <is>
          <t>NORRTÄLJE</t>
        </is>
      </c>
      <c r="G476" t="n">
        <v>2.1</v>
      </c>
      <c r="H476" t="n">
        <v>0</v>
      </c>
      <c r="I476" t="n">
        <v>0</v>
      </c>
      <c r="J476" t="n">
        <v>0</v>
      </c>
      <c r="K476" t="n">
        <v>0</v>
      </c>
      <c r="L476" t="n">
        <v>0</v>
      </c>
      <c r="M476" t="n">
        <v>0</v>
      </c>
      <c r="N476" t="n">
        <v>0</v>
      </c>
      <c r="O476" t="n">
        <v>0</v>
      </c>
      <c r="P476" t="n">
        <v>0</v>
      </c>
      <c r="Q476" t="n">
        <v>0</v>
      </c>
      <c r="R476" s="2" t="inlineStr"/>
    </row>
    <row r="477" ht="15" customHeight="1">
      <c r="A477" t="inlineStr">
        <is>
          <t>A 694-2026</t>
        </is>
      </c>
      <c r="B477" s="1" t="n">
        <v>46029.61375</v>
      </c>
      <c r="C477" s="1" t="n">
        <v>46186</v>
      </c>
      <c r="D477" t="inlineStr">
        <is>
          <t>STOCKHOLMS LÄN</t>
        </is>
      </c>
      <c r="E477" t="inlineStr">
        <is>
          <t>NORRTÄLJE</t>
        </is>
      </c>
      <c r="G477" t="n">
        <v>9.6</v>
      </c>
      <c r="H477" t="n">
        <v>0</v>
      </c>
      <c r="I477" t="n">
        <v>0</v>
      </c>
      <c r="J477" t="n">
        <v>0</v>
      </c>
      <c r="K477" t="n">
        <v>0</v>
      </c>
      <c r="L477" t="n">
        <v>0</v>
      </c>
      <c r="M477" t="n">
        <v>0</v>
      </c>
      <c r="N477" t="n">
        <v>0</v>
      </c>
      <c r="O477" t="n">
        <v>0</v>
      </c>
      <c r="P477" t="n">
        <v>0</v>
      </c>
      <c r="Q477" t="n">
        <v>0</v>
      </c>
      <c r="R477" s="2" t="inlineStr"/>
    </row>
    <row r="478" ht="15" customHeight="1">
      <c r="A478" t="inlineStr">
        <is>
          <t>A 6919-2025</t>
        </is>
      </c>
      <c r="B478" s="1" t="n">
        <v>45701.44372685185</v>
      </c>
      <c r="C478" s="1" t="n">
        <v>46186</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32100-2022</t>
        </is>
      </c>
      <c r="B479" s="1" t="n">
        <v>44778</v>
      </c>
      <c r="C479" s="1" t="n">
        <v>46186</v>
      </c>
      <c r="D479" t="inlineStr">
        <is>
          <t>STOCKHOLMS LÄN</t>
        </is>
      </c>
      <c r="E479" t="inlineStr">
        <is>
          <t>NORRTÄLJE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21803-2022</t>
        </is>
      </c>
      <c r="B480" s="1" t="n">
        <v>44708.67822916667</v>
      </c>
      <c r="C480" s="1" t="n">
        <v>46186</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20730-2024</t>
        </is>
      </c>
      <c r="B481" s="1" t="n">
        <v>45436</v>
      </c>
      <c r="C481" s="1" t="n">
        <v>46186</v>
      </c>
      <c r="D481" t="inlineStr">
        <is>
          <t>STOCKHOLMS LÄN</t>
        </is>
      </c>
      <c r="E481" t="inlineStr">
        <is>
          <t>NORRTÄLJE</t>
        </is>
      </c>
      <c r="G481" t="n">
        <v>7.3</v>
      </c>
      <c r="H481" t="n">
        <v>0</v>
      </c>
      <c r="I481" t="n">
        <v>0</v>
      </c>
      <c r="J481" t="n">
        <v>0</v>
      </c>
      <c r="K481" t="n">
        <v>0</v>
      </c>
      <c r="L481" t="n">
        <v>0</v>
      </c>
      <c r="M481" t="n">
        <v>0</v>
      </c>
      <c r="N481" t="n">
        <v>0</v>
      </c>
      <c r="O481" t="n">
        <v>0</v>
      </c>
      <c r="P481" t="n">
        <v>0</v>
      </c>
      <c r="Q481" t="n">
        <v>0</v>
      </c>
      <c r="R481" s="2" t="inlineStr"/>
    </row>
    <row r="482" ht="15" customHeight="1">
      <c r="A482" t="inlineStr">
        <is>
          <t>A 37444-2021</t>
        </is>
      </c>
      <c r="B482" s="1" t="n">
        <v>44398</v>
      </c>
      <c r="C482" s="1" t="n">
        <v>46186</v>
      </c>
      <c r="D482" t="inlineStr">
        <is>
          <t>STOCKHOLMS LÄN</t>
        </is>
      </c>
      <c r="E482" t="inlineStr">
        <is>
          <t>NORRTÄLJE</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30886-2022</t>
        </is>
      </c>
      <c r="B483" s="1" t="n">
        <v>44767.60601851852</v>
      </c>
      <c r="C483" s="1" t="n">
        <v>46186</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693-2026</t>
        </is>
      </c>
      <c r="B484" s="1" t="n">
        <v>46029.6133449074</v>
      </c>
      <c r="C484" s="1" t="n">
        <v>46186</v>
      </c>
      <c r="D484" t="inlineStr">
        <is>
          <t>STOCKHOLMS LÄN</t>
        </is>
      </c>
      <c r="E484" t="inlineStr">
        <is>
          <t>NORRTÄLJE</t>
        </is>
      </c>
      <c r="G484" t="n">
        <v>9.6</v>
      </c>
      <c r="H484" t="n">
        <v>0</v>
      </c>
      <c r="I484" t="n">
        <v>0</v>
      </c>
      <c r="J484" t="n">
        <v>0</v>
      </c>
      <c r="K484" t="n">
        <v>0</v>
      </c>
      <c r="L484" t="n">
        <v>0</v>
      </c>
      <c r="M484" t="n">
        <v>0</v>
      </c>
      <c r="N484" t="n">
        <v>0</v>
      </c>
      <c r="O484" t="n">
        <v>0</v>
      </c>
      <c r="P484" t="n">
        <v>0</v>
      </c>
      <c r="Q484" t="n">
        <v>0</v>
      </c>
      <c r="R484" s="2" t="inlineStr"/>
    </row>
    <row r="485" ht="15" customHeight="1">
      <c r="A485" t="inlineStr">
        <is>
          <t>A 475-2026</t>
        </is>
      </c>
      <c r="B485" s="1" t="n">
        <v>46029.39351851852</v>
      </c>
      <c r="C485" s="1" t="n">
        <v>46186</v>
      </c>
      <c r="D485" t="inlineStr">
        <is>
          <t>STOCKHOLMS LÄN</t>
        </is>
      </c>
      <c r="E485" t="inlineStr">
        <is>
          <t>NORRTÄLJE</t>
        </is>
      </c>
      <c r="G485" t="n">
        <v>4.6</v>
      </c>
      <c r="H485" t="n">
        <v>0</v>
      </c>
      <c r="I485" t="n">
        <v>0</v>
      </c>
      <c r="J485" t="n">
        <v>0</v>
      </c>
      <c r="K485" t="n">
        <v>0</v>
      </c>
      <c r="L485" t="n">
        <v>0</v>
      </c>
      <c r="M485" t="n">
        <v>0</v>
      </c>
      <c r="N485" t="n">
        <v>0</v>
      </c>
      <c r="O485" t="n">
        <v>0</v>
      </c>
      <c r="P485" t="n">
        <v>0</v>
      </c>
      <c r="Q485" t="n">
        <v>0</v>
      </c>
      <c r="R485" s="2" t="inlineStr"/>
    </row>
    <row r="486" ht="15" customHeight="1">
      <c r="A486" t="inlineStr">
        <is>
          <t>A 717-2026</t>
        </is>
      </c>
      <c r="B486" s="1" t="n">
        <v>46029.63028935185</v>
      </c>
      <c r="C486" s="1" t="n">
        <v>46186</v>
      </c>
      <c r="D486" t="inlineStr">
        <is>
          <t>STOCKHOLMS LÄN</t>
        </is>
      </c>
      <c r="E486" t="inlineStr">
        <is>
          <t>NORRTÄLJE</t>
        </is>
      </c>
      <c r="G486" t="n">
        <v>2.4</v>
      </c>
      <c r="H486" t="n">
        <v>0</v>
      </c>
      <c r="I486" t="n">
        <v>0</v>
      </c>
      <c r="J486" t="n">
        <v>0</v>
      </c>
      <c r="K486" t="n">
        <v>0</v>
      </c>
      <c r="L486" t="n">
        <v>0</v>
      </c>
      <c r="M486" t="n">
        <v>0</v>
      </c>
      <c r="N486" t="n">
        <v>0</v>
      </c>
      <c r="O486" t="n">
        <v>0</v>
      </c>
      <c r="P486" t="n">
        <v>0</v>
      </c>
      <c r="Q486" t="n">
        <v>0</v>
      </c>
      <c r="R486" s="2" t="inlineStr"/>
    </row>
    <row r="487" ht="15" customHeight="1">
      <c r="A487" t="inlineStr">
        <is>
          <t>A 9654-2022</t>
        </is>
      </c>
      <c r="B487" s="1" t="n">
        <v>44617</v>
      </c>
      <c r="C487" s="1" t="n">
        <v>46186</v>
      </c>
      <c r="D487" t="inlineStr">
        <is>
          <t>STOCKHOLMS LÄN</t>
        </is>
      </c>
      <c r="E487" t="inlineStr">
        <is>
          <t>NORRTÄLJE</t>
        </is>
      </c>
      <c r="G487" t="n">
        <v>6.4</v>
      </c>
      <c r="H487" t="n">
        <v>0</v>
      </c>
      <c r="I487" t="n">
        <v>0</v>
      </c>
      <c r="J487" t="n">
        <v>0</v>
      </c>
      <c r="K487" t="n">
        <v>0</v>
      </c>
      <c r="L487" t="n">
        <v>0</v>
      </c>
      <c r="M487" t="n">
        <v>0</v>
      </c>
      <c r="N487" t="n">
        <v>0</v>
      </c>
      <c r="O487" t="n">
        <v>0</v>
      </c>
      <c r="P487" t="n">
        <v>0</v>
      </c>
      <c r="Q487" t="n">
        <v>0</v>
      </c>
      <c r="R487" s="2" t="inlineStr"/>
    </row>
    <row r="488" ht="15" customHeight="1">
      <c r="A488" t="inlineStr">
        <is>
          <t>A 812-2026</t>
        </is>
      </c>
      <c r="B488" s="1" t="n">
        <v>46030.33358796296</v>
      </c>
      <c r="C488" s="1" t="n">
        <v>46186</v>
      </c>
      <c r="D488" t="inlineStr">
        <is>
          <t>STOCKHOLMS LÄN</t>
        </is>
      </c>
      <c r="E488" t="inlineStr">
        <is>
          <t>NORRTÄLJE</t>
        </is>
      </c>
      <c r="G488" t="n">
        <v>2.4</v>
      </c>
      <c r="H488" t="n">
        <v>0</v>
      </c>
      <c r="I488" t="n">
        <v>0</v>
      </c>
      <c r="J488" t="n">
        <v>0</v>
      </c>
      <c r="K488" t="n">
        <v>0</v>
      </c>
      <c r="L488" t="n">
        <v>0</v>
      </c>
      <c r="M488" t="n">
        <v>0</v>
      </c>
      <c r="N488" t="n">
        <v>0</v>
      </c>
      <c r="O488" t="n">
        <v>0</v>
      </c>
      <c r="P488" t="n">
        <v>0</v>
      </c>
      <c r="Q488" t="n">
        <v>0</v>
      </c>
      <c r="R488" s="2" t="inlineStr"/>
    </row>
    <row r="489" ht="15" customHeight="1">
      <c r="A489" t="inlineStr">
        <is>
          <t>A 12901-2024</t>
        </is>
      </c>
      <c r="B489" s="1" t="n">
        <v>45385.37922453704</v>
      </c>
      <c r="C489" s="1" t="n">
        <v>46186</v>
      </c>
      <c r="D489" t="inlineStr">
        <is>
          <t>STOCKHOLMS LÄN</t>
        </is>
      </c>
      <c r="E489" t="inlineStr">
        <is>
          <t>NORRTÄLJE</t>
        </is>
      </c>
      <c r="G489" t="n">
        <v>2.7</v>
      </c>
      <c r="H489" t="n">
        <v>0</v>
      </c>
      <c r="I489" t="n">
        <v>0</v>
      </c>
      <c r="J489" t="n">
        <v>0</v>
      </c>
      <c r="K489" t="n">
        <v>0</v>
      </c>
      <c r="L489" t="n">
        <v>0</v>
      </c>
      <c r="M489" t="n">
        <v>0</v>
      </c>
      <c r="N489" t="n">
        <v>0</v>
      </c>
      <c r="O489" t="n">
        <v>0</v>
      </c>
      <c r="P489" t="n">
        <v>0</v>
      </c>
      <c r="Q489" t="n">
        <v>0</v>
      </c>
      <c r="R489" s="2" t="inlineStr"/>
    </row>
    <row r="490" ht="15" customHeight="1">
      <c r="A490" t="inlineStr">
        <is>
          <t>A 1453-2025</t>
        </is>
      </c>
      <c r="B490" s="1" t="n">
        <v>45670.3079050926</v>
      </c>
      <c r="C490" s="1" t="n">
        <v>46186</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8950-2025</t>
        </is>
      </c>
      <c r="B491" s="1" t="n">
        <v>45713</v>
      </c>
      <c r="C491" s="1" t="n">
        <v>46186</v>
      </c>
      <c r="D491" t="inlineStr">
        <is>
          <t>STOCKHOLMS LÄN</t>
        </is>
      </c>
      <c r="E491" t="inlineStr">
        <is>
          <t>NORRTÄLJE</t>
        </is>
      </c>
      <c r="F491" t="inlineStr">
        <is>
          <t>Övriga Aktiebolag</t>
        </is>
      </c>
      <c r="G491" t="n">
        <v>3.6</v>
      </c>
      <c r="H491" t="n">
        <v>0</v>
      </c>
      <c r="I491" t="n">
        <v>0</v>
      </c>
      <c r="J491" t="n">
        <v>0</v>
      </c>
      <c r="K491" t="n">
        <v>0</v>
      </c>
      <c r="L491" t="n">
        <v>0</v>
      </c>
      <c r="M491" t="n">
        <v>0</v>
      </c>
      <c r="N491" t="n">
        <v>0</v>
      </c>
      <c r="O491" t="n">
        <v>0</v>
      </c>
      <c r="P491" t="n">
        <v>0</v>
      </c>
      <c r="Q491" t="n">
        <v>0</v>
      </c>
      <c r="R491" s="2" t="inlineStr"/>
    </row>
    <row r="492" ht="15" customHeight="1">
      <c r="A492" t="inlineStr">
        <is>
          <t>A 12301-2025</t>
        </is>
      </c>
      <c r="B492" s="1" t="n">
        <v>45729.7271875</v>
      </c>
      <c r="C492" s="1" t="n">
        <v>46186</v>
      </c>
      <c r="D492" t="inlineStr">
        <is>
          <t>STOCKHOLMS LÄN</t>
        </is>
      </c>
      <c r="E492" t="inlineStr">
        <is>
          <t>NORRTÄLJE</t>
        </is>
      </c>
      <c r="G492" t="n">
        <v>3.2</v>
      </c>
      <c r="H492" t="n">
        <v>0</v>
      </c>
      <c r="I492" t="n">
        <v>0</v>
      </c>
      <c r="J492" t="n">
        <v>0</v>
      </c>
      <c r="K492" t="n">
        <v>0</v>
      </c>
      <c r="L492" t="n">
        <v>0</v>
      </c>
      <c r="M492" t="n">
        <v>0</v>
      </c>
      <c r="N492" t="n">
        <v>0</v>
      </c>
      <c r="O492" t="n">
        <v>0</v>
      </c>
      <c r="P492" t="n">
        <v>0</v>
      </c>
      <c r="Q492" t="n">
        <v>0</v>
      </c>
      <c r="R492" s="2" t="inlineStr"/>
    </row>
    <row r="493" ht="15" customHeight="1">
      <c r="A493" t="inlineStr">
        <is>
          <t>A 13283-2025</t>
        </is>
      </c>
      <c r="B493" s="1" t="n">
        <v>45735</v>
      </c>
      <c r="C493" s="1" t="n">
        <v>46186</v>
      </c>
      <c r="D493" t="inlineStr">
        <is>
          <t>STOCKHOLMS LÄN</t>
        </is>
      </c>
      <c r="E493" t="inlineStr">
        <is>
          <t>NORRTÄLJE</t>
        </is>
      </c>
      <c r="G493" t="n">
        <v>4.9</v>
      </c>
      <c r="H493" t="n">
        <v>0</v>
      </c>
      <c r="I493" t="n">
        <v>0</v>
      </c>
      <c r="J493" t="n">
        <v>0</v>
      </c>
      <c r="K493" t="n">
        <v>0</v>
      </c>
      <c r="L493" t="n">
        <v>0</v>
      </c>
      <c r="M493" t="n">
        <v>0</v>
      </c>
      <c r="N493" t="n">
        <v>0</v>
      </c>
      <c r="O493" t="n">
        <v>0</v>
      </c>
      <c r="P493" t="n">
        <v>0</v>
      </c>
      <c r="Q493" t="n">
        <v>0</v>
      </c>
      <c r="R493" s="2" t="inlineStr"/>
    </row>
    <row r="494" ht="15" customHeight="1">
      <c r="A494" t="inlineStr">
        <is>
          <t>A 50907-2022</t>
        </is>
      </c>
      <c r="B494" s="1" t="n">
        <v>44867.62090277778</v>
      </c>
      <c r="C494" s="1" t="n">
        <v>46186</v>
      </c>
      <c r="D494" t="inlineStr">
        <is>
          <t>STOCKHOLMS LÄN</t>
        </is>
      </c>
      <c r="E494" t="inlineStr">
        <is>
          <t>NORRTÄLJE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29003-2023</t>
        </is>
      </c>
      <c r="B495" s="1" t="n">
        <v>45104</v>
      </c>
      <c r="C495" s="1" t="n">
        <v>46186</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24687-2025</t>
        </is>
      </c>
      <c r="B496" s="1" t="n">
        <v>45798.66767361111</v>
      </c>
      <c r="C496" s="1" t="n">
        <v>46186</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33295-2023</t>
        </is>
      </c>
      <c r="B497" s="1" t="n">
        <v>45127.69371527778</v>
      </c>
      <c r="C497" s="1" t="n">
        <v>46186</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16980-2023</t>
        </is>
      </c>
      <c r="B498" s="1" t="n">
        <v>45033</v>
      </c>
      <c r="C498" s="1" t="n">
        <v>46186</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24638-2025</t>
        </is>
      </c>
      <c r="B499" s="1" t="n">
        <v>45798</v>
      </c>
      <c r="C499" s="1" t="n">
        <v>46186</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32595-2023</t>
        </is>
      </c>
      <c r="B500" s="1" t="n">
        <v>45121</v>
      </c>
      <c r="C500" s="1" t="n">
        <v>46186</v>
      </c>
      <c r="D500" t="inlineStr">
        <is>
          <t>STOCKHOLMS LÄN</t>
        </is>
      </c>
      <c r="E500" t="inlineStr">
        <is>
          <t>NORRTÄLJE</t>
        </is>
      </c>
      <c r="G500" t="n">
        <v>2.4</v>
      </c>
      <c r="H500" t="n">
        <v>0</v>
      </c>
      <c r="I500" t="n">
        <v>0</v>
      </c>
      <c r="J500" t="n">
        <v>0</v>
      </c>
      <c r="K500" t="n">
        <v>0</v>
      </c>
      <c r="L500" t="n">
        <v>0</v>
      </c>
      <c r="M500" t="n">
        <v>0</v>
      </c>
      <c r="N500" t="n">
        <v>0</v>
      </c>
      <c r="O500" t="n">
        <v>0</v>
      </c>
      <c r="P500" t="n">
        <v>0</v>
      </c>
      <c r="Q500" t="n">
        <v>0</v>
      </c>
      <c r="R500" s="2" t="inlineStr"/>
    </row>
    <row r="501" ht="15" customHeight="1">
      <c r="A501" t="inlineStr">
        <is>
          <t>A 28603-2024</t>
        </is>
      </c>
      <c r="B501" s="1" t="n">
        <v>45478.42887731481</v>
      </c>
      <c r="C501" s="1" t="n">
        <v>46186</v>
      </c>
      <c r="D501" t="inlineStr">
        <is>
          <t>STOCKHOLMS LÄN</t>
        </is>
      </c>
      <c r="E501" t="inlineStr">
        <is>
          <t>NORRTÄLJE</t>
        </is>
      </c>
      <c r="G501" t="n">
        <v>5.6</v>
      </c>
      <c r="H501" t="n">
        <v>0</v>
      </c>
      <c r="I501" t="n">
        <v>0</v>
      </c>
      <c r="J501" t="n">
        <v>0</v>
      </c>
      <c r="K501" t="n">
        <v>0</v>
      </c>
      <c r="L501" t="n">
        <v>0</v>
      </c>
      <c r="M501" t="n">
        <v>0</v>
      </c>
      <c r="N501" t="n">
        <v>0</v>
      </c>
      <c r="O501" t="n">
        <v>0</v>
      </c>
      <c r="P501" t="n">
        <v>0</v>
      </c>
      <c r="Q501" t="n">
        <v>0</v>
      </c>
      <c r="R501" s="2" t="inlineStr"/>
    </row>
    <row r="502" ht="15" customHeight="1">
      <c r="A502" t="inlineStr">
        <is>
          <t>A 37550-2022</t>
        </is>
      </c>
      <c r="B502" s="1" t="n">
        <v>44809</v>
      </c>
      <c r="C502" s="1" t="n">
        <v>46186</v>
      </c>
      <c r="D502" t="inlineStr">
        <is>
          <t>STOCKHOLMS LÄN</t>
        </is>
      </c>
      <c r="E502" t="inlineStr">
        <is>
          <t>NORRTÄLJE</t>
        </is>
      </c>
      <c r="G502" t="n">
        <v>1</v>
      </c>
      <c r="H502" t="n">
        <v>0</v>
      </c>
      <c r="I502" t="n">
        <v>0</v>
      </c>
      <c r="J502" t="n">
        <v>0</v>
      </c>
      <c r="K502" t="n">
        <v>0</v>
      </c>
      <c r="L502" t="n">
        <v>0</v>
      </c>
      <c r="M502" t="n">
        <v>0</v>
      </c>
      <c r="N502" t="n">
        <v>0</v>
      </c>
      <c r="O502" t="n">
        <v>0</v>
      </c>
      <c r="P502" t="n">
        <v>0</v>
      </c>
      <c r="Q502" t="n">
        <v>0</v>
      </c>
      <c r="R502" s="2" t="inlineStr"/>
    </row>
    <row r="503" ht="15" customHeight="1">
      <c r="A503" t="inlineStr">
        <is>
          <t>A 1755-2026</t>
        </is>
      </c>
      <c r="B503" s="1" t="n">
        <v>46034.66230324074</v>
      </c>
      <c r="C503" s="1" t="n">
        <v>46186</v>
      </c>
      <c r="D503" t="inlineStr">
        <is>
          <t>STOCKHOLMS LÄN</t>
        </is>
      </c>
      <c r="E503" t="inlineStr">
        <is>
          <t>NORRTÄLJE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48161-2022</t>
        </is>
      </c>
      <c r="B504" s="1" t="n">
        <v>44858</v>
      </c>
      <c r="C504" s="1" t="n">
        <v>46186</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1789-2026</t>
        </is>
      </c>
      <c r="B505" s="1" t="n">
        <v>46034</v>
      </c>
      <c r="C505" s="1" t="n">
        <v>46186</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48798-2021</t>
        </is>
      </c>
      <c r="B506" s="1" t="n">
        <v>44452</v>
      </c>
      <c r="C506" s="1" t="n">
        <v>46186</v>
      </c>
      <c r="D506" t="inlineStr">
        <is>
          <t>STOCKHOLMS LÄN</t>
        </is>
      </c>
      <c r="E506" t="inlineStr">
        <is>
          <t>NORRTÄLJE</t>
        </is>
      </c>
      <c r="G506" t="n">
        <v>2</v>
      </c>
      <c r="H506" t="n">
        <v>0</v>
      </c>
      <c r="I506" t="n">
        <v>0</v>
      </c>
      <c r="J506" t="n">
        <v>0</v>
      </c>
      <c r="K506" t="n">
        <v>0</v>
      </c>
      <c r="L506" t="n">
        <v>0</v>
      </c>
      <c r="M506" t="n">
        <v>0</v>
      </c>
      <c r="N506" t="n">
        <v>0</v>
      </c>
      <c r="O506" t="n">
        <v>0</v>
      </c>
      <c r="P506" t="n">
        <v>0</v>
      </c>
      <c r="Q506" t="n">
        <v>0</v>
      </c>
      <c r="R506" s="2" t="inlineStr"/>
    </row>
    <row r="507" ht="15" customHeight="1">
      <c r="A507" t="inlineStr">
        <is>
          <t>A 24690-2025</t>
        </is>
      </c>
      <c r="B507" s="1" t="n">
        <v>45798.67082175926</v>
      </c>
      <c r="C507" s="1" t="n">
        <v>46186</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47259-2024</t>
        </is>
      </c>
      <c r="B508" s="1" t="n">
        <v>45586</v>
      </c>
      <c r="C508" s="1" t="n">
        <v>46186</v>
      </c>
      <c r="D508" t="inlineStr">
        <is>
          <t>STOCKHOLMS LÄN</t>
        </is>
      </c>
      <c r="E508" t="inlineStr">
        <is>
          <t>NORRTÄLJE</t>
        </is>
      </c>
      <c r="G508" t="n">
        <v>1.8</v>
      </c>
      <c r="H508" t="n">
        <v>0</v>
      </c>
      <c r="I508" t="n">
        <v>0</v>
      </c>
      <c r="J508" t="n">
        <v>0</v>
      </c>
      <c r="K508" t="n">
        <v>0</v>
      </c>
      <c r="L508" t="n">
        <v>0</v>
      </c>
      <c r="M508" t="n">
        <v>0</v>
      </c>
      <c r="N508" t="n">
        <v>0</v>
      </c>
      <c r="O508" t="n">
        <v>0</v>
      </c>
      <c r="P508" t="n">
        <v>0</v>
      </c>
      <c r="Q508" t="n">
        <v>0</v>
      </c>
      <c r="R508" s="2" t="inlineStr"/>
    </row>
    <row r="509" ht="15" customHeight="1">
      <c r="A509" t="inlineStr">
        <is>
          <t>A 54776-2023</t>
        </is>
      </c>
      <c r="B509" s="1" t="n">
        <v>45236.46369212963</v>
      </c>
      <c r="C509" s="1" t="n">
        <v>46186</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25712-2025</t>
        </is>
      </c>
      <c r="B510" s="1" t="n">
        <v>45803.69228009259</v>
      </c>
      <c r="C510" s="1" t="n">
        <v>46186</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39238-2024</t>
        </is>
      </c>
      <c r="B511" s="1" t="n">
        <v>45549</v>
      </c>
      <c r="C511" s="1" t="n">
        <v>46186</v>
      </c>
      <c r="D511" t="inlineStr">
        <is>
          <t>STOCKHOLMS LÄN</t>
        </is>
      </c>
      <c r="E511" t="inlineStr">
        <is>
          <t>NORRTÄLJE</t>
        </is>
      </c>
      <c r="G511" t="n">
        <v>3.6</v>
      </c>
      <c r="H511" t="n">
        <v>0</v>
      </c>
      <c r="I511" t="n">
        <v>0</v>
      </c>
      <c r="J511" t="n">
        <v>0</v>
      </c>
      <c r="K511" t="n">
        <v>0</v>
      </c>
      <c r="L511" t="n">
        <v>0</v>
      </c>
      <c r="M511" t="n">
        <v>0</v>
      </c>
      <c r="N511" t="n">
        <v>0</v>
      </c>
      <c r="O511" t="n">
        <v>0</v>
      </c>
      <c r="P511" t="n">
        <v>0</v>
      </c>
      <c r="Q511" t="n">
        <v>0</v>
      </c>
      <c r="R511" s="2" t="inlineStr"/>
    </row>
    <row r="512" ht="15" customHeight="1">
      <c r="A512" t="inlineStr">
        <is>
          <t>A 57442-2021</t>
        </is>
      </c>
      <c r="B512" s="1" t="n">
        <v>44483</v>
      </c>
      <c r="C512" s="1" t="n">
        <v>46186</v>
      </c>
      <c r="D512" t="inlineStr">
        <is>
          <t>STOCKHOLMS LÄN</t>
        </is>
      </c>
      <c r="E512" t="inlineStr">
        <is>
          <t>NORRTÄLJE</t>
        </is>
      </c>
      <c r="G512" t="n">
        <v>3.3</v>
      </c>
      <c r="H512" t="n">
        <v>0</v>
      </c>
      <c r="I512" t="n">
        <v>0</v>
      </c>
      <c r="J512" t="n">
        <v>0</v>
      </c>
      <c r="K512" t="n">
        <v>0</v>
      </c>
      <c r="L512" t="n">
        <v>0</v>
      </c>
      <c r="M512" t="n">
        <v>0</v>
      </c>
      <c r="N512" t="n">
        <v>0</v>
      </c>
      <c r="O512" t="n">
        <v>0</v>
      </c>
      <c r="P512" t="n">
        <v>0</v>
      </c>
      <c r="Q512" t="n">
        <v>0</v>
      </c>
      <c r="R512" s="2" t="inlineStr"/>
    </row>
    <row r="513" ht="15" customHeight="1">
      <c r="A513" t="inlineStr">
        <is>
          <t>A 25571-2025</t>
        </is>
      </c>
      <c r="B513" s="1" t="n">
        <v>45803.4675</v>
      </c>
      <c r="C513" s="1" t="n">
        <v>46186</v>
      </c>
      <c r="D513" t="inlineStr">
        <is>
          <t>STOCKHOLMS LÄN</t>
        </is>
      </c>
      <c r="E513" t="inlineStr">
        <is>
          <t>NORRTÄLJE</t>
        </is>
      </c>
      <c r="G513" t="n">
        <v>5.4</v>
      </c>
      <c r="H513" t="n">
        <v>0</v>
      </c>
      <c r="I513" t="n">
        <v>0</v>
      </c>
      <c r="J513" t="n">
        <v>0</v>
      </c>
      <c r="K513" t="n">
        <v>0</v>
      </c>
      <c r="L513" t="n">
        <v>0</v>
      </c>
      <c r="M513" t="n">
        <v>0</v>
      </c>
      <c r="N513" t="n">
        <v>0</v>
      </c>
      <c r="O513" t="n">
        <v>0</v>
      </c>
      <c r="P513" t="n">
        <v>0</v>
      </c>
      <c r="Q513" t="n">
        <v>0</v>
      </c>
      <c r="R513" s="2" t="inlineStr"/>
    </row>
    <row r="514" ht="15" customHeight="1">
      <c r="A514" t="inlineStr">
        <is>
          <t>A 25721-2025</t>
        </is>
      </c>
      <c r="B514" s="1" t="n">
        <v>45800</v>
      </c>
      <c r="C514" s="1" t="n">
        <v>46186</v>
      </c>
      <c r="D514" t="inlineStr">
        <is>
          <t>STOCKHOLMS LÄN</t>
        </is>
      </c>
      <c r="E514" t="inlineStr">
        <is>
          <t>NORRTÄLJE</t>
        </is>
      </c>
      <c r="G514" t="n">
        <v>6</v>
      </c>
      <c r="H514" t="n">
        <v>0</v>
      </c>
      <c r="I514" t="n">
        <v>0</v>
      </c>
      <c r="J514" t="n">
        <v>0</v>
      </c>
      <c r="K514" t="n">
        <v>0</v>
      </c>
      <c r="L514" t="n">
        <v>0</v>
      </c>
      <c r="M514" t="n">
        <v>0</v>
      </c>
      <c r="N514" t="n">
        <v>0</v>
      </c>
      <c r="O514" t="n">
        <v>0</v>
      </c>
      <c r="P514" t="n">
        <v>0</v>
      </c>
      <c r="Q514" t="n">
        <v>0</v>
      </c>
      <c r="R514" s="2" t="inlineStr"/>
    </row>
    <row r="515" ht="15" customHeight="1">
      <c r="A515" t="inlineStr">
        <is>
          <t>A 2088-2026</t>
        </is>
      </c>
      <c r="B515" s="1" t="n">
        <v>46036.35909722222</v>
      </c>
      <c r="C515" s="1" t="n">
        <v>46186</v>
      </c>
      <c r="D515" t="inlineStr">
        <is>
          <t>STOCKHOLMS LÄN</t>
        </is>
      </c>
      <c r="E515" t="inlineStr">
        <is>
          <t>NORRTÄLJE</t>
        </is>
      </c>
      <c r="G515" t="n">
        <v>7</v>
      </c>
      <c r="H515" t="n">
        <v>0</v>
      </c>
      <c r="I515" t="n">
        <v>0</v>
      </c>
      <c r="J515" t="n">
        <v>0</v>
      </c>
      <c r="K515" t="n">
        <v>0</v>
      </c>
      <c r="L515" t="n">
        <v>0</v>
      </c>
      <c r="M515" t="n">
        <v>0</v>
      </c>
      <c r="N515" t="n">
        <v>0</v>
      </c>
      <c r="O515" t="n">
        <v>0</v>
      </c>
      <c r="P515" t="n">
        <v>0</v>
      </c>
      <c r="Q515" t="n">
        <v>0</v>
      </c>
      <c r="R515" s="2" t="inlineStr"/>
    </row>
    <row r="516" ht="15" customHeight="1">
      <c r="A516" t="inlineStr">
        <is>
          <t>A 55952-2024</t>
        </is>
      </c>
      <c r="B516" s="1" t="n">
        <v>45623.62563657408</v>
      </c>
      <c r="C516" s="1" t="n">
        <v>46186</v>
      </c>
      <c r="D516" t="inlineStr">
        <is>
          <t>STOCKHOLMS LÄN</t>
        </is>
      </c>
      <c r="E516" t="inlineStr">
        <is>
          <t>NORRTÄLJE</t>
        </is>
      </c>
      <c r="F516" t="inlineStr">
        <is>
          <t>Holmen skog AB</t>
        </is>
      </c>
      <c r="G516" t="n">
        <v>2.8</v>
      </c>
      <c r="H516" t="n">
        <v>0</v>
      </c>
      <c r="I516" t="n">
        <v>0</v>
      </c>
      <c r="J516" t="n">
        <v>0</v>
      </c>
      <c r="K516" t="n">
        <v>0</v>
      </c>
      <c r="L516" t="n">
        <v>0</v>
      </c>
      <c r="M516" t="n">
        <v>0</v>
      </c>
      <c r="N516" t="n">
        <v>0</v>
      </c>
      <c r="O516" t="n">
        <v>0</v>
      </c>
      <c r="P516" t="n">
        <v>0</v>
      </c>
      <c r="Q516" t="n">
        <v>0</v>
      </c>
      <c r="R516" s="2" t="inlineStr"/>
    </row>
    <row r="517" ht="15" customHeight="1">
      <c r="A517" t="inlineStr">
        <is>
          <t>A 8135-2025</t>
        </is>
      </c>
      <c r="B517" s="1" t="n">
        <v>45707.84997685185</v>
      </c>
      <c r="C517" s="1" t="n">
        <v>46186</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3383-2023</t>
        </is>
      </c>
      <c r="B518" s="1" t="n">
        <v>44949</v>
      </c>
      <c r="C518" s="1" t="n">
        <v>46186</v>
      </c>
      <c r="D518" t="inlineStr">
        <is>
          <t>STOCKHOLMS LÄN</t>
        </is>
      </c>
      <c r="E518" t="inlineStr">
        <is>
          <t>NORRTÄLJE</t>
        </is>
      </c>
      <c r="G518" t="n">
        <v>14.6</v>
      </c>
      <c r="H518" t="n">
        <v>0</v>
      </c>
      <c r="I518" t="n">
        <v>0</v>
      </c>
      <c r="J518" t="n">
        <v>0</v>
      </c>
      <c r="K518" t="n">
        <v>0</v>
      </c>
      <c r="L518" t="n">
        <v>0</v>
      </c>
      <c r="M518" t="n">
        <v>0</v>
      </c>
      <c r="N518" t="n">
        <v>0</v>
      </c>
      <c r="O518" t="n">
        <v>0</v>
      </c>
      <c r="P518" t="n">
        <v>0</v>
      </c>
      <c r="Q518" t="n">
        <v>0</v>
      </c>
      <c r="R518" s="2" t="inlineStr"/>
    </row>
    <row r="519" ht="15" customHeight="1">
      <c r="A519" t="inlineStr">
        <is>
          <t>A 41218-2024</t>
        </is>
      </c>
      <c r="B519" s="1" t="n">
        <v>45559.54706018518</v>
      </c>
      <c r="C519" s="1" t="n">
        <v>46186</v>
      </c>
      <c r="D519" t="inlineStr">
        <is>
          <t>STOCKHOLMS LÄN</t>
        </is>
      </c>
      <c r="E519" t="inlineStr">
        <is>
          <t>NORRTÄLJE</t>
        </is>
      </c>
      <c r="G519" t="n">
        <v>6</v>
      </c>
      <c r="H519" t="n">
        <v>0</v>
      </c>
      <c r="I519" t="n">
        <v>0</v>
      </c>
      <c r="J519" t="n">
        <v>0</v>
      </c>
      <c r="K519" t="n">
        <v>0</v>
      </c>
      <c r="L519" t="n">
        <v>0</v>
      </c>
      <c r="M519" t="n">
        <v>0</v>
      </c>
      <c r="N519" t="n">
        <v>0</v>
      </c>
      <c r="O519" t="n">
        <v>0</v>
      </c>
      <c r="P519" t="n">
        <v>0</v>
      </c>
      <c r="Q519" t="n">
        <v>0</v>
      </c>
      <c r="R519" s="2" t="inlineStr"/>
    </row>
    <row r="520" ht="15" customHeight="1">
      <c r="A520" t="inlineStr">
        <is>
          <t>A 2116-2026</t>
        </is>
      </c>
      <c r="B520" s="1" t="n">
        <v>46036.38108796296</v>
      </c>
      <c r="C520" s="1" t="n">
        <v>46186</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21732-2023</t>
        </is>
      </c>
      <c r="B521" s="1" t="n">
        <v>45063</v>
      </c>
      <c r="C521" s="1" t="n">
        <v>46186</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23307-2024</t>
        </is>
      </c>
      <c r="B522" s="1" t="n">
        <v>45453</v>
      </c>
      <c r="C522" s="1" t="n">
        <v>46186</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38449-2022</t>
        </is>
      </c>
      <c r="B523" s="1" t="n">
        <v>44813</v>
      </c>
      <c r="C523" s="1" t="n">
        <v>46186</v>
      </c>
      <c r="D523" t="inlineStr">
        <is>
          <t>STOCKHOLMS LÄN</t>
        </is>
      </c>
      <c r="E523" t="inlineStr">
        <is>
          <t>NORRTÄLJE</t>
        </is>
      </c>
      <c r="G523" t="n">
        <v>4.2</v>
      </c>
      <c r="H523" t="n">
        <v>0</v>
      </c>
      <c r="I523" t="n">
        <v>0</v>
      </c>
      <c r="J523" t="n">
        <v>0</v>
      </c>
      <c r="K523" t="n">
        <v>0</v>
      </c>
      <c r="L523" t="n">
        <v>0</v>
      </c>
      <c r="M523" t="n">
        <v>0</v>
      </c>
      <c r="N523" t="n">
        <v>0</v>
      </c>
      <c r="O523" t="n">
        <v>0</v>
      </c>
      <c r="P523" t="n">
        <v>0</v>
      </c>
      <c r="Q523" t="n">
        <v>0</v>
      </c>
      <c r="R523" s="2" t="inlineStr"/>
    </row>
    <row r="524" ht="15" customHeight="1">
      <c r="A524" t="inlineStr">
        <is>
          <t>A 53561-2023</t>
        </is>
      </c>
      <c r="B524" s="1" t="n">
        <v>45224</v>
      </c>
      <c r="C524" s="1" t="n">
        <v>46186</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37085-2021</t>
        </is>
      </c>
      <c r="B525" s="1" t="n">
        <v>44395</v>
      </c>
      <c r="C525" s="1" t="n">
        <v>46186</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56428-2023</t>
        </is>
      </c>
      <c r="B526" s="1" t="n">
        <v>45243.45289351852</v>
      </c>
      <c r="C526" s="1" t="n">
        <v>46186</v>
      </c>
      <c r="D526" t="inlineStr">
        <is>
          <t>STOCKHOLMS LÄN</t>
        </is>
      </c>
      <c r="E526" t="inlineStr">
        <is>
          <t>NORRTÄLJE</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17556-2025</t>
        </is>
      </c>
      <c r="B527" s="1" t="n">
        <v>45757.62482638889</v>
      </c>
      <c r="C527" s="1" t="n">
        <v>46186</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3549-2026</t>
        </is>
      </c>
      <c r="B528" s="1" t="n">
        <v>46042</v>
      </c>
      <c r="C528" s="1" t="n">
        <v>46186</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42094-2023</t>
        </is>
      </c>
      <c r="B529" s="1" t="n">
        <v>45177.61498842593</v>
      </c>
      <c r="C529" s="1" t="n">
        <v>46186</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4230-2026</t>
        </is>
      </c>
      <c r="B530" s="1" t="n">
        <v>46044.89366898148</v>
      </c>
      <c r="C530" s="1" t="n">
        <v>46186</v>
      </c>
      <c r="D530" t="inlineStr">
        <is>
          <t>STOCKHOLMS LÄN</t>
        </is>
      </c>
      <c r="E530" t="inlineStr">
        <is>
          <t>NORRTÄLJE</t>
        </is>
      </c>
      <c r="G530" t="n">
        <v>10.8</v>
      </c>
      <c r="H530" t="n">
        <v>0</v>
      </c>
      <c r="I530" t="n">
        <v>0</v>
      </c>
      <c r="J530" t="n">
        <v>0</v>
      </c>
      <c r="K530" t="n">
        <v>0</v>
      </c>
      <c r="L530" t="n">
        <v>0</v>
      </c>
      <c r="M530" t="n">
        <v>0</v>
      </c>
      <c r="N530" t="n">
        <v>0</v>
      </c>
      <c r="O530" t="n">
        <v>0</v>
      </c>
      <c r="P530" t="n">
        <v>0</v>
      </c>
      <c r="Q530" t="n">
        <v>0</v>
      </c>
      <c r="R530" s="2" t="inlineStr"/>
    </row>
    <row r="531" ht="15" customHeight="1">
      <c r="A531" t="inlineStr">
        <is>
          <t>A 4232-2026</t>
        </is>
      </c>
      <c r="B531" s="1" t="n">
        <v>46044.89594907407</v>
      </c>
      <c r="C531" s="1" t="n">
        <v>46186</v>
      </c>
      <c r="D531" t="inlineStr">
        <is>
          <t>STOCKHOLMS LÄN</t>
        </is>
      </c>
      <c r="E531" t="inlineStr">
        <is>
          <t>NORRTÄLJE</t>
        </is>
      </c>
      <c r="G531" t="n">
        <v>3.8</v>
      </c>
      <c r="H531" t="n">
        <v>0</v>
      </c>
      <c r="I531" t="n">
        <v>0</v>
      </c>
      <c r="J531" t="n">
        <v>0</v>
      </c>
      <c r="K531" t="n">
        <v>0</v>
      </c>
      <c r="L531" t="n">
        <v>0</v>
      </c>
      <c r="M531" t="n">
        <v>0</v>
      </c>
      <c r="N531" t="n">
        <v>0</v>
      </c>
      <c r="O531" t="n">
        <v>0</v>
      </c>
      <c r="P531" t="n">
        <v>0</v>
      </c>
      <c r="Q531" t="n">
        <v>0</v>
      </c>
      <c r="R531" s="2" t="inlineStr"/>
    </row>
    <row r="532" ht="15" customHeight="1">
      <c r="A532" t="inlineStr">
        <is>
          <t>A 26708-2025</t>
        </is>
      </c>
      <c r="B532" s="1" t="n">
        <v>45810.45633101852</v>
      </c>
      <c r="C532" s="1" t="n">
        <v>46186</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3933-2026</t>
        </is>
      </c>
      <c r="B533" s="1" t="n">
        <v>46043.79916666666</v>
      </c>
      <c r="C533" s="1" t="n">
        <v>46186</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26702-2025</t>
        </is>
      </c>
      <c r="B534" s="1" t="n">
        <v>45810.45236111111</v>
      </c>
      <c r="C534" s="1" t="n">
        <v>46186</v>
      </c>
      <c r="D534" t="inlineStr">
        <is>
          <t>STOCKHOLMS LÄN</t>
        </is>
      </c>
      <c r="E534" t="inlineStr">
        <is>
          <t>NORRTÄLJE</t>
        </is>
      </c>
      <c r="G534" t="n">
        <v>7.3</v>
      </c>
      <c r="H534" t="n">
        <v>0</v>
      </c>
      <c r="I534" t="n">
        <v>0</v>
      </c>
      <c r="J534" t="n">
        <v>0</v>
      </c>
      <c r="K534" t="n">
        <v>0</v>
      </c>
      <c r="L534" t="n">
        <v>0</v>
      </c>
      <c r="M534" t="n">
        <v>0</v>
      </c>
      <c r="N534" t="n">
        <v>0</v>
      </c>
      <c r="O534" t="n">
        <v>0</v>
      </c>
      <c r="P534" t="n">
        <v>0</v>
      </c>
      <c r="Q534" t="n">
        <v>0</v>
      </c>
      <c r="R534" s="2" t="inlineStr"/>
    </row>
    <row r="535" ht="15" customHeight="1">
      <c r="A535" t="inlineStr">
        <is>
          <t>A 8370-2025</t>
        </is>
      </c>
      <c r="B535" s="1" t="n">
        <v>45708</v>
      </c>
      <c r="C535" s="1" t="n">
        <v>46186</v>
      </c>
      <c r="D535" t="inlineStr">
        <is>
          <t>STOCKHOLMS LÄN</t>
        </is>
      </c>
      <c r="E535" t="inlineStr">
        <is>
          <t>NORRTÄLJE</t>
        </is>
      </c>
      <c r="F535" t="inlineStr">
        <is>
          <t>Övriga Aktiebolag</t>
        </is>
      </c>
      <c r="G535" t="n">
        <v>5.6</v>
      </c>
      <c r="H535" t="n">
        <v>0</v>
      </c>
      <c r="I535" t="n">
        <v>0</v>
      </c>
      <c r="J535" t="n">
        <v>0</v>
      </c>
      <c r="K535" t="n">
        <v>0</v>
      </c>
      <c r="L535" t="n">
        <v>0</v>
      </c>
      <c r="M535" t="n">
        <v>0</v>
      </c>
      <c r="N535" t="n">
        <v>0</v>
      </c>
      <c r="O535" t="n">
        <v>0</v>
      </c>
      <c r="P535" t="n">
        <v>0</v>
      </c>
      <c r="Q535" t="n">
        <v>0</v>
      </c>
      <c r="R535" s="2" t="inlineStr"/>
    </row>
    <row r="536" ht="15" customHeight="1">
      <c r="A536" t="inlineStr">
        <is>
          <t>A 3299-2022</t>
        </is>
      </c>
      <c r="B536" s="1" t="n">
        <v>44584.91001157407</v>
      </c>
      <c r="C536" s="1" t="n">
        <v>46186</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23061-2025</t>
        </is>
      </c>
      <c r="B537" s="1" t="n">
        <v>45790.81410879629</v>
      </c>
      <c r="C537" s="1" t="n">
        <v>46186</v>
      </c>
      <c r="D537" t="inlineStr">
        <is>
          <t>STOCKHOLMS LÄN</t>
        </is>
      </c>
      <c r="E537" t="inlineStr">
        <is>
          <t>NORRTÄLJE</t>
        </is>
      </c>
      <c r="G537" t="n">
        <v>1.4</v>
      </c>
      <c r="H537" t="n">
        <v>0</v>
      </c>
      <c r="I537" t="n">
        <v>0</v>
      </c>
      <c r="J537" t="n">
        <v>0</v>
      </c>
      <c r="K537" t="n">
        <v>0</v>
      </c>
      <c r="L537" t="n">
        <v>0</v>
      </c>
      <c r="M537" t="n">
        <v>0</v>
      </c>
      <c r="N537" t="n">
        <v>0</v>
      </c>
      <c r="O537" t="n">
        <v>0</v>
      </c>
      <c r="P537" t="n">
        <v>0</v>
      </c>
      <c r="Q537" t="n">
        <v>0</v>
      </c>
      <c r="R537" s="2" t="inlineStr"/>
    </row>
    <row r="538" ht="15" customHeight="1">
      <c r="A538" t="inlineStr">
        <is>
          <t>A 27040-2025</t>
        </is>
      </c>
      <c r="B538" s="1" t="n">
        <v>45811.60451388889</v>
      </c>
      <c r="C538" s="1" t="n">
        <v>46186</v>
      </c>
      <c r="D538" t="inlineStr">
        <is>
          <t>STOCKHOLMS LÄN</t>
        </is>
      </c>
      <c r="E538" t="inlineStr">
        <is>
          <t>NORRTÄLJE</t>
        </is>
      </c>
      <c r="G538" t="n">
        <v>4.3</v>
      </c>
      <c r="H538" t="n">
        <v>0</v>
      </c>
      <c r="I538" t="n">
        <v>0</v>
      </c>
      <c r="J538" t="n">
        <v>0</v>
      </c>
      <c r="K538" t="n">
        <v>0</v>
      </c>
      <c r="L538" t="n">
        <v>0</v>
      </c>
      <c r="M538" t="n">
        <v>0</v>
      </c>
      <c r="N538" t="n">
        <v>0</v>
      </c>
      <c r="O538" t="n">
        <v>0</v>
      </c>
      <c r="P538" t="n">
        <v>0</v>
      </c>
      <c r="Q538" t="n">
        <v>0</v>
      </c>
      <c r="R538" s="2" t="inlineStr"/>
    </row>
    <row r="539" ht="15" customHeight="1">
      <c r="A539" t="inlineStr">
        <is>
          <t>A 26747-2025</t>
        </is>
      </c>
      <c r="B539" s="1" t="n">
        <v>45810.5333912037</v>
      </c>
      <c r="C539" s="1" t="n">
        <v>46186</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12348-2025</t>
        </is>
      </c>
      <c r="B540" s="1" t="n">
        <v>45730.35026620371</v>
      </c>
      <c r="C540" s="1" t="n">
        <v>46186</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4549-2026</t>
        </is>
      </c>
      <c r="B541" s="1" t="n">
        <v>46047</v>
      </c>
      <c r="C541" s="1" t="n">
        <v>46186</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25094-2023</t>
        </is>
      </c>
      <c r="B542" s="1" t="n">
        <v>45086.3629050926</v>
      </c>
      <c r="C542" s="1" t="n">
        <v>46186</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47694-2023</t>
        </is>
      </c>
      <c r="B543" s="1" t="n">
        <v>45203.63303240741</v>
      </c>
      <c r="C543" s="1" t="n">
        <v>46186</v>
      </c>
      <c r="D543" t="inlineStr">
        <is>
          <t>STOCKHOLMS LÄN</t>
        </is>
      </c>
      <c r="E543" t="inlineStr">
        <is>
          <t>NORRTÄLJE</t>
        </is>
      </c>
      <c r="G543" t="n">
        <v>5.2</v>
      </c>
      <c r="H543" t="n">
        <v>0</v>
      </c>
      <c r="I543" t="n">
        <v>0</v>
      </c>
      <c r="J543" t="n">
        <v>0</v>
      </c>
      <c r="K543" t="n">
        <v>0</v>
      </c>
      <c r="L543" t="n">
        <v>0</v>
      </c>
      <c r="M543" t="n">
        <v>0</v>
      </c>
      <c r="N543" t="n">
        <v>0</v>
      </c>
      <c r="O543" t="n">
        <v>0</v>
      </c>
      <c r="P543" t="n">
        <v>0</v>
      </c>
      <c r="Q543" t="n">
        <v>0</v>
      </c>
      <c r="R543" s="2" t="inlineStr"/>
    </row>
    <row r="544" ht="15" customHeight="1">
      <c r="A544" t="inlineStr">
        <is>
          <t>A 35532-2024</t>
        </is>
      </c>
      <c r="B544" s="1" t="n">
        <v>45531</v>
      </c>
      <c r="C544" s="1" t="n">
        <v>46186</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4886-2026</t>
        </is>
      </c>
      <c r="B545" s="1" t="n">
        <v>46048.66328703704</v>
      </c>
      <c r="C545" s="1" t="n">
        <v>46186</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62644-2023</t>
        </is>
      </c>
      <c r="B546" s="1" t="n">
        <v>45271</v>
      </c>
      <c r="C546" s="1" t="n">
        <v>46186</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5226-2026</t>
        </is>
      </c>
      <c r="B547" s="1" t="n">
        <v>46049.79961805556</v>
      </c>
      <c r="C547" s="1" t="n">
        <v>46186</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5224-2026</t>
        </is>
      </c>
      <c r="B548" s="1" t="n">
        <v>46049.79521990741</v>
      </c>
      <c r="C548" s="1" t="n">
        <v>46186</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5227-2026</t>
        </is>
      </c>
      <c r="B549" s="1" t="n">
        <v>46049.80460648148</v>
      </c>
      <c r="C549" s="1" t="n">
        <v>46186</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57353-2024</t>
        </is>
      </c>
      <c r="B550" s="1" t="n">
        <v>45629.65143518519</v>
      </c>
      <c r="C550" s="1" t="n">
        <v>46186</v>
      </c>
      <c r="D550" t="inlineStr">
        <is>
          <t>STOCKHOLMS LÄN</t>
        </is>
      </c>
      <c r="E550" t="inlineStr">
        <is>
          <t>NORRTÄLJE</t>
        </is>
      </c>
      <c r="F550" t="inlineStr">
        <is>
          <t>Holmen skog AB</t>
        </is>
      </c>
      <c r="G550" t="n">
        <v>0.9</v>
      </c>
      <c r="H550" t="n">
        <v>0</v>
      </c>
      <c r="I550" t="n">
        <v>0</v>
      </c>
      <c r="J550" t="n">
        <v>0</v>
      </c>
      <c r="K550" t="n">
        <v>0</v>
      </c>
      <c r="L550" t="n">
        <v>0</v>
      </c>
      <c r="M550" t="n">
        <v>0</v>
      </c>
      <c r="N550" t="n">
        <v>0</v>
      </c>
      <c r="O550" t="n">
        <v>0</v>
      </c>
      <c r="P550" t="n">
        <v>0</v>
      </c>
      <c r="Q550" t="n">
        <v>0</v>
      </c>
      <c r="R550" s="2" t="inlineStr"/>
    </row>
    <row r="551" ht="15" customHeight="1">
      <c r="A551" t="inlineStr">
        <is>
          <t>A 48587-2023</t>
        </is>
      </c>
      <c r="B551" s="1" t="n">
        <v>45208</v>
      </c>
      <c r="C551" s="1" t="n">
        <v>46186</v>
      </c>
      <c r="D551" t="inlineStr">
        <is>
          <t>STOCKHOLMS LÄN</t>
        </is>
      </c>
      <c r="E551" t="inlineStr">
        <is>
          <t>NORRTÄLJE</t>
        </is>
      </c>
      <c r="G551" t="n">
        <v>7</v>
      </c>
      <c r="H551" t="n">
        <v>0</v>
      </c>
      <c r="I551" t="n">
        <v>0</v>
      </c>
      <c r="J551" t="n">
        <v>0</v>
      </c>
      <c r="K551" t="n">
        <v>0</v>
      </c>
      <c r="L551" t="n">
        <v>0</v>
      </c>
      <c r="M551" t="n">
        <v>0</v>
      </c>
      <c r="N551" t="n">
        <v>0</v>
      </c>
      <c r="O551" t="n">
        <v>0</v>
      </c>
      <c r="P551" t="n">
        <v>0</v>
      </c>
      <c r="Q551" t="n">
        <v>0</v>
      </c>
      <c r="R551" s="2" t="inlineStr"/>
    </row>
    <row r="552" ht="15" customHeight="1">
      <c r="A552" t="inlineStr">
        <is>
          <t>A 5241-2026</t>
        </is>
      </c>
      <c r="B552" s="1" t="n">
        <v>46049.86471064815</v>
      </c>
      <c r="C552" s="1" t="n">
        <v>46186</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39610-2025</t>
        </is>
      </c>
      <c r="B553" s="1" t="n">
        <v>45890</v>
      </c>
      <c r="C553" s="1" t="n">
        <v>46186</v>
      </c>
      <c r="D553" t="inlineStr">
        <is>
          <t>STOCKHOLMS LÄN</t>
        </is>
      </c>
      <c r="E553" t="inlineStr">
        <is>
          <t>NORRTÄLJE</t>
        </is>
      </c>
      <c r="G553" t="n">
        <v>28.6</v>
      </c>
      <c r="H553" t="n">
        <v>0</v>
      </c>
      <c r="I553" t="n">
        <v>0</v>
      </c>
      <c r="J553" t="n">
        <v>0</v>
      </c>
      <c r="K553" t="n">
        <v>0</v>
      </c>
      <c r="L553" t="n">
        <v>0</v>
      </c>
      <c r="M553" t="n">
        <v>0</v>
      </c>
      <c r="N553" t="n">
        <v>0</v>
      </c>
      <c r="O553" t="n">
        <v>0</v>
      </c>
      <c r="P553" t="n">
        <v>0</v>
      </c>
      <c r="Q553" t="n">
        <v>0</v>
      </c>
      <c r="R553" s="2" t="inlineStr"/>
    </row>
    <row r="554" ht="15" customHeight="1">
      <c r="A554" t="inlineStr">
        <is>
          <t>A 2549-2022</t>
        </is>
      </c>
      <c r="B554" s="1" t="n">
        <v>44580</v>
      </c>
      <c r="C554" s="1" t="n">
        <v>46186</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5934-2026</t>
        </is>
      </c>
      <c r="B555" s="1" t="n">
        <v>46052.47082175926</v>
      </c>
      <c r="C555" s="1" t="n">
        <v>46186</v>
      </c>
      <c r="D555" t="inlineStr">
        <is>
          <t>STOCKHOLMS LÄN</t>
        </is>
      </c>
      <c r="E555" t="inlineStr">
        <is>
          <t>NORRTÄLJE</t>
        </is>
      </c>
      <c r="F555" t="inlineStr">
        <is>
          <t>Holmen skog AB</t>
        </is>
      </c>
      <c r="G555" t="n">
        <v>5.5</v>
      </c>
      <c r="H555" t="n">
        <v>0</v>
      </c>
      <c r="I555" t="n">
        <v>0</v>
      </c>
      <c r="J555" t="n">
        <v>0</v>
      </c>
      <c r="K555" t="n">
        <v>0</v>
      </c>
      <c r="L555" t="n">
        <v>0</v>
      </c>
      <c r="M555" t="n">
        <v>0</v>
      </c>
      <c r="N555" t="n">
        <v>0</v>
      </c>
      <c r="O555" t="n">
        <v>0</v>
      </c>
      <c r="P555" t="n">
        <v>0</v>
      </c>
      <c r="Q555" t="n">
        <v>0</v>
      </c>
      <c r="R555" s="2" t="inlineStr"/>
    </row>
    <row r="556" ht="15" customHeight="1">
      <c r="A556" t="inlineStr">
        <is>
          <t>A 4438-2023</t>
        </is>
      </c>
      <c r="B556" s="1" t="n">
        <v>44956</v>
      </c>
      <c r="C556" s="1" t="n">
        <v>46186</v>
      </c>
      <c r="D556" t="inlineStr">
        <is>
          <t>STOCKHOLMS LÄN</t>
        </is>
      </c>
      <c r="E556" t="inlineStr">
        <is>
          <t>NORRTÄLJE</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47758-2023</t>
        </is>
      </c>
      <c r="B557" s="1" t="n">
        <v>45203.83891203703</v>
      </c>
      <c r="C557" s="1" t="n">
        <v>46186</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51061-2023</t>
        </is>
      </c>
      <c r="B558" s="1" t="n">
        <v>45218.65849537037</v>
      </c>
      <c r="C558" s="1" t="n">
        <v>46186</v>
      </c>
      <c r="D558" t="inlineStr">
        <is>
          <t>STOCKHOLMS LÄN</t>
        </is>
      </c>
      <c r="E558" t="inlineStr">
        <is>
          <t>NORRTÄLJE</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22697-2022</t>
        </is>
      </c>
      <c r="B559" s="1" t="n">
        <v>44714.56040509259</v>
      </c>
      <c r="C559" s="1" t="n">
        <v>46186</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45549-2022</t>
        </is>
      </c>
      <c r="B560" s="1" t="n">
        <v>44845.48064814815</v>
      </c>
      <c r="C560" s="1" t="n">
        <v>46186</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6724-2026</t>
        </is>
      </c>
      <c r="B561" s="1" t="n">
        <v>46056.67717592593</v>
      </c>
      <c r="C561" s="1" t="n">
        <v>46186</v>
      </c>
      <c r="D561" t="inlineStr">
        <is>
          <t>STOCKHOLMS LÄN</t>
        </is>
      </c>
      <c r="E561" t="inlineStr">
        <is>
          <t>NORRTÄLJE</t>
        </is>
      </c>
      <c r="F561" t="inlineStr">
        <is>
          <t>Holmen skog AB</t>
        </is>
      </c>
      <c r="G561" t="n">
        <v>16.2</v>
      </c>
      <c r="H561" t="n">
        <v>0</v>
      </c>
      <c r="I561" t="n">
        <v>0</v>
      </c>
      <c r="J561" t="n">
        <v>0</v>
      </c>
      <c r="K561" t="n">
        <v>0</v>
      </c>
      <c r="L561" t="n">
        <v>0</v>
      </c>
      <c r="M561" t="n">
        <v>0</v>
      </c>
      <c r="N561" t="n">
        <v>0</v>
      </c>
      <c r="O561" t="n">
        <v>0</v>
      </c>
      <c r="P561" t="n">
        <v>0</v>
      </c>
      <c r="Q561" t="n">
        <v>0</v>
      </c>
      <c r="R561" s="2" t="inlineStr"/>
    </row>
    <row r="562" ht="15" customHeight="1">
      <c r="A562" t="inlineStr">
        <is>
          <t>A 54396-2021</t>
        </is>
      </c>
      <c r="B562" s="1" t="n">
        <v>44472</v>
      </c>
      <c r="C562" s="1" t="n">
        <v>46186</v>
      </c>
      <c r="D562" t="inlineStr">
        <is>
          <t>STOCKHOLMS LÄN</t>
        </is>
      </c>
      <c r="E562" t="inlineStr">
        <is>
          <t>NORRTÄLJE</t>
        </is>
      </c>
      <c r="G562" t="n">
        <v>2.6</v>
      </c>
      <c r="H562" t="n">
        <v>0</v>
      </c>
      <c r="I562" t="n">
        <v>0</v>
      </c>
      <c r="J562" t="n">
        <v>0</v>
      </c>
      <c r="K562" t="n">
        <v>0</v>
      </c>
      <c r="L562" t="n">
        <v>0</v>
      </c>
      <c r="M562" t="n">
        <v>0</v>
      </c>
      <c r="N562" t="n">
        <v>0</v>
      </c>
      <c r="O562" t="n">
        <v>0</v>
      </c>
      <c r="P562" t="n">
        <v>0</v>
      </c>
      <c r="Q562" t="n">
        <v>0</v>
      </c>
      <c r="R562" s="2" t="inlineStr"/>
    </row>
    <row r="563" ht="15" customHeight="1">
      <c r="A563" t="inlineStr">
        <is>
          <t>A 24727-2023</t>
        </is>
      </c>
      <c r="B563" s="1" t="n">
        <v>45084.57695601852</v>
      </c>
      <c r="C563" s="1" t="n">
        <v>46186</v>
      </c>
      <c r="D563" t="inlineStr">
        <is>
          <t>STOCKHOLMS LÄN</t>
        </is>
      </c>
      <c r="E563" t="inlineStr">
        <is>
          <t>NORRTÄLJE</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6828-2026</t>
        </is>
      </c>
      <c r="B564" s="1" t="n">
        <v>46057</v>
      </c>
      <c r="C564" s="1" t="n">
        <v>46186</v>
      </c>
      <c r="D564" t="inlineStr">
        <is>
          <t>STOCKHOLMS LÄN</t>
        </is>
      </c>
      <c r="E564" t="inlineStr">
        <is>
          <t>NORRTÄLJE</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6838-2026</t>
        </is>
      </c>
      <c r="B565" s="1" t="n">
        <v>46057.41151620371</v>
      </c>
      <c r="C565" s="1" t="n">
        <v>46186</v>
      </c>
      <c r="D565" t="inlineStr">
        <is>
          <t>STOCKHOLMS LÄN</t>
        </is>
      </c>
      <c r="E565" t="inlineStr">
        <is>
          <t>NORRTÄLJE</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27700-2025</t>
        </is>
      </c>
      <c r="B566" s="1" t="n">
        <v>45813.6799537037</v>
      </c>
      <c r="C566" s="1" t="n">
        <v>46186</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48722-2023</t>
        </is>
      </c>
      <c r="B567" s="1" t="n">
        <v>45208.70996527778</v>
      </c>
      <c r="C567" s="1" t="n">
        <v>46186</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27808-2025</t>
        </is>
      </c>
      <c r="B568" s="1" t="n">
        <v>45817.31085648148</v>
      </c>
      <c r="C568" s="1" t="n">
        <v>46186</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27818-2025</t>
        </is>
      </c>
      <c r="B569" s="1" t="n">
        <v>45817.33503472222</v>
      </c>
      <c r="C569" s="1" t="n">
        <v>46186</v>
      </c>
      <c r="D569" t="inlineStr">
        <is>
          <t>STOCKHOLMS LÄN</t>
        </is>
      </c>
      <c r="E569" t="inlineStr">
        <is>
          <t>NORRTÄLJE</t>
        </is>
      </c>
      <c r="F569" t="inlineStr">
        <is>
          <t>Sveaskog</t>
        </is>
      </c>
      <c r="G569" t="n">
        <v>0.3</v>
      </c>
      <c r="H569" t="n">
        <v>0</v>
      </c>
      <c r="I569" t="n">
        <v>0</v>
      </c>
      <c r="J569" t="n">
        <v>0</v>
      </c>
      <c r="K569" t="n">
        <v>0</v>
      </c>
      <c r="L569" t="n">
        <v>0</v>
      </c>
      <c r="M569" t="n">
        <v>0</v>
      </c>
      <c r="N569" t="n">
        <v>0</v>
      </c>
      <c r="O569" t="n">
        <v>0</v>
      </c>
      <c r="P569" t="n">
        <v>0</v>
      </c>
      <c r="Q569" t="n">
        <v>0</v>
      </c>
      <c r="R569" s="2" t="inlineStr"/>
    </row>
    <row r="570" ht="15" customHeight="1">
      <c r="A570" t="inlineStr">
        <is>
          <t>A 6874-2026</t>
        </is>
      </c>
      <c r="B570" s="1" t="n">
        <v>46057.45295138889</v>
      </c>
      <c r="C570" s="1" t="n">
        <v>46186</v>
      </c>
      <c r="D570" t="inlineStr">
        <is>
          <t>STOCKHOLMS LÄN</t>
        </is>
      </c>
      <c r="E570" t="inlineStr">
        <is>
          <t>NORRTÄLJE</t>
        </is>
      </c>
      <c r="F570" t="inlineStr">
        <is>
          <t>Holmen skog AB</t>
        </is>
      </c>
      <c r="G570" t="n">
        <v>1.4</v>
      </c>
      <c r="H570" t="n">
        <v>0</v>
      </c>
      <c r="I570" t="n">
        <v>0</v>
      </c>
      <c r="J570" t="n">
        <v>0</v>
      </c>
      <c r="K570" t="n">
        <v>0</v>
      </c>
      <c r="L570" t="n">
        <v>0</v>
      </c>
      <c r="M570" t="n">
        <v>0</v>
      </c>
      <c r="N570" t="n">
        <v>0</v>
      </c>
      <c r="O570" t="n">
        <v>0</v>
      </c>
      <c r="P570" t="n">
        <v>0</v>
      </c>
      <c r="Q570" t="n">
        <v>0</v>
      </c>
      <c r="R570" s="2" t="inlineStr"/>
    </row>
    <row r="571" ht="15" customHeight="1">
      <c r="A571" t="inlineStr">
        <is>
          <t>A 35235-2024</t>
        </is>
      </c>
      <c r="B571" s="1" t="n">
        <v>45530</v>
      </c>
      <c r="C571" s="1" t="n">
        <v>46186</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1448-2023</t>
        </is>
      </c>
      <c r="B572" s="1" t="n">
        <v>44937</v>
      </c>
      <c r="C572" s="1" t="n">
        <v>46186</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27821-2025</t>
        </is>
      </c>
      <c r="B573" s="1" t="n">
        <v>45817.34083333334</v>
      </c>
      <c r="C573" s="1" t="n">
        <v>46186</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8736-2024</t>
        </is>
      </c>
      <c r="B574" s="1" t="n">
        <v>45356.4722800926</v>
      </c>
      <c r="C574" s="1" t="n">
        <v>46186</v>
      </c>
      <c r="D574" t="inlineStr">
        <is>
          <t>STOCKHOLMS LÄN</t>
        </is>
      </c>
      <c r="E574" t="inlineStr">
        <is>
          <t>NORRTÄLJE</t>
        </is>
      </c>
      <c r="G574" t="n">
        <v>8.9</v>
      </c>
      <c r="H574" t="n">
        <v>0</v>
      </c>
      <c r="I574" t="n">
        <v>0</v>
      </c>
      <c r="J574" t="n">
        <v>0</v>
      </c>
      <c r="K574" t="n">
        <v>0</v>
      </c>
      <c r="L574" t="n">
        <v>0</v>
      </c>
      <c r="M574" t="n">
        <v>0</v>
      </c>
      <c r="N574" t="n">
        <v>0</v>
      </c>
      <c r="O574" t="n">
        <v>0</v>
      </c>
      <c r="P574" t="n">
        <v>0</v>
      </c>
      <c r="Q574" t="n">
        <v>0</v>
      </c>
      <c r="R574" s="2" t="inlineStr"/>
    </row>
    <row r="575" ht="15" customHeight="1">
      <c r="A575" t="inlineStr">
        <is>
          <t>A 33149-2022</t>
        </is>
      </c>
      <c r="B575" s="1" t="n">
        <v>44785</v>
      </c>
      <c r="C575" s="1" t="n">
        <v>46186</v>
      </c>
      <c r="D575" t="inlineStr">
        <is>
          <t>STOCKHOLMS LÄN</t>
        </is>
      </c>
      <c r="E575" t="inlineStr">
        <is>
          <t>NORRTÄLJE</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15528-2025</t>
        </is>
      </c>
      <c r="B576" s="1" t="n">
        <v>45747.63471064815</v>
      </c>
      <c r="C576" s="1" t="n">
        <v>46186</v>
      </c>
      <c r="D576" t="inlineStr">
        <is>
          <t>STOCKHOLMS LÄN</t>
        </is>
      </c>
      <c r="E576" t="inlineStr">
        <is>
          <t>NORRTÄLJE</t>
        </is>
      </c>
      <c r="G576" t="n">
        <v>10</v>
      </c>
      <c r="H576" t="n">
        <v>0</v>
      </c>
      <c r="I576" t="n">
        <v>0</v>
      </c>
      <c r="J576" t="n">
        <v>0</v>
      </c>
      <c r="K576" t="n">
        <v>0</v>
      </c>
      <c r="L576" t="n">
        <v>0</v>
      </c>
      <c r="M576" t="n">
        <v>0</v>
      </c>
      <c r="N576" t="n">
        <v>0</v>
      </c>
      <c r="O576" t="n">
        <v>0</v>
      </c>
      <c r="P576" t="n">
        <v>0</v>
      </c>
      <c r="Q576" t="n">
        <v>0</v>
      </c>
      <c r="R576" s="2" t="inlineStr"/>
    </row>
    <row r="577" ht="15" customHeight="1">
      <c r="A577" t="inlineStr">
        <is>
          <t>A 11901-2024</t>
        </is>
      </c>
      <c r="B577" s="1" t="n">
        <v>45376.55638888889</v>
      </c>
      <c r="C577" s="1" t="n">
        <v>46186</v>
      </c>
      <c r="D577" t="inlineStr">
        <is>
          <t>STOCKHOLMS LÄN</t>
        </is>
      </c>
      <c r="E577" t="inlineStr">
        <is>
          <t>NORRTÄLJE</t>
        </is>
      </c>
      <c r="F577" t="inlineStr">
        <is>
          <t>Holmen skog AB</t>
        </is>
      </c>
      <c r="G577" t="n">
        <v>3.5</v>
      </c>
      <c r="H577" t="n">
        <v>0</v>
      </c>
      <c r="I577" t="n">
        <v>0</v>
      </c>
      <c r="J577" t="n">
        <v>0</v>
      </c>
      <c r="K577" t="n">
        <v>0</v>
      </c>
      <c r="L577" t="n">
        <v>0</v>
      </c>
      <c r="M577" t="n">
        <v>0</v>
      </c>
      <c r="N577" t="n">
        <v>0</v>
      </c>
      <c r="O577" t="n">
        <v>0</v>
      </c>
      <c r="P577" t="n">
        <v>0</v>
      </c>
      <c r="Q577" t="n">
        <v>0</v>
      </c>
      <c r="R577" s="2" t="inlineStr"/>
    </row>
    <row r="578" ht="15" customHeight="1">
      <c r="A578" t="inlineStr">
        <is>
          <t>A 7308-2026</t>
        </is>
      </c>
      <c r="B578" s="1" t="n">
        <v>46058.66025462963</v>
      </c>
      <c r="C578" s="1" t="n">
        <v>46186</v>
      </c>
      <c r="D578" t="inlineStr">
        <is>
          <t>STOCKHOLMS LÄN</t>
        </is>
      </c>
      <c r="E578" t="inlineStr">
        <is>
          <t>NORRTÄLJE</t>
        </is>
      </c>
      <c r="F578" t="inlineStr">
        <is>
          <t>Holmen skog AB</t>
        </is>
      </c>
      <c r="G578" t="n">
        <v>1.7</v>
      </c>
      <c r="H578" t="n">
        <v>0</v>
      </c>
      <c r="I578" t="n">
        <v>0</v>
      </c>
      <c r="J578" t="n">
        <v>0</v>
      </c>
      <c r="K578" t="n">
        <v>0</v>
      </c>
      <c r="L578" t="n">
        <v>0</v>
      </c>
      <c r="M578" t="n">
        <v>0</v>
      </c>
      <c r="N578" t="n">
        <v>0</v>
      </c>
      <c r="O578" t="n">
        <v>0</v>
      </c>
      <c r="P578" t="n">
        <v>0</v>
      </c>
      <c r="Q578" t="n">
        <v>0</v>
      </c>
      <c r="R578" s="2" t="inlineStr"/>
    </row>
    <row r="579" ht="15" customHeight="1">
      <c r="A579" t="inlineStr">
        <is>
          <t>A 7532-2026</t>
        </is>
      </c>
      <c r="B579" s="1" t="n">
        <v>46059</v>
      </c>
      <c r="C579" s="1" t="n">
        <v>46186</v>
      </c>
      <c r="D579" t="inlineStr">
        <is>
          <t>STOCKHOLMS LÄN</t>
        </is>
      </c>
      <c r="E579" t="inlineStr">
        <is>
          <t>NORRTÄLJE</t>
        </is>
      </c>
      <c r="G579" t="n">
        <v>5.2</v>
      </c>
      <c r="H579" t="n">
        <v>0</v>
      </c>
      <c r="I579" t="n">
        <v>0</v>
      </c>
      <c r="J579" t="n">
        <v>0</v>
      </c>
      <c r="K579" t="n">
        <v>0</v>
      </c>
      <c r="L579" t="n">
        <v>0</v>
      </c>
      <c r="M579" t="n">
        <v>0</v>
      </c>
      <c r="N579" t="n">
        <v>0</v>
      </c>
      <c r="O579" t="n">
        <v>0</v>
      </c>
      <c r="P579" t="n">
        <v>0</v>
      </c>
      <c r="Q579" t="n">
        <v>0</v>
      </c>
      <c r="R579" s="2" t="inlineStr"/>
    </row>
    <row r="580" ht="15" customHeight="1">
      <c r="A580" t="inlineStr">
        <is>
          <t>A 8055-2026</t>
        </is>
      </c>
      <c r="B580" s="1" t="n">
        <v>46063.62002314815</v>
      </c>
      <c r="C580" s="1" t="n">
        <v>46186</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7793-2026</t>
        </is>
      </c>
      <c r="B581" s="1" t="n">
        <v>46062.59496527778</v>
      </c>
      <c r="C581" s="1" t="n">
        <v>46186</v>
      </c>
      <c r="D581" t="inlineStr">
        <is>
          <t>STOCKHOLMS LÄN</t>
        </is>
      </c>
      <c r="E581" t="inlineStr">
        <is>
          <t>NORRTÄLJE</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8096-2026</t>
        </is>
      </c>
      <c r="B582" s="1" t="n">
        <v>46063.714375</v>
      </c>
      <c r="C582" s="1" t="n">
        <v>46186</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6537-2024</t>
        </is>
      </c>
      <c r="B583" s="1" t="n">
        <v>45341.39853009259</v>
      </c>
      <c r="C583" s="1" t="n">
        <v>46186</v>
      </c>
      <c r="D583" t="inlineStr">
        <is>
          <t>STOCKHOLMS LÄN</t>
        </is>
      </c>
      <c r="E583" t="inlineStr">
        <is>
          <t>NORRTÄLJE</t>
        </is>
      </c>
      <c r="G583" t="n">
        <v>1.2</v>
      </c>
      <c r="H583" t="n">
        <v>0</v>
      </c>
      <c r="I583" t="n">
        <v>0</v>
      </c>
      <c r="J583" t="n">
        <v>0</v>
      </c>
      <c r="K583" t="n">
        <v>0</v>
      </c>
      <c r="L583" t="n">
        <v>0</v>
      </c>
      <c r="M583" t="n">
        <v>0</v>
      </c>
      <c r="N583" t="n">
        <v>0</v>
      </c>
      <c r="O583" t="n">
        <v>0</v>
      </c>
      <c r="P583" t="n">
        <v>0</v>
      </c>
      <c r="Q583" t="n">
        <v>0</v>
      </c>
      <c r="R583" s="2" t="inlineStr"/>
    </row>
    <row r="584" ht="15" customHeight="1">
      <c r="A584" t="inlineStr">
        <is>
          <t>A 7582-2026</t>
        </is>
      </c>
      <c r="B584" s="1" t="n">
        <v>46061</v>
      </c>
      <c r="C584" s="1" t="n">
        <v>46186</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40175-2024</t>
        </is>
      </c>
      <c r="B585" s="1" t="n">
        <v>45554.55707175926</v>
      </c>
      <c r="C585" s="1" t="n">
        <v>46186</v>
      </c>
      <c r="D585" t="inlineStr">
        <is>
          <t>STOCKHOLMS LÄN</t>
        </is>
      </c>
      <c r="E585" t="inlineStr">
        <is>
          <t>NORRTÄLJE</t>
        </is>
      </c>
      <c r="G585" t="n">
        <v>7.7</v>
      </c>
      <c r="H585" t="n">
        <v>0</v>
      </c>
      <c r="I585" t="n">
        <v>0</v>
      </c>
      <c r="J585" t="n">
        <v>0</v>
      </c>
      <c r="K585" t="n">
        <v>0</v>
      </c>
      <c r="L585" t="n">
        <v>0</v>
      </c>
      <c r="M585" t="n">
        <v>0</v>
      </c>
      <c r="N585" t="n">
        <v>0</v>
      </c>
      <c r="O585" t="n">
        <v>0</v>
      </c>
      <c r="P585" t="n">
        <v>0</v>
      </c>
      <c r="Q585" t="n">
        <v>0</v>
      </c>
      <c r="R585" s="2" t="inlineStr"/>
    </row>
    <row r="586" ht="15" customHeight="1">
      <c r="A586" t="inlineStr">
        <is>
          <t>A 8091-2026</t>
        </is>
      </c>
      <c r="B586" s="1" t="n">
        <v>46063.70944444444</v>
      </c>
      <c r="C586" s="1" t="n">
        <v>46186</v>
      </c>
      <c r="D586" t="inlineStr">
        <is>
          <t>STOCKHOLMS LÄN</t>
        </is>
      </c>
      <c r="E586" t="inlineStr">
        <is>
          <t>NORRTÄLJE</t>
        </is>
      </c>
      <c r="G586" t="n">
        <v>4.7</v>
      </c>
      <c r="H586" t="n">
        <v>0</v>
      </c>
      <c r="I586" t="n">
        <v>0</v>
      </c>
      <c r="J586" t="n">
        <v>0</v>
      </c>
      <c r="K586" t="n">
        <v>0</v>
      </c>
      <c r="L586" t="n">
        <v>0</v>
      </c>
      <c r="M586" t="n">
        <v>0</v>
      </c>
      <c r="N586" t="n">
        <v>0</v>
      </c>
      <c r="O586" t="n">
        <v>0</v>
      </c>
      <c r="P586" t="n">
        <v>0</v>
      </c>
      <c r="Q586" t="n">
        <v>0</v>
      </c>
      <c r="R586" s="2" t="inlineStr"/>
    </row>
    <row r="587" ht="15" customHeight="1">
      <c r="A587" t="inlineStr">
        <is>
          <t>A 23056-2023</t>
        </is>
      </c>
      <c r="B587" s="1" t="n">
        <v>45075</v>
      </c>
      <c r="C587" s="1" t="n">
        <v>46186</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29250-2025</t>
        </is>
      </c>
      <c r="B588" s="1" t="n">
        <v>45824.37275462963</v>
      </c>
      <c r="C588" s="1" t="n">
        <v>46186</v>
      </c>
      <c r="D588" t="inlineStr">
        <is>
          <t>STOCKHOLMS LÄN</t>
        </is>
      </c>
      <c r="E588" t="inlineStr">
        <is>
          <t>NORRTÄLJE</t>
        </is>
      </c>
      <c r="F588" t="inlineStr">
        <is>
          <t>Sveaskog</t>
        </is>
      </c>
      <c r="G588" t="n">
        <v>6.4</v>
      </c>
      <c r="H588" t="n">
        <v>0</v>
      </c>
      <c r="I588" t="n">
        <v>0</v>
      </c>
      <c r="J588" t="n">
        <v>0</v>
      </c>
      <c r="K588" t="n">
        <v>0</v>
      </c>
      <c r="L588" t="n">
        <v>0</v>
      </c>
      <c r="M588" t="n">
        <v>0</v>
      </c>
      <c r="N588" t="n">
        <v>0</v>
      </c>
      <c r="O588" t="n">
        <v>0</v>
      </c>
      <c r="P588" t="n">
        <v>0</v>
      </c>
      <c r="Q588" t="n">
        <v>0</v>
      </c>
      <c r="R588" s="2" t="inlineStr"/>
    </row>
    <row r="589" ht="15" customHeight="1">
      <c r="A589" t="inlineStr">
        <is>
          <t>A 8489-2026</t>
        </is>
      </c>
      <c r="B589" s="1" t="n">
        <v>46065.48268518518</v>
      </c>
      <c r="C589" s="1" t="n">
        <v>46186</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47431-2023</t>
        </is>
      </c>
      <c r="B590" s="1" t="n">
        <v>45202</v>
      </c>
      <c r="C590" s="1" t="n">
        <v>46186</v>
      </c>
      <c r="D590" t="inlineStr">
        <is>
          <t>STOCKHOLMS LÄN</t>
        </is>
      </c>
      <c r="E590" t="inlineStr">
        <is>
          <t>NORRTÄLJE</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8465-2026</t>
        </is>
      </c>
      <c r="B591" s="1" t="n">
        <v>46065.44141203703</v>
      </c>
      <c r="C591" s="1" t="n">
        <v>46186</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59499-2023</t>
        </is>
      </c>
      <c r="B592" s="1" t="n">
        <v>45254</v>
      </c>
      <c r="C592" s="1" t="n">
        <v>46186</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59468-2023</t>
        </is>
      </c>
      <c r="B593" s="1" t="n">
        <v>45254.41509259259</v>
      </c>
      <c r="C593" s="1" t="n">
        <v>46186</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8454-2026</t>
        </is>
      </c>
      <c r="B594" s="1" t="n">
        <v>46065.42506944444</v>
      </c>
      <c r="C594" s="1" t="n">
        <v>46186</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12532-2025</t>
        </is>
      </c>
      <c r="B595" s="1" t="n">
        <v>45730.69143518519</v>
      </c>
      <c r="C595" s="1" t="n">
        <v>46186</v>
      </c>
      <c r="D595" t="inlineStr">
        <is>
          <t>STOCKHOLMS LÄN</t>
        </is>
      </c>
      <c r="E595" t="inlineStr">
        <is>
          <t>NORRTÄLJE</t>
        </is>
      </c>
      <c r="G595" t="n">
        <v>1</v>
      </c>
      <c r="H595" t="n">
        <v>0</v>
      </c>
      <c r="I595" t="n">
        <v>0</v>
      </c>
      <c r="J595" t="n">
        <v>0</v>
      </c>
      <c r="K595" t="n">
        <v>0</v>
      </c>
      <c r="L595" t="n">
        <v>0</v>
      </c>
      <c r="M595" t="n">
        <v>0</v>
      </c>
      <c r="N595" t="n">
        <v>0</v>
      </c>
      <c r="O595" t="n">
        <v>0</v>
      </c>
      <c r="P595" t="n">
        <v>0</v>
      </c>
      <c r="Q595" t="n">
        <v>0</v>
      </c>
      <c r="R595" s="2" t="inlineStr"/>
    </row>
    <row r="596" ht="15" customHeight="1">
      <c r="A596" t="inlineStr">
        <is>
          <t>A 5732-2023</t>
        </is>
      </c>
      <c r="B596" s="1" t="n">
        <v>44962</v>
      </c>
      <c r="C596" s="1" t="n">
        <v>46186</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8989-2026</t>
        </is>
      </c>
      <c r="B597" s="1" t="n">
        <v>46069.45789351852</v>
      </c>
      <c r="C597" s="1" t="n">
        <v>46186</v>
      </c>
      <c r="D597" t="inlineStr">
        <is>
          <t>STOCKHOLMS LÄN</t>
        </is>
      </c>
      <c r="E597" t="inlineStr">
        <is>
          <t>NORRTÄLJE</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10653-2022</t>
        </is>
      </c>
      <c r="B598" s="1" t="n">
        <v>44624.59434027778</v>
      </c>
      <c r="C598" s="1" t="n">
        <v>46186</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21729-2024</t>
        </is>
      </c>
      <c r="B599" s="1" t="n">
        <v>45442</v>
      </c>
      <c r="C599" s="1" t="n">
        <v>46186</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30639-2025</t>
        </is>
      </c>
      <c r="B600" s="1" t="n">
        <v>45831.4844212963</v>
      </c>
      <c r="C600" s="1" t="n">
        <v>46186</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30668-2025</t>
        </is>
      </c>
      <c r="B601" s="1" t="n">
        <v>45831.51659722222</v>
      </c>
      <c r="C601" s="1" t="n">
        <v>46186</v>
      </c>
      <c r="D601" t="inlineStr">
        <is>
          <t>STOCKHOLMS LÄN</t>
        </is>
      </c>
      <c r="E601" t="inlineStr">
        <is>
          <t>NORRTÄLJE</t>
        </is>
      </c>
      <c r="G601" t="n">
        <v>4.9</v>
      </c>
      <c r="H601" t="n">
        <v>0</v>
      </c>
      <c r="I601" t="n">
        <v>0</v>
      </c>
      <c r="J601" t="n">
        <v>0</v>
      </c>
      <c r="K601" t="n">
        <v>0</v>
      </c>
      <c r="L601" t="n">
        <v>0</v>
      </c>
      <c r="M601" t="n">
        <v>0</v>
      </c>
      <c r="N601" t="n">
        <v>0</v>
      </c>
      <c r="O601" t="n">
        <v>0</v>
      </c>
      <c r="P601" t="n">
        <v>0</v>
      </c>
      <c r="Q601" t="n">
        <v>0</v>
      </c>
      <c r="R601" s="2" t="inlineStr"/>
    </row>
    <row r="602" ht="15" customHeight="1">
      <c r="A602" t="inlineStr">
        <is>
          <t>A 8985-2026</t>
        </is>
      </c>
      <c r="B602" s="1" t="n">
        <v>46069.45234953704</v>
      </c>
      <c r="C602" s="1" t="n">
        <v>46186</v>
      </c>
      <c r="D602" t="inlineStr">
        <is>
          <t>STOCKHOLMS LÄN</t>
        </is>
      </c>
      <c r="E602" t="inlineStr">
        <is>
          <t>NORRTÄLJE</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8962-2026</t>
        </is>
      </c>
      <c r="B603" s="1" t="n">
        <v>46069.41644675926</v>
      </c>
      <c r="C603" s="1" t="n">
        <v>46186</v>
      </c>
      <c r="D603" t="inlineStr">
        <is>
          <t>STOCKHOLMS LÄN</t>
        </is>
      </c>
      <c r="E603" t="inlineStr">
        <is>
          <t>NORRTÄLJE</t>
        </is>
      </c>
      <c r="F603" t="inlineStr">
        <is>
          <t>Holmen skog AB</t>
        </is>
      </c>
      <c r="G603" t="n">
        <v>4.1</v>
      </c>
      <c r="H603" t="n">
        <v>0</v>
      </c>
      <c r="I603" t="n">
        <v>0</v>
      </c>
      <c r="J603" t="n">
        <v>0</v>
      </c>
      <c r="K603" t="n">
        <v>0</v>
      </c>
      <c r="L603" t="n">
        <v>0</v>
      </c>
      <c r="M603" t="n">
        <v>0</v>
      </c>
      <c r="N603" t="n">
        <v>0</v>
      </c>
      <c r="O603" t="n">
        <v>0</v>
      </c>
      <c r="P603" t="n">
        <v>0</v>
      </c>
      <c r="Q603" t="n">
        <v>0</v>
      </c>
      <c r="R603" s="2" t="inlineStr"/>
    </row>
    <row r="604" ht="15" customHeight="1">
      <c r="A604" t="inlineStr">
        <is>
          <t>A 59712-2024</t>
        </is>
      </c>
      <c r="B604" s="1" t="n">
        <v>45639.45166666667</v>
      </c>
      <c r="C604" s="1" t="n">
        <v>46186</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35127-2023</t>
        </is>
      </c>
      <c r="B605" s="1" t="n">
        <v>45145.51</v>
      </c>
      <c r="C605" s="1" t="n">
        <v>46186</v>
      </c>
      <c r="D605" t="inlineStr">
        <is>
          <t>STOCKHOLMS LÄN</t>
        </is>
      </c>
      <c r="E605" t="inlineStr">
        <is>
          <t>NORRTÄLJE</t>
        </is>
      </c>
      <c r="G605" t="n">
        <v>4.7</v>
      </c>
      <c r="H605" t="n">
        <v>0</v>
      </c>
      <c r="I605" t="n">
        <v>0</v>
      </c>
      <c r="J605" t="n">
        <v>0</v>
      </c>
      <c r="K605" t="n">
        <v>0</v>
      </c>
      <c r="L605" t="n">
        <v>0</v>
      </c>
      <c r="M605" t="n">
        <v>0</v>
      </c>
      <c r="N605" t="n">
        <v>0</v>
      </c>
      <c r="O605" t="n">
        <v>0</v>
      </c>
      <c r="P605" t="n">
        <v>0</v>
      </c>
      <c r="Q605" t="n">
        <v>0</v>
      </c>
      <c r="R605" s="2" t="inlineStr"/>
    </row>
    <row r="606" ht="15" customHeight="1">
      <c r="A606" t="inlineStr">
        <is>
          <t>A 45255-2022</t>
        </is>
      </c>
      <c r="B606" s="1" t="n">
        <v>44840</v>
      </c>
      <c r="C606" s="1" t="n">
        <v>46186</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59893-2022</t>
        </is>
      </c>
      <c r="B607" s="1" t="n">
        <v>44908.77368055555</v>
      </c>
      <c r="C607" s="1" t="n">
        <v>46186</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9720-2026</t>
        </is>
      </c>
      <c r="B608" s="1" t="n">
        <v>46072.45061342593</v>
      </c>
      <c r="C608" s="1" t="n">
        <v>46186</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39905-2023</t>
        </is>
      </c>
      <c r="B609" s="1" t="n">
        <v>45168.44489583333</v>
      </c>
      <c r="C609" s="1" t="n">
        <v>46186</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60529-2023</t>
        </is>
      </c>
      <c r="B610" s="1" t="n">
        <v>45259</v>
      </c>
      <c r="C610" s="1" t="n">
        <v>46186</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10646-2026</t>
        </is>
      </c>
      <c r="B611" s="1" t="n">
        <v>46078.34157407407</v>
      </c>
      <c r="C611" s="1" t="n">
        <v>46186</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10399-2026</t>
        </is>
      </c>
      <c r="B612" s="1" t="n">
        <v>46077</v>
      </c>
      <c r="C612" s="1" t="n">
        <v>46186</v>
      </c>
      <c r="D612" t="inlineStr">
        <is>
          <t>STOCKHOLMS LÄN</t>
        </is>
      </c>
      <c r="E612" t="inlineStr">
        <is>
          <t>NORRTÄLJE</t>
        </is>
      </c>
      <c r="F612" t="inlineStr">
        <is>
          <t>Övriga Aktiebolag</t>
        </is>
      </c>
      <c r="G612" t="n">
        <v>0.2</v>
      </c>
      <c r="H612" t="n">
        <v>0</v>
      </c>
      <c r="I612" t="n">
        <v>0</v>
      </c>
      <c r="J612" t="n">
        <v>0</v>
      </c>
      <c r="K612" t="n">
        <v>0</v>
      </c>
      <c r="L612" t="n">
        <v>0</v>
      </c>
      <c r="M612" t="n">
        <v>0</v>
      </c>
      <c r="N612" t="n">
        <v>0</v>
      </c>
      <c r="O612" t="n">
        <v>0</v>
      </c>
      <c r="P612" t="n">
        <v>0</v>
      </c>
      <c r="Q612" t="n">
        <v>0</v>
      </c>
      <c r="R612" s="2" t="inlineStr"/>
    </row>
    <row r="613" ht="15" customHeight="1">
      <c r="A613" t="inlineStr">
        <is>
          <t>A 10586-2026</t>
        </is>
      </c>
      <c r="B613" s="1" t="n">
        <v>46077.68192129629</v>
      </c>
      <c r="C613" s="1" t="n">
        <v>46186</v>
      </c>
      <c r="D613" t="inlineStr">
        <is>
          <t>STOCKHOLMS LÄN</t>
        </is>
      </c>
      <c r="E613" t="inlineStr">
        <is>
          <t>NORRTÄLJE</t>
        </is>
      </c>
      <c r="F613" t="inlineStr">
        <is>
          <t>Holmen skog AB</t>
        </is>
      </c>
      <c r="G613" t="n">
        <v>3.3</v>
      </c>
      <c r="H613" t="n">
        <v>0</v>
      </c>
      <c r="I613" t="n">
        <v>0</v>
      </c>
      <c r="J613" t="n">
        <v>0</v>
      </c>
      <c r="K613" t="n">
        <v>0</v>
      </c>
      <c r="L613" t="n">
        <v>0</v>
      </c>
      <c r="M613" t="n">
        <v>0</v>
      </c>
      <c r="N613" t="n">
        <v>0</v>
      </c>
      <c r="O613" t="n">
        <v>0</v>
      </c>
      <c r="P613" t="n">
        <v>0</v>
      </c>
      <c r="Q613" t="n">
        <v>0</v>
      </c>
      <c r="R613" s="2" t="inlineStr"/>
    </row>
    <row r="614" ht="15" customHeight="1">
      <c r="A614" t="inlineStr">
        <is>
          <t>A 10429-2026</t>
        </is>
      </c>
      <c r="B614" s="1" t="n">
        <v>46077.3822337963</v>
      </c>
      <c r="C614" s="1" t="n">
        <v>46186</v>
      </c>
      <c r="D614" t="inlineStr">
        <is>
          <t>STOCKHOLMS LÄN</t>
        </is>
      </c>
      <c r="E614" t="inlineStr">
        <is>
          <t>NORRTÄLJE</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31880-2025</t>
        </is>
      </c>
      <c r="B615" s="1" t="n">
        <v>45834.65538194445</v>
      </c>
      <c r="C615" s="1" t="n">
        <v>46186</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10553-2026</t>
        </is>
      </c>
      <c r="B616" s="1" t="n">
        <v>46077.62944444444</v>
      </c>
      <c r="C616" s="1" t="n">
        <v>46186</v>
      </c>
      <c r="D616" t="inlineStr">
        <is>
          <t>STOCKHOLMS LÄN</t>
        </is>
      </c>
      <c r="E616" t="inlineStr">
        <is>
          <t>NORRTÄLJE</t>
        </is>
      </c>
      <c r="G616" t="n">
        <v>4.9</v>
      </c>
      <c r="H616" t="n">
        <v>0</v>
      </c>
      <c r="I616" t="n">
        <v>0</v>
      </c>
      <c r="J616" t="n">
        <v>0</v>
      </c>
      <c r="K616" t="n">
        <v>0</v>
      </c>
      <c r="L616" t="n">
        <v>0</v>
      </c>
      <c r="M616" t="n">
        <v>0</v>
      </c>
      <c r="N616" t="n">
        <v>0</v>
      </c>
      <c r="O616" t="n">
        <v>0</v>
      </c>
      <c r="P616" t="n">
        <v>0</v>
      </c>
      <c r="Q616" t="n">
        <v>0</v>
      </c>
      <c r="R616" s="2" t="inlineStr"/>
    </row>
    <row r="617" ht="15" customHeight="1">
      <c r="A617" t="inlineStr">
        <is>
          <t>A 19706-2023</t>
        </is>
      </c>
      <c r="B617" s="1" t="n">
        <v>45051.455</v>
      </c>
      <c r="C617" s="1" t="n">
        <v>46186</v>
      </c>
      <c r="D617" t="inlineStr">
        <is>
          <t>STOCKHOLMS LÄN</t>
        </is>
      </c>
      <c r="E617" t="inlineStr">
        <is>
          <t>NORRTÄLJE</t>
        </is>
      </c>
      <c r="G617" t="n">
        <v>0.2</v>
      </c>
      <c r="H617" t="n">
        <v>0</v>
      </c>
      <c r="I617" t="n">
        <v>0</v>
      </c>
      <c r="J617" t="n">
        <v>0</v>
      </c>
      <c r="K617" t="n">
        <v>0</v>
      </c>
      <c r="L617" t="n">
        <v>0</v>
      </c>
      <c r="M617" t="n">
        <v>0</v>
      </c>
      <c r="N617" t="n">
        <v>0</v>
      </c>
      <c r="O617" t="n">
        <v>0</v>
      </c>
      <c r="P617" t="n">
        <v>0</v>
      </c>
      <c r="Q617" t="n">
        <v>0</v>
      </c>
      <c r="R617" s="2" t="inlineStr"/>
    </row>
    <row r="618" ht="15" customHeight="1">
      <c r="A618" t="inlineStr">
        <is>
          <t>A 10444-2026</t>
        </is>
      </c>
      <c r="B618" s="1" t="n">
        <v>46077.42230324074</v>
      </c>
      <c r="C618" s="1" t="n">
        <v>46186</v>
      </c>
      <c r="D618" t="inlineStr">
        <is>
          <t>STOCKHOLMS LÄN</t>
        </is>
      </c>
      <c r="E618" t="inlineStr">
        <is>
          <t>NORRTÄLJE</t>
        </is>
      </c>
      <c r="F618" t="inlineStr">
        <is>
          <t>Holmen skog AB</t>
        </is>
      </c>
      <c r="G618" t="n">
        <v>4.9</v>
      </c>
      <c r="H618" t="n">
        <v>0</v>
      </c>
      <c r="I618" t="n">
        <v>0</v>
      </c>
      <c r="J618" t="n">
        <v>0</v>
      </c>
      <c r="K618" t="n">
        <v>0</v>
      </c>
      <c r="L618" t="n">
        <v>0</v>
      </c>
      <c r="M618" t="n">
        <v>0</v>
      </c>
      <c r="N618" t="n">
        <v>0</v>
      </c>
      <c r="O618" t="n">
        <v>0</v>
      </c>
      <c r="P618" t="n">
        <v>0</v>
      </c>
      <c r="Q618" t="n">
        <v>0</v>
      </c>
      <c r="R618" s="2" t="inlineStr"/>
    </row>
    <row r="619" ht="15" customHeight="1">
      <c r="A619" t="inlineStr">
        <is>
          <t>A 16835-2022</t>
        </is>
      </c>
      <c r="B619" s="1" t="n">
        <v>44673</v>
      </c>
      <c r="C619" s="1" t="n">
        <v>46186</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62765-2022</t>
        </is>
      </c>
      <c r="B620" s="1" t="n">
        <v>44637</v>
      </c>
      <c r="C620" s="1" t="n">
        <v>46186</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58404-2023</t>
        </is>
      </c>
      <c r="B621" s="1" t="n">
        <v>45245</v>
      </c>
      <c r="C621" s="1" t="n">
        <v>46186</v>
      </c>
      <c r="D621" t="inlineStr">
        <is>
          <t>STOCKHOLMS LÄN</t>
        </is>
      </c>
      <c r="E621" t="inlineStr">
        <is>
          <t>NORRTÄLJE</t>
        </is>
      </c>
      <c r="G621" t="n">
        <v>53.5</v>
      </c>
      <c r="H621" t="n">
        <v>0</v>
      </c>
      <c r="I621" t="n">
        <v>0</v>
      </c>
      <c r="J621" t="n">
        <v>0</v>
      </c>
      <c r="K621" t="n">
        <v>0</v>
      </c>
      <c r="L621" t="n">
        <v>0</v>
      </c>
      <c r="M621" t="n">
        <v>0</v>
      </c>
      <c r="N621" t="n">
        <v>0</v>
      </c>
      <c r="O621" t="n">
        <v>0</v>
      </c>
      <c r="P621" t="n">
        <v>0</v>
      </c>
      <c r="Q621" t="n">
        <v>0</v>
      </c>
      <c r="R621" s="2" t="inlineStr"/>
    </row>
    <row r="622" ht="15" customHeight="1">
      <c r="A622" t="inlineStr">
        <is>
          <t>A 16202-2022</t>
        </is>
      </c>
      <c r="B622" s="1" t="n">
        <v>44670</v>
      </c>
      <c r="C622" s="1" t="n">
        <v>46186</v>
      </c>
      <c r="D622" t="inlineStr">
        <is>
          <t>STOCKHOLMS LÄN</t>
        </is>
      </c>
      <c r="E622" t="inlineStr">
        <is>
          <t>NORRTÄLJE</t>
        </is>
      </c>
      <c r="G622" t="n">
        <v>1.5</v>
      </c>
      <c r="H622" t="n">
        <v>0</v>
      </c>
      <c r="I622" t="n">
        <v>0</v>
      </c>
      <c r="J622" t="n">
        <v>0</v>
      </c>
      <c r="K622" t="n">
        <v>0</v>
      </c>
      <c r="L622" t="n">
        <v>0</v>
      </c>
      <c r="M622" t="n">
        <v>0</v>
      </c>
      <c r="N622" t="n">
        <v>0</v>
      </c>
      <c r="O622" t="n">
        <v>0</v>
      </c>
      <c r="P622" t="n">
        <v>0</v>
      </c>
      <c r="Q622" t="n">
        <v>0</v>
      </c>
      <c r="R622" s="2" t="inlineStr"/>
    </row>
    <row r="623" ht="15" customHeight="1">
      <c r="A623" t="inlineStr">
        <is>
          <t>A 31868-2025</t>
        </is>
      </c>
      <c r="B623" s="1" t="n">
        <v>45834.6447337963</v>
      </c>
      <c r="C623" s="1" t="n">
        <v>46186</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55018-2024</t>
        </is>
      </c>
      <c r="B624" s="1" t="n">
        <v>45621.35712962963</v>
      </c>
      <c r="C624" s="1" t="n">
        <v>46186</v>
      </c>
      <c r="D624" t="inlineStr">
        <is>
          <t>STOCKHOLMS LÄN</t>
        </is>
      </c>
      <c r="E624" t="inlineStr">
        <is>
          <t>NORRTÄLJE</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50136-2023</t>
        </is>
      </c>
      <c r="B625" s="1" t="n">
        <v>45215</v>
      </c>
      <c r="C625" s="1" t="n">
        <v>46186</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25656-2023</t>
        </is>
      </c>
      <c r="B626" s="1" t="n">
        <v>45089</v>
      </c>
      <c r="C626" s="1" t="n">
        <v>46186</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6003-2025</t>
        </is>
      </c>
      <c r="B627" s="1" t="n">
        <v>45695.57881944445</v>
      </c>
      <c r="C627" s="1" t="n">
        <v>46186</v>
      </c>
      <c r="D627" t="inlineStr">
        <is>
          <t>STOCKHOLMS LÄN</t>
        </is>
      </c>
      <c r="E627" t="inlineStr">
        <is>
          <t>NORRTÄLJE</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11648-2026</t>
        </is>
      </c>
      <c r="B628" s="1" t="n">
        <v>46084.51575231482</v>
      </c>
      <c r="C628" s="1" t="n">
        <v>46186</v>
      </c>
      <c r="D628" t="inlineStr">
        <is>
          <t>STOCKHOLMS LÄN</t>
        </is>
      </c>
      <c r="E628" t="inlineStr">
        <is>
          <t>NORRTÄLJE</t>
        </is>
      </c>
      <c r="G628" t="n">
        <v>4.1</v>
      </c>
      <c r="H628" t="n">
        <v>0</v>
      </c>
      <c r="I628" t="n">
        <v>0</v>
      </c>
      <c r="J628" t="n">
        <v>0</v>
      </c>
      <c r="K628" t="n">
        <v>0</v>
      </c>
      <c r="L628" t="n">
        <v>0</v>
      </c>
      <c r="M628" t="n">
        <v>0</v>
      </c>
      <c r="N628" t="n">
        <v>0</v>
      </c>
      <c r="O628" t="n">
        <v>0</v>
      </c>
      <c r="P628" t="n">
        <v>0</v>
      </c>
      <c r="Q628" t="n">
        <v>0</v>
      </c>
      <c r="R628" s="2" t="inlineStr"/>
    </row>
    <row r="629" ht="15" customHeight="1">
      <c r="A629" t="inlineStr">
        <is>
          <t>A 32283-2025</t>
        </is>
      </c>
      <c r="B629" s="1" t="n">
        <v>45835.68076388889</v>
      </c>
      <c r="C629" s="1" t="n">
        <v>46186</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31874-2025</t>
        </is>
      </c>
      <c r="B630" s="1" t="n">
        <v>45834</v>
      </c>
      <c r="C630" s="1" t="n">
        <v>46186</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11902-2024</t>
        </is>
      </c>
      <c r="B631" s="1" t="n">
        <v>45376.55704861111</v>
      </c>
      <c r="C631" s="1" t="n">
        <v>46186</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38049-2023</t>
        </is>
      </c>
      <c r="B632" s="1" t="n">
        <v>45159</v>
      </c>
      <c r="C632" s="1" t="n">
        <v>46186</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32480-2025</t>
        </is>
      </c>
      <c r="B633" s="1" t="n">
        <v>45838.43261574074</v>
      </c>
      <c r="C633" s="1" t="n">
        <v>46186</v>
      </c>
      <c r="D633" t="inlineStr">
        <is>
          <t>STOCKHOLMS LÄN</t>
        </is>
      </c>
      <c r="E633" t="inlineStr">
        <is>
          <t>NORRTÄLJE</t>
        </is>
      </c>
      <c r="F633" t="inlineStr">
        <is>
          <t>Holmen skog AB</t>
        </is>
      </c>
      <c r="G633" t="n">
        <v>0.7</v>
      </c>
      <c r="H633" t="n">
        <v>0</v>
      </c>
      <c r="I633" t="n">
        <v>0</v>
      </c>
      <c r="J633" t="n">
        <v>0</v>
      </c>
      <c r="K633" t="n">
        <v>0</v>
      </c>
      <c r="L633" t="n">
        <v>0</v>
      </c>
      <c r="M633" t="n">
        <v>0</v>
      </c>
      <c r="N633" t="n">
        <v>0</v>
      </c>
      <c r="O633" t="n">
        <v>0</v>
      </c>
      <c r="P633" t="n">
        <v>0</v>
      </c>
      <c r="Q633" t="n">
        <v>0</v>
      </c>
      <c r="R633" s="2" t="inlineStr"/>
    </row>
    <row r="634" ht="15" customHeight="1">
      <c r="A634" t="inlineStr">
        <is>
          <t>A 32872-2025</t>
        </is>
      </c>
      <c r="B634" s="1" t="n">
        <v>45839</v>
      </c>
      <c r="C634" s="1" t="n">
        <v>46186</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33211-2025</t>
        </is>
      </c>
      <c r="B635" s="1" t="n">
        <v>45840.62755787037</v>
      </c>
      <c r="C635" s="1" t="n">
        <v>46186</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12234-2026</t>
        </is>
      </c>
      <c r="B636" s="1" t="n">
        <v>46087.4091087963</v>
      </c>
      <c r="C636" s="1" t="n">
        <v>46186</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33552-2025</t>
        </is>
      </c>
      <c r="B637" s="1" t="n">
        <v>45841.5737962963</v>
      </c>
      <c r="C637" s="1" t="n">
        <v>46186</v>
      </c>
      <c r="D637" t="inlineStr">
        <is>
          <t>STOCKHOLMS LÄN</t>
        </is>
      </c>
      <c r="E637" t="inlineStr">
        <is>
          <t>NORRTÄLJE</t>
        </is>
      </c>
      <c r="G637" t="n">
        <v>8.9</v>
      </c>
      <c r="H637" t="n">
        <v>0</v>
      </c>
      <c r="I637" t="n">
        <v>0</v>
      </c>
      <c r="J637" t="n">
        <v>0</v>
      </c>
      <c r="K637" t="n">
        <v>0</v>
      </c>
      <c r="L637" t="n">
        <v>0</v>
      </c>
      <c r="M637" t="n">
        <v>0</v>
      </c>
      <c r="N637" t="n">
        <v>0</v>
      </c>
      <c r="O637" t="n">
        <v>0</v>
      </c>
      <c r="P637" t="n">
        <v>0</v>
      </c>
      <c r="Q637" t="n">
        <v>0</v>
      </c>
      <c r="R637" s="2" t="inlineStr"/>
    </row>
    <row r="638" ht="15" customHeight="1">
      <c r="A638" t="inlineStr">
        <is>
          <t>A 33336-2025</t>
        </is>
      </c>
      <c r="B638" s="1" t="n">
        <v>45841.35611111111</v>
      </c>
      <c r="C638" s="1" t="n">
        <v>46186</v>
      </c>
      <c r="D638" t="inlineStr">
        <is>
          <t>STOCKHOLMS LÄN</t>
        </is>
      </c>
      <c r="E638" t="inlineStr">
        <is>
          <t>NORRTÄLJE</t>
        </is>
      </c>
      <c r="G638" t="n">
        <v>2.4</v>
      </c>
      <c r="H638" t="n">
        <v>0</v>
      </c>
      <c r="I638" t="n">
        <v>0</v>
      </c>
      <c r="J638" t="n">
        <v>0</v>
      </c>
      <c r="K638" t="n">
        <v>0</v>
      </c>
      <c r="L638" t="n">
        <v>0</v>
      </c>
      <c r="M638" t="n">
        <v>0</v>
      </c>
      <c r="N638" t="n">
        <v>0</v>
      </c>
      <c r="O638" t="n">
        <v>0</v>
      </c>
      <c r="P638" t="n">
        <v>0</v>
      </c>
      <c r="Q638" t="n">
        <v>0</v>
      </c>
      <c r="R638" s="2" t="inlineStr"/>
    </row>
    <row r="639" ht="15" customHeight="1">
      <c r="A639" t="inlineStr">
        <is>
          <t>A 33824-2025</t>
        </is>
      </c>
      <c r="B639" s="1" t="n">
        <v>45842.46885416667</v>
      </c>
      <c r="C639" s="1" t="n">
        <v>46186</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34139-2025</t>
        </is>
      </c>
      <c r="B640" s="1" t="n">
        <v>45845</v>
      </c>
      <c r="C640" s="1" t="n">
        <v>46186</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34010-2025</t>
        </is>
      </c>
      <c r="B641" s="1" t="n">
        <v>45844.91234953704</v>
      </c>
      <c r="C641" s="1" t="n">
        <v>46186</v>
      </c>
      <c r="D641" t="inlineStr">
        <is>
          <t>STOCKHOLMS LÄN</t>
        </is>
      </c>
      <c r="E641" t="inlineStr">
        <is>
          <t>NORRTÄLJE</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36689-2023</t>
        </is>
      </c>
      <c r="B642" s="1" t="n">
        <v>45152</v>
      </c>
      <c r="C642" s="1" t="n">
        <v>46186</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46073-2024</t>
        </is>
      </c>
      <c r="B643" s="1" t="n">
        <v>45581</v>
      </c>
      <c r="C643" s="1" t="n">
        <v>46186</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4183-2025</t>
        </is>
      </c>
      <c r="B644" s="1" t="n">
        <v>45685.44592592592</v>
      </c>
      <c r="C644" s="1" t="n">
        <v>46186</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24522-2023</t>
        </is>
      </c>
      <c r="B645" s="1" t="n">
        <v>45082.69179398148</v>
      </c>
      <c r="C645" s="1" t="n">
        <v>46186</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25625-2023</t>
        </is>
      </c>
      <c r="B646" s="1" t="n">
        <v>45089</v>
      </c>
      <c r="C646" s="1" t="n">
        <v>46186</v>
      </c>
      <c r="D646" t="inlineStr">
        <is>
          <t>STOCKHOLMS LÄN</t>
        </is>
      </c>
      <c r="E646" t="inlineStr">
        <is>
          <t>NORRTÄLJE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37147-2023</t>
        </is>
      </c>
      <c r="B647" s="1" t="n">
        <v>45155</v>
      </c>
      <c r="C647" s="1" t="n">
        <v>46186</v>
      </c>
      <c r="D647" t="inlineStr">
        <is>
          <t>STOCKHOLMS LÄN</t>
        </is>
      </c>
      <c r="E647" t="inlineStr">
        <is>
          <t>NORRTÄLJE</t>
        </is>
      </c>
      <c r="G647" t="n">
        <v>8</v>
      </c>
      <c r="H647" t="n">
        <v>0</v>
      </c>
      <c r="I647" t="n">
        <v>0</v>
      </c>
      <c r="J647" t="n">
        <v>0</v>
      </c>
      <c r="K647" t="n">
        <v>0</v>
      </c>
      <c r="L647" t="n">
        <v>0</v>
      </c>
      <c r="M647" t="n">
        <v>0</v>
      </c>
      <c r="N647" t="n">
        <v>0</v>
      </c>
      <c r="O647" t="n">
        <v>0</v>
      </c>
      <c r="P647" t="n">
        <v>0</v>
      </c>
      <c r="Q647" t="n">
        <v>0</v>
      </c>
      <c r="R647" s="2" t="inlineStr"/>
    </row>
    <row r="648" ht="15" customHeight="1">
      <c r="A648" t="inlineStr">
        <is>
          <t>A 7186-2024</t>
        </is>
      </c>
      <c r="B648" s="1" t="n">
        <v>45344</v>
      </c>
      <c r="C648" s="1" t="n">
        <v>46186</v>
      </c>
      <c r="D648" t="inlineStr">
        <is>
          <t>STOCKHOLMS LÄN</t>
        </is>
      </c>
      <c r="E648" t="inlineStr">
        <is>
          <t>NORRTÄLJE</t>
        </is>
      </c>
      <c r="G648" t="n">
        <v>4.9</v>
      </c>
      <c r="H648" t="n">
        <v>0</v>
      </c>
      <c r="I648" t="n">
        <v>0</v>
      </c>
      <c r="J648" t="n">
        <v>0</v>
      </c>
      <c r="K648" t="n">
        <v>0</v>
      </c>
      <c r="L648" t="n">
        <v>0</v>
      </c>
      <c r="M648" t="n">
        <v>0</v>
      </c>
      <c r="N648" t="n">
        <v>0</v>
      </c>
      <c r="O648" t="n">
        <v>0</v>
      </c>
      <c r="P648" t="n">
        <v>0</v>
      </c>
      <c r="Q648" t="n">
        <v>0</v>
      </c>
      <c r="R648" s="2" t="inlineStr"/>
    </row>
    <row r="649" ht="15" customHeight="1">
      <c r="A649" t="inlineStr">
        <is>
          <t>A 13544-2026</t>
        </is>
      </c>
      <c r="B649" s="1" t="n">
        <v>46094.68538194444</v>
      </c>
      <c r="C649" s="1" t="n">
        <v>46186</v>
      </c>
      <c r="D649" t="inlineStr">
        <is>
          <t>STOCKHOLMS LÄN</t>
        </is>
      </c>
      <c r="E649" t="inlineStr">
        <is>
          <t>NORRTÄLJE</t>
        </is>
      </c>
      <c r="F649" t="inlineStr">
        <is>
          <t>Holmen skog AB</t>
        </is>
      </c>
      <c r="G649" t="n">
        <v>3.2</v>
      </c>
      <c r="H649" t="n">
        <v>0</v>
      </c>
      <c r="I649" t="n">
        <v>0</v>
      </c>
      <c r="J649" t="n">
        <v>0</v>
      </c>
      <c r="K649" t="n">
        <v>0</v>
      </c>
      <c r="L649" t="n">
        <v>0</v>
      </c>
      <c r="M649" t="n">
        <v>0</v>
      </c>
      <c r="N649" t="n">
        <v>0</v>
      </c>
      <c r="O649" t="n">
        <v>0</v>
      </c>
      <c r="P649" t="n">
        <v>0</v>
      </c>
      <c r="Q649" t="n">
        <v>0</v>
      </c>
      <c r="R649" s="2" t="inlineStr"/>
    </row>
    <row r="650" ht="15" customHeight="1">
      <c r="A650" t="inlineStr">
        <is>
          <t>A 50602-2021</t>
        </is>
      </c>
      <c r="B650" s="1" t="n">
        <v>44459</v>
      </c>
      <c r="C650" s="1" t="n">
        <v>46186</v>
      </c>
      <c r="D650" t="inlineStr">
        <is>
          <t>STOCKHOLMS LÄN</t>
        </is>
      </c>
      <c r="E650" t="inlineStr">
        <is>
          <t>NORRTÄLJE</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26365-2024</t>
        </is>
      </c>
      <c r="B651" s="1" t="n">
        <v>45469</v>
      </c>
      <c r="C651" s="1" t="n">
        <v>46186</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13204-2026</t>
        </is>
      </c>
      <c r="B652" s="1" t="n">
        <v>46093.60788194444</v>
      </c>
      <c r="C652" s="1" t="n">
        <v>46186</v>
      </c>
      <c r="D652" t="inlineStr">
        <is>
          <t>STOCKHOLMS LÄN</t>
        </is>
      </c>
      <c r="E652" t="inlineStr">
        <is>
          <t>NORRTÄLJE</t>
        </is>
      </c>
      <c r="G652" t="n">
        <v>3.5</v>
      </c>
      <c r="H652" t="n">
        <v>0</v>
      </c>
      <c r="I652" t="n">
        <v>0</v>
      </c>
      <c r="J652" t="n">
        <v>0</v>
      </c>
      <c r="K652" t="n">
        <v>0</v>
      </c>
      <c r="L652" t="n">
        <v>0</v>
      </c>
      <c r="M652" t="n">
        <v>0</v>
      </c>
      <c r="N652" t="n">
        <v>0</v>
      </c>
      <c r="O652" t="n">
        <v>0</v>
      </c>
      <c r="P652" t="n">
        <v>0</v>
      </c>
      <c r="Q652" t="n">
        <v>0</v>
      </c>
      <c r="R652" s="2" t="inlineStr"/>
    </row>
    <row r="653" ht="15" customHeight="1">
      <c r="A653" t="inlineStr">
        <is>
          <t>A 13545-2026</t>
        </is>
      </c>
      <c r="B653" s="1" t="n">
        <v>46094.6911574074</v>
      </c>
      <c r="C653" s="1" t="n">
        <v>46186</v>
      </c>
      <c r="D653" t="inlineStr">
        <is>
          <t>STOCKHOLMS LÄN</t>
        </is>
      </c>
      <c r="E653" t="inlineStr">
        <is>
          <t>NORRTÄLJE</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26640-2023</t>
        </is>
      </c>
      <c r="B654" s="1" t="n">
        <v>45092</v>
      </c>
      <c r="C654" s="1" t="n">
        <v>46186</v>
      </c>
      <c r="D654" t="inlineStr">
        <is>
          <t>STOCKHOLMS LÄN</t>
        </is>
      </c>
      <c r="E654" t="inlineStr">
        <is>
          <t>NORRTÄLJE</t>
        </is>
      </c>
      <c r="G654" t="n">
        <v>5.7</v>
      </c>
      <c r="H654" t="n">
        <v>0</v>
      </c>
      <c r="I654" t="n">
        <v>0</v>
      </c>
      <c r="J654" t="n">
        <v>0</v>
      </c>
      <c r="K654" t="n">
        <v>0</v>
      </c>
      <c r="L654" t="n">
        <v>0</v>
      </c>
      <c r="M654" t="n">
        <v>0</v>
      </c>
      <c r="N654" t="n">
        <v>0</v>
      </c>
      <c r="O654" t="n">
        <v>0</v>
      </c>
      <c r="P654" t="n">
        <v>0</v>
      </c>
      <c r="Q654" t="n">
        <v>0</v>
      </c>
      <c r="R654" s="2" t="inlineStr"/>
    </row>
    <row r="655" ht="15" customHeight="1">
      <c r="A655" t="inlineStr">
        <is>
          <t>A 31827-2023</t>
        </is>
      </c>
      <c r="B655" s="1" t="n">
        <v>45118</v>
      </c>
      <c r="C655" s="1" t="n">
        <v>46186</v>
      </c>
      <c r="D655" t="inlineStr">
        <is>
          <t>STOCKHOLMS LÄN</t>
        </is>
      </c>
      <c r="E655" t="inlineStr">
        <is>
          <t>NORRTÄLJE</t>
        </is>
      </c>
      <c r="F655" t="inlineStr">
        <is>
          <t>Kyrkan</t>
        </is>
      </c>
      <c r="G655" t="n">
        <v>4.9</v>
      </c>
      <c r="H655" t="n">
        <v>0</v>
      </c>
      <c r="I655" t="n">
        <v>0</v>
      </c>
      <c r="J655" t="n">
        <v>0</v>
      </c>
      <c r="K655" t="n">
        <v>0</v>
      </c>
      <c r="L655" t="n">
        <v>0</v>
      </c>
      <c r="M655" t="n">
        <v>0</v>
      </c>
      <c r="N655" t="n">
        <v>0</v>
      </c>
      <c r="O655" t="n">
        <v>0</v>
      </c>
      <c r="P655" t="n">
        <v>0</v>
      </c>
      <c r="Q655" t="n">
        <v>0</v>
      </c>
      <c r="R655" s="2" t="inlineStr"/>
    </row>
    <row r="656" ht="15" customHeight="1">
      <c r="A656" t="inlineStr">
        <is>
          <t>A 13109-2026</t>
        </is>
      </c>
      <c r="B656" s="1" t="n">
        <v>46093.42730324074</v>
      </c>
      <c r="C656" s="1" t="n">
        <v>46186</v>
      </c>
      <c r="D656" t="inlineStr">
        <is>
          <t>STOCKHOLMS LÄN</t>
        </is>
      </c>
      <c r="E656" t="inlineStr">
        <is>
          <t>NORRTÄLJE</t>
        </is>
      </c>
      <c r="G656" t="n">
        <v>4</v>
      </c>
      <c r="H656" t="n">
        <v>0</v>
      </c>
      <c r="I656" t="n">
        <v>0</v>
      </c>
      <c r="J656" t="n">
        <v>0</v>
      </c>
      <c r="K656" t="n">
        <v>0</v>
      </c>
      <c r="L656" t="n">
        <v>0</v>
      </c>
      <c r="M656" t="n">
        <v>0</v>
      </c>
      <c r="N656" t="n">
        <v>0</v>
      </c>
      <c r="O656" t="n">
        <v>0</v>
      </c>
      <c r="P656" t="n">
        <v>0</v>
      </c>
      <c r="Q656" t="n">
        <v>0</v>
      </c>
      <c r="R656" s="2" t="inlineStr"/>
    </row>
    <row r="657" ht="15" customHeight="1">
      <c r="A657" t="inlineStr">
        <is>
          <t>A 58993-2022</t>
        </is>
      </c>
      <c r="B657" s="1" t="n">
        <v>44903</v>
      </c>
      <c r="C657" s="1" t="n">
        <v>46186</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28900-2022</t>
        </is>
      </c>
      <c r="B658" s="1" t="n">
        <v>44749.55258101852</v>
      </c>
      <c r="C658" s="1" t="n">
        <v>46186</v>
      </c>
      <c r="D658" t="inlineStr">
        <is>
          <t>STOCKHOLMS LÄN</t>
        </is>
      </c>
      <c r="E658" t="inlineStr">
        <is>
          <t>NORRTÄLJE</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13546-2026</t>
        </is>
      </c>
      <c r="B659" s="1" t="n">
        <v>46094.69196759259</v>
      </c>
      <c r="C659" s="1" t="n">
        <v>46186</v>
      </c>
      <c r="D659" t="inlineStr">
        <is>
          <t>STOCKHOLMS LÄN</t>
        </is>
      </c>
      <c r="E659" t="inlineStr">
        <is>
          <t>NORRTÄLJE</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58297-2023</t>
        </is>
      </c>
      <c r="B660" s="1" t="n">
        <v>45245</v>
      </c>
      <c r="C660" s="1" t="n">
        <v>46186</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20304-2023</t>
        </is>
      </c>
      <c r="B661" s="1" t="n">
        <v>45056</v>
      </c>
      <c r="C661" s="1" t="n">
        <v>46186</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22157-2023</t>
        </is>
      </c>
      <c r="B662" s="1" t="n">
        <v>45069</v>
      </c>
      <c r="C662" s="1" t="n">
        <v>46186</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c r="U662">
        <f>HYPERLINK("https://klasma.github.io/Logging_0188/knärot/A 22157-2023 karta knärot.png", "A 22157-2023")</f>
        <v/>
      </c>
      <c r="V662">
        <f>HYPERLINK("https://klasma.github.io/Logging_0188/klagomål/A 22157-2023 FSC-klagomål.docx", "A 22157-2023")</f>
        <v/>
      </c>
      <c r="W662">
        <f>HYPERLINK("https://klasma.github.io/Logging_0188/klagomålsmail/A 22157-2023 FSC-klagomål mail.docx", "A 22157-2023")</f>
        <v/>
      </c>
      <c r="X662">
        <f>HYPERLINK("https://klasma.github.io/Logging_0188/tillsyn/A 22157-2023 tillsynsbegäran.docx", "A 22157-2023")</f>
        <v/>
      </c>
      <c r="Y662">
        <f>HYPERLINK("https://klasma.github.io/Logging_0188/tillsynsmail/A 22157-2023 tillsynsbegäran mail.docx", "A 22157-2023")</f>
        <v/>
      </c>
    </row>
    <row r="663" ht="15" customHeight="1">
      <c r="A663" t="inlineStr">
        <is>
          <t>A 11929-2024</t>
        </is>
      </c>
      <c r="B663" s="1" t="n">
        <v>45376.64532407407</v>
      </c>
      <c r="C663" s="1" t="n">
        <v>46186</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8296-2023</t>
        </is>
      </c>
      <c r="B664" s="1" t="n">
        <v>44974</v>
      </c>
      <c r="C664" s="1" t="n">
        <v>46186</v>
      </c>
      <c r="D664" t="inlineStr">
        <is>
          <t>STOCKHOLMS LÄN</t>
        </is>
      </c>
      <c r="E664" t="inlineStr">
        <is>
          <t>NORRTÄLJE</t>
        </is>
      </c>
      <c r="G664" t="n">
        <v>3.8</v>
      </c>
      <c r="H664" t="n">
        <v>0</v>
      </c>
      <c r="I664" t="n">
        <v>0</v>
      </c>
      <c r="J664" t="n">
        <v>0</v>
      </c>
      <c r="K664" t="n">
        <v>0</v>
      </c>
      <c r="L664" t="n">
        <v>0</v>
      </c>
      <c r="M664" t="n">
        <v>0</v>
      </c>
      <c r="N664" t="n">
        <v>0</v>
      </c>
      <c r="O664" t="n">
        <v>0</v>
      </c>
      <c r="P664" t="n">
        <v>0</v>
      </c>
      <c r="Q664" t="n">
        <v>0</v>
      </c>
      <c r="R664" s="2" t="inlineStr"/>
    </row>
    <row r="665" ht="15" customHeight="1">
      <c r="A665" t="inlineStr">
        <is>
          <t>A 24575-2024</t>
        </is>
      </c>
      <c r="B665" s="1" t="n">
        <v>45460.45523148148</v>
      </c>
      <c r="C665" s="1" t="n">
        <v>46186</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35110-2025</t>
        </is>
      </c>
      <c r="B666" s="1" t="n">
        <v>45852.58030092593</v>
      </c>
      <c r="C666" s="1" t="n">
        <v>46186</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14475-2026</t>
        </is>
      </c>
      <c r="B667" s="1" t="n">
        <v>46100.57251157407</v>
      </c>
      <c r="C667" s="1" t="n">
        <v>46186</v>
      </c>
      <c r="D667" t="inlineStr">
        <is>
          <t>STOCKHOLMS LÄN</t>
        </is>
      </c>
      <c r="E667" t="inlineStr">
        <is>
          <t>NORRTÄLJE</t>
        </is>
      </c>
      <c r="G667" t="n">
        <v>12.3</v>
      </c>
      <c r="H667" t="n">
        <v>0</v>
      </c>
      <c r="I667" t="n">
        <v>0</v>
      </c>
      <c r="J667" t="n">
        <v>0</v>
      </c>
      <c r="K667" t="n">
        <v>0</v>
      </c>
      <c r="L667" t="n">
        <v>0</v>
      </c>
      <c r="M667" t="n">
        <v>0</v>
      </c>
      <c r="N667" t="n">
        <v>0</v>
      </c>
      <c r="O667" t="n">
        <v>0</v>
      </c>
      <c r="P667" t="n">
        <v>0</v>
      </c>
      <c r="Q667" t="n">
        <v>0</v>
      </c>
      <c r="R667" s="2" t="inlineStr"/>
    </row>
    <row r="668" ht="15" customHeight="1">
      <c r="A668" t="inlineStr">
        <is>
          <t>A 14348-2026</t>
        </is>
      </c>
      <c r="B668" s="1" t="n">
        <v>46100.34112268518</v>
      </c>
      <c r="C668" s="1" t="n">
        <v>46186</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52593-2024</t>
        </is>
      </c>
      <c r="B669" s="1" t="n">
        <v>45609.70778935185</v>
      </c>
      <c r="C669" s="1" t="n">
        <v>46186</v>
      </c>
      <c r="D669" t="inlineStr">
        <is>
          <t>STOCKHOLMS LÄN</t>
        </is>
      </c>
      <c r="E669" t="inlineStr">
        <is>
          <t>NORRTÄLJE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52617-2024</t>
        </is>
      </c>
      <c r="B670" s="1" t="n">
        <v>45609.85146990741</v>
      </c>
      <c r="C670" s="1" t="n">
        <v>46186</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59904-2023</t>
        </is>
      </c>
      <c r="B671" s="1" t="n">
        <v>45257</v>
      </c>
      <c r="C671" s="1" t="n">
        <v>46186</v>
      </c>
      <c r="D671" t="inlineStr">
        <is>
          <t>STOCKHOLMS LÄN</t>
        </is>
      </c>
      <c r="E671" t="inlineStr">
        <is>
          <t>NORRTÄLJE</t>
        </is>
      </c>
      <c r="G671" t="n">
        <v>17.4</v>
      </c>
      <c r="H671" t="n">
        <v>0</v>
      </c>
      <c r="I671" t="n">
        <v>0</v>
      </c>
      <c r="J671" t="n">
        <v>0</v>
      </c>
      <c r="K671" t="n">
        <v>0</v>
      </c>
      <c r="L671" t="n">
        <v>0</v>
      </c>
      <c r="M671" t="n">
        <v>0</v>
      </c>
      <c r="N671" t="n">
        <v>0</v>
      </c>
      <c r="O671" t="n">
        <v>0</v>
      </c>
      <c r="P671" t="n">
        <v>0</v>
      </c>
      <c r="Q671" t="n">
        <v>0</v>
      </c>
      <c r="R671" s="2" t="inlineStr"/>
    </row>
    <row r="672" ht="15" customHeight="1">
      <c r="A672" t="inlineStr">
        <is>
          <t>A 9914-2023</t>
        </is>
      </c>
      <c r="B672" s="1" t="n">
        <v>44985</v>
      </c>
      <c r="C672" s="1" t="n">
        <v>46186</v>
      </c>
      <c r="D672" t="inlineStr">
        <is>
          <t>STOCKHOLMS LÄN</t>
        </is>
      </c>
      <c r="E672" t="inlineStr">
        <is>
          <t>NORRTÄLJE</t>
        </is>
      </c>
      <c r="G672" t="n">
        <v>4.2</v>
      </c>
      <c r="H672" t="n">
        <v>0</v>
      </c>
      <c r="I672" t="n">
        <v>0</v>
      </c>
      <c r="J672" t="n">
        <v>0</v>
      </c>
      <c r="K672" t="n">
        <v>0</v>
      </c>
      <c r="L672" t="n">
        <v>0</v>
      </c>
      <c r="M672" t="n">
        <v>0</v>
      </c>
      <c r="N672" t="n">
        <v>0</v>
      </c>
      <c r="O672" t="n">
        <v>0</v>
      </c>
      <c r="P672" t="n">
        <v>0</v>
      </c>
      <c r="Q672" t="n">
        <v>0</v>
      </c>
      <c r="R672" s="2" t="inlineStr"/>
    </row>
    <row r="673" ht="15" customHeight="1">
      <c r="A673" t="inlineStr">
        <is>
          <t>A 15905-2023</t>
        </is>
      </c>
      <c r="B673" s="1" t="n">
        <v>45022</v>
      </c>
      <c r="C673" s="1" t="n">
        <v>46186</v>
      </c>
      <c r="D673" t="inlineStr">
        <is>
          <t>STOCKHOLMS LÄN</t>
        </is>
      </c>
      <c r="E673" t="inlineStr">
        <is>
          <t>NORRTÄLJE</t>
        </is>
      </c>
      <c r="G673" t="n">
        <v>3.2</v>
      </c>
      <c r="H673" t="n">
        <v>0</v>
      </c>
      <c r="I673" t="n">
        <v>0</v>
      </c>
      <c r="J673" t="n">
        <v>0</v>
      </c>
      <c r="K673" t="n">
        <v>0</v>
      </c>
      <c r="L673" t="n">
        <v>0</v>
      </c>
      <c r="M673" t="n">
        <v>0</v>
      </c>
      <c r="N673" t="n">
        <v>0</v>
      </c>
      <c r="O673" t="n">
        <v>0</v>
      </c>
      <c r="P673" t="n">
        <v>0</v>
      </c>
      <c r="Q673" t="n">
        <v>0</v>
      </c>
      <c r="R673" s="2" t="inlineStr"/>
    </row>
    <row r="674" ht="15" customHeight="1">
      <c r="A674" t="inlineStr">
        <is>
          <t>A 15956-2023</t>
        </is>
      </c>
      <c r="B674" s="1" t="n">
        <v>45022.61003472222</v>
      </c>
      <c r="C674" s="1" t="n">
        <v>46186</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47626-2022</t>
        </is>
      </c>
      <c r="B675" s="1" t="n">
        <v>44854</v>
      </c>
      <c r="C675" s="1" t="n">
        <v>46186</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62206-2022</t>
        </is>
      </c>
      <c r="B676" s="1" t="n">
        <v>44922</v>
      </c>
      <c r="C676" s="1" t="n">
        <v>46186</v>
      </c>
      <c r="D676" t="inlineStr">
        <is>
          <t>STOCKHOLMS LÄN</t>
        </is>
      </c>
      <c r="E676" t="inlineStr">
        <is>
          <t>NORRTÄLJE</t>
        </is>
      </c>
      <c r="G676" t="n">
        <v>2.9</v>
      </c>
      <c r="H676" t="n">
        <v>0</v>
      </c>
      <c r="I676" t="n">
        <v>0</v>
      </c>
      <c r="J676" t="n">
        <v>0</v>
      </c>
      <c r="K676" t="n">
        <v>0</v>
      </c>
      <c r="L676" t="n">
        <v>0</v>
      </c>
      <c r="M676" t="n">
        <v>0</v>
      </c>
      <c r="N676" t="n">
        <v>0</v>
      </c>
      <c r="O676" t="n">
        <v>0</v>
      </c>
      <c r="P676" t="n">
        <v>0</v>
      </c>
      <c r="Q676" t="n">
        <v>0</v>
      </c>
      <c r="R676" s="2" t="inlineStr"/>
    </row>
    <row r="677" ht="15" customHeight="1">
      <c r="A677" t="inlineStr">
        <is>
          <t>A 20618-2022</t>
        </is>
      </c>
      <c r="B677" s="1" t="n">
        <v>44700.50659722222</v>
      </c>
      <c r="C677" s="1" t="n">
        <v>46186</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11900-2022</t>
        </is>
      </c>
      <c r="B678" s="1" t="n">
        <v>44635</v>
      </c>
      <c r="C678" s="1" t="n">
        <v>46186</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27885-2022</t>
        </is>
      </c>
      <c r="B679" s="1" t="n">
        <v>44743.67418981482</v>
      </c>
      <c r="C679" s="1" t="n">
        <v>46186</v>
      </c>
      <c r="D679" t="inlineStr">
        <is>
          <t>STOCKHOLMS LÄN</t>
        </is>
      </c>
      <c r="E679" t="inlineStr">
        <is>
          <t>NORRTÄLJE</t>
        </is>
      </c>
      <c r="F679" t="inlineStr">
        <is>
          <t>Holmen skog AB</t>
        </is>
      </c>
      <c r="G679" t="n">
        <v>0.8</v>
      </c>
      <c r="H679" t="n">
        <v>0</v>
      </c>
      <c r="I679" t="n">
        <v>0</v>
      </c>
      <c r="J679" t="n">
        <v>0</v>
      </c>
      <c r="K679" t="n">
        <v>0</v>
      </c>
      <c r="L679" t="n">
        <v>0</v>
      </c>
      <c r="M679" t="n">
        <v>0</v>
      </c>
      <c r="N679" t="n">
        <v>0</v>
      </c>
      <c r="O679" t="n">
        <v>0</v>
      </c>
      <c r="P679" t="n">
        <v>0</v>
      </c>
      <c r="Q679" t="n">
        <v>0</v>
      </c>
      <c r="R679" s="2" t="inlineStr"/>
    </row>
    <row r="680" ht="15" customHeight="1">
      <c r="A680" t="inlineStr">
        <is>
          <t>A 35479-2025</t>
        </is>
      </c>
      <c r="B680" s="1" t="n">
        <v>45855.69387731481</v>
      </c>
      <c r="C680" s="1" t="n">
        <v>46186</v>
      </c>
      <c r="D680" t="inlineStr">
        <is>
          <t>STOCKHOLMS LÄN</t>
        </is>
      </c>
      <c r="E680" t="inlineStr">
        <is>
          <t>NORRTÄLJE</t>
        </is>
      </c>
      <c r="F680" t="inlineStr">
        <is>
          <t>Holmen skog AB</t>
        </is>
      </c>
      <c r="G680" t="n">
        <v>1.8</v>
      </c>
      <c r="H680" t="n">
        <v>0</v>
      </c>
      <c r="I680" t="n">
        <v>0</v>
      </c>
      <c r="J680" t="n">
        <v>0</v>
      </c>
      <c r="K680" t="n">
        <v>0</v>
      </c>
      <c r="L680" t="n">
        <v>0</v>
      </c>
      <c r="M680" t="n">
        <v>0</v>
      </c>
      <c r="N680" t="n">
        <v>0</v>
      </c>
      <c r="O680" t="n">
        <v>0</v>
      </c>
      <c r="P680" t="n">
        <v>0</v>
      </c>
      <c r="Q680" t="n">
        <v>0</v>
      </c>
      <c r="R680" s="2" t="inlineStr"/>
    </row>
    <row r="681" ht="15" customHeight="1">
      <c r="A681" t="inlineStr">
        <is>
          <t>A 35451-2025</t>
        </is>
      </c>
      <c r="B681" s="1" t="n">
        <v>45855.57033564815</v>
      </c>
      <c r="C681" s="1" t="n">
        <v>46186</v>
      </c>
      <c r="D681" t="inlineStr">
        <is>
          <t>STOCKHOLMS LÄN</t>
        </is>
      </c>
      <c r="E681" t="inlineStr">
        <is>
          <t>NORRTÄLJE</t>
        </is>
      </c>
      <c r="F681" t="inlineStr">
        <is>
          <t>Holmen skog AB</t>
        </is>
      </c>
      <c r="G681" t="n">
        <v>7.4</v>
      </c>
      <c r="H681" t="n">
        <v>0</v>
      </c>
      <c r="I681" t="n">
        <v>0</v>
      </c>
      <c r="J681" t="n">
        <v>0</v>
      </c>
      <c r="K681" t="n">
        <v>0</v>
      </c>
      <c r="L681" t="n">
        <v>0</v>
      </c>
      <c r="M681" t="n">
        <v>0</v>
      </c>
      <c r="N681" t="n">
        <v>0</v>
      </c>
      <c r="O681" t="n">
        <v>0</v>
      </c>
      <c r="P681" t="n">
        <v>0</v>
      </c>
      <c r="Q681" t="n">
        <v>0</v>
      </c>
      <c r="R681" s="2" t="inlineStr"/>
    </row>
    <row r="682" ht="15" customHeight="1">
      <c r="A682" t="inlineStr">
        <is>
          <t>A 35478-2025</t>
        </is>
      </c>
      <c r="B682" s="1" t="n">
        <v>45855.68413194444</v>
      </c>
      <c r="C682" s="1" t="n">
        <v>46186</v>
      </c>
      <c r="D682" t="inlineStr">
        <is>
          <t>STOCKHOLMS LÄN</t>
        </is>
      </c>
      <c r="E682" t="inlineStr">
        <is>
          <t>NORRTÄLJE</t>
        </is>
      </c>
      <c r="F682" t="inlineStr">
        <is>
          <t>Holmen skog AB</t>
        </is>
      </c>
      <c r="G682" t="n">
        <v>2.7</v>
      </c>
      <c r="H682" t="n">
        <v>0</v>
      </c>
      <c r="I682" t="n">
        <v>0</v>
      </c>
      <c r="J682" t="n">
        <v>0</v>
      </c>
      <c r="K682" t="n">
        <v>0</v>
      </c>
      <c r="L682" t="n">
        <v>0</v>
      </c>
      <c r="M682" t="n">
        <v>0</v>
      </c>
      <c r="N682" t="n">
        <v>0</v>
      </c>
      <c r="O682" t="n">
        <v>0</v>
      </c>
      <c r="P682" t="n">
        <v>0</v>
      </c>
      <c r="Q682" t="n">
        <v>0</v>
      </c>
      <c r="R682" s="2" t="inlineStr"/>
    </row>
    <row r="683" ht="15" customHeight="1">
      <c r="A683" t="inlineStr">
        <is>
          <t>A 21780-2026</t>
        </is>
      </c>
      <c r="B683" s="1" t="n">
        <v>46150.37418981481</v>
      </c>
      <c r="C683" s="1" t="n">
        <v>46186</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60224-2023</t>
        </is>
      </c>
      <c r="B684" s="1" t="n">
        <v>45257</v>
      </c>
      <c r="C684" s="1" t="n">
        <v>46186</v>
      </c>
      <c r="D684" t="inlineStr">
        <is>
          <t>STOCKHOLMS LÄN</t>
        </is>
      </c>
      <c r="E684" t="inlineStr">
        <is>
          <t>NORRTÄLJE</t>
        </is>
      </c>
      <c r="G684" t="n">
        <v>8.1</v>
      </c>
      <c r="H684" t="n">
        <v>0</v>
      </c>
      <c r="I684" t="n">
        <v>0</v>
      </c>
      <c r="J684" t="n">
        <v>0</v>
      </c>
      <c r="K684" t="n">
        <v>0</v>
      </c>
      <c r="L684" t="n">
        <v>0</v>
      </c>
      <c r="M684" t="n">
        <v>0</v>
      </c>
      <c r="N684" t="n">
        <v>0</v>
      </c>
      <c r="O684" t="n">
        <v>0</v>
      </c>
      <c r="P684" t="n">
        <v>0</v>
      </c>
      <c r="Q684" t="n">
        <v>0</v>
      </c>
      <c r="R684" s="2" t="inlineStr"/>
    </row>
    <row r="685" ht="15" customHeight="1">
      <c r="A685" t="inlineStr">
        <is>
          <t>A 5158-2024</t>
        </is>
      </c>
      <c r="B685" s="1" t="n">
        <v>45330.50098379629</v>
      </c>
      <c r="C685" s="1" t="n">
        <v>46186</v>
      </c>
      <c r="D685" t="inlineStr">
        <is>
          <t>STOCKHOLMS LÄN</t>
        </is>
      </c>
      <c r="E685" t="inlineStr">
        <is>
          <t>NORRTÄLJE</t>
        </is>
      </c>
      <c r="G685" t="n">
        <v>0.8</v>
      </c>
      <c r="H685" t="n">
        <v>0</v>
      </c>
      <c r="I685" t="n">
        <v>0</v>
      </c>
      <c r="J685" t="n">
        <v>0</v>
      </c>
      <c r="K685" t="n">
        <v>0</v>
      </c>
      <c r="L685" t="n">
        <v>0</v>
      </c>
      <c r="M685" t="n">
        <v>0</v>
      </c>
      <c r="N685" t="n">
        <v>0</v>
      </c>
      <c r="O685" t="n">
        <v>0</v>
      </c>
      <c r="P685" t="n">
        <v>0</v>
      </c>
      <c r="Q685" t="n">
        <v>0</v>
      </c>
      <c r="R685" s="2" t="inlineStr"/>
    </row>
    <row r="686" ht="15" customHeight="1">
      <c r="A686" t="inlineStr">
        <is>
          <t>A 21818-2026</t>
        </is>
      </c>
      <c r="B686" s="1" t="n">
        <v>46150.47383101852</v>
      </c>
      <c r="C686" s="1" t="n">
        <v>46186</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17551-2025</t>
        </is>
      </c>
      <c r="B687" s="1" t="n">
        <v>45757.61421296297</v>
      </c>
      <c r="C687" s="1" t="n">
        <v>46186</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21786-2026</t>
        </is>
      </c>
      <c r="B688" s="1" t="n">
        <v>46150.3862037037</v>
      </c>
      <c r="C688" s="1" t="n">
        <v>46186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21815-2026</t>
        </is>
      </c>
      <c r="B689" s="1" t="n">
        <v>46150.47024305556</v>
      </c>
      <c r="C689" s="1" t="n">
        <v>46186</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21820-2026</t>
        </is>
      </c>
      <c r="B690" s="1" t="n">
        <v>46150.4799537037</v>
      </c>
      <c r="C690" s="1" t="n">
        <v>46186</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55010-2024</t>
        </is>
      </c>
      <c r="B691" s="1" t="n">
        <v>45621.34425925926</v>
      </c>
      <c r="C691" s="1" t="n">
        <v>46186</v>
      </c>
      <c r="D691" t="inlineStr">
        <is>
          <t>STOCKHOLMS LÄN</t>
        </is>
      </c>
      <c r="E691" t="inlineStr">
        <is>
          <t>NORRTÄLJE</t>
        </is>
      </c>
      <c r="F691" t="inlineStr">
        <is>
          <t>Sveaskog</t>
        </is>
      </c>
      <c r="G691" t="n">
        <v>5.7</v>
      </c>
      <c r="H691" t="n">
        <v>0</v>
      </c>
      <c r="I691" t="n">
        <v>0</v>
      </c>
      <c r="J691" t="n">
        <v>0</v>
      </c>
      <c r="K691" t="n">
        <v>0</v>
      </c>
      <c r="L691" t="n">
        <v>0</v>
      </c>
      <c r="M691" t="n">
        <v>0</v>
      </c>
      <c r="N691" t="n">
        <v>0</v>
      </c>
      <c r="O691" t="n">
        <v>0</v>
      </c>
      <c r="P691" t="n">
        <v>0</v>
      </c>
      <c r="Q691" t="n">
        <v>0</v>
      </c>
      <c r="R691" s="2" t="inlineStr"/>
    </row>
    <row r="692" ht="15" customHeight="1">
      <c r="A692" t="inlineStr">
        <is>
          <t>A 31105-2022</t>
        </is>
      </c>
      <c r="B692" s="1" t="n">
        <v>44769.66039351852</v>
      </c>
      <c r="C692" s="1" t="n">
        <v>46186</v>
      </c>
      <c r="D692" t="inlineStr">
        <is>
          <t>STOCKHOLMS LÄN</t>
        </is>
      </c>
      <c r="E692" t="inlineStr">
        <is>
          <t>NORRTÄLJE</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16243-2026</t>
        </is>
      </c>
      <c r="B693" s="1" t="n">
        <v>46111.45902777778</v>
      </c>
      <c r="C693" s="1" t="n">
        <v>46186</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16229-2026</t>
        </is>
      </c>
      <c r="B694" s="1" t="n">
        <v>46111.45084490741</v>
      </c>
      <c r="C694" s="1" t="n">
        <v>46186</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30620-2022</t>
        </is>
      </c>
      <c r="B695" s="1" t="n">
        <v>44763.40914351852</v>
      </c>
      <c r="C695" s="1" t="n">
        <v>46186</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28365-2022</t>
        </is>
      </c>
      <c r="B696" s="1" t="n">
        <v>44747</v>
      </c>
      <c r="C696" s="1" t="n">
        <v>46186</v>
      </c>
      <c r="D696" t="inlineStr">
        <is>
          <t>STOCKHOLMS LÄN</t>
        </is>
      </c>
      <c r="E696" t="inlineStr">
        <is>
          <t>NORRTÄLJE</t>
        </is>
      </c>
      <c r="G696" t="n">
        <v>5.1</v>
      </c>
      <c r="H696" t="n">
        <v>0</v>
      </c>
      <c r="I696" t="n">
        <v>0</v>
      </c>
      <c r="J696" t="n">
        <v>0</v>
      </c>
      <c r="K696" t="n">
        <v>0</v>
      </c>
      <c r="L696" t="n">
        <v>0</v>
      </c>
      <c r="M696" t="n">
        <v>0</v>
      </c>
      <c r="N696" t="n">
        <v>0</v>
      </c>
      <c r="O696" t="n">
        <v>0</v>
      </c>
      <c r="P696" t="n">
        <v>0</v>
      </c>
      <c r="Q696" t="n">
        <v>0</v>
      </c>
      <c r="R696" s="2" t="inlineStr"/>
    </row>
    <row r="697" ht="15" customHeight="1">
      <c r="A697" t="inlineStr">
        <is>
          <t>A 42955-2022</t>
        </is>
      </c>
      <c r="B697" s="1" t="n">
        <v>44833.40876157407</v>
      </c>
      <c r="C697" s="1" t="n">
        <v>46186</v>
      </c>
      <c r="D697" t="inlineStr">
        <is>
          <t>STOCKHOLMS LÄN</t>
        </is>
      </c>
      <c r="E697" t="inlineStr">
        <is>
          <t>NORRTÄLJE</t>
        </is>
      </c>
      <c r="G697" t="n">
        <v>13.1</v>
      </c>
      <c r="H697" t="n">
        <v>0</v>
      </c>
      <c r="I697" t="n">
        <v>0</v>
      </c>
      <c r="J697" t="n">
        <v>0</v>
      </c>
      <c r="K697" t="n">
        <v>0</v>
      </c>
      <c r="L697" t="n">
        <v>0</v>
      </c>
      <c r="M697" t="n">
        <v>0</v>
      </c>
      <c r="N697" t="n">
        <v>0</v>
      </c>
      <c r="O697" t="n">
        <v>0</v>
      </c>
      <c r="P697" t="n">
        <v>0</v>
      </c>
      <c r="Q697" t="n">
        <v>0</v>
      </c>
      <c r="R697" s="2" t="inlineStr"/>
    </row>
    <row r="698" ht="15" customHeight="1">
      <c r="A698" t="inlineStr">
        <is>
          <t>A 13767-2025</t>
        </is>
      </c>
      <c r="B698" s="1" t="n">
        <v>45737.43347222222</v>
      </c>
      <c r="C698" s="1" t="n">
        <v>46186</v>
      </c>
      <c r="D698" t="inlineStr">
        <is>
          <t>STOCKHOLMS LÄN</t>
        </is>
      </c>
      <c r="E698" t="inlineStr">
        <is>
          <t>NORRTÄLJE</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15422-2024</t>
        </is>
      </c>
      <c r="B699" s="1" t="n">
        <v>45401.3653125</v>
      </c>
      <c r="C699" s="1" t="n">
        <v>46186</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30508-2023</t>
        </is>
      </c>
      <c r="B700" s="1" t="n">
        <v>45111</v>
      </c>
      <c r="C700" s="1" t="n">
        <v>46186</v>
      </c>
      <c r="D700" t="inlineStr">
        <is>
          <t>STOCKHOLMS LÄN</t>
        </is>
      </c>
      <c r="E700" t="inlineStr">
        <is>
          <t>NORRTÄLJE</t>
        </is>
      </c>
      <c r="G700" t="n">
        <v>2.1</v>
      </c>
      <c r="H700" t="n">
        <v>0</v>
      </c>
      <c r="I700" t="n">
        <v>0</v>
      </c>
      <c r="J700" t="n">
        <v>0</v>
      </c>
      <c r="K700" t="n">
        <v>0</v>
      </c>
      <c r="L700" t="n">
        <v>0</v>
      </c>
      <c r="M700" t="n">
        <v>0</v>
      </c>
      <c r="N700" t="n">
        <v>0</v>
      </c>
      <c r="O700" t="n">
        <v>0</v>
      </c>
      <c r="P700" t="n">
        <v>0</v>
      </c>
      <c r="Q700" t="n">
        <v>0</v>
      </c>
      <c r="R700" s="2" t="inlineStr"/>
    </row>
    <row r="701" ht="15" customHeight="1">
      <c r="A701" t="inlineStr">
        <is>
          <t>A 34444-2024</t>
        </is>
      </c>
      <c r="B701" s="1" t="n">
        <v>45525</v>
      </c>
      <c r="C701" s="1" t="n">
        <v>46186</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20698-2025</t>
        </is>
      </c>
      <c r="B702" s="1" t="n">
        <v>45776.47122685185</v>
      </c>
      <c r="C702" s="1" t="n">
        <v>46186</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17025-2026</t>
        </is>
      </c>
      <c r="B703" s="1" t="n">
        <v>46113</v>
      </c>
      <c r="C703" s="1" t="n">
        <v>46186</v>
      </c>
      <c r="D703" t="inlineStr">
        <is>
          <t>STOCKHOLMS LÄN</t>
        </is>
      </c>
      <c r="E703" t="inlineStr">
        <is>
          <t>NORRTÄLJE</t>
        </is>
      </c>
      <c r="G703" t="n">
        <v>5.4</v>
      </c>
      <c r="H703" t="n">
        <v>0</v>
      </c>
      <c r="I703" t="n">
        <v>0</v>
      </c>
      <c r="J703" t="n">
        <v>0</v>
      </c>
      <c r="K703" t="n">
        <v>0</v>
      </c>
      <c r="L703" t="n">
        <v>0</v>
      </c>
      <c r="M703" t="n">
        <v>0</v>
      </c>
      <c r="N703" t="n">
        <v>0</v>
      </c>
      <c r="O703" t="n">
        <v>0</v>
      </c>
      <c r="P703" t="n">
        <v>0</v>
      </c>
      <c r="Q703" t="n">
        <v>0</v>
      </c>
      <c r="R703" s="2" t="inlineStr"/>
    </row>
    <row r="704" ht="15" customHeight="1">
      <c r="A704" t="inlineStr">
        <is>
          <t>A 16008-2025</t>
        </is>
      </c>
      <c r="B704" s="1" t="n">
        <v>45749</v>
      </c>
      <c r="C704" s="1" t="n">
        <v>46186</v>
      </c>
      <c r="D704" t="inlineStr">
        <is>
          <t>STOCKHOLMS LÄN</t>
        </is>
      </c>
      <c r="E704" t="inlineStr">
        <is>
          <t>NORRTÄLJE</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22618-2026</t>
        </is>
      </c>
      <c r="B705" s="1" t="n">
        <v>46155.61440972222</v>
      </c>
      <c r="C705" s="1" t="n">
        <v>46186</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21158-2022</t>
        </is>
      </c>
      <c r="B706" s="1" t="n">
        <v>44704</v>
      </c>
      <c r="C706" s="1" t="n">
        <v>46186</v>
      </c>
      <c r="D706" t="inlineStr">
        <is>
          <t>STOCKHOLMS LÄN</t>
        </is>
      </c>
      <c r="E706" t="inlineStr">
        <is>
          <t>NORRTÄLJE</t>
        </is>
      </c>
      <c r="G706" t="n">
        <v>17.8</v>
      </c>
      <c r="H706" t="n">
        <v>0</v>
      </c>
      <c r="I706" t="n">
        <v>0</v>
      </c>
      <c r="J706" t="n">
        <v>0</v>
      </c>
      <c r="K706" t="n">
        <v>0</v>
      </c>
      <c r="L706" t="n">
        <v>0</v>
      </c>
      <c r="M706" t="n">
        <v>0</v>
      </c>
      <c r="N706" t="n">
        <v>0</v>
      </c>
      <c r="O706" t="n">
        <v>0</v>
      </c>
      <c r="P706" t="n">
        <v>0</v>
      </c>
      <c r="Q706" t="n">
        <v>0</v>
      </c>
      <c r="R706" s="2" t="inlineStr"/>
    </row>
    <row r="707" ht="15" customHeight="1">
      <c r="A707" t="inlineStr">
        <is>
          <t>A 32101-2022</t>
        </is>
      </c>
      <c r="B707" s="1" t="n">
        <v>44778.69210648148</v>
      </c>
      <c r="C707" s="1" t="n">
        <v>46186</v>
      </c>
      <c r="D707" t="inlineStr">
        <is>
          <t>STOCKHOLMS LÄN</t>
        </is>
      </c>
      <c r="E707" t="inlineStr">
        <is>
          <t>NORRTÄLJE</t>
        </is>
      </c>
      <c r="G707" t="n">
        <v>4.4</v>
      </c>
      <c r="H707" t="n">
        <v>0</v>
      </c>
      <c r="I707" t="n">
        <v>0</v>
      </c>
      <c r="J707" t="n">
        <v>0</v>
      </c>
      <c r="K707" t="n">
        <v>0</v>
      </c>
      <c r="L707" t="n">
        <v>0</v>
      </c>
      <c r="M707" t="n">
        <v>0</v>
      </c>
      <c r="N707" t="n">
        <v>0</v>
      </c>
      <c r="O707" t="n">
        <v>0</v>
      </c>
      <c r="P707" t="n">
        <v>0</v>
      </c>
      <c r="Q707" t="n">
        <v>0</v>
      </c>
      <c r="R707" s="2" t="inlineStr"/>
    </row>
    <row r="708" ht="15" customHeight="1">
      <c r="A708" t="inlineStr">
        <is>
          <t>A 22232-2024</t>
        </is>
      </c>
      <c r="B708" s="1" t="n">
        <v>45446.4287962963</v>
      </c>
      <c r="C708" s="1" t="n">
        <v>46186</v>
      </c>
      <c r="D708" t="inlineStr">
        <is>
          <t>STOCKHOLMS LÄN</t>
        </is>
      </c>
      <c r="E708" t="inlineStr">
        <is>
          <t>NORRTÄLJE</t>
        </is>
      </c>
      <c r="G708" t="n">
        <v>12.8</v>
      </c>
      <c r="H708" t="n">
        <v>0</v>
      </c>
      <c r="I708" t="n">
        <v>0</v>
      </c>
      <c r="J708" t="n">
        <v>0</v>
      </c>
      <c r="K708" t="n">
        <v>0</v>
      </c>
      <c r="L708" t="n">
        <v>0</v>
      </c>
      <c r="M708" t="n">
        <v>0</v>
      </c>
      <c r="N708" t="n">
        <v>0</v>
      </c>
      <c r="O708" t="n">
        <v>0</v>
      </c>
      <c r="P708" t="n">
        <v>0</v>
      </c>
      <c r="Q708" t="n">
        <v>0</v>
      </c>
      <c r="R708" s="2" t="inlineStr"/>
    </row>
    <row r="709" ht="15" customHeight="1">
      <c r="A709" t="inlineStr">
        <is>
          <t>A 23150-2024</t>
        </is>
      </c>
      <c r="B709" s="1" t="n">
        <v>45450.64643518518</v>
      </c>
      <c r="C709" s="1" t="n">
        <v>46186</v>
      </c>
      <c r="D709" t="inlineStr">
        <is>
          <t>STOCKHOLMS LÄN</t>
        </is>
      </c>
      <c r="E709" t="inlineStr">
        <is>
          <t>NORRTÄLJE</t>
        </is>
      </c>
      <c r="F709" t="inlineStr">
        <is>
          <t>Kommuner</t>
        </is>
      </c>
      <c r="G709" t="n">
        <v>2.7</v>
      </c>
      <c r="H709" t="n">
        <v>0</v>
      </c>
      <c r="I709" t="n">
        <v>0</v>
      </c>
      <c r="J709" t="n">
        <v>0</v>
      </c>
      <c r="K709" t="n">
        <v>0</v>
      </c>
      <c r="L709" t="n">
        <v>0</v>
      </c>
      <c r="M709" t="n">
        <v>0</v>
      </c>
      <c r="N709" t="n">
        <v>0</v>
      </c>
      <c r="O709" t="n">
        <v>0</v>
      </c>
      <c r="P709" t="n">
        <v>0</v>
      </c>
      <c r="Q709" t="n">
        <v>0</v>
      </c>
      <c r="R709" s="2" t="inlineStr"/>
    </row>
    <row r="710" ht="15" customHeight="1">
      <c r="A710" t="inlineStr">
        <is>
          <t>A 24933-2023</t>
        </is>
      </c>
      <c r="B710" s="1" t="n">
        <v>45085.5309375</v>
      </c>
      <c r="C710" s="1" t="n">
        <v>46186</v>
      </c>
      <c r="D710" t="inlineStr">
        <is>
          <t>STOCKHOLMS LÄN</t>
        </is>
      </c>
      <c r="E710" t="inlineStr">
        <is>
          <t>NORRTÄLJE</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56631-2024</t>
        </is>
      </c>
      <c r="B711" s="1" t="n">
        <v>45625</v>
      </c>
      <c r="C711" s="1" t="n">
        <v>46186</v>
      </c>
      <c r="D711" t="inlineStr">
        <is>
          <t>STOCKHOLMS LÄN</t>
        </is>
      </c>
      <c r="E711" t="inlineStr">
        <is>
          <t>NORRTÄLJE</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652-2025</t>
        </is>
      </c>
      <c r="B712" s="1" t="n">
        <v>45664</v>
      </c>
      <c r="C712" s="1" t="n">
        <v>46186</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17347-2026</t>
        </is>
      </c>
      <c r="B713" s="1" t="n">
        <v>46119</v>
      </c>
      <c r="C713" s="1" t="n">
        <v>46186</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17207-2026</t>
        </is>
      </c>
      <c r="B714" s="1" t="n">
        <v>46119.31914351852</v>
      </c>
      <c r="C714" s="1" t="n">
        <v>46186</v>
      </c>
      <c r="D714" t="inlineStr">
        <is>
          <t>STOCKHOLMS LÄN</t>
        </is>
      </c>
      <c r="E714" t="inlineStr">
        <is>
          <t>NORRTÄLJE</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17345-2026</t>
        </is>
      </c>
      <c r="B715" s="1" t="n">
        <v>46119</v>
      </c>
      <c r="C715" s="1" t="n">
        <v>46186</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11499-2023</t>
        </is>
      </c>
      <c r="B716" s="1" t="n">
        <v>44993.66707175926</v>
      </c>
      <c r="C716" s="1" t="n">
        <v>46186</v>
      </c>
      <c r="D716" t="inlineStr">
        <is>
          <t>STOCKHOLMS LÄN</t>
        </is>
      </c>
      <c r="E716" t="inlineStr">
        <is>
          <t>NORRTÄLJE</t>
        </is>
      </c>
      <c r="F716" t="inlineStr">
        <is>
          <t>Holmen skog AB</t>
        </is>
      </c>
      <c r="G716" t="n">
        <v>2.8</v>
      </c>
      <c r="H716" t="n">
        <v>0</v>
      </c>
      <c r="I716" t="n">
        <v>0</v>
      </c>
      <c r="J716" t="n">
        <v>0</v>
      </c>
      <c r="K716" t="n">
        <v>0</v>
      </c>
      <c r="L716" t="n">
        <v>0</v>
      </c>
      <c r="M716" t="n">
        <v>0</v>
      </c>
      <c r="N716" t="n">
        <v>0</v>
      </c>
      <c r="O716" t="n">
        <v>0</v>
      </c>
      <c r="P716" t="n">
        <v>0</v>
      </c>
      <c r="Q716" t="n">
        <v>0</v>
      </c>
      <c r="R716" s="2" t="inlineStr"/>
    </row>
    <row r="717" ht="15" customHeight="1">
      <c r="A717" t="inlineStr">
        <is>
          <t>A 17215-2026</t>
        </is>
      </c>
      <c r="B717" s="1" t="n">
        <v>46119.36524305555</v>
      </c>
      <c r="C717" s="1" t="n">
        <v>46186</v>
      </c>
      <c r="D717" t="inlineStr">
        <is>
          <t>STOCKHOLMS LÄN</t>
        </is>
      </c>
      <c r="E717" t="inlineStr">
        <is>
          <t>NORRTÄLJE</t>
        </is>
      </c>
      <c r="F717" t="inlineStr">
        <is>
          <t>Holmen skog AB</t>
        </is>
      </c>
      <c r="G717" t="n">
        <v>3.8</v>
      </c>
      <c r="H717" t="n">
        <v>0</v>
      </c>
      <c r="I717" t="n">
        <v>0</v>
      </c>
      <c r="J717" t="n">
        <v>0</v>
      </c>
      <c r="K717" t="n">
        <v>0</v>
      </c>
      <c r="L717" t="n">
        <v>0</v>
      </c>
      <c r="M717" t="n">
        <v>0</v>
      </c>
      <c r="N717" t="n">
        <v>0</v>
      </c>
      <c r="O717" t="n">
        <v>0</v>
      </c>
      <c r="P717" t="n">
        <v>0</v>
      </c>
      <c r="Q717" t="n">
        <v>0</v>
      </c>
      <c r="R717" s="2" t="inlineStr"/>
    </row>
    <row r="718" ht="15" customHeight="1">
      <c r="A718" t="inlineStr">
        <is>
          <t>A 576-2023</t>
        </is>
      </c>
      <c r="B718" s="1" t="n">
        <v>44925</v>
      </c>
      <c r="C718" s="1" t="n">
        <v>46186</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10678-2025</t>
        </is>
      </c>
      <c r="B719" s="1" t="n">
        <v>45721.89123842592</v>
      </c>
      <c r="C719" s="1" t="n">
        <v>46186</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31936-2022</t>
        </is>
      </c>
      <c r="B720" s="1" t="n">
        <v>44777</v>
      </c>
      <c r="C720" s="1" t="n">
        <v>46186</v>
      </c>
      <c r="D720" t="inlineStr">
        <is>
          <t>STOCKHOLMS LÄN</t>
        </is>
      </c>
      <c r="E720" t="inlineStr">
        <is>
          <t>NORRTÄLJE</t>
        </is>
      </c>
      <c r="G720" t="n">
        <v>5.2</v>
      </c>
      <c r="H720" t="n">
        <v>0</v>
      </c>
      <c r="I720" t="n">
        <v>0</v>
      </c>
      <c r="J720" t="n">
        <v>0</v>
      </c>
      <c r="K720" t="n">
        <v>0</v>
      </c>
      <c r="L720" t="n">
        <v>0</v>
      </c>
      <c r="M720" t="n">
        <v>0</v>
      </c>
      <c r="N720" t="n">
        <v>0</v>
      </c>
      <c r="O720" t="n">
        <v>0</v>
      </c>
      <c r="P720" t="n">
        <v>0</v>
      </c>
      <c r="Q720" t="n">
        <v>0</v>
      </c>
      <c r="R720" s="2" t="inlineStr"/>
    </row>
    <row r="721" ht="15" customHeight="1">
      <c r="A721" t="inlineStr">
        <is>
          <t>A 59873-2024</t>
        </is>
      </c>
      <c r="B721" s="1" t="n">
        <v>45640.57305555556</v>
      </c>
      <c r="C721" s="1" t="n">
        <v>46186</v>
      </c>
      <c r="D721" t="inlineStr">
        <is>
          <t>STOCKHOLMS LÄN</t>
        </is>
      </c>
      <c r="E721" t="inlineStr">
        <is>
          <t>NORRTÄLJE</t>
        </is>
      </c>
      <c r="G721" t="n">
        <v>3.3</v>
      </c>
      <c r="H721" t="n">
        <v>0</v>
      </c>
      <c r="I721" t="n">
        <v>0</v>
      </c>
      <c r="J721" t="n">
        <v>0</v>
      </c>
      <c r="K721" t="n">
        <v>0</v>
      </c>
      <c r="L721" t="n">
        <v>0</v>
      </c>
      <c r="M721" t="n">
        <v>0</v>
      </c>
      <c r="N721" t="n">
        <v>0</v>
      </c>
      <c r="O721" t="n">
        <v>0</v>
      </c>
      <c r="P721" t="n">
        <v>0</v>
      </c>
      <c r="Q721" t="n">
        <v>0</v>
      </c>
      <c r="R721" s="2" t="inlineStr"/>
    </row>
    <row r="722" ht="15" customHeight="1">
      <c r="A722" t="inlineStr">
        <is>
          <t>A 35916-2024</t>
        </is>
      </c>
      <c r="B722" s="1" t="n">
        <v>45533</v>
      </c>
      <c r="C722" s="1" t="n">
        <v>46186</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10098-2022</t>
        </is>
      </c>
      <c r="B723" s="1" t="n">
        <v>44621</v>
      </c>
      <c r="C723" s="1" t="n">
        <v>46186</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17651-2026</t>
        </is>
      </c>
      <c r="B724" s="1" t="n">
        <v>46121.55334490741</v>
      </c>
      <c r="C724" s="1" t="n">
        <v>46186</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63161-2023</t>
        </is>
      </c>
      <c r="B725" s="1" t="n">
        <v>45273</v>
      </c>
      <c r="C725" s="1" t="n">
        <v>46186</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58041-2024</t>
        </is>
      </c>
      <c r="B726" s="1" t="n">
        <v>45631.74673611111</v>
      </c>
      <c r="C726" s="1" t="n">
        <v>46186</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30268-2024</t>
        </is>
      </c>
      <c r="B727" s="1" t="n">
        <v>45490.60572916667</v>
      </c>
      <c r="C727" s="1" t="n">
        <v>46186</v>
      </c>
      <c r="D727" t="inlineStr">
        <is>
          <t>STOCKHOLMS LÄN</t>
        </is>
      </c>
      <c r="E727" t="inlineStr">
        <is>
          <t>NORRTÄLJE</t>
        </is>
      </c>
      <c r="G727" t="n">
        <v>5.6</v>
      </c>
      <c r="H727" t="n">
        <v>0</v>
      </c>
      <c r="I727" t="n">
        <v>0</v>
      </c>
      <c r="J727" t="n">
        <v>0</v>
      </c>
      <c r="K727" t="n">
        <v>0</v>
      </c>
      <c r="L727" t="n">
        <v>0</v>
      </c>
      <c r="M727" t="n">
        <v>0</v>
      </c>
      <c r="N727" t="n">
        <v>0</v>
      </c>
      <c r="O727" t="n">
        <v>0</v>
      </c>
      <c r="P727" t="n">
        <v>0</v>
      </c>
      <c r="Q727" t="n">
        <v>0</v>
      </c>
      <c r="R727" s="2" t="inlineStr"/>
    </row>
    <row r="728" ht="15" customHeight="1">
      <c r="A728" t="inlineStr">
        <is>
          <t>A 19025-2025</t>
        </is>
      </c>
      <c r="B728" s="1" t="n">
        <v>45764.6359837963</v>
      </c>
      <c r="C728" s="1" t="n">
        <v>46186</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54276-2021</t>
        </is>
      </c>
      <c r="B729" s="1" t="n">
        <v>44470</v>
      </c>
      <c r="C729" s="1" t="n">
        <v>46186</v>
      </c>
      <c r="D729" t="inlineStr">
        <is>
          <t>STOCKHOLMS LÄN</t>
        </is>
      </c>
      <c r="E729" t="inlineStr">
        <is>
          <t>NORRTÄLJE</t>
        </is>
      </c>
      <c r="G729" t="n">
        <v>7.3</v>
      </c>
      <c r="H729" t="n">
        <v>0</v>
      </c>
      <c r="I729" t="n">
        <v>0</v>
      </c>
      <c r="J729" t="n">
        <v>0</v>
      </c>
      <c r="K729" t="n">
        <v>0</v>
      </c>
      <c r="L729" t="n">
        <v>0</v>
      </c>
      <c r="M729" t="n">
        <v>0</v>
      </c>
      <c r="N729" t="n">
        <v>0</v>
      </c>
      <c r="O729" t="n">
        <v>0</v>
      </c>
      <c r="P729" t="n">
        <v>0</v>
      </c>
      <c r="Q729" t="n">
        <v>0</v>
      </c>
      <c r="R729" s="2" t="inlineStr"/>
    </row>
    <row r="730" ht="15" customHeight="1">
      <c r="A730" t="inlineStr">
        <is>
          <t>A 4316-2023</t>
        </is>
      </c>
      <c r="B730" s="1" t="n">
        <v>44953.67443287037</v>
      </c>
      <c r="C730" s="1" t="n">
        <v>46186</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41587-2023</t>
        </is>
      </c>
      <c r="B731" s="1" t="n">
        <v>45175</v>
      </c>
      <c r="C731" s="1" t="n">
        <v>46186</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17304-2024</t>
        </is>
      </c>
      <c r="B732" s="1" t="n">
        <v>45414</v>
      </c>
      <c r="C732" s="1" t="n">
        <v>46186</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11280-2023</t>
        </is>
      </c>
      <c r="B733" s="1" t="n">
        <v>44992</v>
      </c>
      <c r="C733" s="1" t="n">
        <v>46186</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37632-2025</t>
        </is>
      </c>
      <c r="B734" s="1" t="n">
        <v>45880.46524305556</v>
      </c>
      <c r="C734" s="1" t="n">
        <v>46186</v>
      </c>
      <c r="D734" t="inlineStr">
        <is>
          <t>STOCKHOLMS LÄN</t>
        </is>
      </c>
      <c r="E734" t="inlineStr">
        <is>
          <t>NORRTÄLJE</t>
        </is>
      </c>
      <c r="F734" t="inlineStr">
        <is>
          <t>Sveaskog</t>
        </is>
      </c>
      <c r="G734" t="n">
        <v>6.4</v>
      </c>
      <c r="H734" t="n">
        <v>0</v>
      </c>
      <c r="I734" t="n">
        <v>0</v>
      </c>
      <c r="J734" t="n">
        <v>0</v>
      </c>
      <c r="K734" t="n">
        <v>0</v>
      </c>
      <c r="L734" t="n">
        <v>0</v>
      </c>
      <c r="M734" t="n">
        <v>0</v>
      </c>
      <c r="N734" t="n">
        <v>0</v>
      </c>
      <c r="O734" t="n">
        <v>0</v>
      </c>
      <c r="P734" t="n">
        <v>0</v>
      </c>
      <c r="Q734" t="n">
        <v>0</v>
      </c>
      <c r="R734" s="2" t="inlineStr"/>
    </row>
    <row r="735" ht="15" customHeight="1">
      <c r="A735" t="inlineStr">
        <is>
          <t>A 20692-2025</t>
        </is>
      </c>
      <c r="B735" s="1" t="n">
        <v>45776.46369212963</v>
      </c>
      <c r="C735" s="1" t="n">
        <v>46186</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26668-2024</t>
        </is>
      </c>
      <c r="B736" s="1" t="n">
        <v>45469</v>
      </c>
      <c r="C736" s="1" t="n">
        <v>46186</v>
      </c>
      <c r="D736" t="inlineStr">
        <is>
          <t>STOCKHOLMS LÄN</t>
        </is>
      </c>
      <c r="E736" t="inlineStr">
        <is>
          <t>NORRTÄLJE</t>
        </is>
      </c>
      <c r="G736" t="n">
        <v>4.8</v>
      </c>
      <c r="H736" t="n">
        <v>0</v>
      </c>
      <c r="I736" t="n">
        <v>0</v>
      </c>
      <c r="J736" t="n">
        <v>0</v>
      </c>
      <c r="K736" t="n">
        <v>0</v>
      </c>
      <c r="L736" t="n">
        <v>0</v>
      </c>
      <c r="M736" t="n">
        <v>0</v>
      </c>
      <c r="N736" t="n">
        <v>0</v>
      </c>
      <c r="O736" t="n">
        <v>0</v>
      </c>
      <c r="P736" t="n">
        <v>0</v>
      </c>
      <c r="Q736" t="n">
        <v>0</v>
      </c>
      <c r="R736" s="2" t="inlineStr"/>
    </row>
    <row r="737" ht="15" customHeight="1">
      <c r="A737" t="inlineStr">
        <is>
          <t>A 46071-2024</t>
        </is>
      </c>
      <c r="B737" s="1" t="n">
        <v>45581</v>
      </c>
      <c r="C737" s="1" t="n">
        <v>46186</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13137-2024</t>
        </is>
      </c>
      <c r="B738" s="1" t="n">
        <v>45386.34175925926</v>
      </c>
      <c r="C738" s="1" t="n">
        <v>46186</v>
      </c>
      <c r="D738" t="inlineStr">
        <is>
          <t>STOCKHOLMS LÄN</t>
        </is>
      </c>
      <c r="E738" t="inlineStr">
        <is>
          <t>NORRTÄLJE</t>
        </is>
      </c>
      <c r="G738" t="n">
        <v>5</v>
      </c>
      <c r="H738" t="n">
        <v>0</v>
      </c>
      <c r="I738" t="n">
        <v>0</v>
      </c>
      <c r="J738" t="n">
        <v>0</v>
      </c>
      <c r="K738" t="n">
        <v>0</v>
      </c>
      <c r="L738" t="n">
        <v>0</v>
      </c>
      <c r="M738" t="n">
        <v>0</v>
      </c>
      <c r="N738" t="n">
        <v>0</v>
      </c>
      <c r="O738" t="n">
        <v>0</v>
      </c>
      <c r="P738" t="n">
        <v>0</v>
      </c>
      <c r="Q738" t="n">
        <v>0</v>
      </c>
      <c r="R738" s="2" t="inlineStr"/>
    </row>
    <row r="739" ht="15" customHeight="1">
      <c r="A739" t="inlineStr">
        <is>
          <t>A 31926-2022</t>
        </is>
      </c>
      <c r="B739" s="1" t="n">
        <v>44777</v>
      </c>
      <c r="C739" s="1" t="n">
        <v>46186</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26703-2025</t>
        </is>
      </c>
      <c r="B740" s="1" t="n">
        <v>45810.45263888889</v>
      </c>
      <c r="C740" s="1" t="n">
        <v>46186</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21480-2022</t>
        </is>
      </c>
      <c r="B741" s="1" t="n">
        <v>44704</v>
      </c>
      <c r="C741" s="1" t="n">
        <v>46186</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38153-2025</t>
        </is>
      </c>
      <c r="B742" s="1" t="n">
        <v>45882.59722222222</v>
      </c>
      <c r="C742" s="1" t="n">
        <v>46186</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24024-2024</t>
        </is>
      </c>
      <c r="B743" s="1" t="n">
        <v>45456</v>
      </c>
      <c r="C743" s="1" t="n">
        <v>46186</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28809-2023</t>
        </is>
      </c>
      <c r="B744" s="1" t="n">
        <v>45104</v>
      </c>
      <c r="C744" s="1" t="n">
        <v>46186</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28813-2023</t>
        </is>
      </c>
      <c r="B745" s="1" t="n">
        <v>45104</v>
      </c>
      <c r="C745" s="1" t="n">
        <v>46186</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40656-2022</t>
        </is>
      </c>
      <c r="B746" s="1" t="n">
        <v>44824.36069444445</v>
      </c>
      <c r="C746" s="1" t="n">
        <v>46186</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23855-2026</t>
        </is>
      </c>
      <c r="B747" s="1" t="n">
        <v>46167.38663194444</v>
      </c>
      <c r="C747" s="1" t="n">
        <v>46186</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60694-2024</t>
        </is>
      </c>
      <c r="B748" s="1" t="n">
        <v>45644.47878472223</v>
      </c>
      <c r="C748" s="1" t="n">
        <v>46186</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21753-2026</t>
        </is>
      </c>
      <c r="B749" s="1" t="n">
        <v>46149</v>
      </c>
      <c r="C749" s="1" t="n">
        <v>46186</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15836-2026</t>
        </is>
      </c>
      <c r="B750" s="1" t="n">
        <v>46107</v>
      </c>
      <c r="C750" s="1" t="n">
        <v>46186</v>
      </c>
      <c r="D750" t="inlineStr">
        <is>
          <t>STOCKHOLMS LÄN</t>
        </is>
      </c>
      <c r="E750" t="inlineStr">
        <is>
          <t>NORRTÄLJE</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33353-2023</t>
        </is>
      </c>
      <c r="B751" s="1" t="n">
        <v>45128</v>
      </c>
      <c r="C751" s="1" t="n">
        <v>46186</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3966-2024</t>
        </is>
      </c>
      <c r="B752" s="1" t="n">
        <v>45322</v>
      </c>
      <c r="C752" s="1" t="n">
        <v>46186</v>
      </c>
      <c r="D752" t="inlineStr">
        <is>
          <t>STOCKHOLMS LÄN</t>
        </is>
      </c>
      <c r="E752" t="inlineStr">
        <is>
          <t>NORRTÄLJE</t>
        </is>
      </c>
      <c r="G752" t="n">
        <v>5.3</v>
      </c>
      <c r="H752" t="n">
        <v>0</v>
      </c>
      <c r="I752" t="n">
        <v>0</v>
      </c>
      <c r="J752" t="n">
        <v>0</v>
      </c>
      <c r="K752" t="n">
        <v>0</v>
      </c>
      <c r="L752" t="n">
        <v>0</v>
      </c>
      <c r="M752" t="n">
        <v>0</v>
      </c>
      <c r="N752" t="n">
        <v>0</v>
      </c>
      <c r="O752" t="n">
        <v>0</v>
      </c>
      <c r="P752" t="n">
        <v>0</v>
      </c>
      <c r="Q752" t="n">
        <v>0</v>
      </c>
      <c r="R752" s="2" t="inlineStr"/>
    </row>
    <row r="753" ht="15" customHeight="1">
      <c r="A753" t="inlineStr">
        <is>
          <t>A 14937-2026</t>
        </is>
      </c>
      <c r="B753" s="1" t="n">
        <v>46104</v>
      </c>
      <c r="C753" s="1" t="n">
        <v>46186</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23262-2023</t>
        </is>
      </c>
      <c r="B754" s="1" t="n">
        <v>45075.90270833333</v>
      </c>
      <c r="C754" s="1" t="n">
        <v>46186</v>
      </c>
      <c r="D754" t="inlineStr">
        <is>
          <t>STOCKHOLMS LÄN</t>
        </is>
      </c>
      <c r="E754" t="inlineStr">
        <is>
          <t>NORRTÄLJE</t>
        </is>
      </c>
      <c r="F754" t="inlineStr">
        <is>
          <t>Kommuner</t>
        </is>
      </c>
      <c r="G754" t="n">
        <v>1.9</v>
      </c>
      <c r="H754" t="n">
        <v>0</v>
      </c>
      <c r="I754" t="n">
        <v>0</v>
      </c>
      <c r="J754" t="n">
        <v>0</v>
      </c>
      <c r="K754" t="n">
        <v>0</v>
      </c>
      <c r="L754" t="n">
        <v>0</v>
      </c>
      <c r="M754" t="n">
        <v>0</v>
      </c>
      <c r="N754" t="n">
        <v>0</v>
      </c>
      <c r="O754" t="n">
        <v>0</v>
      </c>
      <c r="P754" t="n">
        <v>0</v>
      </c>
      <c r="Q754" t="n">
        <v>0</v>
      </c>
      <c r="R754" s="2" t="inlineStr"/>
    </row>
    <row r="755" ht="15" customHeight="1">
      <c r="A755" t="inlineStr">
        <is>
          <t>A 23268-2023</t>
        </is>
      </c>
      <c r="B755" s="1" t="n">
        <v>45075.91042824074</v>
      </c>
      <c r="C755" s="1" t="n">
        <v>46186</v>
      </c>
      <c r="D755" t="inlineStr">
        <is>
          <t>STOCKHOLMS LÄN</t>
        </is>
      </c>
      <c r="E755" t="inlineStr">
        <is>
          <t>NORRTÄLJE</t>
        </is>
      </c>
      <c r="G755" t="n">
        <v>3.3</v>
      </c>
      <c r="H755" t="n">
        <v>0</v>
      </c>
      <c r="I755" t="n">
        <v>0</v>
      </c>
      <c r="J755" t="n">
        <v>0</v>
      </c>
      <c r="K755" t="n">
        <v>0</v>
      </c>
      <c r="L755" t="n">
        <v>0</v>
      </c>
      <c r="M755" t="n">
        <v>0</v>
      </c>
      <c r="N755" t="n">
        <v>0</v>
      </c>
      <c r="O755" t="n">
        <v>0</v>
      </c>
      <c r="P755" t="n">
        <v>0</v>
      </c>
      <c r="Q755" t="n">
        <v>0</v>
      </c>
      <c r="R755" s="2" t="inlineStr"/>
    </row>
    <row r="756" ht="15" customHeight="1">
      <c r="A756" t="inlineStr">
        <is>
          <t>A 23270-2023</t>
        </is>
      </c>
      <c r="B756" s="1" t="n">
        <v>45075.91265046296</v>
      </c>
      <c r="C756" s="1" t="n">
        <v>46186</v>
      </c>
      <c r="D756" t="inlineStr">
        <is>
          <t>STOCKHOLMS LÄN</t>
        </is>
      </c>
      <c r="E756" t="inlineStr">
        <is>
          <t>NORRTÄLJE</t>
        </is>
      </c>
      <c r="G756" t="n">
        <v>12.3</v>
      </c>
      <c r="H756" t="n">
        <v>0</v>
      </c>
      <c r="I756" t="n">
        <v>0</v>
      </c>
      <c r="J756" t="n">
        <v>0</v>
      </c>
      <c r="K756" t="n">
        <v>0</v>
      </c>
      <c r="L756" t="n">
        <v>0</v>
      </c>
      <c r="M756" t="n">
        <v>0</v>
      </c>
      <c r="N756" t="n">
        <v>0</v>
      </c>
      <c r="O756" t="n">
        <v>0</v>
      </c>
      <c r="P756" t="n">
        <v>0</v>
      </c>
      <c r="Q756" t="n">
        <v>0</v>
      </c>
      <c r="R756" s="2" t="inlineStr"/>
    </row>
    <row r="757" ht="15" customHeight="1">
      <c r="A757" t="inlineStr">
        <is>
          <t>A 23274-2023</t>
        </is>
      </c>
      <c r="B757" s="1" t="n">
        <v>45075.92153935185</v>
      </c>
      <c r="C757" s="1" t="n">
        <v>46186</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24835-2025</t>
        </is>
      </c>
      <c r="B758" s="1" t="n">
        <v>45799</v>
      </c>
      <c r="C758" s="1" t="n">
        <v>46186</v>
      </c>
      <c r="D758" t="inlineStr">
        <is>
          <t>STOCKHOLMS LÄN</t>
        </is>
      </c>
      <c r="E758" t="inlineStr">
        <is>
          <t>NORRTÄLJE</t>
        </is>
      </c>
      <c r="G758" t="n">
        <v>2.5</v>
      </c>
      <c r="H758" t="n">
        <v>0</v>
      </c>
      <c r="I758" t="n">
        <v>0</v>
      </c>
      <c r="J758" t="n">
        <v>0</v>
      </c>
      <c r="K758" t="n">
        <v>0</v>
      </c>
      <c r="L758" t="n">
        <v>0</v>
      </c>
      <c r="M758" t="n">
        <v>0</v>
      </c>
      <c r="N758" t="n">
        <v>0</v>
      </c>
      <c r="O758" t="n">
        <v>0</v>
      </c>
      <c r="P758" t="n">
        <v>0</v>
      </c>
      <c r="Q758" t="n">
        <v>0</v>
      </c>
      <c r="R758" s="2" t="inlineStr"/>
    </row>
    <row r="759" ht="15" customHeight="1">
      <c r="A759" t="inlineStr">
        <is>
          <t>A 17843-2024</t>
        </is>
      </c>
      <c r="B759" s="1" t="n">
        <v>45418</v>
      </c>
      <c r="C759" s="1" t="n">
        <v>46186</v>
      </c>
      <c r="D759" t="inlineStr">
        <is>
          <t>STOCKHOLMS LÄN</t>
        </is>
      </c>
      <c r="E759" t="inlineStr">
        <is>
          <t>NORRTÄLJE</t>
        </is>
      </c>
      <c r="G759" t="n">
        <v>5.4</v>
      </c>
      <c r="H759" t="n">
        <v>0</v>
      </c>
      <c r="I759" t="n">
        <v>0</v>
      </c>
      <c r="J759" t="n">
        <v>0</v>
      </c>
      <c r="K759" t="n">
        <v>0</v>
      </c>
      <c r="L759" t="n">
        <v>0</v>
      </c>
      <c r="M759" t="n">
        <v>0</v>
      </c>
      <c r="N759" t="n">
        <v>0</v>
      </c>
      <c r="O759" t="n">
        <v>0</v>
      </c>
      <c r="P759" t="n">
        <v>0</v>
      </c>
      <c r="Q759" t="n">
        <v>0</v>
      </c>
      <c r="R759" s="2" t="inlineStr"/>
    </row>
    <row r="760" ht="15" customHeight="1">
      <c r="A760" t="inlineStr">
        <is>
          <t>A 26636-2023</t>
        </is>
      </c>
      <c r="B760" s="1" t="n">
        <v>45092</v>
      </c>
      <c r="C760" s="1" t="n">
        <v>46186</v>
      </c>
      <c r="D760" t="inlineStr">
        <is>
          <t>STOCKHOLMS LÄN</t>
        </is>
      </c>
      <c r="E760" t="inlineStr">
        <is>
          <t>NORRTÄLJE</t>
        </is>
      </c>
      <c r="G760" t="n">
        <v>1.7</v>
      </c>
      <c r="H760" t="n">
        <v>0</v>
      </c>
      <c r="I760" t="n">
        <v>0</v>
      </c>
      <c r="J760" t="n">
        <v>0</v>
      </c>
      <c r="K760" t="n">
        <v>0</v>
      </c>
      <c r="L760" t="n">
        <v>0</v>
      </c>
      <c r="M760" t="n">
        <v>0</v>
      </c>
      <c r="N760" t="n">
        <v>0</v>
      </c>
      <c r="O760" t="n">
        <v>0</v>
      </c>
      <c r="P760" t="n">
        <v>0</v>
      </c>
      <c r="Q760" t="n">
        <v>0</v>
      </c>
      <c r="R760" s="2" t="inlineStr"/>
    </row>
    <row r="761" ht="15" customHeight="1">
      <c r="A761" t="inlineStr">
        <is>
          <t>A 26637-2023</t>
        </is>
      </c>
      <c r="B761" s="1" t="n">
        <v>45092</v>
      </c>
      <c r="C761" s="1" t="n">
        <v>46186</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72704-2021</t>
        </is>
      </c>
      <c r="B762" s="1" t="n">
        <v>44546</v>
      </c>
      <c r="C762" s="1" t="n">
        <v>46186</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52743-2024</t>
        </is>
      </c>
      <c r="B763" s="1" t="n">
        <v>45610.47414351852</v>
      </c>
      <c r="C763" s="1" t="n">
        <v>46186</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16852-2024</t>
        </is>
      </c>
      <c r="B764" s="1" t="n">
        <v>45411.54768518519</v>
      </c>
      <c r="C764" s="1" t="n">
        <v>46186</v>
      </c>
      <c r="D764" t="inlineStr">
        <is>
          <t>STOCKHOLMS LÄN</t>
        </is>
      </c>
      <c r="E764" t="inlineStr">
        <is>
          <t>NORRTÄLJE</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67921-2021</t>
        </is>
      </c>
      <c r="B765" s="1" t="n">
        <v>44525</v>
      </c>
      <c r="C765" s="1" t="n">
        <v>46186</v>
      </c>
      <c r="D765" t="inlineStr">
        <is>
          <t>STOCKHOLMS LÄN</t>
        </is>
      </c>
      <c r="E765" t="inlineStr">
        <is>
          <t>NORRTÄLJE</t>
        </is>
      </c>
      <c r="G765" t="n">
        <v>6.3</v>
      </c>
      <c r="H765" t="n">
        <v>0</v>
      </c>
      <c r="I765" t="n">
        <v>0</v>
      </c>
      <c r="J765" t="n">
        <v>0</v>
      </c>
      <c r="K765" t="n">
        <v>0</v>
      </c>
      <c r="L765" t="n">
        <v>0</v>
      </c>
      <c r="M765" t="n">
        <v>0</v>
      </c>
      <c r="N765" t="n">
        <v>0</v>
      </c>
      <c r="O765" t="n">
        <v>0</v>
      </c>
      <c r="P765" t="n">
        <v>0</v>
      </c>
      <c r="Q765" t="n">
        <v>0</v>
      </c>
      <c r="R765" s="2" t="inlineStr"/>
    </row>
    <row r="766" ht="15" customHeight="1">
      <c r="A766" t="inlineStr">
        <is>
          <t>A 24891-2026</t>
        </is>
      </c>
      <c r="B766" s="1" t="n">
        <v>46174.45833333334</v>
      </c>
      <c r="C766" s="1" t="n">
        <v>46186</v>
      </c>
      <c r="D766" t="inlineStr">
        <is>
          <t>STOCKHOLMS LÄN</t>
        </is>
      </c>
      <c r="E766" t="inlineStr">
        <is>
          <t>NORRTÄLJE</t>
        </is>
      </c>
      <c r="G766" t="n">
        <v>4</v>
      </c>
      <c r="H766" t="n">
        <v>0</v>
      </c>
      <c r="I766" t="n">
        <v>0</v>
      </c>
      <c r="J766" t="n">
        <v>0</v>
      </c>
      <c r="K766" t="n">
        <v>0</v>
      </c>
      <c r="L766" t="n">
        <v>0</v>
      </c>
      <c r="M766" t="n">
        <v>0</v>
      </c>
      <c r="N766" t="n">
        <v>0</v>
      </c>
      <c r="O766" t="n">
        <v>0</v>
      </c>
      <c r="P766" t="n">
        <v>0</v>
      </c>
      <c r="Q766" t="n">
        <v>0</v>
      </c>
      <c r="R766" s="2" t="inlineStr"/>
    </row>
    <row r="767" ht="15" customHeight="1">
      <c r="A767" t="inlineStr">
        <is>
          <t>A 55755-2023</t>
        </is>
      </c>
      <c r="B767" s="1" t="n">
        <v>45239</v>
      </c>
      <c r="C767" s="1" t="n">
        <v>46186</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17348-2024</t>
        </is>
      </c>
      <c r="B768" s="1" t="n">
        <v>45414.58650462963</v>
      </c>
      <c r="C768" s="1" t="n">
        <v>46186</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13089-2022</t>
        </is>
      </c>
      <c r="B769" s="1" t="n">
        <v>44643</v>
      </c>
      <c r="C769" s="1" t="n">
        <v>46186</v>
      </c>
      <c r="D769" t="inlineStr">
        <is>
          <t>STOCKHOLMS LÄN</t>
        </is>
      </c>
      <c r="E769" t="inlineStr">
        <is>
          <t>NORRTÄLJE</t>
        </is>
      </c>
      <c r="G769" t="n">
        <v>4.5</v>
      </c>
      <c r="H769" t="n">
        <v>0</v>
      </c>
      <c r="I769" t="n">
        <v>0</v>
      </c>
      <c r="J769" t="n">
        <v>0</v>
      </c>
      <c r="K769" t="n">
        <v>0</v>
      </c>
      <c r="L769" t="n">
        <v>0</v>
      </c>
      <c r="M769" t="n">
        <v>0</v>
      </c>
      <c r="N769" t="n">
        <v>0</v>
      </c>
      <c r="O769" t="n">
        <v>0</v>
      </c>
      <c r="P769" t="n">
        <v>0</v>
      </c>
      <c r="Q769" t="n">
        <v>0</v>
      </c>
      <c r="R769" s="2" t="inlineStr"/>
    </row>
    <row r="770" ht="15" customHeight="1">
      <c r="A770" t="inlineStr">
        <is>
          <t>A 19129-2026</t>
        </is>
      </c>
      <c r="B770" s="1" t="n">
        <v>46132.48601851852</v>
      </c>
      <c r="C770" s="1" t="n">
        <v>46186</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19358-2026</t>
        </is>
      </c>
      <c r="B771" s="1" t="n">
        <v>46133.4978125</v>
      </c>
      <c r="C771" s="1" t="n">
        <v>46186</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23998-2024</t>
        </is>
      </c>
      <c r="B772" s="1" t="n">
        <v>45456</v>
      </c>
      <c r="C772" s="1" t="n">
        <v>46186</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19170-2026</t>
        </is>
      </c>
      <c r="B773" s="1" t="n">
        <v>46132.5859837963</v>
      </c>
      <c r="C773" s="1" t="n">
        <v>46186</v>
      </c>
      <c r="D773" t="inlineStr">
        <is>
          <t>STOCKHOLMS LÄN</t>
        </is>
      </c>
      <c r="E773" t="inlineStr">
        <is>
          <t>NORRTÄLJE</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15447-2023</t>
        </is>
      </c>
      <c r="B774" s="1" t="n">
        <v>45020</v>
      </c>
      <c r="C774" s="1" t="n">
        <v>46186</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19688-2026</t>
        </is>
      </c>
      <c r="B775" s="1" t="n">
        <v>46134.67685185185</v>
      </c>
      <c r="C775" s="1" t="n">
        <v>46186</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19352-2026</t>
        </is>
      </c>
      <c r="B776" s="1" t="n">
        <v>46133.47344907407</v>
      </c>
      <c r="C776" s="1" t="n">
        <v>46186</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54358-2022</t>
        </is>
      </c>
      <c r="B777" s="1" t="n">
        <v>44882</v>
      </c>
      <c r="C777" s="1" t="n">
        <v>46186</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23263-2023</t>
        </is>
      </c>
      <c r="B778" s="1" t="n">
        <v>45075</v>
      </c>
      <c r="C778" s="1" t="n">
        <v>46186</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23264-2023</t>
        </is>
      </c>
      <c r="B779" s="1" t="n">
        <v>45075</v>
      </c>
      <c r="C779" s="1" t="n">
        <v>46186</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23267-2023</t>
        </is>
      </c>
      <c r="B780" s="1" t="n">
        <v>45075.90934027778</v>
      </c>
      <c r="C780" s="1" t="n">
        <v>46186</v>
      </c>
      <c r="D780" t="inlineStr">
        <is>
          <t>STOCKHOLMS LÄN</t>
        </is>
      </c>
      <c r="E780" t="inlineStr">
        <is>
          <t>NORRTÄLJE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23269-2023</t>
        </is>
      </c>
      <c r="B781" s="1" t="n">
        <v>45075.91148148148</v>
      </c>
      <c r="C781" s="1" t="n">
        <v>46186</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19911-2025</t>
        </is>
      </c>
      <c r="B782" s="1" t="n">
        <v>45771</v>
      </c>
      <c r="C782" s="1" t="n">
        <v>46186</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5831-2022</t>
        </is>
      </c>
      <c r="B783" s="1" t="n">
        <v>44596</v>
      </c>
      <c r="C783" s="1" t="n">
        <v>46186</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5867-2022</t>
        </is>
      </c>
      <c r="B784" s="1" t="n">
        <v>44596.66335648148</v>
      </c>
      <c r="C784" s="1" t="n">
        <v>46186</v>
      </c>
      <c r="D784" t="inlineStr">
        <is>
          <t>STOCKHOLMS LÄN</t>
        </is>
      </c>
      <c r="E784" t="inlineStr">
        <is>
          <t>NORRTÄLJE</t>
        </is>
      </c>
      <c r="F784" t="inlineStr">
        <is>
          <t>Naturvårdsverket</t>
        </is>
      </c>
      <c r="G784" t="n">
        <v>1.6</v>
      </c>
      <c r="H784" t="n">
        <v>0</v>
      </c>
      <c r="I784" t="n">
        <v>0</v>
      </c>
      <c r="J784" t="n">
        <v>0</v>
      </c>
      <c r="K784" t="n">
        <v>0</v>
      </c>
      <c r="L784" t="n">
        <v>0</v>
      </c>
      <c r="M784" t="n">
        <v>0</v>
      </c>
      <c r="N784" t="n">
        <v>0</v>
      </c>
      <c r="O784" t="n">
        <v>0</v>
      </c>
      <c r="P784" t="n">
        <v>0</v>
      </c>
      <c r="Q784" t="n">
        <v>0</v>
      </c>
      <c r="R784" s="2" t="inlineStr"/>
    </row>
    <row r="785" ht="15" customHeight="1">
      <c r="A785" t="inlineStr">
        <is>
          <t>A 48633-2023</t>
        </is>
      </c>
      <c r="B785" s="1" t="n">
        <v>45208.58004629629</v>
      </c>
      <c r="C785" s="1" t="n">
        <v>46186</v>
      </c>
      <c r="D785" t="inlineStr">
        <is>
          <t>STOCKHOLMS LÄN</t>
        </is>
      </c>
      <c r="E785" t="inlineStr">
        <is>
          <t>NORRTÄLJE</t>
        </is>
      </c>
      <c r="G785" t="n">
        <v>3.3</v>
      </c>
      <c r="H785" t="n">
        <v>0</v>
      </c>
      <c r="I785" t="n">
        <v>0</v>
      </c>
      <c r="J785" t="n">
        <v>0</v>
      </c>
      <c r="K785" t="n">
        <v>0</v>
      </c>
      <c r="L785" t="n">
        <v>0</v>
      </c>
      <c r="M785" t="n">
        <v>0</v>
      </c>
      <c r="N785" t="n">
        <v>0</v>
      </c>
      <c r="O785" t="n">
        <v>0</v>
      </c>
      <c r="P785" t="n">
        <v>0</v>
      </c>
      <c r="Q785" t="n">
        <v>0</v>
      </c>
      <c r="R785" s="2" t="inlineStr"/>
    </row>
    <row r="786" ht="15" customHeight="1">
      <c r="A786" t="inlineStr">
        <is>
          <t>A 39669-2024</t>
        </is>
      </c>
      <c r="B786" s="1" t="n">
        <v>45552.52827546297</v>
      </c>
      <c r="C786" s="1" t="n">
        <v>46186</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19759-2026</t>
        </is>
      </c>
      <c r="B787" s="1" t="n">
        <v>46135.41234953704</v>
      </c>
      <c r="C787" s="1" t="n">
        <v>46186</v>
      </c>
      <c r="D787" t="inlineStr">
        <is>
          <t>STOCKHOLMS LÄN</t>
        </is>
      </c>
      <c r="E787" t="inlineStr">
        <is>
          <t>NORRTÄLJE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17209-2026</t>
        </is>
      </c>
      <c r="B788" s="1" t="n">
        <v>46119.33341435185</v>
      </c>
      <c r="C788" s="1" t="n">
        <v>46186</v>
      </c>
      <c r="D788" t="inlineStr">
        <is>
          <t>STOCKHOLMS LÄN</t>
        </is>
      </c>
      <c r="E788" t="inlineStr">
        <is>
          <t>NORRTÄLJE</t>
        </is>
      </c>
      <c r="F788" t="inlineStr">
        <is>
          <t>Holmen skog AB</t>
        </is>
      </c>
      <c r="G788" t="n">
        <v>2.7</v>
      </c>
      <c r="H788" t="n">
        <v>0</v>
      </c>
      <c r="I788" t="n">
        <v>0</v>
      </c>
      <c r="J788" t="n">
        <v>0</v>
      </c>
      <c r="K788" t="n">
        <v>0</v>
      </c>
      <c r="L788" t="n">
        <v>0</v>
      </c>
      <c r="M788" t="n">
        <v>0</v>
      </c>
      <c r="N788" t="n">
        <v>0</v>
      </c>
      <c r="O788" t="n">
        <v>0</v>
      </c>
      <c r="P788" t="n">
        <v>0</v>
      </c>
      <c r="Q788" t="n">
        <v>0</v>
      </c>
      <c r="R788" s="2" t="inlineStr"/>
    </row>
    <row r="789" ht="15" customHeight="1">
      <c r="A789" t="inlineStr">
        <is>
          <t>A 25507-2026</t>
        </is>
      </c>
      <c r="B789" s="1" t="n">
        <v>46177.4653587963</v>
      </c>
      <c r="C789" s="1" t="n">
        <v>46186</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25529-2026</t>
        </is>
      </c>
      <c r="B790" s="1" t="n">
        <v>46177.53180555555</v>
      </c>
      <c r="C790" s="1" t="n">
        <v>46186</v>
      </c>
      <c r="D790" t="inlineStr">
        <is>
          <t>STOCKHOLMS LÄN</t>
        </is>
      </c>
      <c r="E790" t="inlineStr">
        <is>
          <t>NORRTÄLJE</t>
        </is>
      </c>
      <c r="G790" t="n">
        <v>6.3</v>
      </c>
      <c r="H790" t="n">
        <v>0</v>
      </c>
      <c r="I790" t="n">
        <v>0</v>
      </c>
      <c r="J790" t="n">
        <v>0</v>
      </c>
      <c r="K790" t="n">
        <v>0</v>
      </c>
      <c r="L790" t="n">
        <v>0</v>
      </c>
      <c r="M790" t="n">
        <v>0</v>
      </c>
      <c r="N790" t="n">
        <v>0</v>
      </c>
      <c r="O790" t="n">
        <v>0</v>
      </c>
      <c r="P790" t="n">
        <v>0</v>
      </c>
      <c r="Q790" t="n">
        <v>0</v>
      </c>
      <c r="R790" s="2" t="inlineStr"/>
    </row>
    <row r="791" ht="15" customHeight="1">
      <c r="A791" t="inlineStr">
        <is>
          <t>A 43170-2023</t>
        </is>
      </c>
      <c r="B791" s="1" t="n">
        <v>45183</v>
      </c>
      <c r="C791" s="1" t="n">
        <v>46186</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9-2024</t>
        </is>
      </c>
      <c r="B792" s="1" t="n">
        <v>45293</v>
      </c>
      <c r="C792" s="1" t="n">
        <v>46186</v>
      </c>
      <c r="D792" t="inlineStr">
        <is>
          <t>STOCKHOLMS LÄN</t>
        </is>
      </c>
      <c r="E792" t="inlineStr">
        <is>
          <t>NORRTÄLJE</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16913-2025</t>
        </is>
      </c>
      <c r="B793" s="1" t="n">
        <v>45755.36583333334</v>
      </c>
      <c r="C793" s="1" t="n">
        <v>46186</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4035-2023</t>
        </is>
      </c>
      <c r="B794" s="1" t="n">
        <v>44952.57989583333</v>
      </c>
      <c r="C794" s="1" t="n">
        <v>46186</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33793-2022</t>
        </is>
      </c>
      <c r="B795" s="1" t="n">
        <v>44790</v>
      </c>
      <c r="C795" s="1" t="n">
        <v>46186</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53600-2022</t>
        </is>
      </c>
      <c r="B796" s="1" t="n">
        <v>44879.70518518519</v>
      </c>
      <c r="C796" s="1" t="n">
        <v>46186</v>
      </c>
      <c r="D796" t="inlineStr">
        <is>
          <t>STOCKHOLMS LÄN</t>
        </is>
      </c>
      <c r="E796" t="inlineStr">
        <is>
          <t>NORRTÄLJE</t>
        </is>
      </c>
      <c r="G796" t="n">
        <v>4.3</v>
      </c>
      <c r="H796" t="n">
        <v>0</v>
      </c>
      <c r="I796" t="n">
        <v>0</v>
      </c>
      <c r="J796" t="n">
        <v>0</v>
      </c>
      <c r="K796" t="n">
        <v>0</v>
      </c>
      <c r="L796" t="n">
        <v>0</v>
      </c>
      <c r="M796" t="n">
        <v>0</v>
      </c>
      <c r="N796" t="n">
        <v>0</v>
      </c>
      <c r="O796" t="n">
        <v>0</v>
      </c>
      <c r="P796" t="n">
        <v>0</v>
      </c>
      <c r="Q796" t="n">
        <v>0</v>
      </c>
      <c r="R796" s="2" t="inlineStr"/>
    </row>
    <row r="797" ht="15" customHeight="1">
      <c r="A797" t="inlineStr">
        <is>
          <t>A 41301-2025</t>
        </is>
      </c>
      <c r="B797" s="1" t="n">
        <v>45898.68826388889</v>
      </c>
      <c r="C797" s="1" t="n">
        <v>46186</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55503-2025</t>
        </is>
      </c>
      <c r="B798" s="1" t="n">
        <v>45971</v>
      </c>
      <c r="C798" s="1" t="n">
        <v>46186</v>
      </c>
      <c r="D798" t="inlineStr">
        <is>
          <t>STOCKHOLMS LÄN</t>
        </is>
      </c>
      <c r="E798" t="inlineStr">
        <is>
          <t>NORRTÄLJE</t>
        </is>
      </c>
      <c r="G798" t="n">
        <v>3</v>
      </c>
      <c r="H798" t="n">
        <v>0</v>
      </c>
      <c r="I798" t="n">
        <v>0</v>
      </c>
      <c r="J798" t="n">
        <v>0</v>
      </c>
      <c r="K798" t="n">
        <v>0</v>
      </c>
      <c r="L798" t="n">
        <v>0</v>
      </c>
      <c r="M798" t="n">
        <v>0</v>
      </c>
      <c r="N798" t="n">
        <v>0</v>
      </c>
      <c r="O798" t="n">
        <v>0</v>
      </c>
      <c r="P798" t="n">
        <v>0</v>
      </c>
      <c r="Q798" t="n">
        <v>0</v>
      </c>
      <c r="R798" s="2" t="inlineStr"/>
    </row>
    <row r="799" ht="15" customHeight="1">
      <c r="A799" t="inlineStr">
        <is>
          <t>A 25919-2026</t>
        </is>
      </c>
      <c r="B799" s="1" t="n">
        <v>46178.7539699074</v>
      </c>
      <c r="C799" s="1" t="n">
        <v>46186</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13-2024</t>
        </is>
      </c>
      <c r="B800" s="1" t="n">
        <v>45293.37263888889</v>
      </c>
      <c r="C800" s="1" t="n">
        <v>46186</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19-2024</t>
        </is>
      </c>
      <c r="B801" s="1" t="n">
        <v>45293</v>
      </c>
      <c r="C801" s="1" t="n">
        <v>46186</v>
      </c>
      <c r="D801" t="inlineStr">
        <is>
          <t>STOCKHOLMS LÄN</t>
        </is>
      </c>
      <c r="E801" t="inlineStr">
        <is>
          <t>NORRTÄLJE</t>
        </is>
      </c>
      <c r="G801" t="n">
        <v>0.3</v>
      </c>
      <c r="H801" t="n">
        <v>0</v>
      </c>
      <c r="I801" t="n">
        <v>0</v>
      </c>
      <c r="J801" t="n">
        <v>0</v>
      </c>
      <c r="K801" t="n">
        <v>0</v>
      </c>
      <c r="L801" t="n">
        <v>0</v>
      </c>
      <c r="M801" t="n">
        <v>0</v>
      </c>
      <c r="N801" t="n">
        <v>0</v>
      </c>
      <c r="O801" t="n">
        <v>0</v>
      </c>
      <c r="P801" t="n">
        <v>0</v>
      </c>
      <c r="Q801" t="n">
        <v>0</v>
      </c>
      <c r="R801" s="2" t="inlineStr"/>
    </row>
    <row r="802" ht="15" customHeight="1">
      <c r="A802" t="inlineStr">
        <is>
          <t>A 31559-2022</t>
        </is>
      </c>
      <c r="B802" s="1" t="n">
        <v>44775</v>
      </c>
      <c r="C802" s="1" t="n">
        <v>46186</v>
      </c>
      <c r="D802" t="inlineStr">
        <is>
          <t>STOCKHOLMS LÄN</t>
        </is>
      </c>
      <c r="E802" t="inlineStr">
        <is>
          <t>NORRTÄLJE</t>
        </is>
      </c>
      <c r="G802" t="n">
        <v>5.6</v>
      </c>
      <c r="H802" t="n">
        <v>0</v>
      </c>
      <c r="I802" t="n">
        <v>0</v>
      </c>
      <c r="J802" t="n">
        <v>0</v>
      </c>
      <c r="K802" t="n">
        <v>0</v>
      </c>
      <c r="L802" t="n">
        <v>0</v>
      </c>
      <c r="M802" t="n">
        <v>0</v>
      </c>
      <c r="N802" t="n">
        <v>0</v>
      </c>
      <c r="O802" t="n">
        <v>0</v>
      </c>
      <c r="P802" t="n">
        <v>0</v>
      </c>
      <c r="Q802" t="n">
        <v>0</v>
      </c>
      <c r="R802" s="2" t="inlineStr"/>
    </row>
    <row r="803" ht="15" customHeight="1">
      <c r="A803" t="inlineStr">
        <is>
          <t>A 47521-2024</t>
        </is>
      </c>
      <c r="B803" s="1" t="n">
        <v>45587.62565972222</v>
      </c>
      <c r="C803" s="1" t="n">
        <v>46186</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35161-2022</t>
        </is>
      </c>
      <c r="B804" s="1" t="n">
        <v>44797</v>
      </c>
      <c r="C804" s="1" t="n">
        <v>46186</v>
      </c>
      <c r="D804" t="inlineStr">
        <is>
          <t>STOCKHOLMS LÄN</t>
        </is>
      </c>
      <c r="E804" t="inlineStr">
        <is>
          <t>NORRTÄLJE</t>
        </is>
      </c>
      <c r="G804" t="n">
        <v>6</v>
      </c>
      <c r="H804" t="n">
        <v>0</v>
      </c>
      <c r="I804" t="n">
        <v>0</v>
      </c>
      <c r="J804" t="n">
        <v>0</v>
      </c>
      <c r="K804" t="n">
        <v>0</v>
      </c>
      <c r="L804" t="n">
        <v>0</v>
      </c>
      <c r="M804" t="n">
        <v>0</v>
      </c>
      <c r="N804" t="n">
        <v>0</v>
      </c>
      <c r="O804" t="n">
        <v>0</v>
      </c>
      <c r="P804" t="n">
        <v>0</v>
      </c>
      <c r="Q804" t="n">
        <v>0</v>
      </c>
      <c r="R804" s="2" t="inlineStr"/>
    </row>
    <row r="805" ht="15" customHeight="1">
      <c r="A805" t="inlineStr">
        <is>
          <t>A 58989-2021</t>
        </is>
      </c>
      <c r="B805" s="1" t="n">
        <v>44490.02482638889</v>
      </c>
      <c r="C805" s="1" t="n">
        <v>46186</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8315-2025</t>
        </is>
      </c>
      <c r="B806" s="1" t="n">
        <v>45708.61761574074</v>
      </c>
      <c r="C806" s="1" t="n">
        <v>46186</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46988-2024</t>
        </is>
      </c>
      <c r="B807" s="1" t="n">
        <v>45586</v>
      </c>
      <c r="C807" s="1" t="n">
        <v>46186</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13701-2022</t>
        </is>
      </c>
      <c r="B808" s="1" t="n">
        <v>44648</v>
      </c>
      <c r="C808" s="1" t="n">
        <v>46186</v>
      </c>
      <c r="D808" t="inlineStr">
        <is>
          <t>STOCKHOLMS LÄN</t>
        </is>
      </c>
      <c r="E808" t="inlineStr">
        <is>
          <t>NORRTÄLJE</t>
        </is>
      </c>
      <c r="G808" t="n">
        <v>1.6</v>
      </c>
      <c r="H808" t="n">
        <v>0</v>
      </c>
      <c r="I808" t="n">
        <v>0</v>
      </c>
      <c r="J808" t="n">
        <v>0</v>
      </c>
      <c r="K808" t="n">
        <v>0</v>
      </c>
      <c r="L808" t="n">
        <v>0</v>
      </c>
      <c r="M808" t="n">
        <v>0</v>
      </c>
      <c r="N808" t="n">
        <v>0</v>
      </c>
      <c r="O808" t="n">
        <v>0</v>
      </c>
      <c r="P808" t="n">
        <v>0</v>
      </c>
      <c r="Q808" t="n">
        <v>0</v>
      </c>
      <c r="R808" s="2" t="inlineStr"/>
    </row>
    <row r="809" ht="15" customHeight="1">
      <c r="A809" t="inlineStr">
        <is>
          <t>A 14132-2025</t>
        </is>
      </c>
      <c r="B809" s="1" t="n">
        <v>45740.47550925926</v>
      </c>
      <c r="C809" s="1" t="n">
        <v>46186</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14133-2025</t>
        </is>
      </c>
      <c r="B810" s="1" t="n">
        <v>45740.47724537037</v>
      </c>
      <c r="C810" s="1" t="n">
        <v>46186</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35254-2025</t>
        </is>
      </c>
      <c r="B811" s="1" t="n">
        <v>45853</v>
      </c>
      <c r="C811" s="1" t="n">
        <v>46186</v>
      </c>
      <c r="D811" t="inlineStr">
        <is>
          <t>STOCKHOLMS LÄN</t>
        </is>
      </c>
      <c r="E811" t="inlineStr">
        <is>
          <t>NORRTÄLJE</t>
        </is>
      </c>
      <c r="G811" t="n">
        <v>6.5</v>
      </c>
      <c r="H811" t="n">
        <v>0</v>
      </c>
      <c r="I811" t="n">
        <v>0</v>
      </c>
      <c r="J811" t="n">
        <v>0</v>
      </c>
      <c r="K811" t="n">
        <v>0</v>
      </c>
      <c r="L811" t="n">
        <v>0</v>
      </c>
      <c r="M811" t="n">
        <v>0</v>
      </c>
      <c r="N811" t="n">
        <v>0</v>
      </c>
      <c r="O811" t="n">
        <v>0</v>
      </c>
      <c r="P811" t="n">
        <v>0</v>
      </c>
      <c r="Q811" t="n">
        <v>0</v>
      </c>
      <c r="R811" s="2" t="inlineStr"/>
    </row>
    <row r="812" ht="15" customHeight="1">
      <c r="A812" t="inlineStr">
        <is>
          <t>A 24887-2023</t>
        </is>
      </c>
      <c r="B812" s="1" t="n">
        <v>45085</v>
      </c>
      <c r="C812" s="1" t="n">
        <v>46186</v>
      </c>
      <c r="D812" t="inlineStr">
        <is>
          <t>STOCKHOLMS LÄN</t>
        </is>
      </c>
      <c r="E812" t="inlineStr">
        <is>
          <t>NORRTÄLJE</t>
        </is>
      </c>
      <c r="G812" t="n">
        <v>13.9</v>
      </c>
      <c r="H812" t="n">
        <v>0</v>
      </c>
      <c r="I812" t="n">
        <v>0</v>
      </c>
      <c r="J812" t="n">
        <v>0</v>
      </c>
      <c r="K812" t="n">
        <v>0</v>
      </c>
      <c r="L812" t="n">
        <v>0</v>
      </c>
      <c r="M812" t="n">
        <v>0</v>
      </c>
      <c r="N812" t="n">
        <v>0</v>
      </c>
      <c r="O812" t="n">
        <v>0</v>
      </c>
      <c r="P812" t="n">
        <v>0</v>
      </c>
      <c r="Q812" t="n">
        <v>0</v>
      </c>
      <c r="R812" s="2" t="inlineStr"/>
    </row>
    <row r="813" ht="15" customHeight="1">
      <c r="A813" t="inlineStr">
        <is>
          <t>A 38612-2022</t>
        </is>
      </c>
      <c r="B813" s="1" t="n">
        <v>44813</v>
      </c>
      <c r="C813" s="1" t="n">
        <v>46186</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4326-2023</t>
        </is>
      </c>
      <c r="B814" s="1" t="n">
        <v>44953.70481481482</v>
      </c>
      <c r="C814" s="1" t="n">
        <v>46186</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54504-2024</t>
        </is>
      </c>
      <c r="B815" s="1" t="n">
        <v>45617.58453703704</v>
      </c>
      <c r="C815" s="1" t="n">
        <v>46186</v>
      </c>
      <c r="D815" t="inlineStr">
        <is>
          <t>STOCKHOLMS LÄN</t>
        </is>
      </c>
      <c r="E815" t="inlineStr">
        <is>
          <t>NORRTÄLJE</t>
        </is>
      </c>
      <c r="G815" t="n">
        <v>3.4</v>
      </c>
      <c r="H815" t="n">
        <v>0</v>
      </c>
      <c r="I815" t="n">
        <v>0</v>
      </c>
      <c r="J815" t="n">
        <v>0</v>
      </c>
      <c r="K815" t="n">
        <v>0</v>
      </c>
      <c r="L815" t="n">
        <v>0</v>
      </c>
      <c r="M815" t="n">
        <v>0</v>
      </c>
      <c r="N815" t="n">
        <v>0</v>
      </c>
      <c r="O815" t="n">
        <v>0</v>
      </c>
      <c r="P815" t="n">
        <v>0</v>
      </c>
      <c r="Q815" t="n">
        <v>0</v>
      </c>
      <c r="R815" s="2" t="inlineStr"/>
    </row>
    <row r="816" ht="15" customHeight="1">
      <c r="A816" t="inlineStr">
        <is>
          <t>A 21745-2023</t>
        </is>
      </c>
      <c r="B816" s="1" t="n">
        <v>45065.55917824074</v>
      </c>
      <c r="C816" s="1" t="n">
        <v>46186</v>
      </c>
      <c r="D816" t="inlineStr">
        <is>
          <t>STOCKHOLMS LÄN</t>
        </is>
      </c>
      <c r="E816" t="inlineStr">
        <is>
          <t>NORRTÄLJE</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1654-2025</t>
        </is>
      </c>
      <c r="B817" s="1" t="n">
        <v>45670.65921296296</v>
      </c>
      <c r="C817" s="1" t="n">
        <v>46186</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21894-2023</t>
        </is>
      </c>
      <c r="B818" s="1" t="n">
        <v>45068.51783564815</v>
      </c>
      <c r="C818" s="1" t="n">
        <v>46186</v>
      </c>
      <c r="D818" t="inlineStr">
        <is>
          <t>STOCKHOLMS LÄN</t>
        </is>
      </c>
      <c r="E818" t="inlineStr">
        <is>
          <t>NORRTÄLJE</t>
        </is>
      </c>
      <c r="G818" t="n">
        <v>2.5</v>
      </c>
      <c r="H818" t="n">
        <v>0</v>
      </c>
      <c r="I818" t="n">
        <v>0</v>
      </c>
      <c r="J818" t="n">
        <v>0</v>
      </c>
      <c r="K818" t="n">
        <v>0</v>
      </c>
      <c r="L818" t="n">
        <v>0</v>
      </c>
      <c r="M818" t="n">
        <v>0</v>
      </c>
      <c r="N818" t="n">
        <v>0</v>
      </c>
      <c r="O818" t="n">
        <v>0</v>
      </c>
      <c r="P818" t="n">
        <v>0</v>
      </c>
      <c r="Q818" t="n">
        <v>0</v>
      </c>
      <c r="R818" s="2" t="inlineStr"/>
    </row>
    <row r="819" ht="15" customHeight="1">
      <c r="A819" t="inlineStr">
        <is>
          <t>A 13276-2022</t>
        </is>
      </c>
      <c r="B819" s="1" t="n">
        <v>44644</v>
      </c>
      <c r="C819" s="1" t="n">
        <v>46186</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11041-2025</t>
        </is>
      </c>
      <c r="B820" s="1" t="n">
        <v>45723</v>
      </c>
      <c r="C820" s="1" t="n">
        <v>46186</v>
      </c>
      <c r="D820" t="inlineStr">
        <is>
          <t>STOCKHOLMS LÄN</t>
        </is>
      </c>
      <c r="E820" t="inlineStr">
        <is>
          <t>NORRTÄLJE</t>
        </is>
      </c>
      <c r="F820" t="inlineStr">
        <is>
          <t>Övriga Aktiebolag</t>
        </is>
      </c>
      <c r="G820" t="n">
        <v>1.8</v>
      </c>
      <c r="H820" t="n">
        <v>0</v>
      </c>
      <c r="I820" t="n">
        <v>0</v>
      </c>
      <c r="J820" t="n">
        <v>0</v>
      </c>
      <c r="K820" t="n">
        <v>0</v>
      </c>
      <c r="L820" t="n">
        <v>0</v>
      </c>
      <c r="M820" t="n">
        <v>0</v>
      </c>
      <c r="N820" t="n">
        <v>0</v>
      </c>
      <c r="O820" t="n">
        <v>0</v>
      </c>
      <c r="P820" t="n">
        <v>0</v>
      </c>
      <c r="Q820" t="n">
        <v>0</v>
      </c>
      <c r="R820" s="2" t="inlineStr"/>
    </row>
    <row r="821" ht="15" customHeight="1">
      <c r="A821" t="inlineStr">
        <is>
          <t>A 52251-2025</t>
        </is>
      </c>
      <c r="B821" s="1" t="n">
        <v>45953.49185185185</v>
      </c>
      <c r="C821" s="1" t="n">
        <v>46186</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13785-2024</t>
        </is>
      </c>
      <c r="B822" s="1" t="n">
        <v>45391.3395949074</v>
      </c>
      <c r="C822" s="1" t="n">
        <v>46186</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25696-2026</t>
        </is>
      </c>
      <c r="B823" s="1" t="n">
        <v>46178.35767361111</v>
      </c>
      <c r="C823" s="1" t="n">
        <v>46186</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28182-2022</t>
        </is>
      </c>
      <c r="B824" s="1" t="n">
        <v>44746.58530092592</v>
      </c>
      <c r="C824" s="1" t="n">
        <v>46186</v>
      </c>
      <c r="D824" t="inlineStr">
        <is>
          <t>STOCKHOLMS LÄN</t>
        </is>
      </c>
      <c r="E824" t="inlineStr">
        <is>
          <t>NORRTÄLJE</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20336-2024</t>
        </is>
      </c>
      <c r="B825" s="1" t="n">
        <v>45435.43123842592</v>
      </c>
      <c r="C825" s="1" t="n">
        <v>46186</v>
      </c>
      <c r="D825" t="inlineStr">
        <is>
          <t>STOCKHOLMS LÄN</t>
        </is>
      </c>
      <c r="E825" t="inlineStr">
        <is>
          <t>NORRTÄLJE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34461-2023</t>
        </is>
      </c>
      <c r="B826" s="1" t="n">
        <v>45139</v>
      </c>
      <c r="C826" s="1" t="n">
        <v>46186</v>
      </c>
      <c r="D826" t="inlineStr">
        <is>
          <t>STOCKHOLMS LÄN</t>
        </is>
      </c>
      <c r="E826" t="inlineStr">
        <is>
          <t>NORRTÄLJE</t>
        </is>
      </c>
      <c r="G826" t="n">
        <v>1.4</v>
      </c>
      <c r="H826" t="n">
        <v>0</v>
      </c>
      <c r="I826" t="n">
        <v>0</v>
      </c>
      <c r="J826" t="n">
        <v>0</v>
      </c>
      <c r="K826" t="n">
        <v>0</v>
      </c>
      <c r="L826" t="n">
        <v>0</v>
      </c>
      <c r="M826" t="n">
        <v>0</v>
      </c>
      <c r="N826" t="n">
        <v>0</v>
      </c>
      <c r="O826" t="n">
        <v>0</v>
      </c>
      <c r="P826" t="n">
        <v>0</v>
      </c>
      <c r="Q826" t="n">
        <v>0</v>
      </c>
      <c r="R826" s="2" t="inlineStr"/>
    </row>
    <row r="827" ht="15" customHeight="1">
      <c r="A827" t="inlineStr">
        <is>
          <t>A 52254-2025</t>
        </is>
      </c>
      <c r="B827" s="1" t="n">
        <v>45953.49519675926</v>
      </c>
      <c r="C827" s="1" t="n">
        <v>46186</v>
      </c>
      <c r="D827" t="inlineStr">
        <is>
          <t>STOCKHOLMS LÄN</t>
        </is>
      </c>
      <c r="E827" t="inlineStr">
        <is>
          <t>NORRTÄLJE</t>
        </is>
      </c>
      <c r="G827" t="n">
        <v>2.2</v>
      </c>
      <c r="H827" t="n">
        <v>0</v>
      </c>
      <c r="I827" t="n">
        <v>0</v>
      </c>
      <c r="J827" t="n">
        <v>0</v>
      </c>
      <c r="K827" t="n">
        <v>0</v>
      </c>
      <c r="L827" t="n">
        <v>0</v>
      </c>
      <c r="M827" t="n">
        <v>0</v>
      </c>
      <c r="N827" t="n">
        <v>0</v>
      </c>
      <c r="O827" t="n">
        <v>0</v>
      </c>
      <c r="P827" t="n">
        <v>0</v>
      </c>
      <c r="Q827" t="n">
        <v>0</v>
      </c>
      <c r="R827" s="2" t="inlineStr"/>
    </row>
    <row r="828" ht="15" customHeight="1">
      <c r="A828" t="inlineStr">
        <is>
          <t>A 51046-2023</t>
        </is>
      </c>
      <c r="B828" s="1" t="n">
        <v>45218</v>
      </c>
      <c r="C828" s="1" t="n">
        <v>46186</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26083-2026</t>
        </is>
      </c>
      <c r="B829" s="1" t="n">
        <v>46181.63171296296</v>
      </c>
      <c r="C829" s="1" t="n">
        <v>46186</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17382-2024</t>
        </is>
      </c>
      <c r="B830" s="1" t="n">
        <v>45414.65855324074</v>
      </c>
      <c r="C830" s="1" t="n">
        <v>46186</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6070-2022</t>
        </is>
      </c>
      <c r="B831" s="1" t="n">
        <v>44599.58428240741</v>
      </c>
      <c r="C831" s="1" t="n">
        <v>46186</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17039-2024</t>
        </is>
      </c>
      <c r="B832" s="1" t="n">
        <v>45412.4104050926</v>
      </c>
      <c r="C832" s="1" t="n">
        <v>46186</v>
      </c>
      <c r="D832" t="inlineStr">
        <is>
          <t>STOCKHOLMS LÄN</t>
        </is>
      </c>
      <c r="E832" t="inlineStr">
        <is>
          <t>NORRTÄLJE</t>
        </is>
      </c>
      <c r="G832" t="n">
        <v>5.9</v>
      </c>
      <c r="H832" t="n">
        <v>0</v>
      </c>
      <c r="I832" t="n">
        <v>0</v>
      </c>
      <c r="J832" t="n">
        <v>0</v>
      </c>
      <c r="K832" t="n">
        <v>0</v>
      </c>
      <c r="L832" t="n">
        <v>0</v>
      </c>
      <c r="M832" t="n">
        <v>0</v>
      </c>
      <c r="N832" t="n">
        <v>0</v>
      </c>
      <c r="O832" t="n">
        <v>0</v>
      </c>
      <c r="P832" t="n">
        <v>0</v>
      </c>
      <c r="Q832" t="n">
        <v>0</v>
      </c>
      <c r="R832" s="2" t="inlineStr"/>
    </row>
    <row r="833" ht="15" customHeight="1">
      <c r="A833" t="inlineStr">
        <is>
          <t>A 41966-2025</t>
        </is>
      </c>
      <c r="B833" s="1" t="n">
        <v>45903.47456018518</v>
      </c>
      <c r="C833" s="1" t="n">
        <v>46186</v>
      </c>
      <c r="D833" t="inlineStr">
        <is>
          <t>STOCKHOLMS LÄN</t>
        </is>
      </c>
      <c r="E833" t="inlineStr">
        <is>
          <t>NORRTÄLJE</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48180-2023</t>
        </is>
      </c>
      <c r="B834" s="1" t="n">
        <v>45205</v>
      </c>
      <c r="C834" s="1" t="n">
        <v>46186</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35695-2023</t>
        </is>
      </c>
      <c r="B835" s="1" t="n">
        <v>45147.65407407407</v>
      </c>
      <c r="C835" s="1" t="n">
        <v>46186</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45173-2023</t>
        </is>
      </c>
      <c r="B836" s="1" t="n">
        <v>45191</v>
      </c>
      <c r="C836" s="1" t="n">
        <v>46186</v>
      </c>
      <c r="D836" t="inlineStr">
        <is>
          <t>STOCKHOLMS LÄN</t>
        </is>
      </c>
      <c r="E836" t="inlineStr">
        <is>
          <t>NORRTÄLJE</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32094-2025</t>
        </is>
      </c>
      <c r="B837" s="1" t="n">
        <v>45835.46034722222</v>
      </c>
      <c r="C837" s="1" t="n">
        <v>46186</v>
      </c>
      <c r="D837" t="inlineStr">
        <is>
          <t>STOCKHOLMS LÄN</t>
        </is>
      </c>
      <c r="E837" t="inlineStr">
        <is>
          <t>NORRTÄLJE</t>
        </is>
      </c>
      <c r="F837" t="inlineStr">
        <is>
          <t>Holmen skog AB</t>
        </is>
      </c>
      <c r="G837" t="n">
        <v>2.9</v>
      </c>
      <c r="H837" t="n">
        <v>0</v>
      </c>
      <c r="I837" t="n">
        <v>0</v>
      </c>
      <c r="J837" t="n">
        <v>0</v>
      </c>
      <c r="K837" t="n">
        <v>0</v>
      </c>
      <c r="L837" t="n">
        <v>0</v>
      </c>
      <c r="M837" t="n">
        <v>0</v>
      </c>
      <c r="N837" t="n">
        <v>0</v>
      </c>
      <c r="O837" t="n">
        <v>0</v>
      </c>
      <c r="P837" t="n">
        <v>0</v>
      </c>
      <c r="Q837" t="n">
        <v>0</v>
      </c>
      <c r="R837" s="2" t="inlineStr"/>
    </row>
    <row r="838" ht="15" customHeight="1">
      <c r="A838" t="inlineStr">
        <is>
          <t>A 7806-2025</t>
        </is>
      </c>
      <c r="B838" s="1" t="n">
        <v>45706.61178240741</v>
      </c>
      <c r="C838" s="1" t="n">
        <v>46186</v>
      </c>
      <c r="D838" t="inlineStr">
        <is>
          <t>STOCKHOLMS LÄN</t>
        </is>
      </c>
      <c r="E838" t="inlineStr">
        <is>
          <t>NORRTÄLJE</t>
        </is>
      </c>
      <c r="F838" t="inlineStr">
        <is>
          <t>Holmen skog AB</t>
        </is>
      </c>
      <c r="G838" t="n">
        <v>3.5</v>
      </c>
      <c r="H838" t="n">
        <v>0</v>
      </c>
      <c r="I838" t="n">
        <v>0</v>
      </c>
      <c r="J838" t="n">
        <v>0</v>
      </c>
      <c r="K838" t="n">
        <v>0</v>
      </c>
      <c r="L838" t="n">
        <v>0</v>
      </c>
      <c r="M838" t="n">
        <v>0</v>
      </c>
      <c r="N838" t="n">
        <v>0</v>
      </c>
      <c r="O838" t="n">
        <v>0</v>
      </c>
      <c r="P838" t="n">
        <v>0</v>
      </c>
      <c r="Q838" t="n">
        <v>0</v>
      </c>
      <c r="R838" s="2" t="inlineStr"/>
    </row>
    <row r="839" ht="15" customHeight="1">
      <c r="A839" t="inlineStr">
        <is>
          <t>A 25697-2026</t>
        </is>
      </c>
      <c r="B839" s="1" t="n">
        <v>46178.35802083334</v>
      </c>
      <c r="C839" s="1" t="n">
        <v>46186</v>
      </c>
      <c r="D839" t="inlineStr">
        <is>
          <t>STOCKHOLMS LÄN</t>
        </is>
      </c>
      <c r="E839" t="inlineStr">
        <is>
          <t>NORRTÄLJE</t>
        </is>
      </c>
      <c r="G839" t="n">
        <v>4.6</v>
      </c>
      <c r="H839" t="n">
        <v>0</v>
      </c>
      <c r="I839" t="n">
        <v>0</v>
      </c>
      <c r="J839" t="n">
        <v>0</v>
      </c>
      <c r="K839" t="n">
        <v>0</v>
      </c>
      <c r="L839" t="n">
        <v>0</v>
      </c>
      <c r="M839" t="n">
        <v>0</v>
      </c>
      <c r="N839" t="n">
        <v>0</v>
      </c>
      <c r="O839" t="n">
        <v>0</v>
      </c>
      <c r="P839" t="n">
        <v>0</v>
      </c>
      <c r="Q839" t="n">
        <v>0</v>
      </c>
      <c r="R839" s="2" t="inlineStr"/>
    </row>
    <row r="840" ht="15" customHeight="1">
      <c r="A840" t="inlineStr">
        <is>
          <t>A 8792-2025</t>
        </is>
      </c>
      <c r="B840" s="1" t="n">
        <v>45712</v>
      </c>
      <c r="C840" s="1" t="n">
        <v>46186</v>
      </c>
      <c r="D840" t="inlineStr">
        <is>
          <t>STOCKHOLMS LÄN</t>
        </is>
      </c>
      <c r="E840" t="inlineStr">
        <is>
          <t>NORRTÄLJE</t>
        </is>
      </c>
      <c r="F840" t="inlineStr">
        <is>
          <t>Övriga Aktiebolag</t>
        </is>
      </c>
      <c r="G840" t="n">
        <v>6.6</v>
      </c>
      <c r="H840" t="n">
        <v>0</v>
      </c>
      <c r="I840" t="n">
        <v>0</v>
      </c>
      <c r="J840" t="n">
        <v>0</v>
      </c>
      <c r="K840" t="n">
        <v>0</v>
      </c>
      <c r="L840" t="n">
        <v>0</v>
      </c>
      <c r="M840" t="n">
        <v>0</v>
      </c>
      <c r="N840" t="n">
        <v>0</v>
      </c>
      <c r="O840" t="n">
        <v>0</v>
      </c>
      <c r="P840" t="n">
        <v>0</v>
      </c>
      <c r="Q840" t="n">
        <v>0</v>
      </c>
      <c r="R840" s="2" t="inlineStr"/>
    </row>
    <row r="841" ht="15" customHeight="1">
      <c r="A841" t="inlineStr">
        <is>
          <t>A 24705-2023</t>
        </is>
      </c>
      <c r="B841" s="1" t="n">
        <v>45084.54459490741</v>
      </c>
      <c r="C841" s="1" t="n">
        <v>46186</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21696-2024</t>
        </is>
      </c>
      <c r="B842" s="1" t="n">
        <v>45442.45686342593</v>
      </c>
      <c r="C842" s="1" t="n">
        <v>46186</v>
      </c>
      <c r="D842" t="inlineStr">
        <is>
          <t>STOCKHOLMS LÄN</t>
        </is>
      </c>
      <c r="E842" t="inlineStr">
        <is>
          <t>NORRTÄLJE</t>
        </is>
      </c>
      <c r="G842" t="n">
        <v>2.9</v>
      </c>
      <c r="H842" t="n">
        <v>0</v>
      </c>
      <c r="I842" t="n">
        <v>0</v>
      </c>
      <c r="J842" t="n">
        <v>0</v>
      </c>
      <c r="K842" t="n">
        <v>0</v>
      </c>
      <c r="L842" t="n">
        <v>0</v>
      </c>
      <c r="M842" t="n">
        <v>0</v>
      </c>
      <c r="N842" t="n">
        <v>0</v>
      </c>
      <c r="O842" t="n">
        <v>0</v>
      </c>
      <c r="P842" t="n">
        <v>0</v>
      </c>
      <c r="Q842" t="n">
        <v>0</v>
      </c>
      <c r="R842" s="2" t="inlineStr"/>
    </row>
    <row r="843" ht="15" customHeight="1">
      <c r="A843" t="inlineStr">
        <is>
          <t>A 67990-2021</t>
        </is>
      </c>
      <c r="B843" s="1" t="n">
        <v>44525</v>
      </c>
      <c r="C843" s="1" t="n">
        <v>46186</v>
      </c>
      <c r="D843" t="inlineStr">
        <is>
          <t>STOCKHOLMS LÄN</t>
        </is>
      </c>
      <c r="E843" t="inlineStr">
        <is>
          <t>NORRTÄLJE</t>
        </is>
      </c>
      <c r="F843" t="inlineStr">
        <is>
          <t>Sveaskog</t>
        </is>
      </c>
      <c r="G843" t="n">
        <v>7.8</v>
      </c>
      <c r="H843" t="n">
        <v>0</v>
      </c>
      <c r="I843" t="n">
        <v>0</v>
      </c>
      <c r="J843" t="n">
        <v>0</v>
      </c>
      <c r="K843" t="n">
        <v>0</v>
      </c>
      <c r="L843" t="n">
        <v>0</v>
      </c>
      <c r="M843" t="n">
        <v>0</v>
      </c>
      <c r="N843" t="n">
        <v>0</v>
      </c>
      <c r="O843" t="n">
        <v>0</v>
      </c>
      <c r="P843" t="n">
        <v>0</v>
      </c>
      <c r="Q843" t="n">
        <v>0</v>
      </c>
      <c r="R843" s="2" t="inlineStr"/>
    </row>
    <row r="844" ht="15" customHeight="1">
      <c r="A844" t="inlineStr">
        <is>
          <t>A 71552-2021</t>
        </is>
      </c>
      <c r="B844" s="1" t="n">
        <v>44540</v>
      </c>
      <c r="C844" s="1" t="n">
        <v>46186</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73992-2021</t>
        </is>
      </c>
      <c r="B845" s="1" t="n">
        <v>44556</v>
      </c>
      <c r="C845" s="1" t="n">
        <v>46186</v>
      </c>
      <c r="D845" t="inlineStr">
        <is>
          <t>STOCKHOLMS LÄN</t>
        </is>
      </c>
      <c r="E845" t="inlineStr">
        <is>
          <t>NORRTÄLJE</t>
        </is>
      </c>
      <c r="G845" t="n">
        <v>12.5</v>
      </c>
      <c r="H845" t="n">
        <v>0</v>
      </c>
      <c r="I845" t="n">
        <v>0</v>
      </c>
      <c r="J845" t="n">
        <v>0</v>
      </c>
      <c r="K845" t="n">
        <v>0</v>
      </c>
      <c r="L845" t="n">
        <v>0</v>
      </c>
      <c r="M845" t="n">
        <v>0</v>
      </c>
      <c r="N845" t="n">
        <v>0</v>
      </c>
      <c r="O845" t="n">
        <v>0</v>
      </c>
      <c r="P845" t="n">
        <v>0</v>
      </c>
      <c r="Q845" t="n">
        <v>0</v>
      </c>
      <c r="R845" s="2" t="inlineStr"/>
    </row>
    <row r="846" ht="15" customHeight="1">
      <c r="A846" t="inlineStr">
        <is>
          <t>A 26113-2024</t>
        </is>
      </c>
      <c r="B846" s="1" t="n">
        <v>45468.45541666666</v>
      </c>
      <c r="C846" s="1" t="n">
        <v>46186</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26116-2024</t>
        </is>
      </c>
      <c r="B847" s="1" t="n">
        <v>45468.45747685185</v>
      </c>
      <c r="C847" s="1" t="n">
        <v>46186</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24351-2025</t>
        </is>
      </c>
      <c r="B848" s="1" t="n">
        <v>45797.58399305555</v>
      </c>
      <c r="C848" s="1" t="n">
        <v>46186</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34391-2023</t>
        </is>
      </c>
      <c r="B849" s="1" t="n">
        <v>45139.51457175926</v>
      </c>
      <c r="C849" s="1" t="n">
        <v>46186</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27806-2025</t>
        </is>
      </c>
      <c r="B850" s="1" t="n">
        <v>45817.30329861111</v>
      </c>
      <c r="C850" s="1" t="n">
        <v>46186</v>
      </c>
      <c r="D850" t="inlineStr">
        <is>
          <t>STOCKHOLMS LÄN</t>
        </is>
      </c>
      <c r="E850" t="inlineStr">
        <is>
          <t>NORRTÄLJE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67921-2021</t>
        </is>
      </c>
      <c r="B851" s="1" t="n">
        <v>44525</v>
      </c>
      <c r="C851" s="1" t="n">
        <v>46186</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13314-2025</t>
        </is>
      </c>
      <c r="B852" s="1" t="n">
        <v>45735.59287037037</v>
      </c>
      <c r="C852" s="1" t="n">
        <v>46186</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25681-2024</t>
        </is>
      </c>
      <c r="B853" s="1" t="n">
        <v>45463.80486111111</v>
      </c>
      <c r="C853" s="1" t="n">
        <v>46186</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6678-2025</t>
        </is>
      </c>
      <c r="B854" s="1" t="n">
        <v>45700</v>
      </c>
      <c r="C854" s="1" t="n">
        <v>46186</v>
      </c>
      <c r="D854" t="inlineStr">
        <is>
          <t>STOCKHOLMS LÄN</t>
        </is>
      </c>
      <c r="E854" t="inlineStr">
        <is>
          <t>NORRTÄLJE</t>
        </is>
      </c>
      <c r="F854" t="inlineStr">
        <is>
          <t>Övriga Aktiebolag</t>
        </is>
      </c>
      <c r="G854" t="n">
        <v>6.6</v>
      </c>
      <c r="H854" t="n">
        <v>0</v>
      </c>
      <c r="I854" t="n">
        <v>0</v>
      </c>
      <c r="J854" t="n">
        <v>0</v>
      </c>
      <c r="K854" t="n">
        <v>0</v>
      </c>
      <c r="L854" t="n">
        <v>0</v>
      </c>
      <c r="M854" t="n">
        <v>0</v>
      </c>
      <c r="N854" t="n">
        <v>0</v>
      </c>
      <c r="O854" t="n">
        <v>0</v>
      </c>
      <c r="P854" t="n">
        <v>0</v>
      </c>
      <c r="Q854" t="n">
        <v>0</v>
      </c>
      <c r="R854" s="2" t="inlineStr"/>
    </row>
    <row r="855" ht="15" customHeight="1">
      <c r="A855" t="inlineStr">
        <is>
          <t>A 58853-2024</t>
        </is>
      </c>
      <c r="B855" s="1" t="n">
        <v>45636.38974537037</v>
      </c>
      <c r="C855" s="1" t="n">
        <v>46186</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1283-2025</t>
        </is>
      </c>
      <c r="B856" s="1" t="n">
        <v>45667.49878472222</v>
      </c>
      <c r="C856" s="1" t="n">
        <v>46186</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35438-2023</t>
        </is>
      </c>
      <c r="B857" s="1" t="n">
        <v>45146</v>
      </c>
      <c r="C857" s="1" t="n">
        <v>46186</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25917-2026</t>
        </is>
      </c>
      <c r="B858" s="1" t="n">
        <v>46178.74501157407</v>
      </c>
      <c r="C858" s="1" t="n">
        <v>46186</v>
      </c>
      <c r="D858" t="inlineStr">
        <is>
          <t>STOCKHOLMS LÄN</t>
        </is>
      </c>
      <c r="E858" t="inlineStr">
        <is>
          <t>NORRTÄLJE</t>
        </is>
      </c>
      <c r="G858" t="n">
        <v>4</v>
      </c>
      <c r="H858" t="n">
        <v>0</v>
      </c>
      <c r="I858" t="n">
        <v>0</v>
      </c>
      <c r="J858" t="n">
        <v>0</v>
      </c>
      <c r="K858" t="n">
        <v>0</v>
      </c>
      <c r="L858" t="n">
        <v>0</v>
      </c>
      <c r="M858" t="n">
        <v>0</v>
      </c>
      <c r="N858" t="n">
        <v>0</v>
      </c>
      <c r="O858" t="n">
        <v>0</v>
      </c>
      <c r="P858" t="n">
        <v>0</v>
      </c>
      <c r="Q858" t="n">
        <v>0</v>
      </c>
      <c r="R858" s="2" t="inlineStr"/>
    </row>
    <row r="859" ht="15" customHeight="1">
      <c r="A859" t="inlineStr">
        <is>
          <t>A 20291-2022</t>
        </is>
      </c>
      <c r="B859" s="1" t="n">
        <v>44698</v>
      </c>
      <c r="C859" s="1" t="n">
        <v>46186</v>
      </c>
      <c r="D859" t="inlineStr">
        <is>
          <t>STOCKHOLMS LÄN</t>
        </is>
      </c>
      <c r="E859" t="inlineStr">
        <is>
          <t>NORRTÄLJE</t>
        </is>
      </c>
      <c r="F859" t="inlineStr">
        <is>
          <t>Naturvårdsverket</t>
        </is>
      </c>
      <c r="G859" t="n">
        <v>2</v>
      </c>
      <c r="H859" t="n">
        <v>0</v>
      </c>
      <c r="I859" t="n">
        <v>0</v>
      </c>
      <c r="J859" t="n">
        <v>0</v>
      </c>
      <c r="K859" t="n">
        <v>0</v>
      </c>
      <c r="L859" t="n">
        <v>0</v>
      </c>
      <c r="M859" t="n">
        <v>0</v>
      </c>
      <c r="N859" t="n">
        <v>0</v>
      </c>
      <c r="O859" t="n">
        <v>0</v>
      </c>
      <c r="P859" t="n">
        <v>0</v>
      </c>
      <c r="Q859" t="n">
        <v>0</v>
      </c>
      <c r="R859" s="2" t="inlineStr"/>
    </row>
    <row r="860" ht="15" customHeight="1">
      <c r="A860" t="inlineStr">
        <is>
          <t>A 26115-2024</t>
        </is>
      </c>
      <c r="B860" s="1" t="n">
        <v>45468.45628472222</v>
      </c>
      <c r="C860" s="1" t="n">
        <v>46186</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25968-2026</t>
        </is>
      </c>
      <c r="B861" s="1" t="n">
        <v>46181.37493055555</v>
      </c>
      <c r="C861" s="1" t="n">
        <v>46186</v>
      </c>
      <c r="D861" t="inlineStr">
        <is>
          <t>STOCKHOLMS LÄN</t>
        </is>
      </c>
      <c r="E861" t="inlineStr">
        <is>
          <t>NORRTÄLJE</t>
        </is>
      </c>
      <c r="F861" t="inlineStr">
        <is>
          <t>Kyrkan</t>
        </is>
      </c>
      <c r="G861" t="n">
        <v>3.6</v>
      </c>
      <c r="H861" t="n">
        <v>0</v>
      </c>
      <c r="I861" t="n">
        <v>0</v>
      </c>
      <c r="J861" t="n">
        <v>0</v>
      </c>
      <c r="K861" t="n">
        <v>0</v>
      </c>
      <c r="L861" t="n">
        <v>0</v>
      </c>
      <c r="M861" t="n">
        <v>0</v>
      </c>
      <c r="N861" t="n">
        <v>0</v>
      </c>
      <c r="O861" t="n">
        <v>0</v>
      </c>
      <c r="P861" t="n">
        <v>0</v>
      </c>
      <c r="Q861" t="n">
        <v>0</v>
      </c>
      <c r="R861" s="2" t="inlineStr"/>
    </row>
    <row r="862" ht="15" customHeight="1">
      <c r="A862" t="inlineStr">
        <is>
          <t>A 37628-2025</t>
        </is>
      </c>
      <c r="B862" s="1" t="n">
        <v>45880.46189814815</v>
      </c>
      <c r="C862" s="1" t="n">
        <v>46186</v>
      </c>
      <c r="D862" t="inlineStr">
        <is>
          <t>STOCKHOLMS LÄN</t>
        </is>
      </c>
      <c r="E862" t="inlineStr">
        <is>
          <t>NORRTÄLJE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32122-2025</t>
        </is>
      </c>
      <c r="B863" s="1" t="n">
        <v>45835.4928125</v>
      </c>
      <c r="C863" s="1" t="n">
        <v>46186</v>
      </c>
      <c r="D863" t="inlineStr">
        <is>
          <t>STOCKHOLMS LÄN</t>
        </is>
      </c>
      <c r="E863" t="inlineStr">
        <is>
          <t>NORRTÄLJE</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46186</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27813-2025</t>
        </is>
      </c>
      <c r="B865" s="1" t="n">
        <v>45817.32538194444</v>
      </c>
      <c r="C865" s="1" t="n">
        <v>46186</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19118-2022</t>
        </is>
      </c>
      <c r="B866" s="1" t="n">
        <v>44691.5652662037</v>
      </c>
      <c r="C866" s="1" t="n">
        <v>46186</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59534-2024</t>
        </is>
      </c>
      <c r="B867" s="1" t="n">
        <v>45638.5987037037</v>
      </c>
      <c r="C867" s="1" t="n">
        <v>46186</v>
      </c>
      <c r="D867" t="inlineStr">
        <is>
          <t>STOCKHOLMS LÄN</t>
        </is>
      </c>
      <c r="E867" t="inlineStr">
        <is>
          <t>NORRTÄLJE</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8739-2024</t>
        </is>
      </c>
      <c r="B868" s="1" t="n">
        <v>45356.47784722222</v>
      </c>
      <c r="C868" s="1" t="n">
        <v>46186</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38759-2022</t>
        </is>
      </c>
      <c r="B869" s="1" t="n">
        <v>44816</v>
      </c>
      <c r="C869" s="1" t="n">
        <v>46186</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32857-2021</t>
        </is>
      </c>
      <c r="B870" s="1" t="n">
        <v>44375</v>
      </c>
      <c r="C870" s="1" t="n">
        <v>46186</v>
      </c>
      <c r="D870" t="inlineStr">
        <is>
          <t>STOCKHOLMS LÄN</t>
        </is>
      </c>
      <c r="E870" t="inlineStr">
        <is>
          <t>NORRTÄLJE</t>
        </is>
      </c>
      <c r="G870" t="n">
        <v>2.9</v>
      </c>
      <c r="H870" t="n">
        <v>0</v>
      </c>
      <c r="I870" t="n">
        <v>0</v>
      </c>
      <c r="J870" t="n">
        <v>0</v>
      </c>
      <c r="K870" t="n">
        <v>0</v>
      </c>
      <c r="L870" t="n">
        <v>0</v>
      </c>
      <c r="M870" t="n">
        <v>0</v>
      </c>
      <c r="N870" t="n">
        <v>0</v>
      </c>
      <c r="O870" t="n">
        <v>0</v>
      </c>
      <c r="P870" t="n">
        <v>0</v>
      </c>
      <c r="Q870" t="n">
        <v>0</v>
      </c>
      <c r="R870" s="2" t="inlineStr"/>
    </row>
    <row r="871" ht="15" customHeight="1">
      <c r="A871" t="inlineStr">
        <is>
          <t>A 29714-2023</t>
        </is>
      </c>
      <c r="B871" s="1" t="n">
        <v>45107.42538194444</v>
      </c>
      <c r="C871" s="1" t="n">
        <v>46186</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23271-2023</t>
        </is>
      </c>
      <c r="B872" s="1" t="n">
        <v>45075.91362268518</v>
      </c>
      <c r="C872" s="1" t="n">
        <v>46186</v>
      </c>
      <c r="D872" t="inlineStr">
        <is>
          <t>STOCKHOLMS LÄN</t>
        </is>
      </c>
      <c r="E872" t="inlineStr">
        <is>
          <t>NORRTÄLJE</t>
        </is>
      </c>
      <c r="G872" t="n">
        <v>5.1</v>
      </c>
      <c r="H872" t="n">
        <v>0</v>
      </c>
      <c r="I872" t="n">
        <v>0</v>
      </c>
      <c r="J872" t="n">
        <v>0</v>
      </c>
      <c r="K872" t="n">
        <v>0</v>
      </c>
      <c r="L872" t="n">
        <v>0</v>
      </c>
      <c r="M872" t="n">
        <v>0</v>
      </c>
      <c r="N872" t="n">
        <v>0</v>
      </c>
      <c r="O872" t="n">
        <v>0</v>
      </c>
      <c r="P872" t="n">
        <v>0</v>
      </c>
      <c r="Q872" t="n">
        <v>0</v>
      </c>
      <c r="R872" s="2" t="inlineStr"/>
    </row>
    <row r="873" ht="15" customHeight="1">
      <c r="A873" t="inlineStr">
        <is>
          <t>A 23273-2023</t>
        </is>
      </c>
      <c r="B873" s="1" t="n">
        <v>45075.91971064815</v>
      </c>
      <c r="C873" s="1" t="n">
        <v>46186</v>
      </c>
      <c r="D873" t="inlineStr">
        <is>
          <t>STOCKHOLMS LÄN</t>
        </is>
      </c>
      <c r="E873" t="inlineStr">
        <is>
          <t>NORRTÄLJE</t>
        </is>
      </c>
      <c r="G873" t="n">
        <v>7.5</v>
      </c>
      <c r="H873" t="n">
        <v>0</v>
      </c>
      <c r="I873" t="n">
        <v>0</v>
      </c>
      <c r="J873" t="n">
        <v>0</v>
      </c>
      <c r="K873" t="n">
        <v>0</v>
      </c>
      <c r="L873" t="n">
        <v>0</v>
      </c>
      <c r="M873" t="n">
        <v>0</v>
      </c>
      <c r="N873" t="n">
        <v>0</v>
      </c>
      <c r="O873" t="n">
        <v>0</v>
      </c>
      <c r="P873" t="n">
        <v>0</v>
      </c>
      <c r="Q873" t="n">
        <v>0</v>
      </c>
      <c r="R873" s="2" t="inlineStr"/>
    </row>
    <row r="874" ht="15" customHeight="1">
      <c r="A874" t="inlineStr">
        <is>
          <t>A 26525-2026</t>
        </is>
      </c>
      <c r="B874" s="1" t="n">
        <v>46183.591875</v>
      </c>
      <c r="C874" s="1" t="n">
        <v>46186</v>
      </c>
      <c r="D874" t="inlineStr">
        <is>
          <t>STOCKHOLMS LÄN</t>
        </is>
      </c>
      <c r="E874" t="inlineStr">
        <is>
          <t>NORRTÄLJE</t>
        </is>
      </c>
      <c r="G874" t="n">
        <v>2.4</v>
      </c>
      <c r="H874" t="n">
        <v>0</v>
      </c>
      <c r="I874" t="n">
        <v>0</v>
      </c>
      <c r="J874" t="n">
        <v>0</v>
      </c>
      <c r="K874" t="n">
        <v>0</v>
      </c>
      <c r="L874" t="n">
        <v>0</v>
      </c>
      <c r="M874" t="n">
        <v>0</v>
      </c>
      <c r="N874" t="n">
        <v>0</v>
      </c>
      <c r="O874" t="n">
        <v>0</v>
      </c>
      <c r="P874" t="n">
        <v>0</v>
      </c>
      <c r="Q874" t="n">
        <v>0</v>
      </c>
      <c r="R874" s="2" t="inlineStr"/>
    </row>
    <row r="875" ht="15" customHeight="1">
      <c r="A875" t="inlineStr">
        <is>
          <t>A 27554-2025</t>
        </is>
      </c>
      <c r="B875" s="1" t="n">
        <v>45813.4709375</v>
      </c>
      <c r="C875" s="1" t="n">
        <v>46186</v>
      </c>
      <c r="D875" t="inlineStr">
        <is>
          <t>STOCKHOLMS LÄN</t>
        </is>
      </c>
      <c r="E875" t="inlineStr">
        <is>
          <t>NORRTÄLJE</t>
        </is>
      </c>
      <c r="F875" t="inlineStr">
        <is>
          <t>Övriga Aktiebolag</t>
        </is>
      </c>
      <c r="G875" t="n">
        <v>2.5</v>
      </c>
      <c r="H875" t="n">
        <v>0</v>
      </c>
      <c r="I875" t="n">
        <v>0</v>
      </c>
      <c r="J875" t="n">
        <v>0</v>
      </c>
      <c r="K875" t="n">
        <v>0</v>
      </c>
      <c r="L875" t="n">
        <v>0</v>
      </c>
      <c r="M875" t="n">
        <v>0</v>
      </c>
      <c r="N875" t="n">
        <v>0</v>
      </c>
      <c r="O875" t="n">
        <v>0</v>
      </c>
      <c r="P875" t="n">
        <v>0</v>
      </c>
      <c r="Q875" t="n">
        <v>0</v>
      </c>
      <c r="R875" s="2" t="inlineStr"/>
    </row>
    <row r="876" ht="15" customHeight="1">
      <c r="A876" t="inlineStr">
        <is>
          <t>A 26416-2026</t>
        </is>
      </c>
      <c r="B876" s="1" t="n">
        <v>46183.42100694445</v>
      </c>
      <c r="C876" s="1" t="n">
        <v>46186</v>
      </c>
      <c r="D876" t="inlineStr">
        <is>
          <t>STOCKHOLMS LÄN</t>
        </is>
      </c>
      <c r="E876" t="inlineStr">
        <is>
          <t>NORRTÄLJE</t>
        </is>
      </c>
      <c r="G876" t="n">
        <v>3.7</v>
      </c>
      <c r="H876" t="n">
        <v>0</v>
      </c>
      <c r="I876" t="n">
        <v>0</v>
      </c>
      <c r="J876" t="n">
        <v>0</v>
      </c>
      <c r="K876" t="n">
        <v>0</v>
      </c>
      <c r="L876" t="n">
        <v>0</v>
      </c>
      <c r="M876" t="n">
        <v>0</v>
      </c>
      <c r="N876" t="n">
        <v>0</v>
      </c>
      <c r="O876" t="n">
        <v>0</v>
      </c>
      <c r="P876" t="n">
        <v>0</v>
      </c>
      <c r="Q876" t="n">
        <v>0</v>
      </c>
      <c r="R876" s="2" t="inlineStr"/>
    </row>
    <row r="877" ht="15" customHeight="1">
      <c r="A877" t="inlineStr">
        <is>
          <t>A 26418-2026</t>
        </is>
      </c>
      <c r="B877" s="1" t="n">
        <v>46183.4243287037</v>
      </c>
      <c r="C877" s="1" t="n">
        <v>46186</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30802-2022</t>
        </is>
      </c>
      <c r="B878" s="1" t="n">
        <v>44764</v>
      </c>
      <c r="C878" s="1" t="n">
        <v>46186</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55369-2023</t>
        </is>
      </c>
      <c r="B879" s="1" t="n">
        <v>45238</v>
      </c>
      <c r="C879" s="1" t="n">
        <v>46186</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61113-2023</t>
        </is>
      </c>
      <c r="B880" s="1" t="n">
        <v>45261</v>
      </c>
      <c r="C880" s="1" t="n">
        <v>46186</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34295-2024</t>
        </is>
      </c>
      <c r="B881" s="1" t="n">
        <v>45524</v>
      </c>
      <c r="C881" s="1" t="n">
        <v>46186</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58311-2023</t>
        </is>
      </c>
      <c r="B882" s="1" t="n">
        <v>45245</v>
      </c>
      <c r="C882" s="1" t="n">
        <v>46186</v>
      </c>
      <c r="D882" t="inlineStr">
        <is>
          <t>STOCKHOLMS LÄN</t>
        </is>
      </c>
      <c r="E882" t="inlineStr">
        <is>
          <t>NORRTÄLJE</t>
        </is>
      </c>
      <c r="G882" t="n">
        <v>2.3</v>
      </c>
      <c r="H882" t="n">
        <v>0</v>
      </c>
      <c r="I882" t="n">
        <v>0</v>
      </c>
      <c r="J882" t="n">
        <v>0</v>
      </c>
      <c r="K882" t="n">
        <v>0</v>
      </c>
      <c r="L882" t="n">
        <v>0</v>
      </c>
      <c r="M882" t="n">
        <v>0</v>
      </c>
      <c r="N882" t="n">
        <v>0</v>
      </c>
      <c r="O882" t="n">
        <v>0</v>
      </c>
      <c r="P882" t="n">
        <v>0</v>
      </c>
      <c r="Q882" t="n">
        <v>0</v>
      </c>
      <c r="R882" s="2" t="inlineStr"/>
    </row>
    <row r="883" ht="15" customHeight="1">
      <c r="A883" t="inlineStr">
        <is>
          <t>A 23692-2024</t>
        </is>
      </c>
      <c r="B883" s="1" t="n">
        <v>45454.65774305556</v>
      </c>
      <c r="C883" s="1" t="n">
        <v>46186</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25733-2025</t>
        </is>
      </c>
      <c r="B884" s="1" t="n">
        <v>45800</v>
      </c>
      <c r="C884" s="1" t="n">
        <v>46186</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26557-2026</t>
        </is>
      </c>
      <c r="B885" s="1" t="n">
        <v>46183.63876157408</v>
      </c>
      <c r="C885" s="1" t="n">
        <v>46186</v>
      </c>
      <c r="D885" t="inlineStr">
        <is>
          <t>STOCKHOLMS LÄN</t>
        </is>
      </c>
      <c r="E885" t="inlineStr">
        <is>
          <t>NORRTÄLJE</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26210-2026</t>
        </is>
      </c>
      <c r="B886" s="1" t="n">
        <v>46182.43133101852</v>
      </c>
      <c r="C886" s="1" t="n">
        <v>46186</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54273-2021</t>
        </is>
      </c>
      <c r="B887" s="1" t="n">
        <v>44470.72987268519</v>
      </c>
      <c r="C887" s="1" t="n">
        <v>46186</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37273-2024</t>
        </is>
      </c>
      <c r="B888" s="1" t="n">
        <v>45540</v>
      </c>
      <c r="C888" s="1" t="n">
        <v>46186</v>
      </c>
      <c r="D888" t="inlineStr">
        <is>
          <t>STOCKHOLMS LÄN</t>
        </is>
      </c>
      <c r="E888" t="inlineStr">
        <is>
          <t>NORRTÄLJE</t>
        </is>
      </c>
      <c r="F888" t="inlineStr">
        <is>
          <t>Sveaskog</t>
        </is>
      </c>
      <c r="G888" t="n">
        <v>12.5</v>
      </c>
      <c r="H888" t="n">
        <v>0</v>
      </c>
      <c r="I888" t="n">
        <v>0</v>
      </c>
      <c r="J888" t="n">
        <v>0</v>
      </c>
      <c r="K888" t="n">
        <v>0</v>
      </c>
      <c r="L888" t="n">
        <v>0</v>
      </c>
      <c r="M888" t="n">
        <v>0</v>
      </c>
      <c r="N888" t="n">
        <v>0</v>
      </c>
      <c r="O888" t="n">
        <v>0</v>
      </c>
      <c r="P888" t="n">
        <v>0</v>
      </c>
      <c r="Q888" t="n">
        <v>0</v>
      </c>
      <c r="R888" s="2" t="inlineStr"/>
    </row>
    <row r="889" ht="15" customHeight="1">
      <c r="A889" t="inlineStr">
        <is>
          <t>A 53792-2023</t>
        </is>
      </c>
      <c r="B889" s="1" t="n">
        <v>45231.34144675926</v>
      </c>
      <c r="C889" s="1" t="n">
        <v>46186</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21329-2022</t>
        </is>
      </c>
      <c r="B890" s="1" t="n">
        <v>44705.60626157407</v>
      </c>
      <c r="C890" s="1" t="n">
        <v>46186</v>
      </c>
      <c r="D890" t="inlineStr">
        <is>
          <t>STOCKHOLMS LÄN</t>
        </is>
      </c>
      <c r="E890" t="inlineStr">
        <is>
          <t>NORRTÄLJE</t>
        </is>
      </c>
      <c r="G890" t="n">
        <v>4.1</v>
      </c>
      <c r="H890" t="n">
        <v>0</v>
      </c>
      <c r="I890" t="n">
        <v>0</v>
      </c>
      <c r="J890" t="n">
        <v>0</v>
      </c>
      <c r="K890" t="n">
        <v>0</v>
      </c>
      <c r="L890" t="n">
        <v>0</v>
      </c>
      <c r="M890" t="n">
        <v>0</v>
      </c>
      <c r="N890" t="n">
        <v>0</v>
      </c>
      <c r="O890" t="n">
        <v>0</v>
      </c>
      <c r="P890" t="n">
        <v>0</v>
      </c>
      <c r="Q890" t="n">
        <v>0</v>
      </c>
      <c r="R890" s="2" t="inlineStr"/>
    </row>
    <row r="891" ht="15" customHeight="1">
      <c r="A891" t="inlineStr">
        <is>
          <t>A 50569-2022</t>
        </is>
      </c>
      <c r="B891" s="1" t="n">
        <v>44866.63775462963</v>
      </c>
      <c r="C891" s="1" t="n">
        <v>46186</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24501-2023</t>
        </is>
      </c>
      <c r="B892" s="1" t="n">
        <v>45082</v>
      </c>
      <c r="C892" s="1" t="n">
        <v>46186</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24520-2023</t>
        </is>
      </c>
      <c r="B893" s="1" t="n">
        <v>45082.68922453704</v>
      </c>
      <c r="C893" s="1" t="n">
        <v>46186</v>
      </c>
      <c r="D893" t="inlineStr">
        <is>
          <t>STOCKHOLMS LÄN</t>
        </is>
      </c>
      <c r="E893" t="inlineStr">
        <is>
          <t>NORRTÄLJE</t>
        </is>
      </c>
      <c r="G893" t="n">
        <v>4.3</v>
      </c>
      <c r="H893" t="n">
        <v>0</v>
      </c>
      <c r="I893" t="n">
        <v>0</v>
      </c>
      <c r="J893" t="n">
        <v>0</v>
      </c>
      <c r="K893" t="n">
        <v>0</v>
      </c>
      <c r="L893" t="n">
        <v>0</v>
      </c>
      <c r="M893" t="n">
        <v>0</v>
      </c>
      <c r="N893" t="n">
        <v>0</v>
      </c>
      <c r="O893" t="n">
        <v>0</v>
      </c>
      <c r="P893" t="n">
        <v>0</v>
      </c>
      <c r="Q893" t="n">
        <v>0</v>
      </c>
      <c r="R893" s="2" t="inlineStr"/>
    </row>
    <row r="894" ht="15" customHeight="1">
      <c r="A894" t="inlineStr">
        <is>
          <t>A 5645-2023</t>
        </is>
      </c>
      <c r="B894" s="1" t="n">
        <v>44960.60469907407</v>
      </c>
      <c r="C894" s="1" t="n">
        <v>46186</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60654-2023</t>
        </is>
      </c>
      <c r="B895" s="1" t="n">
        <v>45260.43225694444</v>
      </c>
      <c r="C895" s="1" t="n">
        <v>46186</v>
      </c>
      <c r="D895" t="inlineStr">
        <is>
          <t>STOCKHOLMS LÄN</t>
        </is>
      </c>
      <c r="E895" t="inlineStr">
        <is>
          <t>NORRTÄLJE</t>
        </is>
      </c>
      <c r="G895" t="n">
        <v>2.1</v>
      </c>
      <c r="H895" t="n">
        <v>0</v>
      </c>
      <c r="I895" t="n">
        <v>0</v>
      </c>
      <c r="J895" t="n">
        <v>0</v>
      </c>
      <c r="K895" t="n">
        <v>0</v>
      </c>
      <c r="L895" t="n">
        <v>0</v>
      </c>
      <c r="M895" t="n">
        <v>0</v>
      </c>
      <c r="N895" t="n">
        <v>0</v>
      </c>
      <c r="O895" t="n">
        <v>0</v>
      </c>
      <c r="P895" t="n">
        <v>0</v>
      </c>
      <c r="Q895" t="n">
        <v>0</v>
      </c>
      <c r="R895" s="2" t="inlineStr"/>
    </row>
    <row r="896" ht="15" customHeight="1">
      <c r="A896" t="inlineStr">
        <is>
          <t>A 60656-2023</t>
        </is>
      </c>
      <c r="B896" s="1" t="n">
        <v>45260.4333449074</v>
      </c>
      <c r="C896" s="1" t="n">
        <v>46186</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54496-2024</t>
        </is>
      </c>
      <c r="B897" s="1" t="n">
        <v>45617.57439814815</v>
      </c>
      <c r="C897" s="1" t="n">
        <v>46186</v>
      </c>
      <c r="D897" t="inlineStr">
        <is>
          <t>STOCKHOLMS LÄN</t>
        </is>
      </c>
      <c r="E897" t="inlineStr">
        <is>
          <t>NORRTÄLJE</t>
        </is>
      </c>
      <c r="G897" t="n">
        <v>2.2</v>
      </c>
      <c r="H897" t="n">
        <v>0</v>
      </c>
      <c r="I897" t="n">
        <v>0</v>
      </c>
      <c r="J897" t="n">
        <v>0</v>
      </c>
      <c r="K897" t="n">
        <v>0</v>
      </c>
      <c r="L897" t="n">
        <v>0</v>
      </c>
      <c r="M897" t="n">
        <v>0</v>
      </c>
      <c r="N897" t="n">
        <v>0</v>
      </c>
      <c r="O897" t="n">
        <v>0</v>
      </c>
      <c r="P897" t="n">
        <v>0</v>
      </c>
      <c r="Q897" t="n">
        <v>0</v>
      </c>
      <c r="R897" s="2" t="inlineStr"/>
    </row>
    <row r="898" ht="15" customHeight="1">
      <c r="A898" t="inlineStr">
        <is>
          <t>A 21386-2023</t>
        </is>
      </c>
      <c r="B898" s="1" t="n">
        <v>45063.35880787037</v>
      </c>
      <c r="C898" s="1" t="n">
        <v>46186</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10642-2025</t>
        </is>
      </c>
      <c r="B899" s="1" t="n">
        <v>45721.65858796296</v>
      </c>
      <c r="C899" s="1" t="n">
        <v>46186</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20144-2023</t>
        </is>
      </c>
      <c r="B900" s="1" t="n">
        <v>45055.43509259259</v>
      </c>
      <c r="C900" s="1" t="n">
        <v>46186</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53312-2024</t>
        </is>
      </c>
      <c r="B901" s="1" t="n">
        <v>45614.39627314815</v>
      </c>
      <c r="C901" s="1" t="n">
        <v>46186</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39202-2024</t>
        </is>
      </c>
      <c r="B902" s="1" t="n">
        <v>45548.72306712963</v>
      </c>
      <c r="C902" s="1" t="n">
        <v>46186</v>
      </c>
      <c r="D902" t="inlineStr">
        <is>
          <t>STOCKHOLMS LÄN</t>
        </is>
      </c>
      <c r="E902" t="inlineStr">
        <is>
          <t>NORRTÄLJE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26406-2026</t>
        </is>
      </c>
      <c r="B903" s="1" t="n">
        <v>46183</v>
      </c>
      <c r="C903" s="1" t="n">
        <v>46186</v>
      </c>
      <c r="D903" t="inlineStr">
        <is>
          <t>STOCKHOLMS LÄN</t>
        </is>
      </c>
      <c r="E903" t="inlineStr">
        <is>
          <t>NORRTÄLJE</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26408-2026</t>
        </is>
      </c>
      <c r="B904" s="1" t="n">
        <v>46183</v>
      </c>
      <c r="C904" s="1" t="n">
        <v>46186</v>
      </c>
      <c r="D904" t="inlineStr">
        <is>
          <t>STOCKHOLMS LÄN</t>
        </is>
      </c>
      <c r="E904" t="inlineStr">
        <is>
          <t>NORRTÄLJE</t>
        </is>
      </c>
      <c r="G904" t="n">
        <v>0.8</v>
      </c>
      <c r="H904" t="n">
        <v>0</v>
      </c>
      <c r="I904" t="n">
        <v>0</v>
      </c>
      <c r="J904" t="n">
        <v>0</v>
      </c>
      <c r="K904" t="n">
        <v>0</v>
      </c>
      <c r="L904" t="n">
        <v>0</v>
      </c>
      <c r="M904" t="n">
        <v>0</v>
      </c>
      <c r="N904" t="n">
        <v>0</v>
      </c>
      <c r="O904" t="n">
        <v>0</v>
      </c>
      <c r="P904" t="n">
        <v>0</v>
      </c>
      <c r="Q904" t="n">
        <v>0</v>
      </c>
      <c r="R904" s="2" t="inlineStr"/>
    </row>
    <row r="905" ht="15" customHeight="1">
      <c r="A905" t="inlineStr">
        <is>
          <t>A 22756-2022</t>
        </is>
      </c>
      <c r="B905" s="1" t="n">
        <v>44714.92253472222</v>
      </c>
      <c r="C905" s="1" t="n">
        <v>46186</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4581-2025</t>
        </is>
      </c>
      <c r="B906" s="1" t="n">
        <v>45687</v>
      </c>
      <c r="C906" s="1" t="n">
        <v>46186</v>
      </c>
      <c r="D906" t="inlineStr">
        <is>
          <t>STOCKHOLMS LÄN</t>
        </is>
      </c>
      <c r="E906" t="inlineStr">
        <is>
          <t>NORRTÄLJE</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60765-2023</t>
        </is>
      </c>
      <c r="B907" s="1" t="n">
        <v>45260</v>
      </c>
      <c r="C907" s="1" t="n">
        <v>46186</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59276-2023</t>
        </is>
      </c>
      <c r="B908" s="1" t="n">
        <v>45253.55641203704</v>
      </c>
      <c r="C908" s="1" t="n">
        <v>46186</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46914-2022</t>
        </is>
      </c>
      <c r="B909" s="1" t="n">
        <v>44851</v>
      </c>
      <c r="C909" s="1" t="n">
        <v>46186</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18541-2023</t>
        </is>
      </c>
      <c r="B910" s="1" t="n">
        <v>45042.74291666667</v>
      </c>
      <c r="C910" s="1" t="n">
        <v>46186</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3509-2022</t>
        </is>
      </c>
      <c r="B911" s="1" t="n">
        <v>44585</v>
      </c>
      <c r="C911" s="1" t="n">
        <v>46186</v>
      </c>
      <c r="D911" t="inlineStr">
        <is>
          <t>STOCKHOLMS LÄN</t>
        </is>
      </c>
      <c r="E911" t="inlineStr">
        <is>
          <t>NORRTÄLJE</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26407-2024</t>
        </is>
      </c>
      <c r="B912" s="1" t="n">
        <v>45469</v>
      </c>
      <c r="C912" s="1" t="n">
        <v>46186</v>
      </c>
      <c r="D912" t="inlineStr">
        <is>
          <t>STOCKHOLMS LÄN</t>
        </is>
      </c>
      <c r="E912" t="inlineStr">
        <is>
          <t>NORRTÄLJE</t>
        </is>
      </c>
      <c r="G912" t="n">
        <v>3.5</v>
      </c>
      <c r="H912" t="n">
        <v>0</v>
      </c>
      <c r="I912" t="n">
        <v>0</v>
      </c>
      <c r="J912" t="n">
        <v>0</v>
      </c>
      <c r="K912" t="n">
        <v>0</v>
      </c>
      <c r="L912" t="n">
        <v>0</v>
      </c>
      <c r="M912" t="n">
        <v>0</v>
      </c>
      <c r="N912" t="n">
        <v>0</v>
      </c>
      <c r="O912" t="n">
        <v>0</v>
      </c>
      <c r="P912" t="n">
        <v>0</v>
      </c>
      <c r="Q912" t="n">
        <v>0</v>
      </c>
      <c r="R912" s="2" t="inlineStr"/>
    </row>
    <row r="913" ht="15" customHeight="1">
      <c r="A913" t="inlineStr">
        <is>
          <t>A 12890-2024</t>
        </is>
      </c>
      <c r="B913" s="1" t="n">
        <v>45385.36243055556</v>
      </c>
      <c r="C913" s="1" t="n">
        <v>46186</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47419-2023</t>
        </is>
      </c>
      <c r="B914" s="1" t="n">
        <v>45202.65660879629</v>
      </c>
      <c r="C914" s="1" t="n">
        <v>46186</v>
      </c>
      <c r="D914" t="inlineStr">
        <is>
          <t>STOCKHOLMS LÄN</t>
        </is>
      </c>
      <c r="E914" t="inlineStr">
        <is>
          <t>NORRTÄLJE</t>
        </is>
      </c>
      <c r="G914" t="n">
        <v>11.4</v>
      </c>
      <c r="H914" t="n">
        <v>0</v>
      </c>
      <c r="I914" t="n">
        <v>0</v>
      </c>
      <c r="J914" t="n">
        <v>0</v>
      </c>
      <c r="K914" t="n">
        <v>0</v>
      </c>
      <c r="L914" t="n">
        <v>0</v>
      </c>
      <c r="M914" t="n">
        <v>0</v>
      </c>
      <c r="N914" t="n">
        <v>0</v>
      </c>
      <c r="O914" t="n">
        <v>0</v>
      </c>
      <c r="P914" t="n">
        <v>0</v>
      </c>
      <c r="Q914" t="n">
        <v>0</v>
      </c>
      <c r="R914" s="2" t="inlineStr"/>
    </row>
    <row r="915" ht="15" customHeight="1">
      <c r="A915" t="inlineStr">
        <is>
          <t>A 23070-2023</t>
        </is>
      </c>
      <c r="B915" s="1" t="n">
        <v>45075</v>
      </c>
      <c r="C915" s="1" t="n">
        <v>46186</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27824-2022</t>
        </is>
      </c>
      <c r="B916" s="1" t="n">
        <v>44743.59331018518</v>
      </c>
      <c r="C916" s="1" t="n">
        <v>46186</v>
      </c>
      <c r="D916" t="inlineStr">
        <is>
          <t>STOCKHOLMS LÄN</t>
        </is>
      </c>
      <c r="E916" t="inlineStr">
        <is>
          <t>NORRTÄLJE</t>
        </is>
      </c>
      <c r="F916" t="inlineStr">
        <is>
          <t>Kommuner</t>
        </is>
      </c>
      <c r="G916" t="n">
        <v>3.1</v>
      </c>
      <c r="H916" t="n">
        <v>0</v>
      </c>
      <c r="I916" t="n">
        <v>0</v>
      </c>
      <c r="J916" t="n">
        <v>0</v>
      </c>
      <c r="K916" t="n">
        <v>0</v>
      </c>
      <c r="L916" t="n">
        <v>0</v>
      </c>
      <c r="M916" t="n">
        <v>0</v>
      </c>
      <c r="N916" t="n">
        <v>0</v>
      </c>
      <c r="O916" t="n">
        <v>0</v>
      </c>
      <c r="P916" t="n">
        <v>0</v>
      </c>
      <c r="Q916" t="n">
        <v>0</v>
      </c>
      <c r="R916" s="2" t="inlineStr"/>
    </row>
    <row r="917" ht="15" customHeight="1">
      <c r="A917" t="inlineStr">
        <is>
          <t>A 25619-2022</t>
        </is>
      </c>
      <c r="B917" s="1" t="n">
        <v>44732</v>
      </c>
      <c r="C917" s="1" t="n">
        <v>46186</v>
      </c>
      <c r="D917" t="inlineStr">
        <is>
          <t>STOCKHOLMS LÄN</t>
        </is>
      </c>
      <c r="E917" t="inlineStr">
        <is>
          <t>NORRTÄLJE</t>
        </is>
      </c>
      <c r="G917" t="n">
        <v>3.9</v>
      </c>
      <c r="H917" t="n">
        <v>0</v>
      </c>
      <c r="I917" t="n">
        <v>0</v>
      </c>
      <c r="J917" t="n">
        <v>0</v>
      </c>
      <c r="K917" t="n">
        <v>0</v>
      </c>
      <c r="L917" t="n">
        <v>0</v>
      </c>
      <c r="M917" t="n">
        <v>0</v>
      </c>
      <c r="N917" t="n">
        <v>0</v>
      </c>
      <c r="O917" t="n">
        <v>0</v>
      </c>
      <c r="P917" t="n">
        <v>0</v>
      </c>
      <c r="Q917" t="n">
        <v>0</v>
      </c>
      <c r="R917" s="2" t="inlineStr"/>
    </row>
    <row r="918" ht="15" customHeight="1">
      <c r="A918" t="inlineStr">
        <is>
          <t>A 36246-2021</t>
        </is>
      </c>
      <c r="B918" s="1" t="n">
        <v>44390</v>
      </c>
      <c r="C918" s="1" t="n">
        <v>46186</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19952-2023</t>
        </is>
      </c>
      <c r="B919" s="1" t="n">
        <v>45054.54091435186</v>
      </c>
      <c r="C919" s="1" t="n">
        <v>46186</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19994-2023</t>
        </is>
      </c>
      <c r="B920" s="1" t="n">
        <v>45054</v>
      </c>
      <c r="C920" s="1" t="n">
        <v>46186</v>
      </c>
      <c r="D920" t="inlineStr">
        <is>
          <t>STOCKHOLMS LÄN</t>
        </is>
      </c>
      <c r="E920" t="inlineStr">
        <is>
          <t>NORRTÄLJE</t>
        </is>
      </c>
      <c r="G920" t="n">
        <v>4.3</v>
      </c>
      <c r="H920" t="n">
        <v>0</v>
      </c>
      <c r="I920" t="n">
        <v>0</v>
      </c>
      <c r="J920" t="n">
        <v>0</v>
      </c>
      <c r="K920" t="n">
        <v>0</v>
      </c>
      <c r="L920" t="n">
        <v>0</v>
      </c>
      <c r="M920" t="n">
        <v>0</v>
      </c>
      <c r="N920" t="n">
        <v>0</v>
      </c>
      <c r="O920" t="n">
        <v>0</v>
      </c>
      <c r="P920" t="n">
        <v>0</v>
      </c>
      <c r="Q920" t="n">
        <v>0</v>
      </c>
      <c r="R920" s="2" t="inlineStr"/>
    </row>
    <row r="921" ht="15" customHeight="1">
      <c r="A921" t="inlineStr">
        <is>
          <t>A 574-2023</t>
        </is>
      </c>
      <c r="B921" s="1" t="n">
        <v>44925</v>
      </c>
      <c r="C921" s="1" t="n">
        <v>46186</v>
      </c>
      <c r="D921" t="inlineStr">
        <is>
          <t>STOCKHOLMS LÄN</t>
        </is>
      </c>
      <c r="E921" t="inlineStr">
        <is>
          <t>NORRTÄLJE</t>
        </is>
      </c>
      <c r="G921" t="n">
        <v>5</v>
      </c>
      <c r="H921" t="n">
        <v>0</v>
      </c>
      <c r="I921" t="n">
        <v>0</v>
      </c>
      <c r="J921" t="n">
        <v>0</v>
      </c>
      <c r="K921" t="n">
        <v>0</v>
      </c>
      <c r="L921" t="n">
        <v>0</v>
      </c>
      <c r="M921" t="n">
        <v>0</v>
      </c>
      <c r="N921" t="n">
        <v>0</v>
      </c>
      <c r="O921" t="n">
        <v>0</v>
      </c>
      <c r="P921" t="n">
        <v>0</v>
      </c>
      <c r="Q921" t="n">
        <v>0</v>
      </c>
      <c r="R921" s="2" t="inlineStr"/>
    </row>
    <row r="922" ht="15" customHeight="1">
      <c r="A922" t="inlineStr">
        <is>
          <t>A 30283-2022</t>
        </is>
      </c>
      <c r="B922" s="1" t="n">
        <v>44760</v>
      </c>
      <c r="C922" s="1" t="n">
        <v>46186</v>
      </c>
      <c r="D922" t="inlineStr">
        <is>
          <t>STOCKHOLMS LÄN</t>
        </is>
      </c>
      <c r="E922" t="inlineStr">
        <is>
          <t>NORRTÄLJE</t>
        </is>
      </c>
      <c r="G922" t="n">
        <v>6.2</v>
      </c>
      <c r="H922" t="n">
        <v>0</v>
      </c>
      <c r="I922" t="n">
        <v>0</v>
      </c>
      <c r="J922" t="n">
        <v>0</v>
      </c>
      <c r="K922" t="n">
        <v>0</v>
      </c>
      <c r="L922" t="n">
        <v>0</v>
      </c>
      <c r="M922" t="n">
        <v>0</v>
      </c>
      <c r="N922" t="n">
        <v>0</v>
      </c>
      <c r="O922" t="n">
        <v>0</v>
      </c>
      <c r="P922" t="n">
        <v>0</v>
      </c>
      <c r="Q922" t="n">
        <v>0</v>
      </c>
      <c r="R922" s="2" t="inlineStr"/>
    </row>
    <row r="923" ht="15" customHeight="1">
      <c r="A923" t="inlineStr">
        <is>
          <t>A 30290-2022</t>
        </is>
      </c>
      <c r="B923" s="1" t="n">
        <v>44760</v>
      </c>
      <c r="C923" s="1" t="n">
        <v>46186</v>
      </c>
      <c r="D923" t="inlineStr">
        <is>
          <t>STOCKHOLMS LÄN</t>
        </is>
      </c>
      <c r="E923" t="inlineStr">
        <is>
          <t>NORRTÄLJE</t>
        </is>
      </c>
      <c r="G923" t="n">
        <v>4.8</v>
      </c>
      <c r="H923" t="n">
        <v>0</v>
      </c>
      <c r="I923" t="n">
        <v>0</v>
      </c>
      <c r="J923" t="n">
        <v>0</v>
      </c>
      <c r="K923" t="n">
        <v>0</v>
      </c>
      <c r="L923" t="n">
        <v>0</v>
      </c>
      <c r="M923" t="n">
        <v>0</v>
      </c>
      <c r="N923" t="n">
        <v>0</v>
      </c>
      <c r="O923" t="n">
        <v>0</v>
      </c>
      <c r="P923" t="n">
        <v>0</v>
      </c>
      <c r="Q923" t="n">
        <v>0</v>
      </c>
      <c r="R923" s="2" t="inlineStr"/>
    </row>
    <row r="924" ht="15" customHeight="1">
      <c r="A924" t="inlineStr">
        <is>
          <t>A 29684-2021</t>
        </is>
      </c>
      <c r="B924" s="1" t="n">
        <v>44362.37172453704</v>
      </c>
      <c r="C924" s="1" t="n">
        <v>46186</v>
      </c>
      <c r="D924" t="inlineStr">
        <is>
          <t>STOCKHOLMS LÄN</t>
        </is>
      </c>
      <c r="E924" t="inlineStr">
        <is>
          <t>NORRTÄLJE</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60884-2024</t>
        </is>
      </c>
      <c r="B925" s="1" t="n">
        <v>45644.90815972222</v>
      </c>
      <c r="C925" s="1" t="n">
        <v>46186</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38610-2022</t>
        </is>
      </c>
      <c r="B926" s="1" t="n">
        <v>44813.59915509259</v>
      </c>
      <c r="C926" s="1" t="n">
        <v>46186</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10090-2022</t>
        </is>
      </c>
      <c r="B927" s="1" t="n">
        <v>44621</v>
      </c>
      <c r="C927" s="1" t="n">
        <v>46186</v>
      </c>
      <c r="D927" t="inlineStr">
        <is>
          <t>STOCKHOLMS LÄN</t>
        </is>
      </c>
      <c r="E927" t="inlineStr">
        <is>
          <t>NORRTÄLJE</t>
        </is>
      </c>
      <c r="G927" t="n">
        <v>5.2</v>
      </c>
      <c r="H927" t="n">
        <v>0</v>
      </c>
      <c r="I927" t="n">
        <v>0</v>
      </c>
      <c r="J927" t="n">
        <v>0</v>
      </c>
      <c r="K927" t="n">
        <v>0</v>
      </c>
      <c r="L927" t="n">
        <v>0</v>
      </c>
      <c r="M927" t="n">
        <v>0</v>
      </c>
      <c r="N927" t="n">
        <v>0</v>
      </c>
      <c r="O927" t="n">
        <v>0</v>
      </c>
      <c r="P927" t="n">
        <v>0</v>
      </c>
      <c r="Q927" t="n">
        <v>0</v>
      </c>
      <c r="R927" s="2" t="inlineStr"/>
    </row>
    <row r="928" ht="15" customHeight="1">
      <c r="A928" t="inlineStr">
        <is>
          <t>A 43300-2023</t>
        </is>
      </c>
      <c r="B928" s="1" t="n">
        <v>45183</v>
      </c>
      <c r="C928" s="1" t="n">
        <v>46186</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25654-2023</t>
        </is>
      </c>
      <c r="B929" s="1" t="n">
        <v>45089</v>
      </c>
      <c r="C929" s="1" t="n">
        <v>46186</v>
      </c>
      <c r="D929" t="inlineStr">
        <is>
          <t>STOCKHOLMS LÄN</t>
        </is>
      </c>
      <c r="E929" t="inlineStr">
        <is>
          <t>NORRTÄLJE</t>
        </is>
      </c>
      <c r="G929" t="n">
        <v>2.1</v>
      </c>
      <c r="H929" t="n">
        <v>0</v>
      </c>
      <c r="I929" t="n">
        <v>0</v>
      </c>
      <c r="J929" t="n">
        <v>0</v>
      </c>
      <c r="K929" t="n">
        <v>0</v>
      </c>
      <c r="L929" t="n">
        <v>0</v>
      </c>
      <c r="M929" t="n">
        <v>0</v>
      </c>
      <c r="N929" t="n">
        <v>0</v>
      </c>
      <c r="O929" t="n">
        <v>0</v>
      </c>
      <c r="P929" t="n">
        <v>0</v>
      </c>
      <c r="Q929" t="n">
        <v>0</v>
      </c>
      <c r="R929" s="2" t="inlineStr"/>
    </row>
    <row r="930" ht="15" customHeight="1">
      <c r="A930" t="inlineStr">
        <is>
          <t>A 23125-2022</t>
        </is>
      </c>
      <c r="B930" s="1" t="n">
        <v>44719</v>
      </c>
      <c r="C930" s="1" t="n">
        <v>46186</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20121-2022</t>
        </is>
      </c>
      <c r="B931" s="1" t="n">
        <v>44698</v>
      </c>
      <c r="C931" s="1" t="n">
        <v>46186</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33385-2024</t>
        </is>
      </c>
      <c r="B932" s="1" t="n">
        <v>45519</v>
      </c>
      <c r="C932" s="1" t="n">
        <v>46186</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41172-2023</t>
        </is>
      </c>
      <c r="B933" s="1" t="n">
        <v>45170</v>
      </c>
      <c r="C933" s="1" t="n">
        <v>46186</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73307-2021</t>
        </is>
      </c>
      <c r="B934" s="1" t="n">
        <v>44549</v>
      </c>
      <c r="C934" s="1" t="n">
        <v>46186</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50534-2024</t>
        </is>
      </c>
      <c r="B935" s="1" t="n">
        <v>45601.56726851852</v>
      </c>
      <c r="C935" s="1" t="n">
        <v>46186</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65499-2021</t>
        </is>
      </c>
      <c r="B936" s="1" t="n">
        <v>44516</v>
      </c>
      <c r="C936" s="1" t="n">
        <v>46186</v>
      </c>
      <c r="D936" t="inlineStr">
        <is>
          <t>STOCKHOLMS LÄN</t>
        </is>
      </c>
      <c r="E936" t="inlineStr">
        <is>
          <t>NORRTÄLJE</t>
        </is>
      </c>
      <c r="F936" t="inlineStr">
        <is>
          <t>Kommuner</t>
        </is>
      </c>
      <c r="G936" t="n">
        <v>5.2</v>
      </c>
      <c r="H936" t="n">
        <v>0</v>
      </c>
      <c r="I936" t="n">
        <v>0</v>
      </c>
      <c r="J936" t="n">
        <v>0</v>
      </c>
      <c r="K936" t="n">
        <v>0</v>
      </c>
      <c r="L936" t="n">
        <v>0</v>
      </c>
      <c r="M936" t="n">
        <v>0</v>
      </c>
      <c r="N936" t="n">
        <v>0</v>
      </c>
      <c r="O936" t="n">
        <v>0</v>
      </c>
      <c r="P936" t="n">
        <v>0</v>
      </c>
      <c r="Q936" t="n">
        <v>0</v>
      </c>
      <c r="R936" s="2" t="inlineStr"/>
    </row>
    <row r="937" ht="15" customHeight="1">
      <c r="A937" t="inlineStr">
        <is>
          <t>A 65511-2021</t>
        </is>
      </c>
      <c r="B937" s="1" t="n">
        <v>44516.40674768519</v>
      </c>
      <c r="C937" s="1" t="n">
        <v>46186</v>
      </c>
      <c r="D937" t="inlineStr">
        <is>
          <t>STOCKHOLMS LÄN</t>
        </is>
      </c>
      <c r="E937" t="inlineStr">
        <is>
          <t>NORRTÄLJE</t>
        </is>
      </c>
      <c r="F937" t="inlineStr">
        <is>
          <t>Kommuner</t>
        </is>
      </c>
      <c r="G937" t="n">
        <v>2.8</v>
      </c>
      <c r="H937" t="n">
        <v>0</v>
      </c>
      <c r="I937" t="n">
        <v>0</v>
      </c>
      <c r="J937" t="n">
        <v>0</v>
      </c>
      <c r="K937" t="n">
        <v>0</v>
      </c>
      <c r="L937" t="n">
        <v>0</v>
      </c>
      <c r="M937" t="n">
        <v>0</v>
      </c>
      <c r="N937" t="n">
        <v>0</v>
      </c>
      <c r="O937" t="n">
        <v>0</v>
      </c>
      <c r="P937" t="n">
        <v>0</v>
      </c>
      <c r="Q937" t="n">
        <v>0</v>
      </c>
      <c r="R937" s="2" t="inlineStr"/>
    </row>
    <row r="938" ht="15" customHeight="1">
      <c r="A938" t="inlineStr">
        <is>
          <t>A 22833-2024</t>
        </is>
      </c>
      <c r="B938" s="1" t="n">
        <v>45448.56746527777</v>
      </c>
      <c r="C938" s="1" t="n">
        <v>46186</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32514-2022</t>
        </is>
      </c>
      <c r="B939" s="1" t="n">
        <v>44782</v>
      </c>
      <c r="C939" s="1" t="n">
        <v>46186</v>
      </c>
      <c r="D939" t="inlineStr">
        <is>
          <t>STOCKHOLMS LÄN</t>
        </is>
      </c>
      <c r="E939" t="inlineStr">
        <is>
          <t>NORRTÄLJE</t>
        </is>
      </c>
      <c r="G939" t="n">
        <v>5.1</v>
      </c>
      <c r="H939" t="n">
        <v>0</v>
      </c>
      <c r="I939" t="n">
        <v>0</v>
      </c>
      <c r="J939" t="n">
        <v>0</v>
      </c>
      <c r="K939" t="n">
        <v>0</v>
      </c>
      <c r="L939" t="n">
        <v>0</v>
      </c>
      <c r="M939" t="n">
        <v>0</v>
      </c>
      <c r="N939" t="n">
        <v>0</v>
      </c>
      <c r="O939" t="n">
        <v>0</v>
      </c>
      <c r="P939" t="n">
        <v>0</v>
      </c>
      <c r="Q939" t="n">
        <v>0</v>
      </c>
      <c r="R939" s="2" t="inlineStr"/>
    </row>
    <row r="940" ht="15" customHeight="1">
      <c r="A940" t="inlineStr">
        <is>
          <t>A 29362-2022</t>
        </is>
      </c>
      <c r="B940" s="1" t="n">
        <v>44753</v>
      </c>
      <c r="C940" s="1" t="n">
        <v>46186</v>
      </c>
      <c r="D940" t="inlineStr">
        <is>
          <t>STOCKHOLMS LÄN</t>
        </is>
      </c>
      <c r="E940" t="inlineStr">
        <is>
          <t>NORRTÄLJE</t>
        </is>
      </c>
      <c r="G940" t="n">
        <v>3.8</v>
      </c>
      <c r="H940" t="n">
        <v>0</v>
      </c>
      <c r="I940" t="n">
        <v>0</v>
      </c>
      <c r="J940" t="n">
        <v>0</v>
      </c>
      <c r="K940" t="n">
        <v>0</v>
      </c>
      <c r="L940" t="n">
        <v>0</v>
      </c>
      <c r="M940" t="n">
        <v>0</v>
      </c>
      <c r="N940" t="n">
        <v>0</v>
      </c>
      <c r="O940" t="n">
        <v>0</v>
      </c>
      <c r="P940" t="n">
        <v>0</v>
      </c>
      <c r="Q940" t="n">
        <v>0</v>
      </c>
      <c r="R940" s="2" t="inlineStr"/>
    </row>
    <row r="941" ht="15" customHeight="1">
      <c r="A941" t="inlineStr">
        <is>
          <t>A 58492-2022</t>
        </is>
      </c>
      <c r="B941" s="1" t="n">
        <v>44902</v>
      </c>
      <c r="C941" s="1" t="n">
        <v>46186</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51315-2021</t>
        </is>
      </c>
      <c r="B942" s="1" t="n">
        <v>44461</v>
      </c>
      <c r="C942" s="1" t="n">
        <v>46186</v>
      </c>
      <c r="D942" t="inlineStr">
        <is>
          <t>STOCKHOLMS LÄN</t>
        </is>
      </c>
      <c r="E942" t="inlineStr">
        <is>
          <t>NORRTÄLJE</t>
        </is>
      </c>
      <c r="F942" t="inlineStr">
        <is>
          <t>Holmen skog AB</t>
        </is>
      </c>
      <c r="G942" t="n">
        <v>2.2</v>
      </c>
      <c r="H942" t="n">
        <v>0</v>
      </c>
      <c r="I942" t="n">
        <v>0</v>
      </c>
      <c r="J942" t="n">
        <v>0</v>
      </c>
      <c r="K942" t="n">
        <v>0</v>
      </c>
      <c r="L942" t="n">
        <v>0</v>
      </c>
      <c r="M942" t="n">
        <v>0</v>
      </c>
      <c r="N942" t="n">
        <v>0</v>
      </c>
      <c r="O942" t="n">
        <v>0</v>
      </c>
      <c r="P942" t="n">
        <v>0</v>
      </c>
      <c r="Q942" t="n">
        <v>0</v>
      </c>
      <c r="R942" s="2" t="inlineStr"/>
    </row>
    <row r="943" ht="15" customHeight="1">
      <c r="A943" t="inlineStr">
        <is>
          <t>A 34773-2022</t>
        </is>
      </c>
      <c r="B943" s="1" t="n">
        <v>44795</v>
      </c>
      <c r="C943" s="1" t="n">
        <v>46186</v>
      </c>
      <c r="D943" t="inlineStr">
        <is>
          <t>STOCKHOLMS LÄN</t>
        </is>
      </c>
      <c r="E943" t="inlineStr">
        <is>
          <t>NORRTÄLJE</t>
        </is>
      </c>
      <c r="G943" t="n">
        <v>3.9</v>
      </c>
      <c r="H943" t="n">
        <v>0</v>
      </c>
      <c r="I943" t="n">
        <v>0</v>
      </c>
      <c r="J943" t="n">
        <v>0</v>
      </c>
      <c r="K943" t="n">
        <v>0</v>
      </c>
      <c r="L943" t="n">
        <v>0</v>
      </c>
      <c r="M943" t="n">
        <v>0</v>
      </c>
      <c r="N943" t="n">
        <v>0</v>
      </c>
      <c r="O943" t="n">
        <v>0</v>
      </c>
      <c r="P943" t="n">
        <v>0</v>
      </c>
      <c r="Q943" t="n">
        <v>0</v>
      </c>
      <c r="R943" s="2" t="inlineStr"/>
    </row>
    <row r="944" ht="15" customHeight="1">
      <c r="A944" t="inlineStr">
        <is>
          <t>A 33173-2024</t>
        </is>
      </c>
      <c r="B944" s="1" t="n">
        <v>45518</v>
      </c>
      <c r="C944" s="1" t="n">
        <v>46186</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4484-2025</t>
        </is>
      </c>
      <c r="B945" s="1" t="n">
        <v>45686.65545138889</v>
      </c>
      <c r="C945" s="1" t="n">
        <v>46186</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33878-2024</t>
        </is>
      </c>
      <c r="B946" s="1" t="n">
        <v>45522.44414351852</v>
      </c>
      <c r="C946" s="1" t="n">
        <v>46186</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9246-2024</t>
        </is>
      </c>
      <c r="B947" s="1" t="n">
        <v>45357</v>
      </c>
      <c r="C947" s="1" t="n">
        <v>46186</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35698-2023</t>
        </is>
      </c>
      <c r="B948" s="1" t="n">
        <v>45147</v>
      </c>
      <c r="C948" s="1" t="n">
        <v>46186</v>
      </c>
      <c r="D948" t="inlineStr">
        <is>
          <t>STOCKHOLMS LÄN</t>
        </is>
      </c>
      <c r="E948" t="inlineStr">
        <is>
          <t>NORRTÄLJE</t>
        </is>
      </c>
      <c r="G948" t="n">
        <v>2.1</v>
      </c>
      <c r="H948" t="n">
        <v>0</v>
      </c>
      <c r="I948" t="n">
        <v>0</v>
      </c>
      <c r="J948" t="n">
        <v>0</v>
      </c>
      <c r="K948" t="n">
        <v>0</v>
      </c>
      <c r="L948" t="n">
        <v>0</v>
      </c>
      <c r="M948" t="n">
        <v>0</v>
      </c>
      <c r="N948" t="n">
        <v>0</v>
      </c>
      <c r="O948" t="n">
        <v>0</v>
      </c>
      <c r="P948" t="n">
        <v>0</v>
      </c>
      <c r="Q948" t="n">
        <v>0</v>
      </c>
      <c r="R948" s="2" t="inlineStr"/>
    </row>
    <row r="949" ht="15" customHeight="1">
      <c r="A949" t="inlineStr">
        <is>
          <t>A 62398-2022</t>
        </is>
      </c>
      <c r="B949" s="1" t="n">
        <v>44923.90159722222</v>
      </c>
      <c r="C949" s="1" t="n">
        <v>46186</v>
      </c>
      <c r="D949" t="inlineStr">
        <is>
          <t>STOCKHOLMS LÄN</t>
        </is>
      </c>
      <c r="E949" t="inlineStr">
        <is>
          <t>NORRTÄLJE</t>
        </is>
      </c>
      <c r="G949" t="n">
        <v>4</v>
      </c>
      <c r="H949" t="n">
        <v>0</v>
      </c>
      <c r="I949" t="n">
        <v>0</v>
      </c>
      <c r="J949" t="n">
        <v>0</v>
      </c>
      <c r="K949" t="n">
        <v>0</v>
      </c>
      <c r="L949" t="n">
        <v>0</v>
      </c>
      <c r="M949" t="n">
        <v>0</v>
      </c>
      <c r="N949" t="n">
        <v>0</v>
      </c>
      <c r="O949" t="n">
        <v>0</v>
      </c>
      <c r="P949" t="n">
        <v>0</v>
      </c>
      <c r="Q949" t="n">
        <v>0</v>
      </c>
      <c r="R949" s="2" t="inlineStr"/>
    </row>
    <row r="950" ht="15" customHeight="1">
      <c r="A950" t="inlineStr">
        <is>
          <t>A 49700-2023</t>
        </is>
      </c>
      <c r="B950" s="1" t="n">
        <v>45212</v>
      </c>
      <c r="C950" s="1" t="n">
        <v>46186</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32071-2023</t>
        </is>
      </c>
      <c r="B951" s="1" t="n">
        <v>45119.57728009259</v>
      </c>
      <c r="C951" s="1" t="n">
        <v>46186</v>
      </c>
      <c r="D951" t="inlineStr">
        <is>
          <t>STOCKHOLMS LÄN</t>
        </is>
      </c>
      <c r="E951" t="inlineStr">
        <is>
          <t>NORRTÄLJE</t>
        </is>
      </c>
      <c r="G951" t="n">
        <v>6.5</v>
      </c>
      <c r="H951" t="n">
        <v>0</v>
      </c>
      <c r="I951" t="n">
        <v>0</v>
      </c>
      <c r="J951" t="n">
        <v>0</v>
      </c>
      <c r="K951" t="n">
        <v>0</v>
      </c>
      <c r="L951" t="n">
        <v>0</v>
      </c>
      <c r="M951" t="n">
        <v>0</v>
      </c>
      <c r="N951" t="n">
        <v>0</v>
      </c>
      <c r="O951" t="n">
        <v>0</v>
      </c>
      <c r="P951" t="n">
        <v>0</v>
      </c>
      <c r="Q951" t="n">
        <v>0</v>
      </c>
      <c r="R951" s="2" t="inlineStr"/>
    </row>
    <row r="952" ht="15" customHeight="1">
      <c r="A952" t="inlineStr">
        <is>
          <t>A 1425-2025</t>
        </is>
      </c>
      <c r="B952" s="1" t="n">
        <v>45668.67446759259</v>
      </c>
      <c r="C952" s="1" t="n">
        <v>46186</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17775-2022</t>
        </is>
      </c>
      <c r="B953" s="1" t="n">
        <v>44682.78430555556</v>
      </c>
      <c r="C953" s="1" t="n">
        <v>46186</v>
      </c>
      <c r="D953" t="inlineStr">
        <is>
          <t>STOCKHOLMS LÄN</t>
        </is>
      </c>
      <c r="E953" t="inlineStr">
        <is>
          <t>NORRTÄLJE</t>
        </is>
      </c>
      <c r="G953" t="n">
        <v>4.7</v>
      </c>
      <c r="H953" t="n">
        <v>0</v>
      </c>
      <c r="I953" t="n">
        <v>0</v>
      </c>
      <c r="J953" t="n">
        <v>0</v>
      </c>
      <c r="K953" t="n">
        <v>0</v>
      </c>
      <c r="L953" t="n">
        <v>0</v>
      </c>
      <c r="M953" t="n">
        <v>0</v>
      </c>
      <c r="N953" t="n">
        <v>0</v>
      </c>
      <c r="O953" t="n">
        <v>0</v>
      </c>
      <c r="P953" t="n">
        <v>0</v>
      </c>
      <c r="Q953" t="n">
        <v>0</v>
      </c>
      <c r="R953" s="2" t="inlineStr"/>
    </row>
    <row r="954" ht="15" customHeight="1">
      <c r="A954" t="inlineStr">
        <is>
          <t>A 38720-2022</t>
        </is>
      </c>
      <c r="B954" s="1" t="n">
        <v>44815.74539351852</v>
      </c>
      <c r="C954" s="1" t="n">
        <v>46186</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10215-2023</t>
        </is>
      </c>
      <c r="B955" s="1" t="n">
        <v>44986.5887962963</v>
      </c>
      <c r="C955" s="1" t="n">
        <v>46186</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25609-2023</t>
        </is>
      </c>
      <c r="B956" s="1" t="n">
        <v>45089</v>
      </c>
      <c r="C956" s="1" t="n">
        <v>46186</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2287-2024</t>
        </is>
      </c>
      <c r="B957" s="1" t="n">
        <v>45310</v>
      </c>
      <c r="C957" s="1" t="n">
        <v>46186</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50469-2022</t>
        </is>
      </c>
      <c r="B958" s="1" t="n">
        <v>44866.49827546296</v>
      </c>
      <c r="C958" s="1" t="n">
        <v>46186</v>
      </c>
      <c r="D958" t="inlineStr">
        <is>
          <t>STOCKHOLMS LÄN</t>
        </is>
      </c>
      <c r="E958" t="inlineStr">
        <is>
          <t>NORRTÄLJE</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51116-2022</t>
        </is>
      </c>
      <c r="B959" s="1" t="n">
        <v>44868.45741898148</v>
      </c>
      <c r="C959" s="1" t="n">
        <v>46186</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60217-2021</t>
        </is>
      </c>
      <c r="B960" s="1" t="n">
        <v>44495.5893287037</v>
      </c>
      <c r="C960" s="1" t="n">
        <v>46186</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5839-2023</t>
        </is>
      </c>
      <c r="B961" s="1" t="n">
        <v>44963</v>
      </c>
      <c r="C961" s="1" t="n">
        <v>46186</v>
      </c>
      <c r="D961" t="inlineStr">
        <is>
          <t>STOCKHOLMS LÄN</t>
        </is>
      </c>
      <c r="E961" t="inlineStr">
        <is>
          <t>NORRTÄLJE</t>
        </is>
      </c>
      <c r="G961" t="n">
        <v>3.6</v>
      </c>
      <c r="H961" t="n">
        <v>0</v>
      </c>
      <c r="I961" t="n">
        <v>0</v>
      </c>
      <c r="J961" t="n">
        <v>0</v>
      </c>
      <c r="K961" t="n">
        <v>0</v>
      </c>
      <c r="L961" t="n">
        <v>0</v>
      </c>
      <c r="M961" t="n">
        <v>0</v>
      </c>
      <c r="N961" t="n">
        <v>0</v>
      </c>
      <c r="O961" t="n">
        <v>0</v>
      </c>
      <c r="P961" t="n">
        <v>0</v>
      </c>
      <c r="Q961" t="n">
        <v>0</v>
      </c>
      <c r="R961" s="2" t="inlineStr"/>
    </row>
    <row r="962" ht="15" customHeight="1">
      <c r="A962" t="inlineStr">
        <is>
          <t>A 38985-2022</t>
        </is>
      </c>
      <c r="B962" s="1" t="n">
        <v>44816</v>
      </c>
      <c r="C962" s="1" t="n">
        <v>46186</v>
      </c>
      <c r="D962" t="inlineStr">
        <is>
          <t>STOCKHOLMS LÄN</t>
        </is>
      </c>
      <c r="E962" t="inlineStr">
        <is>
          <t>NORRTÄLJE</t>
        </is>
      </c>
      <c r="G962" t="n">
        <v>10.1</v>
      </c>
      <c r="H962" t="n">
        <v>0</v>
      </c>
      <c r="I962" t="n">
        <v>0</v>
      </c>
      <c r="J962" t="n">
        <v>0</v>
      </c>
      <c r="K962" t="n">
        <v>0</v>
      </c>
      <c r="L962" t="n">
        <v>0</v>
      </c>
      <c r="M962" t="n">
        <v>0</v>
      </c>
      <c r="N962" t="n">
        <v>0</v>
      </c>
      <c r="O962" t="n">
        <v>0</v>
      </c>
      <c r="P962" t="n">
        <v>0</v>
      </c>
      <c r="Q962" t="n">
        <v>0</v>
      </c>
      <c r="R962" s="2" t="inlineStr"/>
    </row>
    <row r="963" ht="15" customHeight="1">
      <c r="A963" t="inlineStr">
        <is>
          <t>A 5665-2025</t>
        </is>
      </c>
      <c r="B963" s="1" t="n">
        <v>45693</v>
      </c>
      <c r="C963" s="1" t="n">
        <v>46186</v>
      </c>
      <c r="D963" t="inlineStr">
        <is>
          <t>STOCKHOLMS LÄN</t>
        </is>
      </c>
      <c r="E963" t="inlineStr">
        <is>
          <t>NORRTÄLJE</t>
        </is>
      </c>
      <c r="G963" t="n">
        <v>4</v>
      </c>
      <c r="H963" t="n">
        <v>0</v>
      </c>
      <c r="I963" t="n">
        <v>0</v>
      </c>
      <c r="J963" t="n">
        <v>0</v>
      </c>
      <c r="K963" t="n">
        <v>0</v>
      </c>
      <c r="L963" t="n">
        <v>0</v>
      </c>
      <c r="M963" t="n">
        <v>0</v>
      </c>
      <c r="N963" t="n">
        <v>0</v>
      </c>
      <c r="O963" t="n">
        <v>0</v>
      </c>
      <c r="P963" t="n">
        <v>0</v>
      </c>
      <c r="Q963" t="n">
        <v>0</v>
      </c>
      <c r="R963" s="2" t="inlineStr"/>
    </row>
    <row r="964" ht="15" customHeight="1">
      <c r="A964" t="inlineStr">
        <is>
          <t>A 40761-2024</t>
        </is>
      </c>
      <c r="B964" s="1" t="n">
        <v>45558.46283564815</v>
      </c>
      <c r="C964" s="1" t="n">
        <v>46186</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4553-2023</t>
        </is>
      </c>
      <c r="B965" s="1" t="n">
        <v>44956.65920138889</v>
      </c>
      <c r="C965" s="1" t="n">
        <v>46186</v>
      </c>
      <c r="D965" t="inlineStr">
        <is>
          <t>STOCKHOLMS LÄN</t>
        </is>
      </c>
      <c r="E965" t="inlineStr">
        <is>
          <t>NORRTÄLJE</t>
        </is>
      </c>
      <c r="G965" t="n">
        <v>7.5</v>
      </c>
      <c r="H965" t="n">
        <v>0</v>
      </c>
      <c r="I965" t="n">
        <v>0</v>
      </c>
      <c r="J965" t="n">
        <v>0</v>
      </c>
      <c r="K965" t="n">
        <v>0</v>
      </c>
      <c r="L965" t="n">
        <v>0</v>
      </c>
      <c r="M965" t="n">
        <v>0</v>
      </c>
      <c r="N965" t="n">
        <v>0</v>
      </c>
      <c r="O965" t="n">
        <v>0</v>
      </c>
      <c r="P965" t="n">
        <v>0</v>
      </c>
      <c r="Q965" t="n">
        <v>0</v>
      </c>
      <c r="R965" s="2" t="inlineStr"/>
    </row>
    <row r="966" ht="15" customHeight="1">
      <c r="A966" t="inlineStr">
        <is>
          <t>A 4593-2023</t>
        </is>
      </c>
      <c r="B966" s="1" t="n">
        <v>44956</v>
      </c>
      <c r="C966" s="1" t="n">
        <v>46186</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51978-2023</t>
        </is>
      </c>
      <c r="B967" s="1" t="n">
        <v>45223</v>
      </c>
      <c r="C967" s="1" t="n">
        <v>46186</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18092-2022</t>
        </is>
      </c>
      <c r="B968" s="1" t="n">
        <v>44684</v>
      </c>
      <c r="C968" s="1" t="n">
        <v>46186</v>
      </c>
      <c r="D968" t="inlineStr">
        <is>
          <t>STOCKHOLMS LÄN</t>
        </is>
      </c>
      <c r="E968" t="inlineStr">
        <is>
          <t>NORRTÄLJE</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59310-2023</t>
        </is>
      </c>
      <c r="B969" s="1" t="n">
        <v>45253.61146990741</v>
      </c>
      <c r="C969" s="1" t="n">
        <v>46186</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9329-2023</t>
        </is>
      </c>
      <c r="B970" s="1" t="n">
        <v>44980</v>
      </c>
      <c r="C970" s="1" t="n">
        <v>46186</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41335-2023</t>
        </is>
      </c>
      <c r="B971" s="1" t="n">
        <v>45174.68702546296</v>
      </c>
      <c r="C971" s="1" t="n">
        <v>46186</v>
      </c>
      <c r="D971" t="inlineStr">
        <is>
          <t>STOCKHOLMS LÄN</t>
        </is>
      </c>
      <c r="E971" t="inlineStr">
        <is>
          <t>NORRTÄLJE</t>
        </is>
      </c>
      <c r="F971" t="inlineStr">
        <is>
          <t>Holmen skog AB</t>
        </is>
      </c>
      <c r="G971" t="n">
        <v>4.4</v>
      </c>
      <c r="H971" t="n">
        <v>0</v>
      </c>
      <c r="I971" t="n">
        <v>0</v>
      </c>
      <c r="J971" t="n">
        <v>0</v>
      </c>
      <c r="K971" t="n">
        <v>0</v>
      </c>
      <c r="L971" t="n">
        <v>0</v>
      </c>
      <c r="M971" t="n">
        <v>0</v>
      </c>
      <c r="N971" t="n">
        <v>0</v>
      </c>
      <c r="O971" t="n">
        <v>0</v>
      </c>
      <c r="P971" t="n">
        <v>0</v>
      </c>
      <c r="Q971" t="n">
        <v>0</v>
      </c>
      <c r="R971" s="2" t="inlineStr"/>
    </row>
    <row r="972" ht="15" customHeight="1">
      <c r="A972" t="inlineStr">
        <is>
          <t>A 33040-2021</t>
        </is>
      </c>
      <c r="B972" s="1" t="n">
        <v>44376.50728009259</v>
      </c>
      <c r="C972" s="1" t="n">
        <v>46186</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33053-2021</t>
        </is>
      </c>
      <c r="B973" s="1" t="n">
        <v>44376</v>
      </c>
      <c r="C973" s="1" t="n">
        <v>46186</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43150-2023</t>
        </is>
      </c>
      <c r="B974" s="1" t="n">
        <v>45183</v>
      </c>
      <c r="C974" s="1" t="n">
        <v>46186</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54259-2023</t>
        </is>
      </c>
      <c r="B975" s="1" t="n">
        <v>45232</v>
      </c>
      <c r="C975" s="1" t="n">
        <v>46186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27381-2024</t>
        </is>
      </c>
      <c r="B976" s="1" t="n">
        <v>45473.94501157408</v>
      </c>
      <c r="C976" s="1" t="n">
        <v>46186</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23265-2023</t>
        </is>
      </c>
      <c r="B977" s="1" t="n">
        <v>45075.90703703704</v>
      </c>
      <c r="C977" s="1" t="n">
        <v>46186</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26117-2024</t>
        </is>
      </c>
      <c r="B978" s="1" t="n">
        <v>45468.45877314815</v>
      </c>
      <c r="C978" s="1" t="n">
        <v>46186</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1847-2023</t>
        </is>
      </c>
      <c r="B979" s="1" t="n">
        <v>44938</v>
      </c>
      <c r="C979" s="1" t="n">
        <v>46186</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37010-2022</t>
        </is>
      </c>
      <c r="B980" s="1" t="n">
        <v>44806.41576388889</v>
      </c>
      <c r="C980" s="1" t="n">
        <v>46186</v>
      </c>
      <c r="D980" t="inlineStr">
        <is>
          <t>STOCKHOLMS LÄN</t>
        </is>
      </c>
      <c r="E980" t="inlineStr">
        <is>
          <t>NORRTÄLJE</t>
        </is>
      </c>
      <c r="G980" t="n">
        <v>2.7</v>
      </c>
      <c r="H980" t="n">
        <v>0</v>
      </c>
      <c r="I980" t="n">
        <v>0</v>
      </c>
      <c r="J980" t="n">
        <v>0</v>
      </c>
      <c r="K980" t="n">
        <v>0</v>
      </c>
      <c r="L980" t="n">
        <v>0</v>
      </c>
      <c r="M980" t="n">
        <v>0</v>
      </c>
      <c r="N980" t="n">
        <v>0</v>
      </c>
      <c r="O980" t="n">
        <v>0</v>
      </c>
      <c r="P980" t="n">
        <v>0</v>
      </c>
      <c r="Q980" t="n">
        <v>0</v>
      </c>
      <c r="R980" s="2" t="inlineStr"/>
    </row>
    <row r="981" ht="15" customHeight="1">
      <c r="A981" t="inlineStr">
        <is>
          <t>A 951-2023</t>
        </is>
      </c>
      <c r="B981" s="1" t="n">
        <v>44934</v>
      </c>
      <c r="C981" s="1" t="n">
        <v>46186</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12629-2024</t>
        </is>
      </c>
      <c r="B982" s="1" t="n">
        <v>45383</v>
      </c>
      <c r="C982" s="1" t="n">
        <v>46186</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35708-2022</t>
        </is>
      </c>
      <c r="B983" s="1" t="n">
        <v>44799.65013888889</v>
      </c>
      <c r="C983" s="1" t="n">
        <v>46186</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21731-2023</t>
        </is>
      </c>
      <c r="B984" s="1" t="n">
        <v>45063</v>
      </c>
      <c r="C984" s="1" t="n">
        <v>46186</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23266-2023</t>
        </is>
      </c>
      <c r="B985" s="1" t="n">
        <v>45075.90817129629</v>
      </c>
      <c r="C985" s="1" t="n">
        <v>46186</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58260-2023</t>
        </is>
      </c>
      <c r="B986" s="1" t="n">
        <v>45245</v>
      </c>
      <c r="C986" s="1" t="n">
        <v>46186</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58261-2023</t>
        </is>
      </c>
      <c r="B987" s="1" t="n">
        <v>45245</v>
      </c>
      <c r="C987" s="1" t="n">
        <v>46186</v>
      </c>
      <c r="D987" t="inlineStr">
        <is>
          <t>STOCKHOLMS LÄN</t>
        </is>
      </c>
      <c r="E987" t="inlineStr">
        <is>
          <t>NORRTÄLJE</t>
        </is>
      </c>
      <c r="G987" t="n">
        <v>53.5</v>
      </c>
      <c r="H987" t="n">
        <v>0</v>
      </c>
      <c r="I987" t="n">
        <v>0</v>
      </c>
      <c r="J987" t="n">
        <v>0</v>
      </c>
      <c r="K987" t="n">
        <v>0</v>
      </c>
      <c r="L987" t="n">
        <v>0</v>
      </c>
      <c r="M987" t="n">
        <v>0</v>
      </c>
      <c r="N987" t="n">
        <v>0</v>
      </c>
      <c r="O987" t="n">
        <v>0</v>
      </c>
      <c r="P987" t="n">
        <v>0</v>
      </c>
      <c r="Q987" t="n">
        <v>0</v>
      </c>
      <c r="R987" s="2" t="inlineStr"/>
    </row>
    <row r="988" ht="15" customHeight="1">
      <c r="A988" t="inlineStr">
        <is>
          <t>A 29266-2022</t>
        </is>
      </c>
      <c r="B988" s="1" t="n">
        <v>44750.66068287037</v>
      </c>
      <c r="C988" s="1" t="n">
        <v>46186</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29278-2022</t>
        </is>
      </c>
      <c r="B989" s="1" t="n">
        <v>44750</v>
      </c>
      <c r="C989" s="1" t="n">
        <v>46186</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23060-2023</t>
        </is>
      </c>
      <c r="B990" s="1" t="n">
        <v>45075</v>
      </c>
      <c r="C990" s="1" t="n">
        <v>46186</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32103-2022</t>
        </is>
      </c>
      <c r="B991" s="1" t="n">
        <v>44778</v>
      </c>
      <c r="C991" s="1" t="n">
        <v>46186</v>
      </c>
      <c r="D991" t="inlineStr">
        <is>
          <t>STOCKHOLMS LÄN</t>
        </is>
      </c>
      <c r="E991" t="inlineStr">
        <is>
          <t>NORRTÄLJE</t>
        </is>
      </c>
      <c r="G991" t="n">
        <v>3.4</v>
      </c>
      <c r="H991" t="n">
        <v>0</v>
      </c>
      <c r="I991" t="n">
        <v>0</v>
      </c>
      <c r="J991" t="n">
        <v>0</v>
      </c>
      <c r="K991" t="n">
        <v>0</v>
      </c>
      <c r="L991" t="n">
        <v>0</v>
      </c>
      <c r="M991" t="n">
        <v>0</v>
      </c>
      <c r="N991" t="n">
        <v>0</v>
      </c>
      <c r="O991" t="n">
        <v>0</v>
      </c>
      <c r="P991" t="n">
        <v>0</v>
      </c>
      <c r="Q991" t="n">
        <v>0</v>
      </c>
      <c r="R991" s="2" t="inlineStr"/>
    </row>
    <row r="992" ht="15" customHeight="1">
      <c r="A992" t="inlineStr">
        <is>
          <t>A 6401-2024</t>
        </is>
      </c>
      <c r="B992" s="1" t="n">
        <v>45338</v>
      </c>
      <c r="C992" s="1" t="n">
        <v>46186</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59504-2023</t>
        </is>
      </c>
      <c r="B993" s="1" t="n">
        <v>45254</v>
      </c>
      <c r="C993" s="1" t="n">
        <v>46186</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52321-2024</t>
        </is>
      </c>
      <c r="B994" s="1" t="n">
        <v>45608</v>
      </c>
      <c r="C994" s="1" t="n">
        <v>46186</v>
      </c>
      <c r="D994" t="inlineStr">
        <is>
          <t>STOCKHOLMS LÄN</t>
        </is>
      </c>
      <c r="E994" t="inlineStr">
        <is>
          <t>NORRTÄLJE</t>
        </is>
      </c>
      <c r="G994" t="n">
        <v>18.1</v>
      </c>
      <c r="H994" t="n">
        <v>0</v>
      </c>
      <c r="I994" t="n">
        <v>0</v>
      </c>
      <c r="J994" t="n">
        <v>0</v>
      </c>
      <c r="K994" t="n">
        <v>0</v>
      </c>
      <c r="L994" t="n">
        <v>0</v>
      </c>
      <c r="M994" t="n">
        <v>0</v>
      </c>
      <c r="N994" t="n">
        <v>0</v>
      </c>
      <c r="O994" t="n">
        <v>0</v>
      </c>
      <c r="P994" t="n">
        <v>0</v>
      </c>
      <c r="Q994" t="n">
        <v>0</v>
      </c>
      <c r="R994" s="2" t="inlineStr"/>
    </row>
    <row r="995" ht="15" customHeight="1">
      <c r="A995" t="inlineStr">
        <is>
          <t>A 20370-2025</t>
        </is>
      </c>
      <c r="B995" s="1" t="n">
        <v>45775.41451388889</v>
      </c>
      <c r="C995" s="1" t="n">
        <v>46186</v>
      </c>
      <c r="D995" t="inlineStr">
        <is>
          <t>STOCKHOLMS LÄN</t>
        </is>
      </c>
      <c r="E995" t="inlineStr">
        <is>
          <t>NORRTÄLJE</t>
        </is>
      </c>
      <c r="G995" t="n">
        <v>2.9</v>
      </c>
      <c r="H995" t="n">
        <v>0</v>
      </c>
      <c r="I995" t="n">
        <v>0</v>
      </c>
      <c r="J995" t="n">
        <v>0</v>
      </c>
      <c r="K995" t="n">
        <v>0</v>
      </c>
      <c r="L995" t="n">
        <v>0</v>
      </c>
      <c r="M995" t="n">
        <v>0</v>
      </c>
      <c r="N995" t="n">
        <v>0</v>
      </c>
      <c r="O995" t="n">
        <v>0</v>
      </c>
      <c r="P995" t="n">
        <v>0</v>
      </c>
      <c r="Q995" t="n">
        <v>0</v>
      </c>
      <c r="R995" s="2" t="inlineStr"/>
    </row>
    <row r="996" ht="15" customHeight="1">
      <c r="A996" t="inlineStr">
        <is>
          <t>A 19580-2022</t>
        </is>
      </c>
      <c r="B996" s="1" t="n">
        <v>44693</v>
      </c>
      <c r="C996" s="1" t="n">
        <v>46186</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30731-2023</t>
        </is>
      </c>
      <c r="B997" s="1" t="n">
        <v>45112</v>
      </c>
      <c r="C997" s="1" t="n">
        <v>46186</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4580-2025</t>
        </is>
      </c>
      <c r="B998" s="1" t="n">
        <v>45687.5038425926</v>
      </c>
      <c r="C998" s="1" t="n">
        <v>46186</v>
      </c>
      <c r="D998" t="inlineStr">
        <is>
          <t>STOCKHOLMS LÄN</t>
        </is>
      </c>
      <c r="E998" t="inlineStr">
        <is>
          <t>NORRTÄLJE</t>
        </is>
      </c>
      <c r="F998" t="inlineStr">
        <is>
          <t>Holmen skog AB</t>
        </is>
      </c>
      <c r="G998" t="n">
        <v>4.8</v>
      </c>
      <c r="H998" t="n">
        <v>0</v>
      </c>
      <c r="I998" t="n">
        <v>0</v>
      </c>
      <c r="J998" t="n">
        <v>0</v>
      </c>
      <c r="K998" t="n">
        <v>0</v>
      </c>
      <c r="L998" t="n">
        <v>0</v>
      </c>
      <c r="M998" t="n">
        <v>0</v>
      </c>
      <c r="N998" t="n">
        <v>0</v>
      </c>
      <c r="O998" t="n">
        <v>0</v>
      </c>
      <c r="P998" t="n">
        <v>0</v>
      </c>
      <c r="Q998" t="n">
        <v>0</v>
      </c>
      <c r="R998" s="2" t="inlineStr"/>
    </row>
    <row r="999" ht="15" customHeight="1">
      <c r="A999" t="inlineStr">
        <is>
          <t>A 31057-2022</t>
        </is>
      </c>
      <c r="B999" s="1" t="n">
        <v>44769</v>
      </c>
      <c r="C999" s="1" t="n">
        <v>46186</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31140-2023</t>
        </is>
      </c>
      <c r="B1000" s="1" t="n">
        <v>45113</v>
      </c>
      <c r="C1000" s="1" t="n">
        <v>46186</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31149-2023</t>
        </is>
      </c>
      <c r="B1001" s="1" t="n">
        <v>45113</v>
      </c>
      <c r="C1001" s="1" t="n">
        <v>46186</v>
      </c>
      <c r="D1001" t="inlineStr">
        <is>
          <t>STOCKHOLMS LÄN</t>
        </is>
      </c>
      <c r="E1001" t="inlineStr">
        <is>
          <t>NORRTÄLJE</t>
        </is>
      </c>
      <c r="G1001" t="n">
        <v>7.1</v>
      </c>
      <c r="H1001" t="n">
        <v>0</v>
      </c>
      <c r="I1001" t="n">
        <v>0</v>
      </c>
      <c r="J1001" t="n">
        <v>0</v>
      </c>
      <c r="K1001" t="n">
        <v>0</v>
      </c>
      <c r="L1001" t="n">
        <v>0</v>
      </c>
      <c r="M1001" t="n">
        <v>0</v>
      </c>
      <c r="N1001" t="n">
        <v>0</v>
      </c>
      <c r="O1001" t="n">
        <v>0</v>
      </c>
      <c r="P1001" t="n">
        <v>0</v>
      </c>
      <c r="Q1001" t="n">
        <v>0</v>
      </c>
      <c r="R1001" s="2" t="inlineStr"/>
    </row>
    <row r="1002">
      <c r="A1002" t="inlineStr">
        <is>
          <t>A 4658-2024</t>
        </is>
      </c>
      <c r="B1002" s="1" t="n">
        <v>45328.46336805556</v>
      </c>
      <c r="C1002" s="1" t="n">
        <v>46186</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2026-06-13T09:22:35Z</dcterms:created>
  <dcterms:modified xmlns:dcterms="http://purl.org/dc/terms/" xmlns:xsi="http://www.w3.org/2001/XMLSchema-instance" xsi:type="dcterms:W3CDTF">2026-06-13T09:22:36Z</dcterms:modified>
</cp:coreProperties>
</file>