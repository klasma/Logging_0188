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46083</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46083</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46083</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46083</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46083</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56024-2025</t>
        </is>
      </c>
      <c r="B12" s="1" t="n">
        <v>45973</v>
      </c>
      <c r="C12" s="1" t="n">
        <v>46083</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21837-2025</t>
        </is>
      </c>
      <c r="B13" s="1" t="n">
        <v>45784.32179398148</v>
      </c>
      <c r="C13" s="1" t="n">
        <v>46083</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46083</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46083</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46083</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46083</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11231-2021</t>
        </is>
      </c>
      <c r="B20" s="1" t="n">
        <v>44263</v>
      </c>
      <c r="C20" s="1" t="n">
        <v>46083</v>
      </c>
      <c r="D20" t="inlineStr">
        <is>
          <t>STOCKHOLMS LÄN</t>
        </is>
      </c>
      <c r="E20" t="inlineStr">
        <is>
          <t>NORRTÄLJE</t>
        </is>
      </c>
      <c r="F20" t="inlineStr">
        <is>
          <t>Holmen skog AB</t>
        </is>
      </c>
      <c r="G20" t="n">
        <v>12</v>
      </c>
      <c r="H20" t="n">
        <v>7</v>
      </c>
      <c r="I20" t="n">
        <v>2</v>
      </c>
      <c r="J20" t="n">
        <v>5</v>
      </c>
      <c r="K20" t="n">
        <v>0</v>
      </c>
      <c r="L20" t="n">
        <v>2</v>
      </c>
      <c r="M20" t="n">
        <v>0</v>
      </c>
      <c r="N20" t="n">
        <v>0</v>
      </c>
      <c r="O20" t="n">
        <v>7</v>
      </c>
      <c r="P20" t="n">
        <v>2</v>
      </c>
      <c r="Q20" t="n">
        <v>11</v>
      </c>
      <c r="R20" s="2" t="inlineStr">
        <is>
          <t>Grönfink
Tornseglare
Fiskmås
Havsörn
Motaggsvamp
Talltita
Vedskivlav
Björksplintborre
Dropptaggsvamp
Tjäder
Törnskata</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3472-2023</t>
        </is>
      </c>
      <c r="B21" s="1" t="n">
        <v>44949</v>
      </c>
      <c r="C21" s="1" t="n">
        <v>46083</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46083</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46083</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46083</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46083</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46083</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46083</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46083</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46083</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46083</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Leptoporus erubescens
Spillkråka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46083</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46083</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46083</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46083</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46083</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46083</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46083</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46083</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46083</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46083</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46083</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46083</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46083</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46083</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46083</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46083</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46083</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46083</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46083</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46083</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46083</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46083</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46083</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46083</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46083</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46083</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46083</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46083</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46083</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29185-2025</t>
        </is>
      </c>
      <c r="B60" s="1" t="n">
        <v>45821</v>
      </c>
      <c r="C60" s="1" t="n">
        <v>46083</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46083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46083</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46083</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46083</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46083</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46083</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46083</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46083</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46083</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46083</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46083</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46083</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46083</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46083</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46083</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46083</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46083</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46083</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22190-2024</t>
        </is>
      </c>
      <c r="B79" s="1" t="n">
        <v>45446.35888888889</v>
      </c>
      <c r="C79" s="1" t="n">
        <v>46083</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46083</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50697-2025</t>
        </is>
      </c>
      <c r="B81" s="1" t="n">
        <v>45945.90854166666</v>
      </c>
      <c r="C81" s="1" t="n">
        <v>46083</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52360-2024</t>
        </is>
      </c>
      <c r="B82" s="1" t="n">
        <v>45609.37094907407</v>
      </c>
      <c r="C82" s="1" t="n">
        <v>46083</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53608-2025</t>
        </is>
      </c>
      <c r="B83" s="1" t="n">
        <v>45960</v>
      </c>
      <c r="C83" s="1" t="n">
        <v>46083</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46083</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46083</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46083</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46083</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46083</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46083</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46083</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46083</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46083</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46083</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46083</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46083</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25669-2025</t>
        </is>
      </c>
      <c r="B96" s="1" t="n">
        <v>45803.62766203703</v>
      </c>
      <c r="C96" s="1" t="n">
        <v>46083</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13291-2025</t>
        </is>
      </c>
      <c r="B97" s="1" t="n">
        <v>45735</v>
      </c>
      <c r="C97" s="1" t="n">
        <v>46083</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6381-2023</t>
        </is>
      </c>
      <c r="B98" s="1" t="n">
        <v>44965</v>
      </c>
      <c r="C98" s="1" t="n">
        <v>46083</v>
      </c>
      <c r="D98" t="inlineStr">
        <is>
          <t>STOCKHOLMS LÄN</t>
        </is>
      </c>
      <c r="E98" t="inlineStr">
        <is>
          <t>NORRTÄLJE</t>
        </is>
      </c>
      <c r="G98" t="n">
        <v>3.5</v>
      </c>
      <c r="H98" t="n">
        <v>1</v>
      </c>
      <c r="I98" t="n">
        <v>1</v>
      </c>
      <c r="J98" t="n">
        <v>0</v>
      </c>
      <c r="K98" t="n">
        <v>0</v>
      </c>
      <c r="L98" t="n">
        <v>0</v>
      </c>
      <c r="M98" t="n">
        <v>0</v>
      </c>
      <c r="N98" t="n">
        <v>0</v>
      </c>
      <c r="O98" t="n">
        <v>0</v>
      </c>
      <c r="P98" t="n">
        <v>0</v>
      </c>
      <c r="Q98" t="n">
        <v>1</v>
      </c>
      <c r="R98" s="2" t="inlineStr">
        <is>
          <t>Guckusko</t>
        </is>
      </c>
      <c r="S98">
        <f>HYPERLINK("https://klasma.github.io/Logging_0188/artfynd/A 6381-2023 artfynd.xlsx", "A 6381-2023")</f>
        <v/>
      </c>
      <c r="T98">
        <f>HYPERLINK("https://klasma.github.io/Logging_0188/kartor/A 6381-2023 karta.png", "A 6381-2023")</f>
        <v/>
      </c>
      <c r="V98">
        <f>HYPERLINK("https://klasma.github.io/Logging_0188/klagomål/A 6381-2023 FSC-klagomål.docx", "A 6381-2023")</f>
        <v/>
      </c>
      <c r="W98">
        <f>HYPERLINK("https://klasma.github.io/Logging_0188/klagomålsmail/A 6381-2023 FSC-klagomål mail.docx", "A 6381-2023")</f>
        <v/>
      </c>
      <c r="X98">
        <f>HYPERLINK("https://klasma.github.io/Logging_0188/tillsyn/A 6381-2023 tillsynsbegäran.docx", "A 6381-2023")</f>
        <v/>
      </c>
      <c r="Y98">
        <f>HYPERLINK("https://klasma.github.io/Logging_0188/tillsynsmail/A 6381-2023 tillsynsbegäran mail.docx", "A 6381-2023")</f>
        <v/>
      </c>
    </row>
    <row r="99" ht="15" customHeight="1">
      <c r="A99" t="inlineStr">
        <is>
          <t>A 29946-2025</t>
        </is>
      </c>
      <c r="B99" s="1" t="n">
        <v>45826.46392361111</v>
      </c>
      <c r="C99" s="1" t="n">
        <v>46083</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46083</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46083</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46083</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58888-2021</t>
        </is>
      </c>
      <c r="B103" s="1" t="n">
        <v>44489</v>
      </c>
      <c r="C103" s="1" t="n">
        <v>46083</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46083</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21744-2023</t>
        </is>
      </c>
      <c r="B105" s="1" t="n">
        <v>45065</v>
      </c>
      <c r="C105" s="1" t="n">
        <v>46083</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8371-2025</t>
        </is>
      </c>
      <c r="B106" s="1" t="n">
        <v>45708</v>
      </c>
      <c r="C106" s="1" t="n">
        <v>46083</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23146-2024</t>
        </is>
      </c>
      <c r="B107" s="1" t="n">
        <v>45450.63958333333</v>
      </c>
      <c r="C107" s="1" t="n">
        <v>46083</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39158-2025</t>
        </is>
      </c>
      <c r="B108" s="1" t="n">
        <v>45888</v>
      </c>
      <c r="C108" s="1" t="n">
        <v>46083</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27538-2024</t>
        </is>
      </c>
      <c r="B109" s="1" t="n">
        <v>45474</v>
      </c>
      <c r="C109" s="1" t="n">
        <v>46083</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4385-2023</t>
        </is>
      </c>
      <c r="B110" s="1" t="n">
        <v>44955.71322916666</v>
      </c>
      <c r="C110" s="1" t="n">
        <v>46083</v>
      </c>
      <c r="D110" t="inlineStr">
        <is>
          <t>STOCKHOLMS LÄN</t>
        </is>
      </c>
      <c r="E110" t="inlineStr">
        <is>
          <t>NORRTÄLJE</t>
        </is>
      </c>
      <c r="G110" t="n">
        <v>7.8</v>
      </c>
      <c r="H110" t="n">
        <v>1</v>
      </c>
      <c r="I110" t="n">
        <v>1</v>
      </c>
      <c r="J110" t="n">
        <v>0</v>
      </c>
      <c r="K110" t="n">
        <v>0</v>
      </c>
      <c r="L110" t="n">
        <v>0</v>
      </c>
      <c r="M110" t="n">
        <v>0</v>
      </c>
      <c r="N110" t="n">
        <v>0</v>
      </c>
      <c r="O110" t="n">
        <v>0</v>
      </c>
      <c r="P110" t="n">
        <v>0</v>
      </c>
      <c r="Q110" t="n">
        <v>1</v>
      </c>
      <c r="R110" s="2" t="inlineStr">
        <is>
          <t>Skogsknipprot</t>
        </is>
      </c>
      <c r="S110">
        <f>HYPERLINK("https://klasma.github.io/Logging_0188/artfynd/A 4385-2023 artfynd.xlsx", "A 4385-2023")</f>
        <v/>
      </c>
      <c r="T110">
        <f>HYPERLINK("https://klasma.github.io/Logging_0188/kartor/A 4385-2023 karta.png", "A 4385-2023")</f>
        <v/>
      </c>
      <c r="V110">
        <f>HYPERLINK("https://klasma.github.io/Logging_0188/klagomål/A 4385-2023 FSC-klagomål.docx", "A 4385-2023")</f>
        <v/>
      </c>
      <c r="W110">
        <f>HYPERLINK("https://klasma.github.io/Logging_0188/klagomålsmail/A 4385-2023 FSC-klagomål mail.docx", "A 4385-2023")</f>
        <v/>
      </c>
      <c r="X110">
        <f>HYPERLINK("https://klasma.github.io/Logging_0188/tillsyn/A 4385-2023 tillsynsbegäran.docx", "A 4385-2023")</f>
        <v/>
      </c>
      <c r="Y110">
        <f>HYPERLINK("https://klasma.github.io/Logging_0188/tillsynsmail/A 4385-2023 tillsynsbegäran mail.docx", "A 4385-2023")</f>
        <v/>
      </c>
    </row>
    <row r="111" ht="15" customHeight="1">
      <c r="A111" t="inlineStr">
        <is>
          <t>A 24330-2023</t>
        </is>
      </c>
      <c r="B111" s="1" t="n">
        <v>45081</v>
      </c>
      <c r="C111" s="1" t="n">
        <v>46083</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24535-2023</t>
        </is>
      </c>
      <c r="B112" s="1" t="n">
        <v>45082</v>
      </c>
      <c r="C112" s="1" t="n">
        <v>46083</v>
      </c>
      <c r="D112" t="inlineStr">
        <is>
          <t>STOCKHOLMS LÄN</t>
        </is>
      </c>
      <c r="E112" t="inlineStr">
        <is>
          <t>NORRTÄLJE</t>
        </is>
      </c>
      <c r="F112" t="inlineStr">
        <is>
          <t>Kommuner</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HYPERLINK("https://klasma.github.io/Logging_0188/artfynd/A 24535-2023 artfynd.xlsx", "A 24535-2023")</f>
        <v/>
      </c>
      <c r="T112">
        <f>HYPERLINK("https://klasma.github.io/Logging_0188/kartor/A 24535-2023 karta.png", "A 24535-2023")</f>
        <v/>
      </c>
      <c r="V112">
        <f>HYPERLINK("https://klasma.github.io/Logging_0188/klagomål/A 24535-2023 FSC-klagomål.docx", "A 24535-2023")</f>
        <v/>
      </c>
      <c r="W112">
        <f>HYPERLINK("https://klasma.github.io/Logging_0188/klagomålsmail/A 24535-2023 FSC-klagomål mail.docx", "A 24535-2023")</f>
        <v/>
      </c>
      <c r="X112">
        <f>HYPERLINK("https://klasma.github.io/Logging_0188/tillsyn/A 24535-2023 tillsynsbegäran.docx", "A 24535-2023")</f>
        <v/>
      </c>
      <c r="Y112">
        <f>HYPERLINK("https://klasma.github.io/Logging_0188/tillsynsmail/A 24535-2023 tillsynsbegäran mail.docx", "A 24535-2023")</f>
        <v/>
      </c>
    </row>
    <row r="113" ht="15" customHeight="1">
      <c r="A113" t="inlineStr">
        <is>
          <t>A 26635-2023</t>
        </is>
      </c>
      <c r="B113" s="1" t="n">
        <v>45092</v>
      </c>
      <c r="C113" s="1" t="n">
        <v>46083</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28816-2023</t>
        </is>
      </c>
      <c r="B114" s="1" t="n">
        <v>45104</v>
      </c>
      <c r="C114" s="1" t="n">
        <v>46083</v>
      </c>
      <c r="D114" t="inlineStr">
        <is>
          <t>STOCKHOLMS LÄN</t>
        </is>
      </c>
      <c r="E114" t="inlineStr">
        <is>
          <t>NORRTÄLJE</t>
        </is>
      </c>
      <c r="F114" t="inlineStr">
        <is>
          <t>Kommuner</t>
        </is>
      </c>
      <c r="G114" t="n">
        <v>0.5</v>
      </c>
      <c r="H114" t="n">
        <v>1</v>
      </c>
      <c r="I114" t="n">
        <v>0</v>
      </c>
      <c r="J114" t="n">
        <v>0</v>
      </c>
      <c r="K114" t="n">
        <v>0</v>
      </c>
      <c r="L114" t="n">
        <v>0</v>
      </c>
      <c r="M114" t="n">
        <v>0</v>
      </c>
      <c r="N114" t="n">
        <v>0</v>
      </c>
      <c r="O114" t="n">
        <v>0</v>
      </c>
      <c r="P114" t="n">
        <v>0</v>
      </c>
      <c r="Q114" t="n">
        <v>1</v>
      </c>
      <c r="R114" s="2" t="inlineStr">
        <is>
          <t>Kungsfågel</t>
        </is>
      </c>
      <c r="S114">
        <f>HYPERLINK("https://klasma.github.io/Logging_0188/artfynd/A 28816-2023 artfynd.xlsx", "A 28816-2023")</f>
        <v/>
      </c>
      <c r="T114">
        <f>HYPERLINK("https://klasma.github.io/Logging_0188/kartor/A 28816-2023 karta.png", "A 28816-2023")</f>
        <v/>
      </c>
      <c r="V114">
        <f>HYPERLINK("https://klasma.github.io/Logging_0188/klagomål/A 28816-2023 FSC-klagomål.docx", "A 28816-2023")</f>
        <v/>
      </c>
      <c r="W114">
        <f>HYPERLINK("https://klasma.github.io/Logging_0188/klagomålsmail/A 28816-2023 FSC-klagomål mail.docx", "A 28816-2023")</f>
        <v/>
      </c>
      <c r="X114">
        <f>HYPERLINK("https://klasma.github.io/Logging_0188/tillsyn/A 28816-2023 tillsynsbegäran.docx", "A 28816-2023")</f>
        <v/>
      </c>
      <c r="Y114">
        <f>HYPERLINK("https://klasma.github.io/Logging_0188/tillsynsmail/A 28816-2023 tillsynsbegäran mail.docx", "A 28816-2023")</f>
        <v/>
      </c>
      <c r="Z114">
        <f>HYPERLINK("https://klasma.github.io/Logging_0188/fåglar/A 28816-2023 prioriterade fågelarter.docx", "A 28816-2023")</f>
        <v/>
      </c>
    </row>
    <row r="115" ht="15" customHeight="1">
      <c r="A115" t="inlineStr">
        <is>
          <t>A 19829-2022</t>
        </is>
      </c>
      <c r="B115" s="1" t="n">
        <v>44695.43527777777</v>
      </c>
      <c r="C115" s="1" t="n">
        <v>46083</v>
      </c>
      <c r="D115" t="inlineStr">
        <is>
          <t>STOCKHOLMS LÄN</t>
        </is>
      </c>
      <c r="E115" t="inlineStr">
        <is>
          <t>NORRTÄLJE</t>
        </is>
      </c>
      <c r="G115" t="n">
        <v>2</v>
      </c>
      <c r="H115" t="n">
        <v>1</v>
      </c>
      <c r="I115" t="n">
        <v>1</v>
      </c>
      <c r="J115" t="n">
        <v>0</v>
      </c>
      <c r="K115" t="n">
        <v>0</v>
      </c>
      <c r="L115" t="n">
        <v>0</v>
      </c>
      <c r="M115" t="n">
        <v>0</v>
      </c>
      <c r="N115" t="n">
        <v>0</v>
      </c>
      <c r="O115" t="n">
        <v>0</v>
      </c>
      <c r="P115" t="n">
        <v>0</v>
      </c>
      <c r="Q115" t="n">
        <v>1</v>
      </c>
      <c r="R115" s="2" t="inlineStr">
        <is>
          <t>Guckusko</t>
        </is>
      </c>
      <c r="S115">
        <f>HYPERLINK("https://klasma.github.io/Logging_0188/artfynd/A 19829-2022 artfynd.xlsx", "A 19829-2022")</f>
        <v/>
      </c>
      <c r="T115">
        <f>HYPERLINK("https://klasma.github.io/Logging_0188/kartor/A 19829-2022 karta.png", "A 19829-2022")</f>
        <v/>
      </c>
      <c r="V115">
        <f>HYPERLINK("https://klasma.github.io/Logging_0188/klagomål/A 19829-2022 FSC-klagomål.docx", "A 19829-2022")</f>
        <v/>
      </c>
      <c r="W115">
        <f>HYPERLINK("https://klasma.github.io/Logging_0188/klagomålsmail/A 19829-2022 FSC-klagomål mail.docx", "A 19829-2022")</f>
        <v/>
      </c>
      <c r="X115">
        <f>HYPERLINK("https://klasma.github.io/Logging_0188/tillsyn/A 19829-2022 tillsynsbegäran.docx", "A 19829-2022")</f>
        <v/>
      </c>
      <c r="Y115">
        <f>HYPERLINK("https://klasma.github.io/Logging_0188/tillsynsmail/A 19829-2022 tillsynsbegäran mail.docx", "A 19829-2022")</f>
        <v/>
      </c>
    </row>
    <row r="116" ht="15" customHeight="1">
      <c r="A116" t="inlineStr">
        <is>
          <t>A 52775-2025</t>
        </is>
      </c>
      <c r="B116" s="1" t="n">
        <v>45957.41608796296</v>
      </c>
      <c r="C116" s="1" t="n">
        <v>46083</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46083</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35691-2023</t>
        </is>
      </c>
      <c r="B118" s="1" t="n">
        <v>45147.65222222222</v>
      </c>
      <c r="C118" s="1" t="n">
        <v>46083</v>
      </c>
      <c r="D118" t="inlineStr">
        <is>
          <t>STOCKHOLMS LÄN</t>
        </is>
      </c>
      <c r="E118" t="inlineStr">
        <is>
          <t>NORRTÄLJE</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HYPERLINK("https://klasma.github.io/Logging_0188/artfynd/A 35691-2023 artfynd.xlsx", "A 35691-2023")</f>
        <v/>
      </c>
      <c r="T118">
        <f>HYPERLINK("https://klasma.github.io/Logging_0188/kartor/A 35691-2023 karta.png", "A 35691-2023")</f>
        <v/>
      </c>
      <c r="V118">
        <f>HYPERLINK("https://klasma.github.io/Logging_0188/klagomål/A 35691-2023 FSC-klagomål.docx", "A 35691-2023")</f>
        <v/>
      </c>
      <c r="W118">
        <f>HYPERLINK("https://klasma.github.io/Logging_0188/klagomålsmail/A 35691-2023 FSC-klagomål mail.docx", "A 35691-2023")</f>
        <v/>
      </c>
      <c r="X118">
        <f>HYPERLINK("https://klasma.github.io/Logging_0188/tillsyn/A 35691-2023 tillsynsbegäran.docx", "A 35691-2023")</f>
        <v/>
      </c>
      <c r="Y118">
        <f>HYPERLINK("https://klasma.github.io/Logging_0188/tillsynsmail/A 35691-2023 tillsynsbegäran mail.docx", "A 35691-2023")</f>
        <v/>
      </c>
      <c r="Z118">
        <f>HYPERLINK("https://klasma.github.io/Logging_0188/fåglar/A 35691-2023 prioriterade fågelarter.docx", "A 35691-2023")</f>
        <v/>
      </c>
    </row>
    <row r="119" ht="15" customHeight="1">
      <c r="A119" t="inlineStr">
        <is>
          <t>A 35693-2023</t>
        </is>
      </c>
      <c r="B119" s="1" t="n">
        <v>45147.65311342593</v>
      </c>
      <c r="C119" s="1" t="n">
        <v>46083</v>
      </c>
      <c r="D119" t="inlineStr">
        <is>
          <t>STOCKHOLMS LÄN</t>
        </is>
      </c>
      <c r="E119" t="inlineStr">
        <is>
          <t>NORRTÄLJE</t>
        </is>
      </c>
      <c r="G119" t="n">
        <v>2.2</v>
      </c>
      <c r="H119" t="n">
        <v>0</v>
      </c>
      <c r="I119" t="n">
        <v>0</v>
      </c>
      <c r="J119" t="n">
        <v>1</v>
      </c>
      <c r="K119" t="n">
        <v>0</v>
      </c>
      <c r="L119" t="n">
        <v>0</v>
      </c>
      <c r="M119" t="n">
        <v>0</v>
      </c>
      <c r="N119" t="n">
        <v>0</v>
      </c>
      <c r="O119" t="n">
        <v>1</v>
      </c>
      <c r="P119" t="n">
        <v>0</v>
      </c>
      <c r="Q119" t="n">
        <v>1</v>
      </c>
      <c r="R119" s="2" t="inlineStr">
        <is>
          <t>Motaggsvamp</t>
        </is>
      </c>
      <c r="S119">
        <f>HYPERLINK("https://klasma.github.io/Logging_0188/artfynd/A 35693-2023 artfynd.xlsx", "A 35693-2023")</f>
        <v/>
      </c>
      <c r="T119">
        <f>HYPERLINK("https://klasma.github.io/Logging_0188/kartor/A 35693-2023 karta.png", "A 35693-2023")</f>
        <v/>
      </c>
      <c r="V119">
        <f>HYPERLINK("https://klasma.github.io/Logging_0188/klagomål/A 35693-2023 FSC-klagomål.docx", "A 35693-2023")</f>
        <v/>
      </c>
      <c r="W119">
        <f>HYPERLINK("https://klasma.github.io/Logging_0188/klagomålsmail/A 35693-2023 FSC-klagomål mail.docx", "A 35693-2023")</f>
        <v/>
      </c>
      <c r="X119">
        <f>HYPERLINK("https://klasma.github.io/Logging_0188/tillsyn/A 35693-2023 tillsynsbegäran.docx", "A 35693-2023")</f>
        <v/>
      </c>
      <c r="Y119">
        <f>HYPERLINK("https://klasma.github.io/Logging_0188/tillsynsmail/A 35693-2023 tillsynsbegäran mail.docx", "A 35693-2023")</f>
        <v/>
      </c>
    </row>
    <row r="120" ht="15" customHeight="1">
      <c r="A120" t="inlineStr">
        <is>
          <t>A 16870-2025</t>
        </is>
      </c>
      <c r="B120" s="1" t="n">
        <v>45754</v>
      </c>
      <c r="C120" s="1" t="n">
        <v>46083</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59682-2025</t>
        </is>
      </c>
      <c r="B121" s="1" t="n">
        <v>45992.47116898148</v>
      </c>
      <c r="C121" s="1" t="n">
        <v>46083</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4532-2025</t>
        </is>
      </c>
      <c r="B122" s="1" t="n">
        <v>45687.34177083334</v>
      </c>
      <c r="C122" s="1" t="n">
        <v>46083</v>
      </c>
      <c r="D122" t="inlineStr">
        <is>
          <t>STOCKHOLMS LÄN</t>
        </is>
      </c>
      <c r="E122" t="inlineStr">
        <is>
          <t>NORRTÄLJE</t>
        </is>
      </c>
      <c r="F122" t="inlineStr">
        <is>
          <t>Holmen skog AB</t>
        </is>
      </c>
      <c r="G122" t="n">
        <v>6.4</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4532-2025 artfynd.xlsx", "A 4532-2025")</f>
        <v/>
      </c>
      <c r="T122">
        <f>HYPERLINK("https://klasma.github.io/Logging_0188/kartor/A 4532-2025 karta.png", "A 4532-2025")</f>
        <v/>
      </c>
      <c r="V122">
        <f>HYPERLINK("https://klasma.github.io/Logging_0188/klagomål/A 4532-2025 FSC-klagomål.docx", "A 4532-2025")</f>
        <v/>
      </c>
      <c r="W122">
        <f>HYPERLINK("https://klasma.github.io/Logging_0188/klagomålsmail/A 4532-2025 FSC-klagomål mail.docx", "A 4532-2025")</f>
        <v/>
      </c>
      <c r="X122">
        <f>HYPERLINK("https://klasma.github.io/Logging_0188/tillsyn/A 4532-2025 tillsynsbegäran.docx", "A 4532-2025")</f>
        <v/>
      </c>
      <c r="Y122">
        <f>HYPERLINK("https://klasma.github.io/Logging_0188/tillsynsmail/A 4532-2025 tillsynsbegäran mail.docx", "A 4532-2025")</f>
        <v/>
      </c>
    </row>
    <row r="123" ht="15" customHeight="1">
      <c r="A123" t="inlineStr">
        <is>
          <t>A 62715-2025</t>
        </is>
      </c>
      <c r="B123" s="1" t="n">
        <v>46008.52034722222</v>
      </c>
      <c r="C123" s="1" t="n">
        <v>46083</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46083</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14365-2025</t>
        </is>
      </c>
      <c r="B125" s="1" t="n">
        <v>45741.38688657407</v>
      </c>
      <c r="C125" s="1" t="n">
        <v>46083</v>
      </c>
      <c r="D125" t="inlineStr">
        <is>
          <t>STOCKHOLMS LÄN</t>
        </is>
      </c>
      <c r="E125" t="inlineStr">
        <is>
          <t>NORRTÄLJE</t>
        </is>
      </c>
      <c r="G125" t="n">
        <v>2.4</v>
      </c>
      <c r="H125" t="n">
        <v>0</v>
      </c>
      <c r="I125" t="n">
        <v>0</v>
      </c>
      <c r="J125" t="n">
        <v>1</v>
      </c>
      <c r="K125" t="n">
        <v>0</v>
      </c>
      <c r="L125" t="n">
        <v>0</v>
      </c>
      <c r="M125" t="n">
        <v>0</v>
      </c>
      <c r="N125" t="n">
        <v>0</v>
      </c>
      <c r="O125" t="n">
        <v>1</v>
      </c>
      <c r="P125" t="n">
        <v>0</v>
      </c>
      <c r="Q125" t="n">
        <v>1</v>
      </c>
      <c r="R125" s="2" t="inlineStr">
        <is>
          <t>Granticka</t>
        </is>
      </c>
      <c r="S125">
        <f>HYPERLINK("https://klasma.github.io/Logging_0188/artfynd/A 14365-2025 artfynd.xlsx", "A 14365-2025")</f>
        <v/>
      </c>
      <c r="T125">
        <f>HYPERLINK("https://klasma.github.io/Logging_0188/kartor/A 14365-2025 karta.png", "A 14365-2025")</f>
        <v/>
      </c>
      <c r="V125">
        <f>HYPERLINK("https://klasma.github.io/Logging_0188/klagomål/A 14365-2025 FSC-klagomål.docx", "A 14365-2025")</f>
        <v/>
      </c>
      <c r="W125">
        <f>HYPERLINK("https://klasma.github.io/Logging_0188/klagomålsmail/A 14365-2025 FSC-klagomål mail.docx", "A 14365-2025")</f>
        <v/>
      </c>
      <c r="X125">
        <f>HYPERLINK("https://klasma.github.io/Logging_0188/tillsyn/A 14365-2025 tillsynsbegäran.docx", "A 14365-2025")</f>
        <v/>
      </c>
      <c r="Y125">
        <f>HYPERLINK("https://klasma.github.io/Logging_0188/tillsynsmail/A 14365-2025 tillsynsbegäran mail.docx", "A 14365-2025")</f>
        <v/>
      </c>
    </row>
    <row r="126" ht="15" customHeight="1">
      <c r="A126" t="inlineStr">
        <is>
          <t>A 7734-2026</t>
        </is>
      </c>
      <c r="B126" s="1" t="n">
        <v>46062.52902777777</v>
      </c>
      <c r="C126" s="1" t="n">
        <v>46083</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21150-2022</t>
        </is>
      </c>
      <c r="B127" s="1" t="n">
        <v>44704</v>
      </c>
      <c r="C127" s="1" t="n">
        <v>46083</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364-2026</t>
        </is>
      </c>
      <c r="B128" s="1" t="n">
        <v>46027.67134259259</v>
      </c>
      <c r="C128" s="1" t="n">
        <v>46083</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26120-2024</t>
        </is>
      </c>
      <c r="B129" s="1" t="n">
        <v>45468.45995370371</v>
      </c>
      <c r="C129" s="1" t="n">
        <v>46083</v>
      </c>
      <c r="D129" t="inlineStr">
        <is>
          <t>STOCKHOLMS LÄN</t>
        </is>
      </c>
      <c r="E129" t="inlineStr">
        <is>
          <t>NORRTÄLJE</t>
        </is>
      </c>
      <c r="G129" t="n">
        <v>1.8</v>
      </c>
      <c r="H129" t="n">
        <v>0</v>
      </c>
      <c r="I129" t="n">
        <v>0</v>
      </c>
      <c r="J129" t="n">
        <v>1</v>
      </c>
      <c r="K129" t="n">
        <v>0</v>
      </c>
      <c r="L129" t="n">
        <v>0</v>
      </c>
      <c r="M129" t="n">
        <v>0</v>
      </c>
      <c r="N129" t="n">
        <v>0</v>
      </c>
      <c r="O129" t="n">
        <v>1</v>
      </c>
      <c r="P129" t="n">
        <v>0</v>
      </c>
      <c r="Q129" t="n">
        <v>1</v>
      </c>
      <c r="R129" s="2" t="inlineStr">
        <is>
          <t>Majviva</t>
        </is>
      </c>
      <c r="S129">
        <f>HYPERLINK("https://klasma.github.io/Logging_0188/artfynd/A 26120-2024 artfynd.xlsx", "A 26120-2024")</f>
        <v/>
      </c>
      <c r="T129">
        <f>HYPERLINK("https://klasma.github.io/Logging_0188/kartor/A 26120-2024 karta.png", "A 26120-2024")</f>
        <v/>
      </c>
      <c r="V129">
        <f>HYPERLINK("https://klasma.github.io/Logging_0188/klagomål/A 26120-2024 FSC-klagomål.docx", "A 26120-2024")</f>
        <v/>
      </c>
      <c r="W129">
        <f>HYPERLINK("https://klasma.github.io/Logging_0188/klagomålsmail/A 26120-2024 FSC-klagomål mail.docx", "A 26120-2024")</f>
        <v/>
      </c>
      <c r="X129">
        <f>HYPERLINK("https://klasma.github.io/Logging_0188/tillsyn/A 26120-2024 tillsynsbegäran.docx", "A 26120-2024")</f>
        <v/>
      </c>
      <c r="Y129">
        <f>HYPERLINK("https://klasma.github.io/Logging_0188/tillsynsmail/A 26120-2024 tillsynsbegäran mail.docx", "A 26120-2024")</f>
        <v/>
      </c>
    </row>
    <row r="130" ht="15" customHeight="1">
      <c r="A130" t="inlineStr">
        <is>
          <t>A 11429-2023</t>
        </is>
      </c>
      <c r="B130" s="1" t="n">
        <v>44993</v>
      </c>
      <c r="C130" s="1" t="n">
        <v>46083</v>
      </c>
      <c r="D130" t="inlineStr">
        <is>
          <t>STOCKHOLMS LÄN</t>
        </is>
      </c>
      <c r="E130" t="inlineStr">
        <is>
          <t>NORRTÄLJE</t>
        </is>
      </c>
      <c r="G130" t="n">
        <v>2</v>
      </c>
      <c r="H130" t="n">
        <v>0</v>
      </c>
      <c r="I130" t="n">
        <v>0</v>
      </c>
      <c r="J130" t="n">
        <v>1</v>
      </c>
      <c r="K130" t="n">
        <v>0</v>
      </c>
      <c r="L130" t="n">
        <v>0</v>
      </c>
      <c r="M130" t="n">
        <v>0</v>
      </c>
      <c r="N130" t="n">
        <v>0</v>
      </c>
      <c r="O130" t="n">
        <v>1</v>
      </c>
      <c r="P130" t="n">
        <v>0</v>
      </c>
      <c r="Q130" t="n">
        <v>1</v>
      </c>
      <c r="R130" s="2" t="inlineStr">
        <is>
          <t>Skogsklocka</t>
        </is>
      </c>
      <c r="S130">
        <f>HYPERLINK("https://klasma.github.io/Logging_0188/artfynd/A 11429-2023 artfynd.xlsx", "A 11429-2023")</f>
        <v/>
      </c>
      <c r="T130">
        <f>HYPERLINK("https://klasma.github.io/Logging_0188/kartor/A 11429-2023 karta.png", "A 11429-2023")</f>
        <v/>
      </c>
      <c r="V130">
        <f>HYPERLINK("https://klasma.github.io/Logging_0188/klagomål/A 11429-2023 FSC-klagomål.docx", "A 11429-2023")</f>
        <v/>
      </c>
      <c r="W130">
        <f>HYPERLINK("https://klasma.github.io/Logging_0188/klagomålsmail/A 11429-2023 FSC-klagomål mail.docx", "A 11429-2023")</f>
        <v/>
      </c>
      <c r="X130">
        <f>HYPERLINK("https://klasma.github.io/Logging_0188/tillsyn/A 11429-2023 tillsynsbegäran.docx", "A 11429-2023")</f>
        <v/>
      </c>
      <c r="Y130">
        <f>HYPERLINK("https://klasma.github.io/Logging_0188/tillsynsmail/A 11429-2023 tillsynsbegäran mail.docx", "A 11429-2023")</f>
        <v/>
      </c>
    </row>
    <row r="131" ht="15" customHeight="1">
      <c r="A131" t="inlineStr">
        <is>
          <t>A 50854-2022</t>
        </is>
      </c>
      <c r="B131" s="1" t="n">
        <v>44863</v>
      </c>
      <c r="C131" s="1" t="n">
        <v>46083</v>
      </c>
      <c r="D131" t="inlineStr">
        <is>
          <t>STOCKHOLMS LÄN</t>
        </is>
      </c>
      <c r="E131" t="inlineStr">
        <is>
          <t>NORRTÄLJE</t>
        </is>
      </c>
      <c r="G131" t="n">
        <v>2.9</v>
      </c>
      <c r="H131" t="n">
        <v>0</v>
      </c>
      <c r="I131" t="n">
        <v>1</v>
      </c>
      <c r="J131" t="n">
        <v>0</v>
      </c>
      <c r="K131" t="n">
        <v>0</v>
      </c>
      <c r="L131" t="n">
        <v>0</v>
      </c>
      <c r="M131" t="n">
        <v>0</v>
      </c>
      <c r="N131" t="n">
        <v>0</v>
      </c>
      <c r="O131" t="n">
        <v>0</v>
      </c>
      <c r="P131" t="n">
        <v>0</v>
      </c>
      <c r="Q131" t="n">
        <v>1</v>
      </c>
      <c r="R131" s="2" t="inlineStr">
        <is>
          <t>Tibast</t>
        </is>
      </c>
      <c r="S131">
        <f>HYPERLINK("https://klasma.github.io/Logging_0188/artfynd/A 50854-2022 artfynd.xlsx", "A 50854-2022")</f>
        <v/>
      </c>
      <c r="T131">
        <f>HYPERLINK("https://klasma.github.io/Logging_0188/kartor/A 50854-2022 karta.png", "A 50854-2022")</f>
        <v/>
      </c>
      <c r="V131">
        <f>HYPERLINK("https://klasma.github.io/Logging_0188/klagomål/A 50854-2022 FSC-klagomål.docx", "A 50854-2022")</f>
        <v/>
      </c>
      <c r="W131">
        <f>HYPERLINK("https://klasma.github.io/Logging_0188/klagomålsmail/A 50854-2022 FSC-klagomål mail.docx", "A 50854-2022")</f>
        <v/>
      </c>
      <c r="X131">
        <f>HYPERLINK("https://klasma.github.io/Logging_0188/tillsyn/A 50854-2022 tillsynsbegäran.docx", "A 50854-2022")</f>
        <v/>
      </c>
      <c r="Y131">
        <f>HYPERLINK("https://klasma.github.io/Logging_0188/tillsynsmail/A 50854-2022 tillsynsbegäran mail.docx", "A 50854-2022")</f>
        <v/>
      </c>
    </row>
    <row r="132" ht="15" customHeight="1">
      <c r="A132" t="inlineStr">
        <is>
          <t>A 64456-2023</t>
        </is>
      </c>
      <c r="B132" s="1" t="n">
        <v>45280</v>
      </c>
      <c r="C132" s="1" t="n">
        <v>46083</v>
      </c>
      <c r="D132" t="inlineStr">
        <is>
          <t>STOCKHOLMS LÄN</t>
        </is>
      </c>
      <c r="E132" t="inlineStr">
        <is>
          <t>NORRTÄLJE</t>
        </is>
      </c>
      <c r="G132" t="n">
        <v>2.5</v>
      </c>
      <c r="H132" t="n">
        <v>0</v>
      </c>
      <c r="I132" t="n">
        <v>1</v>
      </c>
      <c r="J132" t="n">
        <v>0</v>
      </c>
      <c r="K132" t="n">
        <v>0</v>
      </c>
      <c r="L132" t="n">
        <v>0</v>
      </c>
      <c r="M132" t="n">
        <v>0</v>
      </c>
      <c r="N132" t="n">
        <v>0</v>
      </c>
      <c r="O132" t="n">
        <v>0</v>
      </c>
      <c r="P132" t="n">
        <v>0</v>
      </c>
      <c r="Q132" t="n">
        <v>1</v>
      </c>
      <c r="R132" s="2" t="inlineStr">
        <is>
          <t>Rödgul trumpetsvamp</t>
        </is>
      </c>
      <c r="S132">
        <f>HYPERLINK("https://klasma.github.io/Logging_0188/artfynd/A 64456-2023 artfynd.xlsx", "A 64456-2023")</f>
        <v/>
      </c>
      <c r="T132">
        <f>HYPERLINK("https://klasma.github.io/Logging_0188/kartor/A 64456-2023 karta.png", "A 64456-2023")</f>
        <v/>
      </c>
      <c r="V132">
        <f>HYPERLINK("https://klasma.github.io/Logging_0188/klagomål/A 64456-2023 FSC-klagomål.docx", "A 64456-2023")</f>
        <v/>
      </c>
      <c r="W132">
        <f>HYPERLINK("https://klasma.github.io/Logging_0188/klagomålsmail/A 64456-2023 FSC-klagomål mail.docx", "A 64456-2023")</f>
        <v/>
      </c>
      <c r="X132">
        <f>HYPERLINK("https://klasma.github.io/Logging_0188/tillsyn/A 64456-2023 tillsynsbegäran.docx", "A 64456-2023")</f>
        <v/>
      </c>
      <c r="Y132">
        <f>HYPERLINK("https://klasma.github.io/Logging_0188/tillsynsmail/A 64456-2023 tillsynsbegäran mail.docx", "A 64456-2023")</f>
        <v/>
      </c>
    </row>
    <row r="133" ht="15" customHeight="1">
      <c r="A133" t="inlineStr">
        <is>
          <t>A 52611-2024</t>
        </is>
      </c>
      <c r="B133" s="1" t="n">
        <v>45609.83747685186</v>
      </c>
      <c r="C133" s="1" t="n">
        <v>46083</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46083</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46083</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27827-2022</t>
        </is>
      </c>
      <c r="B136" s="1" t="n">
        <v>44743.59504629629</v>
      </c>
      <c r="C136" s="1" t="n">
        <v>46083</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9955-2022</t>
        </is>
      </c>
      <c r="B137" s="1" t="n">
        <v>44620</v>
      </c>
      <c r="C137" s="1" t="n">
        <v>46083</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23905-2025</t>
        </is>
      </c>
      <c r="B138" s="1" t="n">
        <v>45794.63298611111</v>
      </c>
      <c r="C138" s="1" t="n">
        <v>46083</v>
      </c>
      <c r="D138" t="inlineStr">
        <is>
          <t>STOCKHOLMS LÄN</t>
        </is>
      </c>
      <c r="E138" t="inlineStr">
        <is>
          <t>NORRTÄLJE</t>
        </is>
      </c>
      <c r="G138" t="n">
        <v>8.4</v>
      </c>
      <c r="H138" t="n">
        <v>1</v>
      </c>
      <c r="I138" t="n">
        <v>0</v>
      </c>
      <c r="J138" t="n">
        <v>0</v>
      </c>
      <c r="K138" t="n">
        <v>0</v>
      </c>
      <c r="L138" t="n">
        <v>0</v>
      </c>
      <c r="M138" t="n">
        <v>0</v>
      </c>
      <c r="N138" t="n">
        <v>0</v>
      </c>
      <c r="O138" t="n">
        <v>0</v>
      </c>
      <c r="P138" t="n">
        <v>0</v>
      </c>
      <c r="Q138" t="n">
        <v>1</v>
      </c>
      <c r="R138" s="2" t="inlineStr">
        <is>
          <t>Blåsippa</t>
        </is>
      </c>
      <c r="S138">
        <f>HYPERLINK("https://klasma.github.io/Logging_0188/artfynd/A 23905-2025 artfynd.xlsx", "A 23905-2025")</f>
        <v/>
      </c>
      <c r="T138">
        <f>HYPERLINK("https://klasma.github.io/Logging_0188/kartor/A 23905-2025 karta.png", "A 23905-2025")</f>
        <v/>
      </c>
      <c r="V138">
        <f>HYPERLINK("https://klasma.github.io/Logging_0188/klagomål/A 23905-2025 FSC-klagomål.docx", "A 23905-2025")</f>
        <v/>
      </c>
      <c r="W138">
        <f>HYPERLINK("https://klasma.github.io/Logging_0188/klagomålsmail/A 23905-2025 FSC-klagomål mail.docx", "A 23905-2025")</f>
        <v/>
      </c>
      <c r="X138">
        <f>HYPERLINK("https://klasma.github.io/Logging_0188/tillsyn/A 23905-2025 tillsynsbegäran.docx", "A 23905-2025")</f>
        <v/>
      </c>
      <c r="Y138">
        <f>HYPERLINK("https://klasma.github.io/Logging_0188/tillsynsmail/A 23905-2025 tillsynsbegäran mail.docx", "A 23905-2025")</f>
        <v/>
      </c>
    </row>
    <row r="139" ht="15" customHeight="1">
      <c r="A139" t="inlineStr">
        <is>
          <t>A 25709-2025</t>
        </is>
      </c>
      <c r="B139" s="1" t="n">
        <v>45800</v>
      </c>
      <c r="C139" s="1" t="n">
        <v>46083</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25725-2025</t>
        </is>
      </c>
      <c r="B140" s="1" t="n">
        <v>45800</v>
      </c>
      <c r="C140" s="1" t="n">
        <v>46083</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35649-2023</t>
        </is>
      </c>
      <c r="B141" s="1" t="n">
        <v>45146</v>
      </c>
      <c r="C141" s="1" t="n">
        <v>46083</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35764-2024</t>
        </is>
      </c>
      <c r="B142" s="1" t="n">
        <v>45532</v>
      </c>
      <c r="C142" s="1" t="n">
        <v>46083</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18580-2021</t>
        </is>
      </c>
      <c r="B143" s="1" t="n">
        <v>44306</v>
      </c>
      <c r="C143" s="1" t="n">
        <v>46083</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46083</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46083</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46083</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46083</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46083</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46083</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23096-2021</t>
        </is>
      </c>
      <c r="B150" s="1" t="n">
        <v>44330</v>
      </c>
      <c r="C150" s="1" t="n">
        <v>46083</v>
      </c>
      <c r="D150" t="inlineStr">
        <is>
          <t>STOCKHOLMS LÄN</t>
        </is>
      </c>
      <c r="E150" t="inlineStr">
        <is>
          <t>NORRTÄLJE</t>
        </is>
      </c>
      <c r="G150" t="n">
        <v>0.3</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46083</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46083</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46083</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46083</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46083</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46083</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46083</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46083</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46083</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46083</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46083</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46083</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46083</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46083</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46083</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46083</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46083</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46083</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46083</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46083</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46083</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46083</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46083</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46083</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46083</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46083</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46083</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46083</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46083</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46083</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46083</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46083</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46083</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46083</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46083</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46083</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46083</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46083</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46083</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46083</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46083</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46083</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46083</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46083</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46083</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46083</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46083</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46083</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46083</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46083</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46083</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46083</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46083</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46083</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46083</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46083</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46083</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46083</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46083</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46083</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46083</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46083</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46083</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46083</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46083</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46083</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46083</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46083</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46083</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46083</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46083</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46083</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46083</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46083</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46083</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46083</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46083</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46083</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46083</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46083</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46083</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46083</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46083</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46083</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46083</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46083</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46083</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46083</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46083</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46083</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46083</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46083</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46083</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46083</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46083</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46083</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46083</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46083</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46083</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46083</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46083</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46083</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46083</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46083</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46083</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46083</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46083</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46083</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46083</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46083</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46083</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46083</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46083</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46083</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46083</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46083</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30286-2022</t>
        </is>
      </c>
      <c r="B269" s="1" t="n">
        <v>44760</v>
      </c>
      <c r="C269" s="1" t="n">
        <v>46083</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8160-2022</t>
        </is>
      </c>
      <c r="B270" s="1" t="n">
        <v>44609</v>
      </c>
      <c r="C270" s="1" t="n">
        <v>46083</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39319-2022</t>
        </is>
      </c>
      <c r="B271" s="1" t="n">
        <v>44817.70516203704</v>
      </c>
      <c r="C271" s="1" t="n">
        <v>46083</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46083</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46083</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46083</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46083</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46083</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46083</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10521-2022</t>
        </is>
      </c>
      <c r="B278" s="1" t="n">
        <v>44623</v>
      </c>
      <c r="C278" s="1" t="n">
        <v>46083</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16117-2022</t>
        </is>
      </c>
      <c r="B279" s="1" t="n">
        <v>44665.65474537037</v>
      </c>
      <c r="C279" s="1" t="n">
        <v>46083</v>
      </c>
      <c r="D279" t="inlineStr">
        <is>
          <t>STOCKHOLMS LÄN</t>
        </is>
      </c>
      <c r="E279" t="inlineStr">
        <is>
          <t>NORRTÄLJE</t>
        </is>
      </c>
      <c r="G279" t="n">
        <v>8.1</v>
      </c>
      <c r="H279" t="n">
        <v>0</v>
      </c>
      <c r="I279" t="n">
        <v>0</v>
      </c>
      <c r="J279" t="n">
        <v>0</v>
      </c>
      <c r="K279" t="n">
        <v>0</v>
      </c>
      <c r="L279" t="n">
        <v>0</v>
      </c>
      <c r="M279" t="n">
        <v>0</v>
      </c>
      <c r="N279" t="n">
        <v>0</v>
      </c>
      <c r="O279" t="n">
        <v>0</v>
      </c>
      <c r="P279" t="n">
        <v>0</v>
      </c>
      <c r="Q279" t="n">
        <v>0</v>
      </c>
      <c r="R279" s="2" t="inlineStr"/>
    </row>
    <row r="280" ht="15" customHeight="1">
      <c r="A280" t="inlineStr">
        <is>
          <t>A 16132-2022</t>
        </is>
      </c>
      <c r="B280" s="1" t="n">
        <v>44665.78351851852</v>
      </c>
      <c r="C280" s="1" t="n">
        <v>46083</v>
      </c>
      <c r="D280" t="inlineStr">
        <is>
          <t>STOCKHOLMS LÄN</t>
        </is>
      </c>
      <c r="E280" t="inlineStr">
        <is>
          <t>NORRTÄLJE</t>
        </is>
      </c>
      <c r="G280" t="n">
        <v>4.4</v>
      </c>
      <c r="H280" t="n">
        <v>0</v>
      </c>
      <c r="I280" t="n">
        <v>0</v>
      </c>
      <c r="J280" t="n">
        <v>0</v>
      </c>
      <c r="K280" t="n">
        <v>0</v>
      </c>
      <c r="L280" t="n">
        <v>0</v>
      </c>
      <c r="M280" t="n">
        <v>0</v>
      </c>
      <c r="N280" t="n">
        <v>0</v>
      </c>
      <c r="O280" t="n">
        <v>0</v>
      </c>
      <c r="P280" t="n">
        <v>0</v>
      </c>
      <c r="Q280" t="n">
        <v>0</v>
      </c>
      <c r="R280" s="2" t="inlineStr"/>
    </row>
    <row r="281" ht="15" customHeight="1">
      <c r="A281" t="inlineStr">
        <is>
          <t>A 70170-2021</t>
        </is>
      </c>
      <c r="B281" s="1" t="n">
        <v>44533</v>
      </c>
      <c r="C281" s="1" t="n">
        <v>46083</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71880-2021</t>
        </is>
      </c>
      <c r="B282" s="1" t="n">
        <v>44543</v>
      </c>
      <c r="C282" s="1" t="n">
        <v>46083</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25463-2021</t>
        </is>
      </c>
      <c r="B283" s="1" t="n">
        <v>44342</v>
      </c>
      <c r="C283" s="1" t="n">
        <v>46083</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46083</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46083</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46083</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46083</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46083</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46083</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46083</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46083</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12348-2025</t>
        </is>
      </c>
      <c r="B292" s="1" t="n">
        <v>45730.35026620371</v>
      </c>
      <c r="C292" s="1" t="n">
        <v>46083</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12111-2021</t>
        </is>
      </c>
      <c r="B293" s="1" t="n">
        <v>44266</v>
      </c>
      <c r="C293" s="1" t="n">
        <v>46083</v>
      </c>
      <c r="D293" t="inlineStr">
        <is>
          <t>STOCKHOLMS LÄN</t>
        </is>
      </c>
      <c r="E293" t="inlineStr">
        <is>
          <t>NORRTÄLJE</t>
        </is>
      </c>
      <c r="G293" t="n">
        <v>5.5</v>
      </c>
      <c r="H293" t="n">
        <v>0</v>
      </c>
      <c r="I293" t="n">
        <v>0</v>
      </c>
      <c r="J293" t="n">
        <v>0</v>
      </c>
      <c r="K293" t="n">
        <v>0</v>
      </c>
      <c r="L293" t="n">
        <v>0</v>
      </c>
      <c r="M293" t="n">
        <v>0</v>
      </c>
      <c r="N293" t="n">
        <v>0</v>
      </c>
      <c r="O293" t="n">
        <v>0</v>
      </c>
      <c r="P293" t="n">
        <v>0</v>
      </c>
      <c r="Q293" t="n">
        <v>0</v>
      </c>
      <c r="R293" s="2" t="inlineStr"/>
    </row>
    <row r="294" ht="15" customHeight="1">
      <c r="A294" t="inlineStr">
        <is>
          <t>A 33053-2021</t>
        </is>
      </c>
      <c r="B294" s="1" t="n">
        <v>44376</v>
      </c>
      <c r="C294" s="1" t="n">
        <v>46083</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23271-2023</t>
        </is>
      </c>
      <c r="B295" s="1" t="n">
        <v>45075.91362268518</v>
      </c>
      <c r="C295" s="1" t="n">
        <v>46083</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23273-2023</t>
        </is>
      </c>
      <c r="B296" s="1" t="n">
        <v>45075.91971064815</v>
      </c>
      <c r="C296" s="1" t="n">
        <v>46083</v>
      </c>
      <c r="D296" t="inlineStr">
        <is>
          <t>STOCKHOLMS LÄN</t>
        </is>
      </c>
      <c r="E296" t="inlineStr">
        <is>
          <t>NORRTÄLJE</t>
        </is>
      </c>
      <c r="G296" t="n">
        <v>7.5</v>
      </c>
      <c r="H296" t="n">
        <v>0</v>
      </c>
      <c r="I296" t="n">
        <v>0</v>
      </c>
      <c r="J296" t="n">
        <v>0</v>
      </c>
      <c r="K296" t="n">
        <v>0</v>
      </c>
      <c r="L296" t="n">
        <v>0</v>
      </c>
      <c r="M296" t="n">
        <v>0</v>
      </c>
      <c r="N296" t="n">
        <v>0</v>
      </c>
      <c r="O296" t="n">
        <v>0</v>
      </c>
      <c r="P296" t="n">
        <v>0</v>
      </c>
      <c r="Q296" t="n">
        <v>0</v>
      </c>
      <c r="R296" s="2" t="inlineStr"/>
    </row>
    <row r="297" ht="15" customHeight="1">
      <c r="A297" t="inlineStr">
        <is>
          <t>A 30802-2022</t>
        </is>
      </c>
      <c r="B297" s="1" t="n">
        <v>44764</v>
      </c>
      <c r="C297" s="1" t="n">
        <v>46083</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19706-2023</t>
        </is>
      </c>
      <c r="B298" s="1" t="n">
        <v>45051.455</v>
      </c>
      <c r="C298" s="1" t="n">
        <v>46083</v>
      </c>
      <c r="D298" t="inlineStr">
        <is>
          <t>STOCKHOLMS LÄN</t>
        </is>
      </c>
      <c r="E298" t="inlineStr">
        <is>
          <t>NORRTÄLJE</t>
        </is>
      </c>
      <c r="G298" t="n">
        <v>0.2</v>
      </c>
      <c r="H298" t="n">
        <v>0</v>
      </c>
      <c r="I298" t="n">
        <v>0</v>
      </c>
      <c r="J298" t="n">
        <v>0</v>
      </c>
      <c r="K298" t="n">
        <v>0</v>
      </c>
      <c r="L298" t="n">
        <v>0</v>
      </c>
      <c r="M298" t="n">
        <v>0</v>
      </c>
      <c r="N298" t="n">
        <v>0</v>
      </c>
      <c r="O298" t="n">
        <v>0</v>
      </c>
      <c r="P298" t="n">
        <v>0</v>
      </c>
      <c r="Q298" t="n">
        <v>0</v>
      </c>
      <c r="R298" s="2" t="inlineStr"/>
    </row>
    <row r="299" ht="15" customHeight="1">
      <c r="A299" t="inlineStr">
        <is>
          <t>A 16008-2025</t>
        </is>
      </c>
      <c r="B299" s="1" t="n">
        <v>45749</v>
      </c>
      <c r="C299" s="1" t="n">
        <v>46083</v>
      </c>
      <c r="D299" t="inlineStr">
        <is>
          <t>STOCKHOLMS LÄN</t>
        </is>
      </c>
      <c r="E299" t="inlineStr">
        <is>
          <t>NORRTÄLJE</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9765-2024</t>
        </is>
      </c>
      <c r="B300" s="1" t="n">
        <v>45362.62811342593</v>
      </c>
      <c r="C300" s="1" t="n">
        <v>46083</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20013-2025</t>
        </is>
      </c>
      <c r="B301" s="1" t="n">
        <v>45772.30436342592</v>
      </c>
      <c r="C301" s="1" t="n">
        <v>46083</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13148-2021</t>
        </is>
      </c>
      <c r="B302" s="1" t="n">
        <v>44272</v>
      </c>
      <c r="C302" s="1" t="n">
        <v>46083</v>
      </c>
      <c r="D302" t="inlineStr">
        <is>
          <t>STOCKHOLMS LÄN</t>
        </is>
      </c>
      <c r="E302" t="inlineStr">
        <is>
          <t>NORRTÄLJE</t>
        </is>
      </c>
      <c r="G302" t="n">
        <v>12.4</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46083</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46083</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63161-2023</t>
        </is>
      </c>
      <c r="B305" s="1" t="n">
        <v>45273</v>
      </c>
      <c r="C305" s="1" t="n">
        <v>46083</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40425-2021</t>
        </is>
      </c>
      <c r="B306" s="1" t="n">
        <v>44419</v>
      </c>
      <c r="C306" s="1" t="n">
        <v>46083</v>
      </c>
      <c r="D306" t="inlineStr">
        <is>
          <t>STOCKHOLMS LÄN</t>
        </is>
      </c>
      <c r="E306" t="inlineStr">
        <is>
          <t>NORRTÄLJE</t>
        </is>
      </c>
      <c r="G306" t="n">
        <v>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46083</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47694-2023</t>
        </is>
      </c>
      <c r="B308" s="1" t="n">
        <v>45203.63303240741</v>
      </c>
      <c r="C308" s="1" t="n">
        <v>46083</v>
      </c>
      <c r="D308" t="inlineStr">
        <is>
          <t>STOCKHOLMS LÄN</t>
        </is>
      </c>
      <c r="E308" t="inlineStr">
        <is>
          <t>NORRTÄLJE</t>
        </is>
      </c>
      <c r="G308" t="n">
        <v>5.2</v>
      </c>
      <c r="H308" t="n">
        <v>0</v>
      </c>
      <c r="I308" t="n">
        <v>0</v>
      </c>
      <c r="J308" t="n">
        <v>0</v>
      </c>
      <c r="K308" t="n">
        <v>0</v>
      </c>
      <c r="L308" t="n">
        <v>0</v>
      </c>
      <c r="M308" t="n">
        <v>0</v>
      </c>
      <c r="N308" t="n">
        <v>0</v>
      </c>
      <c r="O308" t="n">
        <v>0</v>
      </c>
      <c r="P308" t="n">
        <v>0</v>
      </c>
      <c r="Q308" t="n">
        <v>0</v>
      </c>
      <c r="R308" s="2" t="inlineStr"/>
    </row>
    <row r="309" ht="15" customHeight="1">
      <c r="A309" t="inlineStr">
        <is>
          <t>A 56631-2024</t>
        </is>
      </c>
      <c r="B309" s="1" t="n">
        <v>45625</v>
      </c>
      <c r="C309" s="1" t="n">
        <v>46083</v>
      </c>
      <c r="D309" t="inlineStr">
        <is>
          <t>STOCKHOLMS LÄN</t>
        </is>
      </c>
      <c r="E309" t="inlineStr">
        <is>
          <t>NORRTÄLJE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48587-2023</t>
        </is>
      </c>
      <c r="B310" s="1" t="n">
        <v>45208</v>
      </c>
      <c r="C310" s="1" t="n">
        <v>46083</v>
      </c>
      <c r="D310" t="inlineStr">
        <is>
          <t>STOCKHOLMS LÄN</t>
        </is>
      </c>
      <c r="E310" t="inlineStr">
        <is>
          <t>NORRTÄLJE</t>
        </is>
      </c>
      <c r="G310" t="n">
        <v>7</v>
      </c>
      <c r="H310" t="n">
        <v>0</v>
      </c>
      <c r="I310" t="n">
        <v>0</v>
      </c>
      <c r="J310" t="n">
        <v>0</v>
      </c>
      <c r="K310" t="n">
        <v>0</v>
      </c>
      <c r="L310" t="n">
        <v>0</v>
      </c>
      <c r="M310" t="n">
        <v>0</v>
      </c>
      <c r="N310" t="n">
        <v>0</v>
      </c>
      <c r="O310" t="n">
        <v>0</v>
      </c>
      <c r="P310" t="n">
        <v>0</v>
      </c>
      <c r="Q310" t="n">
        <v>0</v>
      </c>
      <c r="R310" s="2" t="inlineStr"/>
    </row>
    <row r="311" ht="15" customHeight="1">
      <c r="A311" t="inlineStr">
        <is>
          <t>A 40656-2022</t>
        </is>
      </c>
      <c r="B311" s="1" t="n">
        <v>44824.36069444445</v>
      </c>
      <c r="C311" s="1" t="n">
        <v>46083</v>
      </c>
      <c r="D311" t="inlineStr">
        <is>
          <t>STOCKHOLMS LÄN</t>
        </is>
      </c>
      <c r="E311" t="inlineStr">
        <is>
          <t>NORRTÄLJE</t>
        </is>
      </c>
      <c r="G311" t="n">
        <v>2.7</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46083</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53600-2022</t>
        </is>
      </c>
      <c r="B313" s="1" t="n">
        <v>44879.70518518519</v>
      </c>
      <c r="C313" s="1" t="n">
        <v>46083</v>
      </c>
      <c r="D313" t="inlineStr">
        <is>
          <t>STOCKHOLMS LÄN</t>
        </is>
      </c>
      <c r="E313" t="inlineStr">
        <is>
          <t>NORRTÄLJE</t>
        </is>
      </c>
      <c r="G313" t="n">
        <v>4.3</v>
      </c>
      <c r="H313" t="n">
        <v>0</v>
      </c>
      <c r="I313" t="n">
        <v>0</v>
      </c>
      <c r="J313" t="n">
        <v>0</v>
      </c>
      <c r="K313" t="n">
        <v>0</v>
      </c>
      <c r="L313" t="n">
        <v>0</v>
      </c>
      <c r="M313" t="n">
        <v>0</v>
      </c>
      <c r="N313" t="n">
        <v>0</v>
      </c>
      <c r="O313" t="n">
        <v>0</v>
      </c>
      <c r="P313" t="n">
        <v>0</v>
      </c>
      <c r="Q313" t="n">
        <v>0</v>
      </c>
      <c r="R313" s="2" t="inlineStr"/>
    </row>
    <row r="314" ht="15" customHeight="1">
      <c r="A314" t="inlineStr">
        <is>
          <t>A 20473-2021</t>
        </is>
      </c>
      <c r="B314" s="1" t="n">
        <v>44315</v>
      </c>
      <c r="C314" s="1" t="n">
        <v>46083</v>
      </c>
      <c r="D314" t="inlineStr">
        <is>
          <t>STOCKHOLMS LÄN</t>
        </is>
      </c>
      <c r="E314" t="inlineStr">
        <is>
          <t>NORRTÄLJE</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20136-2025</t>
        </is>
      </c>
      <c r="B315" s="1" t="n">
        <v>45772.51127314815</v>
      </c>
      <c r="C315" s="1" t="n">
        <v>46083</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15978-2024</t>
        </is>
      </c>
      <c r="B316" s="1" t="n">
        <v>45405.57927083333</v>
      </c>
      <c r="C316" s="1" t="n">
        <v>46083</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7603-2025</t>
        </is>
      </c>
      <c r="B317" s="1" t="n">
        <v>45705.66126157407</v>
      </c>
      <c r="C317" s="1" t="n">
        <v>46083</v>
      </c>
      <c r="D317" t="inlineStr">
        <is>
          <t>STOCKHOLMS LÄN</t>
        </is>
      </c>
      <c r="E317" t="inlineStr">
        <is>
          <t>NORRTÄLJE</t>
        </is>
      </c>
      <c r="F317" t="inlineStr">
        <is>
          <t>Holmen skog AB</t>
        </is>
      </c>
      <c r="G317" t="n">
        <v>2.4</v>
      </c>
      <c r="H317" t="n">
        <v>0</v>
      </c>
      <c r="I317" t="n">
        <v>0</v>
      </c>
      <c r="J317" t="n">
        <v>0</v>
      </c>
      <c r="K317" t="n">
        <v>0</v>
      </c>
      <c r="L317" t="n">
        <v>0</v>
      </c>
      <c r="M317" t="n">
        <v>0</v>
      </c>
      <c r="N317" t="n">
        <v>0</v>
      </c>
      <c r="O317" t="n">
        <v>0</v>
      </c>
      <c r="P317" t="n">
        <v>0</v>
      </c>
      <c r="Q317" t="n">
        <v>0</v>
      </c>
      <c r="R317" s="2" t="inlineStr"/>
    </row>
    <row r="318" ht="15" customHeight="1">
      <c r="A318" t="inlineStr">
        <is>
          <t>A 5158-2024</t>
        </is>
      </c>
      <c r="B318" s="1" t="n">
        <v>45330.50098379629</v>
      </c>
      <c r="C318" s="1" t="n">
        <v>46083</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8736-2024</t>
        </is>
      </c>
      <c r="B319" s="1" t="n">
        <v>45356.4722800926</v>
      </c>
      <c r="C319" s="1" t="n">
        <v>46083</v>
      </c>
      <c r="D319" t="inlineStr">
        <is>
          <t>STOCKHOLMS LÄN</t>
        </is>
      </c>
      <c r="E319" t="inlineStr">
        <is>
          <t>NORRTÄLJE</t>
        </is>
      </c>
      <c r="G319" t="n">
        <v>8.9</v>
      </c>
      <c r="H319" t="n">
        <v>0</v>
      </c>
      <c r="I319" t="n">
        <v>0</v>
      </c>
      <c r="J319" t="n">
        <v>0</v>
      </c>
      <c r="K319" t="n">
        <v>0</v>
      </c>
      <c r="L319" t="n">
        <v>0</v>
      </c>
      <c r="M319" t="n">
        <v>0</v>
      </c>
      <c r="N319" t="n">
        <v>0</v>
      </c>
      <c r="O319" t="n">
        <v>0</v>
      </c>
      <c r="P319" t="n">
        <v>0</v>
      </c>
      <c r="Q319" t="n">
        <v>0</v>
      </c>
      <c r="R319" s="2" t="inlineStr"/>
    </row>
    <row r="320" ht="15" customHeight="1">
      <c r="A320" t="inlineStr">
        <is>
          <t>A 51046-2023</t>
        </is>
      </c>
      <c r="B320" s="1" t="n">
        <v>45218</v>
      </c>
      <c r="C320" s="1" t="n">
        <v>46083</v>
      </c>
      <c r="D320" t="inlineStr">
        <is>
          <t>STOCKHOLMS LÄN</t>
        </is>
      </c>
      <c r="E320" t="inlineStr">
        <is>
          <t>NORRTÄLJE</t>
        </is>
      </c>
      <c r="G320" t="n">
        <v>2.5</v>
      </c>
      <c r="H320" t="n">
        <v>0</v>
      </c>
      <c r="I320" t="n">
        <v>0</v>
      </c>
      <c r="J320" t="n">
        <v>0</v>
      </c>
      <c r="K320" t="n">
        <v>0</v>
      </c>
      <c r="L320" t="n">
        <v>0</v>
      </c>
      <c r="M320" t="n">
        <v>0</v>
      </c>
      <c r="N320" t="n">
        <v>0</v>
      </c>
      <c r="O320" t="n">
        <v>0</v>
      </c>
      <c r="P320" t="n">
        <v>0</v>
      </c>
      <c r="Q320" t="n">
        <v>0</v>
      </c>
      <c r="R320" s="2" t="inlineStr"/>
    </row>
    <row r="321" ht="15" customHeight="1">
      <c r="A321" t="inlineStr">
        <is>
          <t>A 15552-2021</t>
        </is>
      </c>
      <c r="B321" s="1" t="n">
        <v>44285</v>
      </c>
      <c r="C321" s="1" t="n">
        <v>46083</v>
      </c>
      <c r="D321" t="inlineStr">
        <is>
          <t>STOCKHOLMS LÄN</t>
        </is>
      </c>
      <c r="E321" t="inlineStr">
        <is>
          <t>NORRTÄLJE</t>
        </is>
      </c>
      <c r="G321" t="n">
        <v>10</v>
      </c>
      <c r="H321" t="n">
        <v>0</v>
      </c>
      <c r="I321" t="n">
        <v>0</v>
      </c>
      <c r="J321" t="n">
        <v>0</v>
      </c>
      <c r="K321" t="n">
        <v>0</v>
      </c>
      <c r="L321" t="n">
        <v>0</v>
      </c>
      <c r="M321" t="n">
        <v>0</v>
      </c>
      <c r="N321" t="n">
        <v>0</v>
      </c>
      <c r="O321" t="n">
        <v>0</v>
      </c>
      <c r="P321" t="n">
        <v>0</v>
      </c>
      <c r="Q321" t="n">
        <v>0</v>
      </c>
      <c r="R321" s="2" t="inlineStr"/>
    </row>
    <row r="322" ht="15" customHeight="1">
      <c r="A322" t="inlineStr">
        <is>
          <t>A 45255-2022</t>
        </is>
      </c>
      <c r="B322" s="1" t="n">
        <v>44840</v>
      </c>
      <c r="C322" s="1" t="n">
        <v>46083</v>
      </c>
      <c r="D322" t="inlineStr">
        <is>
          <t>STOCKHOLMS LÄN</t>
        </is>
      </c>
      <c r="E322" t="inlineStr">
        <is>
          <t>NORRTÄLJE</t>
        </is>
      </c>
      <c r="G322" t="n">
        <v>4.1</v>
      </c>
      <c r="H322" t="n">
        <v>0</v>
      </c>
      <c r="I322" t="n">
        <v>0</v>
      </c>
      <c r="J322" t="n">
        <v>0</v>
      </c>
      <c r="K322" t="n">
        <v>0</v>
      </c>
      <c r="L322" t="n">
        <v>0</v>
      </c>
      <c r="M322" t="n">
        <v>0</v>
      </c>
      <c r="N322" t="n">
        <v>0</v>
      </c>
      <c r="O322" t="n">
        <v>0</v>
      </c>
      <c r="P322" t="n">
        <v>0</v>
      </c>
      <c r="Q322" t="n">
        <v>0</v>
      </c>
      <c r="R322" s="2" t="inlineStr"/>
    </row>
    <row r="323" ht="15" customHeight="1">
      <c r="A323" t="inlineStr">
        <is>
          <t>A 19915-2024</t>
        </is>
      </c>
      <c r="B323" s="1" t="n">
        <v>45433.58431712963</v>
      </c>
      <c r="C323" s="1" t="n">
        <v>46083</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46083</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12629-2024</t>
        </is>
      </c>
      <c r="B325" s="1" t="n">
        <v>45383</v>
      </c>
      <c r="C325" s="1" t="n">
        <v>46083</v>
      </c>
      <c r="D325" t="inlineStr">
        <is>
          <t>STOCKHOLMS LÄN</t>
        </is>
      </c>
      <c r="E325" t="inlineStr">
        <is>
          <t>NORRTÄLJE</t>
        </is>
      </c>
      <c r="G325" t="n">
        <v>2.6</v>
      </c>
      <c r="H325" t="n">
        <v>0</v>
      </c>
      <c r="I325" t="n">
        <v>0</v>
      </c>
      <c r="J325" t="n">
        <v>0</v>
      </c>
      <c r="K325" t="n">
        <v>0</v>
      </c>
      <c r="L325" t="n">
        <v>0</v>
      </c>
      <c r="M325" t="n">
        <v>0</v>
      </c>
      <c r="N325" t="n">
        <v>0</v>
      </c>
      <c r="O325" t="n">
        <v>0</v>
      </c>
      <c r="P325" t="n">
        <v>0</v>
      </c>
      <c r="Q325" t="n">
        <v>0</v>
      </c>
      <c r="R325" s="2" t="inlineStr"/>
    </row>
    <row r="326" ht="15" customHeight="1">
      <c r="A326" t="inlineStr">
        <is>
          <t>A 20428-2024</t>
        </is>
      </c>
      <c r="B326" s="1" t="n">
        <v>45435</v>
      </c>
      <c r="C326" s="1" t="n">
        <v>46083</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46083</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13051-2021</t>
        </is>
      </c>
      <c r="B328" s="1" t="n">
        <v>44272</v>
      </c>
      <c r="C328" s="1" t="n">
        <v>46083</v>
      </c>
      <c r="D328" t="inlineStr">
        <is>
          <t>STOCKHOLMS LÄN</t>
        </is>
      </c>
      <c r="E328" t="inlineStr">
        <is>
          <t>NORRTÄLJE</t>
        </is>
      </c>
      <c r="G328" t="n">
        <v>9.1</v>
      </c>
      <c r="H328" t="n">
        <v>0</v>
      </c>
      <c r="I328" t="n">
        <v>0</v>
      </c>
      <c r="J328" t="n">
        <v>0</v>
      </c>
      <c r="K328" t="n">
        <v>0</v>
      </c>
      <c r="L328" t="n">
        <v>0</v>
      </c>
      <c r="M328" t="n">
        <v>0</v>
      </c>
      <c r="N328" t="n">
        <v>0</v>
      </c>
      <c r="O328" t="n">
        <v>0</v>
      </c>
      <c r="P328" t="n">
        <v>0</v>
      </c>
      <c r="Q328" t="n">
        <v>0</v>
      </c>
      <c r="R328" s="2" t="inlineStr"/>
    </row>
    <row r="329" ht="15" customHeight="1">
      <c r="A329" t="inlineStr">
        <is>
          <t>A 55755-2023</t>
        </is>
      </c>
      <c r="B329" s="1" t="n">
        <v>45239</v>
      </c>
      <c r="C329" s="1" t="n">
        <v>46083</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23149-2024</t>
        </is>
      </c>
      <c r="B330" s="1" t="n">
        <v>45450.64208333333</v>
      </c>
      <c r="C330" s="1" t="n">
        <v>46083</v>
      </c>
      <c r="D330" t="inlineStr">
        <is>
          <t>STOCKHOLMS LÄN</t>
        </is>
      </c>
      <c r="E330" t="inlineStr">
        <is>
          <t>NORRTÄLJE</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23151-2024</t>
        </is>
      </c>
      <c r="B331" s="1" t="n">
        <v>45450</v>
      </c>
      <c r="C331" s="1" t="n">
        <v>46083</v>
      </c>
      <c r="D331" t="inlineStr">
        <is>
          <t>STOCKHOLMS LÄN</t>
        </is>
      </c>
      <c r="E331" t="inlineStr">
        <is>
          <t>NORRTÄLJE</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40761-2024</t>
        </is>
      </c>
      <c r="B332" s="1" t="n">
        <v>45558.46283564815</v>
      </c>
      <c r="C332" s="1" t="n">
        <v>46083</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46083</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46083</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23692-2024</t>
        </is>
      </c>
      <c r="B335" s="1" t="n">
        <v>45454.65774305556</v>
      </c>
      <c r="C335" s="1" t="n">
        <v>46083</v>
      </c>
      <c r="D335" t="inlineStr">
        <is>
          <t>STOCKHOLMS LÄN</t>
        </is>
      </c>
      <c r="E335" t="inlineStr">
        <is>
          <t>NORRTÄLJE</t>
        </is>
      </c>
      <c r="G335" t="n">
        <v>3.7</v>
      </c>
      <c r="H335" t="n">
        <v>0</v>
      </c>
      <c r="I335" t="n">
        <v>0</v>
      </c>
      <c r="J335" t="n">
        <v>0</v>
      </c>
      <c r="K335" t="n">
        <v>0</v>
      </c>
      <c r="L335" t="n">
        <v>0</v>
      </c>
      <c r="M335" t="n">
        <v>0</v>
      </c>
      <c r="N335" t="n">
        <v>0</v>
      </c>
      <c r="O335" t="n">
        <v>0</v>
      </c>
      <c r="P335" t="n">
        <v>0</v>
      </c>
      <c r="Q335" t="n">
        <v>0</v>
      </c>
      <c r="R335" s="2" t="inlineStr"/>
    </row>
    <row r="336" ht="15" customHeight="1">
      <c r="A336" t="inlineStr">
        <is>
          <t>A 51978-2023</t>
        </is>
      </c>
      <c r="B336" s="1" t="n">
        <v>45223</v>
      </c>
      <c r="C336" s="1" t="n">
        <v>46083</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47431-2023</t>
        </is>
      </c>
      <c r="B337" s="1" t="n">
        <v>45202</v>
      </c>
      <c r="C337" s="1" t="n">
        <v>46083</v>
      </c>
      <c r="D337" t="inlineStr">
        <is>
          <t>STOCKHOLMS LÄN</t>
        </is>
      </c>
      <c r="E337" t="inlineStr">
        <is>
          <t>NORRTÄLJE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50569-2022</t>
        </is>
      </c>
      <c r="B338" s="1" t="n">
        <v>44866.63775462963</v>
      </c>
      <c r="C338" s="1" t="n">
        <v>46083</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23262-2023</t>
        </is>
      </c>
      <c r="B339" s="1" t="n">
        <v>45075.90270833333</v>
      </c>
      <c r="C339" s="1" t="n">
        <v>46083</v>
      </c>
      <c r="D339" t="inlineStr">
        <is>
          <t>STOCKHOLMS LÄN</t>
        </is>
      </c>
      <c r="E339" t="inlineStr">
        <is>
          <t>NORRTÄLJE</t>
        </is>
      </c>
      <c r="F339" t="inlineStr">
        <is>
          <t>Kommuner</t>
        </is>
      </c>
      <c r="G339" t="n">
        <v>1.9</v>
      </c>
      <c r="H339" t="n">
        <v>0</v>
      </c>
      <c r="I339" t="n">
        <v>0</v>
      </c>
      <c r="J339" t="n">
        <v>0</v>
      </c>
      <c r="K339" t="n">
        <v>0</v>
      </c>
      <c r="L339" t="n">
        <v>0</v>
      </c>
      <c r="M339" t="n">
        <v>0</v>
      </c>
      <c r="N339" t="n">
        <v>0</v>
      </c>
      <c r="O339" t="n">
        <v>0</v>
      </c>
      <c r="P339" t="n">
        <v>0</v>
      </c>
      <c r="Q339" t="n">
        <v>0</v>
      </c>
      <c r="R339" s="2" t="inlineStr"/>
    </row>
    <row r="340" ht="15" customHeight="1">
      <c r="A340" t="inlineStr">
        <is>
          <t>A 23268-2023</t>
        </is>
      </c>
      <c r="B340" s="1" t="n">
        <v>45075.91042824074</v>
      </c>
      <c r="C340" s="1" t="n">
        <v>46083</v>
      </c>
      <c r="D340" t="inlineStr">
        <is>
          <t>STOCKHOLMS LÄN</t>
        </is>
      </c>
      <c r="E340" t="inlineStr">
        <is>
          <t>NORRTÄLJE</t>
        </is>
      </c>
      <c r="G340" t="n">
        <v>3.3</v>
      </c>
      <c r="H340" t="n">
        <v>0</v>
      </c>
      <c r="I340" t="n">
        <v>0</v>
      </c>
      <c r="J340" t="n">
        <v>0</v>
      </c>
      <c r="K340" t="n">
        <v>0</v>
      </c>
      <c r="L340" t="n">
        <v>0</v>
      </c>
      <c r="M340" t="n">
        <v>0</v>
      </c>
      <c r="N340" t="n">
        <v>0</v>
      </c>
      <c r="O340" t="n">
        <v>0</v>
      </c>
      <c r="P340" t="n">
        <v>0</v>
      </c>
      <c r="Q340" t="n">
        <v>0</v>
      </c>
      <c r="R340" s="2" t="inlineStr"/>
    </row>
    <row r="341" ht="15" customHeight="1">
      <c r="A341" t="inlineStr">
        <is>
          <t>A 23270-2023</t>
        </is>
      </c>
      <c r="B341" s="1" t="n">
        <v>45075.91265046296</v>
      </c>
      <c r="C341" s="1" t="n">
        <v>46083</v>
      </c>
      <c r="D341" t="inlineStr">
        <is>
          <t>STOCKHOLMS LÄN</t>
        </is>
      </c>
      <c r="E341" t="inlineStr">
        <is>
          <t>NORRTÄLJE</t>
        </is>
      </c>
      <c r="G341" t="n">
        <v>12.3</v>
      </c>
      <c r="H341" t="n">
        <v>0</v>
      </c>
      <c r="I341" t="n">
        <v>0</v>
      </c>
      <c r="J341" t="n">
        <v>0</v>
      </c>
      <c r="K341" t="n">
        <v>0</v>
      </c>
      <c r="L341" t="n">
        <v>0</v>
      </c>
      <c r="M341" t="n">
        <v>0</v>
      </c>
      <c r="N341" t="n">
        <v>0</v>
      </c>
      <c r="O341" t="n">
        <v>0</v>
      </c>
      <c r="P341" t="n">
        <v>0</v>
      </c>
      <c r="Q341" t="n">
        <v>0</v>
      </c>
      <c r="R341" s="2" t="inlineStr"/>
    </row>
    <row r="342" ht="15" customHeight="1">
      <c r="A342" t="inlineStr">
        <is>
          <t>A 23274-2023</t>
        </is>
      </c>
      <c r="B342" s="1" t="n">
        <v>45075.92153935185</v>
      </c>
      <c r="C342" s="1" t="n">
        <v>46083</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37550-2022</t>
        </is>
      </c>
      <c r="B343" s="1" t="n">
        <v>44809</v>
      </c>
      <c r="C343" s="1" t="n">
        <v>46083</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5732-2023</t>
        </is>
      </c>
      <c r="B344" s="1" t="n">
        <v>44962</v>
      </c>
      <c r="C344" s="1" t="n">
        <v>46083</v>
      </c>
      <c r="D344" t="inlineStr">
        <is>
          <t>STOCKHOLMS LÄN</t>
        </is>
      </c>
      <c r="E344" t="inlineStr">
        <is>
          <t>NORRTÄLJE</t>
        </is>
      </c>
      <c r="G344" t="n">
        <v>0.5</v>
      </c>
      <c r="H344" t="n">
        <v>0</v>
      </c>
      <c r="I344" t="n">
        <v>0</v>
      </c>
      <c r="J344" t="n">
        <v>0</v>
      </c>
      <c r="K344" t="n">
        <v>0</v>
      </c>
      <c r="L344" t="n">
        <v>0</v>
      </c>
      <c r="M344" t="n">
        <v>0</v>
      </c>
      <c r="N344" t="n">
        <v>0</v>
      </c>
      <c r="O344" t="n">
        <v>0</v>
      </c>
      <c r="P344" t="n">
        <v>0</v>
      </c>
      <c r="Q344" t="n">
        <v>0</v>
      </c>
      <c r="R344" s="2" t="inlineStr"/>
    </row>
    <row r="345" ht="15" customHeight="1">
      <c r="A345" t="inlineStr">
        <is>
          <t>A 60224-2023</t>
        </is>
      </c>
      <c r="B345" s="1" t="n">
        <v>45257</v>
      </c>
      <c r="C345" s="1" t="n">
        <v>46083</v>
      </c>
      <c r="D345" t="inlineStr">
        <is>
          <t>STOCKHOLMS LÄN</t>
        </is>
      </c>
      <c r="E345" t="inlineStr">
        <is>
          <t>NORRTÄLJE</t>
        </is>
      </c>
      <c r="G345" t="n">
        <v>8.1</v>
      </c>
      <c r="H345" t="n">
        <v>0</v>
      </c>
      <c r="I345" t="n">
        <v>0</v>
      </c>
      <c r="J345" t="n">
        <v>0</v>
      </c>
      <c r="K345" t="n">
        <v>0</v>
      </c>
      <c r="L345" t="n">
        <v>0</v>
      </c>
      <c r="M345" t="n">
        <v>0</v>
      </c>
      <c r="N345" t="n">
        <v>0</v>
      </c>
      <c r="O345" t="n">
        <v>0</v>
      </c>
      <c r="P345" t="n">
        <v>0</v>
      </c>
      <c r="Q345" t="n">
        <v>0</v>
      </c>
      <c r="R345" s="2" t="inlineStr"/>
    </row>
    <row r="346" ht="15" customHeight="1">
      <c r="A346" t="inlineStr">
        <is>
          <t>A 25609-2023</t>
        </is>
      </c>
      <c r="B346" s="1" t="n">
        <v>45089</v>
      </c>
      <c r="C346" s="1" t="n">
        <v>46083</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33569-2023</t>
        </is>
      </c>
      <c r="B347" s="1" t="n">
        <v>45131.666875</v>
      </c>
      <c r="C347" s="1" t="n">
        <v>46083</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22833-2024</t>
        </is>
      </c>
      <c r="B348" s="1" t="n">
        <v>45448.56746527777</v>
      </c>
      <c r="C348" s="1" t="n">
        <v>46083</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17785-2024</t>
        </is>
      </c>
      <c r="B349" s="1" t="n">
        <v>45418.6968287037</v>
      </c>
      <c r="C349" s="1" t="n">
        <v>46083</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26115-2024</t>
        </is>
      </c>
      <c r="B350" s="1" t="n">
        <v>45468.45628472222</v>
      </c>
      <c r="C350" s="1" t="n">
        <v>46083</v>
      </c>
      <c r="D350" t="inlineStr">
        <is>
          <t>STOCKHOLMS LÄN</t>
        </is>
      </c>
      <c r="E350" t="inlineStr">
        <is>
          <t>NORRTÄLJE</t>
        </is>
      </c>
      <c r="G350" t="n">
        <v>0.3</v>
      </c>
      <c r="H350" t="n">
        <v>0</v>
      </c>
      <c r="I350" t="n">
        <v>0</v>
      </c>
      <c r="J350" t="n">
        <v>0</v>
      </c>
      <c r="K350" t="n">
        <v>0</v>
      </c>
      <c r="L350" t="n">
        <v>0</v>
      </c>
      <c r="M350" t="n">
        <v>0</v>
      </c>
      <c r="N350" t="n">
        <v>0</v>
      </c>
      <c r="O350" t="n">
        <v>0</v>
      </c>
      <c r="P350" t="n">
        <v>0</v>
      </c>
      <c r="Q350" t="n">
        <v>0</v>
      </c>
      <c r="R350" s="2" t="inlineStr"/>
    </row>
    <row r="351" ht="15" customHeight="1">
      <c r="A351" t="inlineStr">
        <is>
          <t>A 32071-2023</t>
        </is>
      </c>
      <c r="B351" s="1" t="n">
        <v>45119.57728009259</v>
      </c>
      <c r="C351" s="1" t="n">
        <v>46083</v>
      </c>
      <c r="D351" t="inlineStr">
        <is>
          <t>STOCKHOLMS LÄN</t>
        </is>
      </c>
      <c r="E351" t="inlineStr">
        <is>
          <t>NORRTÄLJE</t>
        </is>
      </c>
      <c r="G351" t="n">
        <v>6.5</v>
      </c>
      <c r="H351" t="n">
        <v>0</v>
      </c>
      <c r="I351" t="n">
        <v>0</v>
      </c>
      <c r="J351" t="n">
        <v>0</v>
      </c>
      <c r="K351" t="n">
        <v>0</v>
      </c>
      <c r="L351" t="n">
        <v>0</v>
      </c>
      <c r="M351" t="n">
        <v>0</v>
      </c>
      <c r="N351" t="n">
        <v>0</v>
      </c>
      <c r="O351" t="n">
        <v>0</v>
      </c>
      <c r="P351" t="n">
        <v>0</v>
      </c>
      <c r="Q351" t="n">
        <v>0</v>
      </c>
      <c r="R351" s="2" t="inlineStr"/>
    </row>
    <row r="352" ht="15" customHeight="1">
      <c r="A352" t="inlineStr">
        <is>
          <t>A 29684-2021</t>
        </is>
      </c>
      <c r="B352" s="1" t="n">
        <v>44362.37172453704</v>
      </c>
      <c r="C352" s="1" t="n">
        <v>46083</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25681-2024</t>
        </is>
      </c>
      <c r="B353" s="1" t="n">
        <v>45463.80486111111</v>
      </c>
      <c r="C353" s="1" t="n">
        <v>46083</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24245-2024</t>
        </is>
      </c>
      <c r="B354" s="1" t="n">
        <v>45457</v>
      </c>
      <c r="C354" s="1" t="n">
        <v>46083</v>
      </c>
      <c r="D354" t="inlineStr">
        <is>
          <t>STOCKHOLMS LÄN</t>
        </is>
      </c>
      <c r="E354" t="inlineStr">
        <is>
          <t>NORRTÄLJE</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54273-2021</t>
        </is>
      </c>
      <c r="B355" s="1" t="n">
        <v>44470.72987268519</v>
      </c>
      <c r="C355" s="1" t="n">
        <v>46083</v>
      </c>
      <c r="D355" t="inlineStr">
        <is>
          <t>STOCKHOLMS LÄN</t>
        </is>
      </c>
      <c r="E355" t="inlineStr">
        <is>
          <t>NORRTÄLJE</t>
        </is>
      </c>
      <c r="G355" t="n">
        <v>2.7</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46083</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6537-2024</t>
        </is>
      </c>
      <c r="B357" s="1" t="n">
        <v>45341.39853009259</v>
      </c>
      <c r="C357" s="1" t="n">
        <v>46083</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21386-2023</t>
        </is>
      </c>
      <c r="B358" s="1" t="n">
        <v>45063.35880787037</v>
      </c>
      <c r="C358" s="1" t="n">
        <v>46083</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52260-2022</t>
        </is>
      </c>
      <c r="B359" s="1" t="n">
        <v>44869</v>
      </c>
      <c r="C359" s="1" t="n">
        <v>46083</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4593-2023</t>
        </is>
      </c>
      <c r="B360" s="1" t="n">
        <v>44956</v>
      </c>
      <c r="C360" s="1" t="n">
        <v>46083</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55058-2021</t>
        </is>
      </c>
      <c r="B361" s="1" t="n">
        <v>44474.62141203704</v>
      </c>
      <c r="C361" s="1" t="n">
        <v>46083</v>
      </c>
      <c r="D361" t="inlineStr">
        <is>
          <t>STOCKHOLMS LÄN</t>
        </is>
      </c>
      <c r="E361" t="inlineStr">
        <is>
          <t>NORRTÄLJE</t>
        </is>
      </c>
      <c r="G361" t="n">
        <v>1.9</v>
      </c>
      <c r="H361" t="n">
        <v>0</v>
      </c>
      <c r="I361" t="n">
        <v>0</v>
      </c>
      <c r="J361" t="n">
        <v>0</v>
      </c>
      <c r="K361" t="n">
        <v>0</v>
      </c>
      <c r="L361" t="n">
        <v>0</v>
      </c>
      <c r="M361" t="n">
        <v>0</v>
      </c>
      <c r="N361" t="n">
        <v>0</v>
      </c>
      <c r="O361" t="n">
        <v>0</v>
      </c>
      <c r="P361" t="n">
        <v>0</v>
      </c>
      <c r="Q361" t="n">
        <v>0</v>
      </c>
      <c r="R361" s="2" t="inlineStr"/>
    </row>
    <row r="362" ht="15" customHeight="1">
      <c r="A362" t="inlineStr">
        <is>
          <t>A 40192-2023</t>
        </is>
      </c>
      <c r="B362" s="1" t="n">
        <v>45169</v>
      </c>
      <c r="C362" s="1" t="n">
        <v>46083</v>
      </c>
      <c r="D362" t="inlineStr">
        <is>
          <t>STOCKHOLMS LÄN</t>
        </is>
      </c>
      <c r="E362" t="inlineStr">
        <is>
          <t>NORRTÄLJE</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4035-2023</t>
        </is>
      </c>
      <c r="B363" s="1" t="n">
        <v>44952.57989583333</v>
      </c>
      <c r="C363" s="1" t="n">
        <v>46083</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34295-2024</t>
        </is>
      </c>
      <c r="B364" s="1" t="n">
        <v>45524</v>
      </c>
      <c r="C364" s="1" t="n">
        <v>46083</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26644-2024</t>
        </is>
      </c>
      <c r="B365" s="1" t="n">
        <v>45469</v>
      </c>
      <c r="C365" s="1" t="n">
        <v>46083</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26668-2024</t>
        </is>
      </c>
      <c r="B366" s="1" t="n">
        <v>45469</v>
      </c>
      <c r="C366" s="1" t="n">
        <v>46083</v>
      </c>
      <c r="D366" t="inlineStr">
        <is>
          <t>STOCKHOLMS LÄN</t>
        </is>
      </c>
      <c r="E366" t="inlineStr">
        <is>
          <t>NORRTÄLJE</t>
        </is>
      </c>
      <c r="G366" t="n">
        <v>4.8</v>
      </c>
      <c r="H366" t="n">
        <v>0</v>
      </c>
      <c r="I366" t="n">
        <v>0</v>
      </c>
      <c r="J366" t="n">
        <v>0</v>
      </c>
      <c r="K366" t="n">
        <v>0</v>
      </c>
      <c r="L366" t="n">
        <v>0</v>
      </c>
      <c r="M366" t="n">
        <v>0</v>
      </c>
      <c r="N366" t="n">
        <v>0</v>
      </c>
      <c r="O366" t="n">
        <v>0</v>
      </c>
      <c r="P366" t="n">
        <v>0</v>
      </c>
      <c r="Q366" t="n">
        <v>0</v>
      </c>
      <c r="R366" s="2" t="inlineStr"/>
    </row>
    <row r="367" ht="15" customHeight="1">
      <c r="A367" t="inlineStr">
        <is>
          <t>A 54396-2021</t>
        </is>
      </c>
      <c r="B367" s="1" t="n">
        <v>44472</v>
      </c>
      <c r="C367" s="1" t="n">
        <v>46083</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37085-2021</t>
        </is>
      </c>
      <c r="B368" s="1" t="n">
        <v>44395</v>
      </c>
      <c r="C368" s="1" t="n">
        <v>46083</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46988-2024</t>
        </is>
      </c>
      <c r="B369" s="1" t="n">
        <v>45586</v>
      </c>
      <c r="C369" s="1" t="n">
        <v>46083</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9914-2023</t>
        </is>
      </c>
      <c r="B370" s="1" t="n">
        <v>44985</v>
      </c>
      <c r="C370" s="1" t="n">
        <v>46083</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71552-2021</t>
        </is>
      </c>
      <c r="B371" s="1" t="n">
        <v>44540</v>
      </c>
      <c r="C371" s="1" t="n">
        <v>46083</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60525-2022</t>
        </is>
      </c>
      <c r="B372" s="1" t="n">
        <v>44904</v>
      </c>
      <c r="C372" s="1" t="n">
        <v>46083</v>
      </c>
      <c r="D372" t="inlineStr">
        <is>
          <t>STOCKHOLMS LÄN</t>
        </is>
      </c>
      <c r="E372" t="inlineStr">
        <is>
          <t>NORRTÄLJE</t>
        </is>
      </c>
      <c r="G372" t="n">
        <v>13.4</v>
      </c>
      <c r="H372" t="n">
        <v>0</v>
      </c>
      <c r="I372" t="n">
        <v>0</v>
      </c>
      <c r="J372" t="n">
        <v>0</v>
      </c>
      <c r="K372" t="n">
        <v>0</v>
      </c>
      <c r="L372" t="n">
        <v>0</v>
      </c>
      <c r="M372" t="n">
        <v>0</v>
      </c>
      <c r="N372" t="n">
        <v>0</v>
      </c>
      <c r="O372" t="n">
        <v>0</v>
      </c>
      <c r="P372" t="n">
        <v>0</v>
      </c>
      <c r="Q372" t="n">
        <v>0</v>
      </c>
      <c r="R372" s="2" t="inlineStr"/>
    </row>
    <row r="373" ht="15" customHeight="1">
      <c r="A373" t="inlineStr">
        <is>
          <t>A 17382-2024</t>
        </is>
      </c>
      <c r="B373" s="1" t="n">
        <v>45414.65855324074</v>
      </c>
      <c r="C373" s="1" t="n">
        <v>46083</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23060-2023</t>
        </is>
      </c>
      <c r="B374" s="1" t="n">
        <v>45075</v>
      </c>
      <c r="C374" s="1" t="n">
        <v>46083</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25557-2023</t>
        </is>
      </c>
      <c r="B375" s="1" t="n">
        <v>45089</v>
      </c>
      <c r="C375" s="1" t="n">
        <v>46083</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58302-2022</t>
        </is>
      </c>
      <c r="B376" s="1" t="n">
        <v>44901</v>
      </c>
      <c r="C376" s="1" t="n">
        <v>46083</v>
      </c>
      <c r="D376" t="inlineStr">
        <is>
          <t>STOCKHOLMS LÄN</t>
        </is>
      </c>
      <c r="E376" t="inlineStr">
        <is>
          <t>NORRTÄLJE</t>
        </is>
      </c>
      <c r="G376" t="n">
        <v>3.9</v>
      </c>
      <c r="H376" t="n">
        <v>0</v>
      </c>
      <c r="I376" t="n">
        <v>0</v>
      </c>
      <c r="J376" t="n">
        <v>0</v>
      </c>
      <c r="K376" t="n">
        <v>0</v>
      </c>
      <c r="L376" t="n">
        <v>0</v>
      </c>
      <c r="M376" t="n">
        <v>0</v>
      </c>
      <c r="N376" t="n">
        <v>0</v>
      </c>
      <c r="O376" t="n">
        <v>0</v>
      </c>
      <c r="P376" t="n">
        <v>0</v>
      </c>
      <c r="Q376" t="n">
        <v>0</v>
      </c>
      <c r="R376" s="2" t="inlineStr"/>
    </row>
    <row r="377" ht="15" customHeight="1">
      <c r="A377" t="inlineStr">
        <is>
          <t>A 23269-2023</t>
        </is>
      </c>
      <c r="B377" s="1" t="n">
        <v>45075.91148148148</v>
      </c>
      <c r="C377" s="1" t="n">
        <v>46083</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25697-2025</t>
        </is>
      </c>
      <c r="B378" s="1" t="n">
        <v>45803.66587962963</v>
      </c>
      <c r="C378" s="1" t="n">
        <v>46083</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52743-2024</t>
        </is>
      </c>
      <c r="B379" s="1" t="n">
        <v>45610.47414351852</v>
      </c>
      <c r="C379" s="1" t="n">
        <v>46083</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11499-2023</t>
        </is>
      </c>
      <c r="B380" s="1" t="n">
        <v>44993.66707175926</v>
      </c>
      <c r="C380" s="1" t="n">
        <v>46083</v>
      </c>
      <c r="D380" t="inlineStr">
        <is>
          <t>STOCKHOLMS LÄN</t>
        </is>
      </c>
      <c r="E380" t="inlineStr">
        <is>
          <t>NORRTÄLJE</t>
        </is>
      </c>
      <c r="F380" t="inlineStr">
        <is>
          <t>Holmen skog AB</t>
        </is>
      </c>
      <c r="G380" t="n">
        <v>2.8</v>
      </c>
      <c r="H380" t="n">
        <v>0</v>
      </c>
      <c r="I380" t="n">
        <v>0</v>
      </c>
      <c r="J380" t="n">
        <v>0</v>
      </c>
      <c r="K380" t="n">
        <v>0</v>
      </c>
      <c r="L380" t="n">
        <v>0</v>
      </c>
      <c r="M380" t="n">
        <v>0</v>
      </c>
      <c r="N380" t="n">
        <v>0</v>
      </c>
      <c r="O380" t="n">
        <v>0</v>
      </c>
      <c r="P380" t="n">
        <v>0</v>
      </c>
      <c r="Q380" t="n">
        <v>0</v>
      </c>
      <c r="R380" s="2" t="inlineStr"/>
    </row>
    <row r="381" ht="15" customHeight="1">
      <c r="A381" t="inlineStr">
        <is>
          <t>A 64600-2021</t>
        </is>
      </c>
      <c r="B381" s="1" t="n">
        <v>44511.70518518519</v>
      </c>
      <c r="C381" s="1" t="n">
        <v>46083</v>
      </c>
      <c r="D381" t="inlineStr">
        <is>
          <t>STOCKHOLMS LÄN</t>
        </is>
      </c>
      <c r="E381" t="inlineStr">
        <is>
          <t>NORRTÄLJE</t>
        </is>
      </c>
      <c r="G381" t="n">
        <v>6.2</v>
      </c>
      <c r="H381" t="n">
        <v>0</v>
      </c>
      <c r="I381" t="n">
        <v>0</v>
      </c>
      <c r="J381" t="n">
        <v>0</v>
      </c>
      <c r="K381" t="n">
        <v>0</v>
      </c>
      <c r="L381" t="n">
        <v>0</v>
      </c>
      <c r="M381" t="n">
        <v>0</v>
      </c>
      <c r="N381" t="n">
        <v>0</v>
      </c>
      <c r="O381" t="n">
        <v>0</v>
      </c>
      <c r="P381" t="n">
        <v>0</v>
      </c>
      <c r="Q381" t="n">
        <v>0</v>
      </c>
      <c r="R381" s="2" t="inlineStr"/>
    </row>
    <row r="382" ht="15" customHeight="1">
      <c r="A382" t="inlineStr">
        <is>
          <t>A 35640-2024</t>
        </is>
      </c>
      <c r="B382" s="1" t="n">
        <v>45531</v>
      </c>
      <c r="C382" s="1" t="n">
        <v>46083</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8586-2023</t>
        </is>
      </c>
      <c r="B383" s="1" t="n">
        <v>44977</v>
      </c>
      <c r="C383" s="1" t="n">
        <v>46083</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22816-2021</t>
        </is>
      </c>
      <c r="B384" s="1" t="n">
        <v>44325</v>
      </c>
      <c r="C384" s="1" t="n">
        <v>46083</v>
      </c>
      <c r="D384" t="inlineStr">
        <is>
          <t>STOCKHOLMS LÄN</t>
        </is>
      </c>
      <c r="E384" t="inlineStr">
        <is>
          <t>NORRTÄLJE</t>
        </is>
      </c>
      <c r="G384" t="n">
        <v>4.5</v>
      </c>
      <c r="H384" t="n">
        <v>0</v>
      </c>
      <c r="I384" t="n">
        <v>0</v>
      </c>
      <c r="J384" t="n">
        <v>0</v>
      </c>
      <c r="K384" t="n">
        <v>0</v>
      </c>
      <c r="L384" t="n">
        <v>0</v>
      </c>
      <c r="M384" t="n">
        <v>0</v>
      </c>
      <c r="N384" t="n">
        <v>0</v>
      </c>
      <c r="O384" t="n">
        <v>0</v>
      </c>
      <c r="P384" t="n">
        <v>0</v>
      </c>
      <c r="Q384" t="n">
        <v>0</v>
      </c>
      <c r="R384" s="2" t="inlineStr"/>
    </row>
    <row r="385" ht="15" customHeight="1">
      <c r="A385" t="inlineStr">
        <is>
          <t>A 47259-2024</t>
        </is>
      </c>
      <c r="B385" s="1" t="n">
        <v>45586</v>
      </c>
      <c r="C385" s="1" t="n">
        <v>46083</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67990-2021</t>
        </is>
      </c>
      <c r="B386" s="1" t="n">
        <v>44525</v>
      </c>
      <c r="C386" s="1" t="n">
        <v>46083</v>
      </c>
      <c r="D386" t="inlineStr">
        <is>
          <t>STOCKHOLMS LÄN</t>
        </is>
      </c>
      <c r="E386" t="inlineStr">
        <is>
          <t>NORRTÄLJE</t>
        </is>
      </c>
      <c r="F386" t="inlineStr">
        <is>
          <t>Sveaskog</t>
        </is>
      </c>
      <c r="G386" t="n">
        <v>7.8</v>
      </c>
      <c r="H386" t="n">
        <v>0</v>
      </c>
      <c r="I386" t="n">
        <v>0</v>
      </c>
      <c r="J386" t="n">
        <v>0</v>
      </c>
      <c r="K386" t="n">
        <v>0</v>
      </c>
      <c r="L386" t="n">
        <v>0</v>
      </c>
      <c r="M386" t="n">
        <v>0</v>
      </c>
      <c r="N386" t="n">
        <v>0</v>
      </c>
      <c r="O386" t="n">
        <v>0</v>
      </c>
      <c r="P386" t="n">
        <v>0</v>
      </c>
      <c r="Q386" t="n">
        <v>0</v>
      </c>
      <c r="R386" s="2" t="inlineStr"/>
    </row>
    <row r="387" ht="15" customHeight="1">
      <c r="A387" t="inlineStr">
        <is>
          <t>A 65499-2021</t>
        </is>
      </c>
      <c r="B387" s="1" t="n">
        <v>44516</v>
      </c>
      <c r="C387" s="1" t="n">
        <v>46083</v>
      </c>
      <c r="D387" t="inlineStr">
        <is>
          <t>STOCKHOLMS LÄN</t>
        </is>
      </c>
      <c r="E387" t="inlineStr">
        <is>
          <t>NORRTÄLJE</t>
        </is>
      </c>
      <c r="F387" t="inlineStr">
        <is>
          <t>Kommuner</t>
        </is>
      </c>
      <c r="G387" t="n">
        <v>5.2</v>
      </c>
      <c r="H387" t="n">
        <v>0</v>
      </c>
      <c r="I387" t="n">
        <v>0</v>
      </c>
      <c r="J387" t="n">
        <v>0</v>
      </c>
      <c r="K387" t="n">
        <v>0</v>
      </c>
      <c r="L387" t="n">
        <v>0</v>
      </c>
      <c r="M387" t="n">
        <v>0</v>
      </c>
      <c r="N387" t="n">
        <v>0</v>
      </c>
      <c r="O387" t="n">
        <v>0</v>
      </c>
      <c r="P387" t="n">
        <v>0</v>
      </c>
      <c r="Q387" t="n">
        <v>0</v>
      </c>
      <c r="R387" s="2" t="inlineStr"/>
    </row>
    <row r="388" ht="15" customHeight="1">
      <c r="A388" t="inlineStr">
        <is>
          <t>A 21696-2024</t>
        </is>
      </c>
      <c r="B388" s="1" t="n">
        <v>45442.45686342593</v>
      </c>
      <c r="C388" s="1" t="n">
        <v>46083</v>
      </c>
      <c r="D388" t="inlineStr">
        <is>
          <t>STOCKHOLMS LÄN</t>
        </is>
      </c>
      <c r="E388" t="inlineStr">
        <is>
          <t>NORRTÄLJE</t>
        </is>
      </c>
      <c r="G388" t="n">
        <v>2.9</v>
      </c>
      <c r="H388" t="n">
        <v>0</v>
      </c>
      <c r="I388" t="n">
        <v>0</v>
      </c>
      <c r="J388" t="n">
        <v>0</v>
      </c>
      <c r="K388" t="n">
        <v>0</v>
      </c>
      <c r="L388" t="n">
        <v>0</v>
      </c>
      <c r="M388" t="n">
        <v>0</v>
      </c>
      <c r="N388" t="n">
        <v>0</v>
      </c>
      <c r="O388" t="n">
        <v>0</v>
      </c>
      <c r="P388" t="n">
        <v>0</v>
      </c>
      <c r="Q388" t="n">
        <v>0</v>
      </c>
      <c r="R388" s="2" t="inlineStr"/>
    </row>
    <row r="389" ht="15" customHeight="1">
      <c r="A389" t="inlineStr">
        <is>
          <t>A 39149-2025</t>
        </is>
      </c>
      <c r="B389" s="1" t="n">
        <v>45888.60714120371</v>
      </c>
      <c r="C389" s="1" t="n">
        <v>46083</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37136-2023</t>
        </is>
      </c>
      <c r="B390" s="1" t="n">
        <v>45155</v>
      </c>
      <c r="C390" s="1" t="n">
        <v>46083</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38720-2025</t>
        </is>
      </c>
      <c r="B391" s="1" t="n">
        <v>45886</v>
      </c>
      <c r="C391" s="1" t="n">
        <v>46083</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26675-2025</t>
        </is>
      </c>
      <c r="B392" s="1" t="n">
        <v>45810.42393518519</v>
      </c>
      <c r="C392" s="1" t="n">
        <v>46083</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1740-2023</t>
        </is>
      </c>
      <c r="B393" s="1" t="n">
        <v>44938</v>
      </c>
      <c r="C393" s="1" t="n">
        <v>46083</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23061-2025</t>
        </is>
      </c>
      <c r="B394" s="1" t="n">
        <v>45790.81410879629</v>
      </c>
      <c r="C394" s="1" t="n">
        <v>46083</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26747-2025</t>
        </is>
      </c>
      <c r="B395" s="1" t="n">
        <v>45810.5333912037</v>
      </c>
      <c r="C395" s="1" t="n">
        <v>46083</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39152-2025</t>
        </is>
      </c>
      <c r="B396" s="1" t="n">
        <v>45888</v>
      </c>
      <c r="C396" s="1" t="n">
        <v>46083</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26702-2025</t>
        </is>
      </c>
      <c r="B397" s="1" t="n">
        <v>45810.45236111111</v>
      </c>
      <c r="C397" s="1" t="n">
        <v>46083</v>
      </c>
      <c r="D397" t="inlineStr">
        <is>
          <t>STOCKHOLMS LÄN</t>
        </is>
      </c>
      <c r="E397" t="inlineStr">
        <is>
          <t>NORRTÄLJE</t>
        </is>
      </c>
      <c r="G397" t="n">
        <v>7.3</v>
      </c>
      <c r="H397" t="n">
        <v>0</v>
      </c>
      <c r="I397" t="n">
        <v>0</v>
      </c>
      <c r="J397" t="n">
        <v>0</v>
      </c>
      <c r="K397" t="n">
        <v>0</v>
      </c>
      <c r="L397" t="n">
        <v>0</v>
      </c>
      <c r="M397" t="n">
        <v>0</v>
      </c>
      <c r="N397" t="n">
        <v>0</v>
      </c>
      <c r="O397" t="n">
        <v>0</v>
      </c>
      <c r="P397" t="n">
        <v>0</v>
      </c>
      <c r="Q397" t="n">
        <v>0</v>
      </c>
      <c r="R397" s="2" t="inlineStr"/>
    </row>
    <row r="398" ht="15" customHeight="1">
      <c r="A398" t="inlineStr">
        <is>
          <t>A 26708-2025</t>
        </is>
      </c>
      <c r="B398" s="1" t="n">
        <v>45810.45633101852</v>
      </c>
      <c r="C398" s="1" t="n">
        <v>46083</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27040-2025</t>
        </is>
      </c>
      <c r="B399" s="1" t="n">
        <v>45811.60451388889</v>
      </c>
      <c r="C399" s="1" t="n">
        <v>46083</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5423-2023</t>
        </is>
      </c>
      <c r="B400" s="1" t="n">
        <v>44959.74533564815</v>
      </c>
      <c r="C400" s="1" t="n">
        <v>46083</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58492-2022</t>
        </is>
      </c>
      <c r="B401" s="1" t="n">
        <v>44902</v>
      </c>
      <c r="C401" s="1" t="n">
        <v>46083</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39692-2025</t>
        </is>
      </c>
      <c r="B402" s="1" t="n">
        <v>45890.68083333333</v>
      </c>
      <c r="C402" s="1" t="n">
        <v>46083</v>
      </c>
      <c r="D402" t="inlineStr">
        <is>
          <t>STOCKHOLMS LÄN</t>
        </is>
      </c>
      <c r="E402" t="inlineStr">
        <is>
          <t>NORRTÄLJE</t>
        </is>
      </c>
      <c r="G402" t="n">
        <v>10.5</v>
      </c>
      <c r="H402" t="n">
        <v>0</v>
      </c>
      <c r="I402" t="n">
        <v>0</v>
      </c>
      <c r="J402" t="n">
        <v>0</v>
      </c>
      <c r="K402" t="n">
        <v>0</v>
      </c>
      <c r="L402" t="n">
        <v>0</v>
      </c>
      <c r="M402" t="n">
        <v>0</v>
      </c>
      <c r="N402" t="n">
        <v>0</v>
      </c>
      <c r="O402" t="n">
        <v>0</v>
      </c>
      <c r="P402" t="n">
        <v>0</v>
      </c>
      <c r="Q402" t="n">
        <v>0</v>
      </c>
      <c r="R402" s="2" t="inlineStr"/>
    </row>
    <row r="403" ht="15" customHeight="1">
      <c r="A403" t="inlineStr">
        <is>
          <t>A 4581-2025</t>
        </is>
      </c>
      <c r="B403" s="1" t="n">
        <v>45687</v>
      </c>
      <c r="C403" s="1" t="n">
        <v>46083</v>
      </c>
      <c r="D403" t="inlineStr">
        <is>
          <t>STOCKHOLMS LÄN</t>
        </is>
      </c>
      <c r="E403" t="inlineStr">
        <is>
          <t>NORRTÄLJE</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27677-2025</t>
        </is>
      </c>
      <c r="B404" s="1" t="n">
        <v>45813.63650462963</v>
      </c>
      <c r="C404" s="1" t="n">
        <v>46083</v>
      </c>
      <c r="D404" t="inlineStr">
        <is>
          <t>STOCKHOLMS LÄN</t>
        </is>
      </c>
      <c r="E404" t="inlineStr">
        <is>
          <t>NORRTÄLJE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27697-2025</t>
        </is>
      </c>
      <c r="B405" s="1" t="n">
        <v>45813.66961805556</v>
      </c>
      <c r="C405" s="1" t="n">
        <v>46083</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27700-2025</t>
        </is>
      </c>
      <c r="B406" s="1" t="n">
        <v>45813.6799537037</v>
      </c>
      <c r="C406" s="1" t="n">
        <v>46083</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27554-2025</t>
        </is>
      </c>
      <c r="B407" s="1" t="n">
        <v>45813.4709375</v>
      </c>
      <c r="C407" s="1" t="n">
        <v>46083</v>
      </c>
      <c r="D407" t="inlineStr">
        <is>
          <t>STOCKHOLMS LÄN</t>
        </is>
      </c>
      <c r="E407" t="inlineStr">
        <is>
          <t>NORRTÄLJE</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36157-2024</t>
        </is>
      </c>
      <c r="B408" s="1" t="n">
        <v>45534.38240740741</v>
      </c>
      <c r="C408" s="1" t="n">
        <v>46083</v>
      </c>
      <c r="D408" t="inlineStr">
        <is>
          <t>STOCKHOLMS LÄN</t>
        </is>
      </c>
      <c r="E408" t="inlineStr">
        <is>
          <t>NORRTÄLJE</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62398-2022</t>
        </is>
      </c>
      <c r="B409" s="1" t="n">
        <v>44923.90159722222</v>
      </c>
      <c r="C409" s="1" t="n">
        <v>46083</v>
      </c>
      <c r="D409" t="inlineStr">
        <is>
          <t>STOCKHOLMS LÄN</t>
        </is>
      </c>
      <c r="E409" t="inlineStr">
        <is>
          <t>NORRTÄLJE</t>
        </is>
      </c>
      <c r="G409" t="n">
        <v>4</v>
      </c>
      <c r="H409" t="n">
        <v>0</v>
      </c>
      <c r="I409" t="n">
        <v>0</v>
      </c>
      <c r="J409" t="n">
        <v>0</v>
      </c>
      <c r="K409" t="n">
        <v>0</v>
      </c>
      <c r="L409" t="n">
        <v>0</v>
      </c>
      <c r="M409" t="n">
        <v>0</v>
      </c>
      <c r="N409" t="n">
        <v>0</v>
      </c>
      <c r="O409" t="n">
        <v>0</v>
      </c>
      <c r="P409" t="n">
        <v>0</v>
      </c>
      <c r="Q409" t="n">
        <v>0</v>
      </c>
      <c r="R409" s="2" t="inlineStr"/>
    </row>
    <row r="410" ht="15" customHeight="1">
      <c r="A410" t="inlineStr">
        <is>
          <t>A 17039-2024</t>
        </is>
      </c>
      <c r="B410" s="1" t="n">
        <v>45412.4104050926</v>
      </c>
      <c r="C410" s="1" t="n">
        <v>46083</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11901-2024</t>
        </is>
      </c>
      <c r="B411" s="1" t="n">
        <v>45376.55638888889</v>
      </c>
      <c r="C411" s="1" t="n">
        <v>46083</v>
      </c>
      <c r="D411" t="inlineStr">
        <is>
          <t>STOCKHOLMS LÄN</t>
        </is>
      </c>
      <c r="E411" t="inlineStr">
        <is>
          <t>NORRTÄLJE</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3509-2022</t>
        </is>
      </c>
      <c r="B412" s="1" t="n">
        <v>44585</v>
      </c>
      <c r="C412" s="1" t="n">
        <v>46083</v>
      </c>
      <c r="D412" t="inlineStr">
        <is>
          <t>STOCKHOLMS LÄN</t>
        </is>
      </c>
      <c r="E412" t="inlineStr">
        <is>
          <t>NORRTÄLJE</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7697-2025</t>
        </is>
      </c>
      <c r="B413" s="1" t="n">
        <v>45706.40086805556</v>
      </c>
      <c r="C413" s="1" t="n">
        <v>46083</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27802-2025</t>
        </is>
      </c>
      <c r="B414" s="1" t="n">
        <v>45817.2565625</v>
      </c>
      <c r="C414" s="1" t="n">
        <v>46083</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27806-2025</t>
        </is>
      </c>
      <c r="B415" s="1" t="n">
        <v>45817.30329861111</v>
      </c>
      <c r="C415" s="1" t="n">
        <v>46083</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27808-2025</t>
        </is>
      </c>
      <c r="B416" s="1" t="n">
        <v>45817.31085648148</v>
      </c>
      <c r="C416" s="1" t="n">
        <v>46083</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27810-2025</t>
        </is>
      </c>
      <c r="B417" s="1" t="n">
        <v>45817.31708333334</v>
      </c>
      <c r="C417" s="1" t="n">
        <v>46083</v>
      </c>
      <c r="D417" t="inlineStr">
        <is>
          <t>STOCKHOLMS LÄN</t>
        </is>
      </c>
      <c r="E417" t="inlineStr">
        <is>
          <t>NORRTÄLJE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27811-2025</t>
        </is>
      </c>
      <c r="B418" s="1" t="n">
        <v>45817.31986111111</v>
      </c>
      <c r="C418" s="1" t="n">
        <v>46083</v>
      </c>
      <c r="D418" t="inlineStr">
        <is>
          <t>STOCKHOLMS LÄN</t>
        </is>
      </c>
      <c r="E418" t="inlineStr">
        <is>
          <t>NORRTÄLJE</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27818-2025</t>
        </is>
      </c>
      <c r="B419" s="1" t="n">
        <v>45817.33503472222</v>
      </c>
      <c r="C419" s="1" t="n">
        <v>46083</v>
      </c>
      <c r="D419" t="inlineStr">
        <is>
          <t>STOCKHOLMS LÄN</t>
        </is>
      </c>
      <c r="E419" t="inlineStr">
        <is>
          <t>NORRTÄLJE</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39669-2024</t>
        </is>
      </c>
      <c r="B420" s="1" t="n">
        <v>45552.52827546297</v>
      </c>
      <c r="C420" s="1" t="n">
        <v>46083</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46083</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15528-2025</t>
        </is>
      </c>
      <c r="B422" s="1" t="n">
        <v>45747.63471064815</v>
      </c>
      <c r="C422" s="1" t="n">
        <v>46083</v>
      </c>
      <c r="D422" t="inlineStr">
        <is>
          <t>STOCKHOLMS LÄN</t>
        </is>
      </c>
      <c r="E422" t="inlineStr">
        <is>
          <t>NORRTÄLJE</t>
        </is>
      </c>
      <c r="G422" t="n">
        <v>10</v>
      </c>
      <c r="H422" t="n">
        <v>0</v>
      </c>
      <c r="I422" t="n">
        <v>0</v>
      </c>
      <c r="J422" t="n">
        <v>0</v>
      </c>
      <c r="K422" t="n">
        <v>0</v>
      </c>
      <c r="L422" t="n">
        <v>0</v>
      </c>
      <c r="M422" t="n">
        <v>0</v>
      </c>
      <c r="N422" t="n">
        <v>0</v>
      </c>
      <c r="O422" t="n">
        <v>0</v>
      </c>
      <c r="P422" t="n">
        <v>0</v>
      </c>
      <c r="Q422" t="n">
        <v>0</v>
      </c>
      <c r="R422" s="2" t="inlineStr"/>
    </row>
    <row r="423" ht="15" customHeight="1">
      <c r="A423" t="inlineStr">
        <is>
          <t>A 27803-2025</t>
        </is>
      </c>
      <c r="B423" s="1" t="n">
        <v>45817.291875</v>
      </c>
      <c r="C423" s="1" t="n">
        <v>46083</v>
      </c>
      <c r="D423" t="inlineStr">
        <is>
          <t>STOCKHOLMS LÄN</t>
        </is>
      </c>
      <c r="E423" t="inlineStr">
        <is>
          <t>NORRTÄLJE</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27813-2025</t>
        </is>
      </c>
      <c r="B424" s="1" t="n">
        <v>45817.32538194444</v>
      </c>
      <c r="C424" s="1" t="n">
        <v>46083</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40228-2025</t>
        </is>
      </c>
      <c r="B425" s="1" t="n">
        <v>45894.70854166667</v>
      </c>
      <c r="C425" s="1" t="n">
        <v>46083</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35636-2025</t>
        </is>
      </c>
      <c r="B426" s="1" t="n">
        <v>45859</v>
      </c>
      <c r="C426" s="1" t="n">
        <v>46083</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27801-2025</t>
        </is>
      </c>
      <c r="B427" s="1" t="n">
        <v>45817.25471064815</v>
      </c>
      <c r="C427" s="1" t="n">
        <v>46083</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2982-2023</t>
        </is>
      </c>
      <c r="B428" s="1" t="n">
        <v>44945.67409722223</v>
      </c>
      <c r="C428" s="1" t="n">
        <v>46083</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1448-2023</t>
        </is>
      </c>
      <c r="B429" s="1" t="n">
        <v>44937</v>
      </c>
      <c r="C429" s="1" t="n">
        <v>46083</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27821-2025</t>
        </is>
      </c>
      <c r="B430" s="1" t="n">
        <v>45817.34083333334</v>
      </c>
      <c r="C430" s="1" t="n">
        <v>46083</v>
      </c>
      <c r="D430" t="inlineStr">
        <is>
          <t>STOCKHOLMS LÄN</t>
        </is>
      </c>
      <c r="E430" t="inlineStr">
        <is>
          <t>NORRTÄLJE</t>
        </is>
      </c>
      <c r="G430" t="n">
        <v>3.2</v>
      </c>
      <c r="H430" t="n">
        <v>0</v>
      </c>
      <c r="I430" t="n">
        <v>0</v>
      </c>
      <c r="J430" t="n">
        <v>0</v>
      </c>
      <c r="K430" t="n">
        <v>0</v>
      </c>
      <c r="L430" t="n">
        <v>0</v>
      </c>
      <c r="M430" t="n">
        <v>0</v>
      </c>
      <c r="N430" t="n">
        <v>0</v>
      </c>
      <c r="O430" t="n">
        <v>0</v>
      </c>
      <c r="P430" t="n">
        <v>0</v>
      </c>
      <c r="Q430" t="n">
        <v>0</v>
      </c>
      <c r="R430" s="2" t="inlineStr"/>
    </row>
    <row r="431" ht="15" customHeight="1">
      <c r="A431" t="inlineStr">
        <is>
          <t>A 35127-2023</t>
        </is>
      </c>
      <c r="B431" s="1" t="n">
        <v>45145.51</v>
      </c>
      <c r="C431" s="1" t="n">
        <v>46083</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40172-2025</t>
        </is>
      </c>
      <c r="B432" s="1" t="n">
        <v>45894.6353125</v>
      </c>
      <c r="C432" s="1" t="n">
        <v>46083</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50136-2023</t>
        </is>
      </c>
      <c r="B433" s="1" t="n">
        <v>45215</v>
      </c>
      <c r="C433" s="1" t="n">
        <v>46083</v>
      </c>
      <c r="D433" t="inlineStr">
        <is>
          <t>STOCKHOLMS LÄN</t>
        </is>
      </c>
      <c r="E433" t="inlineStr">
        <is>
          <t>NORRTÄLJE</t>
        </is>
      </c>
      <c r="G433" t="n">
        <v>5.2</v>
      </c>
      <c r="H433" t="n">
        <v>0</v>
      </c>
      <c r="I433" t="n">
        <v>0</v>
      </c>
      <c r="J433" t="n">
        <v>0</v>
      </c>
      <c r="K433" t="n">
        <v>0</v>
      </c>
      <c r="L433" t="n">
        <v>0</v>
      </c>
      <c r="M433" t="n">
        <v>0</v>
      </c>
      <c r="N433" t="n">
        <v>0</v>
      </c>
      <c r="O433" t="n">
        <v>0</v>
      </c>
      <c r="P433" t="n">
        <v>0</v>
      </c>
      <c r="Q433" t="n">
        <v>0</v>
      </c>
      <c r="R433" s="2" t="inlineStr"/>
    </row>
    <row r="434" ht="15" customHeight="1">
      <c r="A434" t="inlineStr">
        <is>
          <t>A 40033-2025</t>
        </is>
      </c>
      <c r="B434" s="1" t="n">
        <v>45893</v>
      </c>
      <c r="C434" s="1" t="n">
        <v>46083</v>
      </c>
      <c r="D434" t="inlineStr">
        <is>
          <t>STOCKHOLMS LÄN</t>
        </is>
      </c>
      <c r="E434" t="inlineStr">
        <is>
          <t>NORRTÄLJE</t>
        </is>
      </c>
      <c r="G434" t="n">
        <v>1.7</v>
      </c>
      <c r="H434" t="n">
        <v>0</v>
      </c>
      <c r="I434" t="n">
        <v>0</v>
      </c>
      <c r="J434" t="n">
        <v>0</v>
      </c>
      <c r="K434" t="n">
        <v>0</v>
      </c>
      <c r="L434" t="n">
        <v>0</v>
      </c>
      <c r="M434" t="n">
        <v>0</v>
      </c>
      <c r="N434" t="n">
        <v>0</v>
      </c>
      <c r="O434" t="n">
        <v>0</v>
      </c>
      <c r="P434" t="n">
        <v>0</v>
      </c>
      <c r="Q434" t="n">
        <v>0</v>
      </c>
      <c r="R434" s="2" t="inlineStr"/>
    </row>
    <row r="435" ht="15" customHeight="1">
      <c r="A435" t="inlineStr">
        <is>
          <t>A 11229-2022</t>
        </is>
      </c>
      <c r="B435" s="1" t="n">
        <v>44629</v>
      </c>
      <c r="C435" s="1" t="n">
        <v>46083</v>
      </c>
      <c r="D435" t="inlineStr">
        <is>
          <t>STOCKHOLMS LÄN</t>
        </is>
      </c>
      <c r="E435" t="inlineStr">
        <is>
          <t>NORRTÄLJE</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46083</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46083</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46083</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37147-2023</t>
        </is>
      </c>
      <c r="B439" s="1" t="n">
        <v>45155</v>
      </c>
      <c r="C439" s="1" t="n">
        <v>46083</v>
      </c>
      <c r="D439" t="inlineStr">
        <is>
          <t>STOCKHOLMS LÄN</t>
        </is>
      </c>
      <c r="E439" t="inlineStr">
        <is>
          <t>NORRTÄLJE</t>
        </is>
      </c>
      <c r="G439" t="n">
        <v>8</v>
      </c>
      <c r="H439" t="n">
        <v>0</v>
      </c>
      <c r="I439" t="n">
        <v>0</v>
      </c>
      <c r="J439" t="n">
        <v>0</v>
      </c>
      <c r="K439" t="n">
        <v>0</v>
      </c>
      <c r="L439" t="n">
        <v>0</v>
      </c>
      <c r="M439" t="n">
        <v>0</v>
      </c>
      <c r="N439" t="n">
        <v>0</v>
      </c>
      <c r="O439" t="n">
        <v>0</v>
      </c>
      <c r="P439" t="n">
        <v>0</v>
      </c>
      <c r="Q439" t="n">
        <v>0</v>
      </c>
      <c r="R439" s="2" t="inlineStr"/>
    </row>
    <row r="440" ht="15" customHeight="1">
      <c r="A440" t="inlineStr">
        <is>
          <t>A 59499-2023</t>
        </is>
      </c>
      <c r="B440" s="1" t="n">
        <v>45254</v>
      </c>
      <c r="C440" s="1" t="n">
        <v>46083</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60654-2023</t>
        </is>
      </c>
      <c r="B441" s="1" t="n">
        <v>45260.43225694444</v>
      </c>
      <c r="C441" s="1" t="n">
        <v>46083</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60656-2023</t>
        </is>
      </c>
      <c r="B442" s="1" t="n">
        <v>45260.4333449074</v>
      </c>
      <c r="C442" s="1" t="n">
        <v>46083</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35639-2025</t>
        </is>
      </c>
      <c r="B443" s="1" t="n">
        <v>45859</v>
      </c>
      <c r="C443" s="1" t="n">
        <v>46083</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40032-2025</t>
        </is>
      </c>
      <c r="B444" s="1" t="n">
        <v>45893</v>
      </c>
      <c r="C444" s="1" t="n">
        <v>46083</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40097-2025</t>
        </is>
      </c>
      <c r="B445" s="1" t="n">
        <v>45894.48322916667</v>
      </c>
      <c r="C445" s="1" t="n">
        <v>46083</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22697-2022</t>
        </is>
      </c>
      <c r="B446" s="1" t="n">
        <v>44714.56040509259</v>
      </c>
      <c r="C446" s="1" t="n">
        <v>46083</v>
      </c>
      <c r="D446" t="inlineStr">
        <is>
          <t>STOCKHOLMS LÄN</t>
        </is>
      </c>
      <c r="E446" t="inlineStr">
        <is>
          <t>NORRTÄLJE</t>
        </is>
      </c>
      <c r="G446" t="n">
        <v>5.6</v>
      </c>
      <c r="H446" t="n">
        <v>0</v>
      </c>
      <c r="I446" t="n">
        <v>0</v>
      </c>
      <c r="J446" t="n">
        <v>0</v>
      </c>
      <c r="K446" t="n">
        <v>0</v>
      </c>
      <c r="L446" t="n">
        <v>0</v>
      </c>
      <c r="M446" t="n">
        <v>0</v>
      </c>
      <c r="N446" t="n">
        <v>0</v>
      </c>
      <c r="O446" t="n">
        <v>0</v>
      </c>
      <c r="P446" t="n">
        <v>0</v>
      </c>
      <c r="Q446" t="n">
        <v>0</v>
      </c>
      <c r="R446" s="2" t="inlineStr"/>
    </row>
    <row r="447" ht="15" customHeight="1">
      <c r="A447" t="inlineStr">
        <is>
          <t>A 44075-2023</t>
        </is>
      </c>
      <c r="B447" s="1" t="n">
        <v>45188.41637731482</v>
      </c>
      <c r="C447" s="1" t="n">
        <v>46083</v>
      </c>
      <c r="D447" t="inlineStr">
        <is>
          <t>STOCKHOLMS LÄN</t>
        </is>
      </c>
      <c r="E447" t="inlineStr">
        <is>
          <t>NORRTÄLJE</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29250-2025</t>
        </is>
      </c>
      <c r="B448" s="1" t="n">
        <v>45824.37275462963</v>
      </c>
      <c r="C448" s="1" t="n">
        <v>46083</v>
      </c>
      <c r="D448" t="inlineStr">
        <is>
          <t>STOCKHOLMS LÄN</t>
        </is>
      </c>
      <c r="E448" t="inlineStr">
        <is>
          <t>NORRTÄLJE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40529-2025</t>
        </is>
      </c>
      <c r="B449" s="1" t="n">
        <v>45896.38466435186</v>
      </c>
      <c r="C449" s="1" t="n">
        <v>46083</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48180-2023</t>
        </is>
      </c>
      <c r="B450" s="1" t="n">
        <v>45205</v>
      </c>
      <c r="C450" s="1" t="n">
        <v>46083</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46083</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46083</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57353-2024</t>
        </is>
      </c>
      <c r="B453" s="1" t="n">
        <v>45629.65143518519</v>
      </c>
      <c r="C453" s="1" t="n">
        <v>46083</v>
      </c>
      <c r="D453" t="inlineStr">
        <is>
          <t>STOCKHOLMS LÄN</t>
        </is>
      </c>
      <c r="E453" t="inlineStr">
        <is>
          <t>NORRTÄLJE</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41275-2025</t>
        </is>
      </c>
      <c r="B454" s="1" t="n">
        <v>45898.62625</v>
      </c>
      <c r="C454" s="1" t="n">
        <v>46083</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40837-2025</t>
        </is>
      </c>
      <c r="B455" s="1" t="n">
        <v>45897.51328703704</v>
      </c>
      <c r="C455" s="1" t="n">
        <v>46083</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46083</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55696-2022</t>
        </is>
      </c>
      <c r="B457" s="1" t="n">
        <v>44888</v>
      </c>
      <c r="C457" s="1" t="n">
        <v>46083</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50907-2022</t>
        </is>
      </c>
      <c r="B458" s="1" t="n">
        <v>44867.62090277778</v>
      </c>
      <c r="C458" s="1" t="n">
        <v>46083</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6919-2025</t>
        </is>
      </c>
      <c r="B459" s="1" t="n">
        <v>45701.44372685185</v>
      </c>
      <c r="C459" s="1" t="n">
        <v>46083</v>
      </c>
      <c r="D459" t="inlineStr">
        <is>
          <t>STOCKHOLMS LÄN</t>
        </is>
      </c>
      <c r="E459" t="inlineStr">
        <is>
          <t>NORRTÄLJE</t>
        </is>
      </c>
      <c r="G459" t="n">
        <v>3.5</v>
      </c>
      <c r="H459" t="n">
        <v>0</v>
      </c>
      <c r="I459" t="n">
        <v>0</v>
      </c>
      <c r="J459" t="n">
        <v>0</v>
      </c>
      <c r="K459" t="n">
        <v>0</v>
      </c>
      <c r="L459" t="n">
        <v>0</v>
      </c>
      <c r="M459" t="n">
        <v>0</v>
      </c>
      <c r="N459" t="n">
        <v>0</v>
      </c>
      <c r="O459" t="n">
        <v>0</v>
      </c>
      <c r="P459" t="n">
        <v>0</v>
      </c>
      <c r="Q459" t="n">
        <v>0</v>
      </c>
      <c r="R459" s="2" t="inlineStr"/>
    </row>
    <row r="460" ht="15" customHeight="1">
      <c r="A460" t="inlineStr">
        <is>
          <t>A 41158-2025</t>
        </is>
      </c>
      <c r="B460" s="1" t="n">
        <v>45898.5315625</v>
      </c>
      <c r="C460" s="1" t="n">
        <v>46083</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41301-2025</t>
        </is>
      </c>
      <c r="B461" s="1" t="n">
        <v>45898.68826388889</v>
      </c>
      <c r="C461" s="1" t="n">
        <v>46083</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41106-2025</t>
        </is>
      </c>
      <c r="B462" s="1" t="n">
        <v>45898.45636574074</v>
      </c>
      <c r="C462" s="1" t="n">
        <v>46083</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53362-2023</t>
        </is>
      </c>
      <c r="B463" s="1" t="n">
        <v>45223</v>
      </c>
      <c r="C463" s="1" t="n">
        <v>46083</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41174-2025</t>
        </is>
      </c>
      <c r="B464" s="1" t="n">
        <v>45898.54921296296</v>
      </c>
      <c r="C464" s="1" t="n">
        <v>46083</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41110-2025</t>
        </is>
      </c>
      <c r="B465" s="1" t="n">
        <v>45898.45976851852</v>
      </c>
      <c r="C465" s="1" t="n">
        <v>46083</v>
      </c>
      <c r="D465" t="inlineStr">
        <is>
          <t>STOCKHOLMS LÄN</t>
        </is>
      </c>
      <c r="E465" t="inlineStr">
        <is>
          <t>NORRTÄLJE</t>
        </is>
      </c>
      <c r="F465" t="inlineStr">
        <is>
          <t>Holmen skog AB</t>
        </is>
      </c>
      <c r="G465" t="n">
        <v>6.7</v>
      </c>
      <c r="H465" t="n">
        <v>0</v>
      </c>
      <c r="I465" t="n">
        <v>0</v>
      </c>
      <c r="J465" t="n">
        <v>0</v>
      </c>
      <c r="K465" t="n">
        <v>0</v>
      </c>
      <c r="L465" t="n">
        <v>0</v>
      </c>
      <c r="M465" t="n">
        <v>0</v>
      </c>
      <c r="N465" t="n">
        <v>0</v>
      </c>
      <c r="O465" t="n">
        <v>0</v>
      </c>
      <c r="P465" t="n">
        <v>0</v>
      </c>
      <c r="Q465" t="n">
        <v>0</v>
      </c>
      <c r="R465" s="2" t="inlineStr"/>
    </row>
    <row r="466" ht="15" customHeight="1">
      <c r="A466" t="inlineStr">
        <is>
          <t>A 41259-2025</t>
        </is>
      </c>
      <c r="B466" s="1" t="n">
        <v>45898.61054398148</v>
      </c>
      <c r="C466" s="1" t="n">
        <v>46083</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41053-2025</t>
        </is>
      </c>
      <c r="B467" s="1" t="n">
        <v>45898.40480324074</v>
      </c>
      <c r="C467" s="1" t="n">
        <v>46083</v>
      </c>
      <c r="D467" t="inlineStr">
        <is>
          <t>STOCKHOLMS LÄN</t>
        </is>
      </c>
      <c r="E467" t="inlineStr">
        <is>
          <t>NORRTÄLJE</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40829-2025</t>
        </is>
      </c>
      <c r="B468" s="1" t="n">
        <v>45897.50802083333</v>
      </c>
      <c r="C468" s="1" t="n">
        <v>46083</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40831-2025</t>
        </is>
      </c>
      <c r="B469" s="1" t="n">
        <v>45897.51077546296</v>
      </c>
      <c r="C469" s="1" t="n">
        <v>46083</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41272-2025</t>
        </is>
      </c>
      <c r="B470" s="1" t="n">
        <v>45898.62373842593</v>
      </c>
      <c r="C470" s="1" t="n">
        <v>46083</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41036-2025</t>
        </is>
      </c>
      <c r="B471" s="1" t="n">
        <v>45898.38552083333</v>
      </c>
      <c r="C471" s="1" t="n">
        <v>46083</v>
      </c>
      <c r="D471" t="inlineStr">
        <is>
          <t>STOCKHOLMS LÄN</t>
        </is>
      </c>
      <c r="E471" t="inlineStr">
        <is>
          <t>NORRTÄLJE</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8433-2022</t>
        </is>
      </c>
      <c r="B472" s="1" t="n">
        <v>44611</v>
      </c>
      <c r="C472" s="1" t="n">
        <v>46083</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19058-2024</t>
        </is>
      </c>
      <c r="B473" s="1" t="n">
        <v>45427.89121527778</v>
      </c>
      <c r="C473" s="1" t="n">
        <v>46083</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19057-2024</t>
        </is>
      </c>
      <c r="B474" s="1" t="n">
        <v>45427.88731481481</v>
      </c>
      <c r="C474" s="1" t="n">
        <v>46083</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10215-2023</t>
        </is>
      </c>
      <c r="B475" s="1" t="n">
        <v>44986.5887962963</v>
      </c>
      <c r="C475" s="1" t="n">
        <v>46083</v>
      </c>
      <c r="D475" t="inlineStr">
        <is>
          <t>STOCKHOLMS LÄN</t>
        </is>
      </c>
      <c r="E475" t="inlineStr">
        <is>
          <t>NORRTÄLJE</t>
        </is>
      </c>
      <c r="G475" t="n">
        <v>6.5</v>
      </c>
      <c r="H475" t="n">
        <v>0</v>
      </c>
      <c r="I475" t="n">
        <v>0</v>
      </c>
      <c r="J475" t="n">
        <v>0</v>
      </c>
      <c r="K475" t="n">
        <v>0</v>
      </c>
      <c r="L475" t="n">
        <v>0</v>
      </c>
      <c r="M475" t="n">
        <v>0</v>
      </c>
      <c r="N475" t="n">
        <v>0</v>
      </c>
      <c r="O475" t="n">
        <v>0</v>
      </c>
      <c r="P475" t="n">
        <v>0</v>
      </c>
      <c r="Q475" t="n">
        <v>0</v>
      </c>
      <c r="R475" s="2" t="inlineStr"/>
    </row>
    <row r="476" ht="15" customHeight="1">
      <c r="A476" t="inlineStr">
        <is>
          <t>A 15733-2025</t>
        </is>
      </c>
      <c r="B476" s="1" t="n">
        <v>45748</v>
      </c>
      <c r="C476" s="1" t="n">
        <v>46083</v>
      </c>
      <c r="D476" t="inlineStr">
        <is>
          <t>STOCKHOLMS LÄN</t>
        </is>
      </c>
      <c r="E476" t="inlineStr">
        <is>
          <t>NORRTÄLJE</t>
        </is>
      </c>
      <c r="G476" t="n">
        <v>13.3</v>
      </c>
      <c r="H476" t="n">
        <v>0</v>
      </c>
      <c r="I476" t="n">
        <v>0</v>
      </c>
      <c r="J476" t="n">
        <v>0</v>
      </c>
      <c r="K476" t="n">
        <v>0</v>
      </c>
      <c r="L476" t="n">
        <v>0</v>
      </c>
      <c r="M476" t="n">
        <v>0</v>
      </c>
      <c r="N476" t="n">
        <v>0</v>
      </c>
      <c r="O476" t="n">
        <v>0</v>
      </c>
      <c r="P476" t="n">
        <v>0</v>
      </c>
      <c r="Q476" t="n">
        <v>0</v>
      </c>
      <c r="R476" s="2" t="inlineStr"/>
    </row>
    <row r="477" ht="15" customHeight="1">
      <c r="A477" t="inlineStr">
        <is>
          <t>A 30668-2025</t>
        </is>
      </c>
      <c r="B477" s="1" t="n">
        <v>45831.51659722222</v>
      </c>
      <c r="C477" s="1" t="n">
        <v>46083</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10511-2025</t>
        </is>
      </c>
      <c r="B478" s="1" t="n">
        <v>45721.40780092592</v>
      </c>
      <c r="C478" s="1" t="n">
        <v>46083</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42038-2025</t>
        </is>
      </c>
      <c r="B479" s="1" t="n">
        <v>45903.61431712963</v>
      </c>
      <c r="C479" s="1" t="n">
        <v>46083</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41964-2025</t>
        </is>
      </c>
      <c r="B480" s="1" t="n">
        <v>45903.47270833333</v>
      </c>
      <c r="C480" s="1" t="n">
        <v>46083</v>
      </c>
      <c r="D480" t="inlineStr">
        <is>
          <t>STOCKHOLMS LÄN</t>
        </is>
      </c>
      <c r="E480" t="inlineStr">
        <is>
          <t>NORRTÄLJE</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41966-2025</t>
        </is>
      </c>
      <c r="B481" s="1" t="n">
        <v>45903.47456018518</v>
      </c>
      <c r="C481" s="1" t="n">
        <v>46083</v>
      </c>
      <c r="D481" t="inlineStr">
        <is>
          <t>STOCKHOLMS LÄN</t>
        </is>
      </c>
      <c r="E481" t="inlineStr">
        <is>
          <t>NORRTÄLJE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14127-2025</t>
        </is>
      </c>
      <c r="B482" s="1" t="n">
        <v>45740.47055555556</v>
      </c>
      <c r="C482" s="1" t="n">
        <v>46083</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30639-2025</t>
        </is>
      </c>
      <c r="B483" s="1" t="n">
        <v>45831.4844212963</v>
      </c>
      <c r="C483" s="1" t="n">
        <v>46083</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31559-2022</t>
        </is>
      </c>
      <c r="B484" s="1" t="n">
        <v>44775</v>
      </c>
      <c r="C484" s="1" t="n">
        <v>46083</v>
      </c>
      <c r="D484" t="inlineStr">
        <is>
          <t>STOCKHOLMS LÄN</t>
        </is>
      </c>
      <c r="E484" t="inlineStr">
        <is>
          <t>NORRTÄLJE</t>
        </is>
      </c>
      <c r="G484" t="n">
        <v>5.6</v>
      </c>
      <c r="H484" t="n">
        <v>0</v>
      </c>
      <c r="I484" t="n">
        <v>0</v>
      </c>
      <c r="J484" t="n">
        <v>0</v>
      </c>
      <c r="K484" t="n">
        <v>0</v>
      </c>
      <c r="L484" t="n">
        <v>0</v>
      </c>
      <c r="M484" t="n">
        <v>0</v>
      </c>
      <c r="N484" t="n">
        <v>0</v>
      </c>
      <c r="O484" t="n">
        <v>0</v>
      </c>
      <c r="P484" t="n">
        <v>0</v>
      </c>
      <c r="Q484" t="n">
        <v>0</v>
      </c>
      <c r="R484" s="2" t="inlineStr"/>
    </row>
    <row r="485" ht="15" customHeight="1">
      <c r="A485" t="inlineStr">
        <is>
          <t>A 31170-2025</t>
        </is>
      </c>
      <c r="B485" s="1" t="n">
        <v>45832.66385416667</v>
      </c>
      <c r="C485" s="1" t="n">
        <v>46083</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52001-2023</t>
        </is>
      </c>
      <c r="B486" s="1" t="n">
        <v>45223</v>
      </c>
      <c r="C486" s="1" t="n">
        <v>46083</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30699-2025</t>
        </is>
      </c>
      <c r="B487" s="1" t="n">
        <v>45831.54618055555</v>
      </c>
      <c r="C487" s="1" t="n">
        <v>46083</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31874-2025</t>
        </is>
      </c>
      <c r="B488" s="1" t="n">
        <v>45834</v>
      </c>
      <c r="C488" s="1" t="n">
        <v>46083</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46083</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31868-2025</t>
        </is>
      </c>
      <c r="B490" s="1" t="n">
        <v>45834.6447337963</v>
      </c>
      <c r="C490" s="1" t="n">
        <v>46083</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6413-2025</t>
        </is>
      </c>
      <c r="B491" s="1" t="n">
        <v>45699.46283564815</v>
      </c>
      <c r="C491" s="1" t="n">
        <v>46083</v>
      </c>
      <c r="D491" t="inlineStr">
        <is>
          <t>STOCKHOLMS LÄN</t>
        </is>
      </c>
      <c r="E491" t="inlineStr">
        <is>
          <t>NORRTÄLJE</t>
        </is>
      </c>
      <c r="G491" t="n">
        <v>3.6</v>
      </c>
      <c r="H491" t="n">
        <v>0</v>
      </c>
      <c r="I491" t="n">
        <v>0</v>
      </c>
      <c r="J491" t="n">
        <v>0</v>
      </c>
      <c r="K491" t="n">
        <v>0</v>
      </c>
      <c r="L491" t="n">
        <v>0</v>
      </c>
      <c r="M491" t="n">
        <v>0</v>
      </c>
      <c r="N491" t="n">
        <v>0</v>
      </c>
      <c r="O491" t="n">
        <v>0</v>
      </c>
      <c r="P491" t="n">
        <v>0</v>
      </c>
      <c r="Q491" t="n">
        <v>0</v>
      </c>
      <c r="R491" s="2" t="inlineStr"/>
    </row>
    <row r="492" ht="15" customHeight="1">
      <c r="A492" t="inlineStr">
        <is>
          <t>A 42856-2025</t>
        </is>
      </c>
      <c r="B492" s="1" t="n">
        <v>45908</v>
      </c>
      <c r="C492" s="1" t="n">
        <v>46083</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20011-2025</t>
        </is>
      </c>
      <c r="B493" s="1" t="n">
        <v>45772.29622685185</v>
      </c>
      <c r="C493" s="1" t="n">
        <v>46083</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19580-2022</t>
        </is>
      </c>
      <c r="B494" s="1" t="n">
        <v>44693</v>
      </c>
      <c r="C494" s="1" t="n">
        <v>46083</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31880-2025</t>
        </is>
      </c>
      <c r="B495" s="1" t="n">
        <v>45834.65538194445</v>
      </c>
      <c r="C495" s="1" t="n">
        <v>46083</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32283-2025</t>
        </is>
      </c>
      <c r="B496" s="1" t="n">
        <v>45835.68076388889</v>
      </c>
      <c r="C496" s="1" t="n">
        <v>46083</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5823-2023</t>
        </is>
      </c>
      <c r="B497" s="1" t="n">
        <v>44963</v>
      </c>
      <c r="C497" s="1" t="n">
        <v>46083</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30731-2023</t>
        </is>
      </c>
      <c r="B498" s="1" t="n">
        <v>45112</v>
      </c>
      <c r="C498" s="1" t="n">
        <v>46083</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11988-2021</t>
        </is>
      </c>
      <c r="B499" s="1" t="n">
        <v>44266</v>
      </c>
      <c r="C499" s="1" t="n">
        <v>46083</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12132-2021</t>
        </is>
      </c>
      <c r="B500" s="1" t="n">
        <v>44266</v>
      </c>
      <c r="C500" s="1" t="n">
        <v>46083</v>
      </c>
      <c r="D500" t="inlineStr">
        <is>
          <t>STOCKHOLMS LÄN</t>
        </is>
      </c>
      <c r="E500" t="inlineStr">
        <is>
          <t>NORRTÄLJE</t>
        </is>
      </c>
      <c r="G500" t="n">
        <v>4</v>
      </c>
      <c r="H500" t="n">
        <v>0</v>
      </c>
      <c r="I500" t="n">
        <v>0</v>
      </c>
      <c r="J500" t="n">
        <v>0</v>
      </c>
      <c r="K500" t="n">
        <v>0</v>
      </c>
      <c r="L500" t="n">
        <v>0</v>
      </c>
      <c r="M500" t="n">
        <v>0</v>
      </c>
      <c r="N500" t="n">
        <v>0</v>
      </c>
      <c r="O500" t="n">
        <v>0</v>
      </c>
      <c r="P500" t="n">
        <v>0</v>
      </c>
      <c r="Q500" t="n">
        <v>0</v>
      </c>
      <c r="R500" s="2" t="inlineStr"/>
    </row>
    <row r="501" ht="15" customHeight="1">
      <c r="A501" t="inlineStr">
        <is>
          <t>A 32122-2025</t>
        </is>
      </c>
      <c r="B501" s="1" t="n">
        <v>45835.4928125</v>
      </c>
      <c r="C501" s="1" t="n">
        <v>46083</v>
      </c>
      <c r="D501" t="inlineStr">
        <is>
          <t>STOCKHOLMS LÄN</t>
        </is>
      </c>
      <c r="E501" t="inlineStr">
        <is>
          <t>NORRTÄLJE</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51653-2022</t>
        </is>
      </c>
      <c r="B502" s="1" t="n">
        <v>44867</v>
      </c>
      <c r="C502" s="1" t="n">
        <v>46083</v>
      </c>
      <c r="D502" t="inlineStr">
        <is>
          <t>STOCKHOLMS LÄN</t>
        </is>
      </c>
      <c r="E502" t="inlineStr">
        <is>
          <t>NORRTÄLJE</t>
        </is>
      </c>
      <c r="G502" t="n">
        <v>6.6</v>
      </c>
      <c r="H502" t="n">
        <v>0</v>
      </c>
      <c r="I502" t="n">
        <v>0</v>
      </c>
      <c r="J502" t="n">
        <v>0</v>
      </c>
      <c r="K502" t="n">
        <v>0</v>
      </c>
      <c r="L502" t="n">
        <v>0</v>
      </c>
      <c r="M502" t="n">
        <v>0</v>
      </c>
      <c r="N502" t="n">
        <v>0</v>
      </c>
      <c r="O502" t="n">
        <v>0</v>
      </c>
      <c r="P502" t="n">
        <v>0</v>
      </c>
      <c r="Q502" t="n">
        <v>0</v>
      </c>
      <c r="R502" s="2" t="inlineStr"/>
    </row>
    <row r="503" ht="15" customHeight="1">
      <c r="A503" t="inlineStr">
        <is>
          <t>A 32094-2025</t>
        </is>
      </c>
      <c r="B503" s="1" t="n">
        <v>45835.46034722222</v>
      </c>
      <c r="C503" s="1" t="n">
        <v>46083</v>
      </c>
      <c r="D503" t="inlineStr">
        <is>
          <t>STOCKHOLMS LÄN</t>
        </is>
      </c>
      <c r="E503" t="inlineStr">
        <is>
          <t>NORRTÄLJE</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32103-2022</t>
        </is>
      </c>
      <c r="B504" s="1" t="n">
        <v>44778</v>
      </c>
      <c r="C504" s="1" t="n">
        <v>46083</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46083</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32016-2025</t>
        </is>
      </c>
      <c r="B506" s="1" t="n">
        <v>45835</v>
      </c>
      <c r="C506" s="1" t="n">
        <v>46083</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32396-2025</t>
        </is>
      </c>
      <c r="B507" s="1" t="n">
        <v>45837</v>
      </c>
      <c r="C507" s="1" t="n">
        <v>46083</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32397-2025</t>
        </is>
      </c>
      <c r="B508" s="1" t="n">
        <v>45837.94081018519</v>
      </c>
      <c r="C508" s="1" t="n">
        <v>46083</v>
      </c>
      <c r="D508" t="inlineStr">
        <is>
          <t>STOCKHOLMS LÄN</t>
        </is>
      </c>
      <c r="E508" t="inlineStr">
        <is>
          <t>NORRTÄLJE</t>
        </is>
      </c>
      <c r="G508" t="n">
        <v>5.9</v>
      </c>
      <c r="H508" t="n">
        <v>0</v>
      </c>
      <c r="I508" t="n">
        <v>0</v>
      </c>
      <c r="J508" t="n">
        <v>0</v>
      </c>
      <c r="K508" t="n">
        <v>0</v>
      </c>
      <c r="L508" t="n">
        <v>0</v>
      </c>
      <c r="M508" t="n">
        <v>0</v>
      </c>
      <c r="N508" t="n">
        <v>0</v>
      </c>
      <c r="O508" t="n">
        <v>0</v>
      </c>
      <c r="P508" t="n">
        <v>0</v>
      </c>
      <c r="Q508" t="n">
        <v>0</v>
      </c>
      <c r="R508" s="2" t="inlineStr"/>
    </row>
    <row r="509" ht="15" customHeight="1">
      <c r="A509" t="inlineStr">
        <is>
          <t>A 23070-2023</t>
        </is>
      </c>
      <c r="B509" s="1" t="n">
        <v>45075</v>
      </c>
      <c r="C509" s="1" t="n">
        <v>46083</v>
      </c>
      <c r="D509" t="inlineStr">
        <is>
          <t>STOCKHOLMS LÄN</t>
        </is>
      </c>
      <c r="E509" t="inlineStr">
        <is>
          <t>NORRTÄLJE</t>
        </is>
      </c>
      <c r="G509" t="n">
        <v>1.5</v>
      </c>
      <c r="H509" t="n">
        <v>0</v>
      </c>
      <c r="I509" t="n">
        <v>0</v>
      </c>
      <c r="J509" t="n">
        <v>0</v>
      </c>
      <c r="K509" t="n">
        <v>0</v>
      </c>
      <c r="L509" t="n">
        <v>0</v>
      </c>
      <c r="M509" t="n">
        <v>0</v>
      </c>
      <c r="N509" t="n">
        <v>0</v>
      </c>
      <c r="O509" t="n">
        <v>0</v>
      </c>
      <c r="P509" t="n">
        <v>0</v>
      </c>
      <c r="Q509" t="n">
        <v>0</v>
      </c>
      <c r="R509" s="2" t="inlineStr"/>
    </row>
    <row r="510" ht="15" customHeight="1">
      <c r="A510" t="inlineStr">
        <is>
          <t>A 32480-2025</t>
        </is>
      </c>
      <c r="B510" s="1" t="n">
        <v>45838.43261574074</v>
      </c>
      <c r="C510" s="1" t="n">
        <v>46083</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8792-2025</t>
        </is>
      </c>
      <c r="B511" s="1" t="n">
        <v>45712</v>
      </c>
      <c r="C511" s="1" t="n">
        <v>46083</v>
      </c>
      <c r="D511" t="inlineStr">
        <is>
          <t>STOCKHOLMS LÄN</t>
        </is>
      </c>
      <c r="E511" t="inlineStr">
        <is>
          <t>NORRTÄLJE</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7571-2024</t>
        </is>
      </c>
      <c r="B512" s="1" t="n">
        <v>45348.46300925926</v>
      </c>
      <c r="C512" s="1" t="n">
        <v>46083</v>
      </c>
      <c r="D512" t="inlineStr">
        <is>
          <t>STOCKHOLMS LÄN</t>
        </is>
      </c>
      <c r="E512" t="inlineStr">
        <is>
          <t>NORRTÄLJE</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32395-2025</t>
        </is>
      </c>
      <c r="B513" s="1" t="n">
        <v>45837.93730324074</v>
      </c>
      <c r="C513" s="1" t="n">
        <v>46083</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36269-2022</t>
        </is>
      </c>
      <c r="B514" s="1" t="n">
        <v>44803</v>
      </c>
      <c r="C514" s="1" t="n">
        <v>46083</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33211-2025</t>
        </is>
      </c>
      <c r="B515" s="1" t="n">
        <v>45840.62755787037</v>
      </c>
      <c r="C515" s="1" t="n">
        <v>46083</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32903-2025</t>
        </is>
      </c>
      <c r="B516" s="1" t="n">
        <v>45839.62398148148</v>
      </c>
      <c r="C516" s="1" t="n">
        <v>46083</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5665-2025</t>
        </is>
      </c>
      <c r="B517" s="1" t="n">
        <v>45693</v>
      </c>
      <c r="C517" s="1" t="n">
        <v>46083</v>
      </c>
      <c r="D517" t="inlineStr">
        <is>
          <t>STOCKHOLMS LÄN</t>
        </is>
      </c>
      <c r="E517" t="inlineStr">
        <is>
          <t>NORRTÄLJE</t>
        </is>
      </c>
      <c r="G517" t="n">
        <v>4</v>
      </c>
      <c r="H517" t="n">
        <v>0</v>
      </c>
      <c r="I517" t="n">
        <v>0</v>
      </c>
      <c r="J517" t="n">
        <v>0</v>
      </c>
      <c r="K517" t="n">
        <v>0</v>
      </c>
      <c r="L517" t="n">
        <v>0</v>
      </c>
      <c r="M517" t="n">
        <v>0</v>
      </c>
      <c r="N517" t="n">
        <v>0</v>
      </c>
      <c r="O517" t="n">
        <v>0</v>
      </c>
      <c r="P517" t="n">
        <v>0</v>
      </c>
      <c r="Q517" t="n">
        <v>0</v>
      </c>
      <c r="R517" s="2" t="inlineStr"/>
    </row>
    <row r="518" ht="15" customHeight="1">
      <c r="A518" t="inlineStr">
        <is>
          <t>A 33265-2025</t>
        </is>
      </c>
      <c r="B518" s="1" t="n">
        <v>45840.67829861111</v>
      </c>
      <c r="C518" s="1" t="n">
        <v>46083</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32872-2025</t>
        </is>
      </c>
      <c r="B519" s="1" t="n">
        <v>45839</v>
      </c>
      <c r="C519" s="1" t="n">
        <v>46083</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12407-2025</t>
        </is>
      </c>
      <c r="B520" s="1" t="n">
        <v>45730.42851851852</v>
      </c>
      <c r="C520" s="1" t="n">
        <v>46083</v>
      </c>
      <c r="D520" t="inlineStr">
        <is>
          <t>STOCKHOLMS LÄN</t>
        </is>
      </c>
      <c r="E520" t="inlineStr">
        <is>
          <t>NORRTÄLJE</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26636-2023</t>
        </is>
      </c>
      <c r="B521" s="1" t="n">
        <v>45092</v>
      </c>
      <c r="C521" s="1" t="n">
        <v>46083</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26637-2023</t>
        </is>
      </c>
      <c r="B522" s="1" t="n">
        <v>45092</v>
      </c>
      <c r="C522" s="1" t="n">
        <v>46083</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23266-2023</t>
        </is>
      </c>
      <c r="B523" s="1" t="n">
        <v>45075.90817129629</v>
      </c>
      <c r="C523" s="1" t="n">
        <v>46083</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33702-2025</t>
        </is>
      </c>
      <c r="B524" s="1" t="n">
        <v>45841.74596064815</v>
      </c>
      <c r="C524" s="1" t="n">
        <v>46083</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33336-2025</t>
        </is>
      </c>
      <c r="B525" s="1" t="n">
        <v>45841.35611111111</v>
      </c>
      <c r="C525" s="1" t="n">
        <v>46083</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35161-2022</t>
        </is>
      </c>
      <c r="B526" s="1" t="n">
        <v>44797</v>
      </c>
      <c r="C526" s="1" t="n">
        <v>46083</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24835-2025</t>
        </is>
      </c>
      <c r="B527" s="1" t="n">
        <v>45799</v>
      </c>
      <c r="C527" s="1" t="n">
        <v>46083</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33552-2025</t>
        </is>
      </c>
      <c r="B528" s="1" t="n">
        <v>45841.5737962963</v>
      </c>
      <c r="C528" s="1" t="n">
        <v>46083</v>
      </c>
      <c r="D528" t="inlineStr">
        <is>
          <t>STOCKHOLMS LÄN</t>
        </is>
      </c>
      <c r="E528" t="inlineStr">
        <is>
          <t>NORRTÄLJE</t>
        </is>
      </c>
      <c r="G528" t="n">
        <v>8.9</v>
      </c>
      <c r="H528" t="n">
        <v>0</v>
      </c>
      <c r="I528" t="n">
        <v>0</v>
      </c>
      <c r="J528" t="n">
        <v>0</v>
      </c>
      <c r="K528" t="n">
        <v>0</v>
      </c>
      <c r="L528" t="n">
        <v>0</v>
      </c>
      <c r="M528" t="n">
        <v>0</v>
      </c>
      <c r="N528" t="n">
        <v>0</v>
      </c>
      <c r="O528" t="n">
        <v>0</v>
      </c>
      <c r="P528" t="n">
        <v>0</v>
      </c>
      <c r="Q528" t="n">
        <v>0</v>
      </c>
      <c r="R528" s="2" t="inlineStr"/>
    </row>
    <row r="529" ht="15" customHeight="1">
      <c r="A529" t="inlineStr">
        <is>
          <t>A 43169-2025</t>
        </is>
      </c>
      <c r="B529" s="1" t="n">
        <v>45910</v>
      </c>
      <c r="C529" s="1" t="n">
        <v>46083</v>
      </c>
      <c r="D529" t="inlineStr">
        <is>
          <t>STOCKHOLMS LÄN</t>
        </is>
      </c>
      <c r="E529" t="inlineStr">
        <is>
          <t>NORRTÄLJE</t>
        </is>
      </c>
      <c r="G529" t="n">
        <v>6.9</v>
      </c>
      <c r="H529" t="n">
        <v>0</v>
      </c>
      <c r="I529" t="n">
        <v>0</v>
      </c>
      <c r="J529" t="n">
        <v>0</v>
      </c>
      <c r="K529" t="n">
        <v>0</v>
      </c>
      <c r="L529" t="n">
        <v>0</v>
      </c>
      <c r="M529" t="n">
        <v>0</v>
      </c>
      <c r="N529" t="n">
        <v>0</v>
      </c>
      <c r="O529" t="n">
        <v>0</v>
      </c>
      <c r="P529" t="n">
        <v>0</v>
      </c>
      <c r="Q529" t="n">
        <v>0</v>
      </c>
      <c r="R529" s="2" t="inlineStr"/>
    </row>
    <row r="530" ht="15" customHeight="1">
      <c r="A530" t="inlineStr">
        <is>
          <t>A 43269-2025</t>
        </is>
      </c>
      <c r="B530" s="1" t="n">
        <v>45910.5819212963</v>
      </c>
      <c r="C530" s="1" t="n">
        <v>46083</v>
      </c>
      <c r="D530" t="inlineStr">
        <is>
          <t>STOCKHOLMS LÄN</t>
        </is>
      </c>
      <c r="E530" t="inlineStr">
        <is>
          <t>NORRTÄLJE</t>
        </is>
      </c>
      <c r="G530" t="n">
        <v>3.7</v>
      </c>
      <c r="H530" t="n">
        <v>0</v>
      </c>
      <c r="I530" t="n">
        <v>0</v>
      </c>
      <c r="J530" t="n">
        <v>0</v>
      </c>
      <c r="K530" t="n">
        <v>0</v>
      </c>
      <c r="L530" t="n">
        <v>0</v>
      </c>
      <c r="M530" t="n">
        <v>0</v>
      </c>
      <c r="N530" t="n">
        <v>0</v>
      </c>
      <c r="O530" t="n">
        <v>0</v>
      </c>
      <c r="P530" t="n">
        <v>0</v>
      </c>
      <c r="Q530" t="n">
        <v>0</v>
      </c>
      <c r="R530" s="2" t="inlineStr"/>
    </row>
    <row r="531" ht="15" customHeight="1">
      <c r="A531" t="inlineStr">
        <is>
          <t>A 33824-2025</t>
        </is>
      </c>
      <c r="B531" s="1" t="n">
        <v>45842.46885416667</v>
      </c>
      <c r="C531" s="1" t="n">
        <v>46083</v>
      </c>
      <c r="D531" t="inlineStr">
        <is>
          <t>STOCKHOLMS LÄN</t>
        </is>
      </c>
      <c r="E531" t="inlineStr">
        <is>
          <t>NORRTÄLJE</t>
        </is>
      </c>
      <c r="G531" t="n">
        <v>1.9</v>
      </c>
      <c r="H531" t="n">
        <v>0</v>
      </c>
      <c r="I531" t="n">
        <v>0</v>
      </c>
      <c r="J531" t="n">
        <v>0</v>
      </c>
      <c r="K531" t="n">
        <v>0</v>
      </c>
      <c r="L531" t="n">
        <v>0</v>
      </c>
      <c r="M531" t="n">
        <v>0</v>
      </c>
      <c r="N531" t="n">
        <v>0</v>
      </c>
      <c r="O531" t="n">
        <v>0</v>
      </c>
      <c r="P531" t="n">
        <v>0</v>
      </c>
      <c r="Q531" t="n">
        <v>0</v>
      </c>
      <c r="R531" s="2" t="inlineStr"/>
    </row>
    <row r="532" ht="15" customHeight="1">
      <c r="A532" t="inlineStr">
        <is>
          <t>A 58863-2024</t>
        </is>
      </c>
      <c r="B532" s="1" t="n">
        <v>45636.41572916666</v>
      </c>
      <c r="C532" s="1" t="n">
        <v>46083</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15447-2023</t>
        </is>
      </c>
      <c r="B533" s="1" t="n">
        <v>45020</v>
      </c>
      <c r="C533" s="1" t="n">
        <v>46083</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34391-2023</t>
        </is>
      </c>
      <c r="B534" s="1" t="n">
        <v>45139.51457175926</v>
      </c>
      <c r="C534" s="1" t="n">
        <v>46083</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53312-2024</t>
        </is>
      </c>
      <c r="B535" s="1" t="n">
        <v>45614.39627314815</v>
      </c>
      <c r="C535" s="1" t="n">
        <v>46083</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46073-2024</t>
        </is>
      </c>
      <c r="B536" s="1" t="n">
        <v>45581</v>
      </c>
      <c r="C536" s="1" t="n">
        <v>46083</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36689-2023</t>
        </is>
      </c>
      <c r="B537" s="1" t="n">
        <v>45152</v>
      </c>
      <c r="C537" s="1" t="n">
        <v>46083</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34139-2025</t>
        </is>
      </c>
      <c r="B538" s="1" t="n">
        <v>45845</v>
      </c>
      <c r="C538" s="1" t="n">
        <v>46083</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34006-2025</t>
        </is>
      </c>
      <c r="B539" s="1" t="n">
        <v>45844.62609953704</v>
      </c>
      <c r="C539" s="1" t="n">
        <v>46083</v>
      </c>
      <c r="D539" t="inlineStr">
        <is>
          <t>STOCKHOLMS LÄN</t>
        </is>
      </c>
      <c r="E539" t="inlineStr">
        <is>
          <t>NORRTÄLJE</t>
        </is>
      </c>
      <c r="G539" t="n">
        <v>2.3</v>
      </c>
      <c r="H539" t="n">
        <v>0</v>
      </c>
      <c r="I539" t="n">
        <v>0</v>
      </c>
      <c r="J539" t="n">
        <v>0</v>
      </c>
      <c r="K539" t="n">
        <v>0</v>
      </c>
      <c r="L539" t="n">
        <v>0</v>
      </c>
      <c r="M539" t="n">
        <v>0</v>
      </c>
      <c r="N539" t="n">
        <v>0</v>
      </c>
      <c r="O539" t="n">
        <v>0</v>
      </c>
      <c r="P539" t="n">
        <v>0</v>
      </c>
      <c r="Q539" t="n">
        <v>0</v>
      </c>
      <c r="R539" s="2" t="inlineStr"/>
    </row>
    <row r="540" ht="15" customHeight="1">
      <c r="A540" t="inlineStr">
        <is>
          <t>A 21158-2022</t>
        </is>
      </c>
      <c r="B540" s="1" t="n">
        <v>44704</v>
      </c>
      <c r="C540" s="1" t="n">
        <v>46083</v>
      </c>
      <c r="D540" t="inlineStr">
        <is>
          <t>STOCKHOLMS LÄN</t>
        </is>
      </c>
      <c r="E540" t="inlineStr">
        <is>
          <t>NORRTÄLJE</t>
        </is>
      </c>
      <c r="G540" t="n">
        <v>17.8</v>
      </c>
      <c r="H540" t="n">
        <v>0</v>
      </c>
      <c r="I540" t="n">
        <v>0</v>
      </c>
      <c r="J540" t="n">
        <v>0</v>
      </c>
      <c r="K540" t="n">
        <v>0</v>
      </c>
      <c r="L540" t="n">
        <v>0</v>
      </c>
      <c r="M540" t="n">
        <v>0</v>
      </c>
      <c r="N540" t="n">
        <v>0</v>
      </c>
      <c r="O540" t="n">
        <v>0</v>
      </c>
      <c r="P540" t="n">
        <v>0</v>
      </c>
      <c r="Q540" t="n">
        <v>0</v>
      </c>
      <c r="R540" s="2" t="inlineStr"/>
    </row>
    <row r="541" ht="15" customHeight="1">
      <c r="A541" t="inlineStr">
        <is>
          <t>A 15915-2023</t>
        </is>
      </c>
      <c r="B541" s="1" t="n">
        <v>45022</v>
      </c>
      <c r="C541" s="1" t="n">
        <v>46083</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58993-2022</t>
        </is>
      </c>
      <c r="B542" s="1" t="n">
        <v>44903</v>
      </c>
      <c r="C542" s="1" t="n">
        <v>46083</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39905-2023</t>
        </is>
      </c>
      <c r="B543" s="1" t="n">
        <v>45168.44489583333</v>
      </c>
      <c r="C543" s="1" t="n">
        <v>46083</v>
      </c>
      <c r="D543" t="inlineStr">
        <is>
          <t>STOCKHOLMS LÄN</t>
        </is>
      </c>
      <c r="E543" t="inlineStr">
        <is>
          <t>NORRTÄLJE</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34010-2025</t>
        </is>
      </c>
      <c r="B544" s="1" t="n">
        <v>45844.91234953704</v>
      </c>
      <c r="C544" s="1" t="n">
        <v>46083</v>
      </c>
      <c r="D544" t="inlineStr">
        <is>
          <t>STOCKHOLMS LÄN</t>
        </is>
      </c>
      <c r="E544" t="inlineStr">
        <is>
          <t>NORRTÄLJE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33793-2022</t>
        </is>
      </c>
      <c r="B545" s="1" t="n">
        <v>44790</v>
      </c>
      <c r="C545" s="1" t="n">
        <v>46083</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46083</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17304-2024</t>
        </is>
      </c>
      <c r="B547" s="1" t="n">
        <v>45414</v>
      </c>
      <c r="C547" s="1" t="n">
        <v>46083</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16852-2024</t>
        </is>
      </c>
      <c r="B548" s="1" t="n">
        <v>45411.54768518519</v>
      </c>
      <c r="C548" s="1" t="n">
        <v>46083</v>
      </c>
      <c r="D548" t="inlineStr">
        <is>
          <t>STOCKHOLMS LÄN</t>
        </is>
      </c>
      <c r="E548" t="inlineStr">
        <is>
          <t>NORRTÄLJE</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4326-2023</t>
        </is>
      </c>
      <c r="B549" s="1" t="n">
        <v>44953.70481481482</v>
      </c>
      <c r="C549" s="1" t="n">
        <v>46083</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33385-2024</t>
        </is>
      </c>
      <c r="B550" s="1" t="n">
        <v>45519</v>
      </c>
      <c r="C550" s="1" t="n">
        <v>46083</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29714-2023</t>
        </is>
      </c>
      <c r="B551" s="1" t="n">
        <v>45107.42538194444</v>
      </c>
      <c r="C551" s="1" t="n">
        <v>46083</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30508-2023</t>
        </is>
      </c>
      <c r="B552" s="1" t="n">
        <v>45111</v>
      </c>
      <c r="C552" s="1" t="n">
        <v>46083</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46083</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12031-2021</t>
        </is>
      </c>
      <c r="B554" s="1" t="n">
        <v>44266</v>
      </c>
      <c r="C554" s="1" t="n">
        <v>46083</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46083</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46083</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46083</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35110-2025</t>
        </is>
      </c>
      <c r="B558" s="1" t="n">
        <v>45852.58030092593</v>
      </c>
      <c r="C558" s="1" t="n">
        <v>46083</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8296-2023</t>
        </is>
      </c>
      <c r="B559" s="1" t="n">
        <v>44974</v>
      </c>
      <c r="C559" s="1" t="n">
        <v>46083</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44354-2025</t>
        </is>
      </c>
      <c r="B560" s="1" t="n">
        <v>45916.44655092592</v>
      </c>
      <c r="C560" s="1" t="n">
        <v>46083</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35254-2025</t>
        </is>
      </c>
      <c r="B561" s="1" t="n">
        <v>45853</v>
      </c>
      <c r="C561" s="1" t="n">
        <v>46083</v>
      </c>
      <c r="D561" t="inlineStr">
        <is>
          <t>STOCKHOLMS LÄN</t>
        </is>
      </c>
      <c r="E561" t="inlineStr">
        <is>
          <t>NORRTÄLJE</t>
        </is>
      </c>
      <c r="G561" t="n">
        <v>6.5</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46083</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31236-2022</t>
        </is>
      </c>
      <c r="B563" s="1" t="n">
        <v>44771</v>
      </c>
      <c r="C563" s="1" t="n">
        <v>46083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35451-2025</t>
        </is>
      </c>
      <c r="B564" s="1" t="n">
        <v>45855.57033564815</v>
      </c>
      <c r="C564" s="1" t="n">
        <v>46083</v>
      </c>
      <c r="D564" t="inlineStr">
        <is>
          <t>STOCKHOLMS LÄN</t>
        </is>
      </c>
      <c r="E564" t="inlineStr">
        <is>
          <t>NORRTÄLJE</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46083</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44333-2025</t>
        </is>
      </c>
      <c r="B566" s="1" t="n">
        <v>45916.42293981482</v>
      </c>
      <c r="C566" s="1" t="n">
        <v>46083</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52593-2024</t>
        </is>
      </c>
      <c r="B567" s="1" t="n">
        <v>45609.70778935185</v>
      </c>
      <c r="C567" s="1" t="n">
        <v>46083</v>
      </c>
      <c r="D567" t="inlineStr">
        <is>
          <t>STOCKHOLMS LÄN</t>
        </is>
      </c>
      <c r="E567" t="inlineStr">
        <is>
          <t>NORRTÄLJE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52617-2024</t>
        </is>
      </c>
      <c r="B568" s="1" t="n">
        <v>45609.85146990741</v>
      </c>
      <c r="C568" s="1" t="n">
        <v>46083</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44306-2025</t>
        </is>
      </c>
      <c r="B569" s="1" t="n">
        <v>45916.37736111111</v>
      </c>
      <c r="C569" s="1" t="n">
        <v>46083</v>
      </c>
      <c r="D569" t="inlineStr">
        <is>
          <t>STOCKHOLMS LÄN</t>
        </is>
      </c>
      <c r="E569" t="inlineStr">
        <is>
          <t>NORRTÄLJE</t>
        </is>
      </c>
      <c r="G569" t="n">
        <v>2.8</v>
      </c>
      <c r="H569" t="n">
        <v>0</v>
      </c>
      <c r="I569" t="n">
        <v>0</v>
      </c>
      <c r="J569" t="n">
        <v>0</v>
      </c>
      <c r="K569" t="n">
        <v>0</v>
      </c>
      <c r="L569" t="n">
        <v>0</v>
      </c>
      <c r="M569" t="n">
        <v>0</v>
      </c>
      <c r="N569" t="n">
        <v>0</v>
      </c>
      <c r="O569" t="n">
        <v>0</v>
      </c>
      <c r="P569" t="n">
        <v>0</v>
      </c>
      <c r="Q569" t="n">
        <v>0</v>
      </c>
      <c r="R569" s="2" t="inlineStr"/>
    </row>
    <row r="570" ht="15" customHeight="1">
      <c r="A570" t="inlineStr">
        <is>
          <t>A 27824-2022</t>
        </is>
      </c>
      <c r="B570" s="1" t="n">
        <v>44743.59331018518</v>
      </c>
      <c r="C570" s="1" t="n">
        <v>46083</v>
      </c>
      <c r="D570" t="inlineStr">
        <is>
          <t>STOCKHOLMS LÄN</t>
        </is>
      </c>
      <c r="E570" t="inlineStr">
        <is>
          <t>NORRTÄLJE</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47521-2024</t>
        </is>
      </c>
      <c r="B571" s="1" t="n">
        <v>45587.62565972222</v>
      </c>
      <c r="C571" s="1" t="n">
        <v>46083</v>
      </c>
      <c r="D571" t="inlineStr">
        <is>
          <t>STOCKHOLMS LÄN</t>
        </is>
      </c>
      <c r="E571" t="inlineStr">
        <is>
          <t>NORRTÄLJE</t>
        </is>
      </c>
      <c r="G571" t="n">
        <v>4.7</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46083</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20698-2025</t>
        </is>
      </c>
      <c r="B573" s="1" t="n">
        <v>45776.47122685185</v>
      </c>
      <c r="C573" s="1" t="n">
        <v>46083</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50534-2024</t>
        </is>
      </c>
      <c r="B574" s="1" t="n">
        <v>45601.56726851852</v>
      </c>
      <c r="C574" s="1" t="n">
        <v>46083</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36396-2025</t>
        </is>
      </c>
      <c r="B575" s="1" t="n">
        <v>45868.62267361111</v>
      </c>
      <c r="C575" s="1" t="n">
        <v>46083</v>
      </c>
      <c r="D575" t="inlineStr">
        <is>
          <t>STOCKHOLMS LÄN</t>
        </is>
      </c>
      <c r="E575" t="inlineStr">
        <is>
          <t>NORRTÄLJE</t>
        </is>
      </c>
      <c r="G575" t="n">
        <v>4.1</v>
      </c>
      <c r="H575" t="n">
        <v>0</v>
      </c>
      <c r="I575" t="n">
        <v>0</v>
      </c>
      <c r="J575" t="n">
        <v>0</v>
      </c>
      <c r="K575" t="n">
        <v>0</v>
      </c>
      <c r="L575" t="n">
        <v>0</v>
      </c>
      <c r="M575" t="n">
        <v>0</v>
      </c>
      <c r="N575" t="n">
        <v>0</v>
      </c>
      <c r="O575" t="n">
        <v>0</v>
      </c>
      <c r="P575" t="n">
        <v>0</v>
      </c>
      <c r="Q575" t="n">
        <v>0</v>
      </c>
      <c r="R575" s="2" t="inlineStr"/>
    </row>
    <row r="576" ht="15" customHeight="1">
      <c r="A576" t="inlineStr">
        <is>
          <t>A 42094-2023</t>
        </is>
      </c>
      <c r="B576" s="1" t="n">
        <v>45177.61498842593</v>
      </c>
      <c r="C576" s="1" t="n">
        <v>46083</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58530-2024</t>
        </is>
      </c>
      <c r="B577" s="1" t="n">
        <v>45635.44788194444</v>
      </c>
      <c r="C577" s="1" t="n">
        <v>46083</v>
      </c>
      <c r="D577" t="inlineStr">
        <is>
          <t>STOCKHOLMS LÄN</t>
        </is>
      </c>
      <c r="E577" t="inlineStr">
        <is>
          <t>NORRTÄLJE</t>
        </is>
      </c>
      <c r="G577" t="n">
        <v>4.5</v>
      </c>
      <c r="H577" t="n">
        <v>0</v>
      </c>
      <c r="I577" t="n">
        <v>0</v>
      </c>
      <c r="J577" t="n">
        <v>0</v>
      </c>
      <c r="K577" t="n">
        <v>0</v>
      </c>
      <c r="L577" t="n">
        <v>0</v>
      </c>
      <c r="M577" t="n">
        <v>0</v>
      </c>
      <c r="N577" t="n">
        <v>0</v>
      </c>
      <c r="O577" t="n">
        <v>0</v>
      </c>
      <c r="P577" t="n">
        <v>0</v>
      </c>
      <c r="Q577" t="n">
        <v>0</v>
      </c>
      <c r="R577" s="2" t="inlineStr"/>
    </row>
    <row r="578" ht="15" customHeight="1">
      <c r="A578" t="inlineStr">
        <is>
          <t>A 30620-2022</t>
        </is>
      </c>
      <c r="B578" s="1" t="n">
        <v>44763.40914351852</v>
      </c>
      <c r="C578" s="1" t="n">
        <v>46083</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22359-2025</t>
        </is>
      </c>
      <c r="B579" s="1" t="n">
        <v>45786</v>
      </c>
      <c r="C579" s="1" t="n">
        <v>46083</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57602-2024</t>
        </is>
      </c>
      <c r="B580" s="1" t="n">
        <v>45630.52866898148</v>
      </c>
      <c r="C580" s="1" t="n">
        <v>46083</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11854-2025</t>
        </is>
      </c>
      <c r="B581" s="1" t="n">
        <v>45728.38924768518</v>
      </c>
      <c r="C581" s="1" t="n">
        <v>46083</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1283-2025</t>
        </is>
      </c>
      <c r="B582" s="1" t="n">
        <v>45667.49878472222</v>
      </c>
      <c r="C582" s="1" t="n">
        <v>46083</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22232-2024</t>
        </is>
      </c>
      <c r="B583" s="1" t="n">
        <v>45446.4287962963</v>
      </c>
      <c r="C583" s="1" t="n">
        <v>46083</v>
      </c>
      <c r="D583" t="inlineStr">
        <is>
          <t>STOCKHOLMS LÄN</t>
        </is>
      </c>
      <c r="E583" t="inlineStr">
        <is>
          <t>NORRTÄLJE</t>
        </is>
      </c>
      <c r="G583" t="n">
        <v>12.8</v>
      </c>
      <c r="H583" t="n">
        <v>0</v>
      </c>
      <c r="I583" t="n">
        <v>0</v>
      </c>
      <c r="J583" t="n">
        <v>0</v>
      </c>
      <c r="K583" t="n">
        <v>0</v>
      </c>
      <c r="L583" t="n">
        <v>0</v>
      </c>
      <c r="M583" t="n">
        <v>0</v>
      </c>
      <c r="N583" t="n">
        <v>0</v>
      </c>
      <c r="O583" t="n">
        <v>0</v>
      </c>
      <c r="P583" t="n">
        <v>0</v>
      </c>
      <c r="Q583" t="n">
        <v>0</v>
      </c>
      <c r="R583" s="2" t="inlineStr"/>
    </row>
    <row r="584" ht="15" customHeight="1">
      <c r="A584" t="inlineStr">
        <is>
          <t>A 34444-2024</t>
        </is>
      </c>
      <c r="B584" s="1" t="n">
        <v>45525</v>
      </c>
      <c r="C584" s="1" t="n">
        <v>46083</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60217-2021</t>
        </is>
      </c>
      <c r="B585" s="1" t="n">
        <v>44495.5893287037</v>
      </c>
      <c r="C585" s="1" t="n">
        <v>46083</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45697-2025</t>
        </is>
      </c>
      <c r="B586" s="1" t="n">
        <v>45923.39877314815</v>
      </c>
      <c r="C586" s="1" t="n">
        <v>46083</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35256-2025</t>
        </is>
      </c>
      <c r="B587" s="1" t="n">
        <v>45853</v>
      </c>
      <c r="C587" s="1" t="n">
        <v>46083</v>
      </c>
      <c r="D587" t="inlineStr">
        <is>
          <t>STOCKHOLMS LÄN</t>
        </is>
      </c>
      <c r="E587" t="inlineStr">
        <is>
          <t>NORRTÄLJE</t>
        </is>
      </c>
      <c r="G587" t="n">
        <v>6.4</v>
      </c>
      <c r="H587" t="n">
        <v>0</v>
      </c>
      <c r="I587" t="n">
        <v>0</v>
      </c>
      <c r="J587" t="n">
        <v>0</v>
      </c>
      <c r="K587" t="n">
        <v>0</v>
      </c>
      <c r="L587" t="n">
        <v>0</v>
      </c>
      <c r="M587" t="n">
        <v>0</v>
      </c>
      <c r="N587" t="n">
        <v>0</v>
      </c>
      <c r="O587" t="n">
        <v>0</v>
      </c>
      <c r="P587" t="n">
        <v>0</v>
      </c>
      <c r="Q587" t="n">
        <v>0</v>
      </c>
      <c r="R587" s="2" t="inlineStr"/>
    </row>
    <row r="588" ht="15" customHeight="1">
      <c r="A588" t="inlineStr">
        <is>
          <t>A 28900-2022</t>
        </is>
      </c>
      <c r="B588" s="1" t="n">
        <v>44749.55258101852</v>
      </c>
      <c r="C588" s="1" t="n">
        <v>46083</v>
      </c>
      <c r="D588" t="inlineStr">
        <is>
          <t>STOCKHOLMS LÄN</t>
        </is>
      </c>
      <c r="E588" t="inlineStr">
        <is>
          <t>NORRTÄLJE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32514-2022</t>
        </is>
      </c>
      <c r="B589" s="1" t="n">
        <v>44782</v>
      </c>
      <c r="C589" s="1" t="n">
        <v>46083</v>
      </c>
      <c r="D589" t="inlineStr">
        <is>
          <t>STOCKHOLMS LÄN</t>
        </is>
      </c>
      <c r="E589" t="inlineStr">
        <is>
          <t>NORRTÄLJE</t>
        </is>
      </c>
      <c r="G589" t="n">
        <v>5.1</v>
      </c>
      <c r="H589" t="n">
        <v>0</v>
      </c>
      <c r="I589" t="n">
        <v>0</v>
      </c>
      <c r="J589" t="n">
        <v>0</v>
      </c>
      <c r="K589" t="n">
        <v>0</v>
      </c>
      <c r="L589" t="n">
        <v>0</v>
      </c>
      <c r="M589" t="n">
        <v>0</v>
      </c>
      <c r="N589" t="n">
        <v>0</v>
      </c>
      <c r="O589" t="n">
        <v>0</v>
      </c>
      <c r="P589" t="n">
        <v>0</v>
      </c>
      <c r="Q589" t="n">
        <v>0</v>
      </c>
      <c r="R589" s="2" t="inlineStr"/>
    </row>
    <row r="590" ht="15" customHeight="1">
      <c r="A590" t="inlineStr">
        <is>
          <t>A 46415-2025</t>
        </is>
      </c>
      <c r="B590" s="1" t="n">
        <v>45925.58636574074</v>
      </c>
      <c r="C590" s="1" t="n">
        <v>46083</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23125-2022</t>
        </is>
      </c>
      <c r="B591" s="1" t="n">
        <v>44719</v>
      </c>
      <c r="C591" s="1" t="n">
        <v>46083</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47460-2025</t>
        </is>
      </c>
      <c r="B592" s="1" t="n">
        <v>45930.66012731481</v>
      </c>
      <c r="C592" s="1" t="n">
        <v>46083</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46900-2025</t>
        </is>
      </c>
      <c r="B593" s="1" t="n">
        <v>45929.38712962963</v>
      </c>
      <c r="C593" s="1" t="n">
        <v>46083</v>
      </c>
      <c r="D593" t="inlineStr">
        <is>
          <t>STOCKHOLMS LÄN</t>
        </is>
      </c>
      <c r="E593" t="inlineStr">
        <is>
          <t>NORRTÄLJE</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9329-2023</t>
        </is>
      </c>
      <c r="B594" s="1" t="n">
        <v>44980</v>
      </c>
      <c r="C594" s="1" t="n">
        <v>46083</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6855-2025</t>
        </is>
      </c>
      <c r="B595" s="1" t="n">
        <v>45700</v>
      </c>
      <c r="C595" s="1" t="n">
        <v>46083</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14873-2025</t>
        </is>
      </c>
      <c r="B596" s="1" t="n">
        <v>45743.44953703704</v>
      </c>
      <c r="C596" s="1" t="n">
        <v>46083</v>
      </c>
      <c r="D596" t="inlineStr">
        <is>
          <t>STOCKHOLMS LÄN</t>
        </is>
      </c>
      <c r="E596" t="inlineStr">
        <is>
          <t>NORRTÄLJE</t>
        </is>
      </c>
      <c r="G596" t="n">
        <v>10.2</v>
      </c>
      <c r="H596" t="n">
        <v>0</v>
      </c>
      <c r="I596" t="n">
        <v>0</v>
      </c>
      <c r="J596" t="n">
        <v>0</v>
      </c>
      <c r="K596" t="n">
        <v>0</v>
      </c>
      <c r="L596" t="n">
        <v>0</v>
      </c>
      <c r="M596" t="n">
        <v>0</v>
      </c>
      <c r="N596" t="n">
        <v>0</v>
      </c>
      <c r="O596" t="n">
        <v>0</v>
      </c>
      <c r="P596" t="n">
        <v>0</v>
      </c>
      <c r="Q596" t="n">
        <v>0</v>
      </c>
      <c r="R596" s="2" t="inlineStr"/>
    </row>
    <row r="597" ht="15" customHeight="1">
      <c r="A597" t="inlineStr">
        <is>
          <t>A 8135-2025</t>
        </is>
      </c>
      <c r="B597" s="1" t="n">
        <v>45707.84997685185</v>
      </c>
      <c r="C597" s="1" t="n">
        <v>46083</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47498-2025</t>
        </is>
      </c>
      <c r="B598" s="1" t="n">
        <v>45930.8134375</v>
      </c>
      <c r="C598" s="1" t="n">
        <v>46083</v>
      </c>
      <c r="D598" t="inlineStr">
        <is>
          <t>STOCKHOLMS LÄN</t>
        </is>
      </c>
      <c r="E598" t="inlineStr">
        <is>
          <t>NORRTÄLJE</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31936-2022</t>
        </is>
      </c>
      <c r="B599" s="1" t="n">
        <v>44777</v>
      </c>
      <c r="C599" s="1" t="n">
        <v>46083</v>
      </c>
      <c r="D599" t="inlineStr">
        <is>
          <t>STOCKHOLMS LÄN</t>
        </is>
      </c>
      <c r="E599" t="inlineStr">
        <is>
          <t>NORRTÄLJE</t>
        </is>
      </c>
      <c r="G599" t="n">
        <v>5.2</v>
      </c>
      <c r="H599" t="n">
        <v>0</v>
      </c>
      <c r="I599" t="n">
        <v>0</v>
      </c>
      <c r="J599" t="n">
        <v>0</v>
      </c>
      <c r="K599" t="n">
        <v>0</v>
      </c>
      <c r="L599" t="n">
        <v>0</v>
      </c>
      <c r="M599" t="n">
        <v>0</v>
      </c>
      <c r="N599" t="n">
        <v>0</v>
      </c>
      <c r="O599" t="n">
        <v>0</v>
      </c>
      <c r="P599" t="n">
        <v>0</v>
      </c>
      <c r="Q599" t="n">
        <v>0</v>
      </c>
      <c r="R599" s="2" t="inlineStr"/>
    </row>
    <row r="600" ht="15" customHeight="1">
      <c r="A600" t="inlineStr">
        <is>
          <t>A 24887-2023</t>
        </is>
      </c>
      <c r="B600" s="1" t="n">
        <v>45085</v>
      </c>
      <c r="C600" s="1" t="n">
        <v>46083</v>
      </c>
      <c r="D600" t="inlineStr">
        <is>
          <t>STOCKHOLMS LÄN</t>
        </is>
      </c>
      <c r="E600" t="inlineStr">
        <is>
          <t>NORRTÄLJE</t>
        </is>
      </c>
      <c r="G600" t="n">
        <v>13.9</v>
      </c>
      <c r="H600" t="n">
        <v>0</v>
      </c>
      <c r="I600" t="n">
        <v>0</v>
      </c>
      <c r="J600" t="n">
        <v>0</v>
      </c>
      <c r="K600" t="n">
        <v>0</v>
      </c>
      <c r="L600" t="n">
        <v>0</v>
      </c>
      <c r="M600" t="n">
        <v>0</v>
      </c>
      <c r="N600" t="n">
        <v>0</v>
      </c>
      <c r="O600" t="n">
        <v>0</v>
      </c>
      <c r="P600" t="n">
        <v>0</v>
      </c>
      <c r="Q600" t="n">
        <v>0</v>
      </c>
      <c r="R600" s="2" t="inlineStr"/>
    </row>
    <row r="601" ht="15" customHeight="1">
      <c r="A601" t="inlineStr">
        <is>
          <t>A 56428-2023</t>
        </is>
      </c>
      <c r="B601" s="1" t="n">
        <v>45243.45289351852</v>
      </c>
      <c r="C601" s="1" t="n">
        <v>46083</v>
      </c>
      <c r="D601" t="inlineStr">
        <is>
          <t>STOCKHOLMS LÄN</t>
        </is>
      </c>
      <c r="E601" t="inlineStr">
        <is>
          <t>NORRTÄLJE</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46083</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30338-2022</t>
        </is>
      </c>
      <c r="B603" s="1" t="n">
        <v>44760</v>
      </c>
      <c r="C603" s="1" t="n">
        <v>46083</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18541-2023</t>
        </is>
      </c>
      <c r="B604" s="1" t="n">
        <v>45042.74291666667</v>
      </c>
      <c r="C604" s="1" t="n">
        <v>46083</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20692-2025</t>
        </is>
      </c>
      <c r="B605" s="1" t="n">
        <v>45776.46369212963</v>
      </c>
      <c r="C605" s="1" t="n">
        <v>46083</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32857-2021</t>
        </is>
      </c>
      <c r="B606" s="1" t="n">
        <v>44375</v>
      </c>
      <c r="C606" s="1" t="n">
        <v>46083</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51325-2023</t>
        </is>
      </c>
      <c r="B607" s="1" t="n">
        <v>45219</v>
      </c>
      <c r="C607" s="1" t="n">
        <v>46083</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21729-2024</t>
        </is>
      </c>
      <c r="B608" s="1" t="n">
        <v>45442</v>
      </c>
      <c r="C608" s="1" t="n">
        <v>46083</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46071-2024</t>
        </is>
      </c>
      <c r="B609" s="1" t="n">
        <v>45581</v>
      </c>
      <c r="C609" s="1" t="n">
        <v>46083</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47496-2025</t>
        </is>
      </c>
      <c r="B610" s="1" t="n">
        <v>45930.79252314815</v>
      </c>
      <c r="C610" s="1" t="n">
        <v>46083</v>
      </c>
      <c r="D610" t="inlineStr">
        <is>
          <t>STOCKHOLMS LÄN</t>
        </is>
      </c>
      <c r="E610" t="inlineStr">
        <is>
          <t>NORRTÄLJE</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47497-2025</t>
        </is>
      </c>
      <c r="B611" s="1" t="n">
        <v>45930.80217592593</v>
      </c>
      <c r="C611" s="1" t="n">
        <v>46083</v>
      </c>
      <c r="D611" t="inlineStr">
        <is>
          <t>STOCKHOLMS LÄN</t>
        </is>
      </c>
      <c r="E611" t="inlineStr">
        <is>
          <t>NORRTÄLJE</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21894-2023</t>
        </is>
      </c>
      <c r="B612" s="1" t="n">
        <v>45068.51783564815</v>
      </c>
      <c r="C612" s="1" t="n">
        <v>46083</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46083</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37630-2025</t>
        </is>
      </c>
      <c r="B614" s="1" t="n">
        <v>45880.46372685185</v>
      </c>
      <c r="C614" s="1" t="n">
        <v>46083</v>
      </c>
      <c r="D614" t="inlineStr">
        <is>
          <t>STOCKHOLMS LÄN</t>
        </is>
      </c>
      <c r="E614" t="inlineStr">
        <is>
          <t>NORRTÄLJE</t>
        </is>
      </c>
      <c r="F614" t="inlineStr">
        <is>
          <t>Sveaskog</t>
        </is>
      </c>
      <c r="G614" t="n">
        <v>12.9</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46083</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29841-2024</t>
        </is>
      </c>
      <c r="B616" s="1" t="n">
        <v>45485.60261574074</v>
      </c>
      <c r="C616" s="1" t="n">
        <v>46083</v>
      </c>
      <c r="D616" t="inlineStr">
        <is>
          <t>STOCKHOLMS LÄN</t>
        </is>
      </c>
      <c r="E616" t="inlineStr">
        <is>
          <t>NORRTÄLJE</t>
        </is>
      </c>
      <c r="G616" t="n">
        <v>15.9</v>
      </c>
      <c r="H616" t="n">
        <v>0</v>
      </c>
      <c r="I616" t="n">
        <v>0</v>
      </c>
      <c r="J616" t="n">
        <v>0</v>
      </c>
      <c r="K616" t="n">
        <v>0</v>
      </c>
      <c r="L616" t="n">
        <v>0</v>
      </c>
      <c r="M616" t="n">
        <v>0</v>
      </c>
      <c r="N616" t="n">
        <v>0</v>
      </c>
      <c r="O616" t="n">
        <v>0</v>
      </c>
      <c r="P616" t="n">
        <v>0</v>
      </c>
      <c r="Q616" t="n">
        <v>0</v>
      </c>
      <c r="R616" s="2" t="inlineStr"/>
    </row>
    <row r="617" ht="15" customHeight="1">
      <c r="A617" t="inlineStr">
        <is>
          <t>A 37628-2025</t>
        </is>
      </c>
      <c r="B617" s="1" t="n">
        <v>45880.46189814815</v>
      </c>
      <c r="C617" s="1" t="n">
        <v>46083</v>
      </c>
      <c r="D617" t="inlineStr">
        <is>
          <t>STOCKHOLMS LÄN</t>
        </is>
      </c>
      <c r="E617" t="inlineStr">
        <is>
          <t>NORRTÄLJE</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21732-2023</t>
        </is>
      </c>
      <c r="B618" s="1" t="n">
        <v>45063</v>
      </c>
      <c r="C618" s="1" t="n">
        <v>46083</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24350-2025</t>
        </is>
      </c>
      <c r="B619" s="1" t="n">
        <v>45797.58350694444</v>
      </c>
      <c r="C619" s="1" t="n">
        <v>46083</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26703-2025</t>
        </is>
      </c>
      <c r="B620" s="1" t="n">
        <v>45810.45263888889</v>
      </c>
      <c r="C620" s="1" t="n">
        <v>46083</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7806-2025</t>
        </is>
      </c>
      <c r="B621" s="1" t="n">
        <v>45706.61178240741</v>
      </c>
      <c r="C621" s="1" t="n">
        <v>46083</v>
      </c>
      <c r="D621" t="inlineStr">
        <is>
          <t>STOCKHOLMS LÄN</t>
        </is>
      </c>
      <c r="E621" t="inlineStr">
        <is>
          <t>NORRTÄLJE</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37444-2021</t>
        </is>
      </c>
      <c r="B622" s="1" t="n">
        <v>44398</v>
      </c>
      <c r="C622" s="1" t="n">
        <v>46083</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13137-2024</t>
        </is>
      </c>
      <c r="B623" s="1" t="n">
        <v>45386.34175925926</v>
      </c>
      <c r="C623" s="1" t="n">
        <v>46083</v>
      </c>
      <c r="D623" t="inlineStr">
        <is>
          <t>STOCKHOLMS LÄN</t>
        </is>
      </c>
      <c r="E623" t="inlineStr">
        <is>
          <t>NORRTÄLJE</t>
        </is>
      </c>
      <c r="G623" t="n">
        <v>5</v>
      </c>
      <c r="H623" t="n">
        <v>0</v>
      </c>
      <c r="I623" t="n">
        <v>0</v>
      </c>
      <c r="J623" t="n">
        <v>0</v>
      </c>
      <c r="K623" t="n">
        <v>0</v>
      </c>
      <c r="L623" t="n">
        <v>0</v>
      </c>
      <c r="M623" t="n">
        <v>0</v>
      </c>
      <c r="N623" t="n">
        <v>0</v>
      </c>
      <c r="O623" t="n">
        <v>0</v>
      </c>
      <c r="P623" t="n">
        <v>0</v>
      </c>
      <c r="Q623" t="n">
        <v>0</v>
      </c>
      <c r="R623" s="2" t="inlineStr"/>
    </row>
    <row r="624" ht="15" customHeight="1">
      <c r="A624" t="inlineStr">
        <is>
          <t>A 38153-2025</t>
        </is>
      </c>
      <c r="B624" s="1" t="n">
        <v>45882.59722222222</v>
      </c>
      <c r="C624" s="1" t="n">
        <v>46083</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48718-2025</t>
        </is>
      </c>
      <c r="B625" s="1" t="n">
        <v>45936</v>
      </c>
      <c r="C625" s="1" t="n">
        <v>46083</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45173-2023</t>
        </is>
      </c>
      <c r="B626" s="1" t="n">
        <v>45191</v>
      </c>
      <c r="C626" s="1" t="n">
        <v>46083</v>
      </c>
      <c r="D626" t="inlineStr">
        <is>
          <t>STOCKHOLMS LÄN</t>
        </is>
      </c>
      <c r="E626" t="inlineStr">
        <is>
          <t>NORRTÄLJE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48360-2025</t>
        </is>
      </c>
      <c r="B627" s="1" t="n">
        <v>45933.66253472222</v>
      </c>
      <c r="C627" s="1" t="n">
        <v>46083</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48370-2025</t>
        </is>
      </c>
      <c r="B628" s="1" t="n">
        <v>45933.67854166667</v>
      </c>
      <c r="C628" s="1" t="n">
        <v>46083</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48443-2025</t>
        </is>
      </c>
      <c r="B629" s="1" t="n">
        <v>45935.55326388889</v>
      </c>
      <c r="C629" s="1" t="n">
        <v>46083</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48127-2025</t>
        </is>
      </c>
      <c r="B630" s="1" t="n">
        <v>45933.36621527778</v>
      </c>
      <c r="C630" s="1" t="n">
        <v>46083</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48364-2025</t>
        </is>
      </c>
      <c r="B631" s="1" t="n">
        <v>45933.66796296297</v>
      </c>
      <c r="C631" s="1" t="n">
        <v>46083</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44510.51422453704</v>
      </c>
      <c r="C632" s="1" t="n">
        <v>46083</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48179-2025</t>
        </is>
      </c>
      <c r="B633" s="1" t="n">
        <v>45933.44907407407</v>
      </c>
      <c r="C633" s="1" t="n">
        <v>46083</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38720-2022</t>
        </is>
      </c>
      <c r="B634" s="1" t="n">
        <v>44815.74539351852</v>
      </c>
      <c r="C634" s="1" t="n">
        <v>46083</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34432-2021</t>
        </is>
      </c>
      <c r="B635" s="1" t="n">
        <v>44380.77346064815</v>
      </c>
      <c r="C635" s="1" t="n">
        <v>46083</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38593-2025</t>
        </is>
      </c>
      <c r="B636" s="1" t="n">
        <v>45884.48696759259</v>
      </c>
      <c r="C636" s="1" t="n">
        <v>46083</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19911-2025</t>
        </is>
      </c>
      <c r="B637" s="1" t="n">
        <v>45771</v>
      </c>
      <c r="C637" s="1" t="n">
        <v>46083</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48174-2025</t>
        </is>
      </c>
      <c r="B638" s="1" t="n">
        <v>45933.44230324074</v>
      </c>
      <c r="C638" s="1" t="n">
        <v>46083</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48593-2025</t>
        </is>
      </c>
      <c r="B639" s="1" t="n">
        <v>45936.4627662037</v>
      </c>
      <c r="C639" s="1" t="n">
        <v>46083</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14130-2025</t>
        </is>
      </c>
      <c r="B640" s="1" t="n">
        <v>45740.47288194444</v>
      </c>
      <c r="C640" s="1" t="n">
        <v>46083</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12532-2025</t>
        </is>
      </c>
      <c r="B641" s="1" t="n">
        <v>45730.69143518519</v>
      </c>
      <c r="C641" s="1" t="n">
        <v>46083</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46083</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40175-2024</t>
        </is>
      </c>
      <c r="B643" s="1" t="n">
        <v>45554.55707175926</v>
      </c>
      <c r="C643" s="1" t="n">
        <v>46083</v>
      </c>
      <c r="D643" t="inlineStr">
        <is>
          <t>STOCKHOLMS LÄN</t>
        </is>
      </c>
      <c r="E643" t="inlineStr">
        <is>
          <t>NORRTÄLJE</t>
        </is>
      </c>
      <c r="G643" t="n">
        <v>7.7</v>
      </c>
      <c r="H643" t="n">
        <v>0</v>
      </c>
      <c r="I643" t="n">
        <v>0</v>
      </c>
      <c r="J643" t="n">
        <v>0</v>
      </c>
      <c r="K643" t="n">
        <v>0</v>
      </c>
      <c r="L643" t="n">
        <v>0</v>
      </c>
      <c r="M643" t="n">
        <v>0</v>
      </c>
      <c r="N643" t="n">
        <v>0</v>
      </c>
      <c r="O643" t="n">
        <v>0</v>
      </c>
      <c r="P643" t="n">
        <v>0</v>
      </c>
      <c r="Q643" t="n">
        <v>0</v>
      </c>
      <c r="R643" s="2" t="inlineStr"/>
    </row>
    <row r="644" ht="15" customHeight="1">
      <c r="A644" t="inlineStr">
        <is>
          <t>A 16229-2022</t>
        </is>
      </c>
      <c r="B644" s="1" t="n">
        <v>44670.4190162037</v>
      </c>
      <c r="C644" s="1" t="n">
        <v>46083</v>
      </c>
      <c r="D644" t="inlineStr">
        <is>
          <t>STOCKHOLMS LÄN</t>
        </is>
      </c>
      <c r="E644" t="inlineStr">
        <is>
          <t>NORRTÄLJE</t>
        </is>
      </c>
      <c r="G644" t="n">
        <v>7.4</v>
      </c>
      <c r="H644" t="n">
        <v>0</v>
      </c>
      <c r="I644" t="n">
        <v>0</v>
      </c>
      <c r="J644" t="n">
        <v>0</v>
      </c>
      <c r="K644" t="n">
        <v>0</v>
      </c>
      <c r="L644" t="n">
        <v>0</v>
      </c>
      <c r="M644" t="n">
        <v>0</v>
      </c>
      <c r="N644" t="n">
        <v>0</v>
      </c>
      <c r="O644" t="n">
        <v>0</v>
      </c>
      <c r="P644" t="n">
        <v>0</v>
      </c>
      <c r="Q644" t="n">
        <v>0</v>
      </c>
      <c r="R644" s="2" t="inlineStr"/>
    </row>
    <row r="645" ht="15" customHeight="1">
      <c r="A645" t="inlineStr">
        <is>
          <t>A 48780-2025</t>
        </is>
      </c>
      <c r="B645" s="1" t="n">
        <v>45937.30377314815</v>
      </c>
      <c r="C645" s="1" t="n">
        <v>46083</v>
      </c>
      <c r="D645" t="inlineStr">
        <is>
          <t>STOCKHOLMS LÄN</t>
        </is>
      </c>
      <c r="E645" t="inlineStr">
        <is>
          <t>NORRTÄLJE</t>
        </is>
      </c>
      <c r="G645" t="n">
        <v>7.7</v>
      </c>
      <c r="H645" t="n">
        <v>0</v>
      </c>
      <c r="I645" t="n">
        <v>0</v>
      </c>
      <c r="J645" t="n">
        <v>0</v>
      </c>
      <c r="K645" t="n">
        <v>0</v>
      </c>
      <c r="L645" t="n">
        <v>0</v>
      </c>
      <c r="M645" t="n">
        <v>0</v>
      </c>
      <c r="N645" t="n">
        <v>0</v>
      </c>
      <c r="O645" t="n">
        <v>0</v>
      </c>
      <c r="P645" t="n">
        <v>0</v>
      </c>
      <c r="Q645" t="n">
        <v>0</v>
      </c>
      <c r="R645" s="2" t="inlineStr"/>
    </row>
    <row r="646" ht="15" customHeight="1">
      <c r="A646" t="inlineStr">
        <is>
          <t>A 46914-2022</t>
        </is>
      </c>
      <c r="B646" s="1" t="n">
        <v>44851</v>
      </c>
      <c r="C646" s="1" t="n">
        <v>46083</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46083</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20244-2025</t>
        </is>
      </c>
      <c r="B648" s="1" t="n">
        <v>45772.71221064815</v>
      </c>
      <c r="C648" s="1" t="n">
        <v>46083</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50143-2023</t>
        </is>
      </c>
      <c r="B649" s="1" t="n">
        <v>45215</v>
      </c>
      <c r="C649" s="1" t="n">
        <v>46083</v>
      </c>
      <c r="D649" t="inlineStr">
        <is>
          <t>STOCKHOLMS LÄN</t>
        </is>
      </c>
      <c r="E649" t="inlineStr">
        <is>
          <t>NORRTÄLJE</t>
        </is>
      </c>
      <c r="G649" t="n">
        <v>10.3</v>
      </c>
      <c r="H649" t="n">
        <v>0</v>
      </c>
      <c r="I649" t="n">
        <v>0</v>
      </c>
      <c r="J649" t="n">
        <v>0</v>
      </c>
      <c r="K649" t="n">
        <v>0</v>
      </c>
      <c r="L649" t="n">
        <v>0</v>
      </c>
      <c r="M649" t="n">
        <v>0</v>
      </c>
      <c r="N649" t="n">
        <v>0</v>
      </c>
      <c r="O649" t="n">
        <v>0</v>
      </c>
      <c r="P649" t="n">
        <v>0</v>
      </c>
      <c r="Q649" t="n">
        <v>0</v>
      </c>
      <c r="R649" s="2" t="inlineStr"/>
    </row>
    <row r="650" ht="15" customHeight="1">
      <c r="A650" t="inlineStr">
        <is>
          <t>A 20015-2023</t>
        </is>
      </c>
      <c r="B650" s="1" t="n">
        <v>45054</v>
      </c>
      <c r="C650" s="1" t="n">
        <v>46083</v>
      </c>
      <c r="D650" t="inlineStr">
        <is>
          <t>STOCKHOLMS LÄN</t>
        </is>
      </c>
      <c r="E650" t="inlineStr">
        <is>
          <t>NORRTÄLJE</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49836-2025</t>
        </is>
      </c>
      <c r="B651" s="1" t="n">
        <v>45940.46862268518</v>
      </c>
      <c r="C651" s="1" t="n">
        <v>46083</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5027-2025</t>
        </is>
      </c>
      <c r="B652" s="1" t="n">
        <v>45691.41101851852</v>
      </c>
      <c r="C652" s="1" t="n">
        <v>46083</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8315-2025</t>
        </is>
      </c>
      <c r="B653" s="1" t="n">
        <v>45708.61761574074</v>
      </c>
      <c r="C653" s="1" t="n">
        <v>46083</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12251-2025</t>
        </is>
      </c>
      <c r="B654" s="1" t="n">
        <v>45729.60859953704</v>
      </c>
      <c r="C654" s="1" t="n">
        <v>46083</v>
      </c>
      <c r="D654" t="inlineStr">
        <is>
          <t>STOCKHOLMS LÄN</t>
        </is>
      </c>
      <c r="E654" t="inlineStr">
        <is>
          <t>NORRTÄLJE</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54776-2023</t>
        </is>
      </c>
      <c r="B655" s="1" t="n">
        <v>45236.46369212963</v>
      </c>
      <c r="C655" s="1" t="n">
        <v>46083</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20144-2023</t>
        </is>
      </c>
      <c r="B656" s="1" t="n">
        <v>45055.43509259259</v>
      </c>
      <c r="C656" s="1" t="n">
        <v>46083</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50097-2025</t>
        </is>
      </c>
      <c r="B657" s="1" t="n">
        <v>45943.50207175926</v>
      </c>
      <c r="C657" s="1" t="n">
        <v>46083</v>
      </c>
      <c r="D657" t="inlineStr">
        <is>
          <t>STOCKHOLMS LÄN</t>
        </is>
      </c>
      <c r="E657" t="inlineStr">
        <is>
          <t>NORRTÄLJE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13314-2025</t>
        </is>
      </c>
      <c r="B658" s="1" t="n">
        <v>45735.59287037037</v>
      </c>
      <c r="C658" s="1" t="n">
        <v>46083</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23056-2023</t>
        </is>
      </c>
      <c r="B659" s="1" t="n">
        <v>45075</v>
      </c>
      <c r="C659" s="1" t="n">
        <v>46083</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13172-2025</t>
        </is>
      </c>
      <c r="B660" s="1" t="n">
        <v>45735.36873842592</v>
      </c>
      <c r="C660" s="1" t="n">
        <v>46083</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50333-2025</t>
        </is>
      </c>
      <c r="B661" s="1" t="n">
        <v>45944.47178240741</v>
      </c>
      <c r="C661" s="1" t="n">
        <v>46083</v>
      </c>
      <c r="D661" t="inlineStr">
        <is>
          <t>STOCKHOLMS LÄN</t>
        </is>
      </c>
      <c r="E661" t="inlineStr">
        <is>
          <t>NORRTÄLJE</t>
        </is>
      </c>
      <c r="G661" t="n">
        <v>4.2</v>
      </c>
      <c r="H661" t="n">
        <v>0</v>
      </c>
      <c r="I661" t="n">
        <v>0</v>
      </c>
      <c r="J661" t="n">
        <v>0</v>
      </c>
      <c r="K661" t="n">
        <v>0</v>
      </c>
      <c r="L661" t="n">
        <v>0</v>
      </c>
      <c r="M661" t="n">
        <v>0</v>
      </c>
      <c r="N661" t="n">
        <v>0</v>
      </c>
      <c r="O661" t="n">
        <v>0</v>
      </c>
      <c r="P661" t="n">
        <v>0</v>
      </c>
      <c r="Q661" t="n">
        <v>0</v>
      </c>
      <c r="R661" s="2" t="inlineStr"/>
    </row>
    <row r="662" ht="15" customHeight="1">
      <c r="A662" t="inlineStr">
        <is>
          <t>A 50563-2025</t>
        </is>
      </c>
      <c r="B662" s="1" t="n">
        <v>45944</v>
      </c>
      <c r="C662" s="1" t="n">
        <v>46083</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50327-2025</t>
        </is>
      </c>
      <c r="B663" s="1" t="n">
        <v>45944.46387731482</v>
      </c>
      <c r="C663" s="1" t="n">
        <v>46083</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19025-2025</t>
        </is>
      </c>
      <c r="B664" s="1" t="n">
        <v>45764.6359837963</v>
      </c>
      <c r="C664" s="1" t="n">
        <v>46083</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5867-2022</t>
        </is>
      </c>
      <c r="B665" s="1" t="n">
        <v>44596.66335648148</v>
      </c>
      <c r="C665" s="1" t="n">
        <v>46083</v>
      </c>
      <c r="D665" t="inlineStr">
        <is>
          <t>STOCKHOLMS LÄN</t>
        </is>
      </c>
      <c r="E665" t="inlineStr">
        <is>
          <t>NORRTÄLJE</t>
        </is>
      </c>
      <c r="F665" t="inlineStr">
        <is>
          <t>Naturvårdsverket</t>
        </is>
      </c>
      <c r="G665" t="n">
        <v>1.6</v>
      </c>
      <c r="H665" t="n">
        <v>0</v>
      </c>
      <c r="I665" t="n">
        <v>0</v>
      </c>
      <c r="J665" t="n">
        <v>0</v>
      </c>
      <c r="K665" t="n">
        <v>0</v>
      </c>
      <c r="L665" t="n">
        <v>0</v>
      </c>
      <c r="M665" t="n">
        <v>0</v>
      </c>
      <c r="N665" t="n">
        <v>0</v>
      </c>
      <c r="O665" t="n">
        <v>0</v>
      </c>
      <c r="P665" t="n">
        <v>0</v>
      </c>
      <c r="Q665" t="n">
        <v>0</v>
      </c>
      <c r="R665" s="2" t="inlineStr"/>
    </row>
    <row r="666" ht="15" customHeight="1">
      <c r="A666" t="inlineStr">
        <is>
          <t>A 73307-2021</t>
        </is>
      </c>
      <c r="B666" s="1" t="n">
        <v>44549</v>
      </c>
      <c r="C666" s="1" t="n">
        <v>46083</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21731-2023</t>
        </is>
      </c>
      <c r="B667" s="1" t="n">
        <v>45063</v>
      </c>
      <c r="C667" s="1" t="n">
        <v>46083</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21745-2023</t>
        </is>
      </c>
      <c r="B668" s="1" t="n">
        <v>45065.55917824074</v>
      </c>
      <c r="C668" s="1" t="n">
        <v>46083</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30221-2024</t>
        </is>
      </c>
      <c r="B669" s="1" t="n">
        <v>45490.45342592592</v>
      </c>
      <c r="C669" s="1" t="n">
        <v>46083</v>
      </c>
      <c r="D669" t="inlineStr">
        <is>
          <t>STOCKHOLMS LÄN</t>
        </is>
      </c>
      <c r="E669" t="inlineStr">
        <is>
          <t>NORRTÄLJE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26365-2024</t>
        </is>
      </c>
      <c r="B670" s="1" t="n">
        <v>45469</v>
      </c>
      <c r="C670" s="1" t="n">
        <v>46083</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51240-2025</t>
        </is>
      </c>
      <c r="B671" s="1" t="n">
        <v>45947.70420138889</v>
      </c>
      <c r="C671" s="1" t="n">
        <v>46083</v>
      </c>
      <c r="D671" t="inlineStr">
        <is>
          <t>STOCKHOLMS LÄN</t>
        </is>
      </c>
      <c r="E671" t="inlineStr">
        <is>
          <t>NORRTÄLJE</t>
        </is>
      </c>
      <c r="F671" t="inlineStr">
        <is>
          <t>Naturvårdsverket</t>
        </is>
      </c>
      <c r="G671" t="n">
        <v>3</v>
      </c>
      <c r="H671" t="n">
        <v>0</v>
      </c>
      <c r="I671" t="n">
        <v>0</v>
      </c>
      <c r="J671" t="n">
        <v>0</v>
      </c>
      <c r="K671" t="n">
        <v>0</v>
      </c>
      <c r="L671" t="n">
        <v>0</v>
      </c>
      <c r="M671" t="n">
        <v>0</v>
      </c>
      <c r="N671" t="n">
        <v>0</v>
      </c>
      <c r="O671" t="n">
        <v>0</v>
      </c>
      <c r="P671" t="n">
        <v>0</v>
      </c>
      <c r="Q671" t="n">
        <v>0</v>
      </c>
      <c r="R671" s="2" t="inlineStr"/>
    </row>
    <row r="672" ht="15" customHeight="1">
      <c r="A672" t="inlineStr">
        <is>
          <t>A 50602-2021</t>
        </is>
      </c>
      <c r="B672" s="1" t="n">
        <v>44459</v>
      </c>
      <c r="C672" s="1" t="n">
        <v>46083</v>
      </c>
      <c r="D672" t="inlineStr">
        <is>
          <t>STOCKHOLMS LÄN</t>
        </is>
      </c>
      <c r="E672" t="inlineStr">
        <is>
          <t>NORRTÄLJE</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59477-2025</t>
        </is>
      </c>
      <c r="B673" s="1" t="n">
        <v>45989.58679398148</v>
      </c>
      <c r="C673" s="1" t="n">
        <v>46083</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48798-2021</t>
        </is>
      </c>
      <c r="B674" s="1" t="n">
        <v>44452</v>
      </c>
      <c r="C674" s="1" t="n">
        <v>46083</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51121-2025</t>
        </is>
      </c>
      <c r="B675" s="1" t="n">
        <v>45947.53293981482</v>
      </c>
      <c r="C675" s="1" t="n">
        <v>46083</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51532-2025</t>
        </is>
      </c>
      <c r="B676" s="1" t="n">
        <v>45950.68297453703</v>
      </c>
      <c r="C676" s="1" t="n">
        <v>46083</v>
      </c>
      <c r="D676" t="inlineStr">
        <is>
          <t>STOCKHOLMS LÄN</t>
        </is>
      </c>
      <c r="E676" t="inlineStr">
        <is>
          <t>NORRTÄLJE</t>
        </is>
      </c>
      <c r="F676" t="inlineStr">
        <is>
          <t>Naturvårdsverket</t>
        </is>
      </c>
      <c r="G676" t="n">
        <v>17.3</v>
      </c>
      <c r="H676" t="n">
        <v>0</v>
      </c>
      <c r="I676" t="n">
        <v>0</v>
      </c>
      <c r="J676" t="n">
        <v>0</v>
      </c>
      <c r="K676" t="n">
        <v>0</v>
      </c>
      <c r="L676" t="n">
        <v>0</v>
      </c>
      <c r="M676" t="n">
        <v>0</v>
      </c>
      <c r="N676" t="n">
        <v>0</v>
      </c>
      <c r="O676" t="n">
        <v>0</v>
      </c>
      <c r="P676" t="n">
        <v>0</v>
      </c>
      <c r="Q676" t="n">
        <v>0</v>
      </c>
      <c r="R676" s="2" t="inlineStr"/>
    </row>
    <row r="677" ht="15" customHeight="1">
      <c r="A677" t="inlineStr">
        <is>
          <t>A 51233-2025</t>
        </is>
      </c>
      <c r="B677" s="1" t="n">
        <v>45947.68232638889</v>
      </c>
      <c r="C677" s="1" t="n">
        <v>46083</v>
      </c>
      <c r="D677" t="inlineStr">
        <is>
          <t>STOCKHOLMS LÄN</t>
        </is>
      </c>
      <c r="E677" t="inlineStr">
        <is>
          <t>NORRTÄLJE</t>
        </is>
      </c>
      <c r="F677" t="inlineStr">
        <is>
          <t>Naturvårdsverket</t>
        </is>
      </c>
      <c r="G677" t="n">
        <v>8.1</v>
      </c>
      <c r="H677" t="n">
        <v>0</v>
      </c>
      <c r="I677" t="n">
        <v>0</v>
      </c>
      <c r="J677" t="n">
        <v>0</v>
      </c>
      <c r="K677" t="n">
        <v>0</v>
      </c>
      <c r="L677" t="n">
        <v>0</v>
      </c>
      <c r="M677" t="n">
        <v>0</v>
      </c>
      <c r="N677" t="n">
        <v>0</v>
      </c>
      <c r="O677" t="n">
        <v>0</v>
      </c>
      <c r="P677" t="n">
        <v>0</v>
      </c>
      <c r="Q677" t="n">
        <v>0</v>
      </c>
      <c r="R677" s="2" t="inlineStr"/>
    </row>
    <row r="678" ht="15" customHeight="1">
      <c r="A678" t="inlineStr">
        <is>
          <t>A 51236-2025</t>
        </is>
      </c>
      <c r="B678" s="1" t="n">
        <v>45947.69078703703</v>
      </c>
      <c r="C678" s="1" t="n">
        <v>46083</v>
      </c>
      <c r="D678" t="inlineStr">
        <is>
          <t>STOCKHOLMS LÄN</t>
        </is>
      </c>
      <c r="E678" t="inlineStr">
        <is>
          <t>NORRTÄLJE</t>
        </is>
      </c>
      <c r="F678" t="inlineStr">
        <is>
          <t>Naturvårdsverket</t>
        </is>
      </c>
      <c r="G678" t="n">
        <v>6.3</v>
      </c>
      <c r="H678" t="n">
        <v>0</v>
      </c>
      <c r="I678" t="n">
        <v>0</v>
      </c>
      <c r="J678" t="n">
        <v>0</v>
      </c>
      <c r="K678" t="n">
        <v>0</v>
      </c>
      <c r="L678" t="n">
        <v>0</v>
      </c>
      <c r="M678" t="n">
        <v>0</v>
      </c>
      <c r="N678" t="n">
        <v>0</v>
      </c>
      <c r="O678" t="n">
        <v>0</v>
      </c>
      <c r="P678" t="n">
        <v>0</v>
      </c>
      <c r="Q678" t="n">
        <v>0</v>
      </c>
      <c r="R678" s="2" t="inlineStr"/>
    </row>
    <row r="679" ht="15" customHeight="1">
      <c r="A679" t="inlineStr">
        <is>
          <t>A 30283-2022</t>
        </is>
      </c>
      <c r="B679" s="1" t="n">
        <v>44760</v>
      </c>
      <c r="C679" s="1" t="n">
        <v>46083</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51241-2025</t>
        </is>
      </c>
      <c r="B680" s="1" t="n">
        <v>45947.71726851852</v>
      </c>
      <c r="C680" s="1" t="n">
        <v>46083</v>
      </c>
      <c r="D680" t="inlineStr">
        <is>
          <t>STOCKHOLMS LÄN</t>
        </is>
      </c>
      <c r="E680" t="inlineStr">
        <is>
          <t>NORRTÄLJE</t>
        </is>
      </c>
      <c r="F680" t="inlineStr">
        <is>
          <t>Naturvårdsverket</t>
        </is>
      </c>
      <c r="G680" t="n">
        <v>6.4</v>
      </c>
      <c r="H680" t="n">
        <v>0</v>
      </c>
      <c r="I680" t="n">
        <v>0</v>
      </c>
      <c r="J680" t="n">
        <v>0</v>
      </c>
      <c r="K680" t="n">
        <v>0</v>
      </c>
      <c r="L680" t="n">
        <v>0</v>
      </c>
      <c r="M680" t="n">
        <v>0</v>
      </c>
      <c r="N680" t="n">
        <v>0</v>
      </c>
      <c r="O680" t="n">
        <v>0</v>
      </c>
      <c r="P680" t="n">
        <v>0</v>
      </c>
      <c r="Q680" t="n">
        <v>0</v>
      </c>
      <c r="R680" s="2" t="inlineStr"/>
    </row>
    <row r="681" ht="15" customHeight="1">
      <c r="A681" t="inlineStr">
        <is>
          <t>A 30290-2022</t>
        </is>
      </c>
      <c r="B681" s="1" t="n">
        <v>44760</v>
      </c>
      <c r="C681" s="1" t="n">
        <v>46083</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38985-2022</t>
        </is>
      </c>
      <c r="B682" s="1" t="n">
        <v>44816</v>
      </c>
      <c r="C682" s="1" t="n">
        <v>46083</v>
      </c>
      <c r="D682" t="inlineStr">
        <is>
          <t>STOCKHOLMS LÄN</t>
        </is>
      </c>
      <c r="E682" t="inlineStr">
        <is>
          <t>NORRTÄLJE</t>
        </is>
      </c>
      <c r="G682" t="n">
        <v>10.1</v>
      </c>
      <c r="H682" t="n">
        <v>0</v>
      </c>
      <c r="I682" t="n">
        <v>0</v>
      </c>
      <c r="J682" t="n">
        <v>0</v>
      </c>
      <c r="K682" t="n">
        <v>0</v>
      </c>
      <c r="L682" t="n">
        <v>0</v>
      </c>
      <c r="M682" t="n">
        <v>0</v>
      </c>
      <c r="N682" t="n">
        <v>0</v>
      </c>
      <c r="O682" t="n">
        <v>0</v>
      </c>
      <c r="P682" t="n">
        <v>0</v>
      </c>
      <c r="Q682" t="n">
        <v>0</v>
      </c>
      <c r="R682" s="2" t="inlineStr"/>
    </row>
    <row r="683" ht="15" customHeight="1">
      <c r="A683" t="inlineStr">
        <is>
          <t>A 51122-2025</t>
        </is>
      </c>
      <c r="B683" s="1" t="n">
        <v>45947.53693287037</v>
      </c>
      <c r="C683" s="1" t="n">
        <v>46083</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25625-2023</t>
        </is>
      </c>
      <c r="B684" s="1" t="n">
        <v>45089</v>
      </c>
      <c r="C684" s="1" t="n">
        <v>46083</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51945-2025</t>
        </is>
      </c>
      <c r="B685" s="1" t="n">
        <v>45952.52679398148</v>
      </c>
      <c r="C685" s="1" t="n">
        <v>46083</v>
      </c>
      <c r="D685" t="inlineStr">
        <is>
          <t>STOCKHOLMS LÄN</t>
        </is>
      </c>
      <c r="E685" t="inlineStr">
        <is>
          <t>NORRTÄLJE</t>
        </is>
      </c>
      <c r="G685" t="n">
        <v>7</v>
      </c>
      <c r="H685" t="n">
        <v>0</v>
      </c>
      <c r="I685" t="n">
        <v>0</v>
      </c>
      <c r="J685" t="n">
        <v>0</v>
      </c>
      <c r="K685" t="n">
        <v>0</v>
      </c>
      <c r="L685" t="n">
        <v>0</v>
      </c>
      <c r="M685" t="n">
        <v>0</v>
      </c>
      <c r="N685" t="n">
        <v>0</v>
      </c>
      <c r="O685" t="n">
        <v>0</v>
      </c>
      <c r="P685" t="n">
        <v>0</v>
      </c>
      <c r="Q685" t="n">
        <v>0</v>
      </c>
      <c r="R685" s="2" t="inlineStr"/>
    </row>
    <row r="686" ht="15" customHeight="1">
      <c r="A686" t="inlineStr">
        <is>
          <t>A 51941-2025</t>
        </is>
      </c>
      <c r="B686" s="1" t="n">
        <v>45952.52261574074</v>
      </c>
      <c r="C686" s="1" t="n">
        <v>46083</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46083</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51960-2025</t>
        </is>
      </c>
      <c r="B688" s="1" t="n">
        <v>45952.54755787037</v>
      </c>
      <c r="C688" s="1" t="n">
        <v>46083</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51789-2025</t>
        </is>
      </c>
      <c r="B689" s="1" t="n">
        <v>45951.68046296296</v>
      </c>
      <c r="C689" s="1" t="n">
        <v>46083</v>
      </c>
      <c r="D689" t="inlineStr">
        <is>
          <t>STOCKHOLMS LÄN</t>
        </is>
      </c>
      <c r="E689" t="inlineStr">
        <is>
          <t>NORRTÄLJE</t>
        </is>
      </c>
      <c r="F689" t="inlineStr">
        <is>
          <t>Naturvårdsverket</t>
        </is>
      </c>
      <c r="G689" t="n">
        <v>8.9</v>
      </c>
      <c r="H689" t="n">
        <v>0</v>
      </c>
      <c r="I689" t="n">
        <v>0</v>
      </c>
      <c r="J689" t="n">
        <v>0</v>
      </c>
      <c r="K689" t="n">
        <v>0</v>
      </c>
      <c r="L689" t="n">
        <v>0</v>
      </c>
      <c r="M689" t="n">
        <v>0</v>
      </c>
      <c r="N689" t="n">
        <v>0</v>
      </c>
      <c r="O689" t="n">
        <v>0</v>
      </c>
      <c r="P689" t="n">
        <v>0</v>
      </c>
      <c r="Q689" t="n">
        <v>0</v>
      </c>
      <c r="R689" s="2" t="inlineStr"/>
    </row>
    <row r="690" ht="15" customHeight="1">
      <c r="A690" t="inlineStr">
        <is>
          <t>A 14132-2025</t>
        </is>
      </c>
      <c r="B690" s="1" t="n">
        <v>45740.47550925926</v>
      </c>
      <c r="C690" s="1" t="n">
        <v>46083</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14133-2025</t>
        </is>
      </c>
      <c r="B691" s="1" t="n">
        <v>45740.47724537037</v>
      </c>
      <c r="C691" s="1" t="n">
        <v>46083</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7186-2024</t>
        </is>
      </c>
      <c r="B692" s="1" t="n">
        <v>45344</v>
      </c>
      <c r="C692" s="1" t="n">
        <v>46083</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52529-2025</t>
        </is>
      </c>
      <c r="B693" s="1" t="n">
        <v>45954.53229166667</v>
      </c>
      <c r="C693" s="1" t="n">
        <v>46083</v>
      </c>
      <c r="D693" t="inlineStr">
        <is>
          <t>STOCKHOLMS LÄN</t>
        </is>
      </c>
      <c r="E693" t="inlineStr">
        <is>
          <t>NORRTÄLJE</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52251-2025</t>
        </is>
      </c>
      <c r="B694" s="1" t="n">
        <v>45953.49185185185</v>
      </c>
      <c r="C694" s="1" t="n">
        <v>46083</v>
      </c>
      <c r="D694" t="inlineStr">
        <is>
          <t>STOCKHOLMS LÄN</t>
        </is>
      </c>
      <c r="E694" t="inlineStr">
        <is>
          <t>NORRTÄLJE</t>
        </is>
      </c>
      <c r="G694" t="n">
        <v>6.2</v>
      </c>
      <c r="H694" t="n">
        <v>0</v>
      </c>
      <c r="I694" t="n">
        <v>0</v>
      </c>
      <c r="J694" t="n">
        <v>0</v>
      </c>
      <c r="K694" t="n">
        <v>0</v>
      </c>
      <c r="L694" t="n">
        <v>0</v>
      </c>
      <c r="M694" t="n">
        <v>0</v>
      </c>
      <c r="N694" t="n">
        <v>0</v>
      </c>
      <c r="O694" t="n">
        <v>0</v>
      </c>
      <c r="P694" t="n">
        <v>0</v>
      </c>
      <c r="Q694" t="n">
        <v>0</v>
      </c>
      <c r="R694" s="2" t="inlineStr"/>
    </row>
    <row r="695" ht="15" customHeight="1">
      <c r="A695" t="inlineStr">
        <is>
          <t>A 52254-2025</t>
        </is>
      </c>
      <c r="B695" s="1" t="n">
        <v>45953.49519675926</v>
      </c>
      <c r="C695" s="1" t="n">
        <v>46083</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52526-2025</t>
        </is>
      </c>
      <c r="B696" s="1" t="n">
        <v>45954.53061342592</v>
      </c>
      <c r="C696" s="1" t="n">
        <v>46083</v>
      </c>
      <c r="D696" t="inlineStr">
        <is>
          <t>STOCKHOLMS LÄN</t>
        </is>
      </c>
      <c r="E696" t="inlineStr">
        <is>
          <t>NORRTÄLJE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39202-2024</t>
        </is>
      </c>
      <c r="B697" s="1" t="n">
        <v>45548.72306712963</v>
      </c>
      <c r="C697" s="1" t="n">
        <v>46083</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53792-2023</t>
        </is>
      </c>
      <c r="B698" s="1" t="n">
        <v>45231.34144675926</v>
      </c>
      <c r="C698" s="1" t="n">
        <v>46083</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11280-2023</t>
        </is>
      </c>
      <c r="B699" s="1" t="n">
        <v>44992</v>
      </c>
      <c r="C699" s="1" t="n">
        <v>46083</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52729-2025</t>
        </is>
      </c>
      <c r="B700" s="1" t="n">
        <v>45957.3636574074</v>
      </c>
      <c r="C700" s="1" t="n">
        <v>46083</v>
      </c>
      <c r="D700" t="inlineStr">
        <is>
          <t>STOCKHOLMS LÄN</t>
        </is>
      </c>
      <c r="E700" t="inlineStr">
        <is>
          <t>NORRTÄLJE</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57442-2021</t>
        </is>
      </c>
      <c r="B701" s="1" t="n">
        <v>44483</v>
      </c>
      <c r="C701" s="1" t="n">
        <v>46083</v>
      </c>
      <c r="D701" t="inlineStr">
        <is>
          <t>STOCKHOLMS LÄN</t>
        </is>
      </c>
      <c r="E701" t="inlineStr">
        <is>
          <t>NORRTÄLJE</t>
        </is>
      </c>
      <c r="G701" t="n">
        <v>3.3</v>
      </c>
      <c r="H701" t="n">
        <v>0</v>
      </c>
      <c r="I701" t="n">
        <v>0</v>
      </c>
      <c r="J701" t="n">
        <v>0</v>
      </c>
      <c r="K701" t="n">
        <v>0</v>
      </c>
      <c r="L701" t="n">
        <v>0</v>
      </c>
      <c r="M701" t="n">
        <v>0</v>
      </c>
      <c r="N701" t="n">
        <v>0</v>
      </c>
      <c r="O701" t="n">
        <v>0</v>
      </c>
      <c r="P701" t="n">
        <v>0</v>
      </c>
      <c r="Q701" t="n">
        <v>0</v>
      </c>
      <c r="R701" s="2" t="inlineStr"/>
    </row>
    <row r="702" ht="15" customHeight="1">
      <c r="A702" t="inlineStr">
        <is>
          <t>A 52777-2025</t>
        </is>
      </c>
      <c r="B702" s="1" t="n">
        <v>45957.41832175926</v>
      </c>
      <c r="C702" s="1" t="n">
        <v>46083</v>
      </c>
      <c r="D702" t="inlineStr">
        <is>
          <t>STOCKHOLMS LÄN</t>
        </is>
      </c>
      <c r="E702" t="inlineStr">
        <is>
          <t>NORRTÄLJE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19952-2023</t>
        </is>
      </c>
      <c r="B703" s="1" t="n">
        <v>45054.54091435186</v>
      </c>
      <c r="C703" s="1" t="n">
        <v>46083</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19994-2023</t>
        </is>
      </c>
      <c r="B704" s="1" t="n">
        <v>45054</v>
      </c>
      <c r="C704" s="1" t="n">
        <v>46083</v>
      </c>
      <c r="D704" t="inlineStr">
        <is>
          <t>STOCKHOLMS LÄN</t>
        </is>
      </c>
      <c r="E704" t="inlineStr">
        <is>
          <t>NORRTÄLJE</t>
        </is>
      </c>
      <c r="G704" t="n">
        <v>4.3</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46083</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53087-2025</t>
        </is>
      </c>
      <c r="B706" s="1" t="n">
        <v>45958.41065972222</v>
      </c>
      <c r="C706" s="1" t="n">
        <v>46083</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29003-2023</t>
        </is>
      </c>
      <c r="B707" s="1" t="n">
        <v>45104</v>
      </c>
      <c r="C707" s="1" t="n">
        <v>46083</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52704-2025</t>
        </is>
      </c>
      <c r="B708" s="1" t="n">
        <v>45956.89097222222</v>
      </c>
      <c r="C708" s="1" t="n">
        <v>46083</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52734-2025</t>
        </is>
      </c>
      <c r="B709" s="1" t="n">
        <v>45957.3710300926</v>
      </c>
      <c r="C709" s="1" t="n">
        <v>46083</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15956-2023</t>
        </is>
      </c>
      <c r="B710" s="1" t="n">
        <v>45022.61003472222</v>
      </c>
      <c r="C710" s="1" t="n">
        <v>46083</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52773-2025</t>
        </is>
      </c>
      <c r="B711" s="1" t="n">
        <v>45957.41457175926</v>
      </c>
      <c r="C711" s="1" t="n">
        <v>46083</v>
      </c>
      <c r="D711" t="inlineStr">
        <is>
          <t>STOCKHOLMS LÄN</t>
        </is>
      </c>
      <c r="E711" t="inlineStr">
        <is>
          <t>NORRTÄLJE</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46083</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52703-2025</t>
        </is>
      </c>
      <c r="B713" s="1" t="n">
        <v>45956.88643518519</v>
      </c>
      <c r="C713" s="1" t="n">
        <v>46083</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13053-2022</t>
        </is>
      </c>
      <c r="B714" s="1" t="n">
        <v>44643</v>
      </c>
      <c r="C714" s="1" t="n">
        <v>46083</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53000-2025</t>
        </is>
      </c>
      <c r="B715" s="1" t="n">
        <v>45957.74357638889</v>
      </c>
      <c r="C715" s="1" t="n">
        <v>46083</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53115-2025</t>
        </is>
      </c>
      <c r="B716" s="1" t="n">
        <v>45958.44614583333</v>
      </c>
      <c r="C716" s="1" t="n">
        <v>46083</v>
      </c>
      <c r="D716" t="inlineStr">
        <is>
          <t>STOCKHOLMS LÄN</t>
        </is>
      </c>
      <c r="E716" t="inlineStr">
        <is>
          <t>NORRTÄLJE</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3383-2023</t>
        </is>
      </c>
      <c r="B717" s="1" t="n">
        <v>44949</v>
      </c>
      <c r="C717" s="1" t="n">
        <v>46083</v>
      </c>
      <c r="D717" t="inlineStr">
        <is>
          <t>STOCKHOLMS LÄN</t>
        </is>
      </c>
      <c r="E717" t="inlineStr">
        <is>
          <t>NORRTÄLJE</t>
        </is>
      </c>
      <c r="G717" t="n">
        <v>14.6</v>
      </c>
      <c r="H717" t="n">
        <v>0</v>
      </c>
      <c r="I717" t="n">
        <v>0</v>
      </c>
      <c r="J717" t="n">
        <v>0</v>
      </c>
      <c r="K717" t="n">
        <v>0</v>
      </c>
      <c r="L717" t="n">
        <v>0</v>
      </c>
      <c r="M717" t="n">
        <v>0</v>
      </c>
      <c r="N717" t="n">
        <v>0</v>
      </c>
      <c r="O717" t="n">
        <v>0</v>
      </c>
      <c r="P717" t="n">
        <v>0</v>
      </c>
      <c r="Q717" t="n">
        <v>0</v>
      </c>
      <c r="R717" s="2" t="inlineStr"/>
    </row>
    <row r="718" ht="15" customHeight="1">
      <c r="A718" t="inlineStr">
        <is>
          <t>A 4316-2023</t>
        </is>
      </c>
      <c r="B718" s="1" t="n">
        <v>44953.67443287037</v>
      </c>
      <c r="C718" s="1" t="n">
        <v>46083</v>
      </c>
      <c r="D718" t="inlineStr">
        <is>
          <t>STOCKHOLMS LÄN</t>
        </is>
      </c>
      <c r="E718" t="inlineStr">
        <is>
          <t>NORRTÄLJE</t>
        </is>
      </c>
      <c r="G718" t="n">
        <v>2.1</v>
      </c>
      <c r="H718" t="n">
        <v>0</v>
      </c>
      <c r="I718" t="n">
        <v>0</v>
      </c>
      <c r="J718" t="n">
        <v>0</v>
      </c>
      <c r="K718" t="n">
        <v>0</v>
      </c>
      <c r="L718" t="n">
        <v>0</v>
      </c>
      <c r="M718" t="n">
        <v>0</v>
      </c>
      <c r="N718" t="n">
        <v>0</v>
      </c>
      <c r="O718" t="n">
        <v>0</v>
      </c>
      <c r="P718" t="n">
        <v>0</v>
      </c>
      <c r="Q718" t="n">
        <v>0</v>
      </c>
      <c r="R718" s="2" t="inlineStr"/>
    </row>
    <row r="719" ht="15" customHeight="1">
      <c r="A719" t="inlineStr">
        <is>
          <t>A 53629-2025</t>
        </is>
      </c>
      <c r="B719" s="1" t="n">
        <v>45960.49570601852</v>
      </c>
      <c r="C719" s="1" t="n">
        <v>46083</v>
      </c>
      <c r="D719" t="inlineStr">
        <is>
          <t>STOCKHOLMS LÄN</t>
        </is>
      </c>
      <c r="E719" t="inlineStr">
        <is>
          <t>NORRTÄLJE</t>
        </is>
      </c>
      <c r="F719" t="inlineStr">
        <is>
          <t>Naturvårdsverket</t>
        </is>
      </c>
      <c r="G719" t="n">
        <v>7.9</v>
      </c>
      <c r="H719" t="n">
        <v>0</v>
      </c>
      <c r="I719" t="n">
        <v>0</v>
      </c>
      <c r="J719" t="n">
        <v>0</v>
      </c>
      <c r="K719" t="n">
        <v>0</v>
      </c>
      <c r="L719" t="n">
        <v>0</v>
      </c>
      <c r="M719" t="n">
        <v>0</v>
      </c>
      <c r="N719" t="n">
        <v>0</v>
      </c>
      <c r="O719" t="n">
        <v>0</v>
      </c>
      <c r="P719" t="n">
        <v>0</v>
      </c>
      <c r="Q719" t="n">
        <v>0</v>
      </c>
      <c r="R719" s="2" t="inlineStr"/>
    </row>
    <row r="720" ht="15" customHeight="1">
      <c r="A720" t="inlineStr">
        <is>
          <t>A 5839-2023</t>
        </is>
      </c>
      <c r="B720" s="1" t="n">
        <v>44963</v>
      </c>
      <c r="C720" s="1" t="n">
        <v>46083</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53747-2025</t>
        </is>
      </c>
      <c r="B721" s="1" t="n">
        <v>45960.65415509259</v>
      </c>
      <c r="C721" s="1" t="n">
        <v>46083</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53299-2025</t>
        </is>
      </c>
      <c r="B722" s="1" t="n">
        <v>45959.31901620371</v>
      </c>
      <c r="C722" s="1" t="n">
        <v>46083</v>
      </c>
      <c r="D722" t="inlineStr">
        <is>
          <t>STOCKHOLMS LÄN</t>
        </is>
      </c>
      <c r="E722" t="inlineStr">
        <is>
          <t>NORRTÄLJE</t>
        </is>
      </c>
      <c r="G722" t="n">
        <v>4.8</v>
      </c>
      <c r="H722" t="n">
        <v>0</v>
      </c>
      <c r="I722" t="n">
        <v>0</v>
      </c>
      <c r="J722" t="n">
        <v>0</v>
      </c>
      <c r="K722" t="n">
        <v>0</v>
      </c>
      <c r="L722" t="n">
        <v>0</v>
      </c>
      <c r="M722" t="n">
        <v>0</v>
      </c>
      <c r="N722" t="n">
        <v>0</v>
      </c>
      <c r="O722" t="n">
        <v>0</v>
      </c>
      <c r="P722" t="n">
        <v>0</v>
      </c>
      <c r="Q722" t="n">
        <v>0</v>
      </c>
      <c r="R722" s="2" t="inlineStr"/>
    </row>
    <row r="723" ht="15" customHeight="1">
      <c r="A723" t="inlineStr">
        <is>
          <t>A 5804-2025</t>
        </is>
      </c>
      <c r="B723" s="1" t="n">
        <v>45694.68207175926</v>
      </c>
      <c r="C723" s="1" t="n">
        <v>46083</v>
      </c>
      <c r="D723" t="inlineStr">
        <is>
          <t>STOCKHOLMS LÄN</t>
        </is>
      </c>
      <c r="E723" t="inlineStr">
        <is>
          <t>NORRTÄLJE</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24705-2023</t>
        </is>
      </c>
      <c r="B724" s="1" t="n">
        <v>45084.54459490741</v>
      </c>
      <c r="C724" s="1" t="n">
        <v>46083</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54358-2022</t>
        </is>
      </c>
      <c r="B725" s="1" t="n">
        <v>44882</v>
      </c>
      <c r="C725" s="1" t="n">
        <v>46083</v>
      </c>
      <c r="D725" t="inlineStr">
        <is>
          <t>STOCKHOLMS LÄN</t>
        </is>
      </c>
      <c r="E725" t="inlineStr">
        <is>
          <t>NORRTÄLJE</t>
        </is>
      </c>
      <c r="G725" t="n">
        <v>3.3</v>
      </c>
      <c r="H725" t="n">
        <v>0</v>
      </c>
      <c r="I725" t="n">
        <v>0</v>
      </c>
      <c r="J725" t="n">
        <v>0</v>
      </c>
      <c r="K725" t="n">
        <v>0</v>
      </c>
      <c r="L725" t="n">
        <v>0</v>
      </c>
      <c r="M725" t="n">
        <v>0</v>
      </c>
      <c r="N725" t="n">
        <v>0</v>
      </c>
      <c r="O725" t="n">
        <v>0</v>
      </c>
      <c r="P725" t="n">
        <v>0</v>
      </c>
      <c r="Q725" t="n">
        <v>0</v>
      </c>
      <c r="R725" s="2" t="inlineStr"/>
    </row>
    <row r="726" ht="15" customHeight="1">
      <c r="A726" t="inlineStr">
        <is>
          <t>A 23749-2024</t>
        </is>
      </c>
      <c r="B726" s="1" t="n">
        <v>45455.33037037037</v>
      </c>
      <c r="C726" s="1" t="n">
        <v>46083</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35698-2023</t>
        </is>
      </c>
      <c r="B727" s="1" t="n">
        <v>45147</v>
      </c>
      <c r="C727" s="1" t="n">
        <v>46083</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46083</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21329-2022</t>
        </is>
      </c>
      <c r="B729" s="1" t="n">
        <v>44705.60626157407</v>
      </c>
      <c r="C729" s="1" t="n">
        <v>46083</v>
      </c>
      <c r="D729" t="inlineStr">
        <is>
          <t>STOCKHOLMS LÄN</t>
        </is>
      </c>
      <c r="E729" t="inlineStr">
        <is>
          <t>NORRTÄLJE</t>
        </is>
      </c>
      <c r="G729" t="n">
        <v>4.1</v>
      </c>
      <c r="H729" t="n">
        <v>0</v>
      </c>
      <c r="I729" t="n">
        <v>0</v>
      </c>
      <c r="J729" t="n">
        <v>0</v>
      </c>
      <c r="K729" t="n">
        <v>0</v>
      </c>
      <c r="L729" t="n">
        <v>0</v>
      </c>
      <c r="M729" t="n">
        <v>0</v>
      </c>
      <c r="N729" t="n">
        <v>0</v>
      </c>
      <c r="O729" t="n">
        <v>0</v>
      </c>
      <c r="P729" t="n">
        <v>0</v>
      </c>
      <c r="Q729" t="n">
        <v>0</v>
      </c>
      <c r="R729" s="2" t="inlineStr"/>
    </row>
    <row r="730" ht="15" customHeight="1">
      <c r="A730" t="inlineStr">
        <is>
          <t>A 54276-2021</t>
        </is>
      </c>
      <c r="B730" s="1" t="n">
        <v>44470</v>
      </c>
      <c r="C730" s="1" t="n">
        <v>46083</v>
      </c>
      <c r="D730" t="inlineStr">
        <is>
          <t>STOCKHOLMS LÄN</t>
        </is>
      </c>
      <c r="E730" t="inlineStr">
        <is>
          <t>NORRTÄLJE</t>
        </is>
      </c>
      <c r="G730" t="n">
        <v>7.3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46083</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13785-2024</t>
        </is>
      </c>
      <c r="B732" s="1" t="n">
        <v>45391.3395949074</v>
      </c>
      <c r="C732" s="1" t="n">
        <v>46083</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51116-2022</t>
        </is>
      </c>
      <c r="B733" s="1" t="n">
        <v>44868.45741898148</v>
      </c>
      <c r="C733" s="1" t="n">
        <v>46083</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29972-2024</t>
        </is>
      </c>
      <c r="B734" s="1" t="n">
        <v>45485</v>
      </c>
      <c r="C734" s="1" t="n">
        <v>46083</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28809-2023</t>
        </is>
      </c>
      <c r="B735" s="1" t="n">
        <v>45104</v>
      </c>
      <c r="C735" s="1" t="n">
        <v>46083</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28813-2023</t>
        </is>
      </c>
      <c r="B736" s="1" t="n">
        <v>45104</v>
      </c>
      <c r="C736" s="1" t="n">
        <v>46083</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54907-2025</t>
        </is>
      </c>
      <c r="B737" s="1" t="n">
        <v>45967.37137731481</v>
      </c>
      <c r="C737" s="1" t="n">
        <v>46083</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19131-2025</t>
        </is>
      </c>
      <c r="B738" s="1" t="n">
        <v>45769</v>
      </c>
      <c r="C738" s="1" t="n">
        <v>46083</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11929-2024</t>
        </is>
      </c>
      <c r="B739" s="1" t="n">
        <v>45376.64532407407</v>
      </c>
      <c r="C739" s="1" t="n">
        <v>46083</v>
      </c>
      <c r="D739" t="inlineStr">
        <is>
          <t>STOCKHOLMS LÄN</t>
        </is>
      </c>
      <c r="E739" t="inlineStr">
        <is>
          <t>NORRTÄLJE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64145-2021</t>
        </is>
      </c>
      <c r="B740" s="1" t="n">
        <v>44510</v>
      </c>
      <c r="C740" s="1" t="n">
        <v>46083</v>
      </c>
      <c r="D740" t="inlineStr">
        <is>
          <t>STOCKHOLMS LÄN</t>
        </is>
      </c>
      <c r="E740" t="inlineStr">
        <is>
          <t>NORRTÄLJE</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46083</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45451-2024</t>
        </is>
      </c>
      <c r="B742" s="1" t="n">
        <v>45576</v>
      </c>
      <c r="C742" s="1" t="n">
        <v>46083</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55599-2025</t>
        </is>
      </c>
      <c r="B743" s="1" t="n">
        <v>45971.76810185185</v>
      </c>
      <c r="C743" s="1" t="n">
        <v>46083</v>
      </c>
      <c r="D743" t="inlineStr">
        <is>
          <t>STOCKHOLMS LÄN</t>
        </is>
      </c>
      <c r="E743" t="inlineStr">
        <is>
          <t>NORRTÄLJE</t>
        </is>
      </c>
      <c r="F743" t="inlineStr">
        <is>
          <t>Holmen skog AB</t>
        </is>
      </c>
      <c r="G743" t="n">
        <v>6.4</v>
      </c>
      <c r="H743" t="n">
        <v>0</v>
      </c>
      <c r="I743" t="n">
        <v>0</v>
      </c>
      <c r="J743" t="n">
        <v>0</v>
      </c>
      <c r="K743" t="n">
        <v>0</v>
      </c>
      <c r="L743" t="n">
        <v>0</v>
      </c>
      <c r="M743" t="n">
        <v>0</v>
      </c>
      <c r="N743" t="n">
        <v>0</v>
      </c>
      <c r="O743" t="n">
        <v>0</v>
      </c>
      <c r="P743" t="n">
        <v>0</v>
      </c>
      <c r="Q743" t="n">
        <v>0</v>
      </c>
      <c r="R743" s="2" t="inlineStr"/>
    </row>
    <row r="744" ht="15" customHeight="1">
      <c r="A744" t="inlineStr">
        <is>
          <t>A 17843-2024</t>
        </is>
      </c>
      <c r="B744" s="1" t="n">
        <v>45418</v>
      </c>
      <c r="C744" s="1" t="n">
        <v>46083</v>
      </c>
      <c r="D744" t="inlineStr">
        <is>
          <t>STOCKHOLMS LÄN</t>
        </is>
      </c>
      <c r="E744" t="inlineStr">
        <is>
          <t>NORRTÄLJE</t>
        </is>
      </c>
      <c r="G744" t="n">
        <v>5.4</v>
      </c>
      <c r="H744" t="n">
        <v>0</v>
      </c>
      <c r="I744" t="n">
        <v>0</v>
      </c>
      <c r="J744" t="n">
        <v>0</v>
      </c>
      <c r="K744" t="n">
        <v>0</v>
      </c>
      <c r="L744" t="n">
        <v>0</v>
      </c>
      <c r="M744" t="n">
        <v>0</v>
      </c>
      <c r="N744" t="n">
        <v>0</v>
      </c>
      <c r="O744" t="n">
        <v>0</v>
      </c>
      <c r="P744" t="n">
        <v>0</v>
      </c>
      <c r="Q744" t="n">
        <v>0</v>
      </c>
      <c r="R744" s="2" t="inlineStr"/>
    </row>
    <row r="745" ht="15" customHeight="1">
      <c r="A745" t="inlineStr">
        <is>
          <t>A 12890-2024</t>
        </is>
      </c>
      <c r="B745" s="1" t="n">
        <v>45385.36243055556</v>
      </c>
      <c r="C745" s="1" t="n">
        <v>46083</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56207-2025</t>
        </is>
      </c>
      <c r="B746" s="1" t="n">
        <v>45974.47329861111</v>
      </c>
      <c r="C746" s="1" t="n">
        <v>46083</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row>
    <row r="747" ht="15" customHeight="1">
      <c r="A747" t="inlineStr">
        <is>
          <t>A 36430-2024</t>
        </is>
      </c>
      <c r="B747" s="1" t="n">
        <v>45536</v>
      </c>
      <c r="C747" s="1" t="n">
        <v>46083</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41172-2023</t>
        </is>
      </c>
      <c r="B748" s="1" t="n">
        <v>45170</v>
      </c>
      <c r="C748" s="1" t="n">
        <v>46083</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67921-2021</t>
        </is>
      </c>
      <c r="B749" s="1" t="n">
        <v>44525</v>
      </c>
      <c r="C749" s="1" t="n">
        <v>46083</v>
      </c>
      <c r="D749" t="inlineStr">
        <is>
          <t>STOCKHOLMS LÄN</t>
        </is>
      </c>
      <c r="E749" t="inlineStr">
        <is>
          <t>NORRTÄLJE</t>
        </is>
      </c>
      <c r="G749" t="n">
        <v>6.3</v>
      </c>
      <c r="H749" t="n">
        <v>0</v>
      </c>
      <c r="I749" t="n">
        <v>0</v>
      </c>
      <c r="J749" t="n">
        <v>0</v>
      </c>
      <c r="K749" t="n">
        <v>0</v>
      </c>
      <c r="L749" t="n">
        <v>0</v>
      </c>
      <c r="M749" t="n">
        <v>0</v>
      </c>
      <c r="N749" t="n">
        <v>0</v>
      </c>
      <c r="O749" t="n">
        <v>0</v>
      </c>
      <c r="P749" t="n">
        <v>0</v>
      </c>
      <c r="Q749" t="n">
        <v>0</v>
      </c>
      <c r="R749" s="2" t="inlineStr"/>
    </row>
    <row r="750" ht="15" customHeight="1">
      <c r="A750" t="inlineStr">
        <is>
          <t>A 72704-2021</t>
        </is>
      </c>
      <c r="B750" s="1" t="n">
        <v>44546</v>
      </c>
      <c r="C750" s="1" t="n">
        <v>46083</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65499-2021</t>
        </is>
      </c>
      <c r="B751" s="1" t="n">
        <v>44516</v>
      </c>
      <c r="C751" s="1" t="n">
        <v>46083</v>
      </c>
      <c r="D751" t="inlineStr">
        <is>
          <t>STOCKHOLMS LÄN</t>
        </is>
      </c>
      <c r="E751" t="inlineStr">
        <is>
          <t>NORRTÄLJE</t>
        </is>
      </c>
      <c r="F751" t="inlineStr">
        <is>
          <t>Kommuner</t>
        </is>
      </c>
      <c r="G751" t="n">
        <v>5.2</v>
      </c>
      <c r="H751" t="n">
        <v>0</v>
      </c>
      <c r="I751" t="n">
        <v>0</v>
      </c>
      <c r="J751" t="n">
        <v>0</v>
      </c>
      <c r="K751" t="n">
        <v>0</v>
      </c>
      <c r="L751" t="n">
        <v>0</v>
      </c>
      <c r="M751" t="n">
        <v>0</v>
      </c>
      <c r="N751" t="n">
        <v>0</v>
      </c>
      <c r="O751" t="n">
        <v>0</v>
      </c>
      <c r="P751" t="n">
        <v>0</v>
      </c>
      <c r="Q751" t="n">
        <v>0</v>
      </c>
      <c r="R751" s="2" t="inlineStr"/>
    </row>
    <row r="752" ht="15" customHeight="1">
      <c r="A752" t="inlineStr">
        <is>
          <t>A 65511-2021</t>
        </is>
      </c>
      <c r="B752" s="1" t="n">
        <v>44516.40674768519</v>
      </c>
      <c r="C752" s="1" t="n">
        <v>46083</v>
      </c>
      <c r="D752" t="inlineStr">
        <is>
          <t>STOCKHOLMS LÄN</t>
        </is>
      </c>
      <c r="E752" t="inlineStr">
        <is>
          <t>NORRTÄLJE</t>
        </is>
      </c>
      <c r="F752" t="inlineStr">
        <is>
          <t>Kommuner</t>
        </is>
      </c>
      <c r="G752" t="n">
        <v>2.8</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46083</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26113-2024</t>
        </is>
      </c>
      <c r="B754" s="1" t="n">
        <v>45468.45541666666</v>
      </c>
      <c r="C754" s="1" t="n">
        <v>46083</v>
      </c>
      <c r="D754" t="inlineStr">
        <is>
          <t>STOCKHOLMS LÄN</t>
        </is>
      </c>
      <c r="E754" t="inlineStr">
        <is>
          <t>NORRTÄLJE</t>
        </is>
      </c>
      <c r="G754" t="n">
        <v>0.4</v>
      </c>
      <c r="H754" t="n">
        <v>0</v>
      </c>
      <c r="I754" t="n">
        <v>0</v>
      </c>
      <c r="J754" t="n">
        <v>0</v>
      </c>
      <c r="K754" t="n">
        <v>0</v>
      </c>
      <c r="L754" t="n">
        <v>0</v>
      </c>
      <c r="M754" t="n">
        <v>0</v>
      </c>
      <c r="N754" t="n">
        <v>0</v>
      </c>
      <c r="O754" t="n">
        <v>0</v>
      </c>
      <c r="P754" t="n">
        <v>0</v>
      </c>
      <c r="Q754" t="n">
        <v>0</v>
      </c>
      <c r="R754" s="2" t="inlineStr"/>
    </row>
    <row r="755" ht="15" customHeight="1">
      <c r="A755" t="inlineStr">
        <is>
          <t>A 26116-2024</t>
        </is>
      </c>
      <c r="B755" s="1" t="n">
        <v>45468.45747685185</v>
      </c>
      <c r="C755" s="1" t="n">
        <v>46083</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52686-2024</t>
        </is>
      </c>
      <c r="B756" s="1" t="n">
        <v>45610.39271990741</v>
      </c>
      <c r="C756" s="1" t="n">
        <v>46083</v>
      </c>
      <c r="D756" t="inlineStr">
        <is>
          <t>STOCKHOLMS LÄN</t>
        </is>
      </c>
      <c r="E756" t="inlineStr">
        <is>
          <t>NORRTÄLJE</t>
        </is>
      </c>
      <c r="G756" t="n">
        <v>5.7</v>
      </c>
      <c r="H756" t="n">
        <v>0</v>
      </c>
      <c r="I756" t="n">
        <v>0</v>
      </c>
      <c r="J756" t="n">
        <v>0</v>
      </c>
      <c r="K756" t="n">
        <v>0</v>
      </c>
      <c r="L756" t="n">
        <v>0</v>
      </c>
      <c r="M756" t="n">
        <v>0</v>
      </c>
      <c r="N756" t="n">
        <v>0</v>
      </c>
      <c r="O756" t="n">
        <v>0</v>
      </c>
      <c r="P756" t="n">
        <v>0</v>
      </c>
      <c r="Q756" t="n">
        <v>0</v>
      </c>
      <c r="R756" s="2" t="inlineStr"/>
    </row>
    <row r="757" ht="15" customHeight="1">
      <c r="A757" t="inlineStr">
        <is>
          <t>A 31105-2022</t>
        </is>
      </c>
      <c r="B757" s="1" t="n">
        <v>44769.66039351852</v>
      </c>
      <c r="C757" s="1" t="n">
        <v>46083</v>
      </c>
      <c r="D757" t="inlineStr">
        <is>
          <t>STOCKHOLMS LÄN</t>
        </is>
      </c>
      <c r="E757" t="inlineStr">
        <is>
          <t>NORRTÄLJE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62644-2023</t>
        </is>
      </c>
      <c r="B758" s="1" t="n">
        <v>45271</v>
      </c>
      <c r="C758" s="1" t="n">
        <v>46083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60185-2024</t>
        </is>
      </c>
      <c r="B759" s="1" t="n">
        <v>45642.64634259259</v>
      </c>
      <c r="C759" s="1" t="n">
        <v>46083</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60765-2023</t>
        </is>
      </c>
      <c r="B760" s="1" t="n">
        <v>45260</v>
      </c>
      <c r="C760" s="1" t="n">
        <v>46083</v>
      </c>
      <c r="D760" t="inlineStr">
        <is>
          <t>STOCKHOLMS LÄN</t>
        </is>
      </c>
      <c r="E760" t="inlineStr">
        <is>
          <t>NORRTÄLJE</t>
        </is>
      </c>
      <c r="G760" t="n">
        <v>3.7</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46083</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22832-2021</t>
        </is>
      </c>
      <c r="B762" s="1" t="n">
        <v>44325</v>
      </c>
      <c r="C762" s="1" t="n">
        <v>46083</v>
      </c>
      <c r="D762" t="inlineStr">
        <is>
          <t>STOCKHOLMS LÄN</t>
        </is>
      </c>
      <c r="E762" t="inlineStr">
        <is>
          <t>NORRTÄLJE</t>
        </is>
      </c>
      <c r="G762" t="n">
        <v>6.8</v>
      </c>
      <c r="H762" t="n">
        <v>0</v>
      </c>
      <c r="I762" t="n">
        <v>0</v>
      </c>
      <c r="J762" t="n">
        <v>0</v>
      </c>
      <c r="K762" t="n">
        <v>0</v>
      </c>
      <c r="L762" t="n">
        <v>0</v>
      </c>
      <c r="M762" t="n">
        <v>0</v>
      </c>
      <c r="N762" t="n">
        <v>0</v>
      </c>
      <c r="O762" t="n">
        <v>0</v>
      </c>
      <c r="P762" t="n">
        <v>0</v>
      </c>
      <c r="Q762" t="n">
        <v>0</v>
      </c>
      <c r="R762" s="2" t="inlineStr"/>
    </row>
    <row r="763" ht="15" customHeight="1">
      <c r="A763" t="inlineStr">
        <is>
          <t>A 51315-2021</t>
        </is>
      </c>
      <c r="B763" s="1" t="n">
        <v>44461</v>
      </c>
      <c r="C763" s="1" t="n">
        <v>46083</v>
      </c>
      <c r="D763" t="inlineStr">
        <is>
          <t>STOCKHOLMS LÄN</t>
        </is>
      </c>
      <c r="E763" t="inlineStr">
        <is>
          <t>NORRTÄLJE</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46083</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58277-2023</t>
        </is>
      </c>
      <c r="B765" s="1" t="n">
        <v>45245</v>
      </c>
      <c r="C765" s="1" t="n">
        <v>46083</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9480-2025</t>
        </is>
      </c>
      <c r="B766" s="1" t="n">
        <v>45715</v>
      </c>
      <c r="C766" s="1" t="n">
        <v>46083</v>
      </c>
      <c r="D766" t="inlineStr">
        <is>
          <t>STOCKHOLMS LÄN</t>
        </is>
      </c>
      <c r="E766" t="inlineStr">
        <is>
          <t>NORRTÄLJE</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58142-2025</t>
        </is>
      </c>
      <c r="B767" s="1" t="n">
        <v>45982.63791666667</v>
      </c>
      <c r="C767" s="1" t="n">
        <v>46083</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57953-2025</t>
        </is>
      </c>
      <c r="B768" s="1" t="n">
        <v>45982.35016203704</v>
      </c>
      <c r="C768" s="1" t="n">
        <v>46083</v>
      </c>
      <c r="D768" t="inlineStr">
        <is>
          <t>STOCKHOLMS LÄN</t>
        </is>
      </c>
      <c r="E768" t="inlineStr">
        <is>
          <t>NORRTÄLJE</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4322-2023</t>
        </is>
      </c>
      <c r="B769" s="1" t="n">
        <v>44953.69298611111</v>
      </c>
      <c r="C769" s="1" t="n">
        <v>46083</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35916-2024</t>
        </is>
      </c>
      <c r="B770" s="1" t="n">
        <v>45533</v>
      </c>
      <c r="C770" s="1" t="n">
        <v>46083</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38889-2024</t>
        </is>
      </c>
      <c r="B771" s="1" t="n">
        <v>45547</v>
      </c>
      <c r="C771" s="1" t="n">
        <v>46083</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3299-2022</t>
        </is>
      </c>
      <c r="B772" s="1" t="n">
        <v>44584.91001157407</v>
      </c>
      <c r="C772" s="1" t="n">
        <v>46083</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42075-2023</t>
        </is>
      </c>
      <c r="B773" s="1" t="n">
        <v>45177</v>
      </c>
      <c r="C773" s="1" t="n">
        <v>46083</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10676-2025</t>
        </is>
      </c>
      <c r="B774" s="1" t="n">
        <v>45721.88684027778</v>
      </c>
      <c r="C774" s="1" t="n">
        <v>46083</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50154-2024</t>
        </is>
      </c>
      <c r="B775" s="1" t="n">
        <v>45600.4558912037</v>
      </c>
      <c r="C775" s="1" t="n">
        <v>46083</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37273-2024</t>
        </is>
      </c>
      <c r="B776" s="1" t="n">
        <v>45540</v>
      </c>
      <c r="C776" s="1" t="n">
        <v>46083</v>
      </c>
      <c r="D776" t="inlineStr">
        <is>
          <t>STOCKHOLMS LÄN</t>
        </is>
      </c>
      <c r="E776" t="inlineStr">
        <is>
          <t>NORRTÄLJE</t>
        </is>
      </c>
      <c r="F776" t="inlineStr">
        <is>
          <t>Sveaskog</t>
        </is>
      </c>
      <c r="G776" t="n">
        <v>12.5</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46083</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34773-2022</t>
        </is>
      </c>
      <c r="B778" s="1" t="n">
        <v>44795</v>
      </c>
      <c r="C778" s="1" t="n">
        <v>46083</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46083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46083</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46083</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25654-2023</t>
        </is>
      </c>
      <c r="B782" s="1" t="n">
        <v>45089</v>
      </c>
      <c r="C782" s="1" t="n">
        <v>46083</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47758-2023</t>
        </is>
      </c>
      <c r="B783" s="1" t="n">
        <v>45203.83891203703</v>
      </c>
      <c r="C783" s="1" t="n">
        <v>46083</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48151-2024</t>
        </is>
      </c>
      <c r="B784" s="1" t="n">
        <v>45589.68289351852</v>
      </c>
      <c r="C784" s="1" t="n">
        <v>46083</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58939-2025</t>
        </is>
      </c>
      <c r="B785" s="1" t="n">
        <v>45987.5681712963</v>
      </c>
      <c r="C785" s="1" t="n">
        <v>46083</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5831-2022</t>
        </is>
      </c>
      <c r="B786" s="1" t="n">
        <v>44596</v>
      </c>
      <c r="C786" s="1" t="n">
        <v>46083</v>
      </c>
      <c r="D786" t="inlineStr">
        <is>
          <t>STOCKHOLMS LÄN</t>
        </is>
      </c>
      <c r="E786" t="inlineStr">
        <is>
          <t>NORRTÄLJE</t>
        </is>
      </c>
      <c r="G786" t="n">
        <v>4.8</v>
      </c>
      <c r="H786" t="n">
        <v>0</v>
      </c>
      <c r="I786" t="n">
        <v>0</v>
      </c>
      <c r="J786" t="n">
        <v>0</v>
      </c>
      <c r="K786" t="n">
        <v>0</v>
      </c>
      <c r="L786" t="n">
        <v>0</v>
      </c>
      <c r="M786" t="n">
        <v>0</v>
      </c>
      <c r="N786" t="n">
        <v>0</v>
      </c>
      <c r="O786" t="n">
        <v>0</v>
      </c>
      <c r="P786" t="n">
        <v>0</v>
      </c>
      <c r="Q786" t="n">
        <v>0</v>
      </c>
      <c r="R786" s="2" t="inlineStr"/>
    </row>
    <row r="787" ht="15" customHeight="1">
      <c r="A787" t="inlineStr">
        <is>
          <t>A 58853-2024</t>
        </is>
      </c>
      <c r="B787" s="1" t="n">
        <v>45636.38974537037</v>
      </c>
      <c r="C787" s="1" t="n">
        <v>46083</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57788-2025</t>
        </is>
      </c>
      <c r="B788" s="1" t="n">
        <v>45981.5778125</v>
      </c>
      <c r="C788" s="1" t="n">
        <v>46083</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59672-2025</t>
        </is>
      </c>
      <c r="B789" s="1" t="n">
        <v>45992.45884259259</v>
      </c>
      <c r="C789" s="1" t="n">
        <v>46083</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59712-2024</t>
        </is>
      </c>
      <c r="B790" s="1" t="n">
        <v>45639.45166666667</v>
      </c>
      <c r="C790" s="1" t="n">
        <v>46083</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59721-2024</t>
        </is>
      </c>
      <c r="B791" s="1" t="n">
        <v>45639.47385416667</v>
      </c>
      <c r="C791" s="1" t="n">
        <v>46083</v>
      </c>
      <c r="D791" t="inlineStr">
        <is>
          <t>STOCKHOLMS LÄN</t>
        </is>
      </c>
      <c r="E791" t="inlineStr">
        <is>
          <t>NORRTÄLJE</t>
        </is>
      </c>
      <c r="G791" t="n">
        <v>4.6</v>
      </c>
      <c r="H791" t="n">
        <v>0</v>
      </c>
      <c r="I791" t="n">
        <v>0</v>
      </c>
      <c r="J791" t="n">
        <v>0</v>
      </c>
      <c r="K791" t="n">
        <v>0</v>
      </c>
      <c r="L791" t="n">
        <v>0</v>
      </c>
      <c r="M791" t="n">
        <v>0</v>
      </c>
      <c r="N791" t="n">
        <v>0</v>
      </c>
      <c r="O791" t="n">
        <v>0</v>
      </c>
      <c r="P791" t="n">
        <v>0</v>
      </c>
      <c r="Q791" t="n">
        <v>0</v>
      </c>
      <c r="R791" s="2" t="inlineStr"/>
    </row>
    <row r="792" ht="15" customHeight="1">
      <c r="A792" t="inlineStr">
        <is>
          <t>A 60223-2025</t>
        </is>
      </c>
      <c r="B792" s="1" t="n">
        <v>45994.54497685185</v>
      </c>
      <c r="C792" s="1" t="n">
        <v>46083</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59914-2025</t>
        </is>
      </c>
      <c r="B793" s="1" t="n">
        <v>45993.37056712963</v>
      </c>
      <c r="C793" s="1" t="n">
        <v>46083</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60884-2024</t>
        </is>
      </c>
      <c r="B794" s="1" t="n">
        <v>45644.90815972222</v>
      </c>
      <c r="C794" s="1" t="n">
        <v>46083</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59041-2025</t>
        </is>
      </c>
      <c r="B795" s="1" t="n">
        <v>45988</v>
      </c>
      <c r="C795" s="1" t="n">
        <v>46083</v>
      </c>
      <c r="D795" t="inlineStr">
        <is>
          <t>STOCKHOLMS LÄN</t>
        </is>
      </c>
      <c r="E795" t="inlineStr">
        <is>
          <t>NORRTÄLJE</t>
        </is>
      </c>
      <c r="G795" t="n">
        <v>6.6</v>
      </c>
      <c r="H795" t="n">
        <v>0</v>
      </c>
      <c r="I795" t="n">
        <v>0</v>
      </c>
      <c r="J795" t="n">
        <v>0</v>
      </c>
      <c r="K795" t="n">
        <v>0</v>
      </c>
      <c r="L795" t="n">
        <v>0</v>
      </c>
      <c r="M795" t="n">
        <v>0</v>
      </c>
      <c r="N795" t="n">
        <v>0</v>
      </c>
      <c r="O795" t="n">
        <v>0</v>
      </c>
      <c r="P795" t="n">
        <v>0</v>
      </c>
      <c r="Q795" t="n">
        <v>0</v>
      </c>
      <c r="R795" s="2" t="inlineStr"/>
    </row>
    <row r="796" ht="15" customHeight="1">
      <c r="A796" t="inlineStr">
        <is>
          <t>A 23150-2024</t>
        </is>
      </c>
      <c r="B796" s="1" t="n">
        <v>45450.64643518518</v>
      </c>
      <c r="C796" s="1" t="n">
        <v>46083</v>
      </c>
      <c r="D796" t="inlineStr">
        <is>
          <t>STOCKHOLMS LÄN</t>
        </is>
      </c>
      <c r="E796" t="inlineStr">
        <is>
          <t>NORRTÄLJE</t>
        </is>
      </c>
      <c r="F796" t="inlineStr">
        <is>
          <t>Kommuner</t>
        </is>
      </c>
      <c r="G796" t="n">
        <v>2.7</v>
      </c>
      <c r="H796" t="n">
        <v>0</v>
      </c>
      <c r="I796" t="n">
        <v>0</v>
      </c>
      <c r="J796" t="n">
        <v>0</v>
      </c>
      <c r="K796" t="n">
        <v>0</v>
      </c>
      <c r="L796" t="n">
        <v>0</v>
      </c>
      <c r="M796" t="n">
        <v>0</v>
      </c>
      <c r="N796" t="n">
        <v>0</v>
      </c>
      <c r="O796" t="n">
        <v>0</v>
      </c>
      <c r="P796" t="n">
        <v>0</v>
      </c>
      <c r="Q796" t="n">
        <v>0</v>
      </c>
      <c r="R796" s="2" t="inlineStr"/>
    </row>
    <row r="797" ht="15" customHeight="1">
      <c r="A797" t="inlineStr">
        <is>
          <t>A 59878-2024</t>
        </is>
      </c>
      <c r="B797" s="1" t="n">
        <v>45640.60240740741</v>
      </c>
      <c r="C797" s="1" t="n">
        <v>46083</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50182-2024</t>
        </is>
      </c>
      <c r="B798" s="1" t="n">
        <v>45600.47275462963</v>
      </c>
      <c r="C798" s="1" t="n">
        <v>46083</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2549-2022</t>
        </is>
      </c>
      <c r="B799" s="1" t="n">
        <v>44580</v>
      </c>
      <c r="C799" s="1" t="n">
        <v>46083</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60214-2025</t>
        </is>
      </c>
      <c r="B800" s="1" t="n">
        <v>45994.53761574074</v>
      </c>
      <c r="C800" s="1" t="n">
        <v>46083</v>
      </c>
      <c r="D800" t="inlineStr">
        <is>
          <t>STOCKHOLMS LÄN</t>
        </is>
      </c>
      <c r="E800" t="inlineStr">
        <is>
          <t>NORRTÄLJE</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60253-2025</t>
        </is>
      </c>
      <c r="B801" s="1" t="n">
        <v>45994.59827546297</v>
      </c>
      <c r="C801" s="1" t="n">
        <v>46083</v>
      </c>
      <c r="D801" t="inlineStr">
        <is>
          <t>STOCKHOLMS LÄN</t>
        </is>
      </c>
      <c r="E801" t="inlineStr">
        <is>
          <t>NORRTÄLJE</t>
        </is>
      </c>
      <c r="F801" t="inlineStr">
        <is>
          <t>Holmen skog AB</t>
        </is>
      </c>
      <c r="G801" t="n">
        <v>3.6</v>
      </c>
      <c r="H801" t="n">
        <v>0</v>
      </c>
      <c r="I801" t="n">
        <v>0</v>
      </c>
      <c r="J801" t="n">
        <v>0</v>
      </c>
      <c r="K801" t="n">
        <v>0</v>
      </c>
      <c r="L801" t="n">
        <v>0</v>
      </c>
      <c r="M801" t="n">
        <v>0</v>
      </c>
      <c r="N801" t="n">
        <v>0</v>
      </c>
      <c r="O801" t="n">
        <v>0</v>
      </c>
      <c r="P801" t="n">
        <v>0</v>
      </c>
      <c r="Q801" t="n">
        <v>0</v>
      </c>
      <c r="R801" s="2" t="inlineStr"/>
    </row>
    <row r="802" ht="15" customHeight="1">
      <c r="A802" t="inlineStr">
        <is>
          <t>A 31140-2023</t>
        </is>
      </c>
      <c r="B802" s="1" t="n">
        <v>45113</v>
      </c>
      <c r="C802" s="1" t="n">
        <v>46083</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31149-2023</t>
        </is>
      </c>
      <c r="B803" s="1" t="n">
        <v>45113</v>
      </c>
      <c r="C803" s="1" t="n">
        <v>46083</v>
      </c>
      <c r="D803" t="inlineStr">
        <is>
          <t>STOCKHOLMS LÄN</t>
        </is>
      </c>
      <c r="E803" t="inlineStr">
        <is>
          <t>NORRTÄLJE</t>
        </is>
      </c>
      <c r="G803" t="n">
        <v>7.1</v>
      </c>
      <c r="H803" t="n">
        <v>0</v>
      </c>
      <c r="I803" t="n">
        <v>0</v>
      </c>
      <c r="J803" t="n">
        <v>0</v>
      </c>
      <c r="K803" t="n">
        <v>0</v>
      </c>
      <c r="L803" t="n">
        <v>0</v>
      </c>
      <c r="M803" t="n">
        <v>0</v>
      </c>
      <c r="N803" t="n">
        <v>0</v>
      </c>
      <c r="O803" t="n">
        <v>0</v>
      </c>
      <c r="P803" t="n">
        <v>0</v>
      </c>
      <c r="Q803" t="n">
        <v>0</v>
      </c>
      <c r="R803" s="2" t="inlineStr"/>
    </row>
    <row r="804" ht="15" customHeight="1">
      <c r="A804" t="inlineStr">
        <is>
          <t>A 59907-2025</t>
        </is>
      </c>
      <c r="B804" s="1" t="n">
        <v>45993.35350694445</v>
      </c>
      <c r="C804" s="1" t="n">
        <v>46083</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16835-2022</t>
        </is>
      </c>
      <c r="B805" s="1" t="n">
        <v>44673</v>
      </c>
      <c r="C805" s="1" t="n">
        <v>46083</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59924-2025</t>
        </is>
      </c>
      <c r="B806" s="1" t="n">
        <v>45993.38928240741</v>
      </c>
      <c r="C806" s="1" t="n">
        <v>46083</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13701-2022</t>
        </is>
      </c>
      <c r="B807" s="1" t="n">
        <v>44648</v>
      </c>
      <c r="C807" s="1" t="n">
        <v>46083</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13089-2022</t>
        </is>
      </c>
      <c r="B808" s="1" t="n">
        <v>44643</v>
      </c>
      <c r="C808" s="1" t="n">
        <v>46083</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60649-2025</t>
        </is>
      </c>
      <c r="B809" s="1" t="n">
        <v>45996.4560300926</v>
      </c>
      <c r="C809" s="1" t="n">
        <v>46083</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38759-2022</t>
        </is>
      </c>
      <c r="B810" s="1" t="n">
        <v>44816</v>
      </c>
      <c r="C810" s="1" t="n">
        <v>46083</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23998-2024</t>
        </is>
      </c>
      <c r="B811" s="1" t="n">
        <v>45456</v>
      </c>
      <c r="C811" s="1" t="n">
        <v>46083</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54504-2024</t>
        </is>
      </c>
      <c r="B812" s="1" t="n">
        <v>45617.58453703704</v>
      </c>
      <c r="C812" s="1" t="n">
        <v>46083</v>
      </c>
      <c r="D812" t="inlineStr">
        <is>
          <t>STOCKHOLMS LÄN</t>
        </is>
      </c>
      <c r="E812" t="inlineStr">
        <is>
          <t>NORRTÄLJE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60745-2025</t>
        </is>
      </c>
      <c r="B813" s="1" t="n">
        <v>45999.37753472223</v>
      </c>
      <c r="C813" s="1" t="n">
        <v>46083</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32595-2023</t>
        </is>
      </c>
      <c r="B814" s="1" t="n">
        <v>45121</v>
      </c>
      <c r="C814" s="1" t="n">
        <v>46083</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11332-2025</t>
        </is>
      </c>
      <c r="B815" s="1" t="n">
        <v>45726.48152777777</v>
      </c>
      <c r="C815" s="1" t="n">
        <v>46083</v>
      </c>
      <c r="D815" t="inlineStr">
        <is>
          <t>STOCKHOLMS LÄN</t>
        </is>
      </c>
      <c r="E815" t="inlineStr">
        <is>
          <t>NORRTÄLJE</t>
        </is>
      </c>
      <c r="G815" t="n">
        <v>4.6</v>
      </c>
      <c r="H815" t="n">
        <v>0</v>
      </c>
      <c r="I815" t="n">
        <v>0</v>
      </c>
      <c r="J815" t="n">
        <v>0</v>
      </c>
      <c r="K815" t="n">
        <v>0</v>
      </c>
      <c r="L815" t="n">
        <v>0</v>
      </c>
      <c r="M815" t="n">
        <v>0</v>
      </c>
      <c r="N815" t="n">
        <v>0</v>
      </c>
      <c r="O815" t="n">
        <v>0</v>
      </c>
      <c r="P815" t="n">
        <v>0</v>
      </c>
      <c r="Q815" t="n">
        <v>0</v>
      </c>
      <c r="R815" s="2" t="inlineStr"/>
    </row>
    <row r="816" ht="15" customHeight="1">
      <c r="A816" t="inlineStr">
        <is>
          <t>A 60928-2025</t>
        </is>
      </c>
      <c r="B816" s="1" t="n">
        <v>45999.633125</v>
      </c>
      <c r="C816" s="1" t="n">
        <v>46083</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60948-2025</t>
        </is>
      </c>
      <c r="B817" s="1" t="n">
        <v>45999.650625</v>
      </c>
      <c r="C817" s="1" t="n">
        <v>46083</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13718-2022</t>
        </is>
      </c>
      <c r="B818" s="1" t="n">
        <v>44649</v>
      </c>
      <c r="C818" s="1" t="n">
        <v>46083</v>
      </c>
      <c r="D818" t="inlineStr">
        <is>
          <t>STOCKHOLMS LÄN</t>
        </is>
      </c>
      <c r="E818" t="inlineStr">
        <is>
          <t>NORRTÄLJE</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61160-2025</t>
        </is>
      </c>
      <c r="B819" s="1" t="n">
        <v>46000.55262731481</v>
      </c>
      <c r="C819" s="1" t="n">
        <v>46083</v>
      </c>
      <c r="D819" t="inlineStr">
        <is>
          <t>STOCKHOLMS LÄN</t>
        </is>
      </c>
      <c r="E819" t="inlineStr">
        <is>
          <t>NORRTÄLJE</t>
        </is>
      </c>
      <c r="G819" t="n">
        <v>5.3</v>
      </c>
      <c r="H819" t="n">
        <v>0</v>
      </c>
      <c r="I819" t="n">
        <v>0</v>
      </c>
      <c r="J819" t="n">
        <v>0</v>
      </c>
      <c r="K819" t="n">
        <v>0</v>
      </c>
      <c r="L819" t="n">
        <v>0</v>
      </c>
      <c r="M819" t="n">
        <v>0</v>
      </c>
      <c r="N819" t="n">
        <v>0</v>
      </c>
      <c r="O819" t="n">
        <v>0</v>
      </c>
      <c r="P819" t="n">
        <v>0</v>
      </c>
      <c r="Q819" t="n">
        <v>0</v>
      </c>
      <c r="R819" s="2" t="inlineStr"/>
    </row>
    <row r="820" ht="15" customHeight="1">
      <c r="A820" t="inlineStr">
        <is>
          <t>A 54259-2023</t>
        </is>
      </c>
      <c r="B820" s="1" t="n">
        <v>45232</v>
      </c>
      <c r="C820" s="1" t="n">
        <v>46083</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13171-2025</t>
        </is>
      </c>
      <c r="B821" s="1" t="n">
        <v>45735.36594907408</v>
      </c>
      <c r="C821" s="1" t="n">
        <v>46083</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12299-2025</t>
        </is>
      </c>
      <c r="B822" s="1" t="n">
        <v>45729.71065972222</v>
      </c>
      <c r="C822" s="1" t="n">
        <v>46083</v>
      </c>
      <c r="D822" t="inlineStr">
        <is>
          <t>STOCKHOLMS LÄN</t>
        </is>
      </c>
      <c r="E822" t="inlineStr">
        <is>
          <t>NORRTÄLJE</t>
        </is>
      </c>
      <c r="F822" t="inlineStr">
        <is>
          <t>Holmen skog AB</t>
        </is>
      </c>
      <c r="G822" t="n">
        <v>6.9</v>
      </c>
      <c r="H822" t="n">
        <v>0</v>
      </c>
      <c r="I822" t="n">
        <v>0</v>
      </c>
      <c r="J822" t="n">
        <v>0</v>
      </c>
      <c r="K822" t="n">
        <v>0</v>
      </c>
      <c r="L822" t="n">
        <v>0</v>
      </c>
      <c r="M822" t="n">
        <v>0</v>
      </c>
      <c r="N822" t="n">
        <v>0</v>
      </c>
      <c r="O822" t="n">
        <v>0</v>
      </c>
      <c r="P822" t="n">
        <v>0</v>
      </c>
      <c r="Q822" t="n">
        <v>0</v>
      </c>
      <c r="R822" s="2" t="inlineStr"/>
    </row>
    <row r="823" ht="15" customHeight="1">
      <c r="A823" t="inlineStr">
        <is>
          <t>A 11900-2024</t>
        </is>
      </c>
      <c r="B823" s="1" t="n">
        <v>45376.55484953704</v>
      </c>
      <c r="C823" s="1" t="n">
        <v>46083</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3933-2026</t>
        </is>
      </c>
      <c r="B824" s="1" t="n">
        <v>46043.79916666666</v>
      </c>
      <c r="C824" s="1" t="n">
        <v>46083</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43300-2023</t>
        </is>
      </c>
      <c r="B825" s="1" t="n">
        <v>45183</v>
      </c>
      <c r="C825" s="1" t="n">
        <v>46083</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13276-2022</t>
        </is>
      </c>
      <c r="B826" s="1" t="n">
        <v>44644</v>
      </c>
      <c r="C826" s="1" t="n">
        <v>46083</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61769-2025</t>
        </is>
      </c>
      <c r="B827" s="1" t="n">
        <v>46002.64556712963</v>
      </c>
      <c r="C827" s="1" t="n">
        <v>46083</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11900-2022</t>
        </is>
      </c>
      <c r="B828" s="1" t="n">
        <v>44635</v>
      </c>
      <c r="C828" s="1" t="n">
        <v>46083</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14724-2022</t>
        </is>
      </c>
      <c r="B829" s="1" t="n">
        <v>44656</v>
      </c>
      <c r="C829" s="1" t="n">
        <v>46083</v>
      </c>
      <c r="D829" t="inlineStr">
        <is>
          <t>STOCKHOLMS LÄN</t>
        </is>
      </c>
      <c r="E829" t="inlineStr">
        <is>
          <t>NORRTÄLJE</t>
        </is>
      </c>
      <c r="F829" t="inlineStr">
        <is>
          <t>Sveaskog</t>
        </is>
      </c>
      <c r="G829" t="n">
        <v>9</v>
      </c>
      <c r="H829" t="n">
        <v>0</v>
      </c>
      <c r="I829" t="n">
        <v>0</v>
      </c>
      <c r="J829" t="n">
        <v>0</v>
      </c>
      <c r="K829" t="n">
        <v>0</v>
      </c>
      <c r="L829" t="n">
        <v>0</v>
      </c>
      <c r="M829" t="n">
        <v>0</v>
      </c>
      <c r="N829" t="n">
        <v>0</v>
      </c>
      <c r="O829" t="n">
        <v>0</v>
      </c>
      <c r="P829" t="n">
        <v>0</v>
      </c>
      <c r="Q829" t="n">
        <v>0</v>
      </c>
      <c r="R829" s="2" t="inlineStr"/>
    </row>
    <row r="830" ht="15" customHeight="1">
      <c r="A830" t="inlineStr">
        <is>
          <t>A 61764-2025</t>
        </is>
      </c>
      <c r="B830" s="1" t="n">
        <v>46002.62763888889</v>
      </c>
      <c r="C830" s="1" t="n">
        <v>46083</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4580-2025</t>
        </is>
      </c>
      <c r="B831" s="1" t="n">
        <v>45687.5038425926</v>
      </c>
      <c r="C831" s="1" t="n">
        <v>46083</v>
      </c>
      <c r="D831" t="inlineStr">
        <is>
          <t>STOCKHOLMS LÄN</t>
        </is>
      </c>
      <c r="E831" t="inlineStr">
        <is>
          <t>NORRTÄLJE</t>
        </is>
      </c>
      <c r="F831" t="inlineStr">
        <is>
          <t>Holmen skog AB</t>
        </is>
      </c>
      <c r="G831" t="n">
        <v>4.8</v>
      </c>
      <c r="H831" t="n">
        <v>0</v>
      </c>
      <c r="I831" t="n">
        <v>0</v>
      </c>
      <c r="J831" t="n">
        <v>0</v>
      </c>
      <c r="K831" t="n">
        <v>0</v>
      </c>
      <c r="L831" t="n">
        <v>0</v>
      </c>
      <c r="M831" t="n">
        <v>0</v>
      </c>
      <c r="N831" t="n">
        <v>0</v>
      </c>
      <c r="O831" t="n">
        <v>0</v>
      </c>
      <c r="P831" t="n">
        <v>0</v>
      </c>
      <c r="Q831" t="n">
        <v>0</v>
      </c>
      <c r="R831" s="2" t="inlineStr"/>
    </row>
    <row r="832" ht="15" customHeight="1">
      <c r="A832" t="inlineStr">
        <is>
          <t>A 16202-2022</t>
        </is>
      </c>
      <c r="B832" s="1" t="n">
        <v>44670</v>
      </c>
      <c r="C832" s="1" t="n">
        <v>46083</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6003-2025</t>
        </is>
      </c>
      <c r="B833" s="1" t="n">
        <v>45695.57881944445</v>
      </c>
      <c r="C833" s="1" t="n">
        <v>46083</v>
      </c>
      <c r="D833" t="inlineStr">
        <is>
          <t>STOCKHOLMS LÄN</t>
        </is>
      </c>
      <c r="E833" t="inlineStr">
        <is>
          <t>NORRTÄLJE</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52321-2024</t>
        </is>
      </c>
      <c r="B834" s="1" t="n">
        <v>45608</v>
      </c>
      <c r="C834" s="1" t="n">
        <v>46083</v>
      </c>
      <c r="D834" t="inlineStr">
        <is>
          <t>STOCKHOLMS LÄN</t>
        </is>
      </c>
      <c r="E834" t="inlineStr">
        <is>
          <t>NORRTÄLJE</t>
        </is>
      </c>
      <c r="G834" t="n">
        <v>18.1</v>
      </c>
      <c r="H834" t="n">
        <v>0</v>
      </c>
      <c r="I834" t="n">
        <v>0</v>
      </c>
      <c r="J834" t="n">
        <v>0</v>
      </c>
      <c r="K834" t="n">
        <v>0</v>
      </c>
      <c r="L834" t="n">
        <v>0</v>
      </c>
      <c r="M834" t="n">
        <v>0</v>
      </c>
      <c r="N834" t="n">
        <v>0</v>
      </c>
      <c r="O834" t="n">
        <v>0</v>
      </c>
      <c r="P834" t="n">
        <v>0</v>
      </c>
      <c r="Q834" t="n">
        <v>0</v>
      </c>
      <c r="R834" s="2" t="inlineStr"/>
    </row>
    <row r="835" ht="15" customHeight="1">
      <c r="A835" t="inlineStr">
        <is>
          <t>A 54558-2024</t>
        </is>
      </c>
      <c r="B835" s="1" t="n">
        <v>45617.62358796296</v>
      </c>
      <c r="C835" s="1" t="n">
        <v>46083</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46083</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22157-2023</t>
        </is>
      </c>
      <c r="B837" s="1" t="n">
        <v>45069</v>
      </c>
      <c r="C837" s="1" t="n">
        <v>46083</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c r="U837">
        <f>HYPERLINK("https://klasma.github.io/Logging_0188/knärot/A 22157-2023 karta knärot.png", "A 22157-2023")</f>
        <v/>
      </c>
      <c r="V837">
        <f>HYPERLINK("https://klasma.github.io/Logging_0188/klagomål/A 22157-2023 FSC-klagomål.docx", "A 22157-2023")</f>
        <v/>
      </c>
      <c r="W837">
        <f>HYPERLINK("https://klasma.github.io/Logging_0188/klagomålsmail/A 22157-2023 FSC-klagomål mail.docx", "A 22157-2023")</f>
        <v/>
      </c>
      <c r="X837">
        <f>HYPERLINK("https://klasma.github.io/Logging_0188/tillsyn/A 22157-2023 tillsynsbegäran.docx", "A 22157-2023")</f>
        <v/>
      </c>
      <c r="Y837">
        <f>HYPERLINK("https://klasma.github.io/Logging_0188/tillsynsmail/A 22157-2023 tillsynsbegäran mail.docx", "A 22157-2023")</f>
        <v/>
      </c>
    </row>
    <row r="838" ht="15" customHeight="1">
      <c r="A838" t="inlineStr">
        <is>
          <t>A 61419-2025</t>
        </is>
      </c>
      <c r="B838" s="1" t="n">
        <v>46001.54137731482</v>
      </c>
      <c r="C838" s="1" t="n">
        <v>46083</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61430-2025</t>
        </is>
      </c>
      <c r="B839" s="1" t="n">
        <v>46001.55583333333</v>
      </c>
      <c r="C839" s="1" t="n">
        <v>46083</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61452-2025</t>
        </is>
      </c>
      <c r="B840" s="1" t="n">
        <v>46001.58043981482</v>
      </c>
      <c r="C840" s="1" t="n">
        <v>46083</v>
      </c>
      <c r="D840" t="inlineStr">
        <is>
          <t>STOCKHOLMS LÄN</t>
        </is>
      </c>
      <c r="E840" t="inlineStr">
        <is>
          <t>NORRTÄLJE</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48633-2023</t>
        </is>
      </c>
      <c r="B841" s="1" t="n">
        <v>45208.58004629629</v>
      </c>
      <c r="C841" s="1" t="n">
        <v>46083</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47419-2023</t>
        </is>
      </c>
      <c r="B842" s="1" t="n">
        <v>45202.65660879629</v>
      </c>
      <c r="C842" s="1" t="n">
        <v>46083</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652-2025</t>
        </is>
      </c>
      <c r="B843" s="1" t="n">
        <v>45664</v>
      </c>
      <c r="C843" s="1" t="n">
        <v>46083</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10653-2022</t>
        </is>
      </c>
      <c r="B844" s="1" t="n">
        <v>44624.59434027778</v>
      </c>
      <c r="C844" s="1" t="n">
        <v>46083</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35695-2023</t>
        </is>
      </c>
      <c r="B845" s="1" t="n">
        <v>45147.65407407407</v>
      </c>
      <c r="C845" s="1" t="n">
        <v>46083</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18665-2022</t>
        </is>
      </c>
      <c r="B846" s="1" t="n">
        <v>44687</v>
      </c>
      <c r="C846" s="1" t="n">
        <v>46083</v>
      </c>
      <c r="D846" t="inlineStr">
        <is>
          <t>STOCKHOLMS LÄN</t>
        </is>
      </c>
      <c r="E846" t="inlineStr">
        <is>
          <t>NORRTÄLJE</t>
        </is>
      </c>
      <c r="F846" t="inlineStr">
        <is>
          <t>Kyrkan</t>
        </is>
      </c>
      <c r="G846" t="n">
        <v>1.1</v>
      </c>
      <c r="H846" t="n">
        <v>0</v>
      </c>
      <c r="I846" t="n">
        <v>0</v>
      </c>
      <c r="J846" t="n">
        <v>0</v>
      </c>
      <c r="K846" t="n">
        <v>0</v>
      </c>
      <c r="L846" t="n">
        <v>0</v>
      </c>
      <c r="M846" t="n">
        <v>0</v>
      </c>
      <c r="N846" t="n">
        <v>0</v>
      </c>
      <c r="O846" t="n">
        <v>0</v>
      </c>
      <c r="P846" t="n">
        <v>0</v>
      </c>
      <c r="Q846" t="n">
        <v>0</v>
      </c>
      <c r="R846" s="2" t="inlineStr"/>
    </row>
    <row r="847" ht="15" customHeight="1">
      <c r="A847" t="inlineStr">
        <is>
          <t>A 17574-2025</t>
        </is>
      </c>
      <c r="B847" s="1" t="n">
        <v>45757.65178240741</v>
      </c>
      <c r="C847" s="1" t="n">
        <v>46083</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45775.41451388889</v>
      </c>
      <c r="C848" s="1" t="n">
        <v>46083</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46083</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35438-2023</t>
        </is>
      </c>
      <c r="B850" s="1" t="n">
        <v>45146</v>
      </c>
      <c r="C850" s="1" t="n">
        <v>46083</v>
      </c>
      <c r="D850" t="inlineStr">
        <is>
          <t>STOCKHOLMS LÄN</t>
        </is>
      </c>
      <c r="E850" t="inlineStr">
        <is>
          <t>NORRTÄLJE</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4886-2026</t>
        </is>
      </c>
      <c r="B851" s="1" t="n">
        <v>46048.66328703704</v>
      </c>
      <c r="C851" s="1" t="n">
        <v>46083</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53499-2025</t>
        </is>
      </c>
      <c r="B852" s="1" t="n">
        <v>45960</v>
      </c>
      <c r="C852" s="1" t="n">
        <v>46083</v>
      </c>
      <c r="D852" t="inlineStr">
        <is>
          <t>STOCKHOLMS LÄN</t>
        </is>
      </c>
      <c r="E852" t="inlineStr">
        <is>
          <t>NORRTÄLJE</t>
        </is>
      </c>
      <c r="G852" t="n">
        <v>23.8</v>
      </c>
      <c r="H852" t="n">
        <v>0</v>
      </c>
      <c r="I852" t="n">
        <v>0</v>
      </c>
      <c r="J852" t="n">
        <v>0</v>
      </c>
      <c r="K852" t="n">
        <v>0</v>
      </c>
      <c r="L852" t="n">
        <v>0</v>
      </c>
      <c r="M852" t="n">
        <v>0</v>
      </c>
      <c r="N852" t="n">
        <v>0</v>
      </c>
      <c r="O852" t="n">
        <v>0</v>
      </c>
      <c r="P852" t="n">
        <v>0</v>
      </c>
      <c r="Q852" t="n">
        <v>0</v>
      </c>
      <c r="R852" s="2" t="inlineStr"/>
    </row>
    <row r="853" ht="15" customHeight="1">
      <c r="A853" t="inlineStr">
        <is>
          <t>A 33878-2024</t>
        </is>
      </c>
      <c r="B853" s="1" t="n">
        <v>45522.44414351852</v>
      </c>
      <c r="C853" s="1" t="n">
        <v>46083</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4232-2026</t>
        </is>
      </c>
      <c r="B854" s="1" t="n">
        <v>46044.89594907407</v>
      </c>
      <c r="C854" s="1" t="n">
        <v>46083</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4230-2026</t>
        </is>
      </c>
      <c r="B855" s="1" t="n">
        <v>46044.89366898148</v>
      </c>
      <c r="C855" s="1" t="n">
        <v>46083</v>
      </c>
      <c r="D855" t="inlineStr">
        <is>
          <t>STOCKHOLMS LÄN</t>
        </is>
      </c>
      <c r="E855" t="inlineStr">
        <is>
          <t>NORRTÄLJE</t>
        </is>
      </c>
      <c r="G855" t="n">
        <v>10.8</v>
      </c>
      <c r="H855" t="n">
        <v>0</v>
      </c>
      <c r="I855" t="n">
        <v>0</v>
      </c>
      <c r="J855" t="n">
        <v>0</v>
      </c>
      <c r="K855" t="n">
        <v>0</v>
      </c>
      <c r="L855" t="n">
        <v>0</v>
      </c>
      <c r="M855" t="n">
        <v>0</v>
      </c>
      <c r="N855" t="n">
        <v>0</v>
      </c>
      <c r="O855" t="n">
        <v>0</v>
      </c>
      <c r="P855" t="n">
        <v>0</v>
      </c>
      <c r="Q855" t="n">
        <v>0</v>
      </c>
      <c r="R855" s="2" t="inlineStr"/>
    </row>
    <row r="856" ht="15" customHeight="1">
      <c r="A856" t="inlineStr">
        <is>
          <t>A 62708-2025</t>
        </is>
      </c>
      <c r="B856" s="1" t="n">
        <v>46008.50986111111</v>
      </c>
      <c r="C856" s="1" t="n">
        <v>46083</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45685.44592592592</v>
      </c>
      <c r="C857" s="1" t="n">
        <v>46083</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4231-2026</t>
        </is>
      </c>
      <c r="B858" s="1" t="n">
        <v>46044</v>
      </c>
      <c r="C858" s="1" t="n">
        <v>46083</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17556-2025</t>
        </is>
      </c>
      <c r="B859" s="1" t="n">
        <v>45757.62482638889</v>
      </c>
      <c r="C859" s="1" t="n">
        <v>46083</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41335-2023</t>
        </is>
      </c>
      <c r="B860" s="1" t="n">
        <v>45174.68702546296</v>
      </c>
      <c r="C860" s="1" t="n">
        <v>46083</v>
      </c>
      <c r="D860" t="inlineStr">
        <is>
          <t>STOCKHOLMS LÄN</t>
        </is>
      </c>
      <c r="E860" t="inlineStr">
        <is>
          <t>NORRTÄLJE</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62689-2025</t>
        </is>
      </c>
      <c r="B861" s="1" t="n">
        <v>46008.47171296296</v>
      </c>
      <c r="C861" s="1" t="n">
        <v>46083</v>
      </c>
      <c r="D861" t="inlineStr">
        <is>
          <t>STOCKHOLMS LÄN</t>
        </is>
      </c>
      <c r="E861" t="inlineStr">
        <is>
          <t>NORRTÄLJE</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46083</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4227-2026</t>
        </is>
      </c>
      <c r="B863" s="1" t="n">
        <v>46044</v>
      </c>
      <c r="C863" s="1" t="n">
        <v>46083</v>
      </c>
      <c r="D863" t="inlineStr">
        <is>
          <t>STOCKHOLMS LÄN</t>
        </is>
      </c>
      <c r="E863" t="inlineStr">
        <is>
          <t>NORRTÄLJE</t>
        </is>
      </c>
      <c r="G863" t="n">
        <v>3.6</v>
      </c>
      <c r="H863" t="n">
        <v>0</v>
      </c>
      <c r="I863" t="n">
        <v>0</v>
      </c>
      <c r="J863" t="n">
        <v>0</v>
      </c>
      <c r="K863" t="n">
        <v>0</v>
      </c>
      <c r="L863" t="n">
        <v>0</v>
      </c>
      <c r="M863" t="n">
        <v>0</v>
      </c>
      <c r="N863" t="n">
        <v>0</v>
      </c>
      <c r="O863" t="n">
        <v>0</v>
      </c>
      <c r="P863" t="n">
        <v>0</v>
      </c>
      <c r="Q863" t="n">
        <v>0</v>
      </c>
      <c r="R863" s="2" t="inlineStr"/>
    </row>
    <row r="864" ht="15" customHeight="1">
      <c r="A864" t="inlineStr">
        <is>
          <t>A 8419-2025</t>
        </is>
      </c>
      <c r="B864" s="1" t="n">
        <v>45709.40231481481</v>
      </c>
      <c r="C864" s="1" t="n">
        <v>46083</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21480-2022</t>
        </is>
      </c>
      <c r="B865" s="1" t="n">
        <v>44704</v>
      </c>
      <c r="C865" s="1" t="n">
        <v>46083</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33279-2025</t>
        </is>
      </c>
      <c r="B866" s="1" t="n">
        <v>45840</v>
      </c>
      <c r="C866" s="1" t="n">
        <v>46083</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1654-2025</t>
        </is>
      </c>
      <c r="B867" s="1" t="n">
        <v>45670.65921296296</v>
      </c>
      <c r="C867" s="1" t="n">
        <v>46083</v>
      </c>
      <c r="D867" t="inlineStr">
        <is>
          <t>STOCKHOLMS LÄN</t>
        </is>
      </c>
      <c r="E867" t="inlineStr">
        <is>
          <t>NORRTÄLJE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5227-2026</t>
        </is>
      </c>
      <c r="B868" s="1" t="n">
        <v>46049.80460648148</v>
      </c>
      <c r="C868" s="1" t="n">
        <v>46083</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4235-2026</t>
        </is>
      </c>
      <c r="B869" s="1" t="n">
        <v>46044</v>
      </c>
      <c r="C869" s="1" t="n">
        <v>46083</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48686-2023</t>
        </is>
      </c>
      <c r="B870" s="1" t="n">
        <v>45208</v>
      </c>
      <c r="C870" s="1" t="n">
        <v>46083</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48691-2023</t>
        </is>
      </c>
      <c r="B871" s="1" t="n">
        <v>45208</v>
      </c>
      <c r="C871" s="1" t="n">
        <v>46083</v>
      </c>
      <c r="D871" t="inlineStr">
        <is>
          <t>STOCKHOLMS LÄN</t>
        </is>
      </c>
      <c r="E871" t="inlineStr">
        <is>
          <t>NORRTÄLJE</t>
        </is>
      </c>
      <c r="G871" t="n">
        <v>5.8</v>
      </c>
      <c r="H871" t="n">
        <v>0</v>
      </c>
      <c r="I871" t="n">
        <v>0</v>
      </c>
      <c r="J871" t="n">
        <v>0</v>
      </c>
      <c r="K871" t="n">
        <v>0</v>
      </c>
      <c r="L871" t="n">
        <v>0</v>
      </c>
      <c r="M871" t="n">
        <v>0</v>
      </c>
      <c r="N871" t="n">
        <v>0</v>
      </c>
      <c r="O871" t="n">
        <v>0</v>
      </c>
      <c r="P871" t="n">
        <v>0</v>
      </c>
      <c r="Q871" t="n">
        <v>0</v>
      </c>
      <c r="R871" s="2" t="inlineStr"/>
    </row>
    <row r="872" ht="15" customHeight="1">
      <c r="A872" t="inlineStr">
        <is>
          <t>A 5226-2026</t>
        </is>
      </c>
      <c r="B872" s="1" t="n">
        <v>46049.79961805556</v>
      </c>
      <c r="C872" s="1" t="n">
        <v>46083</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55243-2023</t>
        </is>
      </c>
      <c r="B873" s="1" t="n">
        <v>45237</v>
      </c>
      <c r="C873" s="1" t="n">
        <v>46083</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35210-2023</t>
        </is>
      </c>
      <c r="B874" s="1" t="n">
        <v>45145.63584490741</v>
      </c>
      <c r="C874" s="1" t="n">
        <v>46083</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5224-2026</t>
        </is>
      </c>
      <c r="B875" s="1" t="n">
        <v>46049.79521990741</v>
      </c>
      <c r="C875" s="1" t="n">
        <v>46083</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5241-2026</t>
        </is>
      </c>
      <c r="B876" s="1" t="n">
        <v>46049.86471064815</v>
      </c>
      <c r="C876" s="1" t="n">
        <v>46083</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62681-2025</t>
        </is>
      </c>
      <c r="B877" s="1" t="n">
        <v>46008.45534722223</v>
      </c>
      <c r="C877" s="1" t="n">
        <v>46083</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6678-2025</t>
        </is>
      </c>
      <c r="B878" s="1" t="n">
        <v>45700</v>
      </c>
      <c r="C878" s="1" t="n">
        <v>46083</v>
      </c>
      <c r="D878" t="inlineStr">
        <is>
          <t>STOCKHOLMS LÄN</t>
        </is>
      </c>
      <c r="E878" t="inlineStr">
        <is>
          <t>NORRTÄLJE</t>
        </is>
      </c>
      <c r="F878" t="inlineStr">
        <is>
          <t>Övriga Aktiebolag</t>
        </is>
      </c>
      <c r="G878" t="n">
        <v>6.6</v>
      </c>
      <c r="H878" t="n">
        <v>0</v>
      </c>
      <c r="I878" t="n">
        <v>0</v>
      </c>
      <c r="J878" t="n">
        <v>0</v>
      </c>
      <c r="K878" t="n">
        <v>0</v>
      </c>
      <c r="L878" t="n">
        <v>0</v>
      </c>
      <c r="M878" t="n">
        <v>0</v>
      </c>
      <c r="N878" t="n">
        <v>0</v>
      </c>
      <c r="O878" t="n">
        <v>0</v>
      </c>
      <c r="P878" t="n">
        <v>0</v>
      </c>
      <c r="Q878" t="n">
        <v>0</v>
      </c>
      <c r="R878" s="2" t="inlineStr"/>
    </row>
    <row r="879" ht="15" customHeight="1">
      <c r="A879" t="inlineStr">
        <is>
          <t>A 17612-2022</t>
        </is>
      </c>
      <c r="B879" s="1" t="n">
        <v>44680</v>
      </c>
      <c r="C879" s="1" t="n">
        <v>46083</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34478-2025</t>
        </is>
      </c>
      <c r="B880" s="1" t="n">
        <v>45847</v>
      </c>
      <c r="C880" s="1" t="n">
        <v>46083</v>
      </c>
      <c r="D880" t="inlineStr">
        <is>
          <t>STOCKHOLMS LÄN</t>
        </is>
      </c>
      <c r="E880" t="inlineStr">
        <is>
          <t>NORRTÄLJE</t>
        </is>
      </c>
      <c r="F880" t="inlineStr">
        <is>
          <t>Övriga Aktiebolag</t>
        </is>
      </c>
      <c r="G880" t="n">
        <v>10.8</v>
      </c>
      <c r="H880" t="n">
        <v>0</v>
      </c>
      <c r="I880" t="n">
        <v>0</v>
      </c>
      <c r="J880" t="n">
        <v>0</v>
      </c>
      <c r="K880" t="n">
        <v>0</v>
      </c>
      <c r="L880" t="n">
        <v>0</v>
      </c>
      <c r="M880" t="n">
        <v>0</v>
      </c>
      <c r="N880" t="n">
        <v>0</v>
      </c>
      <c r="O880" t="n">
        <v>0</v>
      </c>
      <c r="P880" t="n">
        <v>0</v>
      </c>
      <c r="Q880" t="n">
        <v>0</v>
      </c>
      <c r="R880" s="2" t="inlineStr"/>
    </row>
    <row r="881" ht="15" customHeight="1">
      <c r="A881" t="inlineStr">
        <is>
          <t>A 58297-2023</t>
        </is>
      </c>
      <c r="B881" s="1" t="n">
        <v>45245</v>
      </c>
      <c r="C881" s="1" t="n">
        <v>46083</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21726-2022</t>
        </is>
      </c>
      <c r="B882" s="1" t="n">
        <v>44708</v>
      </c>
      <c r="C882" s="1" t="n">
        <v>46083</v>
      </c>
      <c r="D882" t="inlineStr">
        <is>
          <t>STOCKHOLMS LÄN</t>
        </is>
      </c>
      <c r="E882" t="inlineStr">
        <is>
          <t>NORRTÄLJE</t>
        </is>
      </c>
      <c r="G882" t="n">
        <v>0.2</v>
      </c>
      <c r="H882" t="n">
        <v>0</v>
      </c>
      <c r="I882" t="n">
        <v>0</v>
      </c>
      <c r="J882" t="n">
        <v>0</v>
      </c>
      <c r="K882" t="n">
        <v>0</v>
      </c>
      <c r="L882" t="n">
        <v>0</v>
      </c>
      <c r="M882" t="n">
        <v>0</v>
      </c>
      <c r="N882" t="n">
        <v>0</v>
      </c>
      <c r="O882" t="n">
        <v>0</v>
      </c>
      <c r="P882" t="n">
        <v>0</v>
      </c>
      <c r="Q882" t="n">
        <v>0</v>
      </c>
      <c r="R882" s="2" t="inlineStr"/>
    </row>
    <row r="883" ht="15" customHeight="1">
      <c r="A883" t="inlineStr">
        <is>
          <t>A 21739-2022</t>
        </is>
      </c>
      <c r="B883" s="1" t="n">
        <v>44708.36708333333</v>
      </c>
      <c r="C883" s="1" t="n">
        <v>46083</v>
      </c>
      <c r="D883" t="inlineStr">
        <is>
          <t>STOCKHOLMS LÄN</t>
        </is>
      </c>
      <c r="E883" t="inlineStr">
        <is>
          <t>NORRTÄLJE</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5934-2026</t>
        </is>
      </c>
      <c r="B884" s="1" t="n">
        <v>46052.47082175926</v>
      </c>
      <c r="C884" s="1" t="n">
        <v>46083</v>
      </c>
      <c r="D884" t="inlineStr">
        <is>
          <t>STOCKHOLMS LÄN</t>
        </is>
      </c>
      <c r="E884" t="inlineStr">
        <is>
          <t>NORRTÄLJE</t>
        </is>
      </c>
      <c r="F884" t="inlineStr">
        <is>
          <t>Holmen skog AB</t>
        </is>
      </c>
      <c r="G884" t="n">
        <v>5.5</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46083</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3283-2025</t>
        </is>
      </c>
      <c r="B886" s="1" t="n">
        <v>45679</v>
      </c>
      <c r="C886" s="1" t="n">
        <v>46083</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62922-2025</t>
        </is>
      </c>
      <c r="B887" s="1" t="n">
        <v>46009.38064814815</v>
      </c>
      <c r="C887" s="1" t="n">
        <v>46083</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18092-2022</t>
        </is>
      </c>
      <c r="B888" s="1" t="n">
        <v>44684</v>
      </c>
      <c r="C888" s="1" t="n">
        <v>46083</v>
      </c>
      <c r="D888" t="inlineStr">
        <is>
          <t>STOCKHOLMS LÄN</t>
        </is>
      </c>
      <c r="E888" t="inlineStr">
        <is>
          <t>NORRTÄLJE</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33295-2023</t>
        </is>
      </c>
      <c r="B889" s="1" t="n">
        <v>45127.69371527778</v>
      </c>
      <c r="C889" s="1" t="n">
        <v>46083</v>
      </c>
      <c r="D889" t="inlineStr">
        <is>
          <t>STOCKHOLMS LÄN</t>
        </is>
      </c>
      <c r="E889" t="inlineStr">
        <is>
          <t>NORRTÄLJE</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6724-2026</t>
        </is>
      </c>
      <c r="B890" s="1" t="n">
        <v>46056.67717592593</v>
      </c>
      <c r="C890" s="1" t="n">
        <v>46083</v>
      </c>
      <c r="D890" t="inlineStr">
        <is>
          <t>STOCKHOLMS LÄN</t>
        </is>
      </c>
      <c r="E890" t="inlineStr">
        <is>
          <t>NORRTÄLJE</t>
        </is>
      </c>
      <c r="F890" t="inlineStr">
        <is>
          <t>Holmen skog AB</t>
        </is>
      </c>
      <c r="G890" t="n">
        <v>16.2</v>
      </c>
      <c r="H890" t="n">
        <v>0</v>
      </c>
      <c r="I890" t="n">
        <v>0</v>
      </c>
      <c r="J890" t="n">
        <v>0</v>
      </c>
      <c r="K890" t="n">
        <v>0</v>
      </c>
      <c r="L890" t="n">
        <v>0</v>
      </c>
      <c r="M890" t="n">
        <v>0</v>
      </c>
      <c r="N890" t="n">
        <v>0</v>
      </c>
      <c r="O890" t="n">
        <v>0</v>
      </c>
      <c r="P890" t="n">
        <v>0</v>
      </c>
      <c r="Q890" t="n">
        <v>0</v>
      </c>
      <c r="R890" s="2" t="inlineStr"/>
    </row>
    <row r="891" ht="15" customHeight="1">
      <c r="A891" t="inlineStr">
        <is>
          <t>A 6532-2026</t>
        </is>
      </c>
      <c r="B891" s="1" t="n">
        <v>46056.41300925926</v>
      </c>
      <c r="C891" s="1" t="n">
        <v>46083</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58404-2023</t>
        </is>
      </c>
      <c r="B892" s="1" t="n">
        <v>45245</v>
      </c>
      <c r="C892" s="1" t="n">
        <v>46083</v>
      </c>
      <c r="D892" t="inlineStr">
        <is>
          <t>STOCKHOLMS LÄN</t>
        </is>
      </c>
      <c r="E892" t="inlineStr">
        <is>
          <t>NORRTÄLJE</t>
        </is>
      </c>
      <c r="G892" t="n">
        <v>53.5</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44743.67418981482</v>
      </c>
      <c r="C893" s="1" t="n">
        <v>46083</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25525-2022</t>
        </is>
      </c>
      <c r="B894" s="1" t="n">
        <v>44732</v>
      </c>
      <c r="C894" s="1" t="n">
        <v>46083</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48722-2023</t>
        </is>
      </c>
      <c r="B895" s="1" t="n">
        <v>45208.70996527778</v>
      </c>
      <c r="C895" s="1" t="n">
        <v>46083</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6838-2026</t>
        </is>
      </c>
      <c r="B896" s="1" t="n">
        <v>46057.41151620371</v>
      </c>
      <c r="C896" s="1" t="n">
        <v>46083</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6874-2026</t>
        </is>
      </c>
      <c r="B897" s="1" t="n">
        <v>46057.45295138889</v>
      </c>
      <c r="C897" s="1" t="n">
        <v>46083</v>
      </c>
      <c r="D897" t="inlineStr">
        <is>
          <t>STOCKHOLMS LÄN</t>
        </is>
      </c>
      <c r="E897" t="inlineStr">
        <is>
          <t>NORRTÄLJE</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7308-2026</t>
        </is>
      </c>
      <c r="B898" s="1" t="n">
        <v>46058.66025462963</v>
      </c>
      <c r="C898" s="1" t="n">
        <v>46083</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4549-2026</t>
        </is>
      </c>
      <c r="B899" s="1" t="n">
        <v>46047</v>
      </c>
      <c r="C899" s="1" t="n">
        <v>46083</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23801-2022</t>
        </is>
      </c>
      <c r="B900" s="1" t="n">
        <v>44722</v>
      </c>
      <c r="C900" s="1" t="n">
        <v>46083</v>
      </c>
      <c r="D900" t="inlineStr">
        <is>
          <t>STOCKHOLMS LÄN</t>
        </is>
      </c>
      <c r="E900" t="inlineStr">
        <is>
          <t>NORRTÄLJE</t>
        </is>
      </c>
      <c r="G900" t="n">
        <v>6.8</v>
      </c>
      <c r="H900" t="n">
        <v>0</v>
      </c>
      <c r="I900" t="n">
        <v>0</v>
      </c>
      <c r="J900" t="n">
        <v>0</v>
      </c>
      <c r="K900" t="n">
        <v>0</v>
      </c>
      <c r="L900" t="n">
        <v>0</v>
      </c>
      <c r="M900" t="n">
        <v>0</v>
      </c>
      <c r="N900" t="n">
        <v>0</v>
      </c>
      <c r="O900" t="n">
        <v>0</v>
      </c>
      <c r="P900" t="n">
        <v>0</v>
      </c>
      <c r="Q900" t="n">
        <v>0</v>
      </c>
      <c r="R900" s="2" t="inlineStr"/>
    </row>
    <row r="901" ht="15" customHeight="1">
      <c r="A901" t="inlineStr">
        <is>
          <t>A 33353-2023</t>
        </is>
      </c>
      <c r="B901" s="1" t="n">
        <v>45128</v>
      </c>
      <c r="C901" s="1" t="n">
        <v>46083</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46062.59496527778</v>
      </c>
      <c r="C902" s="1" t="n">
        <v>46083</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35708-2022</t>
        </is>
      </c>
      <c r="B903" s="1" t="n">
        <v>44799.65013888889</v>
      </c>
      <c r="C903" s="1" t="n">
        <v>46083</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3426-2025</t>
        </is>
      </c>
      <c r="B904" s="1" t="n">
        <v>45680.42665509259</v>
      </c>
      <c r="C904" s="1" t="n">
        <v>46083</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46083</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46083</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51312-2023</t>
        </is>
      </c>
      <c r="B907" s="1" t="n">
        <v>45219.56697916667</v>
      </c>
      <c r="C907" s="1" t="n">
        <v>46083</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7723-2026</t>
        </is>
      </c>
      <c r="B908" s="1" t="n">
        <v>46062.49905092592</v>
      </c>
      <c r="C908" s="1" t="n">
        <v>46083</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11849-2025</t>
        </is>
      </c>
      <c r="B909" s="1" t="n">
        <v>45728.38409722222</v>
      </c>
      <c r="C909" s="1" t="n">
        <v>46083</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38610-2022</t>
        </is>
      </c>
      <c r="B910" s="1" t="n">
        <v>44813.59915509259</v>
      </c>
      <c r="C910" s="1" t="n">
        <v>46083</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22816-2021</t>
        </is>
      </c>
      <c r="B911" s="1" t="n">
        <v>44325</v>
      </c>
      <c r="C911" s="1" t="n">
        <v>46083</v>
      </c>
      <c r="D911" t="inlineStr">
        <is>
          <t>STOCKHOLMS LÄN</t>
        </is>
      </c>
      <c r="E911" t="inlineStr">
        <is>
          <t>NORRTÄLJE</t>
        </is>
      </c>
      <c r="G911" t="n">
        <v>4.5</v>
      </c>
      <c r="H911" t="n">
        <v>0</v>
      </c>
      <c r="I911" t="n">
        <v>0</v>
      </c>
      <c r="J911" t="n">
        <v>0</v>
      </c>
      <c r="K911" t="n">
        <v>0</v>
      </c>
      <c r="L911" t="n">
        <v>0</v>
      </c>
      <c r="M911" t="n">
        <v>0</v>
      </c>
      <c r="N911" t="n">
        <v>0</v>
      </c>
      <c r="O911" t="n">
        <v>0</v>
      </c>
      <c r="P911" t="n">
        <v>0</v>
      </c>
      <c r="Q911" t="n">
        <v>0</v>
      </c>
      <c r="R911" s="2" t="inlineStr"/>
    </row>
    <row r="912" ht="15" customHeight="1">
      <c r="A912" t="inlineStr">
        <is>
          <t>A 7729-2026</t>
        </is>
      </c>
      <c r="B912" s="1" t="n">
        <v>46062.51100694444</v>
      </c>
      <c r="C912" s="1" t="n">
        <v>46083</v>
      </c>
      <c r="D912" t="inlineStr">
        <is>
          <t>STOCKHOLMS LÄN</t>
        </is>
      </c>
      <c r="E912" t="inlineStr">
        <is>
          <t>NORRTÄLJE</t>
        </is>
      </c>
      <c r="G912" t="n">
        <v>6.6</v>
      </c>
      <c r="H912" t="n">
        <v>0</v>
      </c>
      <c r="I912" t="n">
        <v>0</v>
      </c>
      <c r="J912" t="n">
        <v>0</v>
      </c>
      <c r="K912" t="n">
        <v>0</v>
      </c>
      <c r="L912" t="n">
        <v>0</v>
      </c>
      <c r="M912" t="n">
        <v>0</v>
      </c>
      <c r="N912" t="n">
        <v>0</v>
      </c>
      <c r="O912" t="n">
        <v>0</v>
      </c>
      <c r="P912" t="n">
        <v>0</v>
      </c>
      <c r="Q912" t="n">
        <v>0</v>
      </c>
      <c r="R912" s="2" t="inlineStr"/>
    </row>
    <row r="913" ht="15" customHeight="1">
      <c r="A913" t="inlineStr">
        <is>
          <t>A 8055-2026</t>
        </is>
      </c>
      <c r="B913" s="1" t="n">
        <v>46063.62002314815</v>
      </c>
      <c r="C913" s="1" t="n">
        <v>46083</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8091-2026</t>
        </is>
      </c>
      <c r="B914" s="1" t="n">
        <v>46063.70944444444</v>
      </c>
      <c r="C914" s="1" t="n">
        <v>46083</v>
      </c>
      <c r="D914" t="inlineStr">
        <is>
          <t>STOCKHOLMS LÄN</t>
        </is>
      </c>
      <c r="E914" t="inlineStr">
        <is>
          <t>NORRTÄLJE</t>
        </is>
      </c>
      <c r="G914" t="n">
        <v>4.7</v>
      </c>
      <c r="H914" t="n">
        <v>0</v>
      </c>
      <c r="I914" t="n">
        <v>0</v>
      </c>
      <c r="J914" t="n">
        <v>0</v>
      </c>
      <c r="K914" t="n">
        <v>0</v>
      </c>
      <c r="L914" t="n">
        <v>0</v>
      </c>
      <c r="M914" t="n">
        <v>0</v>
      </c>
      <c r="N914" t="n">
        <v>0</v>
      </c>
      <c r="O914" t="n">
        <v>0</v>
      </c>
      <c r="P914" t="n">
        <v>0</v>
      </c>
      <c r="Q914" t="n">
        <v>0</v>
      </c>
      <c r="R914" s="2" t="inlineStr"/>
    </row>
    <row r="915" ht="15" customHeight="1">
      <c r="A915" t="inlineStr">
        <is>
          <t>A 8096-2026</t>
        </is>
      </c>
      <c r="B915" s="1" t="n">
        <v>46063.714375</v>
      </c>
      <c r="C915" s="1" t="n">
        <v>46083</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59468-2023</t>
        </is>
      </c>
      <c r="B916" s="1" t="n">
        <v>45254.41509259259</v>
      </c>
      <c r="C916" s="1" t="n">
        <v>46083</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18846-2022</t>
        </is>
      </c>
      <c r="B917" s="1" t="n">
        <v>44690</v>
      </c>
      <c r="C917" s="1" t="n">
        <v>46083</v>
      </c>
      <c r="D917" t="inlineStr">
        <is>
          <t>STOCKHOLMS LÄN</t>
        </is>
      </c>
      <c r="E917" t="inlineStr">
        <is>
          <t>NORRTÄLJE</t>
        </is>
      </c>
      <c r="G917" t="n">
        <v>7</v>
      </c>
      <c r="H917" t="n">
        <v>0</v>
      </c>
      <c r="I917" t="n">
        <v>0</v>
      </c>
      <c r="J917" t="n">
        <v>0</v>
      </c>
      <c r="K917" t="n">
        <v>0</v>
      </c>
      <c r="L917" t="n">
        <v>0</v>
      </c>
      <c r="M917" t="n">
        <v>0</v>
      </c>
      <c r="N917" t="n">
        <v>0</v>
      </c>
      <c r="O917" t="n">
        <v>0</v>
      </c>
      <c r="P917" t="n">
        <v>0</v>
      </c>
      <c r="Q917" t="n">
        <v>0</v>
      </c>
      <c r="R917" s="2" t="inlineStr"/>
    </row>
    <row r="918" ht="15" customHeight="1">
      <c r="A918" t="inlineStr">
        <is>
          <t>A 8489-2026</t>
        </is>
      </c>
      <c r="B918" s="1" t="n">
        <v>46065.48268518518</v>
      </c>
      <c r="C918" s="1" t="n">
        <v>46083</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12535-2025</t>
        </is>
      </c>
      <c r="B919" s="1" t="n">
        <v>45730.69502314815</v>
      </c>
      <c r="C919" s="1" t="n">
        <v>46083</v>
      </c>
      <c r="D919" t="inlineStr">
        <is>
          <t>STOCKHOLMS LÄN</t>
        </is>
      </c>
      <c r="E919" t="inlineStr">
        <is>
          <t>NORRTÄLJE</t>
        </is>
      </c>
      <c r="G919" t="n">
        <v>7.1</v>
      </c>
      <c r="H919" t="n">
        <v>0</v>
      </c>
      <c r="I919" t="n">
        <v>0</v>
      </c>
      <c r="J919" t="n">
        <v>0</v>
      </c>
      <c r="K919" t="n">
        <v>0</v>
      </c>
      <c r="L919" t="n">
        <v>0</v>
      </c>
      <c r="M919" t="n">
        <v>0</v>
      </c>
      <c r="N919" t="n">
        <v>0</v>
      </c>
      <c r="O919" t="n">
        <v>0</v>
      </c>
      <c r="P919" t="n">
        <v>0</v>
      </c>
      <c r="Q919" t="n">
        <v>0</v>
      </c>
      <c r="R919" s="2" t="inlineStr"/>
    </row>
    <row r="920" ht="15" customHeight="1">
      <c r="A920" t="inlineStr">
        <is>
          <t>A 574-2023</t>
        </is>
      </c>
      <c r="B920" s="1" t="n">
        <v>44925</v>
      </c>
      <c r="C920" s="1" t="n">
        <v>46083</v>
      </c>
      <c r="D920" t="inlineStr">
        <is>
          <t>STOCKHOLMS LÄN</t>
        </is>
      </c>
      <c r="E920" t="inlineStr">
        <is>
          <t>NORRTÄLJE</t>
        </is>
      </c>
      <c r="G920" t="n">
        <v>5</v>
      </c>
      <c r="H920" t="n">
        <v>0</v>
      </c>
      <c r="I920" t="n">
        <v>0</v>
      </c>
      <c r="J920" t="n">
        <v>0</v>
      </c>
      <c r="K920" t="n">
        <v>0</v>
      </c>
      <c r="L920" t="n">
        <v>0</v>
      </c>
      <c r="M920" t="n">
        <v>0</v>
      </c>
      <c r="N920" t="n">
        <v>0</v>
      </c>
      <c r="O920" t="n">
        <v>0</v>
      </c>
      <c r="P920" t="n">
        <v>0</v>
      </c>
      <c r="Q920" t="n">
        <v>0</v>
      </c>
      <c r="R920" s="2" t="inlineStr"/>
    </row>
    <row r="921" ht="15" customHeight="1">
      <c r="A921" t="inlineStr">
        <is>
          <t>A 8454-2026</t>
        </is>
      </c>
      <c r="B921" s="1" t="n">
        <v>46065.42506944444</v>
      </c>
      <c r="C921" s="1" t="n">
        <v>46083</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124-2026</t>
        </is>
      </c>
      <c r="B922" s="1" t="n">
        <v>46024.58378472222</v>
      </c>
      <c r="C922" s="1" t="n">
        <v>46083</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8410-2026</t>
        </is>
      </c>
      <c r="B923" s="1" t="n">
        <v>46065.34261574074</v>
      </c>
      <c r="C923" s="1" t="n">
        <v>46083</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8465-2026</t>
        </is>
      </c>
      <c r="B924" s="1" t="n">
        <v>46065.44141203703</v>
      </c>
      <c r="C924" s="1" t="n">
        <v>46083</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37010-2022</t>
        </is>
      </c>
      <c r="B925" s="1" t="n">
        <v>44806.41576388889</v>
      </c>
      <c r="C925" s="1" t="n">
        <v>46083</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32705-2022</t>
        </is>
      </c>
      <c r="B926" s="1" t="n">
        <v>44783</v>
      </c>
      <c r="C926" s="1" t="n">
        <v>46083</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46083</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14559-2024</t>
        </is>
      </c>
      <c r="B928" s="1" t="n">
        <v>45394.72869212963</v>
      </c>
      <c r="C928" s="1" t="n">
        <v>46083</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197-2026</t>
        </is>
      </c>
      <c r="B929" s="1" t="n">
        <v>46026</v>
      </c>
      <c r="C929" s="1" t="n">
        <v>46083</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11-2024</t>
        </is>
      </c>
      <c r="B930" s="1" t="n">
        <v>45293</v>
      </c>
      <c r="C930" s="1" t="n">
        <v>46083</v>
      </c>
      <c r="D930" t="inlineStr">
        <is>
          <t>STOCKHOLMS LÄN</t>
        </is>
      </c>
      <c r="E930" t="inlineStr">
        <is>
          <t>NORRTÄLJE</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15256-2023</t>
        </is>
      </c>
      <c r="B931" s="1" t="n">
        <v>45019.3959837963</v>
      </c>
      <c r="C931" s="1" t="n">
        <v>46083</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8985-2026</t>
        </is>
      </c>
      <c r="B932" s="1" t="n">
        <v>46069.45234953704</v>
      </c>
      <c r="C932" s="1" t="n">
        <v>46083</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8962-2026</t>
        </is>
      </c>
      <c r="B933" s="1" t="n">
        <v>46069.41644675926</v>
      </c>
      <c r="C933" s="1" t="n">
        <v>46083</v>
      </c>
      <c r="D933" t="inlineStr">
        <is>
          <t>STOCKHOLMS LÄN</t>
        </is>
      </c>
      <c r="E933" t="inlineStr">
        <is>
          <t>NORRTÄLJE</t>
        </is>
      </c>
      <c r="F933" t="inlineStr">
        <is>
          <t>Holmen skog AB</t>
        </is>
      </c>
      <c r="G933" t="n">
        <v>4.1</v>
      </c>
      <c r="H933" t="n">
        <v>0</v>
      </c>
      <c r="I933" t="n">
        <v>0</v>
      </c>
      <c r="J933" t="n">
        <v>0</v>
      </c>
      <c r="K933" t="n">
        <v>0</v>
      </c>
      <c r="L933" t="n">
        <v>0</v>
      </c>
      <c r="M933" t="n">
        <v>0</v>
      </c>
      <c r="N933" t="n">
        <v>0</v>
      </c>
      <c r="O933" t="n">
        <v>0</v>
      </c>
      <c r="P933" t="n">
        <v>0</v>
      </c>
      <c r="Q933" t="n">
        <v>0</v>
      </c>
      <c r="R933" s="2" t="inlineStr"/>
    </row>
    <row r="934" ht="15" customHeight="1">
      <c r="A934" t="inlineStr">
        <is>
          <t>A 8989-2026</t>
        </is>
      </c>
      <c r="B934" s="1" t="n">
        <v>46069.45789351852</v>
      </c>
      <c r="C934" s="1" t="n">
        <v>46083</v>
      </c>
      <c r="D934" t="inlineStr">
        <is>
          <t>STOCKHOLMS LÄN</t>
        </is>
      </c>
      <c r="E934" t="inlineStr">
        <is>
          <t>NORRTÄLJE</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9103-2026</t>
        </is>
      </c>
      <c r="B935" s="1" t="n">
        <v>46069.65039351852</v>
      </c>
      <c r="C935" s="1" t="n">
        <v>46083</v>
      </c>
      <c r="D935" t="inlineStr">
        <is>
          <t>STOCKHOLMS LÄN</t>
        </is>
      </c>
      <c r="E935" t="inlineStr">
        <is>
          <t>NORRTÄLJE</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46083</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694-2026</t>
        </is>
      </c>
      <c r="B937" s="1" t="n">
        <v>46029.61375</v>
      </c>
      <c r="C937" s="1" t="n">
        <v>46083</v>
      </c>
      <c r="D937" t="inlineStr">
        <is>
          <t>STOCKHOLMS LÄN</t>
        </is>
      </c>
      <c r="E937" t="inlineStr">
        <is>
          <t>NORRTÄLJE</t>
        </is>
      </c>
      <c r="G937" t="n">
        <v>9.6</v>
      </c>
      <c r="H937" t="n">
        <v>0</v>
      </c>
      <c r="I937" t="n">
        <v>0</v>
      </c>
      <c r="J937" t="n">
        <v>0</v>
      </c>
      <c r="K937" t="n">
        <v>0</v>
      </c>
      <c r="L937" t="n">
        <v>0</v>
      </c>
      <c r="M937" t="n">
        <v>0</v>
      </c>
      <c r="N937" t="n">
        <v>0</v>
      </c>
      <c r="O937" t="n">
        <v>0</v>
      </c>
      <c r="P937" t="n">
        <v>0</v>
      </c>
      <c r="Q937" t="n">
        <v>0</v>
      </c>
      <c r="R937" s="2" t="inlineStr"/>
    </row>
    <row r="938" ht="15" customHeight="1">
      <c r="A938" t="inlineStr">
        <is>
          <t>A 7413-2024</t>
        </is>
      </c>
      <c r="B938" s="1" t="n">
        <v>45345.6059837963</v>
      </c>
      <c r="C938" s="1" t="n">
        <v>46083</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58040-2024</t>
        </is>
      </c>
      <c r="B939" s="1" t="n">
        <v>45631.73952546297</v>
      </c>
      <c r="C939" s="1" t="n">
        <v>46083</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58041-2024</t>
        </is>
      </c>
      <c r="B940" s="1" t="n">
        <v>45631.74673611111</v>
      </c>
      <c r="C940" s="1" t="n">
        <v>46083</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31057-2022</t>
        </is>
      </c>
      <c r="B941" s="1" t="n">
        <v>44769</v>
      </c>
      <c r="C941" s="1" t="n">
        <v>46083</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693-2026</t>
        </is>
      </c>
      <c r="B942" s="1" t="n">
        <v>46029.6133449074</v>
      </c>
      <c r="C942" s="1" t="n">
        <v>46083</v>
      </c>
      <c r="D942" t="inlineStr">
        <is>
          <t>STOCKHOLMS LÄN</t>
        </is>
      </c>
      <c r="E942" t="inlineStr">
        <is>
          <t>NORRTÄLJE</t>
        </is>
      </c>
      <c r="G942" t="n">
        <v>9.6</v>
      </c>
      <c r="H942" t="n">
        <v>0</v>
      </c>
      <c r="I942" t="n">
        <v>0</v>
      </c>
      <c r="J942" t="n">
        <v>0</v>
      </c>
      <c r="K942" t="n">
        <v>0</v>
      </c>
      <c r="L942" t="n">
        <v>0</v>
      </c>
      <c r="M942" t="n">
        <v>0</v>
      </c>
      <c r="N942" t="n">
        <v>0</v>
      </c>
      <c r="O942" t="n">
        <v>0</v>
      </c>
      <c r="P942" t="n">
        <v>0</v>
      </c>
      <c r="Q942" t="n">
        <v>0</v>
      </c>
      <c r="R942" s="2" t="inlineStr"/>
    </row>
    <row r="943" ht="15" customHeight="1">
      <c r="A943" t="inlineStr">
        <is>
          <t>A 812-2026</t>
        </is>
      </c>
      <c r="B943" s="1" t="n">
        <v>46030.33358796296</v>
      </c>
      <c r="C943" s="1" t="n">
        <v>46083</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717-2026</t>
        </is>
      </c>
      <c r="B944" s="1" t="n">
        <v>46029.63028935185</v>
      </c>
      <c r="C944" s="1" t="n">
        <v>46083</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46083</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46083</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15422-2024</t>
        </is>
      </c>
      <c r="B947" s="1" t="n">
        <v>45401.3653125</v>
      </c>
      <c r="C947" s="1" t="n">
        <v>46083</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9720-2026</t>
        </is>
      </c>
      <c r="B948" s="1" t="n">
        <v>46072.45061342593</v>
      </c>
      <c r="C948" s="1" t="n">
        <v>46083</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48716-2023</t>
        </is>
      </c>
      <c r="B949" s="1" t="n">
        <v>45208.69671296296</v>
      </c>
      <c r="C949" s="1" t="n">
        <v>46083</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55369-2023</t>
        </is>
      </c>
      <c r="B950" s="1" t="n">
        <v>45238</v>
      </c>
      <c r="C950" s="1" t="n">
        <v>46083</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20121-2022</t>
        </is>
      </c>
      <c r="B951" s="1" t="n">
        <v>44698</v>
      </c>
      <c r="C951" s="1" t="n">
        <v>46083</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26407-2024</t>
        </is>
      </c>
      <c r="B952" s="1" t="n">
        <v>45469</v>
      </c>
      <c r="C952" s="1" t="n">
        <v>46083</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10098-2022</t>
        </is>
      </c>
      <c r="B953" s="1" t="n">
        <v>44621</v>
      </c>
      <c r="C953" s="1" t="n">
        <v>46083</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49700-2023</t>
        </is>
      </c>
      <c r="B954" s="1" t="n">
        <v>45212</v>
      </c>
      <c r="C954" s="1" t="n">
        <v>46083</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59875-2024</t>
        </is>
      </c>
      <c r="B955" s="1" t="n">
        <v>45640.58716435185</v>
      </c>
      <c r="C955" s="1" t="n">
        <v>46083</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39610-2025</t>
        </is>
      </c>
      <c r="B956" s="1" t="n">
        <v>45890</v>
      </c>
      <c r="C956" s="1" t="n">
        <v>46083</v>
      </c>
      <c r="D956" t="inlineStr">
        <is>
          <t>STOCKHOLMS LÄN</t>
        </is>
      </c>
      <c r="E956" t="inlineStr">
        <is>
          <t>NORRTÄLJE</t>
        </is>
      </c>
      <c r="G956" t="n">
        <v>28.6</v>
      </c>
      <c r="H956" t="n">
        <v>0</v>
      </c>
      <c r="I956" t="n">
        <v>0</v>
      </c>
      <c r="J956" t="n">
        <v>0</v>
      </c>
      <c r="K956" t="n">
        <v>0</v>
      </c>
      <c r="L956" t="n">
        <v>0</v>
      </c>
      <c r="M956" t="n">
        <v>0</v>
      </c>
      <c r="N956" t="n">
        <v>0</v>
      </c>
      <c r="O956" t="n">
        <v>0</v>
      </c>
      <c r="P956" t="n">
        <v>0</v>
      </c>
      <c r="Q956" t="n">
        <v>0</v>
      </c>
      <c r="R956" s="2" t="inlineStr"/>
    </row>
    <row r="957" ht="15" customHeight="1">
      <c r="A957" t="inlineStr">
        <is>
          <t>A 45220-2024</t>
        </is>
      </c>
      <c r="B957" s="1" t="n">
        <v>45575</v>
      </c>
      <c r="C957" s="1" t="n">
        <v>46083</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1789-2026</t>
        </is>
      </c>
      <c r="B958" s="1" t="n">
        <v>46034</v>
      </c>
      <c r="C958" s="1" t="n">
        <v>46083</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4658-2024</t>
        </is>
      </c>
      <c r="B959" s="1" t="n">
        <v>45328.46336805556</v>
      </c>
      <c r="C959" s="1" t="n">
        <v>46083</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48145-2024</t>
        </is>
      </c>
      <c r="B960" s="1" t="n">
        <v>45589.6756712963</v>
      </c>
      <c r="C960" s="1" t="n">
        <v>46083</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46083</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24024-2024</t>
        </is>
      </c>
      <c r="B962" s="1" t="n">
        <v>45456</v>
      </c>
      <c r="C962" s="1" t="n">
        <v>46083</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1755-2026</t>
        </is>
      </c>
      <c r="B963" s="1" t="n">
        <v>46034.66230324074</v>
      </c>
      <c r="C963" s="1" t="n">
        <v>46083</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10429-2026</t>
        </is>
      </c>
      <c r="B964" s="1" t="n">
        <v>46077.3822337963</v>
      </c>
      <c r="C964" s="1" t="n">
        <v>46083</v>
      </c>
      <c r="D964" t="inlineStr">
        <is>
          <t>STOCKHOLMS LÄN</t>
        </is>
      </c>
      <c r="E964" t="inlineStr">
        <is>
          <t>NORRTÄLJE</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35532-2024</t>
        </is>
      </c>
      <c r="B965" s="1" t="n">
        <v>45531</v>
      </c>
      <c r="C965" s="1" t="n">
        <v>46083</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21291-2021</t>
        </is>
      </c>
      <c r="B966" s="1" t="n">
        <v>44319</v>
      </c>
      <c r="C966" s="1" t="n">
        <v>46083</v>
      </c>
      <c r="D966" t="inlineStr">
        <is>
          <t>STOCKHOLMS LÄN</t>
        </is>
      </c>
      <c r="E966" t="inlineStr">
        <is>
          <t>NORRTÄLJE</t>
        </is>
      </c>
      <c r="G966" t="n">
        <v>12.7</v>
      </c>
      <c r="H966" t="n">
        <v>0</v>
      </c>
      <c r="I966" t="n">
        <v>0</v>
      </c>
      <c r="J966" t="n">
        <v>0</v>
      </c>
      <c r="K966" t="n">
        <v>0</v>
      </c>
      <c r="L966" t="n">
        <v>0</v>
      </c>
      <c r="M966" t="n">
        <v>0</v>
      </c>
      <c r="N966" t="n">
        <v>0</v>
      </c>
      <c r="O966" t="n">
        <v>0</v>
      </c>
      <c r="P966" t="n">
        <v>0</v>
      </c>
      <c r="Q966" t="n">
        <v>0</v>
      </c>
      <c r="R966" s="2" t="inlineStr"/>
    </row>
    <row r="967" ht="15" customHeight="1">
      <c r="A967" t="inlineStr">
        <is>
          <t>A 19118-2022</t>
        </is>
      </c>
      <c r="B967" s="1" t="n">
        <v>44691.5652662037</v>
      </c>
      <c r="C967" s="1" t="n">
        <v>46083</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22421-2021</t>
        </is>
      </c>
      <c r="B968" s="1" t="n">
        <v>44326</v>
      </c>
      <c r="C968" s="1" t="n">
        <v>46083</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59893-2022</t>
        </is>
      </c>
      <c r="B969" s="1" t="n">
        <v>44908.77368055555</v>
      </c>
      <c r="C969" s="1" t="n">
        <v>46083</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10444-2026</t>
        </is>
      </c>
      <c r="B970" s="1" t="n">
        <v>46077.42230324074</v>
      </c>
      <c r="C970" s="1" t="n">
        <v>46083</v>
      </c>
      <c r="D970" t="inlineStr">
        <is>
          <t>STOCKHOLMS LÄN</t>
        </is>
      </c>
      <c r="E970" t="inlineStr">
        <is>
          <t>NORRTÄLJE</t>
        </is>
      </c>
      <c r="F970" t="inlineStr">
        <is>
          <t>Holmen skog AB</t>
        </is>
      </c>
      <c r="G970" t="n">
        <v>4.9</v>
      </c>
      <c r="H970" t="n">
        <v>0</v>
      </c>
      <c r="I970" t="n">
        <v>0</v>
      </c>
      <c r="J970" t="n">
        <v>0</v>
      </c>
      <c r="K970" t="n">
        <v>0</v>
      </c>
      <c r="L970" t="n">
        <v>0</v>
      </c>
      <c r="M970" t="n">
        <v>0</v>
      </c>
      <c r="N970" t="n">
        <v>0</v>
      </c>
      <c r="O970" t="n">
        <v>0</v>
      </c>
      <c r="P970" t="n">
        <v>0</v>
      </c>
      <c r="Q970" t="n">
        <v>0</v>
      </c>
      <c r="R970" s="2" t="inlineStr"/>
    </row>
    <row r="971" ht="15" customHeight="1">
      <c r="A971" t="inlineStr">
        <is>
          <t>A 2088-2026</t>
        </is>
      </c>
      <c r="B971" s="1" t="n">
        <v>46036.35909722222</v>
      </c>
      <c r="C971" s="1" t="n">
        <v>46083</v>
      </c>
      <c r="D971" t="inlineStr">
        <is>
          <t>STOCKHOLMS LÄN</t>
        </is>
      </c>
      <c r="E971" t="inlineStr">
        <is>
          <t>NORRTÄLJE</t>
        </is>
      </c>
      <c r="G971" t="n">
        <v>7</v>
      </c>
      <c r="H971" t="n">
        <v>0</v>
      </c>
      <c r="I971" t="n">
        <v>0</v>
      </c>
      <c r="J971" t="n">
        <v>0</v>
      </c>
      <c r="K971" t="n">
        <v>0</v>
      </c>
      <c r="L971" t="n">
        <v>0</v>
      </c>
      <c r="M971" t="n">
        <v>0</v>
      </c>
      <c r="N971" t="n">
        <v>0</v>
      </c>
      <c r="O971" t="n">
        <v>0</v>
      </c>
      <c r="P971" t="n">
        <v>0</v>
      </c>
      <c r="Q971" t="n">
        <v>0</v>
      </c>
      <c r="R971" s="2" t="inlineStr"/>
    </row>
    <row r="972" ht="15" customHeight="1">
      <c r="A972" t="inlineStr">
        <is>
          <t>A 2116-2026</t>
        </is>
      </c>
      <c r="B972" s="1" t="n">
        <v>46036.38108796296</v>
      </c>
      <c r="C972" s="1" t="n">
        <v>46083</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10399-2026</t>
        </is>
      </c>
      <c r="B973" s="1" t="n">
        <v>46077</v>
      </c>
      <c r="C973" s="1" t="n">
        <v>46083</v>
      </c>
      <c r="D973" t="inlineStr">
        <is>
          <t>STOCKHOLMS LÄN</t>
        </is>
      </c>
      <c r="E973" t="inlineStr">
        <is>
          <t>NORRTÄLJE</t>
        </is>
      </c>
      <c r="F973" t="inlineStr">
        <is>
          <t>Övriga Aktiebolag</t>
        </is>
      </c>
      <c r="G973" t="n">
        <v>0.2</v>
      </c>
      <c r="H973" t="n">
        <v>0</v>
      </c>
      <c r="I973" t="n">
        <v>0</v>
      </c>
      <c r="J973" t="n">
        <v>0</v>
      </c>
      <c r="K973" t="n">
        <v>0</v>
      </c>
      <c r="L973" t="n">
        <v>0</v>
      </c>
      <c r="M973" t="n">
        <v>0</v>
      </c>
      <c r="N973" t="n">
        <v>0</v>
      </c>
      <c r="O973" t="n">
        <v>0</v>
      </c>
      <c r="P973" t="n">
        <v>0</v>
      </c>
      <c r="Q973" t="n">
        <v>0</v>
      </c>
      <c r="R973" s="2" t="inlineStr"/>
    </row>
    <row r="974" ht="15" customHeight="1">
      <c r="A974" t="inlineStr">
        <is>
          <t>A 33226-2024</t>
        </is>
      </c>
      <c r="B974" s="1" t="n">
        <v>45518</v>
      </c>
      <c r="C974" s="1" t="n">
        <v>46083</v>
      </c>
      <c r="D974" t="inlineStr">
        <is>
          <t>STOCKHOLMS LÄN</t>
        </is>
      </c>
      <c r="E974" t="inlineStr">
        <is>
          <t>NORRTÄLJE</t>
        </is>
      </c>
      <c r="G974" t="n">
        <v>13.8</v>
      </c>
      <c r="H974" t="n">
        <v>0</v>
      </c>
      <c r="I974" t="n">
        <v>0</v>
      </c>
      <c r="J974" t="n">
        <v>0</v>
      </c>
      <c r="K974" t="n">
        <v>0</v>
      </c>
      <c r="L974" t="n">
        <v>0</v>
      </c>
      <c r="M974" t="n">
        <v>0</v>
      </c>
      <c r="N974" t="n">
        <v>0</v>
      </c>
      <c r="O974" t="n">
        <v>0</v>
      </c>
      <c r="P974" t="n">
        <v>0</v>
      </c>
      <c r="Q974" t="n">
        <v>0</v>
      </c>
      <c r="R974" s="2" t="inlineStr"/>
    </row>
    <row r="975" ht="15" customHeight="1">
      <c r="A975" t="inlineStr">
        <is>
          <t>A 16980-2023</t>
        </is>
      </c>
      <c r="B975" s="1" t="n">
        <v>45033</v>
      </c>
      <c r="C975" s="1" t="n">
        <v>46083</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31107-2022</t>
        </is>
      </c>
      <c r="B976" s="1" t="n">
        <v>44769.66864583334</v>
      </c>
      <c r="C976" s="1" t="n">
        <v>46083</v>
      </c>
      <c r="D976" t="inlineStr">
        <is>
          <t>STOCKHOLMS LÄN</t>
        </is>
      </c>
      <c r="E976" t="inlineStr">
        <is>
          <t>NORRTÄLJE</t>
        </is>
      </c>
      <c r="G976" t="n">
        <v>3.8</v>
      </c>
      <c r="H976" t="n">
        <v>0</v>
      </c>
      <c r="I976" t="n">
        <v>0</v>
      </c>
      <c r="J976" t="n">
        <v>0</v>
      </c>
      <c r="K976" t="n">
        <v>0</v>
      </c>
      <c r="L976" t="n">
        <v>0</v>
      </c>
      <c r="M976" t="n">
        <v>0</v>
      </c>
      <c r="N976" t="n">
        <v>0</v>
      </c>
      <c r="O976" t="n">
        <v>0</v>
      </c>
      <c r="P976" t="n">
        <v>0</v>
      </c>
      <c r="Q976" t="n">
        <v>0</v>
      </c>
      <c r="R976" s="2" t="inlineStr"/>
    </row>
    <row r="977" ht="15" customHeight="1">
      <c r="A977" t="inlineStr">
        <is>
          <t>A 10646-2026</t>
        </is>
      </c>
      <c r="B977" s="1" t="n">
        <v>46078.34157407407</v>
      </c>
      <c r="C977" s="1" t="n">
        <v>46083</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18539-2021</t>
        </is>
      </c>
      <c r="B978" s="1" t="n">
        <v>44306</v>
      </c>
      <c r="C978" s="1" t="n">
        <v>46083</v>
      </c>
      <c r="D978" t="inlineStr">
        <is>
          <t>STOCKHOLMS LÄN</t>
        </is>
      </c>
      <c r="E978" t="inlineStr">
        <is>
          <t>NORRTÄLJE</t>
        </is>
      </c>
      <c r="F978" t="inlineStr">
        <is>
          <t>Holmen skog AB</t>
        </is>
      </c>
      <c r="G978" t="n">
        <v>5.5</v>
      </c>
      <c r="H978" t="n">
        <v>0</v>
      </c>
      <c r="I978" t="n">
        <v>0</v>
      </c>
      <c r="J978" t="n">
        <v>0</v>
      </c>
      <c r="K978" t="n">
        <v>0</v>
      </c>
      <c r="L978" t="n">
        <v>0</v>
      </c>
      <c r="M978" t="n">
        <v>0</v>
      </c>
      <c r="N978" t="n">
        <v>0</v>
      </c>
      <c r="O978" t="n">
        <v>0</v>
      </c>
      <c r="P978" t="n">
        <v>0</v>
      </c>
      <c r="Q978" t="n">
        <v>0</v>
      </c>
      <c r="R978" s="2" t="inlineStr"/>
    </row>
    <row r="979" ht="15" customHeight="1">
      <c r="A979" t="inlineStr">
        <is>
          <t>A 43170-2023</t>
        </is>
      </c>
      <c r="B979" s="1" t="n">
        <v>45183</v>
      </c>
      <c r="C979" s="1" t="n">
        <v>46083</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10553-2026</t>
        </is>
      </c>
      <c r="B980" s="1" t="n">
        <v>46077.62944444444</v>
      </c>
      <c r="C980" s="1" t="n">
        <v>46083</v>
      </c>
      <c r="D980" t="inlineStr">
        <is>
          <t>STOCKHOLMS LÄN</t>
        </is>
      </c>
      <c r="E980" t="inlineStr">
        <is>
          <t>NORRTÄLJE</t>
        </is>
      </c>
      <c r="G980" t="n">
        <v>4.9</v>
      </c>
      <c r="H980" t="n">
        <v>0</v>
      </c>
      <c r="I980" t="n">
        <v>0</v>
      </c>
      <c r="J980" t="n">
        <v>0</v>
      </c>
      <c r="K980" t="n">
        <v>0</v>
      </c>
      <c r="L980" t="n">
        <v>0</v>
      </c>
      <c r="M980" t="n">
        <v>0</v>
      </c>
      <c r="N980" t="n">
        <v>0</v>
      </c>
      <c r="O980" t="n">
        <v>0</v>
      </c>
      <c r="P980" t="n">
        <v>0</v>
      </c>
      <c r="Q980" t="n">
        <v>0</v>
      </c>
      <c r="R980" s="2" t="inlineStr"/>
    </row>
    <row r="981" ht="15" customHeight="1">
      <c r="A981" t="inlineStr">
        <is>
          <t>A 10586-2026</t>
        </is>
      </c>
      <c r="B981" s="1" t="n">
        <v>46077.68192129629</v>
      </c>
      <c r="C981" s="1" t="n">
        <v>46083</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46083</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32101-2022</t>
        </is>
      </c>
      <c r="B983" s="1" t="n">
        <v>44778.69210648148</v>
      </c>
      <c r="C983" s="1" t="n">
        <v>46083</v>
      </c>
      <c r="D983" t="inlineStr">
        <is>
          <t>STOCKHOLMS LÄN</t>
        </is>
      </c>
      <c r="E983" t="inlineStr">
        <is>
          <t>NORRTÄLJE</t>
        </is>
      </c>
      <c r="G983" t="n">
        <v>4.4</v>
      </c>
      <c r="H983" t="n">
        <v>0</v>
      </c>
      <c r="I983" t="n">
        <v>0</v>
      </c>
      <c r="J983" t="n">
        <v>0</v>
      </c>
      <c r="K983" t="n">
        <v>0</v>
      </c>
      <c r="L983" t="n">
        <v>0</v>
      </c>
      <c r="M983" t="n">
        <v>0</v>
      </c>
      <c r="N983" t="n">
        <v>0</v>
      </c>
      <c r="O983" t="n">
        <v>0</v>
      </c>
      <c r="P983" t="n">
        <v>0</v>
      </c>
      <c r="Q983" t="n">
        <v>0</v>
      </c>
      <c r="R983" s="2" t="inlineStr"/>
    </row>
    <row r="984" ht="15" customHeight="1">
      <c r="A984" t="inlineStr">
        <is>
          <t>A 28365-2022</t>
        </is>
      </c>
      <c r="B984" s="1" t="n">
        <v>44747</v>
      </c>
      <c r="C984" s="1" t="n">
        <v>46083</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42867-2022</t>
        </is>
      </c>
      <c r="B985" s="1" t="n">
        <v>44832</v>
      </c>
      <c r="C985" s="1" t="n">
        <v>46083</v>
      </c>
      <c r="D985" t="inlineStr">
        <is>
          <t>STOCKHOLMS LÄN</t>
        </is>
      </c>
      <c r="E985" t="inlineStr">
        <is>
          <t>NORRTÄLJE</t>
        </is>
      </c>
      <c r="G985" t="n">
        <v>6.4</v>
      </c>
      <c r="H985" t="n">
        <v>0</v>
      </c>
      <c r="I985" t="n">
        <v>0</v>
      </c>
      <c r="J985" t="n">
        <v>0</v>
      </c>
      <c r="K985" t="n">
        <v>0</v>
      </c>
      <c r="L985" t="n">
        <v>0</v>
      </c>
      <c r="M985" t="n">
        <v>0</v>
      </c>
      <c r="N985" t="n">
        <v>0</v>
      </c>
      <c r="O985" t="n">
        <v>0</v>
      </c>
      <c r="P985" t="n">
        <v>0</v>
      </c>
      <c r="Q985" t="n">
        <v>0</v>
      </c>
      <c r="R985" s="2" t="inlineStr"/>
    </row>
    <row r="986" ht="15" customHeight="1">
      <c r="A986" t="inlineStr">
        <is>
          <t>A 5645-2023</t>
        </is>
      </c>
      <c r="B986" s="1" t="n">
        <v>44960.60469907407</v>
      </c>
      <c r="C986" s="1" t="n">
        <v>46083</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17775-2022</t>
        </is>
      </c>
      <c r="B987" s="1" t="n">
        <v>44682.78430555556</v>
      </c>
      <c r="C987" s="1" t="n">
        <v>46083</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47481-2024</t>
        </is>
      </c>
      <c r="B988" s="1" t="n">
        <v>45587</v>
      </c>
      <c r="C988" s="1" t="n">
        <v>46083</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7532-2026</t>
        </is>
      </c>
      <c r="B989" s="1" t="n">
        <v>46059</v>
      </c>
      <c r="C989" s="1" t="n">
        <v>46083</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24933-2023</t>
        </is>
      </c>
      <c r="B990" s="1" t="n">
        <v>45085.5309375</v>
      </c>
      <c r="C990" s="1" t="n">
        <v>46083</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6828-2026</t>
        </is>
      </c>
      <c r="B991" s="1" t="n">
        <v>46057</v>
      </c>
      <c r="C991" s="1" t="n">
        <v>46083</v>
      </c>
      <c r="D991" t="inlineStr">
        <is>
          <t>STOCKHOLMS LÄN</t>
        </is>
      </c>
      <c r="E991" t="inlineStr">
        <is>
          <t>NORRTÄLJE</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11062-2024</t>
        </is>
      </c>
      <c r="B992" s="1" t="n">
        <v>45370</v>
      </c>
      <c r="C992" s="1" t="n">
        <v>46083</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6701-2026</t>
        </is>
      </c>
      <c r="B993" s="1" t="n">
        <v>46056</v>
      </c>
      <c r="C993" s="1" t="n">
        <v>46083</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576-2023</t>
        </is>
      </c>
      <c r="B994" s="1" t="n">
        <v>44925</v>
      </c>
      <c r="C994" s="1" t="n">
        <v>46083</v>
      </c>
      <c r="D994" t="inlineStr">
        <is>
          <t>STOCKHOLMS LÄN</t>
        </is>
      </c>
      <c r="E994" t="inlineStr">
        <is>
          <t>NORRTÄLJE</t>
        </is>
      </c>
      <c r="G994" t="n">
        <v>7.2</v>
      </c>
      <c r="H994" t="n">
        <v>0</v>
      </c>
      <c r="I994" t="n">
        <v>0</v>
      </c>
      <c r="J994" t="n">
        <v>0</v>
      </c>
      <c r="K994" t="n">
        <v>0</v>
      </c>
      <c r="L994" t="n">
        <v>0</v>
      </c>
      <c r="M994" t="n">
        <v>0</v>
      </c>
      <c r="N994" t="n">
        <v>0</v>
      </c>
      <c r="O994" t="n">
        <v>0</v>
      </c>
      <c r="P994" t="n">
        <v>0</v>
      </c>
      <c r="Q994" t="n">
        <v>0</v>
      </c>
      <c r="R994" s="2" t="inlineStr"/>
    </row>
    <row r="995" ht="15" customHeight="1">
      <c r="A995" t="inlineStr">
        <is>
          <t>A 7582-2026</t>
        </is>
      </c>
      <c r="B995" s="1" t="n">
        <v>46061</v>
      </c>
      <c r="C995" s="1" t="n">
        <v>46083</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12908-2025</t>
        </is>
      </c>
      <c r="B996" s="1" t="n">
        <v>45733.82105324074</v>
      </c>
      <c r="C996" s="1" t="n">
        <v>46083</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68361-2021</t>
        </is>
      </c>
      <c r="B997" s="1" t="n">
        <v>44528.91494212963</v>
      </c>
      <c r="C997" s="1" t="n">
        <v>46083</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50469-2022</t>
        </is>
      </c>
      <c r="B998" s="1" t="n">
        <v>44866.49827546296</v>
      </c>
      <c r="C998" s="1" t="n">
        <v>46083</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41976-2024</t>
        </is>
      </c>
      <c r="B999" s="1" t="n">
        <v>45561.62141203704</v>
      </c>
      <c r="C999" s="1" t="n">
        <v>46083</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62206-2022</t>
        </is>
      </c>
      <c r="B1000" s="1" t="n">
        <v>44922</v>
      </c>
      <c r="C1000" s="1" t="n">
        <v>46083</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30886-2022</t>
        </is>
      </c>
      <c r="B1001" s="1" t="n">
        <v>44767.60601851852</v>
      </c>
      <c r="C1001" s="1" t="n">
        <v>46083</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58989-2021</t>
        </is>
      </c>
      <c r="B1002" s="1" t="n">
        <v>44490.02482638889</v>
      </c>
      <c r="C1002" s="1" t="n">
        <v>46083</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58990-2021</t>
        </is>
      </c>
      <c r="B1003" s="1" t="n">
        <v>44490.03621527777</v>
      </c>
      <c r="C1003" s="1" t="n">
        <v>46083</v>
      </c>
      <c r="D1003" t="inlineStr">
        <is>
          <t>STOCKHOLMS LÄN</t>
        </is>
      </c>
      <c r="E1003" t="inlineStr">
        <is>
          <t>NORRTÄLJE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11940-2023</t>
        </is>
      </c>
      <c r="B1004" s="1" t="n">
        <v>44995</v>
      </c>
      <c r="C1004" s="1" t="n">
        <v>46083</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29266-2022</t>
        </is>
      </c>
      <c r="B1005" s="1" t="n">
        <v>44750.66068287037</v>
      </c>
      <c r="C1005" s="1" t="n">
        <v>46083</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29278-2022</t>
        </is>
      </c>
      <c r="B1006" s="1" t="n">
        <v>44750</v>
      </c>
      <c r="C1006" s="1" t="n">
        <v>46083</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6401-2024</t>
        </is>
      </c>
      <c r="B1007" s="1" t="n">
        <v>45338</v>
      </c>
      <c r="C1007" s="1" t="n">
        <v>46083</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24501-2023</t>
        </is>
      </c>
      <c r="B1008" s="1" t="n">
        <v>45082</v>
      </c>
      <c r="C1008" s="1" t="n">
        <v>46083</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24520-2023</t>
        </is>
      </c>
      <c r="B1009" s="1" t="n">
        <v>45082.68922453704</v>
      </c>
      <c r="C1009" s="1" t="n">
        <v>46083</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31281-2022</t>
        </is>
      </c>
      <c r="B1010" s="1" t="n">
        <v>44771</v>
      </c>
      <c r="C1010" s="1" t="n">
        <v>46083</v>
      </c>
      <c r="D1010" t="inlineStr">
        <is>
          <t>STOCKHOLMS LÄN</t>
        </is>
      </c>
      <c r="E1010" t="inlineStr">
        <is>
          <t>NORRTÄLJE</t>
        </is>
      </c>
      <c r="F1010" t="inlineStr">
        <is>
          <t>Holmen skog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46083</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33040-2021</t>
        </is>
      </c>
      <c r="B1012" s="1" t="n">
        <v>44376.50728009259</v>
      </c>
      <c r="C1012" s="1" t="n">
        <v>46083</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26117-2024</t>
        </is>
      </c>
      <c r="B1013" s="1" t="n">
        <v>45468.45877314815</v>
      </c>
      <c r="C1013" s="1" t="n">
        <v>46083</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61113-2023</t>
        </is>
      </c>
      <c r="B1014" s="1" t="n">
        <v>45261</v>
      </c>
      <c r="C1014" s="1" t="n">
        <v>46083</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60822-2023</t>
        </is>
      </c>
      <c r="B1015" s="1" t="n">
        <v>45259</v>
      </c>
      <c r="C1015" s="1" t="n">
        <v>46083</v>
      </c>
      <c r="D1015" t="inlineStr">
        <is>
          <t>STOCKHOLMS LÄN</t>
        </is>
      </c>
      <c r="E1015" t="inlineStr">
        <is>
          <t>NORRTÄLJE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46083</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20343-2024</t>
        </is>
      </c>
      <c r="B1017" s="1" t="n">
        <v>45435.43466435185</v>
      </c>
      <c r="C1017" s="1" t="n">
        <v>46083</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20345-2024</t>
        </is>
      </c>
      <c r="B1018" s="1" t="n">
        <v>45435.43820601852</v>
      </c>
      <c r="C1018" s="1" t="n">
        <v>46083</v>
      </c>
      <c r="D1018" t="inlineStr">
        <is>
          <t>STOCKHOLMS LÄN</t>
        </is>
      </c>
      <c r="E1018" t="inlineStr">
        <is>
          <t>NORRTÄLJE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55010-2024</t>
        </is>
      </c>
      <c r="B1019" s="1" t="n">
        <v>45621.34425925926</v>
      </c>
      <c r="C1019" s="1" t="n">
        <v>46083</v>
      </c>
      <c r="D1019" t="inlineStr">
        <is>
          <t>STOCKHOLMS LÄN</t>
        </is>
      </c>
      <c r="E1019" t="inlineStr">
        <is>
          <t>NORRTÄLJE</t>
        </is>
      </c>
      <c r="F1019" t="inlineStr">
        <is>
          <t>Sveaskog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55018-2024</t>
        </is>
      </c>
      <c r="B1020" s="1" t="n">
        <v>45621.35712962963</v>
      </c>
      <c r="C1020" s="1" t="n">
        <v>46083</v>
      </c>
      <c r="D1020" t="inlineStr">
        <is>
          <t>STOCKHOLMS LÄN</t>
        </is>
      </c>
      <c r="E1020" t="inlineStr">
        <is>
          <t>NORRTÄLJE</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50113-2024</t>
        </is>
      </c>
      <c r="B1021" s="1" t="n">
        <v>45600.411875</v>
      </c>
      <c r="C1021" s="1" t="n">
        <v>46083</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20336-2024</t>
        </is>
      </c>
      <c r="B1022" s="1" t="n">
        <v>45435.43123842592</v>
      </c>
      <c r="C1022" s="1" t="n">
        <v>46083</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64899-2023</t>
        </is>
      </c>
      <c r="B1023" s="1" t="n">
        <v>45282</v>
      </c>
      <c r="C1023" s="1" t="n">
        <v>46083</v>
      </c>
      <c r="D1023" t="inlineStr">
        <is>
          <t>STOCKHOLMS LÄN</t>
        </is>
      </c>
      <c r="E1023" t="inlineStr">
        <is>
          <t>NORRTÄLJE</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1847-2023</t>
        </is>
      </c>
      <c r="B1024" s="1" t="n">
        <v>44938</v>
      </c>
      <c r="C1024" s="1" t="n">
        <v>46083</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11122-2021</t>
        </is>
      </c>
      <c r="B1025" s="1" t="n">
        <v>44260</v>
      </c>
      <c r="C1025" s="1" t="n">
        <v>46083</v>
      </c>
      <c r="D1025" t="inlineStr">
        <is>
          <t>STOCKHOLMS LÄN</t>
        </is>
      </c>
      <c r="E1025" t="inlineStr">
        <is>
          <t>NORRTÄLJE</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29362-2022</t>
        </is>
      </c>
      <c r="B1026" s="1" t="n">
        <v>44753</v>
      </c>
      <c r="C1026" s="1" t="n">
        <v>46083</v>
      </c>
      <c r="D1026" t="inlineStr">
        <is>
          <t>STOCKHOLMS LÄN</t>
        </is>
      </c>
      <c r="E1026" t="inlineStr">
        <is>
          <t>NORRTÄLJE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20291-2022</t>
        </is>
      </c>
      <c r="B1027" s="1" t="n">
        <v>44698</v>
      </c>
      <c r="C1027" s="1" t="n">
        <v>46083</v>
      </c>
      <c r="D1027" t="inlineStr">
        <is>
          <t>STOCKHOLMS LÄN</t>
        </is>
      </c>
      <c r="E1027" t="inlineStr">
        <is>
          <t>NORRTÄLJE</t>
        </is>
      </c>
      <c r="F1027" t="inlineStr">
        <is>
          <t>Naturvårdsverket</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12302-2025</t>
        </is>
      </c>
      <c r="B1028" s="1" t="n">
        <v>45729.72851851852</v>
      </c>
      <c r="C1028" s="1" t="n">
        <v>46083</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31926-2022</t>
        </is>
      </c>
      <c r="B1029" s="1" t="n">
        <v>44777</v>
      </c>
      <c r="C1029" s="1" t="n">
        <v>46083</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1425-2025</t>
        </is>
      </c>
      <c r="B1030" s="1" t="n">
        <v>45668.67446759259</v>
      </c>
      <c r="C1030" s="1" t="n">
        <v>46083</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1453-2025</t>
        </is>
      </c>
      <c r="B1031" s="1" t="n">
        <v>45670.3079050926</v>
      </c>
      <c r="C1031" s="1" t="n">
        <v>46083</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13860-2023</t>
        </is>
      </c>
      <c r="B1032" s="1" t="n">
        <v>45007</v>
      </c>
      <c r="C1032" s="1" t="n">
        <v>46083</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6070-2022</t>
        </is>
      </c>
      <c r="B1033" s="1" t="n">
        <v>44599.58428240741</v>
      </c>
      <c r="C1033" s="1" t="n">
        <v>46083</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9130-2025</t>
        </is>
      </c>
      <c r="B1034" s="1" t="n">
        <v>45713.92623842593</v>
      </c>
      <c r="C1034" s="1" t="n">
        <v>46083</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27828-2022</t>
        </is>
      </c>
      <c r="B1035" s="1" t="n">
        <v>44743.59765046297</v>
      </c>
      <c r="C1035" s="1" t="n">
        <v>46083</v>
      </c>
      <c r="D1035" t="inlineStr">
        <is>
          <t>STOCKHOLMS LÄN</t>
        </is>
      </c>
      <c r="E1035" t="inlineStr">
        <is>
          <t>NORRTÄLJE</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59873-2024</t>
        </is>
      </c>
      <c r="B1036" s="1" t="n">
        <v>45640.57305555556</v>
      </c>
      <c r="C1036" s="1" t="n">
        <v>46083</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22412-2021</t>
        </is>
      </c>
      <c r="B1037" s="1" t="n">
        <v>44326.61967592593</v>
      </c>
      <c r="C1037" s="1" t="n">
        <v>46083</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48161-2022</t>
        </is>
      </c>
      <c r="B1038" s="1" t="n">
        <v>44858</v>
      </c>
      <c r="C1038" s="1" t="n">
        <v>46083</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43150-2023</t>
        </is>
      </c>
      <c r="B1039" s="1" t="n">
        <v>45183</v>
      </c>
      <c r="C1039" s="1" t="n">
        <v>46083</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59534-2024</t>
        </is>
      </c>
      <c r="B1040" s="1" t="n">
        <v>45638.5987037037</v>
      </c>
      <c r="C1040" s="1" t="n">
        <v>46083</v>
      </c>
      <c r="D1040" t="inlineStr">
        <is>
          <t>STOCKHOLMS LÄN</t>
        </is>
      </c>
      <c r="E1040" t="inlineStr">
        <is>
          <t>NORRTÄLJE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23307-2024</t>
        </is>
      </c>
      <c r="B1041" s="1" t="n">
        <v>45453</v>
      </c>
      <c r="C1041" s="1" t="n">
        <v>46083</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19450-2025</t>
        </is>
      </c>
      <c r="B1042" s="1" t="n">
        <v>45770</v>
      </c>
      <c r="C1042" s="1" t="n">
        <v>46083</v>
      </c>
      <c r="D1042" t="inlineStr">
        <is>
          <t>STOCKHOLMS LÄN</t>
        </is>
      </c>
      <c r="E1042" t="inlineStr">
        <is>
          <t>NORRTÄLJE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2281-2024</t>
        </is>
      </c>
      <c r="B1043" s="1" t="n">
        <v>45310.40628472222</v>
      </c>
      <c r="C1043" s="1" t="n">
        <v>46083</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2287-2024</t>
        </is>
      </c>
      <c r="B1044" s="1" t="n">
        <v>45310</v>
      </c>
      <c r="C1044" s="1" t="n">
        <v>46083</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20618-2022</t>
        </is>
      </c>
      <c r="B1045" s="1" t="n">
        <v>44700.50659722222</v>
      </c>
      <c r="C1045" s="1" t="n">
        <v>46083</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59504-2023</t>
        </is>
      </c>
      <c r="B1046" s="1" t="n">
        <v>45254</v>
      </c>
      <c r="C1046" s="1" t="n">
        <v>46083</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25656-2023</t>
        </is>
      </c>
      <c r="B1047" s="1" t="n">
        <v>45089</v>
      </c>
      <c r="C1047" s="1" t="n">
        <v>46083</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38049-2023</t>
        </is>
      </c>
      <c r="B1048" s="1" t="n">
        <v>45159</v>
      </c>
      <c r="C1048" s="1" t="n">
        <v>46083</v>
      </c>
      <c r="D1048" t="inlineStr">
        <is>
          <t>STOCKHOLMS LÄN</t>
        </is>
      </c>
      <c r="E1048" t="inlineStr">
        <is>
          <t>NORRTÄLJE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3966-2024</t>
        </is>
      </c>
      <c r="B1049" s="1" t="n">
        <v>45322</v>
      </c>
      <c r="C1049" s="1" t="n">
        <v>46083</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17348-2024</t>
        </is>
      </c>
      <c r="B1050" s="1" t="n">
        <v>45414.58650462963</v>
      </c>
      <c r="C1050" s="1" t="n">
        <v>46083</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38591-2023</t>
        </is>
      </c>
      <c r="B1051" s="1" t="n">
        <v>45162</v>
      </c>
      <c r="C1051" s="1" t="n">
        <v>46083</v>
      </c>
      <c r="D1051" t="inlineStr">
        <is>
          <t>STOCKHOLMS LÄN</t>
        </is>
      </c>
      <c r="E1051" t="inlineStr">
        <is>
          <t>NORRTÄLJE</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3273-2025</t>
        </is>
      </c>
      <c r="B1052" s="1" t="n">
        <v>45679</v>
      </c>
      <c r="C1052" s="1" t="n">
        <v>46083</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34461-2023</t>
        </is>
      </c>
      <c r="B1053" s="1" t="n">
        <v>45139</v>
      </c>
      <c r="C1053" s="1" t="n">
        <v>46083</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15217-2023</t>
        </is>
      </c>
      <c r="B1054" s="1" t="n">
        <v>45019.28847222222</v>
      </c>
      <c r="C1054" s="1" t="n">
        <v>46083</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24522-2023</t>
        </is>
      </c>
      <c r="B1055" s="1" t="n">
        <v>45082.69179398148</v>
      </c>
      <c r="C1055" s="1" t="n">
        <v>46083</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29176-2024</t>
        </is>
      </c>
      <c r="B1056" s="1" t="n">
        <v>45482.53388888889</v>
      </c>
      <c r="C1056" s="1" t="n">
        <v>46083</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4596-2023</t>
        </is>
      </c>
      <c r="B1057" s="1" t="n">
        <v>44956</v>
      </c>
      <c r="C1057" s="1" t="n">
        <v>46083</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4438-2023</t>
        </is>
      </c>
      <c r="B1058" s="1" t="n">
        <v>44956</v>
      </c>
      <c r="C1058" s="1" t="n">
        <v>46083</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24727-2023</t>
        </is>
      </c>
      <c r="B1059" s="1" t="n">
        <v>45084.57695601852</v>
      </c>
      <c r="C1059" s="1" t="n">
        <v>46083</v>
      </c>
      <c r="D1059" t="inlineStr">
        <is>
          <t>STOCKHOLMS LÄN</t>
        </is>
      </c>
      <c r="E1059" t="inlineStr">
        <is>
          <t>NORRTÄLJE</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59904-2023</t>
        </is>
      </c>
      <c r="B1060" s="1" t="n">
        <v>45257</v>
      </c>
      <c r="C1060" s="1" t="n">
        <v>46083</v>
      </c>
      <c r="D1060" t="inlineStr">
        <is>
          <t>STOCKHOLMS LÄN</t>
        </is>
      </c>
      <c r="E1060" t="inlineStr">
        <is>
          <t>NORRTÄLJE</t>
        </is>
      </c>
      <c r="G1060" t="n">
        <v>17.4</v>
      </c>
      <c r="H1060" t="n">
        <v>0</v>
      </c>
      <c r="I1060" t="n">
        <v>0</v>
      </c>
      <c r="J1060" t="n">
        <v>0</v>
      </c>
      <c r="K1060" t="n">
        <v>0</v>
      </c>
      <c r="L1060" t="n">
        <v>0</v>
      </c>
      <c r="M1060" t="n">
        <v>0</v>
      </c>
      <c r="N1060" t="n">
        <v>0</v>
      </c>
      <c r="O1060" t="n">
        <v>0</v>
      </c>
      <c r="P1060" t="n">
        <v>0</v>
      </c>
      <c r="Q1060" t="n">
        <v>0</v>
      </c>
      <c r="R1060" s="2" t="inlineStr"/>
    </row>
    <row r="1061" ht="15" customHeight="1">
      <c r="A1061" t="inlineStr">
        <is>
          <t>A 36308-2022</t>
        </is>
      </c>
      <c r="B1061" s="1" t="n">
        <v>44803</v>
      </c>
      <c r="C1061" s="1" t="n">
        <v>46083</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18787-2022</t>
        </is>
      </c>
      <c r="B1062" s="1" t="n">
        <v>44687</v>
      </c>
      <c r="C1062" s="1" t="n">
        <v>46083</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50108-2021</t>
        </is>
      </c>
      <c r="B1063" s="1" t="n">
        <v>44456</v>
      </c>
      <c r="C1063" s="1" t="n">
        <v>46083</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25621-2022</t>
        </is>
      </c>
      <c r="B1064" s="1" t="n">
        <v>44732</v>
      </c>
      <c r="C1064" s="1" t="n">
        <v>46083</v>
      </c>
      <c r="D1064" t="inlineStr">
        <is>
          <t>STOCKHOLMS LÄN</t>
        </is>
      </c>
      <c r="E1064" t="inlineStr">
        <is>
          <t>NORRTÄLJE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20304-2023</t>
        </is>
      </c>
      <c r="B1065" s="1" t="n">
        <v>45056</v>
      </c>
      <c r="C1065" s="1" t="n">
        <v>46083</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35235-2024</t>
        </is>
      </c>
      <c r="B1066" s="1" t="n">
        <v>45530</v>
      </c>
      <c r="C1066" s="1" t="n">
        <v>46083</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51061-2023</t>
        </is>
      </c>
      <c r="B1067" s="1" t="n">
        <v>45218.65849537037</v>
      </c>
      <c r="C1067" s="1" t="n">
        <v>46083</v>
      </c>
      <c r="D1067" t="inlineStr">
        <is>
          <t>STOCKHOLMS LÄN</t>
        </is>
      </c>
      <c r="E1067" t="inlineStr">
        <is>
          <t>NORRTÄLJE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39213-2022</t>
        </is>
      </c>
      <c r="B1068" s="1" t="n">
        <v>44817.56120370371</v>
      </c>
      <c r="C1068" s="1" t="n">
        <v>46083</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36246-2021</t>
        </is>
      </c>
      <c r="B1069" s="1" t="n">
        <v>44390</v>
      </c>
      <c r="C1069" s="1" t="n">
        <v>46083</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15905-2023</t>
        </is>
      </c>
      <c r="B1070" s="1" t="n">
        <v>45022</v>
      </c>
      <c r="C1070" s="1" t="n">
        <v>46083</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11041-2025</t>
        </is>
      </c>
      <c r="B1071" s="1" t="n">
        <v>45723</v>
      </c>
      <c r="C1071" s="1" t="n">
        <v>46083</v>
      </c>
      <c r="D1071" t="inlineStr">
        <is>
          <t>STOCKHOLMS LÄN</t>
        </is>
      </c>
      <c r="E1071" t="inlineStr">
        <is>
          <t>NORRTÄLJE</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44917-2022</t>
        </is>
      </c>
      <c r="B1072" s="1" t="n">
        <v>44841.52804398148</v>
      </c>
      <c r="C1072" s="1" t="n">
        <v>46083</v>
      </c>
      <c r="D1072" t="inlineStr">
        <is>
          <t>STOCKHOLMS LÄN</t>
        </is>
      </c>
      <c r="E1072" t="inlineStr">
        <is>
          <t>NORRTÄLJE</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33173-2024</t>
        </is>
      </c>
      <c r="B1073" s="1" t="n">
        <v>45518</v>
      </c>
      <c r="C1073" s="1" t="n">
        <v>46083</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17551-2025</t>
        </is>
      </c>
      <c r="B1074" s="1" t="n">
        <v>45757.61421296297</v>
      </c>
      <c r="C1074" s="1" t="n">
        <v>46083</v>
      </c>
      <c r="D1074" t="inlineStr">
        <is>
          <t>STOCKHOLMS LÄN</t>
        </is>
      </c>
      <c r="E1074" t="inlineStr">
        <is>
          <t>NORRTÄLJE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10678-2025</t>
        </is>
      </c>
      <c r="B1075" s="1" t="n">
        <v>45721.89123842592</v>
      </c>
      <c r="C1075" s="1" t="n">
        <v>46083</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8370-2025</t>
        </is>
      </c>
      <c r="B1076" s="1" t="n">
        <v>45708</v>
      </c>
      <c r="C1076" s="1" t="n">
        <v>46083</v>
      </c>
      <c r="D1076" t="inlineStr">
        <is>
          <t>STOCKHOLMS LÄN</t>
        </is>
      </c>
      <c r="E1076" t="inlineStr">
        <is>
          <t>NORRTÄLJE</t>
        </is>
      </c>
      <c r="F1076" t="inlineStr">
        <is>
          <t>Övriga Aktiebolag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951-2023</t>
        </is>
      </c>
      <c r="B1077" s="1" t="n">
        <v>44934</v>
      </c>
      <c r="C1077" s="1" t="n">
        <v>46083</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32100-2022</t>
        </is>
      </c>
      <c r="B1078" s="1" t="n">
        <v>44778</v>
      </c>
      <c r="C1078" s="1" t="n">
        <v>46083</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2888-2022</t>
        </is>
      </c>
      <c r="B1079" s="1" t="n">
        <v>44581</v>
      </c>
      <c r="C1079" s="1" t="n">
        <v>46083</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11902-2024</t>
        </is>
      </c>
      <c r="B1080" s="1" t="n">
        <v>45376.55704861111</v>
      </c>
      <c r="C1080" s="1" t="n">
        <v>46083</v>
      </c>
      <c r="D1080" t="inlineStr">
        <is>
          <t>STOCKHOLMS LÄN</t>
        </is>
      </c>
      <c r="E1080" t="inlineStr">
        <is>
          <t>NORRTÄLJE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13-2024</t>
        </is>
      </c>
      <c r="B1081" s="1" t="n">
        <v>45293.37263888889</v>
      </c>
      <c r="C1081" s="1" t="n">
        <v>46083</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58260-2023</t>
        </is>
      </c>
      <c r="B1082" s="1" t="n">
        <v>45245</v>
      </c>
      <c r="C1082" s="1" t="n">
        <v>46083</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58261-2023</t>
        </is>
      </c>
      <c r="B1083" s="1" t="n">
        <v>45245</v>
      </c>
      <c r="C1083" s="1" t="n">
        <v>46083</v>
      </c>
      <c r="D1083" t="inlineStr">
        <is>
          <t>STOCKHOLMS LÄN</t>
        </is>
      </c>
      <c r="E1083" t="inlineStr">
        <is>
          <t>NORRTÄLJE</t>
        </is>
      </c>
      <c r="G1083" t="n">
        <v>53.5</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44956.65920138889</v>
      </c>
      <c r="C1084" s="1" t="n">
        <v>46083</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875-2023</t>
        </is>
      </c>
      <c r="B1085" s="1" t="n">
        <v>44931.65626157408</v>
      </c>
      <c r="C1085" s="1" t="n">
        <v>46083</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24575-2024</t>
        </is>
      </c>
      <c r="B1086" s="1" t="n">
        <v>45460.45523148148</v>
      </c>
      <c r="C1086" s="1" t="n">
        <v>46083</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19-2024</t>
        </is>
      </c>
      <c r="B1087" s="1" t="n">
        <v>45293</v>
      </c>
      <c r="C1087" s="1" t="n">
        <v>46083</v>
      </c>
      <c r="D1087" t="inlineStr">
        <is>
          <t>STOCKHOLMS LÄN</t>
        </is>
      </c>
      <c r="E1087" t="inlineStr">
        <is>
          <t>NORRTÄLJE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11333-2025</t>
        </is>
      </c>
      <c r="B1088" s="1" t="n">
        <v>45726.48377314815</v>
      </c>
      <c r="C1088" s="1" t="n">
        <v>46083</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21529-2021</t>
        </is>
      </c>
      <c r="B1089" s="1" t="n">
        <v>44321</v>
      </c>
      <c r="C1089" s="1" t="n">
        <v>46083</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31827-2023</t>
        </is>
      </c>
      <c r="B1090" s="1" t="n">
        <v>45118</v>
      </c>
      <c r="C1090" s="1" t="n">
        <v>46083</v>
      </c>
      <c r="D1090" t="inlineStr">
        <is>
          <t>STOCKHOLMS LÄN</t>
        </is>
      </c>
      <c r="E1090" t="inlineStr">
        <is>
          <t>NORRTÄLJE</t>
        </is>
      </c>
      <c r="F1090" t="inlineStr">
        <is>
          <t>Kyrkan</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10973-2025</t>
        </is>
      </c>
      <c r="B1091" s="1" t="n">
        <v>45723</v>
      </c>
      <c r="C1091" s="1" t="n">
        <v>46083</v>
      </c>
      <c r="D1091" t="inlineStr">
        <is>
          <t>STOCKHOLMS LÄN</t>
        </is>
      </c>
      <c r="E1091" t="inlineStr">
        <is>
          <t>NORRTÄLJE</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54496-2024</t>
        </is>
      </c>
      <c r="B1092" s="1" t="n">
        <v>45617.57439814815</v>
      </c>
      <c r="C1092" s="1" t="n">
        <v>46083</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7796-2025</t>
        </is>
      </c>
      <c r="B1093" s="1" t="n">
        <v>45706.60130787037</v>
      </c>
      <c r="C1093" s="1" t="n">
        <v>46083</v>
      </c>
      <c r="D1093" t="inlineStr">
        <is>
          <t>STOCKHOLMS LÄN</t>
        </is>
      </c>
      <c r="E1093" t="inlineStr">
        <is>
          <t>NORRTÄLJE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59767-2022</t>
        </is>
      </c>
      <c r="B1094" s="1" t="n">
        <v>44900</v>
      </c>
      <c r="C1094" s="1" t="n">
        <v>46083</v>
      </c>
      <c r="D1094" t="inlineStr">
        <is>
          <t>STOCKHOLMS LÄN</t>
        </is>
      </c>
      <c r="E1094" t="inlineStr">
        <is>
          <t>NORRTÄLJE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22756-2022</t>
        </is>
      </c>
      <c r="B1095" s="1" t="n">
        <v>44714.92253472222</v>
      </c>
      <c r="C1095" s="1" t="n">
        <v>46083</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58311-2023</t>
        </is>
      </c>
      <c r="B1096" s="1" t="n">
        <v>45245</v>
      </c>
      <c r="C1096" s="1" t="n">
        <v>46083</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8739-2024</t>
        </is>
      </c>
      <c r="B1097" s="1" t="n">
        <v>45356.47784722222</v>
      </c>
      <c r="C1097" s="1" t="n">
        <v>46083</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26640-2023</t>
        </is>
      </c>
      <c r="B1098" s="1" t="n">
        <v>45092</v>
      </c>
      <c r="C1098" s="1" t="n">
        <v>46083</v>
      </c>
      <c r="D1098" t="inlineStr">
        <is>
          <t>STOCKHOLMS LÄN</t>
        </is>
      </c>
      <c r="E1098" t="inlineStr">
        <is>
          <t>NORRTÄLJE</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62765-2022</t>
        </is>
      </c>
      <c r="B1099" s="1" t="n">
        <v>44637</v>
      </c>
      <c r="C1099" s="1" t="n">
        <v>46083</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38990-2022</t>
        </is>
      </c>
      <c r="B1100" s="1" t="n">
        <v>44816</v>
      </c>
      <c r="C1100" s="1" t="n">
        <v>46083</v>
      </c>
      <c r="D1100" t="inlineStr">
        <is>
          <t>STOCKHOLMS LÄN</t>
        </is>
      </c>
      <c r="E1100" t="inlineStr">
        <is>
          <t>NORRTÄLJE</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17545-2025</t>
        </is>
      </c>
      <c r="B1101" s="1" t="n">
        <v>45757.60658564815</v>
      </c>
      <c r="C1101" s="1" t="n">
        <v>46083</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17956-2025</t>
        </is>
      </c>
      <c r="B1102" s="1" t="n">
        <v>45760.91174768518</v>
      </c>
      <c r="C1102" s="1" t="n">
        <v>46083</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23265-2023</t>
        </is>
      </c>
      <c r="B1103" s="1" t="n">
        <v>45075.90703703704</v>
      </c>
      <c r="C1103" s="1" t="n">
        <v>46083</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30268-2024</t>
        </is>
      </c>
      <c r="B1104" s="1" t="n">
        <v>45490.60572916667</v>
      </c>
      <c r="C1104" s="1" t="n">
        <v>46083</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59535-2024</t>
        </is>
      </c>
      <c r="B1105" s="1" t="n">
        <v>45638.59979166667</v>
      </c>
      <c r="C1105" s="1" t="n">
        <v>46083</v>
      </c>
      <c r="D1105" t="inlineStr">
        <is>
          <t>STOCKHOLMS LÄN</t>
        </is>
      </c>
      <c r="E1105" t="inlineStr">
        <is>
          <t>NORRTÄLJE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9246-2024</t>
        </is>
      </c>
      <c r="B1106" s="1" t="n">
        <v>45357</v>
      </c>
      <c r="C1106" s="1" t="n">
        <v>46083</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20852-2023</t>
        </is>
      </c>
      <c r="B1107" s="1" t="n">
        <v>45058.78607638889</v>
      </c>
      <c r="C1107" s="1" t="n">
        <v>46083</v>
      </c>
      <c r="D1107" t="inlineStr">
        <is>
          <t>STOCKHOLMS LÄN</t>
        </is>
      </c>
      <c r="E1107" t="inlineStr">
        <is>
          <t>NORRTÄLJE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50355-2024</t>
        </is>
      </c>
      <c r="B1108" s="1" t="n">
        <v>45600.86128472222</v>
      </c>
      <c r="C1108" s="1" t="n">
        <v>46083</v>
      </c>
      <c r="D1108" t="inlineStr">
        <is>
          <t>STOCKHOLMS LÄN</t>
        </is>
      </c>
      <c r="E1108" t="inlineStr">
        <is>
          <t>NORRTÄLJE</t>
        </is>
      </c>
      <c r="F1108" t="inlineStr">
        <is>
          <t>Kommuner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60694-2024</t>
        </is>
      </c>
      <c r="B1109" s="1" t="n">
        <v>45644.47878472223</v>
      </c>
      <c r="C1109" s="1" t="n">
        <v>46083</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25094-2023</t>
        </is>
      </c>
      <c r="B1110" s="1" t="n">
        <v>45086.3629050926</v>
      </c>
      <c r="C1110" s="1" t="n">
        <v>46083</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59276-2023</t>
        </is>
      </c>
      <c r="B1111" s="1" t="n">
        <v>45253.55641203704</v>
      </c>
      <c r="C1111" s="1" t="n">
        <v>46083</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13767-2025</t>
        </is>
      </c>
      <c r="B1112" s="1" t="n">
        <v>45737.43347222222</v>
      </c>
      <c r="C1112" s="1" t="n">
        <v>46083</v>
      </c>
      <c r="D1112" t="inlineStr">
        <is>
          <t>STOCKHOLMS LÄN</t>
        </is>
      </c>
      <c r="E1112" t="inlineStr">
        <is>
          <t>NORRTÄLJE</t>
        </is>
      </c>
      <c r="F1112" t="inlineStr">
        <is>
          <t>Holmen skog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41587-2023</t>
        </is>
      </c>
      <c r="B1113" s="1" t="n">
        <v>45175</v>
      </c>
      <c r="C1113" s="1" t="n">
        <v>46083</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27381-2024</t>
        </is>
      </c>
      <c r="B1114" s="1" t="n">
        <v>45473.94501157408</v>
      </c>
      <c r="C1114" s="1" t="n">
        <v>46083</v>
      </c>
      <c r="D1114" t="inlineStr">
        <is>
          <t>STOCKHOLMS LÄN</t>
        </is>
      </c>
      <c r="E1114" t="inlineStr">
        <is>
          <t>NORRTÄLJE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60529-2023</t>
        </is>
      </c>
      <c r="B1115" s="1" t="n">
        <v>45259</v>
      </c>
      <c r="C1115" s="1" t="n">
        <v>46083</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59326-2023</t>
        </is>
      </c>
      <c r="B1116" s="1" t="n">
        <v>45253.63089120371</v>
      </c>
      <c r="C1116" s="1" t="n">
        <v>46083</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46083</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3152-2024</t>
        </is>
      </c>
      <c r="B1118" s="1" t="n">
        <v>45316.60306712963</v>
      </c>
      <c r="C1118" s="1" t="n">
        <v>46083</v>
      </c>
      <c r="D1118" t="inlineStr">
        <is>
          <t>STOCKHOLMS LÄN</t>
        </is>
      </c>
      <c r="E1118" t="inlineStr">
        <is>
          <t>NORRTÄLJE</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20699-2025</t>
        </is>
      </c>
      <c r="B1119" s="1" t="n">
        <v>45776.47346064815</v>
      </c>
      <c r="C1119" s="1" t="n">
        <v>46083</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20779-2025</t>
        </is>
      </c>
      <c r="B1120" s="1" t="n">
        <v>45776.59871527777</v>
      </c>
      <c r="C1120" s="1" t="n">
        <v>46083</v>
      </c>
      <c r="D1120" t="inlineStr">
        <is>
          <t>STOCKHOLMS LÄN</t>
        </is>
      </c>
      <c r="E1120" t="inlineStr">
        <is>
          <t>NORRTÄLJE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46083</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21771-2025</t>
        </is>
      </c>
      <c r="B1122" s="1" t="n">
        <v>45783</v>
      </c>
      <c r="C1122" s="1" t="n">
        <v>46083</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21778-2025</t>
        </is>
      </c>
      <c r="B1123" s="1" t="n">
        <v>45783.66429398148</v>
      </c>
      <c r="C1123" s="1" t="n">
        <v>46083</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12902-2024</t>
        </is>
      </c>
      <c r="B1124" s="1" t="n">
        <v>45385.38146990741</v>
      </c>
      <c r="C1124" s="1" t="n">
        <v>46083</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39237-2024</t>
        </is>
      </c>
      <c r="B1125" s="1" t="n">
        <v>45549</v>
      </c>
      <c r="C1125" s="1" t="n">
        <v>46083</v>
      </c>
      <c r="D1125" t="inlineStr">
        <is>
          <t>STOCKHOLMS LÄN</t>
        </is>
      </c>
      <c r="E1125" t="inlineStr">
        <is>
          <t>NORRTÄLJE</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44891-2023</t>
        </is>
      </c>
      <c r="B1126" s="1" t="n">
        <v>45187</v>
      </c>
      <c r="C1126" s="1" t="n">
        <v>46083</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13268-2025</t>
        </is>
      </c>
      <c r="B1127" s="1" t="n">
        <v>45735</v>
      </c>
      <c r="C1127" s="1" t="n">
        <v>46083</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8414-2025</t>
        </is>
      </c>
      <c r="B1128" s="1" t="n">
        <v>45709.39361111111</v>
      </c>
      <c r="C1128" s="1" t="n">
        <v>46083</v>
      </c>
      <c r="D1128" t="inlineStr">
        <is>
          <t>STOCKHOLMS LÄN</t>
        </is>
      </c>
      <c r="E1128" t="inlineStr">
        <is>
          <t>NORRTÄLJE</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44032-2024</t>
        </is>
      </c>
      <c r="B1129" s="1" t="n">
        <v>45572.57828703704</v>
      </c>
      <c r="C1129" s="1" t="n">
        <v>46083</v>
      </c>
      <c r="D1129" t="inlineStr">
        <is>
          <t>STOCKHOLMS LÄN</t>
        </is>
      </c>
      <c r="E1129" t="inlineStr">
        <is>
          <t>NORRTÄLJE</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24563-2024</t>
        </is>
      </c>
      <c r="B1130" s="1" t="n">
        <v>45460.44347222222</v>
      </c>
      <c r="C1130" s="1" t="n">
        <v>46083</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22202-2025</t>
        </is>
      </c>
      <c r="B1131" s="1" t="n">
        <v>45785.65300925926</v>
      </c>
      <c r="C1131" s="1" t="n">
        <v>46083</v>
      </c>
      <c r="D1131" t="inlineStr">
        <is>
          <t>STOCKHOLMS LÄN</t>
        </is>
      </c>
      <c r="E1131" t="inlineStr">
        <is>
          <t>NORRTÄLJE</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46083</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45746-2024</t>
        </is>
      </c>
      <c r="B1133" s="1" t="n">
        <v>45579</v>
      </c>
      <c r="C1133" s="1" t="n">
        <v>46083</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8400-2024</t>
        </is>
      </c>
      <c r="B1134" s="1" t="n">
        <v>45352.74090277778</v>
      </c>
      <c r="C1134" s="1" t="n">
        <v>46083</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2182-2022</t>
        </is>
      </c>
      <c r="B1135" s="1" t="n">
        <v>44578</v>
      </c>
      <c r="C1135" s="1" t="n">
        <v>46083</v>
      </c>
      <c r="D1135" t="inlineStr">
        <is>
          <t>STOCKHOLMS LÄN</t>
        </is>
      </c>
      <c r="E1135" t="inlineStr">
        <is>
          <t>NORRTÄLJE</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16620-2024</t>
        </is>
      </c>
      <c r="B1136" s="1" t="n">
        <v>45408.57707175926</v>
      </c>
      <c r="C1136" s="1" t="n">
        <v>46083</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22416-2025</t>
        </is>
      </c>
      <c r="B1137" s="1" t="n">
        <v>45786.55645833333</v>
      </c>
      <c r="C1137" s="1" t="n">
        <v>46083</v>
      </c>
      <c r="D1137" t="inlineStr">
        <is>
          <t>STOCKHOLMS LÄN</t>
        </is>
      </c>
      <c r="E1137" t="inlineStr">
        <is>
          <t>NORRTÄLJE</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58785-2024</t>
        </is>
      </c>
      <c r="B1138" s="1" t="n">
        <v>45635.88849537037</v>
      </c>
      <c r="C1138" s="1" t="n">
        <v>46083</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62998-2023</t>
        </is>
      </c>
      <c r="B1139" s="1" t="n">
        <v>45272.64479166667</v>
      </c>
      <c r="C1139" s="1" t="n">
        <v>46083</v>
      </c>
      <c r="D1139" t="inlineStr">
        <is>
          <t>STOCKHOLMS LÄN</t>
        </is>
      </c>
      <c r="E1139" t="inlineStr">
        <is>
          <t>NORRTÄLJE</t>
        </is>
      </c>
      <c r="G1139" t="n">
        <v>16.3</v>
      </c>
      <c r="H1139" t="n">
        <v>0</v>
      </c>
      <c r="I1139" t="n">
        <v>0</v>
      </c>
      <c r="J1139" t="n">
        <v>0</v>
      </c>
      <c r="K1139" t="n">
        <v>0</v>
      </c>
      <c r="L1139" t="n">
        <v>0</v>
      </c>
      <c r="M1139" t="n">
        <v>0</v>
      </c>
      <c r="N1139" t="n">
        <v>0</v>
      </c>
      <c r="O1139" t="n">
        <v>0</v>
      </c>
      <c r="P1139" t="n">
        <v>0</v>
      </c>
      <c r="Q1139" t="n">
        <v>0</v>
      </c>
      <c r="R1139" s="2" t="inlineStr"/>
    </row>
    <row r="1140" ht="15" customHeight="1">
      <c r="A1140" t="inlineStr">
        <is>
          <t>A 63015-2023</t>
        </is>
      </c>
      <c r="B1140" s="1" t="n">
        <v>45272</v>
      </c>
      <c r="C1140" s="1" t="n">
        <v>46083</v>
      </c>
      <c r="D1140" t="inlineStr">
        <is>
          <t>STOCKHOLMS LÄN</t>
        </is>
      </c>
      <c r="E1140" t="inlineStr">
        <is>
          <t>NORRTÄLJE</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12901-2024</t>
        </is>
      </c>
      <c r="B1141" s="1" t="n">
        <v>45385.37922453704</v>
      </c>
      <c r="C1141" s="1" t="n">
        <v>46083</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12301-2025</t>
        </is>
      </c>
      <c r="B1142" s="1" t="n">
        <v>45729.7271875</v>
      </c>
      <c r="C1142" s="1" t="n">
        <v>46083</v>
      </c>
      <c r="D1142" t="inlineStr">
        <is>
          <t>STOCKHOLMS LÄN</t>
        </is>
      </c>
      <c r="E1142" t="inlineStr">
        <is>
          <t>NORRTÄLJE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8950-2025</t>
        </is>
      </c>
      <c r="B1143" s="1" t="n">
        <v>45713</v>
      </c>
      <c r="C1143" s="1" t="n">
        <v>46083</v>
      </c>
      <c r="D1143" t="inlineStr">
        <is>
          <t>STOCKHOLMS LÄN</t>
        </is>
      </c>
      <c r="E1143" t="inlineStr">
        <is>
          <t>NORRTÄLJE</t>
        </is>
      </c>
      <c r="F1143" t="inlineStr">
        <is>
          <t>Övriga Aktiebolag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20730-2024</t>
        </is>
      </c>
      <c r="B1144" s="1" t="n">
        <v>45436</v>
      </c>
      <c r="C1144" s="1" t="n">
        <v>46083</v>
      </c>
      <c r="D1144" t="inlineStr">
        <is>
          <t>STOCKHOLMS LÄN</t>
        </is>
      </c>
      <c r="E1144" t="inlineStr">
        <is>
          <t>NORRTÄLJE</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33175-2024</t>
        </is>
      </c>
      <c r="B1145" s="1" t="n">
        <v>45518</v>
      </c>
      <c r="C1145" s="1" t="n">
        <v>46083</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13283-2025</t>
        </is>
      </c>
      <c r="B1146" s="1" t="n">
        <v>45735</v>
      </c>
      <c r="C1146" s="1" t="n">
        <v>46083</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27831-2024</t>
        </is>
      </c>
      <c r="B1147" s="1" t="n">
        <v>45475.61896990741</v>
      </c>
      <c r="C1147" s="1" t="n">
        <v>46083</v>
      </c>
      <c r="D1147" t="inlineStr">
        <is>
          <t>STOCKHOLMS LÄN</t>
        </is>
      </c>
      <c r="E1147" t="inlineStr">
        <is>
          <t>NORRTÄLJE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21803-2022</t>
        </is>
      </c>
      <c r="B1148" s="1" t="n">
        <v>44708.67822916667</v>
      </c>
      <c r="C1148" s="1" t="n">
        <v>46083</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24687-2025</t>
        </is>
      </c>
      <c r="B1149" s="1" t="n">
        <v>45798.66767361111</v>
      </c>
      <c r="C1149" s="1" t="n">
        <v>46083</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24690-2025</t>
        </is>
      </c>
      <c r="B1150" s="1" t="n">
        <v>45798.67082175926</v>
      </c>
      <c r="C1150" s="1" t="n">
        <v>46083</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24638-2025</t>
        </is>
      </c>
      <c r="B1151" s="1" t="n">
        <v>45798</v>
      </c>
      <c r="C1151" s="1" t="n">
        <v>46083</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24351-2025</t>
        </is>
      </c>
      <c r="B1152" s="1" t="n">
        <v>45797.58399305555</v>
      </c>
      <c r="C1152" s="1" t="n">
        <v>46083</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28603-2024</t>
        </is>
      </c>
      <c r="B1153" s="1" t="n">
        <v>45478.42887731481</v>
      </c>
      <c r="C1153" s="1" t="n">
        <v>46083</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25702-2025</t>
        </is>
      </c>
      <c r="B1154" s="1" t="n">
        <v>45800</v>
      </c>
      <c r="C1154" s="1" t="n">
        <v>46083</v>
      </c>
      <c r="D1154" t="inlineStr">
        <is>
          <t>STOCKHOLMS LÄN</t>
        </is>
      </c>
      <c r="E1154" t="inlineStr">
        <is>
          <t>NORRTÄLJE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25721-2025</t>
        </is>
      </c>
      <c r="B1155" s="1" t="n">
        <v>45800</v>
      </c>
      <c r="C1155" s="1" t="n">
        <v>46083</v>
      </c>
      <c r="D1155" t="inlineStr">
        <is>
          <t>STOCKHOLMS LÄN</t>
        </is>
      </c>
      <c r="E1155" t="inlineStr">
        <is>
          <t>NORRTÄLJE</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25733-2025</t>
        </is>
      </c>
      <c r="B1156" s="1" t="n">
        <v>45800</v>
      </c>
      <c r="C1156" s="1" t="n">
        <v>46083</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25571-2025</t>
        </is>
      </c>
      <c r="B1157" s="1" t="n">
        <v>45803.4675</v>
      </c>
      <c r="C1157" s="1" t="n">
        <v>46083</v>
      </c>
      <c r="D1157" t="inlineStr">
        <is>
          <t>STOCKHOLMS LÄN</t>
        </is>
      </c>
      <c r="E1157" t="inlineStr">
        <is>
          <t>NORRTÄLJE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53561-2023</t>
        </is>
      </c>
      <c r="B1158" s="1" t="n">
        <v>45224</v>
      </c>
      <c r="C1158" s="1" t="n">
        <v>46083</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25712-2025</t>
        </is>
      </c>
      <c r="B1159" s="1" t="n">
        <v>45803.69228009259</v>
      </c>
      <c r="C1159" s="1" t="n">
        <v>46083</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41218-2024</t>
        </is>
      </c>
      <c r="B1160" s="1" t="n">
        <v>45559.54706018518</v>
      </c>
      <c r="C1160" s="1" t="n">
        <v>46083</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26051-2025</t>
        </is>
      </c>
      <c r="B1161" s="1" t="n">
        <v>45804.74479166666</v>
      </c>
      <c r="C1161" s="1" t="n">
        <v>46083</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39238-2024</t>
        </is>
      </c>
      <c r="B1162" s="1" t="n">
        <v>45549</v>
      </c>
      <c r="C1162" s="1" t="n">
        <v>46083</v>
      </c>
      <c r="D1162" t="inlineStr">
        <is>
          <t>STOCKHOLMS LÄN</t>
        </is>
      </c>
      <c r="E1162" t="inlineStr">
        <is>
          <t>NORRTÄLJE</t>
        </is>
      </c>
      <c r="G1162" t="n">
        <v>3.6</v>
      </c>
      <c r="H1162" t="n">
        <v>0</v>
      </c>
      <c r="I1162" t="n">
        <v>0</v>
      </c>
      <c r="J1162" t="n">
        <v>0</v>
      </c>
      <c r="K1162" t="n">
        <v>0</v>
      </c>
      <c r="L1162" t="n">
        <v>0</v>
      </c>
      <c r="M1162" t="n">
        <v>0</v>
      </c>
      <c r="N1162" t="n">
        <v>0</v>
      </c>
      <c r="O1162" t="n">
        <v>0</v>
      </c>
      <c r="P1162" t="n">
        <v>0</v>
      </c>
      <c r="Q1162" t="n">
        <v>0</v>
      </c>
      <c r="R1162" s="2" t="inlineStr"/>
    </row>
    <row r="1163">
      <c r="A1163" t="inlineStr">
        <is>
          <t>A 38449-2022</t>
        </is>
      </c>
      <c r="B1163" s="1" t="n">
        <v>44813</v>
      </c>
      <c r="C1163" s="1" t="n">
        <v>46083</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2026-03-02T11:08:46Z</dcterms:created>
  <dcterms:modified xmlns:dcterms="http://purl.org/dc/terms/" xmlns:xsi="http://www.w3.org/2001/XMLSchema-instance" xsi:type="dcterms:W3CDTF">2026-03-02T11:08:47Z</dcterms:modified>
</cp:coreProperties>
</file>