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46079</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46079</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46079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46079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46079</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46079</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46079</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46079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46079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46079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46079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46079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46079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46079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46079</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20722-2024</t>
        </is>
      </c>
      <c r="B22" s="1" t="n">
        <v>45436</v>
      </c>
      <c r="C22" s="1" t="n">
        <v>46079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46079</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46079</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46079</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46079</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46079</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47951-2025</t>
        </is>
      </c>
      <c r="B28" s="1" t="n">
        <v>45932.58491898148</v>
      </c>
      <c r="C28" s="1" t="n">
        <v>46079</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46079</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46079</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Leptoporus erubescens
Spillkråka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46079</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46079</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46079</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46079</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46079</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46079</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46079</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46079</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46079</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46079</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72111-2021</t>
        </is>
      </c>
      <c r="B41" s="1" t="n">
        <v>44544</v>
      </c>
      <c r="C41" s="1" t="n">
        <v>46079</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21922-2023</t>
        </is>
      </c>
      <c r="B42" s="1" t="n">
        <v>45068</v>
      </c>
      <c r="C42" s="1" t="n">
        <v>46079</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46079</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30687-2025</t>
        </is>
      </c>
      <c r="B44" s="1" t="n">
        <v>45831.53390046296</v>
      </c>
      <c r="C44" s="1" t="n">
        <v>46079</v>
      </c>
      <c r="D44" t="inlineStr">
        <is>
          <t>STOCKHOLMS LÄN</t>
        </is>
      </c>
      <c r="E44" t="inlineStr">
        <is>
          <t>NORRTÄLJE</t>
        </is>
      </c>
      <c r="G44" t="n">
        <v>6.7</v>
      </c>
      <c r="H44" t="n">
        <v>1</v>
      </c>
      <c r="I44" t="n">
        <v>2</v>
      </c>
      <c r="J44" t="n">
        <v>2</v>
      </c>
      <c r="K44" t="n">
        <v>0</v>
      </c>
      <c r="L44" t="n">
        <v>0</v>
      </c>
      <c r="M44" t="n">
        <v>0</v>
      </c>
      <c r="N44" t="n">
        <v>0</v>
      </c>
      <c r="O44" t="n">
        <v>2</v>
      </c>
      <c r="P44" t="n">
        <v>0</v>
      </c>
      <c r="Q44" t="n">
        <v>5</v>
      </c>
      <c r="R44" s="2" t="inlineStr">
        <is>
          <t>Ekvaxskivling
Kandelabersvamp
Stinkbrosking
Svart trolldruva
Blåsippa</t>
        </is>
      </c>
      <c r="S44">
        <f>HYPERLINK("https://klasma.github.io/Logging_0188/artfynd/A 30687-2025 artfynd.xlsx", "A 30687-2025")</f>
        <v/>
      </c>
      <c r="T44">
        <f>HYPERLINK("https://klasma.github.io/Logging_0188/kartor/A 30687-2025 karta.png", "A 30687-2025")</f>
        <v/>
      </c>
      <c r="V44">
        <f>HYPERLINK("https://klasma.github.io/Logging_0188/klagomål/A 30687-2025 FSC-klagomål.docx", "A 30687-2025")</f>
        <v/>
      </c>
      <c r="W44">
        <f>HYPERLINK("https://klasma.github.io/Logging_0188/klagomålsmail/A 30687-2025 FSC-klagomål mail.docx", "A 30687-2025")</f>
        <v/>
      </c>
      <c r="X44">
        <f>HYPERLINK("https://klasma.github.io/Logging_0188/tillsyn/A 30687-2025 tillsynsbegäran.docx", "A 30687-2025")</f>
        <v/>
      </c>
      <c r="Y44">
        <f>HYPERLINK("https://klasma.github.io/Logging_0188/tillsynsmail/A 30687-2025 tillsynsbegäran mail.docx", "A 30687-2025")</f>
        <v/>
      </c>
    </row>
    <row r="45" ht="15" customHeight="1">
      <c r="A45" t="inlineStr">
        <is>
          <t>A 56791-2025</t>
        </is>
      </c>
      <c r="B45" s="1" t="n">
        <v>45978</v>
      </c>
      <c r="C45" s="1" t="n">
        <v>46079</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22071-2022</t>
        </is>
      </c>
      <c r="B46" s="1" t="n">
        <v>44711</v>
      </c>
      <c r="C46" s="1" t="n">
        <v>46079</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46079</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21730-2025</t>
        </is>
      </c>
      <c r="B48" s="1" t="n">
        <v>45783.58123842593</v>
      </c>
      <c r="C48" s="1" t="n">
        <v>46079</v>
      </c>
      <c r="D48" t="inlineStr">
        <is>
          <t>STOCKHOLMS LÄN</t>
        </is>
      </c>
      <c r="E48" t="inlineStr">
        <is>
          <t>NORRTÄLJE</t>
        </is>
      </c>
      <c r="G48" t="n">
        <v>4.2</v>
      </c>
      <c r="H48" t="n">
        <v>2</v>
      </c>
      <c r="I48" t="n">
        <v>2</v>
      </c>
      <c r="J48" t="n">
        <v>0</v>
      </c>
      <c r="K48" t="n">
        <v>0</v>
      </c>
      <c r="L48" t="n">
        <v>0</v>
      </c>
      <c r="M48" t="n">
        <v>0</v>
      </c>
      <c r="N48" t="n">
        <v>0</v>
      </c>
      <c r="O48" t="n">
        <v>0</v>
      </c>
      <c r="P48" t="n">
        <v>0</v>
      </c>
      <c r="Q48" t="n">
        <v>4</v>
      </c>
      <c r="R48" s="2" t="inlineStr">
        <is>
          <t>Blåmossa
Brandticka
Blåsippa
Revlummer</t>
        </is>
      </c>
      <c r="S48">
        <f>HYPERLINK("https://klasma.github.io/Logging_0188/artfynd/A 21730-2025 artfynd.xlsx", "A 21730-2025")</f>
        <v/>
      </c>
      <c r="T48">
        <f>HYPERLINK("https://klasma.github.io/Logging_0188/kartor/A 21730-2025 karta.png", "A 21730-2025")</f>
        <v/>
      </c>
      <c r="V48">
        <f>HYPERLINK("https://klasma.github.io/Logging_0188/klagomål/A 21730-2025 FSC-klagomål.docx", "A 21730-2025")</f>
        <v/>
      </c>
      <c r="W48">
        <f>HYPERLINK("https://klasma.github.io/Logging_0188/klagomålsmail/A 21730-2025 FSC-klagomål mail.docx", "A 21730-2025")</f>
        <v/>
      </c>
      <c r="X48">
        <f>HYPERLINK("https://klasma.github.io/Logging_0188/tillsyn/A 21730-2025 tillsynsbegäran.docx", "A 21730-2025")</f>
        <v/>
      </c>
      <c r="Y48">
        <f>HYPERLINK("https://klasma.github.io/Logging_0188/tillsynsmail/A 21730-2025 tillsynsbegäran mail.docx", "A 21730-2025")</f>
        <v/>
      </c>
    </row>
    <row r="49" ht="15" customHeight="1">
      <c r="A49" t="inlineStr">
        <is>
          <t>A 24052-2021</t>
        </is>
      </c>
      <c r="B49" s="1" t="n">
        <v>44336</v>
      </c>
      <c r="C49" s="1" t="n">
        <v>46079</v>
      </c>
      <c r="D49" t="inlineStr">
        <is>
          <t>STOCKHOLMS LÄN</t>
        </is>
      </c>
      <c r="E49" t="inlineStr">
        <is>
          <t>NORRTÄLJE</t>
        </is>
      </c>
      <c r="G49" t="n">
        <v>8.6</v>
      </c>
      <c r="H49" t="n">
        <v>4</v>
      </c>
      <c r="I49" t="n">
        <v>0</v>
      </c>
      <c r="J49" t="n">
        <v>2</v>
      </c>
      <c r="K49" t="n">
        <v>0</v>
      </c>
      <c r="L49" t="n">
        <v>0</v>
      </c>
      <c r="M49" t="n">
        <v>0</v>
      </c>
      <c r="N49" t="n">
        <v>0</v>
      </c>
      <c r="O49" t="n">
        <v>2</v>
      </c>
      <c r="P49" t="n">
        <v>0</v>
      </c>
      <c r="Q49" t="n">
        <v>4</v>
      </c>
      <c r="R49" s="2" t="inlineStr">
        <is>
          <t>Brunlångöra
Nordfladdermus
Dvärgpipistrell
Större brunfladdermus</t>
        </is>
      </c>
      <c r="S49">
        <f>HYPERLINK("https://klasma.github.io/Logging_0188/artfynd/A 24052-2021 artfynd.xlsx", "A 24052-2021")</f>
        <v/>
      </c>
      <c r="T49">
        <f>HYPERLINK("https://klasma.github.io/Logging_0188/kartor/A 24052-2021 karta.png", "A 24052-2021")</f>
        <v/>
      </c>
      <c r="V49">
        <f>HYPERLINK("https://klasma.github.io/Logging_0188/klagomål/A 24052-2021 FSC-klagomål.docx", "A 24052-2021")</f>
        <v/>
      </c>
      <c r="W49">
        <f>HYPERLINK("https://klasma.github.io/Logging_0188/klagomålsmail/A 24052-2021 FSC-klagomål mail.docx", "A 24052-2021")</f>
        <v/>
      </c>
      <c r="X49">
        <f>HYPERLINK("https://klasma.github.io/Logging_0188/tillsyn/A 24052-2021 tillsynsbegäran.docx", "A 24052-2021")</f>
        <v/>
      </c>
      <c r="Y49">
        <f>HYPERLINK("https://klasma.github.io/Logging_0188/tillsynsmail/A 24052-2021 tillsynsbegäran mail.docx", "A 24052-2021")</f>
        <v/>
      </c>
    </row>
    <row r="50" ht="15" customHeight="1">
      <c r="A50" t="inlineStr">
        <is>
          <t>A 41276-2025</t>
        </is>
      </c>
      <c r="B50" s="1" t="n">
        <v>45898.62723379629</v>
      </c>
      <c r="C50" s="1" t="n">
        <v>46079</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46079</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25687-2025</t>
        </is>
      </c>
      <c r="B52" s="1" t="n">
        <v>45800</v>
      </c>
      <c r="C52" s="1" t="n">
        <v>46079</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47212-2025</t>
        </is>
      </c>
      <c r="B53" s="1" t="n">
        <v>45930</v>
      </c>
      <c r="C53" s="1" t="n">
        <v>46079</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46079</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34521-2025</t>
        </is>
      </c>
      <c r="B55" s="1" t="n">
        <v>45847.47052083333</v>
      </c>
      <c r="C55" s="1" t="n">
        <v>46079</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17673-2021</t>
        </is>
      </c>
      <c r="B56" s="1" t="n">
        <v>44300</v>
      </c>
      <c r="C56" s="1" t="n">
        <v>46079</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46079</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46079</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46079</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27870-2022</t>
        </is>
      </c>
      <c r="B60" s="1" t="n">
        <v>44743.64592592593</v>
      </c>
      <c r="C60" s="1" t="n">
        <v>46079</v>
      </c>
      <c r="D60" t="inlineStr">
        <is>
          <t>STOCKHOLMS LÄN</t>
        </is>
      </c>
      <c r="E60" t="inlineStr">
        <is>
          <t>NORRTÄLJE</t>
        </is>
      </c>
      <c r="F60" t="inlineStr">
        <is>
          <t>Holmen skog AB</t>
        </is>
      </c>
      <c r="G60" t="n">
        <v>1.8</v>
      </c>
      <c r="H60" t="n">
        <v>3</v>
      </c>
      <c r="I60" t="n">
        <v>0</v>
      </c>
      <c r="J60" t="n">
        <v>1</v>
      </c>
      <c r="K60" t="n">
        <v>0</v>
      </c>
      <c r="L60" t="n">
        <v>0</v>
      </c>
      <c r="M60" t="n">
        <v>0</v>
      </c>
      <c r="N60" t="n">
        <v>0</v>
      </c>
      <c r="O60" t="n">
        <v>1</v>
      </c>
      <c r="P60" t="n">
        <v>0</v>
      </c>
      <c r="Q60" t="n">
        <v>3</v>
      </c>
      <c r="R60" s="2" t="inlineStr">
        <is>
          <t>Nordfladdermus
Dvärgpipistrell
Större brunfladdermus</t>
        </is>
      </c>
      <c r="S60">
        <f>HYPERLINK("https://klasma.github.io/Logging_0188/artfynd/A 27870-2022 artfynd.xlsx", "A 27870-2022")</f>
        <v/>
      </c>
      <c r="T60">
        <f>HYPERLINK("https://klasma.github.io/Logging_0188/kartor/A 27870-2022 karta.png", "A 27870-2022")</f>
        <v/>
      </c>
      <c r="V60">
        <f>HYPERLINK("https://klasma.github.io/Logging_0188/klagomål/A 27870-2022 FSC-klagomål.docx", "A 27870-2022")</f>
        <v/>
      </c>
      <c r="W60">
        <f>HYPERLINK("https://klasma.github.io/Logging_0188/klagomålsmail/A 27870-2022 FSC-klagomål mail.docx", "A 27870-2022")</f>
        <v/>
      </c>
      <c r="X60">
        <f>HYPERLINK("https://klasma.github.io/Logging_0188/tillsyn/A 27870-2022 tillsynsbegäran.docx", "A 27870-2022")</f>
        <v/>
      </c>
      <c r="Y60">
        <f>HYPERLINK("https://klasma.github.io/Logging_0188/tillsynsmail/A 27870-2022 tillsynsbegäran mail.docx", "A 27870-2022")</f>
        <v/>
      </c>
    </row>
    <row r="61" ht="15" customHeight="1">
      <c r="A61" t="inlineStr">
        <is>
          <t>A 2851-2023</t>
        </is>
      </c>
      <c r="B61" s="1" t="n">
        <v>44945</v>
      </c>
      <c r="C61" s="1" t="n">
        <v>46079</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46079</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53065-2024</t>
        </is>
      </c>
      <c r="B63" s="1" t="n">
        <v>45611.47233796296</v>
      </c>
      <c r="C63" s="1" t="n">
        <v>46079</v>
      </c>
      <c r="D63" t="inlineStr">
        <is>
          <t>STOCKHOLMS LÄN</t>
        </is>
      </c>
      <c r="E63" t="inlineStr">
        <is>
          <t>NORRTÄLJE</t>
        </is>
      </c>
      <c r="G63" t="n">
        <v>12.3</v>
      </c>
      <c r="H63" t="n">
        <v>0</v>
      </c>
      <c r="I63" t="n">
        <v>1</v>
      </c>
      <c r="J63" t="n">
        <v>1</v>
      </c>
      <c r="K63" t="n">
        <v>1</v>
      </c>
      <c r="L63" t="n">
        <v>0</v>
      </c>
      <c r="M63" t="n">
        <v>0</v>
      </c>
      <c r="N63" t="n">
        <v>0</v>
      </c>
      <c r="O63" t="n">
        <v>2</v>
      </c>
      <c r="P63" t="n">
        <v>1</v>
      </c>
      <c r="Q63" t="n">
        <v>3</v>
      </c>
      <c r="R63" s="2" t="inlineStr">
        <is>
          <t>Aspsplintbock
Grön aspvedbock
Gulröd blankbock</t>
        </is>
      </c>
      <c r="S63">
        <f>HYPERLINK("https://klasma.github.io/Logging_0188/artfynd/A 53065-2024 artfynd.xlsx", "A 53065-2024")</f>
        <v/>
      </c>
      <c r="T63">
        <f>HYPERLINK("https://klasma.github.io/Logging_0188/kartor/A 53065-2024 karta.png", "A 53065-2024")</f>
        <v/>
      </c>
      <c r="V63">
        <f>HYPERLINK("https://klasma.github.io/Logging_0188/klagomål/A 53065-2024 FSC-klagomål.docx", "A 53065-2024")</f>
        <v/>
      </c>
      <c r="W63">
        <f>HYPERLINK("https://klasma.github.io/Logging_0188/klagomålsmail/A 53065-2024 FSC-klagomål mail.docx", "A 53065-2024")</f>
        <v/>
      </c>
      <c r="X63">
        <f>HYPERLINK("https://klasma.github.io/Logging_0188/tillsyn/A 53065-2024 tillsynsbegäran.docx", "A 53065-2024")</f>
        <v/>
      </c>
      <c r="Y63">
        <f>HYPERLINK("https://klasma.github.io/Logging_0188/tillsynsmail/A 53065-2024 tillsynsbegäran mail.docx", "A 53065-2024")</f>
        <v/>
      </c>
    </row>
    <row r="64" ht="15" customHeight="1">
      <c r="A64" t="inlineStr">
        <is>
          <t>A 54110-2024</t>
        </is>
      </c>
      <c r="B64" s="1" t="n">
        <v>45616.54866898148</v>
      </c>
      <c r="C64" s="1" t="n">
        <v>46079</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25270-2025</t>
        </is>
      </c>
      <c r="B65" s="1" t="n">
        <v>45800</v>
      </c>
      <c r="C65" s="1" t="n">
        <v>46079</v>
      </c>
      <c r="D65" t="inlineStr">
        <is>
          <t>STOCKHOLMS LÄN</t>
        </is>
      </c>
      <c r="E65" t="inlineStr">
        <is>
          <t>NORRTÄLJE</t>
        </is>
      </c>
      <c r="F65" t="inlineStr">
        <is>
          <t>Övriga Aktiebolag</t>
        </is>
      </c>
      <c r="G65" t="n">
        <v>30</v>
      </c>
      <c r="H65" t="n">
        <v>0</v>
      </c>
      <c r="I65" t="n">
        <v>2</v>
      </c>
      <c r="J65" t="n">
        <v>1</v>
      </c>
      <c r="K65" t="n">
        <v>0</v>
      </c>
      <c r="L65" t="n">
        <v>0</v>
      </c>
      <c r="M65" t="n">
        <v>0</v>
      </c>
      <c r="N65" t="n">
        <v>0</v>
      </c>
      <c r="O65" t="n">
        <v>1</v>
      </c>
      <c r="P65" t="n">
        <v>0</v>
      </c>
      <c r="Q65" t="n">
        <v>3</v>
      </c>
      <c r="R65" s="2" t="inlineStr">
        <is>
          <t>Kandelabersvamp
Fjällig taggsvamp s.str.
Skarp dropptaggsvamp</t>
        </is>
      </c>
      <c r="S65">
        <f>HYPERLINK("https://klasma.github.io/Logging_0188/artfynd/A 25270-2025 artfynd.xlsx", "A 25270-2025")</f>
        <v/>
      </c>
      <c r="T65">
        <f>HYPERLINK("https://klasma.github.io/Logging_0188/kartor/A 25270-2025 karta.png", "A 25270-2025")</f>
        <v/>
      </c>
      <c r="V65">
        <f>HYPERLINK("https://klasma.github.io/Logging_0188/klagomål/A 25270-2025 FSC-klagomål.docx", "A 25270-2025")</f>
        <v/>
      </c>
      <c r="W65">
        <f>HYPERLINK("https://klasma.github.io/Logging_0188/klagomålsmail/A 25270-2025 FSC-klagomål mail.docx", "A 25270-2025")</f>
        <v/>
      </c>
      <c r="X65">
        <f>HYPERLINK("https://klasma.github.io/Logging_0188/tillsyn/A 25270-2025 tillsynsbegäran.docx", "A 25270-2025")</f>
        <v/>
      </c>
      <c r="Y65">
        <f>HYPERLINK("https://klasma.github.io/Logging_0188/tillsynsmail/A 25270-2025 tillsynsbegäran mail.docx", "A 25270-2025")</f>
        <v/>
      </c>
    </row>
    <row r="66" ht="15" customHeight="1">
      <c r="A66" t="inlineStr">
        <is>
          <t>A 50618-2022</t>
        </is>
      </c>
      <c r="B66" s="1" t="n">
        <v>44866</v>
      </c>
      <c r="C66" s="1" t="n">
        <v>46079</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29185-2025</t>
        </is>
      </c>
      <c r="B67" s="1" t="n">
        <v>45821</v>
      </c>
      <c r="C67" s="1" t="n">
        <v>46079</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52726-2025</t>
        </is>
      </c>
      <c r="B68" s="1" t="n">
        <v>45957.34722222222</v>
      </c>
      <c r="C68" s="1" t="n">
        <v>46079</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34524-2025</t>
        </is>
      </c>
      <c r="B69" s="1" t="n">
        <v>45847.47685185185</v>
      </c>
      <c r="C69" s="1" t="n">
        <v>46079</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52133-2022</t>
        </is>
      </c>
      <c r="B70" s="1" t="n">
        <v>44868</v>
      </c>
      <c r="C70" s="1" t="n">
        <v>46079</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46079</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46079</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46079</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46079</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46079</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46079</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46079</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52124-2022</t>
        </is>
      </c>
      <c r="B78" s="1" t="n">
        <v>44868</v>
      </c>
      <c r="C78" s="1" t="n">
        <v>46079</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22190-2024</t>
        </is>
      </c>
      <c r="B79" s="1" t="n">
        <v>45446.35888888889</v>
      </c>
      <c r="C79" s="1" t="n">
        <v>46079</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51980-2022</t>
        </is>
      </c>
      <c r="B80" s="1" t="n">
        <v>44872</v>
      </c>
      <c r="C80" s="1" t="n">
        <v>46079</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17952-2022</t>
        </is>
      </c>
      <c r="B81" s="1" t="n">
        <v>44683</v>
      </c>
      <c r="C81" s="1" t="n">
        <v>46079</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52360-2024</t>
        </is>
      </c>
      <c r="B82" s="1" t="n">
        <v>45609.37094907407</v>
      </c>
      <c r="C82" s="1" t="n">
        <v>46079</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50697-2025</t>
        </is>
      </c>
      <c r="B83" s="1" t="n">
        <v>45945.90854166666</v>
      </c>
      <c r="C83" s="1" t="n">
        <v>46079</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33548-2025</t>
        </is>
      </c>
      <c r="B84" s="1" t="n">
        <v>45841.5721875</v>
      </c>
      <c r="C84" s="1" t="n">
        <v>46079</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52825-2023</t>
        </is>
      </c>
      <c r="B85" s="1" t="n">
        <v>45226</v>
      </c>
      <c r="C85" s="1" t="n">
        <v>46079</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53608-2025</t>
        </is>
      </c>
      <c r="B86" s="1" t="n">
        <v>45960</v>
      </c>
      <c r="C86" s="1" t="n">
        <v>46079</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46079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46079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46079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46079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46079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46079</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58888-2021</t>
        </is>
      </c>
      <c r="B93" s="1" t="n">
        <v>44489</v>
      </c>
      <c r="C93" s="1" t="n">
        <v>46079</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52611-2024</t>
        </is>
      </c>
      <c r="B94" s="1" t="n">
        <v>45609.83747685186</v>
      </c>
      <c r="C94" s="1" t="n">
        <v>46079</v>
      </c>
      <c r="D94" t="inlineStr">
        <is>
          <t>STOCKHOLMS LÄN</t>
        </is>
      </c>
      <c r="E94" t="inlineStr">
        <is>
          <t>NORRTÄLJE</t>
        </is>
      </c>
      <c r="G94" t="n">
        <v>10.6</v>
      </c>
      <c r="H94" t="n">
        <v>1</v>
      </c>
      <c r="I94" t="n">
        <v>0</v>
      </c>
      <c r="J94" t="n">
        <v>0</v>
      </c>
      <c r="K94" t="n">
        <v>0</v>
      </c>
      <c r="L94" t="n">
        <v>0</v>
      </c>
      <c r="M94" t="n">
        <v>0</v>
      </c>
      <c r="N94" t="n">
        <v>0</v>
      </c>
      <c r="O94" t="n">
        <v>0</v>
      </c>
      <c r="P94" t="n">
        <v>0</v>
      </c>
      <c r="Q94" t="n">
        <v>1</v>
      </c>
      <c r="R94" s="2" t="inlineStr">
        <is>
          <t>Blåsippa</t>
        </is>
      </c>
      <c r="S94">
        <f>HYPERLINK("https://klasma.github.io/Logging_0188/artfynd/A 52611-2024 artfynd.xlsx", "A 52611-2024")</f>
        <v/>
      </c>
      <c r="T94">
        <f>HYPERLINK("https://klasma.github.io/Logging_0188/kartor/A 52611-2024 karta.png", "A 52611-2024")</f>
        <v/>
      </c>
      <c r="V94">
        <f>HYPERLINK("https://klasma.github.io/Logging_0188/klagomål/A 52611-2024 FSC-klagomål.docx", "A 52611-2024")</f>
        <v/>
      </c>
      <c r="W94">
        <f>HYPERLINK("https://klasma.github.io/Logging_0188/klagomålsmail/A 52611-2024 FSC-klagomål mail.docx", "A 52611-2024")</f>
        <v/>
      </c>
      <c r="X94">
        <f>HYPERLINK("https://klasma.github.io/Logging_0188/tillsyn/A 52611-2024 tillsynsbegäran.docx", "A 52611-2024")</f>
        <v/>
      </c>
      <c r="Y94">
        <f>HYPERLINK("https://klasma.github.io/Logging_0188/tillsynsmail/A 52611-2024 tillsynsbegäran mail.docx", "A 52611-2024")</f>
        <v/>
      </c>
    </row>
    <row r="95" ht="15" customHeight="1">
      <c r="A95" t="inlineStr">
        <is>
          <t>A 47898-2022</t>
        </is>
      </c>
      <c r="B95" s="1" t="n">
        <v>44855</v>
      </c>
      <c r="C95" s="1" t="n">
        <v>46079</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52508-2023</t>
        </is>
      </c>
      <c r="B96" s="1" t="n">
        <v>45225</v>
      </c>
      <c r="C96" s="1" t="n">
        <v>46079</v>
      </c>
      <c r="D96" t="inlineStr">
        <is>
          <t>STOCKHOLMS LÄN</t>
        </is>
      </c>
      <c r="E96" t="inlineStr">
        <is>
          <t>NORRTÄLJE</t>
        </is>
      </c>
      <c r="G96" t="n">
        <v>19.7</v>
      </c>
      <c r="H96" t="n">
        <v>1</v>
      </c>
      <c r="I96" t="n">
        <v>0</v>
      </c>
      <c r="J96" t="n">
        <v>0</v>
      </c>
      <c r="K96" t="n">
        <v>1</v>
      </c>
      <c r="L96" t="n">
        <v>0</v>
      </c>
      <c r="M96" t="n">
        <v>0</v>
      </c>
      <c r="N96" t="n">
        <v>0</v>
      </c>
      <c r="O96" t="n">
        <v>1</v>
      </c>
      <c r="P96" t="n">
        <v>1</v>
      </c>
      <c r="Q96" t="n">
        <v>1</v>
      </c>
      <c r="R96" s="2" t="inlineStr">
        <is>
          <t>Svärta</t>
        </is>
      </c>
      <c r="S96">
        <f>HYPERLINK("https://klasma.github.io/Logging_0188/artfynd/A 52508-2023 artfynd.xlsx", "A 52508-2023")</f>
        <v/>
      </c>
      <c r="T96">
        <f>HYPERLINK("https://klasma.github.io/Logging_0188/kartor/A 52508-2023 karta.png", "A 52508-2023")</f>
        <v/>
      </c>
      <c r="V96">
        <f>HYPERLINK("https://klasma.github.io/Logging_0188/klagomål/A 52508-2023 FSC-klagomål.docx", "A 52508-2023")</f>
        <v/>
      </c>
      <c r="W96">
        <f>HYPERLINK("https://klasma.github.io/Logging_0188/klagomålsmail/A 52508-2023 FSC-klagomål mail.docx", "A 52508-2023")</f>
        <v/>
      </c>
      <c r="X96">
        <f>HYPERLINK("https://klasma.github.io/Logging_0188/tillsyn/A 52508-2023 tillsynsbegäran.docx", "A 52508-2023")</f>
        <v/>
      </c>
      <c r="Y96">
        <f>HYPERLINK("https://klasma.github.io/Logging_0188/tillsynsmail/A 52508-2023 tillsynsbegäran mail.docx", "A 52508-2023")</f>
        <v/>
      </c>
    </row>
    <row r="97" ht="15" customHeight="1">
      <c r="A97" t="inlineStr">
        <is>
          <t>A 4595-2023</t>
        </is>
      </c>
      <c r="B97" s="1" t="n">
        <v>44956</v>
      </c>
      <c r="C97" s="1" t="n">
        <v>46079</v>
      </c>
      <c r="D97" t="inlineStr">
        <is>
          <t>STOCKHOLMS LÄN</t>
        </is>
      </c>
      <c r="E97" t="inlineStr">
        <is>
          <t>NORRTÄLJE</t>
        </is>
      </c>
      <c r="G97" t="n">
        <v>0.6</v>
      </c>
      <c r="H97" t="n">
        <v>1</v>
      </c>
      <c r="I97" t="n">
        <v>0</v>
      </c>
      <c r="J97" t="n">
        <v>0</v>
      </c>
      <c r="K97" t="n">
        <v>0</v>
      </c>
      <c r="L97" t="n">
        <v>0</v>
      </c>
      <c r="M97" t="n">
        <v>0</v>
      </c>
      <c r="N97" t="n">
        <v>0</v>
      </c>
      <c r="O97" t="n">
        <v>0</v>
      </c>
      <c r="P97" t="n">
        <v>0</v>
      </c>
      <c r="Q97" t="n">
        <v>1</v>
      </c>
      <c r="R97" s="2" t="inlineStr">
        <is>
          <t>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21744-2023</t>
        </is>
      </c>
      <c r="B98" s="1" t="n">
        <v>45065</v>
      </c>
      <c r="C98" s="1" t="n">
        <v>46079</v>
      </c>
      <c r="D98" t="inlineStr">
        <is>
          <t>STOCKHOLMS LÄN</t>
        </is>
      </c>
      <c r="E98" t="inlineStr">
        <is>
          <t>NORRTÄLJE</t>
        </is>
      </c>
      <c r="F98" t="inlineStr">
        <is>
          <t>Holmen skog AB</t>
        </is>
      </c>
      <c r="G98" t="n">
        <v>4.2</v>
      </c>
      <c r="H98" t="n">
        <v>0</v>
      </c>
      <c r="I98" t="n">
        <v>1</v>
      </c>
      <c r="J98" t="n">
        <v>0</v>
      </c>
      <c r="K98" t="n">
        <v>0</v>
      </c>
      <c r="L98" t="n">
        <v>0</v>
      </c>
      <c r="M98" t="n">
        <v>0</v>
      </c>
      <c r="N98" t="n">
        <v>0</v>
      </c>
      <c r="O98" t="n">
        <v>0</v>
      </c>
      <c r="P98" t="n">
        <v>0</v>
      </c>
      <c r="Q98" t="n">
        <v>1</v>
      </c>
      <c r="R98" s="2" t="inlineStr">
        <is>
          <t>Korallblylav</t>
        </is>
      </c>
      <c r="S98">
        <f>HYPERLINK("https://klasma.github.io/Logging_0188/artfynd/A 21744-2023 artfynd.xlsx", "A 21744-2023")</f>
        <v/>
      </c>
      <c r="T98">
        <f>HYPERLINK("https://klasma.github.io/Logging_0188/kartor/A 21744-2023 karta.png", "A 21744-2023")</f>
        <v/>
      </c>
      <c r="V98">
        <f>HYPERLINK("https://klasma.github.io/Logging_0188/klagomål/A 21744-2023 FSC-klagomål.docx", "A 21744-2023")</f>
        <v/>
      </c>
      <c r="W98">
        <f>HYPERLINK("https://klasma.github.io/Logging_0188/klagomålsmail/A 21744-2023 FSC-klagomål mail.docx", "A 21744-2023")</f>
        <v/>
      </c>
      <c r="X98">
        <f>HYPERLINK("https://klasma.github.io/Logging_0188/tillsyn/A 21744-2023 tillsynsbegäran.docx", "A 21744-2023")</f>
        <v/>
      </c>
      <c r="Y98">
        <f>HYPERLINK("https://klasma.github.io/Logging_0188/tillsynsmail/A 21744-2023 tillsynsbegäran mail.docx", "A 21744-2023")</f>
        <v/>
      </c>
    </row>
    <row r="99" ht="15" customHeight="1">
      <c r="A99" t="inlineStr">
        <is>
          <t>A 48131-2023</t>
        </is>
      </c>
      <c r="B99" s="1" t="n">
        <v>45205</v>
      </c>
      <c r="C99" s="1" t="n">
        <v>46079</v>
      </c>
      <c r="D99" t="inlineStr">
        <is>
          <t>STOCKHOLMS LÄN</t>
        </is>
      </c>
      <c r="E99" t="inlineStr">
        <is>
          <t>NORRTÄLJE</t>
        </is>
      </c>
      <c r="G99" t="n">
        <v>2.3</v>
      </c>
      <c r="H99" t="n">
        <v>0</v>
      </c>
      <c r="I99" t="n">
        <v>0</v>
      </c>
      <c r="J99" t="n">
        <v>1</v>
      </c>
      <c r="K99" t="n">
        <v>0</v>
      </c>
      <c r="L99" t="n">
        <v>0</v>
      </c>
      <c r="M99" t="n">
        <v>0</v>
      </c>
      <c r="N99" t="n">
        <v>0</v>
      </c>
      <c r="O99" t="n">
        <v>1</v>
      </c>
      <c r="P99" t="n">
        <v>0</v>
      </c>
      <c r="Q99" t="n">
        <v>1</v>
      </c>
      <c r="R99" s="2" t="inlineStr">
        <is>
          <t>Slåtterfibbla</t>
        </is>
      </c>
      <c r="S99">
        <f>HYPERLINK("https://klasma.github.io/Logging_0188/artfynd/A 48131-2023 artfynd.xlsx", "A 48131-2023")</f>
        <v/>
      </c>
      <c r="T99">
        <f>HYPERLINK("https://klasma.github.io/Logging_0188/kartor/A 48131-2023 karta.png", "A 48131-2023")</f>
        <v/>
      </c>
      <c r="V99">
        <f>HYPERLINK("https://klasma.github.io/Logging_0188/klagomål/A 48131-2023 FSC-klagomål.docx", "A 48131-2023")</f>
        <v/>
      </c>
      <c r="W99">
        <f>HYPERLINK("https://klasma.github.io/Logging_0188/klagomålsmail/A 48131-2023 FSC-klagomål mail.docx", "A 48131-2023")</f>
        <v/>
      </c>
      <c r="X99">
        <f>HYPERLINK("https://klasma.github.io/Logging_0188/tillsyn/A 48131-2023 tillsynsbegäran.docx", "A 48131-2023")</f>
        <v/>
      </c>
      <c r="Y99">
        <f>HYPERLINK("https://klasma.github.io/Logging_0188/tillsynsmail/A 48131-2023 tillsynsbegäran mail.docx", "A 48131-2023")</f>
        <v/>
      </c>
    </row>
    <row r="100" ht="15" customHeight="1">
      <c r="A100" t="inlineStr">
        <is>
          <t>A 4860-2022</t>
        </is>
      </c>
      <c r="B100" s="1" t="n">
        <v>44592</v>
      </c>
      <c r="C100" s="1" t="n">
        <v>46079</v>
      </c>
      <c r="D100" t="inlineStr">
        <is>
          <t>STOCKHOLMS LÄN</t>
        </is>
      </c>
      <c r="E100" t="inlineStr">
        <is>
          <t>NORRTÄLJE</t>
        </is>
      </c>
      <c r="G100" t="n">
        <v>22.3</v>
      </c>
      <c r="H100" t="n">
        <v>0</v>
      </c>
      <c r="I100" t="n">
        <v>0</v>
      </c>
      <c r="J100" t="n">
        <v>1</v>
      </c>
      <c r="K100" t="n">
        <v>0</v>
      </c>
      <c r="L100" t="n">
        <v>0</v>
      </c>
      <c r="M100" t="n">
        <v>0</v>
      </c>
      <c r="N100" t="n">
        <v>0</v>
      </c>
      <c r="O100" t="n">
        <v>1</v>
      </c>
      <c r="P100" t="n">
        <v>0</v>
      </c>
      <c r="Q100" t="n">
        <v>1</v>
      </c>
      <c r="R100" s="2" t="inlineStr">
        <is>
          <t>Igelkott</t>
        </is>
      </c>
      <c r="S100">
        <f>HYPERLINK("https://klasma.github.io/Logging_0188/artfynd/A 4860-2022 artfynd.xlsx", "A 4860-2022")</f>
        <v/>
      </c>
      <c r="T100">
        <f>HYPERLINK("https://klasma.github.io/Logging_0188/kartor/A 4860-2022 karta.png", "A 4860-2022")</f>
        <v/>
      </c>
      <c r="V100">
        <f>HYPERLINK("https://klasma.github.io/Logging_0188/klagomål/A 4860-2022 FSC-klagomål.docx", "A 4860-2022")</f>
        <v/>
      </c>
      <c r="W100">
        <f>HYPERLINK("https://klasma.github.io/Logging_0188/klagomålsmail/A 4860-2022 FSC-klagomål mail.docx", "A 4860-2022")</f>
        <v/>
      </c>
      <c r="X100">
        <f>HYPERLINK("https://klasma.github.io/Logging_0188/tillsyn/A 4860-2022 tillsynsbegäran.docx", "A 4860-2022")</f>
        <v/>
      </c>
      <c r="Y100">
        <f>HYPERLINK("https://klasma.github.io/Logging_0188/tillsynsmail/A 4860-2022 tillsynsbegäran mail.docx", "A 4860-2022")</f>
        <v/>
      </c>
    </row>
    <row r="101" ht="15" customHeight="1">
      <c r="A101" t="inlineStr">
        <is>
          <t>A 23146-2024</t>
        </is>
      </c>
      <c r="B101" s="1" t="n">
        <v>45450.63958333333</v>
      </c>
      <c r="C101" s="1" t="n">
        <v>46079</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27827-2022</t>
        </is>
      </c>
      <c r="B102" s="1" t="n">
        <v>44743.59504629629</v>
      </c>
      <c r="C102" s="1" t="n">
        <v>46079</v>
      </c>
      <c r="D102" t="inlineStr">
        <is>
          <t>STOCKHOLMS LÄN</t>
        </is>
      </c>
      <c r="E102" t="inlineStr">
        <is>
          <t>NORRTÄLJE</t>
        </is>
      </c>
      <c r="F102" t="inlineStr">
        <is>
          <t>Holmen skog AB</t>
        </is>
      </c>
      <c r="G102" t="n">
        <v>4.7</v>
      </c>
      <c r="H102" t="n">
        <v>1</v>
      </c>
      <c r="I102" t="n">
        <v>0</v>
      </c>
      <c r="J102" t="n">
        <v>1</v>
      </c>
      <c r="K102" t="n">
        <v>0</v>
      </c>
      <c r="L102" t="n">
        <v>0</v>
      </c>
      <c r="M102" t="n">
        <v>0</v>
      </c>
      <c r="N102" t="n">
        <v>0</v>
      </c>
      <c r="O102" t="n">
        <v>1</v>
      </c>
      <c r="P102" t="n">
        <v>0</v>
      </c>
      <c r="Q102" t="n">
        <v>1</v>
      </c>
      <c r="R102" s="2" t="inlineStr">
        <is>
          <t>Nordfladdermus</t>
        </is>
      </c>
      <c r="S102">
        <f>HYPERLINK("https://klasma.github.io/Logging_0188/artfynd/A 27827-2022 artfynd.xlsx", "A 27827-2022")</f>
        <v/>
      </c>
      <c r="T102">
        <f>HYPERLINK("https://klasma.github.io/Logging_0188/kartor/A 27827-2022 karta.png", "A 27827-2022")</f>
        <v/>
      </c>
      <c r="V102">
        <f>HYPERLINK("https://klasma.github.io/Logging_0188/klagomål/A 27827-2022 FSC-klagomål.docx", "A 27827-2022")</f>
        <v/>
      </c>
      <c r="W102">
        <f>HYPERLINK("https://klasma.github.io/Logging_0188/klagomålsmail/A 27827-2022 FSC-klagomål mail.docx", "A 27827-2022")</f>
        <v/>
      </c>
      <c r="X102">
        <f>HYPERLINK("https://klasma.github.io/Logging_0188/tillsyn/A 27827-2022 tillsynsbegäran.docx", "A 27827-2022")</f>
        <v/>
      </c>
      <c r="Y102">
        <f>HYPERLINK("https://klasma.github.io/Logging_0188/tillsynsmail/A 27827-2022 tillsynsbegäran mail.docx", "A 27827-2022")</f>
        <v/>
      </c>
    </row>
    <row r="103" ht="15" customHeight="1">
      <c r="A103" t="inlineStr">
        <is>
          <t>A 27538-2024</t>
        </is>
      </c>
      <c r="B103" s="1" t="n">
        <v>45474</v>
      </c>
      <c r="C103" s="1" t="n">
        <v>46079</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13291-2025</t>
        </is>
      </c>
      <c r="B104" s="1" t="n">
        <v>45735</v>
      </c>
      <c r="C104" s="1" t="n">
        <v>46079</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4385-2023</t>
        </is>
      </c>
      <c r="B105" s="1" t="n">
        <v>44955.71322916666</v>
      </c>
      <c r="C105" s="1" t="n">
        <v>46079</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24330-2023</t>
        </is>
      </c>
      <c r="B106" s="1" t="n">
        <v>45081</v>
      </c>
      <c r="C106" s="1" t="n">
        <v>46079</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24535-2023</t>
        </is>
      </c>
      <c r="B107" s="1" t="n">
        <v>45082</v>
      </c>
      <c r="C107" s="1" t="n">
        <v>46079</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9955-2022</t>
        </is>
      </c>
      <c r="B108" s="1" t="n">
        <v>44620</v>
      </c>
      <c r="C108" s="1" t="n">
        <v>46079</v>
      </c>
      <c r="D108" t="inlineStr">
        <is>
          <t>STOCKHOLMS LÄN</t>
        </is>
      </c>
      <c r="E108" t="inlineStr">
        <is>
          <t>NORRTÄLJE</t>
        </is>
      </c>
      <c r="G108" t="n">
        <v>7.8</v>
      </c>
      <c r="H108" t="n">
        <v>1</v>
      </c>
      <c r="I108" t="n">
        <v>0</v>
      </c>
      <c r="J108" t="n">
        <v>0</v>
      </c>
      <c r="K108" t="n">
        <v>0</v>
      </c>
      <c r="L108" t="n">
        <v>0</v>
      </c>
      <c r="M108" t="n">
        <v>0</v>
      </c>
      <c r="N108" t="n">
        <v>0</v>
      </c>
      <c r="O108" t="n">
        <v>0</v>
      </c>
      <c r="P108" t="n">
        <v>0</v>
      </c>
      <c r="Q108" t="n">
        <v>1</v>
      </c>
      <c r="R108" s="2" t="inlineStr">
        <is>
          <t>Åkergroda</t>
        </is>
      </c>
      <c r="S108">
        <f>HYPERLINK("https://klasma.github.io/Logging_0188/artfynd/A 9955-2022 artfynd.xlsx", "A 9955-2022")</f>
        <v/>
      </c>
      <c r="T108">
        <f>HYPERLINK("https://klasma.github.io/Logging_0188/kartor/A 9955-2022 karta.png", "A 9955-2022")</f>
        <v/>
      </c>
      <c r="V108">
        <f>HYPERLINK("https://klasma.github.io/Logging_0188/klagomål/A 9955-2022 FSC-klagomål.docx", "A 9955-2022")</f>
        <v/>
      </c>
      <c r="W108">
        <f>HYPERLINK("https://klasma.github.io/Logging_0188/klagomålsmail/A 9955-2022 FSC-klagomål mail.docx", "A 9955-2022")</f>
        <v/>
      </c>
      <c r="X108">
        <f>HYPERLINK("https://klasma.github.io/Logging_0188/tillsyn/A 9955-2022 tillsynsbegäran.docx", "A 9955-2022")</f>
        <v/>
      </c>
      <c r="Y108">
        <f>HYPERLINK("https://klasma.github.io/Logging_0188/tillsynsmail/A 9955-2022 tillsynsbegäran mail.docx", "A 9955-2022")</f>
        <v/>
      </c>
    </row>
    <row r="109" ht="15" customHeight="1">
      <c r="A109" t="inlineStr">
        <is>
          <t>A 26635-2023</t>
        </is>
      </c>
      <c r="B109" s="1" t="n">
        <v>45092</v>
      </c>
      <c r="C109" s="1" t="n">
        <v>46079</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28816-2023</t>
        </is>
      </c>
      <c r="B110" s="1" t="n">
        <v>45104</v>
      </c>
      <c r="C110" s="1" t="n">
        <v>46079</v>
      </c>
      <c r="D110" t="inlineStr">
        <is>
          <t>STOCKHOLMS LÄN</t>
        </is>
      </c>
      <c r="E110" t="inlineStr">
        <is>
          <t>NORRTÄLJE</t>
        </is>
      </c>
      <c r="F110" t="inlineStr">
        <is>
          <t>Kommuner</t>
        </is>
      </c>
      <c r="G110" t="n">
        <v>0.5</v>
      </c>
      <c r="H110" t="n">
        <v>1</v>
      </c>
      <c r="I110" t="n">
        <v>0</v>
      </c>
      <c r="J110" t="n">
        <v>0</v>
      </c>
      <c r="K110" t="n">
        <v>0</v>
      </c>
      <c r="L110" t="n">
        <v>0</v>
      </c>
      <c r="M110" t="n">
        <v>0</v>
      </c>
      <c r="N110" t="n">
        <v>0</v>
      </c>
      <c r="O110" t="n">
        <v>0</v>
      </c>
      <c r="P110" t="n">
        <v>0</v>
      </c>
      <c r="Q110" t="n">
        <v>1</v>
      </c>
      <c r="R110" s="2" t="inlineStr">
        <is>
          <t>Kungsfågel</t>
        </is>
      </c>
      <c r="S110">
        <f>HYPERLINK("https://klasma.github.io/Logging_0188/artfynd/A 28816-2023 artfynd.xlsx", "A 28816-2023")</f>
        <v/>
      </c>
      <c r="T110">
        <f>HYPERLINK("https://klasma.github.io/Logging_0188/kartor/A 28816-2023 karta.png", "A 28816-2023")</f>
        <v/>
      </c>
      <c r="V110">
        <f>HYPERLINK("https://klasma.github.io/Logging_0188/klagomål/A 28816-2023 FSC-klagomål.docx", "A 28816-2023")</f>
        <v/>
      </c>
      <c r="W110">
        <f>HYPERLINK("https://klasma.github.io/Logging_0188/klagomålsmail/A 28816-2023 FSC-klagomål mail.docx", "A 28816-2023")</f>
        <v/>
      </c>
      <c r="X110">
        <f>HYPERLINK("https://klasma.github.io/Logging_0188/tillsyn/A 28816-2023 tillsynsbegäran.docx", "A 28816-2023")</f>
        <v/>
      </c>
      <c r="Y110">
        <f>HYPERLINK("https://klasma.github.io/Logging_0188/tillsynsmail/A 28816-2023 tillsynsbegäran mail.docx", "A 28816-2023")</f>
        <v/>
      </c>
      <c r="Z110">
        <f>HYPERLINK("https://klasma.github.io/Logging_0188/fåglar/A 28816-2023 prioriterade fågelarter.docx", "A 28816-2023")</f>
        <v/>
      </c>
    </row>
    <row r="111" ht="15" customHeight="1">
      <c r="A111" t="inlineStr">
        <is>
          <t>A 40861-2025</t>
        </is>
      </c>
      <c r="B111" s="1" t="n">
        <v>45897.56356481482</v>
      </c>
      <c r="C111" s="1" t="n">
        <v>46079</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19829-2022</t>
        </is>
      </c>
      <c r="B112" s="1" t="n">
        <v>44695.43527777777</v>
      </c>
      <c r="C112" s="1" t="n">
        <v>46079</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13271-2025</t>
        </is>
      </c>
      <c r="B113" s="1" t="n">
        <v>45735.54510416667</v>
      </c>
      <c r="C113" s="1" t="n">
        <v>46079</v>
      </c>
      <c r="D113" t="inlineStr">
        <is>
          <t>STOCKHOLMS LÄN</t>
        </is>
      </c>
      <c r="E113" t="inlineStr">
        <is>
          <t>NORRTÄLJE</t>
        </is>
      </c>
      <c r="G113" t="n">
        <v>7.2</v>
      </c>
      <c r="H113" t="n">
        <v>1</v>
      </c>
      <c r="I113" t="n">
        <v>0</v>
      </c>
      <c r="J113" t="n">
        <v>0</v>
      </c>
      <c r="K113" t="n">
        <v>0</v>
      </c>
      <c r="L113" t="n">
        <v>1</v>
      </c>
      <c r="M113" t="n">
        <v>0</v>
      </c>
      <c r="N113" t="n">
        <v>0</v>
      </c>
      <c r="O113" t="n">
        <v>1</v>
      </c>
      <c r="P113" t="n">
        <v>1</v>
      </c>
      <c r="Q113" t="n">
        <v>1</v>
      </c>
      <c r="R113" s="2" t="inlineStr">
        <is>
          <t>Asknätfjäril</t>
        </is>
      </c>
      <c r="S113">
        <f>HYPERLINK("https://klasma.github.io/Logging_0188/artfynd/A 13271-2025 artfynd.xlsx", "A 13271-2025")</f>
        <v/>
      </c>
      <c r="T113">
        <f>HYPERLINK("https://klasma.github.io/Logging_0188/kartor/A 13271-2025 karta.png", "A 13271-2025")</f>
        <v/>
      </c>
      <c r="V113">
        <f>HYPERLINK("https://klasma.github.io/Logging_0188/klagomål/A 13271-2025 FSC-klagomål.docx", "A 13271-2025")</f>
        <v/>
      </c>
      <c r="W113">
        <f>HYPERLINK("https://klasma.github.io/Logging_0188/klagomålsmail/A 13271-2025 FSC-klagomål mail.docx", "A 13271-2025")</f>
        <v/>
      </c>
      <c r="X113">
        <f>HYPERLINK("https://klasma.github.io/Logging_0188/tillsyn/A 13271-2025 tillsynsbegäran.docx", "A 13271-2025")</f>
        <v/>
      </c>
      <c r="Y113">
        <f>HYPERLINK("https://klasma.github.io/Logging_0188/tillsynsmail/A 13271-2025 tillsynsbegäran mail.docx", "A 13271-2025")</f>
        <v/>
      </c>
    </row>
    <row r="114" ht="15" customHeight="1">
      <c r="A114" t="inlineStr">
        <is>
          <t>A 35691-2023</t>
        </is>
      </c>
      <c r="B114" s="1" t="n">
        <v>45147.65222222222</v>
      </c>
      <c r="C114" s="1" t="n">
        <v>46079</v>
      </c>
      <c r="D114" t="inlineStr">
        <is>
          <t>STOCKHOLMS LÄN</t>
        </is>
      </c>
      <c r="E114" t="inlineStr">
        <is>
          <t>NORRTÄLJE</t>
        </is>
      </c>
      <c r="G114" t="n">
        <v>2.3</v>
      </c>
      <c r="H114" t="n">
        <v>1</v>
      </c>
      <c r="I114" t="n">
        <v>0</v>
      </c>
      <c r="J114" t="n">
        <v>0</v>
      </c>
      <c r="K114" t="n">
        <v>0</v>
      </c>
      <c r="L114" t="n">
        <v>0</v>
      </c>
      <c r="M114" t="n">
        <v>0</v>
      </c>
      <c r="N114" t="n">
        <v>0</v>
      </c>
      <c r="O114" t="n">
        <v>0</v>
      </c>
      <c r="P114" t="n">
        <v>0</v>
      </c>
      <c r="Q114" t="n">
        <v>1</v>
      </c>
      <c r="R114" s="2" t="inlineStr">
        <is>
          <t>Kungsfågel</t>
        </is>
      </c>
      <c r="S114">
        <f>HYPERLINK("https://klasma.github.io/Logging_0188/artfynd/A 35691-2023 artfynd.xlsx", "A 35691-2023")</f>
        <v/>
      </c>
      <c r="T114">
        <f>HYPERLINK("https://klasma.github.io/Logging_0188/kartor/A 35691-2023 karta.png", "A 35691-2023")</f>
        <v/>
      </c>
      <c r="V114">
        <f>HYPERLINK("https://klasma.github.io/Logging_0188/klagomål/A 35691-2023 FSC-klagomål.docx", "A 35691-2023")</f>
        <v/>
      </c>
      <c r="W114">
        <f>HYPERLINK("https://klasma.github.io/Logging_0188/klagomålsmail/A 35691-2023 FSC-klagomål mail.docx", "A 35691-2023")</f>
        <v/>
      </c>
      <c r="X114">
        <f>HYPERLINK("https://klasma.github.io/Logging_0188/tillsyn/A 35691-2023 tillsynsbegäran.docx", "A 35691-2023")</f>
        <v/>
      </c>
      <c r="Y114">
        <f>HYPERLINK("https://klasma.github.io/Logging_0188/tillsynsmail/A 35691-2023 tillsynsbegäran mail.docx", "A 35691-2023")</f>
        <v/>
      </c>
      <c r="Z114">
        <f>HYPERLINK("https://klasma.github.io/Logging_0188/fåglar/A 35691-2023 prioriterade fågelarter.docx", "A 35691-2023")</f>
        <v/>
      </c>
    </row>
    <row r="115" ht="15" customHeight="1">
      <c r="A115" t="inlineStr">
        <is>
          <t>A 35693-2023</t>
        </is>
      </c>
      <c r="B115" s="1" t="n">
        <v>45147.65311342593</v>
      </c>
      <c r="C115" s="1" t="n">
        <v>46079</v>
      </c>
      <c r="D115" t="inlineStr">
        <is>
          <t>STOCKHOLMS LÄN</t>
        </is>
      </c>
      <c r="E115" t="inlineStr">
        <is>
          <t>NORRTÄLJE</t>
        </is>
      </c>
      <c r="G115" t="n">
        <v>2.2</v>
      </c>
      <c r="H115" t="n">
        <v>0</v>
      </c>
      <c r="I115" t="n">
        <v>0</v>
      </c>
      <c r="J115" t="n">
        <v>1</v>
      </c>
      <c r="K115" t="n">
        <v>0</v>
      </c>
      <c r="L115" t="n">
        <v>0</v>
      </c>
      <c r="M115" t="n">
        <v>0</v>
      </c>
      <c r="N115" t="n">
        <v>0</v>
      </c>
      <c r="O115" t="n">
        <v>1</v>
      </c>
      <c r="P115" t="n">
        <v>0</v>
      </c>
      <c r="Q115" t="n">
        <v>1</v>
      </c>
      <c r="R115" s="2" t="inlineStr">
        <is>
          <t>Motaggsvamp</t>
        </is>
      </c>
      <c r="S115">
        <f>HYPERLINK("https://klasma.github.io/Logging_0188/artfynd/A 35693-2023 artfynd.xlsx", "A 35693-2023")</f>
        <v/>
      </c>
      <c r="T115">
        <f>HYPERLINK("https://klasma.github.io/Logging_0188/kartor/A 35693-2023 karta.png", "A 35693-2023")</f>
        <v/>
      </c>
      <c r="V115">
        <f>HYPERLINK("https://klasma.github.io/Logging_0188/klagomål/A 35693-2023 FSC-klagomål.docx", "A 35693-2023")</f>
        <v/>
      </c>
      <c r="W115">
        <f>HYPERLINK("https://klasma.github.io/Logging_0188/klagomålsmail/A 35693-2023 FSC-klagomål mail.docx", "A 35693-2023")</f>
        <v/>
      </c>
      <c r="X115">
        <f>HYPERLINK("https://klasma.github.io/Logging_0188/tillsyn/A 35693-2023 tillsynsbegäran.docx", "A 35693-2023")</f>
        <v/>
      </c>
      <c r="Y115">
        <f>HYPERLINK("https://klasma.github.io/Logging_0188/tillsynsmail/A 35693-2023 tillsynsbegäran mail.docx", "A 35693-2023")</f>
        <v/>
      </c>
    </row>
    <row r="116" ht="15" customHeight="1">
      <c r="A116" t="inlineStr">
        <is>
          <t>A 23905-2025</t>
        </is>
      </c>
      <c r="B116" s="1" t="n">
        <v>45794.63298611111</v>
      </c>
      <c r="C116" s="1" t="n">
        <v>46079</v>
      </c>
      <c r="D116" t="inlineStr">
        <is>
          <t>STOCKHOLMS LÄN</t>
        </is>
      </c>
      <c r="E116" t="inlineStr">
        <is>
          <t>NORRTÄLJE</t>
        </is>
      </c>
      <c r="G116" t="n">
        <v>8.4</v>
      </c>
      <c r="H116" t="n">
        <v>1</v>
      </c>
      <c r="I116" t="n">
        <v>0</v>
      </c>
      <c r="J116" t="n">
        <v>0</v>
      </c>
      <c r="K116" t="n">
        <v>0</v>
      </c>
      <c r="L116" t="n">
        <v>0</v>
      </c>
      <c r="M116" t="n">
        <v>0</v>
      </c>
      <c r="N116" t="n">
        <v>0</v>
      </c>
      <c r="O116" t="n">
        <v>0</v>
      </c>
      <c r="P116" t="n">
        <v>0</v>
      </c>
      <c r="Q116" t="n">
        <v>1</v>
      </c>
      <c r="R116" s="2" t="inlineStr">
        <is>
          <t>Blåsippa</t>
        </is>
      </c>
      <c r="S116">
        <f>HYPERLINK("https://klasma.github.io/Logging_0188/artfynd/A 23905-2025 artfynd.xlsx", "A 23905-2025")</f>
        <v/>
      </c>
      <c r="T116">
        <f>HYPERLINK("https://klasma.github.io/Logging_0188/kartor/A 23905-2025 karta.png", "A 23905-2025")</f>
        <v/>
      </c>
      <c r="V116">
        <f>HYPERLINK("https://klasma.github.io/Logging_0188/klagomål/A 23905-2025 FSC-klagomål.docx", "A 23905-2025")</f>
        <v/>
      </c>
      <c r="W116">
        <f>HYPERLINK("https://klasma.github.io/Logging_0188/klagomålsmail/A 23905-2025 FSC-klagomål mail.docx", "A 23905-2025")</f>
        <v/>
      </c>
      <c r="X116">
        <f>HYPERLINK("https://klasma.github.io/Logging_0188/tillsyn/A 23905-2025 tillsynsbegäran.docx", "A 23905-2025")</f>
        <v/>
      </c>
      <c r="Y116">
        <f>HYPERLINK("https://klasma.github.io/Logging_0188/tillsynsmail/A 23905-2025 tillsynsbegäran mail.docx", "A 23905-2025")</f>
        <v/>
      </c>
    </row>
    <row r="117" ht="15" customHeight="1">
      <c r="A117" t="inlineStr">
        <is>
          <t>A 42313-2025</t>
        </is>
      </c>
      <c r="B117" s="1" t="n">
        <v>45904.6575</v>
      </c>
      <c r="C117" s="1" t="n">
        <v>46079</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25709-2025</t>
        </is>
      </c>
      <c r="B118" s="1" t="n">
        <v>45800</v>
      </c>
      <c r="C118" s="1" t="n">
        <v>46079</v>
      </c>
      <c r="D118" t="inlineStr">
        <is>
          <t>STOCKHOLMS LÄN</t>
        </is>
      </c>
      <c r="E118" t="inlineStr">
        <is>
          <t>NORRTÄLJE</t>
        </is>
      </c>
      <c r="G118" t="n">
        <v>4.6</v>
      </c>
      <c r="H118" t="n">
        <v>0</v>
      </c>
      <c r="I118" t="n">
        <v>0</v>
      </c>
      <c r="J118" t="n">
        <v>1</v>
      </c>
      <c r="K118" t="n">
        <v>0</v>
      </c>
      <c r="L118" t="n">
        <v>0</v>
      </c>
      <c r="M118" t="n">
        <v>0</v>
      </c>
      <c r="N118" t="n">
        <v>0</v>
      </c>
      <c r="O118" t="n">
        <v>1</v>
      </c>
      <c r="P118" t="n">
        <v>0</v>
      </c>
      <c r="Q118" t="n">
        <v>1</v>
      </c>
      <c r="R118" s="2" t="inlineStr">
        <is>
          <t>Ullticka</t>
        </is>
      </c>
      <c r="S118">
        <f>HYPERLINK("https://klasma.github.io/Logging_0188/artfynd/A 25709-2025 artfynd.xlsx", "A 25709-2025")</f>
        <v/>
      </c>
      <c r="T118">
        <f>HYPERLINK("https://klasma.github.io/Logging_0188/kartor/A 25709-2025 karta.png", "A 25709-2025")</f>
        <v/>
      </c>
      <c r="V118">
        <f>HYPERLINK("https://klasma.github.io/Logging_0188/klagomål/A 25709-2025 FSC-klagomål.docx", "A 25709-2025")</f>
        <v/>
      </c>
      <c r="W118">
        <f>HYPERLINK("https://klasma.github.io/Logging_0188/klagomålsmail/A 25709-2025 FSC-klagomål mail.docx", "A 25709-2025")</f>
        <v/>
      </c>
      <c r="X118">
        <f>HYPERLINK("https://klasma.github.io/Logging_0188/tillsyn/A 25709-2025 tillsynsbegäran.docx", "A 25709-2025")</f>
        <v/>
      </c>
      <c r="Y118">
        <f>HYPERLINK("https://klasma.github.io/Logging_0188/tillsynsmail/A 25709-2025 tillsynsbegäran mail.docx", "A 25709-2025")</f>
        <v/>
      </c>
    </row>
    <row r="119" ht="15" customHeight="1">
      <c r="A119" t="inlineStr">
        <is>
          <t>A 4532-2025</t>
        </is>
      </c>
      <c r="B119" s="1" t="n">
        <v>45687.34177083334</v>
      </c>
      <c r="C119" s="1" t="n">
        <v>46079</v>
      </c>
      <c r="D119" t="inlineStr">
        <is>
          <t>STOCKHOLMS LÄN</t>
        </is>
      </c>
      <c r="E119" t="inlineStr">
        <is>
          <t>NORRTÄLJE</t>
        </is>
      </c>
      <c r="F119" t="inlineStr">
        <is>
          <t>Holmen skog AB</t>
        </is>
      </c>
      <c r="G119" t="n">
        <v>6.4</v>
      </c>
      <c r="H119" t="n">
        <v>1</v>
      </c>
      <c r="I119" t="n">
        <v>0</v>
      </c>
      <c r="J119" t="n">
        <v>0</v>
      </c>
      <c r="K119" t="n">
        <v>0</v>
      </c>
      <c r="L119" t="n">
        <v>1</v>
      </c>
      <c r="M119" t="n">
        <v>0</v>
      </c>
      <c r="N119" t="n">
        <v>0</v>
      </c>
      <c r="O119" t="n">
        <v>1</v>
      </c>
      <c r="P119" t="n">
        <v>1</v>
      </c>
      <c r="Q119" t="n">
        <v>1</v>
      </c>
      <c r="R119" s="2" t="inlineStr">
        <is>
          <t>Asknätfjäril</t>
        </is>
      </c>
      <c r="S119">
        <f>HYPERLINK("https://klasma.github.io/Logging_0188/artfynd/A 4532-2025 artfynd.xlsx", "A 4532-2025")</f>
        <v/>
      </c>
      <c r="T119">
        <f>HYPERLINK("https://klasma.github.io/Logging_0188/kartor/A 4532-2025 karta.png", "A 4532-2025")</f>
        <v/>
      </c>
      <c r="V119">
        <f>HYPERLINK("https://klasma.github.io/Logging_0188/klagomål/A 4532-2025 FSC-klagomål.docx", "A 4532-2025")</f>
        <v/>
      </c>
      <c r="W119">
        <f>HYPERLINK("https://klasma.github.io/Logging_0188/klagomålsmail/A 4532-2025 FSC-klagomål mail.docx", "A 4532-2025")</f>
        <v/>
      </c>
      <c r="X119">
        <f>HYPERLINK("https://klasma.github.io/Logging_0188/tillsyn/A 4532-2025 tillsynsbegäran.docx", "A 4532-2025")</f>
        <v/>
      </c>
      <c r="Y119">
        <f>HYPERLINK("https://klasma.github.io/Logging_0188/tillsynsmail/A 4532-2025 tillsynsbegäran mail.docx", "A 4532-2025")</f>
        <v/>
      </c>
    </row>
    <row r="120" ht="15" customHeight="1">
      <c r="A120" t="inlineStr">
        <is>
          <t>A 25725-2025</t>
        </is>
      </c>
      <c r="B120" s="1" t="n">
        <v>45800</v>
      </c>
      <c r="C120" s="1" t="n">
        <v>46079</v>
      </c>
      <c r="D120" t="inlineStr">
        <is>
          <t>STOCKHOLMS LÄN</t>
        </is>
      </c>
      <c r="E120" t="inlineStr">
        <is>
          <t>NORRTÄLJE</t>
        </is>
      </c>
      <c r="G120" t="n">
        <v>5.2</v>
      </c>
      <c r="H120" t="n">
        <v>0</v>
      </c>
      <c r="I120" t="n">
        <v>0</v>
      </c>
      <c r="J120" t="n">
        <v>1</v>
      </c>
      <c r="K120" t="n">
        <v>0</v>
      </c>
      <c r="L120" t="n">
        <v>0</v>
      </c>
      <c r="M120" t="n">
        <v>0</v>
      </c>
      <c r="N120" t="n">
        <v>0</v>
      </c>
      <c r="O120" t="n">
        <v>1</v>
      </c>
      <c r="P120" t="n">
        <v>0</v>
      </c>
      <c r="Q120" t="n">
        <v>1</v>
      </c>
      <c r="R120" s="2" t="inlineStr">
        <is>
          <t>Tallticka</t>
        </is>
      </c>
      <c r="S120">
        <f>HYPERLINK("https://klasma.github.io/Logging_0188/artfynd/A 25725-2025 artfynd.xlsx", "A 25725-2025")</f>
        <v/>
      </c>
      <c r="T120">
        <f>HYPERLINK("https://klasma.github.io/Logging_0188/kartor/A 25725-2025 karta.png", "A 25725-2025")</f>
        <v/>
      </c>
      <c r="V120">
        <f>HYPERLINK("https://klasma.github.io/Logging_0188/klagomål/A 25725-2025 FSC-klagomål.docx", "A 25725-2025")</f>
        <v/>
      </c>
      <c r="W120">
        <f>HYPERLINK("https://klasma.github.io/Logging_0188/klagomålsmail/A 25725-2025 FSC-klagomål mail.docx", "A 25725-2025")</f>
        <v/>
      </c>
      <c r="X120">
        <f>HYPERLINK("https://klasma.github.io/Logging_0188/tillsyn/A 25725-2025 tillsynsbegäran.docx", "A 25725-2025")</f>
        <v/>
      </c>
      <c r="Y120">
        <f>HYPERLINK("https://klasma.github.io/Logging_0188/tillsynsmail/A 25725-2025 tillsynsbegäran mail.docx", "A 25725-2025")</f>
        <v/>
      </c>
    </row>
    <row r="121" ht="15" customHeight="1">
      <c r="A121" t="inlineStr">
        <is>
          <t>A 35649-2023</t>
        </is>
      </c>
      <c r="B121" s="1" t="n">
        <v>45146</v>
      </c>
      <c r="C121" s="1" t="n">
        <v>46079</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46079</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46079</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39158-2025</t>
        </is>
      </c>
      <c r="B124" s="1" t="n">
        <v>45888</v>
      </c>
      <c r="C124" s="1" t="n">
        <v>46079</v>
      </c>
      <c r="D124" t="inlineStr">
        <is>
          <t>STOCKHOLMS LÄN</t>
        </is>
      </c>
      <c r="E124" t="inlineStr">
        <is>
          <t>NORRTÄLJE</t>
        </is>
      </c>
      <c r="G124" t="n">
        <v>1.5</v>
      </c>
      <c r="H124" t="n">
        <v>1</v>
      </c>
      <c r="I124" t="n">
        <v>0</v>
      </c>
      <c r="J124" t="n">
        <v>0</v>
      </c>
      <c r="K124" t="n">
        <v>0</v>
      </c>
      <c r="L124" t="n">
        <v>0</v>
      </c>
      <c r="M124" t="n">
        <v>0</v>
      </c>
      <c r="N124" t="n">
        <v>0</v>
      </c>
      <c r="O124" t="n">
        <v>0</v>
      </c>
      <c r="P124" t="n">
        <v>0</v>
      </c>
      <c r="Q124" t="n">
        <v>1</v>
      </c>
      <c r="R124" s="2" t="inlineStr">
        <is>
          <t>Blåsippa</t>
        </is>
      </c>
      <c r="S124">
        <f>HYPERLINK("https://klasma.github.io/Logging_0188/artfynd/A 39158-2025 artfynd.xlsx", "A 39158-2025")</f>
        <v/>
      </c>
      <c r="T124">
        <f>HYPERLINK("https://klasma.github.io/Logging_0188/kartor/A 39158-2025 karta.png", "A 39158-2025")</f>
        <v/>
      </c>
      <c r="V124">
        <f>HYPERLINK("https://klasma.github.io/Logging_0188/klagomål/A 39158-2025 FSC-klagomål.docx", "A 39158-2025")</f>
        <v/>
      </c>
      <c r="W124">
        <f>HYPERLINK("https://klasma.github.io/Logging_0188/klagomålsmail/A 39158-2025 FSC-klagomål mail.docx", "A 39158-2025")</f>
        <v/>
      </c>
      <c r="X124">
        <f>HYPERLINK("https://klasma.github.io/Logging_0188/tillsyn/A 39158-2025 tillsynsbegäran.docx", "A 39158-2025")</f>
        <v/>
      </c>
      <c r="Y124">
        <f>HYPERLINK("https://klasma.github.io/Logging_0188/tillsynsmail/A 39158-2025 tillsynsbegäran mail.docx", "A 39158-2025")</f>
        <v/>
      </c>
    </row>
    <row r="125" ht="15" customHeight="1">
      <c r="A125" t="inlineStr">
        <is>
          <t>A 6381-2023</t>
        </is>
      </c>
      <c r="B125" s="1" t="n">
        <v>44965</v>
      </c>
      <c r="C125" s="1" t="n">
        <v>46079</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29946-2025</t>
        </is>
      </c>
      <c r="B126" s="1" t="n">
        <v>45826.46392361111</v>
      </c>
      <c r="C126" s="1" t="n">
        <v>46079</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14365-2025</t>
        </is>
      </c>
      <c r="B127" s="1" t="n">
        <v>45741.38688657407</v>
      </c>
      <c r="C127" s="1" t="n">
        <v>46079</v>
      </c>
      <c r="D127" t="inlineStr">
        <is>
          <t>STOCKHOLMS LÄN</t>
        </is>
      </c>
      <c r="E127" t="inlineStr">
        <is>
          <t>NORRTÄLJE</t>
        </is>
      </c>
      <c r="G127" t="n">
        <v>2.4</v>
      </c>
      <c r="H127" t="n">
        <v>0</v>
      </c>
      <c r="I127" t="n">
        <v>0</v>
      </c>
      <c r="J127" t="n">
        <v>1</v>
      </c>
      <c r="K127" t="n">
        <v>0</v>
      </c>
      <c r="L127" t="n">
        <v>0</v>
      </c>
      <c r="M127" t="n">
        <v>0</v>
      </c>
      <c r="N127" t="n">
        <v>0</v>
      </c>
      <c r="O127" t="n">
        <v>1</v>
      </c>
      <c r="P127" t="n">
        <v>0</v>
      </c>
      <c r="Q127" t="n">
        <v>1</v>
      </c>
      <c r="R127" s="2" t="inlineStr">
        <is>
          <t>Granticka</t>
        </is>
      </c>
      <c r="S127">
        <f>HYPERLINK("https://klasma.github.io/Logging_0188/artfynd/A 14365-2025 artfynd.xlsx", "A 14365-2025")</f>
        <v/>
      </c>
      <c r="T127">
        <f>HYPERLINK("https://klasma.github.io/Logging_0188/kartor/A 14365-2025 karta.png", "A 14365-2025")</f>
        <v/>
      </c>
      <c r="V127">
        <f>HYPERLINK("https://klasma.github.io/Logging_0188/klagomål/A 14365-2025 FSC-klagomål.docx", "A 14365-2025")</f>
        <v/>
      </c>
      <c r="W127">
        <f>HYPERLINK("https://klasma.github.io/Logging_0188/klagomålsmail/A 14365-2025 FSC-klagomål mail.docx", "A 14365-2025")</f>
        <v/>
      </c>
      <c r="X127">
        <f>HYPERLINK("https://klasma.github.io/Logging_0188/tillsyn/A 14365-2025 tillsynsbegäran.docx", "A 14365-2025")</f>
        <v/>
      </c>
      <c r="Y127">
        <f>HYPERLINK("https://klasma.github.io/Logging_0188/tillsynsmail/A 14365-2025 tillsynsbegäran mail.docx", "A 14365-2025")</f>
        <v/>
      </c>
    </row>
    <row r="128" ht="15" customHeight="1">
      <c r="A128" t="inlineStr">
        <is>
          <t>A 21150-2022</t>
        </is>
      </c>
      <c r="B128" s="1" t="n">
        <v>44704</v>
      </c>
      <c r="C128" s="1" t="n">
        <v>46079</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52775-2025</t>
        </is>
      </c>
      <c r="B129" s="1" t="n">
        <v>45957.41608796296</v>
      </c>
      <c r="C129" s="1" t="n">
        <v>46079</v>
      </c>
      <c r="D129" t="inlineStr">
        <is>
          <t>STOCKHOLMS LÄN</t>
        </is>
      </c>
      <c r="E129" t="inlineStr">
        <is>
          <t>NORRTÄLJE</t>
        </is>
      </c>
      <c r="F129" t="inlineStr">
        <is>
          <t>Sveaskog</t>
        </is>
      </c>
      <c r="G129" t="n">
        <v>5.6</v>
      </c>
      <c r="H129" t="n">
        <v>0</v>
      </c>
      <c r="I129" t="n">
        <v>0</v>
      </c>
      <c r="J129" t="n">
        <v>1</v>
      </c>
      <c r="K129" t="n">
        <v>0</v>
      </c>
      <c r="L129" t="n">
        <v>0</v>
      </c>
      <c r="M129" t="n">
        <v>0</v>
      </c>
      <c r="N129" t="n">
        <v>0</v>
      </c>
      <c r="O129" t="n">
        <v>1</v>
      </c>
      <c r="P129" t="n">
        <v>0</v>
      </c>
      <c r="Q129" t="n">
        <v>1</v>
      </c>
      <c r="R129" s="2" t="inlineStr">
        <is>
          <t>Vedtrappmossa</t>
        </is>
      </c>
      <c r="S129">
        <f>HYPERLINK("https://klasma.github.io/Logging_0188/artfynd/A 52775-2025 artfynd.xlsx", "A 52775-2025")</f>
        <v/>
      </c>
      <c r="T129">
        <f>HYPERLINK("https://klasma.github.io/Logging_0188/kartor/A 52775-2025 karta.png", "A 52775-2025")</f>
        <v/>
      </c>
      <c r="V129">
        <f>HYPERLINK("https://klasma.github.io/Logging_0188/klagomål/A 52775-2025 FSC-klagomål.docx", "A 52775-2025")</f>
        <v/>
      </c>
      <c r="W129">
        <f>HYPERLINK("https://klasma.github.io/Logging_0188/klagomålsmail/A 52775-2025 FSC-klagomål mail.docx", "A 52775-2025")</f>
        <v/>
      </c>
      <c r="X129">
        <f>HYPERLINK("https://klasma.github.io/Logging_0188/tillsyn/A 52775-2025 tillsynsbegäran.docx", "A 52775-2025")</f>
        <v/>
      </c>
      <c r="Y129">
        <f>HYPERLINK("https://klasma.github.io/Logging_0188/tillsynsmail/A 52775-2025 tillsynsbegäran mail.docx", "A 52775-2025")</f>
        <v/>
      </c>
    </row>
    <row r="130" ht="15" customHeight="1">
      <c r="A130" t="inlineStr">
        <is>
          <t>A 53716-2025</t>
        </is>
      </c>
      <c r="B130" s="1" t="n">
        <v>45960.61782407408</v>
      </c>
      <c r="C130" s="1" t="n">
        <v>46079</v>
      </c>
      <c r="D130" t="inlineStr">
        <is>
          <t>STOCKHOLMS LÄN</t>
        </is>
      </c>
      <c r="E130" t="inlineStr">
        <is>
          <t>NORRTÄLJE</t>
        </is>
      </c>
      <c r="G130" t="n">
        <v>3.4</v>
      </c>
      <c r="H130" t="n">
        <v>0</v>
      </c>
      <c r="I130" t="n">
        <v>0</v>
      </c>
      <c r="J130" t="n">
        <v>0</v>
      </c>
      <c r="K130" t="n">
        <v>0</v>
      </c>
      <c r="L130" t="n">
        <v>1</v>
      </c>
      <c r="M130" t="n">
        <v>0</v>
      </c>
      <c r="N130" t="n">
        <v>0</v>
      </c>
      <c r="O130" t="n">
        <v>1</v>
      </c>
      <c r="P130" t="n">
        <v>1</v>
      </c>
      <c r="Q130" t="n">
        <v>1</v>
      </c>
      <c r="R130" s="2" t="inlineStr">
        <is>
          <t>Fältgentiana</t>
        </is>
      </c>
      <c r="S130">
        <f>HYPERLINK("https://klasma.github.io/Logging_0188/artfynd/A 53716-2025 artfynd.xlsx", "A 53716-2025")</f>
        <v/>
      </c>
      <c r="T130">
        <f>HYPERLINK("https://klasma.github.io/Logging_0188/kartor/A 53716-2025 karta.png", "A 53716-2025")</f>
        <v/>
      </c>
      <c r="V130">
        <f>HYPERLINK("https://klasma.github.io/Logging_0188/klagomål/A 53716-2025 FSC-klagomål.docx", "A 53716-2025")</f>
        <v/>
      </c>
      <c r="W130">
        <f>HYPERLINK("https://klasma.github.io/Logging_0188/klagomålsmail/A 53716-2025 FSC-klagomål mail.docx", "A 53716-2025")</f>
        <v/>
      </c>
      <c r="X130">
        <f>HYPERLINK("https://klasma.github.io/Logging_0188/tillsyn/A 53716-2025 tillsynsbegäran.docx", "A 53716-2025")</f>
        <v/>
      </c>
      <c r="Y130">
        <f>HYPERLINK("https://klasma.github.io/Logging_0188/tillsynsmail/A 53716-2025 tillsynsbegäran mail.docx", "A 53716-2025")</f>
        <v/>
      </c>
    </row>
    <row r="131" ht="15" customHeight="1">
      <c r="A131" t="inlineStr">
        <is>
          <t>A 33546-2025</t>
        </is>
      </c>
      <c r="B131" s="1" t="n">
        <v>45841.56996527778</v>
      </c>
      <c r="C131" s="1" t="n">
        <v>46079</v>
      </c>
      <c r="D131" t="inlineStr">
        <is>
          <t>STOCKHOLMS LÄN</t>
        </is>
      </c>
      <c r="E131" t="inlineStr">
        <is>
          <t>NORRTÄLJE</t>
        </is>
      </c>
      <c r="G131" t="n">
        <v>7.2</v>
      </c>
      <c r="H131" t="n">
        <v>1</v>
      </c>
      <c r="I131" t="n">
        <v>1</v>
      </c>
      <c r="J131" t="n">
        <v>0</v>
      </c>
      <c r="K131" t="n">
        <v>0</v>
      </c>
      <c r="L131" t="n">
        <v>0</v>
      </c>
      <c r="M131" t="n">
        <v>0</v>
      </c>
      <c r="N131" t="n">
        <v>0</v>
      </c>
      <c r="O131" t="n">
        <v>0</v>
      </c>
      <c r="P131" t="n">
        <v>0</v>
      </c>
      <c r="Q131" t="n">
        <v>1</v>
      </c>
      <c r="R131" s="2" t="inlineStr">
        <is>
          <t>Nästrot</t>
        </is>
      </c>
      <c r="S131">
        <f>HYPERLINK("https://klasma.github.io/Logging_0188/artfynd/A 33546-2025 artfynd.xlsx", "A 33546-2025")</f>
        <v/>
      </c>
      <c r="T131">
        <f>HYPERLINK("https://klasma.github.io/Logging_0188/kartor/A 33546-2025 karta.png", "A 33546-2025")</f>
        <v/>
      </c>
      <c r="V131">
        <f>HYPERLINK("https://klasma.github.io/Logging_0188/klagomål/A 33546-2025 FSC-klagomål.docx", "A 33546-2025")</f>
        <v/>
      </c>
      <c r="W131">
        <f>HYPERLINK("https://klasma.github.io/Logging_0188/klagomålsmail/A 33546-2025 FSC-klagomål mail.docx", "A 33546-2025")</f>
        <v/>
      </c>
      <c r="X131">
        <f>HYPERLINK("https://klasma.github.io/Logging_0188/tillsyn/A 33546-2025 tillsynsbegäran.docx", "A 33546-2025")</f>
        <v/>
      </c>
      <c r="Y131">
        <f>HYPERLINK("https://klasma.github.io/Logging_0188/tillsynsmail/A 33546-2025 tillsynsbegäran mail.docx", "A 33546-2025")</f>
        <v/>
      </c>
    </row>
    <row r="132" ht="15" customHeight="1">
      <c r="A132" t="inlineStr">
        <is>
          <t>A 16870-2025</t>
        </is>
      </c>
      <c r="B132" s="1" t="n">
        <v>45754</v>
      </c>
      <c r="C132" s="1" t="n">
        <v>46079</v>
      </c>
      <c r="D132" t="inlineStr">
        <is>
          <t>STOCKHOLMS LÄN</t>
        </is>
      </c>
      <c r="E132" t="inlineStr">
        <is>
          <t>NORRTÄLJE</t>
        </is>
      </c>
      <c r="G132" t="n">
        <v>24.6</v>
      </c>
      <c r="H132" t="n">
        <v>1</v>
      </c>
      <c r="I132" t="n">
        <v>0</v>
      </c>
      <c r="J132" t="n">
        <v>0</v>
      </c>
      <c r="K132" t="n">
        <v>0</v>
      </c>
      <c r="L132" t="n">
        <v>0</v>
      </c>
      <c r="M132" t="n">
        <v>0</v>
      </c>
      <c r="N132" t="n">
        <v>0</v>
      </c>
      <c r="O132" t="n">
        <v>0</v>
      </c>
      <c r="P132" t="n">
        <v>0</v>
      </c>
      <c r="Q132" t="n">
        <v>1</v>
      </c>
      <c r="R132" s="2" t="inlineStr">
        <is>
          <t>Vanlig groda</t>
        </is>
      </c>
      <c r="S132">
        <f>HYPERLINK("https://klasma.github.io/Logging_0188/artfynd/A 16870-2025 artfynd.xlsx", "A 16870-2025")</f>
        <v/>
      </c>
      <c r="T132">
        <f>HYPERLINK("https://klasma.github.io/Logging_0188/kartor/A 16870-2025 karta.png", "A 16870-2025")</f>
        <v/>
      </c>
      <c r="V132">
        <f>HYPERLINK("https://klasma.github.io/Logging_0188/klagomål/A 16870-2025 FSC-klagomål.docx", "A 16870-2025")</f>
        <v/>
      </c>
      <c r="W132">
        <f>HYPERLINK("https://klasma.github.io/Logging_0188/klagomålsmail/A 16870-2025 FSC-klagomål mail.docx", "A 16870-2025")</f>
        <v/>
      </c>
      <c r="X132">
        <f>HYPERLINK("https://klasma.github.io/Logging_0188/tillsyn/A 16870-2025 tillsynsbegäran.docx", "A 16870-2025")</f>
        <v/>
      </c>
      <c r="Y132">
        <f>HYPERLINK("https://klasma.github.io/Logging_0188/tillsynsmail/A 16870-2025 tillsynsbegäran mail.docx", "A 16870-2025")</f>
        <v/>
      </c>
    </row>
    <row r="133" ht="15" customHeight="1">
      <c r="A133" t="inlineStr">
        <is>
          <t>A 26120-2024</t>
        </is>
      </c>
      <c r="B133" s="1" t="n">
        <v>45468.45995370371</v>
      </c>
      <c r="C133" s="1" t="n">
        <v>46079</v>
      </c>
      <c r="D133" t="inlineStr">
        <is>
          <t>STOCKHOLMS LÄN</t>
        </is>
      </c>
      <c r="E133" t="inlineStr">
        <is>
          <t>NORRTÄLJE</t>
        </is>
      </c>
      <c r="G133" t="n">
        <v>1.8</v>
      </c>
      <c r="H133" t="n">
        <v>0</v>
      </c>
      <c r="I133" t="n">
        <v>0</v>
      </c>
      <c r="J133" t="n">
        <v>1</v>
      </c>
      <c r="K133" t="n">
        <v>0</v>
      </c>
      <c r="L133" t="n">
        <v>0</v>
      </c>
      <c r="M133" t="n">
        <v>0</v>
      </c>
      <c r="N133" t="n">
        <v>0</v>
      </c>
      <c r="O133" t="n">
        <v>1</v>
      </c>
      <c r="P133" t="n">
        <v>0</v>
      </c>
      <c r="Q133" t="n">
        <v>1</v>
      </c>
      <c r="R133" s="2" t="inlineStr">
        <is>
          <t>Majviva</t>
        </is>
      </c>
      <c r="S133">
        <f>HYPERLINK("https://klasma.github.io/Logging_0188/artfynd/A 26120-2024 artfynd.xlsx", "A 26120-2024")</f>
        <v/>
      </c>
      <c r="T133">
        <f>HYPERLINK("https://klasma.github.io/Logging_0188/kartor/A 26120-2024 karta.png", "A 26120-2024")</f>
        <v/>
      </c>
      <c r="V133">
        <f>HYPERLINK("https://klasma.github.io/Logging_0188/klagomål/A 26120-2024 FSC-klagomål.docx", "A 26120-2024")</f>
        <v/>
      </c>
      <c r="W133">
        <f>HYPERLINK("https://klasma.github.io/Logging_0188/klagomålsmail/A 26120-2024 FSC-klagomål mail.docx", "A 26120-2024")</f>
        <v/>
      </c>
      <c r="X133">
        <f>HYPERLINK("https://klasma.github.io/Logging_0188/tillsyn/A 26120-2024 tillsynsbegäran.docx", "A 26120-2024")</f>
        <v/>
      </c>
      <c r="Y133">
        <f>HYPERLINK("https://klasma.github.io/Logging_0188/tillsynsmail/A 26120-2024 tillsynsbegäran mail.docx", "A 26120-2024")</f>
        <v/>
      </c>
    </row>
    <row r="134" ht="15" customHeight="1">
      <c r="A134" t="inlineStr">
        <is>
          <t>A 11429-2023</t>
        </is>
      </c>
      <c r="B134" s="1" t="n">
        <v>44993</v>
      </c>
      <c r="C134" s="1" t="n">
        <v>46079</v>
      </c>
      <c r="D134" t="inlineStr">
        <is>
          <t>STOCKHOLMS LÄN</t>
        </is>
      </c>
      <c r="E134" t="inlineStr">
        <is>
          <t>NORRTÄLJE</t>
        </is>
      </c>
      <c r="G134" t="n">
        <v>2</v>
      </c>
      <c r="H134" t="n">
        <v>0</v>
      </c>
      <c r="I134" t="n">
        <v>0</v>
      </c>
      <c r="J134" t="n">
        <v>1</v>
      </c>
      <c r="K134" t="n">
        <v>0</v>
      </c>
      <c r="L134" t="n">
        <v>0</v>
      </c>
      <c r="M134" t="n">
        <v>0</v>
      </c>
      <c r="N134" t="n">
        <v>0</v>
      </c>
      <c r="O134" t="n">
        <v>1</v>
      </c>
      <c r="P134" t="n">
        <v>0</v>
      </c>
      <c r="Q134" t="n">
        <v>1</v>
      </c>
      <c r="R134" s="2" t="inlineStr">
        <is>
          <t>Skogsklocka</t>
        </is>
      </c>
      <c r="S134">
        <f>HYPERLINK("https://klasma.github.io/Logging_0188/artfynd/A 11429-2023 artfynd.xlsx", "A 11429-2023")</f>
        <v/>
      </c>
      <c r="T134">
        <f>HYPERLINK("https://klasma.github.io/Logging_0188/kartor/A 11429-2023 karta.png", "A 11429-2023")</f>
        <v/>
      </c>
      <c r="V134">
        <f>HYPERLINK("https://klasma.github.io/Logging_0188/klagomål/A 11429-2023 FSC-klagomål.docx", "A 11429-2023")</f>
        <v/>
      </c>
      <c r="W134">
        <f>HYPERLINK("https://klasma.github.io/Logging_0188/klagomålsmail/A 11429-2023 FSC-klagomål mail.docx", "A 11429-2023")</f>
        <v/>
      </c>
      <c r="X134">
        <f>HYPERLINK("https://klasma.github.io/Logging_0188/tillsyn/A 11429-2023 tillsynsbegäran.docx", "A 11429-2023")</f>
        <v/>
      </c>
      <c r="Y134">
        <f>HYPERLINK("https://klasma.github.io/Logging_0188/tillsynsmail/A 11429-2023 tillsynsbegäran mail.docx", "A 11429-2023")</f>
        <v/>
      </c>
    </row>
    <row r="135" ht="15" customHeight="1">
      <c r="A135" t="inlineStr">
        <is>
          <t>A 8371-2025</t>
        </is>
      </c>
      <c r="B135" s="1" t="n">
        <v>45708</v>
      </c>
      <c r="C135" s="1" t="n">
        <v>46079</v>
      </c>
      <c r="D135" t="inlineStr">
        <is>
          <t>STOCKHOLMS LÄN</t>
        </is>
      </c>
      <c r="E135" t="inlineStr">
        <is>
          <t>NORRTÄLJE</t>
        </is>
      </c>
      <c r="F135" t="inlineStr">
        <is>
          <t>Övriga Aktiebolag</t>
        </is>
      </c>
      <c r="G135" t="n">
        <v>2.9</v>
      </c>
      <c r="H135" t="n">
        <v>1</v>
      </c>
      <c r="I135" t="n">
        <v>0</v>
      </c>
      <c r="J135" t="n">
        <v>1</v>
      </c>
      <c r="K135" t="n">
        <v>0</v>
      </c>
      <c r="L135" t="n">
        <v>0</v>
      </c>
      <c r="M135" t="n">
        <v>0</v>
      </c>
      <c r="N135" t="n">
        <v>0</v>
      </c>
      <c r="O135" t="n">
        <v>1</v>
      </c>
      <c r="P135" t="n">
        <v>0</v>
      </c>
      <c r="Q135" t="n">
        <v>1</v>
      </c>
      <c r="R135" s="2" t="inlineStr">
        <is>
          <t>Spillkråka</t>
        </is>
      </c>
      <c r="S135">
        <f>HYPERLINK("https://klasma.github.io/Logging_0188/artfynd/A 8371-2025 artfynd.xlsx", "A 8371-2025")</f>
        <v/>
      </c>
      <c r="T135">
        <f>HYPERLINK("https://klasma.github.io/Logging_0188/kartor/A 8371-2025 karta.png", "A 8371-2025")</f>
        <v/>
      </c>
      <c r="V135">
        <f>HYPERLINK("https://klasma.github.io/Logging_0188/klagomål/A 8371-2025 FSC-klagomål.docx", "A 8371-2025")</f>
        <v/>
      </c>
      <c r="W135">
        <f>HYPERLINK("https://klasma.github.io/Logging_0188/klagomålsmail/A 8371-2025 FSC-klagomål mail.docx", "A 8371-2025")</f>
        <v/>
      </c>
      <c r="X135">
        <f>HYPERLINK("https://klasma.github.io/Logging_0188/tillsyn/A 8371-2025 tillsynsbegäran.docx", "A 8371-2025")</f>
        <v/>
      </c>
      <c r="Y135">
        <f>HYPERLINK("https://klasma.github.io/Logging_0188/tillsynsmail/A 8371-2025 tillsynsbegäran mail.docx", "A 8371-2025")</f>
        <v/>
      </c>
      <c r="Z135">
        <f>HYPERLINK("https://klasma.github.io/Logging_0188/fåglar/A 8371-2025 prioriterade fågelarter.docx", "A 8371-2025")</f>
        <v/>
      </c>
    </row>
    <row r="136" ht="15" customHeight="1">
      <c r="A136" t="inlineStr">
        <is>
          <t>A 59682-2025</t>
        </is>
      </c>
      <c r="B136" s="1" t="n">
        <v>45992.47116898148</v>
      </c>
      <c r="C136" s="1" t="n">
        <v>46079</v>
      </c>
      <c r="D136" t="inlineStr">
        <is>
          <t>STOCKHOLMS LÄN</t>
        </is>
      </c>
      <c r="E136" t="inlineStr">
        <is>
          <t>NORRTÄLJE</t>
        </is>
      </c>
      <c r="G136" t="n">
        <v>1.6</v>
      </c>
      <c r="H136" t="n">
        <v>0</v>
      </c>
      <c r="I136" t="n">
        <v>1</v>
      </c>
      <c r="J136" t="n">
        <v>0</v>
      </c>
      <c r="K136" t="n">
        <v>0</v>
      </c>
      <c r="L136" t="n">
        <v>0</v>
      </c>
      <c r="M136" t="n">
        <v>0</v>
      </c>
      <c r="N136" t="n">
        <v>0</v>
      </c>
      <c r="O136" t="n">
        <v>0</v>
      </c>
      <c r="P136" t="n">
        <v>0</v>
      </c>
      <c r="Q136" t="n">
        <v>1</v>
      </c>
      <c r="R136" s="2" t="inlineStr">
        <is>
          <t>Grönpyrola</t>
        </is>
      </c>
      <c r="S136">
        <f>HYPERLINK("https://klasma.github.io/Logging_0188/artfynd/A 59682-2025 artfynd.xlsx", "A 59682-2025")</f>
        <v/>
      </c>
      <c r="T136">
        <f>HYPERLINK("https://klasma.github.io/Logging_0188/kartor/A 59682-2025 karta.png", "A 59682-2025")</f>
        <v/>
      </c>
      <c r="V136">
        <f>HYPERLINK("https://klasma.github.io/Logging_0188/klagomål/A 59682-2025 FSC-klagomål.docx", "A 59682-2025")</f>
        <v/>
      </c>
      <c r="W136">
        <f>HYPERLINK("https://klasma.github.io/Logging_0188/klagomålsmail/A 59682-2025 FSC-klagomål mail.docx", "A 59682-2025")</f>
        <v/>
      </c>
      <c r="X136">
        <f>HYPERLINK("https://klasma.github.io/Logging_0188/tillsyn/A 59682-2025 tillsynsbegäran.docx", "A 59682-2025")</f>
        <v/>
      </c>
      <c r="Y136">
        <f>HYPERLINK("https://klasma.github.io/Logging_0188/tillsynsmail/A 59682-2025 tillsynsbegäran mail.docx", "A 59682-2025")</f>
        <v/>
      </c>
    </row>
    <row r="137" ht="15" customHeight="1">
      <c r="A137" t="inlineStr">
        <is>
          <t>A 50854-2022</t>
        </is>
      </c>
      <c r="B137" s="1" t="n">
        <v>44863</v>
      </c>
      <c r="C137" s="1" t="n">
        <v>46079</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46079</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62715-2025</t>
        </is>
      </c>
      <c r="B139" s="1" t="n">
        <v>46008.52034722222</v>
      </c>
      <c r="C139" s="1" t="n">
        <v>46079</v>
      </c>
      <c r="D139" t="inlineStr">
        <is>
          <t>STOCKHOLMS LÄN</t>
        </is>
      </c>
      <c r="E139" t="inlineStr">
        <is>
          <t>NORRTÄLJE</t>
        </is>
      </c>
      <c r="G139" t="n">
        <v>0.8</v>
      </c>
      <c r="H139" t="n">
        <v>0</v>
      </c>
      <c r="I139" t="n">
        <v>1</v>
      </c>
      <c r="J139" t="n">
        <v>0</v>
      </c>
      <c r="K139" t="n">
        <v>0</v>
      </c>
      <c r="L139" t="n">
        <v>0</v>
      </c>
      <c r="M139" t="n">
        <v>0</v>
      </c>
      <c r="N139" t="n">
        <v>0</v>
      </c>
      <c r="O139" t="n">
        <v>0</v>
      </c>
      <c r="P139" t="n">
        <v>0</v>
      </c>
      <c r="Q139" t="n">
        <v>1</v>
      </c>
      <c r="R139" s="2" t="inlineStr">
        <is>
          <t>Granbarkgnagare</t>
        </is>
      </c>
      <c r="S139">
        <f>HYPERLINK("https://klasma.github.io/Logging_0188/artfynd/A 62715-2025 artfynd.xlsx", "A 62715-2025")</f>
        <v/>
      </c>
      <c r="T139">
        <f>HYPERLINK("https://klasma.github.io/Logging_0188/kartor/A 62715-2025 karta.png", "A 62715-2025")</f>
        <v/>
      </c>
      <c r="V139">
        <f>HYPERLINK("https://klasma.github.io/Logging_0188/klagomål/A 62715-2025 FSC-klagomål.docx", "A 62715-2025")</f>
        <v/>
      </c>
      <c r="W139">
        <f>HYPERLINK("https://klasma.github.io/Logging_0188/klagomålsmail/A 62715-2025 FSC-klagomål mail.docx", "A 62715-2025")</f>
        <v/>
      </c>
      <c r="X139">
        <f>HYPERLINK("https://klasma.github.io/Logging_0188/tillsyn/A 62715-2025 tillsynsbegäran.docx", "A 62715-2025")</f>
        <v/>
      </c>
      <c r="Y139">
        <f>HYPERLINK("https://klasma.github.io/Logging_0188/tillsynsmail/A 62715-2025 tillsynsbegäran mail.docx", "A 62715-2025")</f>
        <v/>
      </c>
    </row>
    <row r="140" ht="15" customHeight="1">
      <c r="A140" t="inlineStr">
        <is>
          <t>A 63292-2025</t>
        </is>
      </c>
      <c r="B140" s="1" t="n">
        <v>46010.59232638889</v>
      </c>
      <c r="C140" s="1" t="n">
        <v>46079</v>
      </c>
      <c r="D140" t="inlineStr">
        <is>
          <t>STOCKHOLMS LÄN</t>
        </is>
      </c>
      <c r="E140" t="inlineStr">
        <is>
          <t>NORRTÄLJE</t>
        </is>
      </c>
      <c r="G140" t="n">
        <v>11.1</v>
      </c>
      <c r="H140" t="n">
        <v>1</v>
      </c>
      <c r="I140" t="n">
        <v>1</v>
      </c>
      <c r="J140" t="n">
        <v>0</v>
      </c>
      <c r="K140" t="n">
        <v>0</v>
      </c>
      <c r="L140" t="n">
        <v>0</v>
      </c>
      <c r="M140" t="n">
        <v>0</v>
      </c>
      <c r="N140" t="n">
        <v>0</v>
      </c>
      <c r="O140" t="n">
        <v>0</v>
      </c>
      <c r="P140" t="n">
        <v>0</v>
      </c>
      <c r="Q140" t="n">
        <v>1</v>
      </c>
      <c r="R140" s="2" t="inlineStr">
        <is>
          <t>Nästrot</t>
        </is>
      </c>
      <c r="S140">
        <f>HYPERLINK("https://klasma.github.io/Logging_0188/artfynd/A 63292-2025 artfynd.xlsx", "A 63292-2025")</f>
        <v/>
      </c>
      <c r="T140">
        <f>HYPERLINK("https://klasma.github.io/Logging_0188/kartor/A 63292-2025 karta.png", "A 63292-2025")</f>
        <v/>
      </c>
      <c r="V140">
        <f>HYPERLINK("https://klasma.github.io/Logging_0188/klagomål/A 63292-2025 FSC-klagomål.docx", "A 63292-2025")</f>
        <v/>
      </c>
      <c r="W140">
        <f>HYPERLINK("https://klasma.github.io/Logging_0188/klagomålsmail/A 63292-2025 FSC-klagomål mail.docx", "A 63292-2025")</f>
        <v/>
      </c>
      <c r="X140">
        <f>HYPERLINK("https://klasma.github.io/Logging_0188/tillsyn/A 63292-2025 tillsynsbegäran.docx", "A 63292-2025")</f>
        <v/>
      </c>
      <c r="Y140">
        <f>HYPERLINK("https://klasma.github.io/Logging_0188/tillsynsmail/A 63292-2025 tillsynsbegäran mail.docx", "A 63292-2025")</f>
        <v/>
      </c>
    </row>
    <row r="141" ht="15" customHeight="1">
      <c r="A141" t="inlineStr">
        <is>
          <t>A 7734-2026</t>
        </is>
      </c>
      <c r="B141" s="1" t="n">
        <v>46062.52902777777</v>
      </c>
      <c r="C141" s="1" t="n">
        <v>46079</v>
      </c>
      <c r="D141" t="inlineStr">
        <is>
          <t>STOCKHOLMS LÄN</t>
        </is>
      </c>
      <c r="E141" t="inlineStr">
        <is>
          <t>NORRTÄLJE</t>
        </is>
      </c>
      <c r="G141" t="n">
        <v>6.6</v>
      </c>
      <c r="H141" t="n">
        <v>0</v>
      </c>
      <c r="I141" t="n">
        <v>1</v>
      </c>
      <c r="J141" t="n">
        <v>0</v>
      </c>
      <c r="K141" t="n">
        <v>0</v>
      </c>
      <c r="L141" t="n">
        <v>0</v>
      </c>
      <c r="M141" t="n">
        <v>0</v>
      </c>
      <c r="N141" t="n">
        <v>0</v>
      </c>
      <c r="O141" t="n">
        <v>0</v>
      </c>
      <c r="P141" t="n">
        <v>0</v>
      </c>
      <c r="Q141" t="n">
        <v>1</v>
      </c>
      <c r="R141" s="2" t="inlineStr">
        <is>
          <t>Kastanjefjällskivling</t>
        </is>
      </c>
      <c r="S141">
        <f>HYPERLINK("https://klasma.github.io/Logging_0188/artfynd/A 7734-2026 artfynd.xlsx", "A 7734-2026")</f>
        <v/>
      </c>
      <c r="T141">
        <f>HYPERLINK("https://klasma.github.io/Logging_0188/kartor/A 7734-2026 karta.png", "A 7734-2026")</f>
        <v/>
      </c>
      <c r="V141">
        <f>HYPERLINK("https://klasma.github.io/Logging_0188/klagomål/A 7734-2026 FSC-klagomål.docx", "A 7734-2026")</f>
        <v/>
      </c>
      <c r="W141">
        <f>HYPERLINK("https://klasma.github.io/Logging_0188/klagomålsmail/A 7734-2026 FSC-klagomål mail.docx", "A 7734-2026")</f>
        <v/>
      </c>
      <c r="X141">
        <f>HYPERLINK("https://klasma.github.io/Logging_0188/tillsyn/A 7734-2026 tillsynsbegäran.docx", "A 7734-2026")</f>
        <v/>
      </c>
      <c r="Y141">
        <f>HYPERLINK("https://klasma.github.io/Logging_0188/tillsynsmail/A 7734-2026 tillsynsbegäran mail.docx", "A 7734-2026")</f>
        <v/>
      </c>
    </row>
    <row r="142" ht="15" customHeight="1">
      <c r="A142" t="inlineStr">
        <is>
          <t>A 364-2026</t>
        </is>
      </c>
      <c r="B142" s="1" t="n">
        <v>46027.67134259259</v>
      </c>
      <c r="C142" s="1" t="n">
        <v>46079</v>
      </c>
      <c r="D142" t="inlineStr">
        <is>
          <t>STOCKHOLMS LÄN</t>
        </is>
      </c>
      <c r="E142" t="inlineStr">
        <is>
          <t>NORRTÄLJE</t>
        </is>
      </c>
      <c r="F142" t="inlineStr">
        <is>
          <t>Holmen skog AB</t>
        </is>
      </c>
      <c r="G142" t="n">
        <v>4.3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364-2026 artfynd.xlsx", "A 364-2026")</f>
        <v/>
      </c>
      <c r="T142">
        <f>HYPERLINK("https://klasma.github.io/Logging_0188/kartor/A 364-2026 karta.png", "A 364-2026")</f>
        <v/>
      </c>
      <c r="V142">
        <f>HYPERLINK("https://klasma.github.io/Logging_0188/klagomål/A 364-2026 FSC-klagomål.docx", "A 364-2026")</f>
        <v/>
      </c>
      <c r="W142">
        <f>HYPERLINK("https://klasma.github.io/Logging_0188/klagomålsmail/A 364-2026 FSC-klagomål mail.docx", "A 364-2026")</f>
        <v/>
      </c>
      <c r="X142">
        <f>HYPERLINK("https://klasma.github.io/Logging_0188/tillsyn/A 364-2026 tillsynsbegäran.docx", "A 364-2026")</f>
        <v/>
      </c>
      <c r="Y142">
        <f>HYPERLINK("https://klasma.github.io/Logging_0188/tillsynsmail/A 364-2026 tillsynsbegäran mail.docx", "A 364-2026")</f>
        <v/>
      </c>
    </row>
    <row r="143" ht="15" customHeight="1">
      <c r="A143" t="inlineStr">
        <is>
          <t>A 18580-2021</t>
        </is>
      </c>
      <c r="B143" s="1" t="n">
        <v>44306</v>
      </c>
      <c r="C143" s="1" t="n">
        <v>46079</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46079</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46079</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46079</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46079</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46079</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46079</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46079</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46079</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46079</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46079</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46079</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46079</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46079</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46079</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46079</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46079</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46079</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46079</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46079</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46079</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46079</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46079</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46079</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46079</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46079</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46079</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46079</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46079</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46079</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46079</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46079</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46079</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46079</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46079</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46079</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46079</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46079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46079</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46079</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46079</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46079</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46079</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46079</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34431-2021</t>
        </is>
      </c>
      <c r="B189" s="1" t="n">
        <v>44380</v>
      </c>
      <c r="C189" s="1" t="n">
        <v>46079</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5351-2022</t>
        </is>
      </c>
      <c r="B190" s="1" t="n">
        <v>44594.75950231482</v>
      </c>
      <c r="C190" s="1" t="n">
        <v>46079</v>
      </c>
      <c r="D190" t="inlineStr">
        <is>
          <t>STOCKHOLMS LÄN</t>
        </is>
      </c>
      <c r="E190" t="inlineStr">
        <is>
          <t>NORRTÄLJE</t>
        </is>
      </c>
      <c r="G190" t="n">
        <v>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46079</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64212-2021</t>
        </is>
      </c>
      <c r="B192" s="1" t="n">
        <v>44510</v>
      </c>
      <c r="C192" s="1" t="n">
        <v>46079</v>
      </c>
      <c r="D192" t="inlineStr">
        <is>
          <t>STOCKHOLMS LÄN</t>
        </is>
      </c>
      <c r="E192" t="inlineStr">
        <is>
          <t>NORRTÄLJE</t>
        </is>
      </c>
      <c r="G192" t="n">
        <v>28.7</v>
      </c>
      <c r="H192" t="n">
        <v>0</v>
      </c>
      <c r="I192" t="n">
        <v>0</v>
      </c>
      <c r="J192" t="n">
        <v>0</v>
      </c>
      <c r="K192" t="n">
        <v>0</v>
      </c>
      <c r="L192" t="n">
        <v>0</v>
      </c>
      <c r="M192" t="n">
        <v>0</v>
      </c>
      <c r="N192" t="n">
        <v>0</v>
      </c>
      <c r="O192" t="n">
        <v>0</v>
      </c>
      <c r="P192" t="n">
        <v>0</v>
      </c>
      <c r="Q192" t="n">
        <v>0</v>
      </c>
      <c r="R192" s="2" t="inlineStr"/>
    </row>
    <row r="193" ht="15" customHeight="1">
      <c r="A193" t="inlineStr">
        <is>
          <t>A 47349-2021</t>
        </is>
      </c>
      <c r="B193" s="1" t="n">
        <v>44447</v>
      </c>
      <c r="C193" s="1" t="n">
        <v>46079</v>
      </c>
      <c r="D193" t="inlineStr">
        <is>
          <t>STOCKHOLMS LÄN</t>
        </is>
      </c>
      <c r="E193" t="inlineStr">
        <is>
          <t>NORRTÄLJE</t>
        </is>
      </c>
      <c r="G193" t="n">
        <v>3.3</v>
      </c>
      <c r="H193" t="n">
        <v>0</v>
      </c>
      <c r="I193" t="n">
        <v>0</v>
      </c>
      <c r="J193" t="n">
        <v>0</v>
      </c>
      <c r="K193" t="n">
        <v>0</v>
      </c>
      <c r="L193" t="n">
        <v>0</v>
      </c>
      <c r="M193" t="n">
        <v>0</v>
      </c>
      <c r="N193" t="n">
        <v>0</v>
      </c>
      <c r="O193" t="n">
        <v>0</v>
      </c>
      <c r="P193" t="n">
        <v>0</v>
      </c>
      <c r="Q193" t="n">
        <v>0</v>
      </c>
      <c r="R193" s="2" t="inlineStr"/>
    </row>
    <row r="194" ht="15" customHeight="1">
      <c r="A194" t="inlineStr">
        <is>
          <t>A 30624-2022</t>
        </is>
      </c>
      <c r="B194" s="1" t="n">
        <v>44763.4182175926</v>
      </c>
      <c r="C194" s="1" t="n">
        <v>46079</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36565-2021</t>
        </is>
      </c>
      <c r="B195" s="1" t="n">
        <v>44391.5580787037</v>
      </c>
      <c r="C195" s="1" t="n">
        <v>46079</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30129-2021</t>
        </is>
      </c>
      <c r="B196" s="1" t="n">
        <v>44363.5784375</v>
      </c>
      <c r="C196" s="1" t="n">
        <v>46079</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46079</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22316-2022</t>
        </is>
      </c>
      <c r="B198" s="1" t="n">
        <v>44712.83118055556</v>
      </c>
      <c r="C198" s="1" t="n">
        <v>46079</v>
      </c>
      <c r="D198" t="inlineStr">
        <is>
          <t>STOCKHOLMS LÄN</t>
        </is>
      </c>
      <c r="E198" t="inlineStr">
        <is>
          <t>NORRTÄLJE</t>
        </is>
      </c>
      <c r="G198" t="n">
        <v>6.3</v>
      </c>
      <c r="H198" t="n">
        <v>0</v>
      </c>
      <c r="I198" t="n">
        <v>0</v>
      </c>
      <c r="J198" t="n">
        <v>0</v>
      </c>
      <c r="K198" t="n">
        <v>0</v>
      </c>
      <c r="L198" t="n">
        <v>0</v>
      </c>
      <c r="M198" t="n">
        <v>0</v>
      </c>
      <c r="N198" t="n">
        <v>0</v>
      </c>
      <c r="O198" t="n">
        <v>0</v>
      </c>
      <c r="P198" t="n">
        <v>0</v>
      </c>
      <c r="Q198" t="n">
        <v>0</v>
      </c>
      <c r="R198" s="2" t="inlineStr"/>
    </row>
    <row r="199" ht="15" customHeight="1">
      <c r="A199" t="inlineStr">
        <is>
          <t>A 20073-2021</t>
        </is>
      </c>
      <c r="B199" s="1" t="n">
        <v>44314</v>
      </c>
      <c r="C199" s="1" t="n">
        <v>46079</v>
      </c>
      <c r="D199" t="inlineStr">
        <is>
          <t>STOCKHOLMS LÄN</t>
        </is>
      </c>
      <c r="E199" t="inlineStr">
        <is>
          <t>NORRTÄLJE</t>
        </is>
      </c>
      <c r="G199" t="n">
        <v>4.6</v>
      </c>
      <c r="H199" t="n">
        <v>0</v>
      </c>
      <c r="I199" t="n">
        <v>0</v>
      </c>
      <c r="J199" t="n">
        <v>0</v>
      </c>
      <c r="K199" t="n">
        <v>0</v>
      </c>
      <c r="L199" t="n">
        <v>0</v>
      </c>
      <c r="M199" t="n">
        <v>0</v>
      </c>
      <c r="N199" t="n">
        <v>0</v>
      </c>
      <c r="O199" t="n">
        <v>0</v>
      </c>
      <c r="P199" t="n">
        <v>0</v>
      </c>
      <c r="Q199" t="n">
        <v>0</v>
      </c>
      <c r="R199" s="2" t="inlineStr"/>
    </row>
    <row r="200" ht="15" customHeight="1">
      <c r="A200" t="inlineStr">
        <is>
          <t>A 31092-2022</t>
        </is>
      </c>
      <c r="B200" s="1" t="n">
        <v>44769.62320601852</v>
      </c>
      <c r="C200" s="1" t="n">
        <v>46079</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14381-2021</t>
        </is>
      </c>
      <c r="B201" s="1" t="n">
        <v>44279</v>
      </c>
      <c r="C201" s="1" t="n">
        <v>46079</v>
      </c>
      <c r="D201" t="inlineStr">
        <is>
          <t>STOCKHOLMS LÄN</t>
        </is>
      </c>
      <c r="E201" t="inlineStr">
        <is>
          <t>NORRTÄLJE</t>
        </is>
      </c>
      <c r="G201" t="n">
        <v>0.9</v>
      </c>
      <c r="H201" t="n">
        <v>0</v>
      </c>
      <c r="I201" t="n">
        <v>0</v>
      </c>
      <c r="J201" t="n">
        <v>0</v>
      </c>
      <c r="K201" t="n">
        <v>0</v>
      </c>
      <c r="L201" t="n">
        <v>0</v>
      </c>
      <c r="M201" t="n">
        <v>0</v>
      </c>
      <c r="N201" t="n">
        <v>0</v>
      </c>
      <c r="O201" t="n">
        <v>0</v>
      </c>
      <c r="P201" t="n">
        <v>0</v>
      </c>
      <c r="Q201" t="n">
        <v>0</v>
      </c>
      <c r="R201" s="2" t="inlineStr"/>
    </row>
    <row r="202" ht="15" customHeight="1">
      <c r="A202" t="inlineStr">
        <is>
          <t>A 17703-2021</t>
        </is>
      </c>
      <c r="B202" s="1" t="n">
        <v>44300</v>
      </c>
      <c r="C202" s="1" t="n">
        <v>46079</v>
      </c>
      <c r="D202" t="inlineStr">
        <is>
          <t>STOCKHOLMS LÄN</t>
        </is>
      </c>
      <c r="E202" t="inlineStr">
        <is>
          <t>NORRTÄLJE</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46079</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23770-2022</t>
        </is>
      </c>
      <c r="B204" s="1" t="n">
        <v>44722</v>
      </c>
      <c r="C204" s="1" t="n">
        <v>46079</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27538-2022</t>
        </is>
      </c>
      <c r="B205" s="1" t="n">
        <v>44742</v>
      </c>
      <c r="C205" s="1" t="n">
        <v>46079</v>
      </c>
      <c r="D205" t="inlineStr">
        <is>
          <t>STOCKHOLMS LÄN</t>
        </is>
      </c>
      <c r="E205" t="inlineStr">
        <is>
          <t>NORRTÄLJE</t>
        </is>
      </c>
      <c r="G205" t="n">
        <v>2.2</v>
      </c>
      <c r="H205" t="n">
        <v>0</v>
      </c>
      <c r="I205" t="n">
        <v>0</v>
      </c>
      <c r="J205" t="n">
        <v>0</v>
      </c>
      <c r="K205" t="n">
        <v>0</v>
      </c>
      <c r="L205" t="n">
        <v>0</v>
      </c>
      <c r="M205" t="n">
        <v>0</v>
      </c>
      <c r="N205" t="n">
        <v>0</v>
      </c>
      <c r="O205" t="n">
        <v>0</v>
      </c>
      <c r="P205" t="n">
        <v>0</v>
      </c>
      <c r="Q205" t="n">
        <v>0</v>
      </c>
      <c r="R205" s="2" t="inlineStr"/>
    </row>
    <row r="206" ht="15" customHeight="1">
      <c r="A206" t="inlineStr">
        <is>
          <t>A 71871-2021</t>
        </is>
      </c>
      <c r="B206" s="1" t="n">
        <v>44543</v>
      </c>
      <c r="C206" s="1" t="n">
        <v>46079</v>
      </c>
      <c r="D206" t="inlineStr">
        <is>
          <t>STOCKHOLMS LÄN</t>
        </is>
      </c>
      <c r="E206" t="inlineStr">
        <is>
          <t>NORRTÄLJE</t>
        </is>
      </c>
      <c r="G206" t="n">
        <v>2.5</v>
      </c>
      <c r="H206" t="n">
        <v>0</v>
      </c>
      <c r="I206" t="n">
        <v>0</v>
      </c>
      <c r="J206" t="n">
        <v>0</v>
      </c>
      <c r="K206" t="n">
        <v>0</v>
      </c>
      <c r="L206" t="n">
        <v>0</v>
      </c>
      <c r="M206" t="n">
        <v>0</v>
      </c>
      <c r="N206" t="n">
        <v>0</v>
      </c>
      <c r="O206" t="n">
        <v>0</v>
      </c>
      <c r="P206" t="n">
        <v>0</v>
      </c>
      <c r="Q206" t="n">
        <v>0</v>
      </c>
      <c r="R206" s="2" t="inlineStr"/>
    </row>
    <row r="207" ht="15" customHeight="1">
      <c r="A207" t="inlineStr">
        <is>
          <t>A 71873-2021</t>
        </is>
      </c>
      <c r="B207" s="1" t="n">
        <v>44543</v>
      </c>
      <c r="C207" s="1" t="n">
        <v>46079</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29868-2022</t>
        </is>
      </c>
      <c r="B208" s="1" t="n">
        <v>44756.40881944444</v>
      </c>
      <c r="C208" s="1" t="n">
        <v>46079</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49113-2021</t>
        </is>
      </c>
      <c r="B209" s="1" t="n">
        <v>44453</v>
      </c>
      <c r="C209" s="1" t="n">
        <v>46079</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36975-2022</t>
        </is>
      </c>
      <c r="B210" s="1" t="n">
        <v>44806.34577546296</v>
      </c>
      <c r="C210" s="1" t="n">
        <v>46079</v>
      </c>
      <c r="D210" t="inlineStr">
        <is>
          <t>STOCKHOLMS LÄN</t>
        </is>
      </c>
      <c r="E210" t="inlineStr">
        <is>
          <t>NORRTÄLJE</t>
        </is>
      </c>
      <c r="G210" t="n">
        <v>4.7</v>
      </c>
      <c r="H210" t="n">
        <v>0</v>
      </c>
      <c r="I210" t="n">
        <v>0</v>
      </c>
      <c r="J210" t="n">
        <v>0</v>
      </c>
      <c r="K210" t="n">
        <v>0</v>
      </c>
      <c r="L210" t="n">
        <v>0</v>
      </c>
      <c r="M210" t="n">
        <v>0</v>
      </c>
      <c r="N210" t="n">
        <v>0</v>
      </c>
      <c r="O210" t="n">
        <v>0</v>
      </c>
      <c r="P210" t="n">
        <v>0</v>
      </c>
      <c r="Q210" t="n">
        <v>0</v>
      </c>
      <c r="R210" s="2" t="inlineStr"/>
    </row>
    <row r="211" ht="15" customHeight="1">
      <c r="A211" t="inlineStr">
        <is>
          <t>A 72355-2021</t>
        </is>
      </c>
      <c r="B211" s="1" t="n">
        <v>44545</v>
      </c>
      <c r="C211" s="1" t="n">
        <v>46079</v>
      </c>
      <c r="D211" t="inlineStr">
        <is>
          <t>STOCKHOLMS LÄN</t>
        </is>
      </c>
      <c r="E211" t="inlineStr">
        <is>
          <t>NORRTÄLJE</t>
        </is>
      </c>
      <c r="G211" t="n">
        <v>3.6</v>
      </c>
      <c r="H211" t="n">
        <v>0</v>
      </c>
      <c r="I211" t="n">
        <v>0</v>
      </c>
      <c r="J211" t="n">
        <v>0</v>
      </c>
      <c r="K211" t="n">
        <v>0</v>
      </c>
      <c r="L211" t="n">
        <v>0</v>
      </c>
      <c r="M211" t="n">
        <v>0</v>
      </c>
      <c r="N211" t="n">
        <v>0</v>
      </c>
      <c r="O211" t="n">
        <v>0</v>
      </c>
      <c r="P211" t="n">
        <v>0</v>
      </c>
      <c r="Q211" t="n">
        <v>0</v>
      </c>
      <c r="R211" s="2" t="inlineStr"/>
    </row>
    <row r="212" ht="15" customHeight="1">
      <c r="A212" t="inlineStr">
        <is>
          <t>A 72357-2021</t>
        </is>
      </c>
      <c r="B212" s="1" t="n">
        <v>44545</v>
      </c>
      <c r="C212" s="1" t="n">
        <v>46079</v>
      </c>
      <c r="D212" t="inlineStr">
        <is>
          <t>STOCKHOLMS LÄN</t>
        </is>
      </c>
      <c r="E212" t="inlineStr">
        <is>
          <t>NORRTÄLJE</t>
        </is>
      </c>
      <c r="G212" t="n">
        <v>5.1</v>
      </c>
      <c r="H212" t="n">
        <v>0</v>
      </c>
      <c r="I212" t="n">
        <v>0</v>
      </c>
      <c r="J212" t="n">
        <v>0</v>
      </c>
      <c r="K212" t="n">
        <v>0</v>
      </c>
      <c r="L212" t="n">
        <v>0</v>
      </c>
      <c r="M212" t="n">
        <v>0</v>
      </c>
      <c r="N212" t="n">
        <v>0</v>
      </c>
      <c r="O212" t="n">
        <v>0</v>
      </c>
      <c r="P212" t="n">
        <v>0</v>
      </c>
      <c r="Q212" t="n">
        <v>0</v>
      </c>
      <c r="R212" s="2" t="inlineStr"/>
    </row>
    <row r="213" ht="15" customHeight="1">
      <c r="A213" t="inlineStr">
        <is>
          <t>A 16668-2021</t>
        </is>
      </c>
      <c r="B213" s="1" t="n">
        <v>44294</v>
      </c>
      <c r="C213" s="1" t="n">
        <v>46079</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23122-2021</t>
        </is>
      </c>
      <c r="B214" s="1" t="n">
        <v>44330</v>
      </c>
      <c r="C214" s="1" t="n">
        <v>46079</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52449-2021</t>
        </is>
      </c>
      <c r="B215" s="1" t="n">
        <v>44466.37496527778</v>
      </c>
      <c r="C215" s="1" t="n">
        <v>46079</v>
      </c>
      <c r="D215" t="inlineStr">
        <is>
          <t>STOCKHOLMS LÄN</t>
        </is>
      </c>
      <c r="E215" t="inlineStr">
        <is>
          <t>NORRTÄLJE</t>
        </is>
      </c>
      <c r="F215" t="inlineStr">
        <is>
          <t>Holmen skog AB</t>
        </is>
      </c>
      <c r="G215" t="n">
        <v>1.8</v>
      </c>
      <c r="H215" t="n">
        <v>0</v>
      </c>
      <c r="I215" t="n">
        <v>0</v>
      </c>
      <c r="J215" t="n">
        <v>0</v>
      </c>
      <c r="K215" t="n">
        <v>0</v>
      </c>
      <c r="L215" t="n">
        <v>0</v>
      </c>
      <c r="M215" t="n">
        <v>0</v>
      </c>
      <c r="N215" t="n">
        <v>0</v>
      </c>
      <c r="O215" t="n">
        <v>0</v>
      </c>
      <c r="P215" t="n">
        <v>0</v>
      </c>
      <c r="Q215" t="n">
        <v>0</v>
      </c>
      <c r="R215" s="2" t="inlineStr"/>
    </row>
    <row r="216" ht="15" customHeight="1">
      <c r="A216" t="inlineStr">
        <is>
          <t>A 64628-2021</t>
        </is>
      </c>
      <c r="B216" s="1" t="n">
        <v>44511</v>
      </c>
      <c r="C216" s="1" t="n">
        <v>46079</v>
      </c>
      <c r="D216" t="inlineStr">
        <is>
          <t>STOCKHOLMS LÄN</t>
        </is>
      </c>
      <c r="E216" t="inlineStr">
        <is>
          <t>NORRTÄLJE</t>
        </is>
      </c>
      <c r="G216" t="n">
        <v>0.7</v>
      </c>
      <c r="H216" t="n">
        <v>0</v>
      </c>
      <c r="I216" t="n">
        <v>0</v>
      </c>
      <c r="J216" t="n">
        <v>0</v>
      </c>
      <c r="K216" t="n">
        <v>0</v>
      </c>
      <c r="L216" t="n">
        <v>0</v>
      </c>
      <c r="M216" t="n">
        <v>0</v>
      </c>
      <c r="N216" t="n">
        <v>0</v>
      </c>
      <c r="O216" t="n">
        <v>0</v>
      </c>
      <c r="P216" t="n">
        <v>0</v>
      </c>
      <c r="Q216" t="n">
        <v>0</v>
      </c>
      <c r="R216" s="2" t="inlineStr"/>
    </row>
    <row r="217" ht="15" customHeight="1">
      <c r="A217" t="inlineStr">
        <is>
          <t>A 60209-2021</t>
        </is>
      </c>
      <c r="B217" s="1" t="n">
        <v>44495</v>
      </c>
      <c r="C217" s="1" t="n">
        <v>46079</v>
      </c>
      <c r="D217" t="inlineStr">
        <is>
          <t>STOCKHOLMS LÄN</t>
        </is>
      </c>
      <c r="E217" t="inlineStr">
        <is>
          <t>NORRTÄLJE</t>
        </is>
      </c>
      <c r="G217" t="n">
        <v>4.3</v>
      </c>
      <c r="H217" t="n">
        <v>0</v>
      </c>
      <c r="I217" t="n">
        <v>0</v>
      </c>
      <c r="J217" t="n">
        <v>0</v>
      </c>
      <c r="K217" t="n">
        <v>0</v>
      </c>
      <c r="L217" t="n">
        <v>0</v>
      </c>
      <c r="M217" t="n">
        <v>0</v>
      </c>
      <c r="N217" t="n">
        <v>0</v>
      </c>
      <c r="O217" t="n">
        <v>0</v>
      </c>
      <c r="P217" t="n">
        <v>0</v>
      </c>
      <c r="Q217" t="n">
        <v>0</v>
      </c>
      <c r="R217" s="2" t="inlineStr"/>
    </row>
    <row r="218" ht="15" customHeight="1">
      <c r="A218" t="inlineStr">
        <is>
          <t>A 64599-2021</t>
        </is>
      </c>
      <c r="B218" s="1" t="n">
        <v>44511.69885416667</v>
      </c>
      <c r="C218" s="1" t="n">
        <v>46079</v>
      </c>
      <c r="D218" t="inlineStr">
        <is>
          <t>STOCKHOLMS LÄN</t>
        </is>
      </c>
      <c r="E218" t="inlineStr">
        <is>
          <t>NORRTÄLJE</t>
        </is>
      </c>
      <c r="G218" t="n">
        <v>1.1</v>
      </c>
      <c r="H218" t="n">
        <v>0</v>
      </c>
      <c r="I218" t="n">
        <v>0</v>
      </c>
      <c r="J218" t="n">
        <v>0</v>
      </c>
      <c r="K218" t="n">
        <v>0</v>
      </c>
      <c r="L218" t="n">
        <v>0</v>
      </c>
      <c r="M218" t="n">
        <v>0</v>
      </c>
      <c r="N218" t="n">
        <v>0</v>
      </c>
      <c r="O218" t="n">
        <v>0</v>
      </c>
      <c r="P218" t="n">
        <v>0</v>
      </c>
      <c r="Q218" t="n">
        <v>0</v>
      </c>
      <c r="R218" s="2" t="inlineStr"/>
    </row>
    <row r="219" ht="15" customHeight="1">
      <c r="A219" t="inlineStr">
        <is>
          <t>A 23123-2021</t>
        </is>
      </c>
      <c r="B219" s="1" t="n">
        <v>44330</v>
      </c>
      <c r="C219" s="1" t="n">
        <v>46079</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33046-2021</t>
        </is>
      </c>
      <c r="B220" s="1" t="n">
        <v>44376</v>
      </c>
      <c r="C220" s="1" t="n">
        <v>46079</v>
      </c>
      <c r="D220" t="inlineStr">
        <is>
          <t>STOCKHOLMS LÄN</t>
        </is>
      </c>
      <c r="E220" t="inlineStr">
        <is>
          <t>NORRTÄLJE</t>
        </is>
      </c>
      <c r="G220" t="n">
        <v>2.1</v>
      </c>
      <c r="H220" t="n">
        <v>0</v>
      </c>
      <c r="I220" t="n">
        <v>0</v>
      </c>
      <c r="J220" t="n">
        <v>0</v>
      </c>
      <c r="K220" t="n">
        <v>0</v>
      </c>
      <c r="L220" t="n">
        <v>0</v>
      </c>
      <c r="M220" t="n">
        <v>0</v>
      </c>
      <c r="N220" t="n">
        <v>0</v>
      </c>
      <c r="O220" t="n">
        <v>0</v>
      </c>
      <c r="P220" t="n">
        <v>0</v>
      </c>
      <c r="Q220" t="n">
        <v>0</v>
      </c>
      <c r="R220" s="2" t="inlineStr"/>
    </row>
    <row r="221" ht="15" customHeight="1">
      <c r="A221" t="inlineStr">
        <is>
          <t>A 9988-2022</t>
        </is>
      </c>
      <c r="B221" s="1" t="n">
        <v>44621</v>
      </c>
      <c r="C221" s="1" t="n">
        <v>46079</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46079</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17803-2022</t>
        </is>
      </c>
      <c r="B223" s="1" t="n">
        <v>44683</v>
      </c>
      <c r="C223" s="1" t="n">
        <v>46079</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32561-2021</t>
        </is>
      </c>
      <c r="B224" s="1" t="n">
        <v>44375</v>
      </c>
      <c r="C224" s="1" t="n">
        <v>46079</v>
      </c>
      <c r="D224" t="inlineStr">
        <is>
          <t>STOCKHOLMS LÄN</t>
        </is>
      </c>
      <c r="E224" t="inlineStr">
        <is>
          <t>NORRTÄLJE</t>
        </is>
      </c>
      <c r="G224" t="n">
        <v>3.4</v>
      </c>
      <c r="H224" t="n">
        <v>0</v>
      </c>
      <c r="I224" t="n">
        <v>0</v>
      </c>
      <c r="J224" t="n">
        <v>0</v>
      </c>
      <c r="K224" t="n">
        <v>0</v>
      </c>
      <c r="L224" t="n">
        <v>0</v>
      </c>
      <c r="M224" t="n">
        <v>0</v>
      </c>
      <c r="N224" t="n">
        <v>0</v>
      </c>
      <c r="O224" t="n">
        <v>0</v>
      </c>
      <c r="P224" t="n">
        <v>0</v>
      </c>
      <c r="Q224" t="n">
        <v>0</v>
      </c>
      <c r="R224" s="2" t="inlineStr"/>
    </row>
    <row r="225" ht="15" customHeight="1">
      <c r="A225" t="inlineStr">
        <is>
          <t>A 71325-2021</t>
        </is>
      </c>
      <c r="B225" s="1" t="n">
        <v>44539</v>
      </c>
      <c r="C225" s="1" t="n">
        <v>46079</v>
      </c>
      <c r="D225" t="inlineStr">
        <is>
          <t>STOCKHOLMS LÄN</t>
        </is>
      </c>
      <c r="E225" t="inlineStr">
        <is>
          <t>NORRTÄLJE</t>
        </is>
      </c>
      <c r="G225" t="n">
        <v>2.1</v>
      </c>
      <c r="H225" t="n">
        <v>0</v>
      </c>
      <c r="I225" t="n">
        <v>0</v>
      </c>
      <c r="J225" t="n">
        <v>0</v>
      </c>
      <c r="K225" t="n">
        <v>0</v>
      </c>
      <c r="L225" t="n">
        <v>0</v>
      </c>
      <c r="M225" t="n">
        <v>0</v>
      </c>
      <c r="N225" t="n">
        <v>0</v>
      </c>
      <c r="O225" t="n">
        <v>0</v>
      </c>
      <c r="P225" t="n">
        <v>0</v>
      </c>
      <c r="Q225" t="n">
        <v>0</v>
      </c>
      <c r="R225" s="2" t="inlineStr"/>
    </row>
    <row r="226" ht="15" customHeight="1">
      <c r="A226" t="inlineStr">
        <is>
          <t>A 65611-2021</t>
        </is>
      </c>
      <c r="B226" s="1" t="n">
        <v>44516.5275462963</v>
      </c>
      <c r="C226" s="1" t="n">
        <v>46079</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46079</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46079</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60813-2021</t>
        </is>
      </c>
      <c r="B229" s="1" t="n">
        <v>44496</v>
      </c>
      <c r="C229" s="1" t="n">
        <v>46079</v>
      </c>
      <c r="D229" t="inlineStr">
        <is>
          <t>STOCKHOLMS LÄN</t>
        </is>
      </c>
      <c r="E229" t="inlineStr">
        <is>
          <t>NORRTÄLJE</t>
        </is>
      </c>
      <c r="G229" t="n">
        <v>1.6</v>
      </c>
      <c r="H229" t="n">
        <v>0</v>
      </c>
      <c r="I229" t="n">
        <v>0</v>
      </c>
      <c r="J229" t="n">
        <v>0</v>
      </c>
      <c r="K229" t="n">
        <v>0</v>
      </c>
      <c r="L229" t="n">
        <v>0</v>
      </c>
      <c r="M229" t="n">
        <v>0</v>
      </c>
      <c r="N229" t="n">
        <v>0</v>
      </c>
      <c r="O229" t="n">
        <v>0</v>
      </c>
      <c r="P229" t="n">
        <v>0</v>
      </c>
      <c r="Q229" t="n">
        <v>0</v>
      </c>
      <c r="R229" s="2" t="inlineStr"/>
    </row>
    <row r="230" ht="15" customHeight="1">
      <c r="A230" t="inlineStr">
        <is>
          <t>A 42396-2021</t>
        </is>
      </c>
      <c r="B230" s="1" t="n">
        <v>44427</v>
      </c>
      <c r="C230" s="1" t="n">
        <v>46079</v>
      </c>
      <c r="D230" t="inlineStr">
        <is>
          <t>STOCKHOLMS LÄN</t>
        </is>
      </c>
      <c r="E230" t="inlineStr">
        <is>
          <t>NORRTÄLJE</t>
        </is>
      </c>
      <c r="G230" t="n">
        <v>2</v>
      </c>
      <c r="H230" t="n">
        <v>0</v>
      </c>
      <c r="I230" t="n">
        <v>0</v>
      </c>
      <c r="J230" t="n">
        <v>0</v>
      </c>
      <c r="K230" t="n">
        <v>0</v>
      </c>
      <c r="L230" t="n">
        <v>0</v>
      </c>
      <c r="M230" t="n">
        <v>0</v>
      </c>
      <c r="N230" t="n">
        <v>0</v>
      </c>
      <c r="O230" t="n">
        <v>0</v>
      </c>
      <c r="P230" t="n">
        <v>0</v>
      </c>
      <c r="Q230" t="n">
        <v>0</v>
      </c>
      <c r="R230" s="2" t="inlineStr"/>
    </row>
    <row r="231" ht="15" customHeight="1">
      <c r="A231" t="inlineStr">
        <is>
          <t>A 53884-2022</t>
        </is>
      </c>
      <c r="B231" s="1" t="n">
        <v>44880.68423611111</v>
      </c>
      <c r="C231" s="1" t="n">
        <v>46079</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12357-2022</t>
        </is>
      </c>
      <c r="B232" s="1" t="n">
        <v>44637</v>
      </c>
      <c r="C232" s="1" t="n">
        <v>46079</v>
      </c>
      <c r="D232" t="inlineStr">
        <is>
          <t>STOCKHOLMS LÄN</t>
        </is>
      </c>
      <c r="E232" t="inlineStr">
        <is>
          <t>NORRTÄLJE</t>
        </is>
      </c>
      <c r="G232" t="n">
        <v>1</v>
      </c>
      <c r="H232" t="n">
        <v>0</v>
      </c>
      <c r="I232" t="n">
        <v>0</v>
      </c>
      <c r="J232" t="n">
        <v>0</v>
      </c>
      <c r="K232" t="n">
        <v>0</v>
      </c>
      <c r="L232" t="n">
        <v>0</v>
      </c>
      <c r="M232" t="n">
        <v>0</v>
      </c>
      <c r="N232" t="n">
        <v>0</v>
      </c>
      <c r="O232" t="n">
        <v>0</v>
      </c>
      <c r="P232" t="n">
        <v>0</v>
      </c>
      <c r="Q232" t="n">
        <v>0</v>
      </c>
      <c r="R232" s="2" t="inlineStr"/>
    </row>
    <row r="233" ht="15" customHeight="1">
      <c r="A233" t="inlineStr">
        <is>
          <t>A 26335-2022</t>
        </is>
      </c>
      <c r="B233" s="1" t="n">
        <v>44735</v>
      </c>
      <c r="C233" s="1" t="n">
        <v>46079</v>
      </c>
      <c r="D233" t="inlineStr">
        <is>
          <t>STOCKHOLMS LÄN</t>
        </is>
      </c>
      <c r="E233" t="inlineStr">
        <is>
          <t>NORRTÄLJE</t>
        </is>
      </c>
      <c r="G233" t="n">
        <v>3.3</v>
      </c>
      <c r="H233" t="n">
        <v>0</v>
      </c>
      <c r="I233" t="n">
        <v>0</v>
      </c>
      <c r="J233" t="n">
        <v>0</v>
      </c>
      <c r="K233" t="n">
        <v>0</v>
      </c>
      <c r="L233" t="n">
        <v>0</v>
      </c>
      <c r="M233" t="n">
        <v>0</v>
      </c>
      <c r="N233" t="n">
        <v>0</v>
      </c>
      <c r="O233" t="n">
        <v>0</v>
      </c>
      <c r="P233" t="n">
        <v>0</v>
      </c>
      <c r="Q233" t="n">
        <v>0</v>
      </c>
      <c r="R233" s="2" t="inlineStr"/>
    </row>
    <row r="234" ht="15" customHeight="1">
      <c r="A234" t="inlineStr">
        <is>
          <t>A 39497-2021</t>
        </is>
      </c>
      <c r="B234" s="1" t="n">
        <v>44414.81494212963</v>
      </c>
      <c r="C234" s="1" t="n">
        <v>46079</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17460-2021</t>
        </is>
      </c>
      <c r="B235" s="1" t="n">
        <v>44299</v>
      </c>
      <c r="C235" s="1" t="n">
        <v>46079</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46079</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41398-2022</t>
        </is>
      </c>
      <c r="B237" s="1" t="n">
        <v>44826</v>
      </c>
      <c r="C237" s="1" t="n">
        <v>46079</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17673-2021</t>
        </is>
      </c>
      <c r="B238" s="1" t="n">
        <v>44300</v>
      </c>
      <c r="C238" s="1" t="n">
        <v>46079</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c r="T238">
        <f>HYPERLINK("https://klasma.github.io/Logging_0188/kartor/A 17673-2021 karta.png", "A 17673-2021")</f>
        <v/>
      </c>
      <c r="V238">
        <f>HYPERLINK("https://klasma.github.io/Logging_0188/klagomål/A 17673-2021 FSC-klagomål.docx", "A 17673-2021")</f>
        <v/>
      </c>
      <c r="W238">
        <f>HYPERLINK("https://klasma.github.io/Logging_0188/klagomålsmail/A 17673-2021 FSC-klagomål mail.docx", "A 17673-2021")</f>
        <v/>
      </c>
      <c r="X238">
        <f>HYPERLINK("https://klasma.github.io/Logging_0188/tillsyn/A 17673-2021 tillsynsbegäran.docx", "A 17673-2021")</f>
        <v/>
      </c>
      <c r="Y238">
        <f>HYPERLINK("https://klasma.github.io/Logging_0188/tillsynsmail/A 17673-2021 tillsynsbegäran mail.docx", "A 17673-2021")</f>
        <v/>
      </c>
      <c r="Z238">
        <f>HYPERLINK("https://klasma.github.io/Logging_0188/fåglar/A 17673-2021 prioriterade fågelarter.docx", "A 17673-2021")</f>
        <v/>
      </c>
    </row>
    <row r="239" ht="15" customHeight="1">
      <c r="A239" t="inlineStr">
        <is>
          <t>A 22369-2021</t>
        </is>
      </c>
      <c r="B239" s="1" t="n">
        <v>44326</v>
      </c>
      <c r="C239" s="1" t="n">
        <v>46079</v>
      </c>
      <c r="D239" t="inlineStr">
        <is>
          <t>STOCKHOLMS LÄN</t>
        </is>
      </c>
      <c r="E239" t="inlineStr">
        <is>
          <t>NORRTÄLJE</t>
        </is>
      </c>
      <c r="F239" t="inlineStr">
        <is>
          <t>Holmen skog AB</t>
        </is>
      </c>
      <c r="G239" t="n">
        <v>3.4</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46079</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16119-2022</t>
        </is>
      </c>
      <c r="B241" s="1" t="n">
        <v>44665.66407407408</v>
      </c>
      <c r="C241" s="1" t="n">
        <v>46079</v>
      </c>
      <c r="D241" t="inlineStr">
        <is>
          <t>STOCKHOLMS LÄN</t>
        </is>
      </c>
      <c r="E241" t="inlineStr">
        <is>
          <t>NORRTÄLJE</t>
        </is>
      </c>
      <c r="G241" t="n">
        <v>3.9</v>
      </c>
      <c r="H241" t="n">
        <v>0</v>
      </c>
      <c r="I241" t="n">
        <v>0</v>
      </c>
      <c r="J241" t="n">
        <v>0</v>
      </c>
      <c r="K241" t="n">
        <v>0</v>
      </c>
      <c r="L241" t="n">
        <v>0</v>
      </c>
      <c r="M241" t="n">
        <v>0</v>
      </c>
      <c r="N241" t="n">
        <v>0</v>
      </c>
      <c r="O241" t="n">
        <v>0</v>
      </c>
      <c r="P241" t="n">
        <v>0</v>
      </c>
      <c r="Q241" t="n">
        <v>0</v>
      </c>
      <c r="R241" s="2" t="inlineStr"/>
    </row>
    <row r="242" ht="15" customHeight="1">
      <c r="A242" t="inlineStr">
        <is>
          <t>A 27217-2021</t>
        </is>
      </c>
      <c r="B242" s="1" t="n">
        <v>44350</v>
      </c>
      <c r="C242" s="1" t="n">
        <v>46079</v>
      </c>
      <c r="D242" t="inlineStr">
        <is>
          <t>STOCKHOLMS LÄN</t>
        </is>
      </c>
      <c r="E242" t="inlineStr">
        <is>
          <t>NORRTÄLJE</t>
        </is>
      </c>
      <c r="G242" t="n">
        <v>5.5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46079</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62030-2021</t>
        </is>
      </c>
      <c r="B244" s="1" t="n">
        <v>44502</v>
      </c>
      <c r="C244" s="1" t="n">
        <v>46079</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19398-2021</t>
        </is>
      </c>
      <c r="B245" s="1" t="n">
        <v>44309</v>
      </c>
      <c r="C245" s="1" t="n">
        <v>46079</v>
      </c>
      <c r="D245" t="inlineStr">
        <is>
          <t>STOCKHOLMS LÄN</t>
        </is>
      </c>
      <c r="E245" t="inlineStr">
        <is>
          <t>NORRTÄLJE</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46079</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12875-2022</t>
        </is>
      </c>
      <c r="B247" s="1" t="n">
        <v>44642.55565972222</v>
      </c>
      <c r="C247" s="1" t="n">
        <v>46079</v>
      </c>
      <c r="D247" t="inlineStr">
        <is>
          <t>STOCKHOLMS LÄN</t>
        </is>
      </c>
      <c r="E247" t="inlineStr">
        <is>
          <t>NORRTÄLJE</t>
        </is>
      </c>
      <c r="G247" t="n">
        <v>1.6</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46079</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67598-2021</t>
        </is>
      </c>
      <c r="B249" s="1" t="n">
        <v>44524</v>
      </c>
      <c r="C249" s="1" t="n">
        <v>46079</v>
      </c>
      <c r="D249" t="inlineStr">
        <is>
          <t>STOCKHOLMS LÄN</t>
        </is>
      </c>
      <c r="E249" t="inlineStr">
        <is>
          <t>NORRTÄLJE</t>
        </is>
      </c>
      <c r="G249" t="n">
        <v>1.2</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46079</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46079</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46079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34520-2021</t>
        </is>
      </c>
      <c r="B253" s="1" t="n">
        <v>44379</v>
      </c>
      <c r="C253" s="1" t="n">
        <v>46079</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68273-2021</t>
        </is>
      </c>
      <c r="B254" s="1" t="n">
        <v>44526</v>
      </c>
      <c r="C254" s="1" t="n">
        <v>46079</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46079</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23453-2021</t>
        </is>
      </c>
      <c r="B256" s="1" t="n">
        <v>44333</v>
      </c>
      <c r="C256" s="1" t="n">
        <v>46079</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52139-2022</t>
        </is>
      </c>
      <c r="B257" s="1" t="n">
        <v>44868</v>
      </c>
      <c r="C257" s="1" t="n">
        <v>46079</v>
      </c>
      <c r="D257" t="inlineStr">
        <is>
          <t>STOCKHOLMS LÄN</t>
        </is>
      </c>
      <c r="E257" t="inlineStr">
        <is>
          <t>NORRTÄLJE</t>
        </is>
      </c>
      <c r="G257" t="n">
        <v>3.2</v>
      </c>
      <c r="H257" t="n">
        <v>0</v>
      </c>
      <c r="I257" t="n">
        <v>0</v>
      </c>
      <c r="J257" t="n">
        <v>0</v>
      </c>
      <c r="K257" t="n">
        <v>0</v>
      </c>
      <c r="L257" t="n">
        <v>0</v>
      </c>
      <c r="M257" t="n">
        <v>0</v>
      </c>
      <c r="N257" t="n">
        <v>0</v>
      </c>
      <c r="O257" t="n">
        <v>0</v>
      </c>
      <c r="P257" t="n">
        <v>0</v>
      </c>
      <c r="Q257" t="n">
        <v>0</v>
      </c>
      <c r="R257" s="2" t="inlineStr"/>
      <c r="U257">
        <f>HYPERLINK("https://klasma.github.io/Logging_0188/knärot/A 52139-2022 karta knärot.png", "A 52139-2022")</f>
        <v/>
      </c>
      <c r="V257">
        <f>HYPERLINK("https://klasma.github.io/Logging_0188/klagomål/A 52139-2022 FSC-klagomål.docx", "A 52139-2022")</f>
        <v/>
      </c>
      <c r="W257">
        <f>HYPERLINK("https://klasma.github.io/Logging_0188/klagomålsmail/A 52139-2022 FSC-klagomål mail.docx", "A 52139-2022")</f>
        <v/>
      </c>
      <c r="X257">
        <f>HYPERLINK("https://klasma.github.io/Logging_0188/tillsyn/A 52139-2022 tillsynsbegäran.docx", "A 52139-2022")</f>
        <v/>
      </c>
      <c r="Y257">
        <f>HYPERLINK("https://klasma.github.io/Logging_0188/tillsynsmail/A 52139-2022 tillsynsbegäran mail.docx", "A 52139-2022")</f>
        <v/>
      </c>
    </row>
    <row r="258" ht="15" customHeight="1">
      <c r="A258" t="inlineStr">
        <is>
          <t>A 28042-2022</t>
        </is>
      </c>
      <c r="B258" s="1" t="n">
        <v>44744</v>
      </c>
      <c r="C258" s="1" t="n">
        <v>46079</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46079</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46079</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1968-2022</t>
        </is>
      </c>
      <c r="B261" s="1" t="n">
        <v>44575.52831018518</v>
      </c>
      <c r="C261" s="1" t="n">
        <v>46079</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46079</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8160-2022</t>
        </is>
      </c>
      <c r="B263" s="1" t="n">
        <v>44609</v>
      </c>
      <c r="C263" s="1" t="n">
        <v>46079</v>
      </c>
      <c r="D263" t="inlineStr">
        <is>
          <t>STOCKHOLMS LÄN</t>
        </is>
      </c>
      <c r="E263" t="inlineStr">
        <is>
          <t>NORRTÄLJE</t>
        </is>
      </c>
      <c r="G263" t="n">
        <v>3.9</v>
      </c>
      <c r="H263" t="n">
        <v>0</v>
      </c>
      <c r="I263" t="n">
        <v>0</v>
      </c>
      <c r="J263" t="n">
        <v>0</v>
      </c>
      <c r="K263" t="n">
        <v>0</v>
      </c>
      <c r="L263" t="n">
        <v>0</v>
      </c>
      <c r="M263" t="n">
        <v>0</v>
      </c>
      <c r="N263" t="n">
        <v>0</v>
      </c>
      <c r="O263" t="n">
        <v>0</v>
      </c>
      <c r="P263" t="n">
        <v>0</v>
      </c>
      <c r="Q263" t="n">
        <v>0</v>
      </c>
      <c r="R263" s="2" t="inlineStr"/>
    </row>
    <row r="264" ht="15" customHeight="1">
      <c r="A264" t="inlineStr">
        <is>
          <t>A 7565-2022</t>
        </is>
      </c>
      <c r="B264" s="1" t="n">
        <v>44607</v>
      </c>
      <c r="C264" s="1" t="n">
        <v>46079</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24101-2022</t>
        </is>
      </c>
      <c r="B265" s="1" t="n">
        <v>44725</v>
      </c>
      <c r="C265" s="1" t="n">
        <v>46079</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39319-2022</t>
        </is>
      </c>
      <c r="B266" s="1" t="n">
        <v>44817.70516203704</v>
      </c>
      <c r="C266" s="1" t="n">
        <v>46079</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46079</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46079</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46079</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38721-2022</t>
        </is>
      </c>
      <c r="B270" s="1" t="n">
        <v>44815</v>
      </c>
      <c r="C270" s="1" t="n">
        <v>46079</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60184-2021</t>
        </is>
      </c>
      <c r="B271" s="1" t="n">
        <v>44495</v>
      </c>
      <c r="C271" s="1" t="n">
        <v>46079</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46079</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46079</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55012-2024</t>
        </is>
      </c>
      <c r="B274" s="1" t="n">
        <v>45621.34813657407</v>
      </c>
      <c r="C274" s="1" t="n">
        <v>46079</v>
      </c>
      <c r="D274" t="inlineStr">
        <is>
          <t>STOCKHOLMS LÄN</t>
        </is>
      </c>
      <c r="E274" t="inlineStr">
        <is>
          <t>NORRTÄLJE</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46079</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46079</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46079</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46079</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11229-2022</t>
        </is>
      </c>
      <c r="B279" s="1" t="n">
        <v>44629</v>
      </c>
      <c r="C279" s="1" t="n">
        <v>46079</v>
      </c>
      <c r="D279" t="inlineStr">
        <is>
          <t>STOCKHOLMS LÄN</t>
        </is>
      </c>
      <c r="E279" t="inlineStr">
        <is>
          <t>NORRTÄLJE</t>
        </is>
      </c>
      <c r="F279" t="inlineStr">
        <is>
          <t>Övriga Aktiebolag</t>
        </is>
      </c>
      <c r="G279" t="n">
        <v>4.1</v>
      </c>
      <c r="H279" t="n">
        <v>0</v>
      </c>
      <c r="I279" t="n">
        <v>0</v>
      </c>
      <c r="J279" t="n">
        <v>0</v>
      </c>
      <c r="K279" t="n">
        <v>0</v>
      </c>
      <c r="L279" t="n">
        <v>0</v>
      </c>
      <c r="M279" t="n">
        <v>0</v>
      </c>
      <c r="N279" t="n">
        <v>0</v>
      </c>
      <c r="O279" t="n">
        <v>0</v>
      </c>
      <c r="P279" t="n">
        <v>0</v>
      </c>
      <c r="Q279" t="n">
        <v>0</v>
      </c>
      <c r="R279" s="2" t="inlineStr"/>
    </row>
    <row r="280" ht="15" customHeight="1">
      <c r="A280" t="inlineStr">
        <is>
          <t>A 9654-2022</t>
        </is>
      </c>
      <c r="B280" s="1" t="n">
        <v>44617</v>
      </c>
      <c r="C280" s="1" t="n">
        <v>46079</v>
      </c>
      <c r="D280" t="inlineStr">
        <is>
          <t>STOCKHOLMS LÄN</t>
        </is>
      </c>
      <c r="E280" t="inlineStr">
        <is>
          <t>NORRTÄLJE</t>
        </is>
      </c>
      <c r="G280" t="n">
        <v>6.4</v>
      </c>
      <c r="H280" t="n">
        <v>0</v>
      </c>
      <c r="I280" t="n">
        <v>0</v>
      </c>
      <c r="J280" t="n">
        <v>0</v>
      </c>
      <c r="K280" t="n">
        <v>0</v>
      </c>
      <c r="L280" t="n">
        <v>0</v>
      </c>
      <c r="M280" t="n">
        <v>0</v>
      </c>
      <c r="N280" t="n">
        <v>0</v>
      </c>
      <c r="O280" t="n">
        <v>0</v>
      </c>
      <c r="P280" t="n">
        <v>0</v>
      </c>
      <c r="Q280" t="n">
        <v>0</v>
      </c>
      <c r="R280" s="2" t="inlineStr"/>
    </row>
    <row r="281" ht="15" customHeight="1">
      <c r="A281" t="inlineStr">
        <is>
          <t>A 5389-2025</t>
        </is>
      </c>
      <c r="B281" s="1" t="n">
        <v>45692</v>
      </c>
      <c r="C281" s="1" t="n">
        <v>46079</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46079</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46079</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46079</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14051-2022</t>
        </is>
      </c>
      <c r="B285" s="1" t="n">
        <v>44650.92714120371</v>
      </c>
      <c r="C285" s="1" t="n">
        <v>46079</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37147-2023</t>
        </is>
      </c>
      <c r="B286" s="1" t="n">
        <v>45155</v>
      </c>
      <c r="C286" s="1" t="n">
        <v>46079</v>
      </c>
      <c r="D286" t="inlineStr">
        <is>
          <t>STOCKHOLMS LÄN</t>
        </is>
      </c>
      <c r="E286" t="inlineStr">
        <is>
          <t>NORRTÄLJE</t>
        </is>
      </c>
      <c r="G286" t="n">
        <v>8</v>
      </c>
      <c r="H286" t="n">
        <v>0</v>
      </c>
      <c r="I286" t="n">
        <v>0</v>
      </c>
      <c r="J286" t="n">
        <v>0</v>
      </c>
      <c r="K286" t="n">
        <v>0</v>
      </c>
      <c r="L286" t="n">
        <v>0</v>
      </c>
      <c r="M286" t="n">
        <v>0</v>
      </c>
      <c r="N286" t="n">
        <v>0</v>
      </c>
      <c r="O286" t="n">
        <v>0</v>
      </c>
      <c r="P286" t="n">
        <v>0</v>
      </c>
      <c r="Q286" t="n">
        <v>0</v>
      </c>
      <c r="R286" s="2" t="inlineStr"/>
    </row>
    <row r="287" ht="15" customHeight="1">
      <c r="A287" t="inlineStr">
        <is>
          <t>A 59499-2023</t>
        </is>
      </c>
      <c r="B287" s="1" t="n">
        <v>45254</v>
      </c>
      <c r="C287" s="1" t="n">
        <v>46079</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12348-2025</t>
        </is>
      </c>
      <c r="B288" s="1" t="n">
        <v>45730.35026620371</v>
      </c>
      <c r="C288" s="1" t="n">
        <v>46079</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44665.65474537037</v>
      </c>
      <c r="C289" s="1" t="n">
        <v>46079</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44665.78351851852</v>
      </c>
      <c r="C290" s="1" t="n">
        <v>46079</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60654-2023</t>
        </is>
      </c>
      <c r="B291" s="1" t="n">
        <v>45260.43225694444</v>
      </c>
      <c r="C291" s="1" t="n">
        <v>46079</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60656-2023</t>
        </is>
      </c>
      <c r="B292" s="1" t="n">
        <v>45260.4333449074</v>
      </c>
      <c r="C292" s="1" t="n">
        <v>46079</v>
      </c>
      <c r="D292" t="inlineStr">
        <is>
          <t>STOCKHOLMS LÄN</t>
        </is>
      </c>
      <c r="E292" t="inlineStr">
        <is>
          <t>NORRTÄLJE</t>
        </is>
      </c>
      <c r="G292" t="n">
        <v>4.8</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46079</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22697-2022</t>
        </is>
      </c>
      <c r="B294" s="1" t="n">
        <v>44714.56040509259</v>
      </c>
      <c r="C294" s="1" t="n">
        <v>46079</v>
      </c>
      <c r="D294" t="inlineStr">
        <is>
          <t>STOCKHOLMS LÄN</t>
        </is>
      </c>
      <c r="E294" t="inlineStr">
        <is>
          <t>NORRTÄLJE</t>
        </is>
      </c>
      <c r="G294" t="n">
        <v>5.6</v>
      </c>
      <c r="H294" t="n">
        <v>0</v>
      </c>
      <c r="I294" t="n">
        <v>0</v>
      </c>
      <c r="J294" t="n">
        <v>0</v>
      </c>
      <c r="K294" t="n">
        <v>0</v>
      </c>
      <c r="L294" t="n">
        <v>0</v>
      </c>
      <c r="M294" t="n">
        <v>0</v>
      </c>
      <c r="N294" t="n">
        <v>0</v>
      </c>
      <c r="O294" t="n">
        <v>0</v>
      </c>
      <c r="P294" t="n">
        <v>0</v>
      </c>
      <c r="Q294" t="n">
        <v>0</v>
      </c>
      <c r="R294" s="2" t="inlineStr"/>
    </row>
    <row r="295" ht="15" customHeight="1">
      <c r="A295" t="inlineStr">
        <is>
          <t>A 25463-2021</t>
        </is>
      </c>
      <c r="B295" s="1" t="n">
        <v>44342</v>
      </c>
      <c r="C295" s="1" t="n">
        <v>46079</v>
      </c>
      <c r="D295" t="inlineStr">
        <is>
          <t>STOCKHOLMS LÄN</t>
        </is>
      </c>
      <c r="E295" t="inlineStr">
        <is>
          <t>NORRTÄLJE</t>
        </is>
      </c>
      <c r="F295" t="inlineStr">
        <is>
          <t>Holmen skog AB</t>
        </is>
      </c>
      <c r="G295" t="n">
        <v>1.5</v>
      </c>
      <c r="H295" t="n">
        <v>0</v>
      </c>
      <c r="I295" t="n">
        <v>0</v>
      </c>
      <c r="J295" t="n">
        <v>0</v>
      </c>
      <c r="K295" t="n">
        <v>0</v>
      </c>
      <c r="L295" t="n">
        <v>0</v>
      </c>
      <c r="M295" t="n">
        <v>0</v>
      </c>
      <c r="N295" t="n">
        <v>0</v>
      </c>
      <c r="O295" t="n">
        <v>0</v>
      </c>
      <c r="P295" t="n">
        <v>0</v>
      </c>
      <c r="Q295" t="n">
        <v>0</v>
      </c>
      <c r="R295" s="2" t="inlineStr"/>
    </row>
    <row r="296" ht="15" customHeight="1">
      <c r="A296" t="inlineStr">
        <is>
          <t>A 13148-2021</t>
        </is>
      </c>
      <c r="B296" s="1" t="n">
        <v>44272</v>
      </c>
      <c r="C296" s="1" t="n">
        <v>46079</v>
      </c>
      <c r="D296" t="inlineStr">
        <is>
          <t>STOCKHOLMS LÄN</t>
        </is>
      </c>
      <c r="E296" t="inlineStr">
        <is>
          <t>NORRTÄLJE</t>
        </is>
      </c>
      <c r="G296" t="n">
        <v>12.4</v>
      </c>
      <c r="H296" t="n">
        <v>0</v>
      </c>
      <c r="I296" t="n">
        <v>0</v>
      </c>
      <c r="J296" t="n">
        <v>0</v>
      </c>
      <c r="K296" t="n">
        <v>0</v>
      </c>
      <c r="L296" t="n">
        <v>0</v>
      </c>
      <c r="M296" t="n">
        <v>0</v>
      </c>
      <c r="N296" t="n">
        <v>0</v>
      </c>
      <c r="O296" t="n">
        <v>0</v>
      </c>
      <c r="P296" t="n">
        <v>0</v>
      </c>
      <c r="Q296" t="n">
        <v>0</v>
      </c>
      <c r="R296" s="2" t="inlineStr"/>
    </row>
    <row r="297" ht="15" customHeight="1">
      <c r="A297" t="inlineStr">
        <is>
          <t>A 27715-2022</t>
        </is>
      </c>
      <c r="B297" s="1" t="n">
        <v>44743.47407407407</v>
      </c>
      <c r="C297" s="1" t="n">
        <v>46079</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21102-2022</t>
        </is>
      </c>
      <c r="B298" s="1" t="n">
        <v>44704</v>
      </c>
      <c r="C298" s="1" t="n">
        <v>46079</v>
      </c>
      <c r="D298" t="inlineStr">
        <is>
          <t>STOCKHOLMS LÄN</t>
        </is>
      </c>
      <c r="E298" t="inlineStr">
        <is>
          <t>NORRTÄLJE</t>
        </is>
      </c>
      <c r="G298" t="n">
        <v>0.2</v>
      </c>
      <c r="H298" t="n">
        <v>0</v>
      </c>
      <c r="I298" t="n">
        <v>0</v>
      </c>
      <c r="J298" t="n">
        <v>0</v>
      </c>
      <c r="K298" t="n">
        <v>0</v>
      </c>
      <c r="L298" t="n">
        <v>0</v>
      </c>
      <c r="M298" t="n">
        <v>0</v>
      </c>
      <c r="N298" t="n">
        <v>0</v>
      </c>
      <c r="O298" t="n">
        <v>0</v>
      </c>
      <c r="P298" t="n">
        <v>0</v>
      </c>
      <c r="Q298" t="n">
        <v>0</v>
      </c>
      <c r="R298" s="2" t="inlineStr"/>
    </row>
    <row r="299" ht="15" customHeight="1">
      <c r="A299" t="inlineStr">
        <is>
          <t>A 71880-2021</t>
        </is>
      </c>
      <c r="B299" s="1" t="n">
        <v>44543</v>
      </c>
      <c r="C299" s="1" t="n">
        <v>46079</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17772-2022</t>
        </is>
      </c>
      <c r="B300" s="1" t="n">
        <v>44682.76528935185</v>
      </c>
      <c r="C300" s="1" t="n">
        <v>46079</v>
      </c>
      <c r="D300" t="inlineStr">
        <is>
          <t>STOCKHOLMS LÄN</t>
        </is>
      </c>
      <c r="E300" t="inlineStr">
        <is>
          <t>NORRTÄLJE</t>
        </is>
      </c>
      <c r="G300" t="n">
        <v>4</v>
      </c>
      <c r="H300" t="n">
        <v>0</v>
      </c>
      <c r="I300" t="n">
        <v>0</v>
      </c>
      <c r="J300" t="n">
        <v>0</v>
      </c>
      <c r="K300" t="n">
        <v>0</v>
      </c>
      <c r="L300" t="n">
        <v>0</v>
      </c>
      <c r="M300" t="n">
        <v>0</v>
      </c>
      <c r="N300" t="n">
        <v>0</v>
      </c>
      <c r="O300" t="n">
        <v>0</v>
      </c>
      <c r="P300" t="n">
        <v>0</v>
      </c>
      <c r="Q300" t="n">
        <v>0</v>
      </c>
      <c r="R300" s="2" t="inlineStr"/>
    </row>
    <row r="301" ht="15" customHeight="1">
      <c r="A301" t="inlineStr">
        <is>
          <t>A 12111-2021</t>
        </is>
      </c>
      <c r="B301" s="1" t="n">
        <v>44266</v>
      </c>
      <c r="C301" s="1" t="n">
        <v>46079</v>
      </c>
      <c r="D301" t="inlineStr">
        <is>
          <t>STOCKHOLMS LÄN</t>
        </is>
      </c>
      <c r="E301" t="inlineStr">
        <is>
          <t>NORRTÄLJE</t>
        </is>
      </c>
      <c r="G301" t="n">
        <v>5.5</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46079</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67285-2021</t>
        </is>
      </c>
      <c r="B303" s="1" t="n">
        <v>44523.61635416667</v>
      </c>
      <c r="C303" s="1" t="n">
        <v>46079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5611-2022</t>
        </is>
      </c>
      <c r="B304" s="1" t="n">
        <v>44595</v>
      </c>
      <c r="C304" s="1" t="n">
        <v>46079</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32055-2021</t>
        </is>
      </c>
      <c r="B305" s="1" t="n">
        <v>44370.72197916666</v>
      </c>
      <c r="C305" s="1" t="n">
        <v>46079</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20013-2025</t>
        </is>
      </c>
      <c r="B306" s="1" t="n">
        <v>45772.30436342592</v>
      </c>
      <c r="C306" s="1" t="n">
        <v>46079</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63161-2023</t>
        </is>
      </c>
      <c r="B307" s="1" t="n">
        <v>45273</v>
      </c>
      <c r="C307" s="1" t="n">
        <v>46079</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38612-2022</t>
        </is>
      </c>
      <c r="B308" s="1" t="n">
        <v>44813</v>
      </c>
      <c r="C308" s="1" t="n">
        <v>46079</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23271-2023</t>
        </is>
      </c>
      <c r="B309" s="1" t="n">
        <v>45075.91362268518</v>
      </c>
      <c r="C309" s="1" t="n">
        <v>46079</v>
      </c>
      <c r="D309" t="inlineStr">
        <is>
          <t>STOCKHOLMS LÄN</t>
        </is>
      </c>
      <c r="E309" t="inlineStr">
        <is>
          <t>NORRTÄLJE</t>
        </is>
      </c>
      <c r="G309" t="n">
        <v>5.1</v>
      </c>
      <c r="H309" t="n">
        <v>0</v>
      </c>
      <c r="I309" t="n">
        <v>0</v>
      </c>
      <c r="J309" t="n">
        <v>0</v>
      </c>
      <c r="K309" t="n">
        <v>0</v>
      </c>
      <c r="L309" t="n">
        <v>0</v>
      </c>
      <c r="M309" t="n">
        <v>0</v>
      </c>
      <c r="N309" t="n">
        <v>0</v>
      </c>
      <c r="O309" t="n">
        <v>0</v>
      </c>
      <c r="P309" t="n">
        <v>0</v>
      </c>
      <c r="Q309" t="n">
        <v>0</v>
      </c>
      <c r="R309" s="2" t="inlineStr"/>
    </row>
    <row r="310" ht="15" customHeight="1">
      <c r="A310" t="inlineStr">
        <is>
          <t>A 23273-2023</t>
        </is>
      </c>
      <c r="B310" s="1" t="n">
        <v>45075.91971064815</v>
      </c>
      <c r="C310" s="1" t="n">
        <v>46079</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30802-2022</t>
        </is>
      </c>
      <c r="B311" s="1" t="n">
        <v>44764</v>
      </c>
      <c r="C311" s="1" t="n">
        <v>46079</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19706-2023</t>
        </is>
      </c>
      <c r="B312" s="1" t="n">
        <v>45051.455</v>
      </c>
      <c r="C312" s="1" t="n">
        <v>46079</v>
      </c>
      <c r="D312" t="inlineStr">
        <is>
          <t>STOCKHOLMS LÄN</t>
        </is>
      </c>
      <c r="E312" t="inlineStr">
        <is>
          <t>NORRTÄLJE</t>
        </is>
      </c>
      <c r="G312" t="n">
        <v>0.2</v>
      </c>
      <c r="H312" t="n">
        <v>0</v>
      </c>
      <c r="I312" t="n">
        <v>0</v>
      </c>
      <c r="J312" t="n">
        <v>0</v>
      </c>
      <c r="K312" t="n">
        <v>0</v>
      </c>
      <c r="L312" t="n">
        <v>0</v>
      </c>
      <c r="M312" t="n">
        <v>0</v>
      </c>
      <c r="N312" t="n">
        <v>0</v>
      </c>
      <c r="O312" t="n">
        <v>0</v>
      </c>
      <c r="P312" t="n">
        <v>0</v>
      </c>
      <c r="Q312" t="n">
        <v>0</v>
      </c>
      <c r="R312" s="2" t="inlineStr"/>
    </row>
    <row r="313" ht="15" customHeight="1">
      <c r="A313" t="inlineStr">
        <is>
          <t>A 33040-2021</t>
        </is>
      </c>
      <c r="B313" s="1" t="n">
        <v>44376.50728009259</v>
      </c>
      <c r="C313" s="1" t="n">
        <v>46079</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16008-2025</t>
        </is>
      </c>
      <c r="B314" s="1" t="n">
        <v>45749</v>
      </c>
      <c r="C314" s="1" t="n">
        <v>46079</v>
      </c>
      <c r="D314" t="inlineStr">
        <is>
          <t>STOCKHOLMS LÄN</t>
        </is>
      </c>
      <c r="E314" t="inlineStr">
        <is>
          <t>NORRTÄLJE</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26117-2024</t>
        </is>
      </c>
      <c r="B315" s="1" t="n">
        <v>45468.45877314815</v>
      </c>
      <c r="C315" s="1" t="n">
        <v>46079</v>
      </c>
      <c r="D315" t="inlineStr">
        <is>
          <t>STOCKHOLMS LÄN</t>
        </is>
      </c>
      <c r="E315" t="inlineStr">
        <is>
          <t>NORRTÄLJE</t>
        </is>
      </c>
      <c r="G315" t="n">
        <v>2.4</v>
      </c>
      <c r="H315" t="n">
        <v>0</v>
      </c>
      <c r="I315" t="n">
        <v>0</v>
      </c>
      <c r="J315" t="n">
        <v>0</v>
      </c>
      <c r="K315" t="n">
        <v>0</v>
      </c>
      <c r="L315" t="n">
        <v>0</v>
      </c>
      <c r="M315" t="n">
        <v>0</v>
      </c>
      <c r="N315" t="n">
        <v>0</v>
      </c>
      <c r="O315" t="n">
        <v>0</v>
      </c>
      <c r="P315" t="n">
        <v>0</v>
      </c>
      <c r="Q315" t="n">
        <v>0</v>
      </c>
      <c r="R315" s="2" t="inlineStr"/>
    </row>
    <row r="316" ht="15" customHeight="1">
      <c r="A316" t="inlineStr">
        <is>
          <t>A 9765-2024</t>
        </is>
      </c>
      <c r="B316" s="1" t="n">
        <v>45362.62811342593</v>
      </c>
      <c r="C316" s="1" t="n">
        <v>46079</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61113-2023</t>
        </is>
      </c>
      <c r="B317" s="1" t="n">
        <v>45261</v>
      </c>
      <c r="C317" s="1" t="n">
        <v>46079</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48180-2023</t>
        </is>
      </c>
      <c r="B318" s="1" t="n">
        <v>45205</v>
      </c>
      <c r="C318" s="1" t="n">
        <v>46079</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57353-2024</t>
        </is>
      </c>
      <c r="B319" s="1" t="n">
        <v>45629.65143518519</v>
      </c>
      <c r="C319" s="1" t="n">
        <v>46079</v>
      </c>
      <c r="D319" t="inlineStr">
        <is>
          <t>STOCKHOLMS LÄN</t>
        </is>
      </c>
      <c r="E319" t="inlineStr">
        <is>
          <t>NORRTÄLJE</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60822-2023</t>
        </is>
      </c>
      <c r="B320" s="1" t="n">
        <v>45259</v>
      </c>
      <c r="C320" s="1" t="n">
        <v>46079</v>
      </c>
      <c r="D320" t="inlineStr">
        <is>
          <t>STOCKHOLMS LÄN</t>
        </is>
      </c>
      <c r="E320" t="inlineStr">
        <is>
          <t>NORRTÄLJE</t>
        </is>
      </c>
      <c r="G320" t="n">
        <v>5.2</v>
      </c>
      <c r="H320" t="n">
        <v>0</v>
      </c>
      <c r="I320" t="n">
        <v>0</v>
      </c>
      <c r="J320" t="n">
        <v>0</v>
      </c>
      <c r="K320" t="n">
        <v>0</v>
      </c>
      <c r="L320" t="n">
        <v>0</v>
      </c>
      <c r="M320" t="n">
        <v>0</v>
      </c>
      <c r="N320" t="n">
        <v>0</v>
      </c>
      <c r="O320" t="n">
        <v>0</v>
      </c>
      <c r="P320" t="n">
        <v>0</v>
      </c>
      <c r="Q320" t="n">
        <v>0</v>
      </c>
      <c r="R320" s="2" t="inlineStr"/>
    </row>
    <row r="321" ht="15" customHeight="1">
      <c r="A321" t="inlineStr">
        <is>
          <t>A 59310-2023</t>
        </is>
      </c>
      <c r="B321" s="1" t="n">
        <v>45253.61146990741</v>
      </c>
      <c r="C321" s="1" t="n">
        <v>46079</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20343-2024</t>
        </is>
      </c>
      <c r="B322" s="1" t="n">
        <v>45435.43466435185</v>
      </c>
      <c r="C322" s="1" t="n">
        <v>46079</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20345-2024</t>
        </is>
      </c>
      <c r="B323" s="1" t="n">
        <v>45435.43820601852</v>
      </c>
      <c r="C323" s="1" t="n">
        <v>46079</v>
      </c>
      <c r="D323" t="inlineStr">
        <is>
          <t>STOCKHOLMS LÄN</t>
        </is>
      </c>
      <c r="E323" t="inlineStr">
        <is>
          <t>NORRTÄLJE</t>
        </is>
      </c>
      <c r="G323" t="n">
        <v>3.8</v>
      </c>
      <c r="H323" t="n">
        <v>0</v>
      </c>
      <c r="I323" t="n">
        <v>0</v>
      </c>
      <c r="J323" t="n">
        <v>0</v>
      </c>
      <c r="K323" t="n">
        <v>0</v>
      </c>
      <c r="L323" t="n">
        <v>0</v>
      </c>
      <c r="M323" t="n">
        <v>0</v>
      </c>
      <c r="N323" t="n">
        <v>0</v>
      </c>
      <c r="O323" t="n">
        <v>0</v>
      </c>
      <c r="P323" t="n">
        <v>0</v>
      </c>
      <c r="Q323" t="n">
        <v>0</v>
      </c>
      <c r="R323" s="2" t="inlineStr"/>
    </row>
    <row r="324" ht="15" customHeight="1">
      <c r="A324" t="inlineStr">
        <is>
          <t>A 17843-2024</t>
        </is>
      </c>
      <c r="B324" s="1" t="n">
        <v>45418</v>
      </c>
      <c r="C324" s="1" t="n">
        <v>46079</v>
      </c>
      <c r="D324" t="inlineStr">
        <is>
          <t>STOCKHOLMS LÄN</t>
        </is>
      </c>
      <c r="E324" t="inlineStr">
        <is>
          <t>NORRTÄLJE</t>
        </is>
      </c>
      <c r="G324" t="n">
        <v>5.4</v>
      </c>
      <c r="H324" t="n">
        <v>0</v>
      </c>
      <c r="I324" t="n">
        <v>0</v>
      </c>
      <c r="J324" t="n">
        <v>0</v>
      </c>
      <c r="K324" t="n">
        <v>0</v>
      </c>
      <c r="L324" t="n">
        <v>0</v>
      </c>
      <c r="M324" t="n">
        <v>0</v>
      </c>
      <c r="N324" t="n">
        <v>0</v>
      </c>
      <c r="O324" t="n">
        <v>0</v>
      </c>
      <c r="P324" t="n">
        <v>0</v>
      </c>
      <c r="Q324" t="n">
        <v>0</v>
      </c>
      <c r="R324" s="2" t="inlineStr"/>
    </row>
    <row r="325" ht="15" customHeight="1">
      <c r="A325" t="inlineStr">
        <is>
          <t>A 47694-2023</t>
        </is>
      </c>
      <c r="B325" s="1" t="n">
        <v>45203.63303240741</v>
      </c>
      <c r="C325" s="1" t="n">
        <v>46079</v>
      </c>
      <c r="D325" t="inlineStr">
        <is>
          <t>STOCKHOLMS LÄN</t>
        </is>
      </c>
      <c r="E325" t="inlineStr">
        <is>
          <t>NORRTÄLJE</t>
        </is>
      </c>
      <c r="G325" t="n">
        <v>5.2</v>
      </c>
      <c r="H325" t="n">
        <v>0</v>
      </c>
      <c r="I325" t="n">
        <v>0</v>
      </c>
      <c r="J325" t="n">
        <v>0</v>
      </c>
      <c r="K325" t="n">
        <v>0</v>
      </c>
      <c r="L325" t="n">
        <v>0</v>
      </c>
      <c r="M325" t="n">
        <v>0</v>
      </c>
      <c r="N325" t="n">
        <v>0</v>
      </c>
      <c r="O325" t="n">
        <v>0</v>
      </c>
      <c r="P325" t="n">
        <v>0</v>
      </c>
      <c r="Q325" t="n">
        <v>0</v>
      </c>
      <c r="R325" s="2" t="inlineStr"/>
    </row>
    <row r="326" ht="15" customHeight="1">
      <c r="A326" t="inlineStr">
        <is>
          <t>A 55010-2024</t>
        </is>
      </c>
      <c r="B326" s="1" t="n">
        <v>45621.34425925926</v>
      </c>
      <c r="C326" s="1" t="n">
        <v>46079</v>
      </c>
      <c r="D326" t="inlineStr">
        <is>
          <t>STOCKHOLMS LÄN</t>
        </is>
      </c>
      <c r="E326" t="inlineStr">
        <is>
          <t>NORRTÄLJE</t>
        </is>
      </c>
      <c r="F326" t="inlineStr">
        <is>
          <t>Sveaskog</t>
        </is>
      </c>
      <c r="G326" t="n">
        <v>5.7</v>
      </c>
      <c r="H326" t="n">
        <v>0</v>
      </c>
      <c r="I326" t="n">
        <v>0</v>
      </c>
      <c r="J326" t="n">
        <v>0</v>
      </c>
      <c r="K326" t="n">
        <v>0</v>
      </c>
      <c r="L326" t="n">
        <v>0</v>
      </c>
      <c r="M326" t="n">
        <v>0</v>
      </c>
      <c r="N326" t="n">
        <v>0</v>
      </c>
      <c r="O326" t="n">
        <v>0</v>
      </c>
      <c r="P326" t="n">
        <v>0</v>
      </c>
      <c r="Q326" t="n">
        <v>0</v>
      </c>
      <c r="R326" s="2" t="inlineStr"/>
    </row>
    <row r="327" ht="15" customHeight="1">
      <c r="A327" t="inlineStr">
        <is>
          <t>A 55018-2024</t>
        </is>
      </c>
      <c r="B327" s="1" t="n">
        <v>45621.35712962963</v>
      </c>
      <c r="C327" s="1" t="n">
        <v>46079</v>
      </c>
      <c r="D327" t="inlineStr">
        <is>
          <t>STOCKHOLMS LÄN</t>
        </is>
      </c>
      <c r="E327" t="inlineStr">
        <is>
          <t>NORRTÄLJE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46079</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55696-2022</t>
        </is>
      </c>
      <c r="B329" s="1" t="n">
        <v>44888</v>
      </c>
      <c r="C329" s="1" t="n">
        <v>46079</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50907-2022</t>
        </is>
      </c>
      <c r="B330" s="1" t="n">
        <v>44867.62090277778</v>
      </c>
      <c r="C330" s="1" t="n">
        <v>46079</v>
      </c>
      <c r="D330" t="inlineStr">
        <is>
          <t>STOCKHOLMS LÄN</t>
        </is>
      </c>
      <c r="E330" t="inlineStr">
        <is>
          <t>NORRTÄLJE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6919-2025</t>
        </is>
      </c>
      <c r="B331" s="1" t="n">
        <v>45701.44372685185</v>
      </c>
      <c r="C331" s="1" t="n">
        <v>46079</v>
      </c>
      <c r="D331" t="inlineStr">
        <is>
          <t>STOCKHOLMS LÄN</t>
        </is>
      </c>
      <c r="E331" t="inlineStr">
        <is>
          <t>NORRTÄLJE</t>
        </is>
      </c>
      <c r="G331" t="n">
        <v>3.5</v>
      </c>
      <c r="H331" t="n">
        <v>0</v>
      </c>
      <c r="I331" t="n">
        <v>0</v>
      </c>
      <c r="J331" t="n">
        <v>0</v>
      </c>
      <c r="K331" t="n">
        <v>0</v>
      </c>
      <c r="L331" t="n">
        <v>0</v>
      </c>
      <c r="M331" t="n">
        <v>0</v>
      </c>
      <c r="N331" t="n">
        <v>0</v>
      </c>
      <c r="O331" t="n">
        <v>0</v>
      </c>
      <c r="P331" t="n">
        <v>0</v>
      </c>
      <c r="Q331" t="n">
        <v>0</v>
      </c>
      <c r="R331" s="2" t="inlineStr"/>
    </row>
    <row r="332" ht="15" customHeight="1">
      <c r="A332" t="inlineStr">
        <is>
          <t>A 40425-2021</t>
        </is>
      </c>
      <c r="B332" s="1" t="n">
        <v>44419</v>
      </c>
      <c r="C332" s="1" t="n">
        <v>46079</v>
      </c>
      <c r="D332" t="inlineStr">
        <is>
          <t>STOCKHOLMS LÄN</t>
        </is>
      </c>
      <c r="E332" t="inlineStr">
        <is>
          <t>NORRTÄLJE</t>
        </is>
      </c>
      <c r="G332" t="n">
        <v>5</v>
      </c>
      <c r="H332" t="n">
        <v>0</v>
      </c>
      <c r="I332" t="n">
        <v>0</v>
      </c>
      <c r="J332" t="n">
        <v>0</v>
      </c>
      <c r="K332" t="n">
        <v>0</v>
      </c>
      <c r="L332" t="n">
        <v>0</v>
      </c>
      <c r="M332" t="n">
        <v>0</v>
      </c>
      <c r="N332" t="n">
        <v>0</v>
      </c>
      <c r="O332" t="n">
        <v>0</v>
      </c>
      <c r="P332" t="n">
        <v>0</v>
      </c>
      <c r="Q332" t="n">
        <v>0</v>
      </c>
      <c r="R332" s="2" t="inlineStr"/>
    </row>
    <row r="333" ht="15" customHeight="1">
      <c r="A333" t="inlineStr">
        <is>
          <t>A 53362-2023</t>
        </is>
      </c>
      <c r="B333" s="1" t="n">
        <v>45223</v>
      </c>
      <c r="C333" s="1" t="n">
        <v>46079</v>
      </c>
      <c r="D333" t="inlineStr">
        <is>
          <t>STOCKHOLMS LÄN</t>
        </is>
      </c>
      <c r="E333" t="inlineStr">
        <is>
          <t>NORRTÄLJE</t>
        </is>
      </c>
      <c r="G333" t="n">
        <v>1.2</v>
      </c>
      <c r="H333" t="n">
        <v>0</v>
      </c>
      <c r="I333" t="n">
        <v>0</v>
      </c>
      <c r="J333" t="n">
        <v>0</v>
      </c>
      <c r="K333" t="n">
        <v>0</v>
      </c>
      <c r="L333" t="n">
        <v>0</v>
      </c>
      <c r="M333" t="n">
        <v>0</v>
      </c>
      <c r="N333" t="n">
        <v>0</v>
      </c>
      <c r="O333" t="n">
        <v>0</v>
      </c>
      <c r="P333" t="n">
        <v>0</v>
      </c>
      <c r="Q333" t="n">
        <v>0</v>
      </c>
      <c r="R333" s="2" t="inlineStr"/>
    </row>
    <row r="334" ht="15" customHeight="1">
      <c r="A334" t="inlineStr">
        <is>
          <t>A 20014-2025</t>
        </is>
      </c>
      <c r="B334" s="1" t="n">
        <v>45772.3078125</v>
      </c>
      <c r="C334" s="1" t="n">
        <v>46079</v>
      </c>
      <c r="D334" t="inlineStr">
        <is>
          <t>STOCKHOLMS LÄN</t>
        </is>
      </c>
      <c r="E334" t="inlineStr">
        <is>
          <t>NORRTÄLJE</t>
        </is>
      </c>
      <c r="G334" t="n">
        <v>4.4</v>
      </c>
      <c r="H334" t="n">
        <v>0</v>
      </c>
      <c r="I334" t="n">
        <v>0</v>
      </c>
      <c r="J334" t="n">
        <v>0</v>
      </c>
      <c r="K334" t="n">
        <v>0</v>
      </c>
      <c r="L334" t="n">
        <v>0</v>
      </c>
      <c r="M334" t="n">
        <v>0</v>
      </c>
      <c r="N334" t="n">
        <v>0</v>
      </c>
      <c r="O334" t="n">
        <v>0</v>
      </c>
      <c r="P334" t="n">
        <v>0</v>
      </c>
      <c r="Q334" t="n">
        <v>0</v>
      </c>
      <c r="R334" s="2" t="inlineStr"/>
    </row>
    <row r="335" ht="15" customHeight="1">
      <c r="A335" t="inlineStr">
        <is>
          <t>A 50113-2024</t>
        </is>
      </c>
      <c r="B335" s="1" t="n">
        <v>45600.411875</v>
      </c>
      <c r="C335" s="1" t="n">
        <v>46079</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20336-2024</t>
        </is>
      </c>
      <c r="B336" s="1" t="n">
        <v>45435.43123842592</v>
      </c>
      <c r="C336" s="1" t="n">
        <v>46079</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56631-2024</t>
        </is>
      </c>
      <c r="B337" s="1" t="n">
        <v>45625</v>
      </c>
      <c r="C337" s="1" t="n">
        <v>46079</v>
      </c>
      <c r="D337" t="inlineStr">
        <is>
          <t>STOCKHOLMS LÄN</t>
        </is>
      </c>
      <c r="E337" t="inlineStr">
        <is>
          <t>NORRTÄLJE</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48587-2023</t>
        </is>
      </c>
      <c r="B338" s="1" t="n">
        <v>45208</v>
      </c>
      <c r="C338" s="1" t="n">
        <v>46079</v>
      </c>
      <c r="D338" t="inlineStr">
        <is>
          <t>STOCKHOLMS LÄN</t>
        </is>
      </c>
      <c r="E338" t="inlineStr">
        <is>
          <t>NORRTÄLJE</t>
        </is>
      </c>
      <c r="G338" t="n">
        <v>7</v>
      </c>
      <c r="H338" t="n">
        <v>0</v>
      </c>
      <c r="I338" t="n">
        <v>0</v>
      </c>
      <c r="J338" t="n">
        <v>0</v>
      </c>
      <c r="K338" t="n">
        <v>0</v>
      </c>
      <c r="L338" t="n">
        <v>0</v>
      </c>
      <c r="M338" t="n">
        <v>0</v>
      </c>
      <c r="N338" t="n">
        <v>0</v>
      </c>
      <c r="O338" t="n">
        <v>0</v>
      </c>
      <c r="P338" t="n">
        <v>0</v>
      </c>
      <c r="Q338" t="n">
        <v>0</v>
      </c>
      <c r="R338" s="2" t="inlineStr"/>
    </row>
    <row r="339" ht="15" customHeight="1">
      <c r="A339" t="inlineStr">
        <is>
          <t>A 64899-2023</t>
        </is>
      </c>
      <c r="B339" s="1" t="n">
        <v>45282</v>
      </c>
      <c r="C339" s="1" t="n">
        <v>46079</v>
      </c>
      <c r="D339" t="inlineStr">
        <is>
          <t>STOCKHOLMS LÄN</t>
        </is>
      </c>
      <c r="E339" t="inlineStr">
        <is>
          <t>NORRTÄLJE</t>
        </is>
      </c>
      <c r="G339" t="n">
        <v>6.3</v>
      </c>
      <c r="H339" t="n">
        <v>0</v>
      </c>
      <c r="I339" t="n">
        <v>0</v>
      </c>
      <c r="J339" t="n">
        <v>0</v>
      </c>
      <c r="K339" t="n">
        <v>0</v>
      </c>
      <c r="L339" t="n">
        <v>0</v>
      </c>
      <c r="M339" t="n">
        <v>0</v>
      </c>
      <c r="N339" t="n">
        <v>0</v>
      </c>
      <c r="O339" t="n">
        <v>0</v>
      </c>
      <c r="P339" t="n">
        <v>0</v>
      </c>
      <c r="Q339" t="n">
        <v>0</v>
      </c>
      <c r="R339" s="2" t="inlineStr"/>
    </row>
    <row r="340" ht="15" customHeight="1">
      <c r="A340" t="inlineStr">
        <is>
          <t>A 53600-2022</t>
        </is>
      </c>
      <c r="B340" s="1" t="n">
        <v>44879.70518518519</v>
      </c>
      <c r="C340" s="1" t="n">
        <v>46079</v>
      </c>
      <c r="D340" t="inlineStr">
        <is>
          <t>STOCKHOLMS LÄN</t>
        </is>
      </c>
      <c r="E340" t="inlineStr">
        <is>
          <t>NORRTÄLJE</t>
        </is>
      </c>
      <c r="G340" t="n">
        <v>4.3</v>
      </c>
      <c r="H340" t="n">
        <v>0</v>
      </c>
      <c r="I340" t="n">
        <v>0</v>
      </c>
      <c r="J340" t="n">
        <v>0</v>
      </c>
      <c r="K340" t="n">
        <v>0</v>
      </c>
      <c r="L340" t="n">
        <v>0</v>
      </c>
      <c r="M340" t="n">
        <v>0</v>
      </c>
      <c r="N340" t="n">
        <v>0</v>
      </c>
      <c r="O340" t="n">
        <v>0</v>
      </c>
      <c r="P340" t="n">
        <v>0</v>
      </c>
      <c r="Q340" t="n">
        <v>0</v>
      </c>
      <c r="R340" s="2" t="inlineStr"/>
    </row>
    <row r="341" ht="15" customHeight="1">
      <c r="A341" t="inlineStr">
        <is>
          <t>A 1847-2023</t>
        </is>
      </c>
      <c r="B341" s="1" t="n">
        <v>44938</v>
      </c>
      <c r="C341" s="1" t="n">
        <v>46079</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11122-2021</t>
        </is>
      </c>
      <c r="B342" s="1" t="n">
        <v>44260</v>
      </c>
      <c r="C342" s="1" t="n">
        <v>46079</v>
      </c>
      <c r="D342" t="inlineStr">
        <is>
          <t>STOCKHOLMS LÄN</t>
        </is>
      </c>
      <c r="E342" t="inlineStr">
        <is>
          <t>NORRTÄLJE</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29362-2022</t>
        </is>
      </c>
      <c r="B343" s="1" t="n">
        <v>44753</v>
      </c>
      <c r="C343" s="1" t="n">
        <v>46079</v>
      </c>
      <c r="D343" t="inlineStr">
        <is>
          <t>STOCKHOLMS LÄN</t>
        </is>
      </c>
      <c r="E343" t="inlineStr">
        <is>
          <t>NORRTÄLJE</t>
        </is>
      </c>
      <c r="G343" t="n">
        <v>3.8</v>
      </c>
      <c r="H343" t="n">
        <v>0</v>
      </c>
      <c r="I343" t="n">
        <v>0</v>
      </c>
      <c r="J343" t="n">
        <v>0</v>
      </c>
      <c r="K343" t="n">
        <v>0</v>
      </c>
      <c r="L343" t="n">
        <v>0</v>
      </c>
      <c r="M343" t="n">
        <v>0</v>
      </c>
      <c r="N343" t="n">
        <v>0</v>
      </c>
      <c r="O343" t="n">
        <v>0</v>
      </c>
      <c r="P343" t="n">
        <v>0</v>
      </c>
      <c r="Q343" t="n">
        <v>0</v>
      </c>
      <c r="R343" s="2" t="inlineStr"/>
    </row>
    <row r="344" ht="15" customHeight="1">
      <c r="A344" t="inlineStr">
        <is>
          <t>A 8433-2022</t>
        </is>
      </c>
      <c r="B344" s="1" t="n">
        <v>44611</v>
      </c>
      <c r="C344" s="1" t="n">
        <v>46079</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20291-2022</t>
        </is>
      </c>
      <c r="B345" s="1" t="n">
        <v>44698</v>
      </c>
      <c r="C345" s="1" t="n">
        <v>46079</v>
      </c>
      <c r="D345" t="inlineStr">
        <is>
          <t>STOCKHOLMS LÄN</t>
        </is>
      </c>
      <c r="E345" t="inlineStr">
        <is>
          <t>NORRTÄLJE</t>
        </is>
      </c>
      <c r="F345" t="inlineStr">
        <is>
          <t>Naturvårdsverket</t>
        </is>
      </c>
      <c r="G345" t="n">
        <v>2</v>
      </c>
      <c r="H345" t="n">
        <v>0</v>
      </c>
      <c r="I345" t="n">
        <v>0</v>
      </c>
      <c r="J345" t="n">
        <v>0</v>
      </c>
      <c r="K345" t="n">
        <v>0</v>
      </c>
      <c r="L345" t="n">
        <v>0</v>
      </c>
      <c r="M345" t="n">
        <v>0</v>
      </c>
      <c r="N345" t="n">
        <v>0</v>
      </c>
      <c r="O345" t="n">
        <v>0</v>
      </c>
      <c r="P345" t="n">
        <v>0</v>
      </c>
      <c r="Q345" t="n">
        <v>0</v>
      </c>
      <c r="R345" s="2" t="inlineStr"/>
    </row>
    <row r="346" ht="15" customHeight="1">
      <c r="A346" t="inlineStr">
        <is>
          <t>A 10215-2023</t>
        </is>
      </c>
      <c r="B346" s="1" t="n">
        <v>44986.5887962963</v>
      </c>
      <c r="C346" s="1" t="n">
        <v>46079</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12302-2025</t>
        </is>
      </c>
      <c r="B347" s="1" t="n">
        <v>45729.72851851852</v>
      </c>
      <c r="C347" s="1" t="n">
        <v>46079</v>
      </c>
      <c r="D347" t="inlineStr">
        <is>
          <t>STOCKHOLMS LÄN</t>
        </is>
      </c>
      <c r="E347" t="inlineStr">
        <is>
          <t>NORRTÄLJE</t>
        </is>
      </c>
      <c r="F347" t="inlineStr">
        <is>
          <t>Holmen skog AB</t>
        </is>
      </c>
      <c r="G347" t="n">
        <v>0.8</v>
      </c>
      <c r="H347" t="n">
        <v>0</v>
      </c>
      <c r="I347" t="n">
        <v>0</v>
      </c>
      <c r="J347" t="n">
        <v>0</v>
      </c>
      <c r="K347" t="n">
        <v>0</v>
      </c>
      <c r="L347" t="n">
        <v>0</v>
      </c>
      <c r="M347" t="n">
        <v>0</v>
      </c>
      <c r="N347" t="n">
        <v>0</v>
      </c>
      <c r="O347" t="n">
        <v>0</v>
      </c>
      <c r="P347" t="n">
        <v>0</v>
      </c>
      <c r="Q347" t="n">
        <v>0</v>
      </c>
      <c r="R347" s="2" t="inlineStr"/>
    </row>
    <row r="348" ht="15" customHeight="1">
      <c r="A348" t="inlineStr">
        <is>
          <t>A 42955-2022</t>
        </is>
      </c>
      <c r="B348" s="1" t="n">
        <v>44833.40876157407</v>
      </c>
      <c r="C348" s="1" t="n">
        <v>46079</v>
      </c>
      <c r="D348" t="inlineStr">
        <is>
          <t>STOCKHOLMS LÄN</t>
        </is>
      </c>
      <c r="E348" t="inlineStr">
        <is>
          <t>NORRTÄLJE</t>
        </is>
      </c>
      <c r="G348" t="n">
        <v>13.1</v>
      </c>
      <c r="H348" t="n">
        <v>0</v>
      </c>
      <c r="I348" t="n">
        <v>0</v>
      </c>
      <c r="J348" t="n">
        <v>0</v>
      </c>
      <c r="K348" t="n">
        <v>0</v>
      </c>
      <c r="L348" t="n">
        <v>0</v>
      </c>
      <c r="M348" t="n">
        <v>0</v>
      </c>
      <c r="N348" t="n">
        <v>0</v>
      </c>
      <c r="O348" t="n">
        <v>0</v>
      </c>
      <c r="P348" t="n">
        <v>0</v>
      </c>
      <c r="Q348" t="n">
        <v>0</v>
      </c>
      <c r="R348" s="2" t="inlineStr"/>
    </row>
    <row r="349" ht="15" customHeight="1">
      <c r="A349" t="inlineStr">
        <is>
          <t>A 31926-2022</t>
        </is>
      </c>
      <c r="B349" s="1" t="n">
        <v>44777</v>
      </c>
      <c r="C349" s="1" t="n">
        <v>46079</v>
      </c>
      <c r="D349" t="inlineStr">
        <is>
          <t>STOCKHOLMS LÄN</t>
        </is>
      </c>
      <c r="E349" t="inlineStr">
        <is>
          <t>NORRTÄLJE</t>
        </is>
      </c>
      <c r="G349" t="n">
        <v>5.2</v>
      </c>
      <c r="H349" t="n">
        <v>0</v>
      </c>
      <c r="I349" t="n">
        <v>0</v>
      </c>
      <c r="J349" t="n">
        <v>0</v>
      </c>
      <c r="K349" t="n">
        <v>0</v>
      </c>
      <c r="L349" t="n">
        <v>0</v>
      </c>
      <c r="M349" t="n">
        <v>0</v>
      </c>
      <c r="N349" t="n">
        <v>0</v>
      </c>
      <c r="O349" t="n">
        <v>0</v>
      </c>
      <c r="P349" t="n">
        <v>0</v>
      </c>
      <c r="Q349" t="n">
        <v>0</v>
      </c>
      <c r="R349" s="2" t="inlineStr"/>
    </row>
    <row r="350" ht="15" customHeight="1">
      <c r="A350" t="inlineStr">
        <is>
          <t>A 20136-2025</t>
        </is>
      </c>
      <c r="B350" s="1" t="n">
        <v>45772.51127314815</v>
      </c>
      <c r="C350" s="1" t="n">
        <v>46079</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15978-2024</t>
        </is>
      </c>
      <c r="B351" s="1" t="n">
        <v>45405.57927083333</v>
      </c>
      <c r="C351" s="1" t="n">
        <v>46079</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1425-2025</t>
        </is>
      </c>
      <c r="B352" s="1" t="n">
        <v>45668.67446759259</v>
      </c>
      <c r="C352" s="1" t="n">
        <v>46079</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1453-2025</t>
        </is>
      </c>
      <c r="B353" s="1" t="n">
        <v>45670.3079050926</v>
      </c>
      <c r="C353" s="1" t="n">
        <v>46079</v>
      </c>
      <c r="D353" t="inlineStr">
        <is>
          <t>STOCKHOLMS LÄN</t>
        </is>
      </c>
      <c r="E353" t="inlineStr">
        <is>
          <t>NORRTÄLJE</t>
        </is>
      </c>
      <c r="G353" t="n">
        <v>2.6</v>
      </c>
      <c r="H353" t="n">
        <v>0</v>
      </c>
      <c r="I353" t="n">
        <v>0</v>
      </c>
      <c r="J353" t="n">
        <v>0</v>
      </c>
      <c r="K353" t="n">
        <v>0</v>
      </c>
      <c r="L353" t="n">
        <v>0</v>
      </c>
      <c r="M353" t="n">
        <v>0</v>
      </c>
      <c r="N353" t="n">
        <v>0</v>
      </c>
      <c r="O353" t="n">
        <v>0</v>
      </c>
      <c r="P353" t="n">
        <v>0</v>
      </c>
      <c r="Q353" t="n">
        <v>0</v>
      </c>
      <c r="R353" s="2" t="inlineStr"/>
    </row>
    <row r="354" ht="15" customHeight="1">
      <c r="A354" t="inlineStr">
        <is>
          <t>A 14127-2025</t>
        </is>
      </c>
      <c r="B354" s="1" t="n">
        <v>45740.47055555556</v>
      </c>
      <c r="C354" s="1" t="n">
        <v>46079</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13860-2023</t>
        </is>
      </c>
      <c r="B355" s="1" t="n">
        <v>45007</v>
      </c>
      <c r="C355" s="1" t="n">
        <v>46079</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6070-2022</t>
        </is>
      </c>
      <c r="B356" s="1" t="n">
        <v>44599.58428240741</v>
      </c>
      <c r="C356" s="1" t="n">
        <v>46079</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20473-2021</t>
        </is>
      </c>
      <c r="B357" s="1" t="n">
        <v>44315</v>
      </c>
      <c r="C357" s="1" t="n">
        <v>46079</v>
      </c>
      <c r="D357" t="inlineStr">
        <is>
          <t>STOCKHOLMS LÄN</t>
        </is>
      </c>
      <c r="E357" t="inlineStr">
        <is>
          <t>NORRTÄLJE</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31559-2022</t>
        </is>
      </c>
      <c r="B358" s="1" t="n">
        <v>44775</v>
      </c>
      <c r="C358" s="1" t="n">
        <v>46079</v>
      </c>
      <c r="D358" t="inlineStr">
        <is>
          <t>STOCKHOLMS LÄN</t>
        </is>
      </c>
      <c r="E358" t="inlineStr">
        <is>
          <t>NORRTÄLJE</t>
        </is>
      </c>
      <c r="G358" t="n">
        <v>5.6</v>
      </c>
      <c r="H358" t="n">
        <v>0</v>
      </c>
      <c r="I358" t="n">
        <v>0</v>
      </c>
      <c r="J358" t="n">
        <v>0</v>
      </c>
      <c r="K358" t="n">
        <v>0</v>
      </c>
      <c r="L358" t="n">
        <v>0</v>
      </c>
      <c r="M358" t="n">
        <v>0</v>
      </c>
      <c r="N358" t="n">
        <v>0</v>
      </c>
      <c r="O358" t="n">
        <v>0</v>
      </c>
      <c r="P358" t="n">
        <v>0</v>
      </c>
      <c r="Q358" t="n">
        <v>0</v>
      </c>
      <c r="R358" s="2" t="inlineStr"/>
    </row>
    <row r="359" ht="15" customHeight="1">
      <c r="A359" t="inlineStr">
        <is>
          <t>A 7603-2025</t>
        </is>
      </c>
      <c r="B359" s="1" t="n">
        <v>45705.66126157407</v>
      </c>
      <c r="C359" s="1" t="n">
        <v>46079</v>
      </c>
      <c r="D359" t="inlineStr">
        <is>
          <t>STOCKHOLMS LÄN</t>
        </is>
      </c>
      <c r="E359" t="inlineStr">
        <is>
          <t>NORRTÄLJE</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52001-2023</t>
        </is>
      </c>
      <c r="B360" s="1" t="n">
        <v>45223</v>
      </c>
      <c r="C360" s="1" t="n">
        <v>46079</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9130-2025</t>
        </is>
      </c>
      <c r="B361" s="1" t="n">
        <v>45713.92623842593</v>
      </c>
      <c r="C361" s="1" t="n">
        <v>46079</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27828-2022</t>
        </is>
      </c>
      <c r="B362" s="1" t="n">
        <v>44743.59765046297</v>
      </c>
      <c r="C362" s="1" t="n">
        <v>46079</v>
      </c>
      <c r="D362" t="inlineStr">
        <is>
          <t>STOCKHOLMS LÄN</t>
        </is>
      </c>
      <c r="E362" t="inlineStr">
        <is>
          <t>NORRTÄLJE</t>
        </is>
      </c>
      <c r="F362" t="inlineStr">
        <is>
          <t>Kommuner</t>
        </is>
      </c>
      <c r="G362" t="n">
        <v>1.6</v>
      </c>
      <c r="H362" t="n">
        <v>0</v>
      </c>
      <c r="I362" t="n">
        <v>0</v>
      </c>
      <c r="J362" t="n">
        <v>0</v>
      </c>
      <c r="K362" t="n">
        <v>0</v>
      </c>
      <c r="L362" t="n">
        <v>0</v>
      </c>
      <c r="M362" t="n">
        <v>0</v>
      </c>
      <c r="N362" t="n">
        <v>0</v>
      </c>
      <c r="O362" t="n">
        <v>0</v>
      </c>
      <c r="P362" t="n">
        <v>0</v>
      </c>
      <c r="Q362" t="n">
        <v>0</v>
      </c>
      <c r="R362" s="2" t="inlineStr"/>
    </row>
    <row r="363" ht="15" customHeight="1">
      <c r="A363" t="inlineStr">
        <is>
          <t>A 5158-2024</t>
        </is>
      </c>
      <c r="B363" s="1" t="n">
        <v>45330.50098379629</v>
      </c>
      <c r="C363" s="1" t="n">
        <v>46079</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59873-2024</t>
        </is>
      </c>
      <c r="B364" s="1" t="n">
        <v>45640.57305555556</v>
      </c>
      <c r="C364" s="1" t="n">
        <v>46079</v>
      </c>
      <c r="D364" t="inlineStr">
        <is>
          <t>STOCKHOLMS LÄN</t>
        </is>
      </c>
      <c r="E364" t="inlineStr">
        <is>
          <t>NORRTÄLJE</t>
        </is>
      </c>
      <c r="G364" t="n">
        <v>3.3</v>
      </c>
      <c r="H364" t="n">
        <v>0</v>
      </c>
      <c r="I364" t="n">
        <v>0</v>
      </c>
      <c r="J364" t="n">
        <v>0</v>
      </c>
      <c r="K364" t="n">
        <v>0</v>
      </c>
      <c r="L364" t="n">
        <v>0</v>
      </c>
      <c r="M364" t="n">
        <v>0</v>
      </c>
      <c r="N364" t="n">
        <v>0</v>
      </c>
      <c r="O364" t="n">
        <v>0</v>
      </c>
      <c r="P364" t="n">
        <v>0</v>
      </c>
      <c r="Q364" t="n">
        <v>0</v>
      </c>
      <c r="R364" s="2" t="inlineStr"/>
    </row>
    <row r="365" ht="15" customHeight="1">
      <c r="A365" t="inlineStr">
        <is>
          <t>A 22456-2023</t>
        </is>
      </c>
      <c r="B365" s="1" t="n">
        <v>45070</v>
      </c>
      <c r="C365" s="1" t="n">
        <v>46079</v>
      </c>
      <c r="D365" t="inlineStr">
        <is>
          <t>STOCKHOLMS LÄN</t>
        </is>
      </c>
      <c r="E365" t="inlineStr">
        <is>
          <t>NORRTÄLJE</t>
        </is>
      </c>
      <c r="G365" t="n">
        <v>3.1</v>
      </c>
      <c r="H365" t="n">
        <v>0</v>
      </c>
      <c r="I365" t="n">
        <v>0</v>
      </c>
      <c r="J365" t="n">
        <v>0</v>
      </c>
      <c r="K365" t="n">
        <v>0</v>
      </c>
      <c r="L365" t="n">
        <v>0</v>
      </c>
      <c r="M365" t="n">
        <v>0</v>
      </c>
      <c r="N365" t="n">
        <v>0</v>
      </c>
      <c r="O365" t="n">
        <v>0</v>
      </c>
      <c r="P365" t="n">
        <v>0</v>
      </c>
      <c r="Q365" t="n">
        <v>0</v>
      </c>
      <c r="R365" s="2" t="inlineStr"/>
    </row>
    <row r="366" ht="15" customHeight="1">
      <c r="A366" t="inlineStr">
        <is>
          <t>A 51046-2023</t>
        </is>
      </c>
      <c r="B366" s="1" t="n">
        <v>45218</v>
      </c>
      <c r="C366" s="1" t="n">
        <v>46079</v>
      </c>
      <c r="D366" t="inlineStr">
        <is>
          <t>STOCKHOLMS LÄN</t>
        </is>
      </c>
      <c r="E366" t="inlineStr">
        <is>
          <t>NORRTÄLJE</t>
        </is>
      </c>
      <c r="G366" t="n">
        <v>2.5</v>
      </c>
      <c r="H366" t="n">
        <v>0</v>
      </c>
      <c r="I366" t="n">
        <v>0</v>
      </c>
      <c r="J366" t="n">
        <v>0</v>
      </c>
      <c r="K366" t="n">
        <v>0</v>
      </c>
      <c r="L366" t="n">
        <v>0</v>
      </c>
      <c r="M366" t="n">
        <v>0</v>
      </c>
      <c r="N366" t="n">
        <v>0</v>
      </c>
      <c r="O366" t="n">
        <v>0</v>
      </c>
      <c r="P366" t="n">
        <v>0</v>
      </c>
      <c r="Q366" t="n">
        <v>0</v>
      </c>
      <c r="R366" s="2" t="inlineStr"/>
    </row>
    <row r="367" ht="15" customHeight="1">
      <c r="A367" t="inlineStr">
        <is>
          <t>A 19580-2022</t>
        </is>
      </c>
      <c r="B367" s="1" t="n">
        <v>44693</v>
      </c>
      <c r="C367" s="1" t="n">
        <v>46079</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22412-2021</t>
        </is>
      </c>
      <c r="B368" s="1" t="n">
        <v>44326.61967592593</v>
      </c>
      <c r="C368" s="1" t="n">
        <v>46079</v>
      </c>
      <c r="D368" t="inlineStr">
        <is>
          <t>STOCKHOLMS LÄN</t>
        </is>
      </c>
      <c r="E368" t="inlineStr">
        <is>
          <t>NORRTÄLJE</t>
        </is>
      </c>
      <c r="G368" t="n">
        <v>1.7</v>
      </c>
      <c r="H368" t="n">
        <v>0</v>
      </c>
      <c r="I368" t="n">
        <v>0</v>
      </c>
      <c r="J368" t="n">
        <v>0</v>
      </c>
      <c r="K368" t="n">
        <v>0</v>
      </c>
      <c r="L368" t="n">
        <v>0</v>
      </c>
      <c r="M368" t="n">
        <v>0</v>
      </c>
      <c r="N368" t="n">
        <v>0</v>
      </c>
      <c r="O368" t="n">
        <v>0</v>
      </c>
      <c r="P368" t="n">
        <v>0</v>
      </c>
      <c r="Q368" t="n">
        <v>0</v>
      </c>
      <c r="R368" s="2" t="inlineStr"/>
    </row>
    <row r="369" ht="15" customHeight="1">
      <c r="A369" t="inlineStr">
        <is>
          <t>A 8736-2024</t>
        </is>
      </c>
      <c r="B369" s="1" t="n">
        <v>45356.4722800926</v>
      </c>
      <c r="C369" s="1" t="n">
        <v>46079</v>
      </c>
      <c r="D369" t="inlineStr">
        <is>
          <t>STOCKHOLMS LÄN</t>
        </is>
      </c>
      <c r="E369" t="inlineStr">
        <is>
          <t>NORRTÄLJE</t>
        </is>
      </c>
      <c r="G369" t="n">
        <v>8.9</v>
      </c>
      <c r="H369" t="n">
        <v>0</v>
      </c>
      <c r="I369" t="n">
        <v>0</v>
      </c>
      <c r="J369" t="n">
        <v>0</v>
      </c>
      <c r="K369" t="n">
        <v>0</v>
      </c>
      <c r="L369" t="n">
        <v>0</v>
      </c>
      <c r="M369" t="n">
        <v>0</v>
      </c>
      <c r="N369" t="n">
        <v>0</v>
      </c>
      <c r="O369" t="n">
        <v>0</v>
      </c>
      <c r="P369" t="n">
        <v>0</v>
      </c>
      <c r="Q369" t="n">
        <v>0</v>
      </c>
      <c r="R369" s="2" t="inlineStr"/>
    </row>
    <row r="370" ht="15" customHeight="1">
      <c r="A370" t="inlineStr">
        <is>
          <t>A 48161-2022</t>
        </is>
      </c>
      <c r="B370" s="1" t="n">
        <v>44858</v>
      </c>
      <c r="C370" s="1" t="n">
        <v>46079</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15552-2021</t>
        </is>
      </c>
      <c r="B371" s="1" t="n">
        <v>44285</v>
      </c>
      <c r="C371" s="1" t="n">
        <v>46079</v>
      </c>
      <c r="D371" t="inlineStr">
        <is>
          <t>STOCKHOLMS LÄN</t>
        </is>
      </c>
      <c r="E371" t="inlineStr">
        <is>
          <t>NORRTÄLJE</t>
        </is>
      </c>
      <c r="G371" t="n">
        <v>10</v>
      </c>
      <c r="H371" t="n">
        <v>0</v>
      </c>
      <c r="I371" t="n">
        <v>0</v>
      </c>
      <c r="J371" t="n">
        <v>0</v>
      </c>
      <c r="K371" t="n">
        <v>0</v>
      </c>
      <c r="L371" t="n">
        <v>0</v>
      </c>
      <c r="M371" t="n">
        <v>0</v>
      </c>
      <c r="N371" t="n">
        <v>0</v>
      </c>
      <c r="O371" t="n">
        <v>0</v>
      </c>
      <c r="P371" t="n">
        <v>0</v>
      </c>
      <c r="Q371" t="n">
        <v>0</v>
      </c>
      <c r="R371" s="2" t="inlineStr"/>
    </row>
    <row r="372" ht="15" customHeight="1">
      <c r="A372" t="inlineStr">
        <is>
          <t>A 43150-2023</t>
        </is>
      </c>
      <c r="B372" s="1" t="n">
        <v>45183</v>
      </c>
      <c r="C372" s="1" t="n">
        <v>46079</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12890-2024</t>
        </is>
      </c>
      <c r="B373" s="1" t="n">
        <v>45385.36243055556</v>
      </c>
      <c r="C373" s="1" t="n">
        <v>46079</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5823-2023</t>
        </is>
      </c>
      <c r="B374" s="1" t="n">
        <v>44963</v>
      </c>
      <c r="C374" s="1" t="n">
        <v>46079</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30731-2023</t>
        </is>
      </c>
      <c r="B375" s="1" t="n">
        <v>45112</v>
      </c>
      <c r="C375" s="1" t="n">
        <v>46079</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59534-2024</t>
        </is>
      </c>
      <c r="B376" s="1" t="n">
        <v>45638.5987037037</v>
      </c>
      <c r="C376" s="1" t="n">
        <v>46079</v>
      </c>
      <c r="D376" t="inlineStr">
        <is>
          <t>STOCKHOLMS LÄN</t>
        </is>
      </c>
      <c r="E376" t="inlineStr">
        <is>
          <t>NORRTÄLJE</t>
        </is>
      </c>
      <c r="F376" t="inlineStr">
        <is>
          <t>Holmen skog AB</t>
        </is>
      </c>
      <c r="G376" t="n">
        <v>1.3</v>
      </c>
      <c r="H376" t="n">
        <v>0</v>
      </c>
      <c r="I376" t="n">
        <v>0</v>
      </c>
      <c r="J376" t="n">
        <v>0</v>
      </c>
      <c r="K376" t="n">
        <v>0</v>
      </c>
      <c r="L376" t="n">
        <v>0</v>
      </c>
      <c r="M376" t="n">
        <v>0</v>
      </c>
      <c r="N376" t="n">
        <v>0</v>
      </c>
      <c r="O376" t="n">
        <v>0</v>
      </c>
      <c r="P376" t="n">
        <v>0</v>
      </c>
      <c r="Q376" t="n">
        <v>0</v>
      </c>
      <c r="R376" s="2" t="inlineStr"/>
    </row>
    <row r="377" ht="15" customHeight="1">
      <c r="A377" t="inlineStr">
        <is>
          <t>A 23307-2024</t>
        </is>
      </c>
      <c r="B377" s="1" t="n">
        <v>45453</v>
      </c>
      <c r="C377" s="1" t="n">
        <v>46079</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11988-2021</t>
        </is>
      </c>
      <c r="B378" s="1" t="n">
        <v>44266</v>
      </c>
      <c r="C378" s="1" t="n">
        <v>46079</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12132-2021</t>
        </is>
      </c>
      <c r="B379" s="1" t="n">
        <v>44266</v>
      </c>
      <c r="C379" s="1" t="n">
        <v>46079</v>
      </c>
      <c r="D379" t="inlineStr">
        <is>
          <t>STOCKHOLMS LÄN</t>
        </is>
      </c>
      <c r="E379" t="inlineStr">
        <is>
          <t>NORRTÄLJE</t>
        </is>
      </c>
      <c r="G379" t="n">
        <v>4</v>
      </c>
      <c r="H379" t="n">
        <v>0</v>
      </c>
      <c r="I379" t="n">
        <v>0</v>
      </c>
      <c r="J379" t="n">
        <v>0</v>
      </c>
      <c r="K379" t="n">
        <v>0</v>
      </c>
      <c r="L379" t="n">
        <v>0</v>
      </c>
      <c r="M379" t="n">
        <v>0</v>
      </c>
      <c r="N379" t="n">
        <v>0</v>
      </c>
      <c r="O379" t="n">
        <v>0</v>
      </c>
      <c r="P379" t="n">
        <v>0</v>
      </c>
      <c r="Q379" t="n">
        <v>0</v>
      </c>
      <c r="R379" s="2" t="inlineStr"/>
    </row>
    <row r="380" ht="15" customHeight="1">
      <c r="A380" t="inlineStr">
        <is>
          <t>A 45255-2022</t>
        </is>
      </c>
      <c r="B380" s="1" t="n">
        <v>44840</v>
      </c>
      <c r="C380" s="1" t="n">
        <v>46079</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19915-2024</t>
        </is>
      </c>
      <c r="B381" s="1" t="n">
        <v>45433.58431712963</v>
      </c>
      <c r="C381" s="1" t="n">
        <v>46079</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19450-2025</t>
        </is>
      </c>
      <c r="B382" s="1" t="n">
        <v>45770</v>
      </c>
      <c r="C382" s="1" t="n">
        <v>46079</v>
      </c>
      <c r="D382" t="inlineStr">
        <is>
          <t>STOCKHOLMS LÄN</t>
        </is>
      </c>
      <c r="E382" t="inlineStr">
        <is>
          <t>NORRTÄLJE</t>
        </is>
      </c>
      <c r="G382" t="n">
        <v>5.3</v>
      </c>
      <c r="H382" t="n">
        <v>0</v>
      </c>
      <c r="I382" t="n">
        <v>0</v>
      </c>
      <c r="J382" t="n">
        <v>0</v>
      </c>
      <c r="K382" t="n">
        <v>0</v>
      </c>
      <c r="L382" t="n">
        <v>0</v>
      </c>
      <c r="M382" t="n">
        <v>0</v>
      </c>
      <c r="N382" t="n">
        <v>0</v>
      </c>
      <c r="O382" t="n">
        <v>0</v>
      </c>
      <c r="P382" t="n">
        <v>0</v>
      </c>
      <c r="Q382" t="n">
        <v>0</v>
      </c>
      <c r="R382" s="2" t="inlineStr"/>
    </row>
    <row r="383" ht="15" customHeight="1">
      <c r="A383" t="inlineStr">
        <is>
          <t>A 2281-2024</t>
        </is>
      </c>
      <c r="B383" s="1" t="n">
        <v>45310.40628472222</v>
      </c>
      <c r="C383" s="1" t="n">
        <v>46079</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2287-2024</t>
        </is>
      </c>
      <c r="B384" s="1" t="n">
        <v>45310</v>
      </c>
      <c r="C384" s="1" t="n">
        <v>46079</v>
      </c>
      <c r="D384" t="inlineStr">
        <is>
          <t>STOCKHOLMS LÄN</t>
        </is>
      </c>
      <c r="E384" t="inlineStr">
        <is>
          <t>NORRTÄLJE</t>
        </is>
      </c>
      <c r="G384" t="n">
        <v>1.2</v>
      </c>
      <c r="H384" t="n">
        <v>0</v>
      </c>
      <c r="I384" t="n">
        <v>0</v>
      </c>
      <c r="J384" t="n">
        <v>0</v>
      </c>
      <c r="K384" t="n">
        <v>0</v>
      </c>
      <c r="L384" t="n">
        <v>0</v>
      </c>
      <c r="M384" t="n">
        <v>0</v>
      </c>
      <c r="N384" t="n">
        <v>0</v>
      </c>
      <c r="O384" t="n">
        <v>0</v>
      </c>
      <c r="P384" t="n">
        <v>0</v>
      </c>
      <c r="Q384" t="n">
        <v>0</v>
      </c>
      <c r="R384" s="2" t="inlineStr"/>
    </row>
    <row r="385" ht="15" customHeight="1">
      <c r="A385" t="inlineStr">
        <is>
          <t>A 12629-2024</t>
        </is>
      </c>
      <c r="B385" s="1" t="n">
        <v>45383</v>
      </c>
      <c r="C385" s="1" t="n">
        <v>46079</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51653-2022</t>
        </is>
      </c>
      <c r="B386" s="1" t="n">
        <v>44867</v>
      </c>
      <c r="C386" s="1" t="n">
        <v>46079</v>
      </c>
      <c r="D386" t="inlineStr">
        <is>
          <t>STOCKHOLMS LÄN</t>
        </is>
      </c>
      <c r="E386" t="inlineStr">
        <is>
          <t>NORRTÄLJE</t>
        </is>
      </c>
      <c r="G386" t="n">
        <v>6.6</v>
      </c>
      <c r="H386" t="n">
        <v>0</v>
      </c>
      <c r="I386" t="n">
        <v>0</v>
      </c>
      <c r="J386" t="n">
        <v>0</v>
      </c>
      <c r="K386" t="n">
        <v>0</v>
      </c>
      <c r="L386" t="n">
        <v>0</v>
      </c>
      <c r="M386" t="n">
        <v>0</v>
      </c>
      <c r="N386" t="n">
        <v>0</v>
      </c>
      <c r="O386" t="n">
        <v>0</v>
      </c>
      <c r="P386" t="n">
        <v>0</v>
      </c>
      <c r="Q386" t="n">
        <v>0</v>
      </c>
      <c r="R386" s="2" t="inlineStr"/>
    </row>
    <row r="387" ht="15" customHeight="1">
      <c r="A387" t="inlineStr">
        <is>
          <t>A 20428-2024</t>
        </is>
      </c>
      <c r="B387" s="1" t="n">
        <v>45435</v>
      </c>
      <c r="C387" s="1" t="n">
        <v>46079</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57037-2022</t>
        </is>
      </c>
      <c r="B388" s="1" t="n">
        <v>44895</v>
      </c>
      <c r="C388" s="1" t="n">
        <v>46079</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20618-2022</t>
        </is>
      </c>
      <c r="B389" s="1" t="n">
        <v>44700.50659722222</v>
      </c>
      <c r="C389" s="1" t="n">
        <v>46079</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14762-2024</t>
        </is>
      </c>
      <c r="B390" s="1" t="n">
        <v>45397</v>
      </c>
      <c r="C390" s="1" t="n">
        <v>46079</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32103-2022</t>
        </is>
      </c>
      <c r="B391" s="1" t="n">
        <v>44778</v>
      </c>
      <c r="C391" s="1" t="n">
        <v>46079</v>
      </c>
      <c r="D391" t="inlineStr">
        <is>
          <t>STOCKHOLMS LÄN</t>
        </is>
      </c>
      <c r="E391" t="inlineStr">
        <is>
          <t>NORRTÄLJE</t>
        </is>
      </c>
      <c r="G391" t="n">
        <v>3.4</v>
      </c>
      <c r="H391" t="n">
        <v>0</v>
      </c>
      <c r="I391" t="n">
        <v>0</v>
      </c>
      <c r="J391" t="n">
        <v>0</v>
      </c>
      <c r="K391" t="n">
        <v>0</v>
      </c>
      <c r="L391" t="n">
        <v>0</v>
      </c>
      <c r="M391" t="n">
        <v>0</v>
      </c>
      <c r="N391" t="n">
        <v>0</v>
      </c>
      <c r="O391" t="n">
        <v>0</v>
      </c>
      <c r="P391" t="n">
        <v>0</v>
      </c>
      <c r="Q391" t="n">
        <v>0</v>
      </c>
      <c r="R391" s="2" t="inlineStr"/>
    </row>
    <row r="392" ht="15" customHeight="1">
      <c r="A392" t="inlineStr">
        <is>
          <t>A 55952-2024</t>
        </is>
      </c>
      <c r="B392" s="1" t="n">
        <v>45623.62563657408</v>
      </c>
      <c r="C392" s="1" t="n">
        <v>46079</v>
      </c>
      <c r="D392" t="inlineStr">
        <is>
          <t>STOCKHOLMS LÄN</t>
        </is>
      </c>
      <c r="E392" t="inlineStr">
        <is>
          <t>NORRTÄLJE</t>
        </is>
      </c>
      <c r="F392" t="inlineStr">
        <is>
          <t>Holmen skog AB</t>
        </is>
      </c>
      <c r="G392" t="n">
        <v>2.8</v>
      </c>
      <c r="H392" t="n">
        <v>0</v>
      </c>
      <c r="I392" t="n">
        <v>0</v>
      </c>
      <c r="J392" t="n">
        <v>0</v>
      </c>
      <c r="K392" t="n">
        <v>0</v>
      </c>
      <c r="L392" t="n">
        <v>0</v>
      </c>
      <c r="M392" t="n">
        <v>0</v>
      </c>
      <c r="N392" t="n">
        <v>0</v>
      </c>
      <c r="O392" t="n">
        <v>0</v>
      </c>
      <c r="P392" t="n">
        <v>0</v>
      </c>
      <c r="Q392" t="n">
        <v>0</v>
      </c>
      <c r="R392" s="2" t="inlineStr"/>
    </row>
    <row r="393" ht="15" customHeight="1">
      <c r="A393" t="inlineStr">
        <is>
          <t>A 59504-2023</t>
        </is>
      </c>
      <c r="B393" s="1" t="n">
        <v>45254</v>
      </c>
      <c r="C393" s="1" t="n">
        <v>46079</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23070-2023</t>
        </is>
      </c>
      <c r="B394" s="1" t="n">
        <v>45075</v>
      </c>
      <c r="C394" s="1" t="n">
        <v>46079</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8792-2025</t>
        </is>
      </c>
      <c r="B395" s="1" t="n">
        <v>45712</v>
      </c>
      <c r="C395" s="1" t="n">
        <v>46079</v>
      </c>
      <c r="D395" t="inlineStr">
        <is>
          <t>STOCKHOLMS LÄN</t>
        </is>
      </c>
      <c r="E395" t="inlineStr">
        <is>
          <t>NORRTÄLJE</t>
        </is>
      </c>
      <c r="F395" t="inlineStr">
        <is>
          <t>Övriga Aktiebolag</t>
        </is>
      </c>
      <c r="G395" t="n">
        <v>6.6</v>
      </c>
      <c r="H395" t="n">
        <v>0</v>
      </c>
      <c r="I395" t="n">
        <v>0</v>
      </c>
      <c r="J395" t="n">
        <v>0</v>
      </c>
      <c r="K395" t="n">
        <v>0</v>
      </c>
      <c r="L395" t="n">
        <v>0</v>
      </c>
      <c r="M395" t="n">
        <v>0</v>
      </c>
      <c r="N395" t="n">
        <v>0</v>
      </c>
      <c r="O395" t="n">
        <v>0</v>
      </c>
      <c r="P395" t="n">
        <v>0</v>
      </c>
      <c r="Q395" t="n">
        <v>0</v>
      </c>
      <c r="R395" s="2" t="inlineStr"/>
    </row>
    <row r="396" ht="15" customHeight="1">
      <c r="A396" t="inlineStr">
        <is>
          <t>A 7571-2024</t>
        </is>
      </c>
      <c r="B396" s="1" t="n">
        <v>45348.46300925926</v>
      </c>
      <c r="C396" s="1" t="n">
        <v>46079</v>
      </c>
      <c r="D396" t="inlineStr">
        <is>
          <t>STOCKHOLMS LÄN</t>
        </is>
      </c>
      <c r="E396" t="inlineStr">
        <is>
          <t>NORRTÄLJE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23149-2024</t>
        </is>
      </c>
      <c r="B397" s="1" t="n">
        <v>45450.64208333333</v>
      </c>
      <c r="C397" s="1" t="n">
        <v>46079</v>
      </c>
      <c r="D397" t="inlineStr">
        <is>
          <t>STOCKHOLMS LÄN</t>
        </is>
      </c>
      <c r="E397" t="inlineStr">
        <is>
          <t>NORRTÄLJE</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23151-2024</t>
        </is>
      </c>
      <c r="B398" s="1" t="n">
        <v>45450</v>
      </c>
      <c r="C398" s="1" t="n">
        <v>46079</v>
      </c>
      <c r="D398" t="inlineStr">
        <is>
          <t>STOCKHOLMS LÄN</t>
        </is>
      </c>
      <c r="E398" t="inlineStr">
        <is>
          <t>NORRTÄLJE</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36430-2024</t>
        </is>
      </c>
      <c r="B399" s="1" t="n">
        <v>45536</v>
      </c>
      <c r="C399" s="1" t="n">
        <v>46079</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16913-2025</t>
        </is>
      </c>
      <c r="B400" s="1" t="n">
        <v>45755.36583333334</v>
      </c>
      <c r="C400" s="1" t="n">
        <v>46079</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36269-2022</t>
        </is>
      </c>
      <c r="B401" s="1" t="n">
        <v>44803</v>
      </c>
      <c r="C401" s="1" t="n">
        <v>46079</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25656-2023</t>
        </is>
      </c>
      <c r="B402" s="1" t="n">
        <v>45089</v>
      </c>
      <c r="C402" s="1" t="n">
        <v>46079</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51978-2023</t>
        </is>
      </c>
      <c r="B403" s="1" t="n">
        <v>45223</v>
      </c>
      <c r="C403" s="1" t="n">
        <v>46079</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38049-2023</t>
        </is>
      </c>
      <c r="B404" s="1" t="n">
        <v>45159</v>
      </c>
      <c r="C404" s="1" t="n">
        <v>46079</v>
      </c>
      <c r="D404" t="inlineStr">
        <is>
          <t>STOCKHOLMS LÄN</t>
        </is>
      </c>
      <c r="E404" t="inlineStr">
        <is>
          <t>NORRTÄLJE</t>
        </is>
      </c>
      <c r="G404" t="n">
        <v>3.6</v>
      </c>
      <c r="H404" t="n">
        <v>0</v>
      </c>
      <c r="I404" t="n">
        <v>0</v>
      </c>
      <c r="J404" t="n">
        <v>0</v>
      </c>
      <c r="K404" t="n">
        <v>0</v>
      </c>
      <c r="L404" t="n">
        <v>0</v>
      </c>
      <c r="M404" t="n">
        <v>0</v>
      </c>
      <c r="N404" t="n">
        <v>0</v>
      </c>
      <c r="O404" t="n">
        <v>0</v>
      </c>
      <c r="P404" t="n">
        <v>0</v>
      </c>
      <c r="Q404" t="n">
        <v>0</v>
      </c>
      <c r="R404" s="2" t="inlineStr"/>
    </row>
    <row r="405" ht="15" customHeight="1">
      <c r="A405" t="inlineStr">
        <is>
          <t>A 13051-2021</t>
        </is>
      </c>
      <c r="B405" s="1" t="n">
        <v>44272</v>
      </c>
      <c r="C405" s="1" t="n">
        <v>46079</v>
      </c>
      <c r="D405" t="inlineStr">
        <is>
          <t>STOCKHOLMS LÄN</t>
        </is>
      </c>
      <c r="E405" t="inlineStr">
        <is>
          <t>NORRTÄLJE</t>
        </is>
      </c>
      <c r="G405" t="n">
        <v>9.1</v>
      </c>
      <c r="H405" t="n">
        <v>0</v>
      </c>
      <c r="I405" t="n">
        <v>0</v>
      </c>
      <c r="J405" t="n">
        <v>0</v>
      </c>
      <c r="K405" t="n">
        <v>0</v>
      </c>
      <c r="L405" t="n">
        <v>0</v>
      </c>
      <c r="M405" t="n">
        <v>0</v>
      </c>
      <c r="N405" t="n">
        <v>0</v>
      </c>
      <c r="O405" t="n">
        <v>0</v>
      </c>
      <c r="P405" t="n">
        <v>0</v>
      </c>
      <c r="Q405" t="n">
        <v>0</v>
      </c>
      <c r="R405" s="2" t="inlineStr"/>
    </row>
    <row r="406" ht="15" customHeight="1">
      <c r="A406" t="inlineStr">
        <is>
          <t>A 55755-2023</t>
        </is>
      </c>
      <c r="B406" s="1" t="n">
        <v>45239</v>
      </c>
      <c r="C406" s="1" t="n">
        <v>46079</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45549-2022</t>
        </is>
      </c>
      <c r="B407" s="1" t="n">
        <v>44845.48064814815</v>
      </c>
      <c r="C407" s="1" t="n">
        <v>46079</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5665-2025</t>
        </is>
      </c>
      <c r="B408" s="1" t="n">
        <v>45693</v>
      </c>
      <c r="C408" s="1" t="n">
        <v>46079</v>
      </c>
      <c r="D408" t="inlineStr">
        <is>
          <t>STOCKHOLMS LÄN</t>
        </is>
      </c>
      <c r="E408" t="inlineStr">
        <is>
          <t>NORRTÄLJE</t>
        </is>
      </c>
      <c r="G408" t="n">
        <v>4</v>
      </c>
      <c r="H408" t="n">
        <v>0</v>
      </c>
      <c r="I408" t="n">
        <v>0</v>
      </c>
      <c r="J408" t="n">
        <v>0</v>
      </c>
      <c r="K408" t="n">
        <v>0</v>
      </c>
      <c r="L408" t="n">
        <v>0</v>
      </c>
      <c r="M408" t="n">
        <v>0</v>
      </c>
      <c r="N408" t="n">
        <v>0</v>
      </c>
      <c r="O408" t="n">
        <v>0</v>
      </c>
      <c r="P408" t="n">
        <v>0</v>
      </c>
      <c r="Q408" t="n">
        <v>0</v>
      </c>
      <c r="R408" s="2" t="inlineStr"/>
    </row>
    <row r="409" ht="15" customHeight="1">
      <c r="A409" t="inlineStr">
        <is>
          <t>A 3966-2024</t>
        </is>
      </c>
      <c r="B409" s="1" t="n">
        <v>45322</v>
      </c>
      <c r="C409" s="1" t="n">
        <v>46079</v>
      </c>
      <c r="D409" t="inlineStr">
        <is>
          <t>STOCKHOLMS LÄN</t>
        </is>
      </c>
      <c r="E409" t="inlineStr">
        <is>
          <t>NORRTÄLJE</t>
        </is>
      </c>
      <c r="G409" t="n">
        <v>5.3</v>
      </c>
      <c r="H409" t="n">
        <v>0</v>
      </c>
      <c r="I409" t="n">
        <v>0</v>
      </c>
      <c r="J409" t="n">
        <v>0</v>
      </c>
      <c r="K409" t="n">
        <v>0</v>
      </c>
      <c r="L409" t="n">
        <v>0</v>
      </c>
      <c r="M409" t="n">
        <v>0</v>
      </c>
      <c r="N409" t="n">
        <v>0</v>
      </c>
      <c r="O409" t="n">
        <v>0</v>
      </c>
      <c r="P409" t="n">
        <v>0</v>
      </c>
      <c r="Q409" t="n">
        <v>0</v>
      </c>
      <c r="R409" s="2" t="inlineStr"/>
    </row>
    <row r="410" ht="15" customHeight="1">
      <c r="A410" t="inlineStr">
        <is>
          <t>A 12407-2025</t>
        </is>
      </c>
      <c r="B410" s="1" t="n">
        <v>45730.42851851852</v>
      </c>
      <c r="C410" s="1" t="n">
        <v>46079</v>
      </c>
      <c r="D410" t="inlineStr">
        <is>
          <t>STOCKHOLMS LÄN</t>
        </is>
      </c>
      <c r="E410" t="inlineStr">
        <is>
          <t>NORRTÄLJE</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40761-2024</t>
        </is>
      </c>
      <c r="B411" s="1" t="n">
        <v>45558.46283564815</v>
      </c>
      <c r="C411" s="1" t="n">
        <v>46079</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26636-2023</t>
        </is>
      </c>
      <c r="B412" s="1" t="n">
        <v>45092</v>
      </c>
      <c r="C412" s="1" t="n">
        <v>46079</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26637-2023</t>
        </is>
      </c>
      <c r="B413" s="1" t="n">
        <v>45092</v>
      </c>
      <c r="C413" s="1" t="n">
        <v>46079</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23692-2024</t>
        </is>
      </c>
      <c r="B414" s="1" t="n">
        <v>45454.65774305556</v>
      </c>
      <c r="C414" s="1" t="n">
        <v>46079</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17348-2024</t>
        </is>
      </c>
      <c r="B415" s="1" t="n">
        <v>45414.58650462963</v>
      </c>
      <c r="C415" s="1" t="n">
        <v>46079</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23266-2023</t>
        </is>
      </c>
      <c r="B416" s="1" t="n">
        <v>45075.90817129629</v>
      </c>
      <c r="C416" s="1" t="n">
        <v>46079</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35161-2022</t>
        </is>
      </c>
      <c r="B417" s="1" t="n">
        <v>44797</v>
      </c>
      <c r="C417" s="1" t="n">
        <v>46079</v>
      </c>
      <c r="D417" t="inlineStr">
        <is>
          <t>STOCKHOLMS LÄN</t>
        </is>
      </c>
      <c r="E417" t="inlineStr">
        <is>
          <t>NORRTÄLJE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38591-2023</t>
        </is>
      </c>
      <c r="B418" s="1" t="n">
        <v>45162</v>
      </c>
      <c r="C418" s="1" t="n">
        <v>46079</v>
      </c>
      <c r="D418" t="inlineStr">
        <is>
          <t>STOCKHOLMS LÄN</t>
        </is>
      </c>
      <c r="E418" t="inlineStr">
        <is>
          <t>NORRTÄLJE</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3273-2025</t>
        </is>
      </c>
      <c r="B419" s="1" t="n">
        <v>45679</v>
      </c>
      <c r="C419" s="1" t="n">
        <v>46079</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37550-2022</t>
        </is>
      </c>
      <c r="B420" s="1" t="n">
        <v>44809</v>
      </c>
      <c r="C420" s="1" t="n">
        <v>46079</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47431-2023</t>
        </is>
      </c>
      <c r="B421" s="1" t="n">
        <v>45202</v>
      </c>
      <c r="C421" s="1" t="n">
        <v>46079</v>
      </c>
      <c r="D421" t="inlineStr">
        <is>
          <t>STOCKHOLMS LÄN</t>
        </is>
      </c>
      <c r="E421" t="inlineStr">
        <is>
          <t>NORRTÄLJE</t>
        </is>
      </c>
      <c r="F421" t="inlineStr">
        <is>
          <t>Naturvårdsverket</t>
        </is>
      </c>
      <c r="G421" t="n">
        <v>1.2</v>
      </c>
      <c r="H421" t="n">
        <v>0</v>
      </c>
      <c r="I421" t="n">
        <v>0</v>
      </c>
      <c r="J421" t="n">
        <v>0</v>
      </c>
      <c r="K421" t="n">
        <v>0</v>
      </c>
      <c r="L421" t="n">
        <v>0</v>
      </c>
      <c r="M421" t="n">
        <v>0</v>
      </c>
      <c r="N421" t="n">
        <v>0</v>
      </c>
      <c r="O421" t="n">
        <v>0</v>
      </c>
      <c r="P421" t="n">
        <v>0</v>
      </c>
      <c r="Q421" t="n">
        <v>0</v>
      </c>
      <c r="R421" s="2" t="inlineStr"/>
    </row>
    <row r="422" ht="15" customHeight="1">
      <c r="A422" t="inlineStr">
        <is>
          <t>A 23262-2023</t>
        </is>
      </c>
      <c r="B422" s="1" t="n">
        <v>45075.90270833333</v>
      </c>
      <c r="C422" s="1" t="n">
        <v>46079</v>
      </c>
      <c r="D422" t="inlineStr">
        <is>
          <t>STOCKHOLMS LÄN</t>
        </is>
      </c>
      <c r="E422" t="inlineStr">
        <is>
          <t>NORRTÄLJE</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23268-2023</t>
        </is>
      </c>
      <c r="B423" s="1" t="n">
        <v>45075.91042824074</v>
      </c>
      <c r="C423" s="1" t="n">
        <v>46079</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23270-2023</t>
        </is>
      </c>
      <c r="B424" s="1" t="n">
        <v>45075.91265046296</v>
      </c>
      <c r="C424" s="1" t="n">
        <v>46079</v>
      </c>
      <c r="D424" t="inlineStr">
        <is>
          <t>STOCKHOLMS LÄN</t>
        </is>
      </c>
      <c r="E424" t="inlineStr">
        <is>
          <t>NORRTÄLJE</t>
        </is>
      </c>
      <c r="G424" t="n">
        <v>12.3</v>
      </c>
      <c r="H424" t="n">
        <v>0</v>
      </c>
      <c r="I424" t="n">
        <v>0</v>
      </c>
      <c r="J424" t="n">
        <v>0</v>
      </c>
      <c r="K424" t="n">
        <v>0</v>
      </c>
      <c r="L424" t="n">
        <v>0</v>
      </c>
      <c r="M424" t="n">
        <v>0</v>
      </c>
      <c r="N424" t="n">
        <v>0</v>
      </c>
      <c r="O424" t="n">
        <v>0</v>
      </c>
      <c r="P424" t="n">
        <v>0</v>
      </c>
      <c r="Q424" t="n">
        <v>0</v>
      </c>
      <c r="R424" s="2" t="inlineStr"/>
    </row>
    <row r="425" ht="15" customHeight="1">
      <c r="A425" t="inlineStr">
        <is>
          <t>A 23274-2023</t>
        </is>
      </c>
      <c r="B425" s="1" t="n">
        <v>45075.92153935185</v>
      </c>
      <c r="C425" s="1" t="n">
        <v>46079</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5732-2023</t>
        </is>
      </c>
      <c r="B426" s="1" t="n">
        <v>44962</v>
      </c>
      <c r="C426" s="1" t="n">
        <v>46079</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34461-2023</t>
        </is>
      </c>
      <c r="B427" s="1" t="n">
        <v>45139</v>
      </c>
      <c r="C427" s="1" t="n">
        <v>46079</v>
      </c>
      <c r="D427" t="inlineStr">
        <is>
          <t>STOCKHOLMS LÄN</t>
        </is>
      </c>
      <c r="E427" t="inlineStr">
        <is>
          <t>NORRTÄLJE</t>
        </is>
      </c>
      <c r="G427" t="n">
        <v>1.4</v>
      </c>
      <c r="H427" t="n">
        <v>0</v>
      </c>
      <c r="I427" t="n">
        <v>0</v>
      </c>
      <c r="J427" t="n">
        <v>0</v>
      </c>
      <c r="K427" t="n">
        <v>0</v>
      </c>
      <c r="L427" t="n">
        <v>0</v>
      </c>
      <c r="M427" t="n">
        <v>0</v>
      </c>
      <c r="N427" t="n">
        <v>0</v>
      </c>
      <c r="O427" t="n">
        <v>0</v>
      </c>
      <c r="P427" t="n">
        <v>0</v>
      </c>
      <c r="Q427" t="n">
        <v>0</v>
      </c>
      <c r="R427" s="2" t="inlineStr"/>
    </row>
    <row r="428" ht="15" customHeight="1">
      <c r="A428" t="inlineStr">
        <is>
          <t>A 41172-2023</t>
        </is>
      </c>
      <c r="B428" s="1" t="n">
        <v>45170</v>
      </c>
      <c r="C428" s="1" t="n">
        <v>46079</v>
      </c>
      <c r="D428" t="inlineStr">
        <is>
          <t>STOCKHOLMS LÄN</t>
        </is>
      </c>
      <c r="E428" t="inlineStr">
        <is>
          <t>NORRTÄLJE</t>
        </is>
      </c>
      <c r="G428" t="n">
        <v>1.6</v>
      </c>
      <c r="H428" t="n">
        <v>0</v>
      </c>
      <c r="I428" t="n">
        <v>0</v>
      </c>
      <c r="J428" t="n">
        <v>0</v>
      </c>
      <c r="K428" t="n">
        <v>0</v>
      </c>
      <c r="L428" t="n">
        <v>0</v>
      </c>
      <c r="M428" t="n">
        <v>0</v>
      </c>
      <c r="N428" t="n">
        <v>0</v>
      </c>
      <c r="O428" t="n">
        <v>0</v>
      </c>
      <c r="P428" t="n">
        <v>0</v>
      </c>
      <c r="Q428" t="n">
        <v>0</v>
      </c>
      <c r="R428" s="2" t="inlineStr"/>
    </row>
    <row r="429" ht="15" customHeight="1">
      <c r="A429" t="inlineStr">
        <is>
          <t>A 25609-2023</t>
        </is>
      </c>
      <c r="B429" s="1" t="n">
        <v>45089</v>
      </c>
      <c r="C429" s="1" t="n">
        <v>46079</v>
      </c>
      <c r="D429" t="inlineStr">
        <is>
          <t>STOCKHOLMS LÄN</t>
        </is>
      </c>
      <c r="E429" t="inlineStr">
        <is>
          <t>NORRTÄLJE</t>
        </is>
      </c>
      <c r="G429" t="n">
        <v>2.5</v>
      </c>
      <c r="H429" t="n">
        <v>0</v>
      </c>
      <c r="I429" t="n">
        <v>0</v>
      </c>
      <c r="J429" t="n">
        <v>0</v>
      </c>
      <c r="K429" t="n">
        <v>0</v>
      </c>
      <c r="L429" t="n">
        <v>0</v>
      </c>
      <c r="M429" t="n">
        <v>0</v>
      </c>
      <c r="N429" t="n">
        <v>0</v>
      </c>
      <c r="O429" t="n">
        <v>0</v>
      </c>
      <c r="P429" t="n">
        <v>0</v>
      </c>
      <c r="Q429" t="n">
        <v>0</v>
      </c>
      <c r="R429" s="2" t="inlineStr"/>
    </row>
    <row r="430" ht="15" customHeight="1">
      <c r="A430" t="inlineStr">
        <is>
          <t>A 58863-2024</t>
        </is>
      </c>
      <c r="B430" s="1" t="n">
        <v>45636.41572916666</v>
      </c>
      <c r="C430" s="1" t="n">
        <v>46079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33569-2023</t>
        </is>
      </c>
      <c r="B431" s="1" t="n">
        <v>45131.666875</v>
      </c>
      <c r="C431" s="1" t="n">
        <v>46079</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67921-2021</t>
        </is>
      </c>
      <c r="B432" s="1" t="n">
        <v>44525</v>
      </c>
      <c r="C432" s="1" t="n">
        <v>46079</v>
      </c>
      <c r="D432" t="inlineStr">
        <is>
          <t>STOCKHOLMS LÄN</t>
        </is>
      </c>
      <c r="E432" t="inlineStr">
        <is>
          <t>NORRTÄLJE</t>
        </is>
      </c>
      <c r="G432" t="n">
        <v>6.3</v>
      </c>
      <c r="H432" t="n">
        <v>0</v>
      </c>
      <c r="I432" t="n">
        <v>0</v>
      </c>
      <c r="J432" t="n">
        <v>0</v>
      </c>
      <c r="K432" t="n">
        <v>0</v>
      </c>
      <c r="L432" t="n">
        <v>0</v>
      </c>
      <c r="M432" t="n">
        <v>0</v>
      </c>
      <c r="N432" t="n">
        <v>0</v>
      </c>
      <c r="O432" t="n">
        <v>0</v>
      </c>
      <c r="P432" t="n">
        <v>0</v>
      </c>
      <c r="Q432" t="n">
        <v>0</v>
      </c>
      <c r="R432" s="2" t="inlineStr"/>
    </row>
    <row r="433" ht="15" customHeight="1">
      <c r="A433" t="inlineStr">
        <is>
          <t>A 15447-2023</t>
        </is>
      </c>
      <c r="B433" s="1" t="n">
        <v>45020</v>
      </c>
      <c r="C433" s="1" t="n">
        <v>46079</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34391-2023</t>
        </is>
      </c>
      <c r="B434" s="1" t="n">
        <v>45139.51457175926</v>
      </c>
      <c r="C434" s="1" t="n">
        <v>46079</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50569-2022</t>
        </is>
      </c>
      <c r="B435" s="1" t="n">
        <v>44866.63775462963</v>
      </c>
      <c r="C435" s="1" t="n">
        <v>46079</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72704-2021</t>
        </is>
      </c>
      <c r="B436" s="1" t="n">
        <v>44546</v>
      </c>
      <c r="C436" s="1" t="n">
        <v>46079</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15217-2023</t>
        </is>
      </c>
      <c r="B437" s="1" t="n">
        <v>45019.28847222222</v>
      </c>
      <c r="C437" s="1" t="n">
        <v>46079</v>
      </c>
      <c r="D437" t="inlineStr">
        <is>
          <t>STOCKHOLMS LÄN</t>
        </is>
      </c>
      <c r="E437" t="inlineStr">
        <is>
          <t>NORRTÄLJE</t>
        </is>
      </c>
      <c r="G437" t="n">
        <v>3.6</v>
      </c>
      <c r="H437" t="n">
        <v>0</v>
      </c>
      <c r="I437" t="n">
        <v>0</v>
      </c>
      <c r="J437" t="n">
        <v>0</v>
      </c>
      <c r="K437" t="n">
        <v>0</v>
      </c>
      <c r="L437" t="n">
        <v>0</v>
      </c>
      <c r="M437" t="n">
        <v>0</v>
      </c>
      <c r="N437" t="n">
        <v>0</v>
      </c>
      <c r="O437" t="n">
        <v>0</v>
      </c>
      <c r="P437" t="n">
        <v>0</v>
      </c>
      <c r="Q437" t="n">
        <v>0</v>
      </c>
      <c r="R437" s="2" t="inlineStr"/>
    </row>
    <row r="438" ht="15" customHeight="1">
      <c r="A438" t="inlineStr">
        <is>
          <t>A 65499-2021</t>
        </is>
      </c>
      <c r="B438" s="1" t="n">
        <v>44516</v>
      </c>
      <c r="C438" s="1" t="n">
        <v>46079</v>
      </c>
      <c r="D438" t="inlineStr">
        <is>
          <t>STOCKHOLMS LÄN</t>
        </is>
      </c>
      <c r="E438" t="inlineStr">
        <is>
          <t>NORRTÄLJE</t>
        </is>
      </c>
      <c r="F438" t="inlineStr">
        <is>
          <t>Kommuner</t>
        </is>
      </c>
      <c r="G438" t="n">
        <v>5.2</v>
      </c>
      <c r="H438" t="n">
        <v>0</v>
      </c>
      <c r="I438" t="n">
        <v>0</v>
      </c>
      <c r="J438" t="n">
        <v>0</v>
      </c>
      <c r="K438" t="n">
        <v>0</v>
      </c>
      <c r="L438" t="n">
        <v>0</v>
      </c>
      <c r="M438" t="n">
        <v>0</v>
      </c>
      <c r="N438" t="n">
        <v>0</v>
      </c>
      <c r="O438" t="n">
        <v>0</v>
      </c>
      <c r="P438" t="n">
        <v>0</v>
      </c>
      <c r="Q438" t="n">
        <v>0</v>
      </c>
      <c r="R438" s="2" t="inlineStr"/>
    </row>
    <row r="439" ht="15" customHeight="1">
      <c r="A439" t="inlineStr">
        <is>
          <t>A 65511-2021</t>
        </is>
      </c>
      <c r="B439" s="1" t="n">
        <v>44516.40674768519</v>
      </c>
      <c r="C439" s="1" t="n">
        <v>46079</v>
      </c>
      <c r="D439" t="inlineStr">
        <is>
          <t>STOCKHOLMS LÄN</t>
        </is>
      </c>
      <c r="E439" t="inlineStr">
        <is>
          <t>NORRTÄLJE</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24522-2023</t>
        </is>
      </c>
      <c r="B440" s="1" t="n">
        <v>45082.69179398148</v>
      </c>
      <c r="C440" s="1" t="n">
        <v>46079</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53312-2024</t>
        </is>
      </c>
      <c r="B441" s="1" t="n">
        <v>45614.39627314815</v>
      </c>
      <c r="C441" s="1" t="n">
        <v>46079</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22833-2024</t>
        </is>
      </c>
      <c r="B442" s="1" t="n">
        <v>45448.56746527777</v>
      </c>
      <c r="C442" s="1" t="n">
        <v>46079</v>
      </c>
      <c r="D442" t="inlineStr">
        <is>
          <t>STOCKHOLMS LÄN</t>
        </is>
      </c>
      <c r="E442" t="inlineStr">
        <is>
          <t>NORRTÄLJE</t>
        </is>
      </c>
      <c r="G442" t="n">
        <v>0.8</v>
      </c>
      <c r="H442" t="n">
        <v>0</v>
      </c>
      <c r="I442" t="n">
        <v>0</v>
      </c>
      <c r="J442" t="n">
        <v>0</v>
      </c>
      <c r="K442" t="n">
        <v>0</v>
      </c>
      <c r="L442" t="n">
        <v>0</v>
      </c>
      <c r="M442" t="n">
        <v>0</v>
      </c>
      <c r="N442" t="n">
        <v>0</v>
      </c>
      <c r="O442" t="n">
        <v>0</v>
      </c>
      <c r="P442" t="n">
        <v>0</v>
      </c>
      <c r="Q442" t="n">
        <v>0</v>
      </c>
      <c r="R442" s="2" t="inlineStr"/>
    </row>
    <row r="443" ht="15" customHeight="1">
      <c r="A443" t="inlineStr">
        <is>
          <t>A 60224-2023</t>
        </is>
      </c>
      <c r="B443" s="1" t="n">
        <v>45257</v>
      </c>
      <c r="C443" s="1" t="n">
        <v>46079</v>
      </c>
      <c r="D443" t="inlineStr">
        <is>
          <t>STOCKHOLMS LÄN</t>
        </is>
      </c>
      <c r="E443" t="inlineStr">
        <is>
          <t>NORRTÄLJE</t>
        </is>
      </c>
      <c r="G443" t="n">
        <v>8.1</v>
      </c>
      <c r="H443" t="n">
        <v>0</v>
      </c>
      <c r="I443" t="n">
        <v>0</v>
      </c>
      <c r="J443" t="n">
        <v>0</v>
      </c>
      <c r="K443" t="n">
        <v>0</v>
      </c>
      <c r="L443" t="n">
        <v>0</v>
      </c>
      <c r="M443" t="n">
        <v>0</v>
      </c>
      <c r="N443" t="n">
        <v>0</v>
      </c>
      <c r="O443" t="n">
        <v>0</v>
      </c>
      <c r="P443" t="n">
        <v>0</v>
      </c>
      <c r="Q443" t="n">
        <v>0</v>
      </c>
      <c r="R443" s="2" t="inlineStr"/>
    </row>
    <row r="444" ht="15" customHeight="1">
      <c r="A444" t="inlineStr">
        <is>
          <t>A 21158-2022</t>
        </is>
      </c>
      <c r="B444" s="1" t="n">
        <v>44704</v>
      </c>
      <c r="C444" s="1" t="n">
        <v>46079</v>
      </c>
      <c r="D444" t="inlineStr">
        <is>
          <t>STOCKHOLMS LÄN</t>
        </is>
      </c>
      <c r="E444" t="inlineStr">
        <is>
          <t>NORRTÄLJE</t>
        </is>
      </c>
      <c r="G444" t="n">
        <v>17.8</v>
      </c>
      <c r="H444" t="n">
        <v>0</v>
      </c>
      <c r="I444" t="n">
        <v>0</v>
      </c>
      <c r="J444" t="n">
        <v>0</v>
      </c>
      <c r="K444" t="n">
        <v>0</v>
      </c>
      <c r="L444" t="n">
        <v>0</v>
      </c>
      <c r="M444" t="n">
        <v>0</v>
      </c>
      <c r="N444" t="n">
        <v>0</v>
      </c>
      <c r="O444" t="n">
        <v>0</v>
      </c>
      <c r="P444" t="n">
        <v>0</v>
      </c>
      <c r="Q444" t="n">
        <v>0</v>
      </c>
      <c r="R444" s="2" t="inlineStr"/>
    </row>
    <row r="445" ht="15" customHeight="1">
      <c r="A445" t="inlineStr">
        <is>
          <t>A 17785-2024</t>
        </is>
      </c>
      <c r="B445" s="1" t="n">
        <v>45418.6968287037</v>
      </c>
      <c r="C445" s="1" t="n">
        <v>46079</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15915-2023</t>
        </is>
      </c>
      <c r="B446" s="1" t="n">
        <v>45022</v>
      </c>
      <c r="C446" s="1" t="n">
        <v>46079</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58993-2022</t>
        </is>
      </c>
      <c r="B447" s="1" t="n">
        <v>44903</v>
      </c>
      <c r="C447" s="1" t="n">
        <v>46079</v>
      </c>
      <c r="D447" t="inlineStr">
        <is>
          <t>STOCKHOLMS LÄN</t>
        </is>
      </c>
      <c r="E447" t="inlineStr">
        <is>
          <t>NORRTÄLJE</t>
        </is>
      </c>
      <c r="G447" t="n">
        <v>2.3</v>
      </c>
      <c r="H447" t="n">
        <v>0</v>
      </c>
      <c r="I447" t="n">
        <v>0</v>
      </c>
      <c r="J447" t="n">
        <v>0</v>
      </c>
      <c r="K447" t="n">
        <v>0</v>
      </c>
      <c r="L447" t="n">
        <v>0</v>
      </c>
      <c r="M447" t="n">
        <v>0</v>
      </c>
      <c r="N447" t="n">
        <v>0</v>
      </c>
      <c r="O447" t="n">
        <v>0</v>
      </c>
      <c r="P447" t="n">
        <v>0</v>
      </c>
      <c r="Q447" t="n">
        <v>0</v>
      </c>
      <c r="R447" s="2" t="inlineStr"/>
    </row>
    <row r="448" ht="15" customHeight="1">
      <c r="A448" t="inlineStr">
        <is>
          <t>A 29176-2024</t>
        </is>
      </c>
      <c r="B448" s="1" t="n">
        <v>45482.53388888889</v>
      </c>
      <c r="C448" s="1" t="n">
        <v>46079</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39905-2023</t>
        </is>
      </c>
      <c r="B449" s="1" t="n">
        <v>45168.44489583333</v>
      </c>
      <c r="C449" s="1" t="n">
        <v>46079</v>
      </c>
      <c r="D449" t="inlineStr">
        <is>
          <t>STOCKHOLMS LÄN</t>
        </is>
      </c>
      <c r="E449" t="inlineStr">
        <is>
          <t>NORRTÄLJE</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29684-2021</t>
        </is>
      </c>
      <c r="B450" s="1" t="n">
        <v>44362.37172453704</v>
      </c>
      <c r="C450" s="1" t="n">
        <v>46079</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33793-2022</t>
        </is>
      </c>
      <c r="B451" s="1" t="n">
        <v>44790</v>
      </c>
      <c r="C451" s="1" t="n">
        <v>46079</v>
      </c>
      <c r="D451" t="inlineStr">
        <is>
          <t>STOCKHOLMS LÄN</t>
        </is>
      </c>
      <c r="E451" t="inlineStr">
        <is>
          <t>NORRTÄLJE</t>
        </is>
      </c>
      <c r="G451" t="n">
        <v>1.5</v>
      </c>
      <c r="H451" t="n">
        <v>0</v>
      </c>
      <c r="I451" t="n">
        <v>0</v>
      </c>
      <c r="J451" t="n">
        <v>0</v>
      </c>
      <c r="K451" t="n">
        <v>0</v>
      </c>
      <c r="L451" t="n">
        <v>0</v>
      </c>
      <c r="M451" t="n">
        <v>0</v>
      </c>
      <c r="N451" t="n">
        <v>0</v>
      </c>
      <c r="O451" t="n">
        <v>0</v>
      </c>
      <c r="P451" t="n">
        <v>0</v>
      </c>
      <c r="Q451" t="n">
        <v>0</v>
      </c>
      <c r="R451" s="2" t="inlineStr"/>
    </row>
    <row r="452" ht="15" customHeight="1">
      <c r="A452" t="inlineStr">
        <is>
          <t>A 21386-2023</t>
        </is>
      </c>
      <c r="B452" s="1" t="n">
        <v>45063.35880787037</v>
      </c>
      <c r="C452" s="1" t="n">
        <v>46079</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4593-2023</t>
        </is>
      </c>
      <c r="B453" s="1" t="n">
        <v>44956</v>
      </c>
      <c r="C453" s="1" t="n">
        <v>46079</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17304-2024</t>
        </is>
      </c>
      <c r="B454" s="1" t="n">
        <v>45414</v>
      </c>
      <c r="C454" s="1" t="n">
        <v>46079</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54396-2021</t>
        </is>
      </c>
      <c r="B455" s="1" t="n">
        <v>44472</v>
      </c>
      <c r="C455" s="1" t="n">
        <v>46079</v>
      </c>
      <c r="D455" t="inlineStr">
        <is>
          <t>STOCKHOLMS LÄN</t>
        </is>
      </c>
      <c r="E455" t="inlineStr">
        <is>
          <t>NORRTÄLJE</t>
        </is>
      </c>
      <c r="G455" t="n">
        <v>2.6</v>
      </c>
      <c r="H455" t="n">
        <v>0</v>
      </c>
      <c r="I455" t="n">
        <v>0</v>
      </c>
      <c r="J455" t="n">
        <v>0</v>
      </c>
      <c r="K455" t="n">
        <v>0</v>
      </c>
      <c r="L455" t="n">
        <v>0</v>
      </c>
      <c r="M455" t="n">
        <v>0</v>
      </c>
      <c r="N455" t="n">
        <v>0</v>
      </c>
      <c r="O455" t="n">
        <v>0</v>
      </c>
      <c r="P455" t="n">
        <v>0</v>
      </c>
      <c r="Q455" t="n">
        <v>0</v>
      </c>
      <c r="R455" s="2" t="inlineStr"/>
    </row>
    <row r="456" ht="15" customHeight="1">
      <c r="A456" t="inlineStr">
        <is>
          <t>A 16852-2024</t>
        </is>
      </c>
      <c r="B456" s="1" t="n">
        <v>45411.54768518519</v>
      </c>
      <c r="C456" s="1" t="n">
        <v>46079</v>
      </c>
      <c r="D456" t="inlineStr">
        <is>
          <t>STOCKHOLMS LÄN</t>
        </is>
      </c>
      <c r="E456" t="inlineStr">
        <is>
          <t>NORRTÄLJE</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4596-2023</t>
        </is>
      </c>
      <c r="B457" s="1" t="n">
        <v>44956</v>
      </c>
      <c r="C457" s="1" t="n">
        <v>46079</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4326-2023</t>
        </is>
      </c>
      <c r="B458" s="1" t="n">
        <v>44953.70481481482</v>
      </c>
      <c r="C458" s="1" t="n">
        <v>46079</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32071-2023</t>
        </is>
      </c>
      <c r="B459" s="1" t="n">
        <v>45119.57728009259</v>
      </c>
      <c r="C459" s="1" t="n">
        <v>46079</v>
      </c>
      <c r="D459" t="inlineStr">
        <is>
          <t>STOCKHOLMS LÄN</t>
        </is>
      </c>
      <c r="E459" t="inlineStr">
        <is>
          <t>NORRTÄLJE</t>
        </is>
      </c>
      <c r="G459" t="n">
        <v>6.5</v>
      </c>
      <c r="H459" t="n">
        <v>0</v>
      </c>
      <c r="I459" t="n">
        <v>0</v>
      </c>
      <c r="J459" t="n">
        <v>0</v>
      </c>
      <c r="K459" t="n">
        <v>0</v>
      </c>
      <c r="L459" t="n">
        <v>0</v>
      </c>
      <c r="M459" t="n">
        <v>0</v>
      </c>
      <c r="N459" t="n">
        <v>0</v>
      </c>
      <c r="O459" t="n">
        <v>0</v>
      </c>
      <c r="P459" t="n">
        <v>0</v>
      </c>
      <c r="Q459" t="n">
        <v>0</v>
      </c>
      <c r="R459" s="2" t="inlineStr"/>
    </row>
    <row r="460" ht="15" customHeight="1">
      <c r="A460" t="inlineStr">
        <is>
          <t>A 4438-2023</t>
        </is>
      </c>
      <c r="B460" s="1" t="n">
        <v>44956</v>
      </c>
      <c r="C460" s="1" t="n">
        <v>46079</v>
      </c>
      <c r="D460" t="inlineStr">
        <is>
          <t>STOCKHOLMS LÄN</t>
        </is>
      </c>
      <c r="E460" t="inlineStr">
        <is>
          <t>NORRTÄLJE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25681-2024</t>
        </is>
      </c>
      <c r="B461" s="1" t="n">
        <v>45463.80486111111</v>
      </c>
      <c r="C461" s="1" t="n">
        <v>46079</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33385-2024</t>
        </is>
      </c>
      <c r="B462" s="1" t="n">
        <v>45519</v>
      </c>
      <c r="C462" s="1" t="n">
        <v>46079</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29714-2023</t>
        </is>
      </c>
      <c r="B463" s="1" t="n">
        <v>45107.42538194444</v>
      </c>
      <c r="C463" s="1" t="n">
        <v>46079</v>
      </c>
      <c r="D463" t="inlineStr">
        <is>
          <t>STOCKHOLMS LÄN</t>
        </is>
      </c>
      <c r="E463" t="inlineStr">
        <is>
          <t>NORRTÄLJE</t>
        </is>
      </c>
      <c r="G463" t="n">
        <v>1.6</v>
      </c>
      <c r="H463" t="n">
        <v>0</v>
      </c>
      <c r="I463" t="n">
        <v>0</v>
      </c>
      <c r="J463" t="n">
        <v>0</v>
      </c>
      <c r="K463" t="n">
        <v>0</v>
      </c>
      <c r="L463" t="n">
        <v>0</v>
      </c>
      <c r="M463" t="n">
        <v>0</v>
      </c>
      <c r="N463" t="n">
        <v>0</v>
      </c>
      <c r="O463" t="n">
        <v>0</v>
      </c>
      <c r="P463" t="n">
        <v>0</v>
      </c>
      <c r="Q463" t="n">
        <v>0</v>
      </c>
      <c r="R463" s="2" t="inlineStr"/>
    </row>
    <row r="464" ht="15" customHeight="1">
      <c r="A464" t="inlineStr">
        <is>
          <t>A 30508-2023</t>
        </is>
      </c>
      <c r="B464" s="1" t="n">
        <v>45111</v>
      </c>
      <c r="C464" s="1" t="n">
        <v>46079</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24727-2023</t>
        </is>
      </c>
      <c r="B465" s="1" t="n">
        <v>45084.57695601852</v>
      </c>
      <c r="C465" s="1" t="n">
        <v>46079</v>
      </c>
      <c r="D465" t="inlineStr">
        <is>
          <t>STOCKHOLMS LÄN</t>
        </is>
      </c>
      <c r="E465" t="inlineStr">
        <is>
          <t>NORRTÄLJE</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24245-2024</t>
        </is>
      </c>
      <c r="B466" s="1" t="n">
        <v>45457</v>
      </c>
      <c r="C466" s="1" t="n">
        <v>46079</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59904-2023</t>
        </is>
      </c>
      <c r="B467" s="1" t="n">
        <v>45257</v>
      </c>
      <c r="C467" s="1" t="n">
        <v>46079</v>
      </c>
      <c r="D467" t="inlineStr">
        <is>
          <t>STOCKHOLMS LÄN</t>
        </is>
      </c>
      <c r="E467" t="inlineStr">
        <is>
          <t>NORRTÄLJE</t>
        </is>
      </c>
      <c r="G467" t="n">
        <v>17.4</v>
      </c>
      <c r="H467" t="n">
        <v>0</v>
      </c>
      <c r="I467" t="n">
        <v>0</v>
      </c>
      <c r="J467" t="n">
        <v>0</v>
      </c>
      <c r="K467" t="n">
        <v>0</v>
      </c>
      <c r="L467" t="n">
        <v>0</v>
      </c>
      <c r="M467" t="n">
        <v>0</v>
      </c>
      <c r="N467" t="n">
        <v>0</v>
      </c>
      <c r="O467" t="n">
        <v>0</v>
      </c>
      <c r="P467" t="n">
        <v>0</v>
      </c>
      <c r="Q467" t="n">
        <v>0</v>
      </c>
      <c r="R467" s="2" t="inlineStr"/>
    </row>
    <row r="468" ht="15" customHeight="1">
      <c r="A468" t="inlineStr">
        <is>
          <t>A 36308-2022</t>
        </is>
      </c>
      <c r="B468" s="1" t="n">
        <v>44803</v>
      </c>
      <c r="C468" s="1" t="n">
        <v>46079</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12031-2021</t>
        </is>
      </c>
      <c r="B469" s="1" t="n">
        <v>44266</v>
      </c>
      <c r="C469" s="1" t="n">
        <v>46079</v>
      </c>
      <c r="D469" t="inlineStr">
        <is>
          <t>STOCKHOLMS LÄN</t>
        </is>
      </c>
      <c r="E469" t="inlineStr">
        <is>
          <t>NORRTÄLJE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26115-2024</t>
        </is>
      </c>
      <c r="B470" s="1" t="n">
        <v>45468.45628472222</v>
      </c>
      <c r="C470" s="1" t="n">
        <v>46079</v>
      </c>
      <c r="D470" t="inlineStr">
        <is>
          <t>STOCKHOLMS LÄN</t>
        </is>
      </c>
      <c r="E470" t="inlineStr">
        <is>
          <t>NORRTÄLJE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26113-2024</t>
        </is>
      </c>
      <c r="B471" s="1" t="n">
        <v>45468.45541666666</v>
      </c>
      <c r="C471" s="1" t="n">
        <v>46079</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26116-2024</t>
        </is>
      </c>
      <c r="B472" s="1" t="n">
        <v>45468.45747685185</v>
      </c>
      <c r="C472" s="1" t="n">
        <v>46079</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54273-2021</t>
        </is>
      </c>
      <c r="B473" s="1" t="n">
        <v>44470.72987268519</v>
      </c>
      <c r="C473" s="1" t="n">
        <v>46079</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8296-2023</t>
        </is>
      </c>
      <c r="B474" s="1" t="n">
        <v>44974</v>
      </c>
      <c r="C474" s="1" t="n">
        <v>46079</v>
      </c>
      <c r="D474" t="inlineStr">
        <is>
          <t>STOCKHOLMS LÄN</t>
        </is>
      </c>
      <c r="E474" t="inlineStr">
        <is>
          <t>NORRTÄLJE</t>
        </is>
      </c>
      <c r="G474" t="n">
        <v>3.8</v>
      </c>
      <c r="H474" t="n">
        <v>0</v>
      </c>
      <c r="I474" t="n">
        <v>0</v>
      </c>
      <c r="J474" t="n">
        <v>0</v>
      </c>
      <c r="K474" t="n">
        <v>0</v>
      </c>
      <c r="L474" t="n">
        <v>0</v>
      </c>
      <c r="M474" t="n">
        <v>0</v>
      </c>
      <c r="N474" t="n">
        <v>0</v>
      </c>
      <c r="O474" t="n">
        <v>0</v>
      </c>
      <c r="P474" t="n">
        <v>0</v>
      </c>
      <c r="Q474" t="n">
        <v>0</v>
      </c>
      <c r="R474" s="2" t="inlineStr"/>
    </row>
    <row r="475" ht="15" customHeight="1">
      <c r="A475" t="inlineStr">
        <is>
          <t>A 43212-2022</t>
        </is>
      </c>
      <c r="B475" s="1" t="n">
        <v>44834.38636574074</v>
      </c>
      <c r="C475" s="1" t="n">
        <v>46079</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31236-2022</t>
        </is>
      </c>
      <c r="B476" s="1" t="n">
        <v>44771</v>
      </c>
      <c r="C476" s="1" t="n">
        <v>46079</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18787-2022</t>
        </is>
      </c>
      <c r="B477" s="1" t="n">
        <v>44687</v>
      </c>
      <c r="C477" s="1" t="n">
        <v>46079</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52686-2024</t>
        </is>
      </c>
      <c r="B478" s="1" t="n">
        <v>45610.39271990741</v>
      </c>
      <c r="C478" s="1" t="n">
        <v>46079</v>
      </c>
      <c r="D478" t="inlineStr">
        <is>
          <t>STOCKHOLMS LÄN</t>
        </is>
      </c>
      <c r="E478" t="inlineStr">
        <is>
          <t>NORRTÄLJE</t>
        </is>
      </c>
      <c r="G478" t="n">
        <v>5.7</v>
      </c>
      <c r="H478" t="n">
        <v>0</v>
      </c>
      <c r="I478" t="n">
        <v>0</v>
      </c>
      <c r="J478" t="n">
        <v>0</v>
      </c>
      <c r="K478" t="n">
        <v>0</v>
      </c>
      <c r="L478" t="n">
        <v>0</v>
      </c>
      <c r="M478" t="n">
        <v>0</v>
      </c>
      <c r="N478" t="n">
        <v>0</v>
      </c>
      <c r="O478" t="n">
        <v>0</v>
      </c>
      <c r="P478" t="n">
        <v>0</v>
      </c>
      <c r="Q478" t="n">
        <v>0</v>
      </c>
      <c r="R478" s="2" t="inlineStr"/>
    </row>
    <row r="479" ht="15" customHeight="1">
      <c r="A479" t="inlineStr">
        <is>
          <t>A 52593-2024</t>
        </is>
      </c>
      <c r="B479" s="1" t="n">
        <v>45609.70778935185</v>
      </c>
      <c r="C479" s="1" t="n">
        <v>46079</v>
      </c>
      <c r="D479" t="inlineStr">
        <is>
          <t>STOCKHOLMS LÄN</t>
        </is>
      </c>
      <c r="E479" t="inlineStr">
        <is>
          <t>NORRTÄLJE</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52617-2024</t>
        </is>
      </c>
      <c r="B480" s="1" t="n">
        <v>45609.85146990741</v>
      </c>
      <c r="C480" s="1" t="n">
        <v>46079</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34295-2024</t>
        </is>
      </c>
      <c r="B481" s="1" t="n">
        <v>45524</v>
      </c>
      <c r="C481" s="1" t="n">
        <v>46079</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27824-2022</t>
        </is>
      </c>
      <c r="B482" s="1" t="n">
        <v>44743.59331018518</v>
      </c>
      <c r="C482" s="1" t="n">
        <v>46079</v>
      </c>
      <c r="D482" t="inlineStr">
        <is>
          <t>STOCKHOLMS LÄN</t>
        </is>
      </c>
      <c r="E482" t="inlineStr">
        <is>
          <t>NORRTÄLJE</t>
        </is>
      </c>
      <c r="F482" t="inlineStr">
        <is>
          <t>Kommuner</t>
        </is>
      </c>
      <c r="G482" t="n">
        <v>3.1</v>
      </c>
      <c r="H482" t="n">
        <v>0</v>
      </c>
      <c r="I482" t="n">
        <v>0</v>
      </c>
      <c r="J482" t="n">
        <v>0</v>
      </c>
      <c r="K482" t="n">
        <v>0</v>
      </c>
      <c r="L482" t="n">
        <v>0</v>
      </c>
      <c r="M482" t="n">
        <v>0</v>
      </c>
      <c r="N482" t="n">
        <v>0</v>
      </c>
      <c r="O482" t="n">
        <v>0</v>
      </c>
      <c r="P482" t="n">
        <v>0</v>
      </c>
      <c r="Q482" t="n">
        <v>0</v>
      </c>
      <c r="R482" s="2" t="inlineStr"/>
    </row>
    <row r="483" ht="15" customHeight="1">
      <c r="A483" t="inlineStr">
        <is>
          <t>A 6537-2024</t>
        </is>
      </c>
      <c r="B483" s="1" t="n">
        <v>45341.39853009259</v>
      </c>
      <c r="C483" s="1" t="n">
        <v>46079</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47521-2024</t>
        </is>
      </c>
      <c r="B484" s="1" t="n">
        <v>45587.62565972222</v>
      </c>
      <c r="C484" s="1" t="n">
        <v>46079</v>
      </c>
      <c r="D484" t="inlineStr">
        <is>
          <t>STOCKHOLMS LÄN</t>
        </is>
      </c>
      <c r="E484" t="inlineStr">
        <is>
          <t>NORRTÄLJE</t>
        </is>
      </c>
      <c r="G484" t="n">
        <v>4.7</v>
      </c>
      <c r="H484" t="n">
        <v>0</v>
      </c>
      <c r="I484" t="n">
        <v>0</v>
      </c>
      <c r="J484" t="n">
        <v>0</v>
      </c>
      <c r="K484" t="n">
        <v>0</v>
      </c>
      <c r="L484" t="n">
        <v>0</v>
      </c>
      <c r="M484" t="n">
        <v>0</v>
      </c>
      <c r="N484" t="n">
        <v>0</v>
      </c>
      <c r="O484" t="n">
        <v>0</v>
      </c>
      <c r="P484" t="n">
        <v>0</v>
      </c>
      <c r="Q484" t="n">
        <v>0</v>
      </c>
      <c r="R484" s="2" t="inlineStr"/>
    </row>
    <row r="485" ht="15" customHeight="1">
      <c r="A485" t="inlineStr">
        <is>
          <t>A 52260-2022</t>
        </is>
      </c>
      <c r="B485" s="1" t="n">
        <v>44869</v>
      </c>
      <c r="C485" s="1" t="n">
        <v>46079</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55058-2021</t>
        </is>
      </c>
      <c r="B486" s="1" t="n">
        <v>44474.62141203704</v>
      </c>
      <c r="C486" s="1" t="n">
        <v>46079</v>
      </c>
      <c r="D486" t="inlineStr">
        <is>
          <t>STOCKHOLMS LÄN</t>
        </is>
      </c>
      <c r="E486" t="inlineStr">
        <is>
          <t>NORRTÄLJE</t>
        </is>
      </c>
      <c r="G486" t="n">
        <v>1.9</v>
      </c>
      <c r="H486" t="n">
        <v>0</v>
      </c>
      <c r="I486" t="n">
        <v>0</v>
      </c>
      <c r="J486" t="n">
        <v>0</v>
      </c>
      <c r="K486" t="n">
        <v>0</v>
      </c>
      <c r="L486" t="n">
        <v>0</v>
      </c>
      <c r="M486" t="n">
        <v>0</v>
      </c>
      <c r="N486" t="n">
        <v>0</v>
      </c>
      <c r="O486" t="n">
        <v>0</v>
      </c>
      <c r="P486" t="n">
        <v>0</v>
      </c>
      <c r="Q486" t="n">
        <v>0</v>
      </c>
      <c r="R486" s="2" t="inlineStr"/>
    </row>
    <row r="487" ht="15" customHeight="1">
      <c r="A487" t="inlineStr">
        <is>
          <t>A 40192-2023</t>
        </is>
      </c>
      <c r="B487" s="1" t="n">
        <v>45169</v>
      </c>
      <c r="C487" s="1" t="n">
        <v>46079</v>
      </c>
      <c r="D487" t="inlineStr">
        <is>
          <t>STOCKHOLMS LÄN</t>
        </is>
      </c>
      <c r="E487" t="inlineStr">
        <is>
          <t>NORRTÄLJE</t>
        </is>
      </c>
      <c r="F487" t="inlineStr">
        <is>
          <t>Kyrkan</t>
        </is>
      </c>
      <c r="G487" t="n">
        <v>0.7</v>
      </c>
      <c r="H487" t="n">
        <v>0</v>
      </c>
      <c r="I487" t="n">
        <v>0</v>
      </c>
      <c r="J487" t="n">
        <v>0</v>
      </c>
      <c r="K487" t="n">
        <v>0</v>
      </c>
      <c r="L487" t="n">
        <v>0</v>
      </c>
      <c r="M487" t="n">
        <v>0</v>
      </c>
      <c r="N487" t="n">
        <v>0</v>
      </c>
      <c r="O487" t="n">
        <v>0</v>
      </c>
      <c r="P487" t="n">
        <v>0</v>
      </c>
      <c r="Q487" t="n">
        <v>0</v>
      </c>
      <c r="R487" s="2" t="inlineStr"/>
    </row>
    <row r="488" ht="15" customHeight="1">
      <c r="A488" t="inlineStr">
        <is>
          <t>A 50534-2024</t>
        </is>
      </c>
      <c r="B488" s="1" t="n">
        <v>45601.56726851852</v>
      </c>
      <c r="C488" s="1" t="n">
        <v>46079</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42094-2023</t>
        </is>
      </c>
      <c r="B489" s="1" t="n">
        <v>45177.61498842593</v>
      </c>
      <c r="C489" s="1" t="n">
        <v>46079</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58530-2024</t>
        </is>
      </c>
      <c r="B490" s="1" t="n">
        <v>45635.44788194444</v>
      </c>
      <c r="C490" s="1" t="n">
        <v>46079</v>
      </c>
      <c r="D490" t="inlineStr">
        <is>
          <t>STOCKHOLMS LÄN</t>
        </is>
      </c>
      <c r="E490" t="inlineStr">
        <is>
          <t>NORRTÄLJE</t>
        </is>
      </c>
      <c r="G490" t="n">
        <v>4.5</v>
      </c>
      <c r="H490" t="n">
        <v>0</v>
      </c>
      <c r="I490" t="n">
        <v>0</v>
      </c>
      <c r="J490" t="n">
        <v>0</v>
      </c>
      <c r="K490" t="n">
        <v>0</v>
      </c>
      <c r="L490" t="n">
        <v>0</v>
      </c>
      <c r="M490" t="n">
        <v>0</v>
      </c>
      <c r="N490" t="n">
        <v>0</v>
      </c>
      <c r="O490" t="n">
        <v>0</v>
      </c>
      <c r="P490" t="n">
        <v>0</v>
      </c>
      <c r="Q490" t="n">
        <v>0</v>
      </c>
      <c r="R490" s="2" t="inlineStr"/>
    </row>
    <row r="491" ht="15" customHeight="1">
      <c r="A491" t="inlineStr">
        <is>
          <t>A 4035-2023</t>
        </is>
      </c>
      <c r="B491" s="1" t="n">
        <v>44952.57989583333</v>
      </c>
      <c r="C491" s="1" t="n">
        <v>46079</v>
      </c>
      <c r="D491" t="inlineStr">
        <is>
          <t>STOCKHOLMS LÄN</t>
        </is>
      </c>
      <c r="E491" t="inlineStr">
        <is>
          <t>NORRTÄLJE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30620-2022</t>
        </is>
      </c>
      <c r="B492" s="1" t="n">
        <v>44763.40914351852</v>
      </c>
      <c r="C492" s="1" t="n">
        <v>46079</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26644-2024</t>
        </is>
      </c>
      <c r="B493" s="1" t="n">
        <v>45469</v>
      </c>
      <c r="C493" s="1" t="n">
        <v>46079</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26668-2024</t>
        </is>
      </c>
      <c r="B494" s="1" t="n">
        <v>45469</v>
      </c>
      <c r="C494" s="1" t="n">
        <v>46079</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57602-2024</t>
        </is>
      </c>
      <c r="B495" s="1" t="n">
        <v>45630.52866898148</v>
      </c>
      <c r="C495" s="1" t="n">
        <v>46079</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11854-2025</t>
        </is>
      </c>
      <c r="B496" s="1" t="n">
        <v>45728.38924768518</v>
      </c>
      <c r="C496" s="1" t="n">
        <v>46079</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1283-2025</t>
        </is>
      </c>
      <c r="B497" s="1" t="n">
        <v>45667.49878472222</v>
      </c>
      <c r="C497" s="1" t="n">
        <v>46079</v>
      </c>
      <c r="D497" t="inlineStr">
        <is>
          <t>STOCKHOLMS LÄN</t>
        </is>
      </c>
      <c r="E497" t="inlineStr">
        <is>
          <t>NORRTÄLJE</t>
        </is>
      </c>
      <c r="G497" t="n">
        <v>1</v>
      </c>
      <c r="H497" t="n">
        <v>0</v>
      </c>
      <c r="I497" t="n">
        <v>0</v>
      </c>
      <c r="J497" t="n">
        <v>0</v>
      </c>
      <c r="K497" t="n">
        <v>0</v>
      </c>
      <c r="L497" t="n">
        <v>0</v>
      </c>
      <c r="M497" t="n">
        <v>0</v>
      </c>
      <c r="N497" t="n">
        <v>0</v>
      </c>
      <c r="O497" t="n">
        <v>0</v>
      </c>
      <c r="P497" t="n">
        <v>0</v>
      </c>
      <c r="Q497" t="n">
        <v>0</v>
      </c>
      <c r="R497" s="2" t="inlineStr"/>
    </row>
    <row r="498" ht="15" customHeight="1">
      <c r="A498" t="inlineStr">
        <is>
          <t>A 50108-2021</t>
        </is>
      </c>
      <c r="B498" s="1" t="n">
        <v>44456</v>
      </c>
      <c r="C498" s="1" t="n">
        <v>46079</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60217-2021</t>
        </is>
      </c>
      <c r="B499" s="1" t="n">
        <v>44495.5893287037</v>
      </c>
      <c r="C499" s="1" t="n">
        <v>46079</v>
      </c>
      <c r="D499" t="inlineStr">
        <is>
          <t>STOCKHOLMS LÄN</t>
        </is>
      </c>
      <c r="E499" t="inlineStr">
        <is>
          <t>NORRTÄLJE</t>
        </is>
      </c>
      <c r="G499" t="n">
        <v>4.3</v>
      </c>
      <c r="H499" t="n">
        <v>0</v>
      </c>
      <c r="I499" t="n">
        <v>0</v>
      </c>
      <c r="J499" t="n">
        <v>0</v>
      </c>
      <c r="K499" t="n">
        <v>0</v>
      </c>
      <c r="L499" t="n">
        <v>0</v>
      </c>
      <c r="M499" t="n">
        <v>0</v>
      </c>
      <c r="N499" t="n">
        <v>0</v>
      </c>
      <c r="O499" t="n">
        <v>0</v>
      </c>
      <c r="P499" t="n">
        <v>0</v>
      </c>
      <c r="Q499" t="n">
        <v>0</v>
      </c>
      <c r="R499" s="2" t="inlineStr"/>
    </row>
    <row r="500" ht="15" customHeight="1">
      <c r="A500" t="inlineStr">
        <is>
          <t>A 31105-2022</t>
        </is>
      </c>
      <c r="B500" s="1" t="n">
        <v>44769.66039351852</v>
      </c>
      <c r="C500" s="1" t="n">
        <v>46079</v>
      </c>
      <c r="D500" t="inlineStr">
        <is>
          <t>STOCKHOLMS LÄN</t>
        </is>
      </c>
      <c r="E500" t="inlineStr">
        <is>
          <t>NORRTÄLJE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28900-2022</t>
        </is>
      </c>
      <c r="B501" s="1" t="n">
        <v>44749.55258101852</v>
      </c>
      <c r="C501" s="1" t="n">
        <v>46079</v>
      </c>
      <c r="D501" t="inlineStr">
        <is>
          <t>STOCKHOLMS LÄN</t>
        </is>
      </c>
      <c r="E501" t="inlineStr">
        <is>
          <t>NORRTÄLJE</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32514-2022</t>
        </is>
      </c>
      <c r="B502" s="1" t="n">
        <v>44782</v>
      </c>
      <c r="C502" s="1" t="n">
        <v>46079</v>
      </c>
      <c r="D502" t="inlineStr">
        <is>
          <t>STOCKHOLMS LÄN</t>
        </is>
      </c>
      <c r="E502" t="inlineStr">
        <is>
          <t>NORRTÄLJE</t>
        </is>
      </c>
      <c r="G502" t="n">
        <v>5.1</v>
      </c>
      <c r="H502" t="n">
        <v>0</v>
      </c>
      <c r="I502" t="n">
        <v>0</v>
      </c>
      <c r="J502" t="n">
        <v>0</v>
      </c>
      <c r="K502" t="n">
        <v>0</v>
      </c>
      <c r="L502" t="n">
        <v>0</v>
      </c>
      <c r="M502" t="n">
        <v>0</v>
      </c>
      <c r="N502" t="n">
        <v>0</v>
      </c>
      <c r="O502" t="n">
        <v>0</v>
      </c>
      <c r="P502" t="n">
        <v>0</v>
      </c>
      <c r="Q502" t="n">
        <v>0</v>
      </c>
      <c r="R502" s="2" t="inlineStr"/>
    </row>
    <row r="503" ht="15" customHeight="1">
      <c r="A503" t="inlineStr">
        <is>
          <t>A 25621-2022</t>
        </is>
      </c>
      <c r="B503" s="1" t="n">
        <v>44732</v>
      </c>
      <c r="C503" s="1" t="n">
        <v>46079</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20304-2023</t>
        </is>
      </c>
      <c r="B504" s="1" t="n">
        <v>45056</v>
      </c>
      <c r="C504" s="1" t="n">
        <v>46079</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35235-2024</t>
        </is>
      </c>
      <c r="B505" s="1" t="n">
        <v>45530</v>
      </c>
      <c r="C505" s="1" t="n">
        <v>46079</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37085-2021</t>
        </is>
      </c>
      <c r="B506" s="1" t="n">
        <v>44395</v>
      </c>
      <c r="C506" s="1" t="n">
        <v>46079</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51061-2023</t>
        </is>
      </c>
      <c r="B507" s="1" t="n">
        <v>45218.65849537037</v>
      </c>
      <c r="C507" s="1" t="n">
        <v>46079</v>
      </c>
      <c r="D507" t="inlineStr">
        <is>
          <t>STOCKHOLMS LÄN</t>
        </is>
      </c>
      <c r="E507" t="inlineStr">
        <is>
          <t>NORRTÄLJE</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39213-2022</t>
        </is>
      </c>
      <c r="B508" s="1" t="n">
        <v>44817.56120370371</v>
      </c>
      <c r="C508" s="1" t="n">
        <v>46079</v>
      </c>
      <c r="D508" t="inlineStr">
        <is>
          <t>STOCKHOLMS LÄN</t>
        </is>
      </c>
      <c r="E508" t="inlineStr">
        <is>
          <t>NORRTÄLJE</t>
        </is>
      </c>
      <c r="G508" t="n">
        <v>3.4</v>
      </c>
      <c r="H508" t="n">
        <v>0</v>
      </c>
      <c r="I508" t="n">
        <v>0</v>
      </c>
      <c r="J508" t="n">
        <v>0</v>
      </c>
      <c r="K508" t="n">
        <v>0</v>
      </c>
      <c r="L508" t="n">
        <v>0</v>
      </c>
      <c r="M508" t="n">
        <v>0</v>
      </c>
      <c r="N508" t="n">
        <v>0</v>
      </c>
      <c r="O508" t="n">
        <v>0</v>
      </c>
      <c r="P508" t="n">
        <v>0</v>
      </c>
      <c r="Q508" t="n">
        <v>0</v>
      </c>
      <c r="R508" s="2" t="inlineStr"/>
    </row>
    <row r="509" ht="15" customHeight="1">
      <c r="A509" t="inlineStr">
        <is>
          <t>A 36246-2021</t>
        </is>
      </c>
      <c r="B509" s="1" t="n">
        <v>44390</v>
      </c>
      <c r="C509" s="1" t="n">
        <v>46079</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23125-2022</t>
        </is>
      </c>
      <c r="B510" s="1" t="n">
        <v>44719</v>
      </c>
      <c r="C510" s="1" t="n">
        <v>46079</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46988-2024</t>
        </is>
      </c>
      <c r="B511" s="1" t="n">
        <v>45586</v>
      </c>
      <c r="C511" s="1" t="n">
        <v>46079</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15905-2023</t>
        </is>
      </c>
      <c r="B512" s="1" t="n">
        <v>45022</v>
      </c>
      <c r="C512" s="1" t="n">
        <v>46079</v>
      </c>
      <c r="D512" t="inlineStr">
        <is>
          <t>STOCKHOLMS LÄN</t>
        </is>
      </c>
      <c r="E512" t="inlineStr">
        <is>
          <t>NORRTÄLJE</t>
        </is>
      </c>
      <c r="G512" t="n">
        <v>3.2</v>
      </c>
      <c r="H512" t="n">
        <v>0</v>
      </c>
      <c r="I512" t="n">
        <v>0</v>
      </c>
      <c r="J512" t="n">
        <v>0</v>
      </c>
      <c r="K512" t="n">
        <v>0</v>
      </c>
      <c r="L512" t="n">
        <v>0</v>
      </c>
      <c r="M512" t="n">
        <v>0</v>
      </c>
      <c r="N512" t="n">
        <v>0</v>
      </c>
      <c r="O512" t="n">
        <v>0</v>
      </c>
      <c r="P512" t="n">
        <v>0</v>
      </c>
      <c r="Q512" t="n">
        <v>0</v>
      </c>
      <c r="R512" s="2" t="inlineStr"/>
    </row>
    <row r="513" ht="15" customHeight="1">
      <c r="A513" t="inlineStr">
        <is>
          <t>A 11041-2025</t>
        </is>
      </c>
      <c r="B513" s="1" t="n">
        <v>45723</v>
      </c>
      <c r="C513" s="1" t="n">
        <v>46079</v>
      </c>
      <c r="D513" t="inlineStr">
        <is>
          <t>STOCKHOLMS LÄN</t>
        </is>
      </c>
      <c r="E513" t="inlineStr">
        <is>
          <t>NORRTÄLJE</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71552-2021</t>
        </is>
      </c>
      <c r="B514" s="1" t="n">
        <v>44540</v>
      </c>
      <c r="C514" s="1" t="n">
        <v>46079</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9329-2023</t>
        </is>
      </c>
      <c r="B515" s="1" t="n">
        <v>44980</v>
      </c>
      <c r="C515" s="1" t="n">
        <v>46079</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17382-2024</t>
        </is>
      </c>
      <c r="B516" s="1" t="n">
        <v>45414.65855324074</v>
      </c>
      <c r="C516" s="1" t="n">
        <v>46079</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6855-2025</t>
        </is>
      </c>
      <c r="B517" s="1" t="n">
        <v>45700</v>
      </c>
      <c r="C517" s="1" t="n">
        <v>46079</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25557-2023</t>
        </is>
      </c>
      <c r="B518" s="1" t="n">
        <v>45089</v>
      </c>
      <c r="C518" s="1" t="n">
        <v>46079</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44917-2022</t>
        </is>
      </c>
      <c r="B519" s="1" t="n">
        <v>44841.52804398148</v>
      </c>
      <c r="C519" s="1" t="n">
        <v>46079</v>
      </c>
      <c r="D519" t="inlineStr">
        <is>
          <t>STOCKHOLMS LÄN</t>
        </is>
      </c>
      <c r="E519" t="inlineStr">
        <is>
          <t>NORRTÄLJE</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33173-2024</t>
        </is>
      </c>
      <c r="B520" s="1" t="n">
        <v>45518</v>
      </c>
      <c r="C520" s="1" t="n">
        <v>46079</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9914-2023</t>
        </is>
      </c>
      <c r="B521" s="1" t="n">
        <v>44985</v>
      </c>
      <c r="C521" s="1" t="n">
        <v>46079</v>
      </c>
      <c r="D521" t="inlineStr">
        <is>
          <t>STOCKHOLMS LÄN</t>
        </is>
      </c>
      <c r="E521" t="inlineStr">
        <is>
          <t>NORRTÄLJE</t>
        </is>
      </c>
      <c r="G521" t="n">
        <v>4.2</v>
      </c>
      <c r="H521" t="n">
        <v>0</v>
      </c>
      <c r="I521" t="n">
        <v>0</v>
      </c>
      <c r="J521" t="n">
        <v>0</v>
      </c>
      <c r="K521" t="n">
        <v>0</v>
      </c>
      <c r="L521" t="n">
        <v>0</v>
      </c>
      <c r="M521" t="n">
        <v>0</v>
      </c>
      <c r="N521" t="n">
        <v>0</v>
      </c>
      <c r="O521" t="n">
        <v>0</v>
      </c>
      <c r="P521" t="n">
        <v>0</v>
      </c>
      <c r="Q521" t="n">
        <v>0</v>
      </c>
      <c r="R521" s="2" t="inlineStr"/>
    </row>
    <row r="522" ht="15" customHeight="1">
      <c r="A522" t="inlineStr">
        <is>
          <t>A 17551-2025</t>
        </is>
      </c>
      <c r="B522" s="1" t="n">
        <v>45757.61421296297</v>
      </c>
      <c r="C522" s="1" t="n">
        <v>46079</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14873-2025</t>
        </is>
      </c>
      <c r="B523" s="1" t="n">
        <v>45743.44953703704</v>
      </c>
      <c r="C523" s="1" t="n">
        <v>46079</v>
      </c>
      <c r="D523" t="inlineStr">
        <is>
          <t>STOCKHOLMS LÄN</t>
        </is>
      </c>
      <c r="E523" t="inlineStr">
        <is>
          <t>NORRTÄLJE</t>
        </is>
      </c>
      <c r="G523" t="n">
        <v>10.2</v>
      </c>
      <c r="H523" t="n">
        <v>0</v>
      </c>
      <c r="I523" t="n">
        <v>0</v>
      </c>
      <c r="J523" t="n">
        <v>0</v>
      </c>
      <c r="K523" t="n">
        <v>0</v>
      </c>
      <c r="L523" t="n">
        <v>0</v>
      </c>
      <c r="M523" t="n">
        <v>0</v>
      </c>
      <c r="N523" t="n">
        <v>0</v>
      </c>
      <c r="O523" t="n">
        <v>0</v>
      </c>
      <c r="P523" t="n">
        <v>0</v>
      </c>
      <c r="Q523" t="n">
        <v>0</v>
      </c>
      <c r="R523" s="2" t="inlineStr"/>
    </row>
    <row r="524" ht="15" customHeight="1">
      <c r="A524" t="inlineStr">
        <is>
          <t>A 60525-2022</t>
        </is>
      </c>
      <c r="B524" s="1" t="n">
        <v>44904</v>
      </c>
      <c r="C524" s="1" t="n">
        <v>46079</v>
      </c>
      <c r="D524" t="inlineStr">
        <is>
          <t>STOCKHOLMS LÄN</t>
        </is>
      </c>
      <c r="E524" t="inlineStr">
        <is>
          <t>NORRTÄLJE</t>
        </is>
      </c>
      <c r="G524" t="n">
        <v>13.4</v>
      </c>
      <c r="H524" t="n">
        <v>0</v>
      </c>
      <c r="I524" t="n">
        <v>0</v>
      </c>
      <c r="J524" t="n">
        <v>0</v>
      </c>
      <c r="K524" t="n">
        <v>0</v>
      </c>
      <c r="L524" t="n">
        <v>0</v>
      </c>
      <c r="M524" t="n">
        <v>0</v>
      </c>
      <c r="N524" t="n">
        <v>0</v>
      </c>
      <c r="O524" t="n">
        <v>0</v>
      </c>
      <c r="P524" t="n">
        <v>0</v>
      </c>
      <c r="Q524" t="n">
        <v>0</v>
      </c>
      <c r="R524" s="2" t="inlineStr"/>
    </row>
    <row r="525" ht="15" customHeight="1">
      <c r="A525" t="inlineStr">
        <is>
          <t>A 8135-2025</t>
        </is>
      </c>
      <c r="B525" s="1" t="n">
        <v>45707.84997685185</v>
      </c>
      <c r="C525" s="1" t="n">
        <v>46079</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31936-2022</t>
        </is>
      </c>
      <c r="B526" s="1" t="n">
        <v>44777</v>
      </c>
      <c r="C526" s="1" t="n">
        <v>46079</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24887-2023</t>
        </is>
      </c>
      <c r="B527" s="1" t="n">
        <v>45085</v>
      </c>
      <c r="C527" s="1" t="n">
        <v>46079</v>
      </c>
      <c r="D527" t="inlineStr">
        <is>
          <t>STOCKHOLMS LÄN</t>
        </is>
      </c>
      <c r="E527" t="inlineStr">
        <is>
          <t>NORRTÄLJE</t>
        </is>
      </c>
      <c r="G527" t="n">
        <v>13.9</v>
      </c>
      <c r="H527" t="n">
        <v>0</v>
      </c>
      <c r="I527" t="n">
        <v>0</v>
      </c>
      <c r="J527" t="n">
        <v>0</v>
      </c>
      <c r="K527" t="n">
        <v>0</v>
      </c>
      <c r="L527" t="n">
        <v>0</v>
      </c>
      <c r="M527" t="n">
        <v>0</v>
      </c>
      <c r="N527" t="n">
        <v>0</v>
      </c>
      <c r="O527" t="n">
        <v>0</v>
      </c>
      <c r="P527" t="n">
        <v>0</v>
      </c>
      <c r="Q527" t="n">
        <v>0</v>
      </c>
      <c r="R527" s="2" t="inlineStr"/>
    </row>
    <row r="528" ht="15" customHeight="1">
      <c r="A528" t="inlineStr">
        <is>
          <t>A 58302-2022</t>
        </is>
      </c>
      <c r="B528" s="1" t="n">
        <v>44901</v>
      </c>
      <c r="C528" s="1" t="n">
        <v>46079</v>
      </c>
      <c r="D528" t="inlineStr">
        <is>
          <t>STOCKHOLMS LÄN</t>
        </is>
      </c>
      <c r="E528" t="inlineStr">
        <is>
          <t>NORRTÄLJE</t>
        </is>
      </c>
      <c r="G528" t="n">
        <v>3.9</v>
      </c>
      <c r="H528" t="n">
        <v>0</v>
      </c>
      <c r="I528" t="n">
        <v>0</v>
      </c>
      <c r="J528" t="n">
        <v>0</v>
      </c>
      <c r="K528" t="n">
        <v>0</v>
      </c>
      <c r="L528" t="n">
        <v>0</v>
      </c>
      <c r="M528" t="n">
        <v>0</v>
      </c>
      <c r="N528" t="n">
        <v>0</v>
      </c>
      <c r="O528" t="n">
        <v>0</v>
      </c>
      <c r="P528" t="n">
        <v>0</v>
      </c>
      <c r="Q528" t="n">
        <v>0</v>
      </c>
      <c r="R528" s="2" t="inlineStr"/>
    </row>
    <row r="529" ht="15" customHeight="1">
      <c r="A529" t="inlineStr">
        <is>
          <t>A 56428-2023</t>
        </is>
      </c>
      <c r="B529" s="1" t="n">
        <v>45243.45289351852</v>
      </c>
      <c r="C529" s="1" t="n">
        <v>46079</v>
      </c>
      <c r="D529" t="inlineStr">
        <is>
          <t>STOCKHOLMS LÄN</t>
        </is>
      </c>
      <c r="E529" t="inlineStr">
        <is>
          <t>NORRTÄLJE</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10678-2025</t>
        </is>
      </c>
      <c r="B530" s="1" t="n">
        <v>45721.89123842592</v>
      </c>
      <c r="C530" s="1" t="n">
        <v>46079</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8370-2025</t>
        </is>
      </c>
      <c r="B531" s="1" t="n">
        <v>45708</v>
      </c>
      <c r="C531" s="1" t="n">
        <v>46079</v>
      </c>
      <c r="D531" t="inlineStr">
        <is>
          <t>STOCKHOLMS LÄN</t>
        </is>
      </c>
      <c r="E531" t="inlineStr">
        <is>
          <t>NORRTÄLJE</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62644-2023</t>
        </is>
      </c>
      <c r="B532" s="1" t="n">
        <v>45271</v>
      </c>
      <c r="C532" s="1" t="n">
        <v>46079</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30338-2022</t>
        </is>
      </c>
      <c r="B533" s="1" t="n">
        <v>44760</v>
      </c>
      <c r="C533" s="1" t="n">
        <v>46079</v>
      </c>
      <c r="D533" t="inlineStr">
        <is>
          <t>STOCKHOLMS LÄN</t>
        </is>
      </c>
      <c r="E533" t="inlineStr">
        <is>
          <t>NORRTÄLJE</t>
        </is>
      </c>
      <c r="G533" t="n">
        <v>0.3</v>
      </c>
      <c r="H533" t="n">
        <v>0</v>
      </c>
      <c r="I533" t="n">
        <v>0</v>
      </c>
      <c r="J533" t="n">
        <v>0</v>
      </c>
      <c r="K533" t="n">
        <v>0</v>
      </c>
      <c r="L533" t="n">
        <v>0</v>
      </c>
      <c r="M533" t="n">
        <v>0</v>
      </c>
      <c r="N533" t="n">
        <v>0</v>
      </c>
      <c r="O533" t="n">
        <v>0</v>
      </c>
      <c r="P533" t="n">
        <v>0</v>
      </c>
      <c r="Q533" t="n">
        <v>0</v>
      </c>
      <c r="R533" s="2" t="inlineStr"/>
    </row>
    <row r="534" ht="15" customHeight="1">
      <c r="A534" t="inlineStr">
        <is>
          <t>A 60185-2024</t>
        </is>
      </c>
      <c r="B534" s="1" t="n">
        <v>45642.64634259259</v>
      </c>
      <c r="C534" s="1" t="n">
        <v>46079</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23269-2023</t>
        </is>
      </c>
      <c r="B535" s="1" t="n">
        <v>45075.91148148148</v>
      </c>
      <c r="C535" s="1" t="n">
        <v>46079</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18541-2023</t>
        </is>
      </c>
      <c r="B536" s="1" t="n">
        <v>45042.74291666667</v>
      </c>
      <c r="C536" s="1" t="n">
        <v>46079</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32857-2021</t>
        </is>
      </c>
      <c r="B537" s="1" t="n">
        <v>44375</v>
      </c>
      <c r="C537" s="1" t="n">
        <v>46079</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60765-2023</t>
        </is>
      </c>
      <c r="B538" s="1" t="n">
        <v>45260</v>
      </c>
      <c r="C538" s="1" t="n">
        <v>46079</v>
      </c>
      <c r="D538" t="inlineStr">
        <is>
          <t>STOCKHOLMS LÄN</t>
        </is>
      </c>
      <c r="E538" t="inlineStr">
        <is>
          <t>NORRTÄLJE</t>
        </is>
      </c>
      <c r="G538" t="n">
        <v>3.7</v>
      </c>
      <c r="H538" t="n">
        <v>0</v>
      </c>
      <c r="I538" t="n">
        <v>0</v>
      </c>
      <c r="J538" t="n">
        <v>0</v>
      </c>
      <c r="K538" t="n">
        <v>0</v>
      </c>
      <c r="L538" t="n">
        <v>0</v>
      </c>
      <c r="M538" t="n">
        <v>0</v>
      </c>
      <c r="N538" t="n">
        <v>0</v>
      </c>
      <c r="O538" t="n">
        <v>0</v>
      </c>
      <c r="P538" t="n">
        <v>0</v>
      </c>
      <c r="Q538" t="n">
        <v>0</v>
      </c>
      <c r="R538" s="2" t="inlineStr"/>
    </row>
    <row r="539" ht="15" customHeight="1">
      <c r="A539" t="inlineStr">
        <is>
          <t>A 951-2023</t>
        </is>
      </c>
      <c r="B539" s="1" t="n">
        <v>44934</v>
      </c>
      <c r="C539" s="1" t="n">
        <v>46079</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51325-2023</t>
        </is>
      </c>
      <c r="B540" s="1" t="n">
        <v>45219</v>
      </c>
      <c r="C540" s="1" t="n">
        <v>46079</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21729-2024</t>
        </is>
      </c>
      <c r="B541" s="1" t="n">
        <v>45442</v>
      </c>
      <c r="C541" s="1" t="n">
        <v>46079</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23060-2023</t>
        </is>
      </c>
      <c r="B542" s="1" t="n">
        <v>45075</v>
      </c>
      <c r="C542" s="1" t="n">
        <v>46079</v>
      </c>
      <c r="D542" t="inlineStr">
        <is>
          <t>STOCKHOLMS LÄN</t>
        </is>
      </c>
      <c r="E542" t="inlineStr">
        <is>
          <t>NORRTÄLJE</t>
        </is>
      </c>
      <c r="G542" t="n">
        <v>0.5</v>
      </c>
      <c r="H542" t="n">
        <v>0</v>
      </c>
      <c r="I542" t="n">
        <v>0</v>
      </c>
      <c r="J542" t="n">
        <v>0</v>
      </c>
      <c r="K542" t="n">
        <v>0</v>
      </c>
      <c r="L542" t="n">
        <v>0</v>
      </c>
      <c r="M542" t="n">
        <v>0</v>
      </c>
      <c r="N542" t="n">
        <v>0</v>
      </c>
      <c r="O542" t="n">
        <v>0</v>
      </c>
      <c r="P542" t="n">
        <v>0</v>
      </c>
      <c r="Q542" t="n">
        <v>0</v>
      </c>
      <c r="R542" s="2" t="inlineStr"/>
    </row>
    <row r="543" ht="15" customHeight="1">
      <c r="A543" t="inlineStr">
        <is>
          <t>A 32100-2022</t>
        </is>
      </c>
      <c r="B543" s="1" t="n">
        <v>44778</v>
      </c>
      <c r="C543" s="1" t="n">
        <v>46079</v>
      </c>
      <c r="D543" t="inlineStr">
        <is>
          <t>STOCKHOLMS LÄN</t>
        </is>
      </c>
      <c r="E543" t="inlineStr">
        <is>
          <t>NORRTÄLJE</t>
        </is>
      </c>
      <c r="G543" t="n">
        <v>3.3</v>
      </c>
      <c r="H543" t="n">
        <v>0</v>
      </c>
      <c r="I543" t="n">
        <v>0</v>
      </c>
      <c r="J543" t="n">
        <v>0</v>
      </c>
      <c r="K543" t="n">
        <v>0</v>
      </c>
      <c r="L543" t="n">
        <v>0</v>
      </c>
      <c r="M543" t="n">
        <v>0</v>
      </c>
      <c r="N543" t="n">
        <v>0</v>
      </c>
      <c r="O543" t="n">
        <v>0</v>
      </c>
      <c r="P543" t="n">
        <v>0</v>
      </c>
      <c r="Q543" t="n">
        <v>0</v>
      </c>
      <c r="R543" s="2" t="inlineStr"/>
    </row>
    <row r="544" ht="15" customHeight="1">
      <c r="A544" t="inlineStr">
        <is>
          <t>A 12268-2022</t>
        </is>
      </c>
      <c r="B544" s="1" t="n">
        <v>44637</v>
      </c>
      <c r="C544" s="1" t="n">
        <v>46079</v>
      </c>
      <c r="D544" t="inlineStr">
        <is>
          <t>STOCKHOLMS LÄN</t>
        </is>
      </c>
      <c r="E544" t="inlineStr">
        <is>
          <t>NORRTÄLJE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2888-2022</t>
        </is>
      </c>
      <c r="B545" s="1" t="n">
        <v>44581</v>
      </c>
      <c r="C545" s="1" t="n">
        <v>46079</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21894-2023</t>
        </is>
      </c>
      <c r="B546" s="1" t="n">
        <v>45068.51783564815</v>
      </c>
      <c r="C546" s="1" t="n">
        <v>46079</v>
      </c>
      <c r="D546" t="inlineStr">
        <is>
          <t>STOCKHOLMS LÄN</t>
        </is>
      </c>
      <c r="E546" t="inlineStr">
        <is>
          <t>NORRTÄLJE</t>
        </is>
      </c>
      <c r="G546" t="n">
        <v>2.5</v>
      </c>
      <c r="H546" t="n">
        <v>0</v>
      </c>
      <c r="I546" t="n">
        <v>0</v>
      </c>
      <c r="J546" t="n">
        <v>0</v>
      </c>
      <c r="K546" t="n">
        <v>0</v>
      </c>
      <c r="L546" t="n">
        <v>0</v>
      </c>
      <c r="M546" t="n">
        <v>0</v>
      </c>
      <c r="N546" t="n">
        <v>0</v>
      </c>
      <c r="O546" t="n">
        <v>0</v>
      </c>
      <c r="P546" t="n">
        <v>0</v>
      </c>
      <c r="Q546" t="n">
        <v>0</v>
      </c>
      <c r="R546" s="2" t="inlineStr"/>
    </row>
    <row r="547" ht="15" customHeight="1">
      <c r="A547" t="inlineStr">
        <is>
          <t>A 11902-2024</t>
        </is>
      </c>
      <c r="B547" s="1" t="n">
        <v>45376.55704861111</v>
      </c>
      <c r="C547" s="1" t="n">
        <v>46079</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52743-2024</t>
        </is>
      </c>
      <c r="B548" s="1" t="n">
        <v>45610.47414351852</v>
      </c>
      <c r="C548" s="1" t="n">
        <v>46079</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13-2024</t>
        </is>
      </c>
      <c r="B549" s="1" t="n">
        <v>45293.37263888889</v>
      </c>
      <c r="C549" s="1" t="n">
        <v>46079</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58260-2023</t>
        </is>
      </c>
      <c r="B550" s="1" t="n">
        <v>45245</v>
      </c>
      <c r="C550" s="1" t="n">
        <v>46079</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58261-2023</t>
        </is>
      </c>
      <c r="B551" s="1" t="n">
        <v>45245</v>
      </c>
      <c r="C551" s="1" t="n">
        <v>46079</v>
      </c>
      <c r="D551" t="inlineStr">
        <is>
          <t>STOCKHOLMS LÄN</t>
        </is>
      </c>
      <c r="E551" t="inlineStr">
        <is>
          <t>NORRTÄLJE</t>
        </is>
      </c>
      <c r="G551" t="n">
        <v>53.5</v>
      </c>
      <c r="H551" t="n">
        <v>0</v>
      </c>
      <c r="I551" t="n">
        <v>0</v>
      </c>
      <c r="J551" t="n">
        <v>0</v>
      </c>
      <c r="K551" t="n">
        <v>0</v>
      </c>
      <c r="L551" t="n">
        <v>0</v>
      </c>
      <c r="M551" t="n">
        <v>0</v>
      </c>
      <c r="N551" t="n">
        <v>0</v>
      </c>
      <c r="O551" t="n">
        <v>0</v>
      </c>
      <c r="P551" t="n">
        <v>0</v>
      </c>
      <c r="Q551" t="n">
        <v>0</v>
      </c>
      <c r="R551" s="2" t="inlineStr"/>
    </row>
    <row r="552" ht="15" customHeight="1">
      <c r="A552" t="inlineStr">
        <is>
          <t>A 4553-2023</t>
        </is>
      </c>
      <c r="B552" s="1" t="n">
        <v>44956.65920138889</v>
      </c>
      <c r="C552" s="1" t="n">
        <v>46079</v>
      </c>
      <c r="D552" t="inlineStr">
        <is>
          <t>STOCKHOLMS LÄN</t>
        </is>
      </c>
      <c r="E552" t="inlineStr">
        <is>
          <t>NORRTÄLJE</t>
        </is>
      </c>
      <c r="G552" t="n">
        <v>7.5</v>
      </c>
      <c r="H552" t="n">
        <v>0</v>
      </c>
      <c r="I552" t="n">
        <v>0</v>
      </c>
      <c r="J552" t="n">
        <v>0</v>
      </c>
      <c r="K552" t="n">
        <v>0</v>
      </c>
      <c r="L552" t="n">
        <v>0</v>
      </c>
      <c r="M552" t="n">
        <v>0</v>
      </c>
      <c r="N552" t="n">
        <v>0</v>
      </c>
      <c r="O552" t="n">
        <v>0</v>
      </c>
      <c r="P552" t="n">
        <v>0</v>
      </c>
      <c r="Q552" t="n">
        <v>0</v>
      </c>
      <c r="R552" s="2" t="inlineStr"/>
    </row>
    <row r="553" ht="15" customHeight="1">
      <c r="A553" t="inlineStr">
        <is>
          <t>A 875-2023</t>
        </is>
      </c>
      <c r="B553" s="1" t="n">
        <v>44931.65626157408</v>
      </c>
      <c r="C553" s="1" t="n">
        <v>46079</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24575-2024</t>
        </is>
      </c>
      <c r="B554" s="1" t="n">
        <v>45460.45523148148</v>
      </c>
      <c r="C554" s="1" t="n">
        <v>46079</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19-2024</t>
        </is>
      </c>
      <c r="B555" s="1" t="n">
        <v>45293</v>
      </c>
      <c r="C555" s="1" t="n">
        <v>46079</v>
      </c>
      <c r="D555" t="inlineStr">
        <is>
          <t>STOCKHOLMS LÄN</t>
        </is>
      </c>
      <c r="E555" t="inlineStr">
        <is>
          <t>NORRTÄLJE</t>
        </is>
      </c>
      <c r="G555" t="n">
        <v>0.3</v>
      </c>
      <c r="H555" t="n">
        <v>0</v>
      </c>
      <c r="I555" t="n">
        <v>0</v>
      </c>
      <c r="J555" t="n">
        <v>0</v>
      </c>
      <c r="K555" t="n">
        <v>0</v>
      </c>
      <c r="L555" t="n">
        <v>0</v>
      </c>
      <c r="M555" t="n">
        <v>0</v>
      </c>
      <c r="N555" t="n">
        <v>0</v>
      </c>
      <c r="O555" t="n">
        <v>0</v>
      </c>
      <c r="P555" t="n">
        <v>0</v>
      </c>
      <c r="Q555" t="n">
        <v>0</v>
      </c>
      <c r="R555" s="2" t="inlineStr"/>
    </row>
    <row r="556" ht="15" customHeight="1">
      <c r="A556" t="inlineStr">
        <is>
          <t>A 11499-2023</t>
        </is>
      </c>
      <c r="B556" s="1" t="n">
        <v>44993.66707175926</v>
      </c>
      <c r="C556" s="1" t="n">
        <v>46079</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21732-2023</t>
        </is>
      </c>
      <c r="B557" s="1" t="n">
        <v>45063</v>
      </c>
      <c r="C557" s="1" t="n">
        <v>46079</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64600-2021</t>
        </is>
      </c>
      <c r="B558" s="1" t="n">
        <v>44511.70518518519</v>
      </c>
      <c r="C558" s="1" t="n">
        <v>46079</v>
      </c>
      <c r="D558" t="inlineStr">
        <is>
          <t>STOCKHOLMS LÄN</t>
        </is>
      </c>
      <c r="E558" t="inlineStr">
        <is>
          <t>NORRTÄLJE</t>
        </is>
      </c>
      <c r="G558" t="n">
        <v>6.2</v>
      </c>
      <c r="H558" t="n">
        <v>0</v>
      </c>
      <c r="I558" t="n">
        <v>0</v>
      </c>
      <c r="J558" t="n">
        <v>0</v>
      </c>
      <c r="K558" t="n">
        <v>0</v>
      </c>
      <c r="L558" t="n">
        <v>0</v>
      </c>
      <c r="M558" t="n">
        <v>0</v>
      </c>
      <c r="N558" t="n">
        <v>0</v>
      </c>
      <c r="O558" t="n">
        <v>0</v>
      </c>
      <c r="P558" t="n">
        <v>0</v>
      </c>
      <c r="Q558" t="n">
        <v>0</v>
      </c>
      <c r="R558" s="2" t="inlineStr"/>
    </row>
    <row r="559" ht="15" customHeight="1">
      <c r="A559" t="inlineStr">
        <is>
          <t>A 35640-2024</t>
        </is>
      </c>
      <c r="B559" s="1" t="n">
        <v>45531</v>
      </c>
      <c r="C559" s="1" t="n">
        <v>46079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11333-2025</t>
        </is>
      </c>
      <c r="B560" s="1" t="n">
        <v>45726.48377314815</v>
      </c>
      <c r="C560" s="1" t="n">
        <v>46079</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21529-2021</t>
        </is>
      </c>
      <c r="B561" s="1" t="n">
        <v>44321</v>
      </c>
      <c r="C561" s="1" t="n">
        <v>46079</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8586-2023</t>
        </is>
      </c>
      <c r="B562" s="1" t="n">
        <v>44977</v>
      </c>
      <c r="C562" s="1" t="n">
        <v>46079</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67990-2021</t>
        </is>
      </c>
      <c r="B563" s="1" t="n">
        <v>44525</v>
      </c>
      <c r="C563" s="1" t="n">
        <v>46079</v>
      </c>
      <c r="D563" t="inlineStr">
        <is>
          <t>STOCKHOLMS LÄN</t>
        </is>
      </c>
      <c r="E563" t="inlineStr">
        <is>
          <t>NORRTÄLJE</t>
        </is>
      </c>
      <c r="F563" t="inlineStr">
        <is>
          <t>Sveaskog</t>
        </is>
      </c>
      <c r="G563" t="n">
        <v>7.8</v>
      </c>
      <c r="H563" t="n">
        <v>0</v>
      </c>
      <c r="I563" t="n">
        <v>0</v>
      </c>
      <c r="J563" t="n">
        <v>0</v>
      </c>
      <c r="K563" t="n">
        <v>0</v>
      </c>
      <c r="L563" t="n">
        <v>0</v>
      </c>
      <c r="M563" t="n">
        <v>0</v>
      </c>
      <c r="N563" t="n">
        <v>0</v>
      </c>
      <c r="O563" t="n">
        <v>0</v>
      </c>
      <c r="P563" t="n">
        <v>0</v>
      </c>
      <c r="Q563" t="n">
        <v>0</v>
      </c>
      <c r="R563" s="2" t="inlineStr"/>
    </row>
    <row r="564" ht="15" customHeight="1">
      <c r="A564" t="inlineStr">
        <is>
          <t>A 31827-2023</t>
        </is>
      </c>
      <c r="B564" s="1" t="n">
        <v>45118</v>
      </c>
      <c r="C564" s="1" t="n">
        <v>46079</v>
      </c>
      <c r="D564" t="inlineStr">
        <is>
          <t>STOCKHOLMS LÄN</t>
        </is>
      </c>
      <c r="E564" t="inlineStr">
        <is>
          <t>NORRTÄLJE</t>
        </is>
      </c>
      <c r="F564" t="inlineStr">
        <is>
          <t>Kyrkan</t>
        </is>
      </c>
      <c r="G564" t="n">
        <v>4.9</v>
      </c>
      <c r="H564" t="n">
        <v>0</v>
      </c>
      <c r="I564" t="n">
        <v>0</v>
      </c>
      <c r="J564" t="n">
        <v>0</v>
      </c>
      <c r="K564" t="n">
        <v>0</v>
      </c>
      <c r="L564" t="n">
        <v>0</v>
      </c>
      <c r="M564" t="n">
        <v>0</v>
      </c>
      <c r="N564" t="n">
        <v>0</v>
      </c>
      <c r="O564" t="n">
        <v>0</v>
      </c>
      <c r="P564" t="n">
        <v>0</v>
      </c>
      <c r="Q564" t="n">
        <v>0</v>
      </c>
      <c r="R564" s="2" t="inlineStr"/>
    </row>
    <row r="565" ht="15" customHeight="1">
      <c r="A565" t="inlineStr">
        <is>
          <t>A 7806-2025</t>
        </is>
      </c>
      <c r="B565" s="1" t="n">
        <v>45706.61178240741</v>
      </c>
      <c r="C565" s="1" t="n">
        <v>46079</v>
      </c>
      <c r="D565" t="inlineStr">
        <is>
          <t>STOCKHOLMS LÄN</t>
        </is>
      </c>
      <c r="E565" t="inlineStr">
        <is>
          <t>NORRTÄLJE</t>
        </is>
      </c>
      <c r="F565" t="inlineStr">
        <is>
          <t>Holmen skog AB</t>
        </is>
      </c>
      <c r="G565" t="n">
        <v>3.5</v>
      </c>
      <c r="H565" t="n">
        <v>0</v>
      </c>
      <c r="I565" t="n">
        <v>0</v>
      </c>
      <c r="J565" t="n">
        <v>0</v>
      </c>
      <c r="K565" t="n">
        <v>0</v>
      </c>
      <c r="L565" t="n">
        <v>0</v>
      </c>
      <c r="M565" t="n">
        <v>0</v>
      </c>
      <c r="N565" t="n">
        <v>0</v>
      </c>
      <c r="O565" t="n">
        <v>0</v>
      </c>
      <c r="P565" t="n">
        <v>0</v>
      </c>
      <c r="Q565" t="n">
        <v>0</v>
      </c>
      <c r="R565" s="2" t="inlineStr"/>
    </row>
    <row r="566" ht="15" customHeight="1">
      <c r="A566" t="inlineStr">
        <is>
          <t>A 10973-2025</t>
        </is>
      </c>
      <c r="B566" s="1" t="n">
        <v>45723</v>
      </c>
      <c r="C566" s="1" t="n">
        <v>46079</v>
      </c>
      <c r="D566" t="inlineStr">
        <is>
          <t>STOCKHOLMS LÄN</t>
        </is>
      </c>
      <c r="E566" t="inlineStr">
        <is>
          <t>NORRTÄLJE</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46079</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37444-2021</t>
        </is>
      </c>
      <c r="B568" s="1" t="n">
        <v>44398</v>
      </c>
      <c r="C568" s="1" t="n">
        <v>46079</v>
      </c>
      <c r="D568" t="inlineStr">
        <is>
          <t>STOCKHOLMS LÄN</t>
        </is>
      </c>
      <c r="E568" t="inlineStr">
        <is>
          <t>NORRTÄLJE</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54496-2024</t>
        </is>
      </c>
      <c r="B569" s="1" t="n">
        <v>45617.57439814815</v>
      </c>
      <c r="C569" s="1" t="n">
        <v>46079</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51315-2021</t>
        </is>
      </c>
      <c r="B570" s="1" t="n">
        <v>44461</v>
      </c>
      <c r="C570" s="1" t="n">
        <v>46079</v>
      </c>
      <c r="D570" t="inlineStr">
        <is>
          <t>STOCKHOLMS LÄN</t>
        </is>
      </c>
      <c r="E570" t="inlineStr">
        <is>
          <t>NORRTÄLJE</t>
        </is>
      </c>
      <c r="F570" t="inlineStr">
        <is>
          <t>Holmen skog AB</t>
        </is>
      </c>
      <c r="G570" t="n">
        <v>2.2</v>
      </c>
      <c r="H570" t="n">
        <v>0</v>
      </c>
      <c r="I570" t="n">
        <v>0</v>
      </c>
      <c r="J570" t="n">
        <v>0</v>
      </c>
      <c r="K570" t="n">
        <v>0</v>
      </c>
      <c r="L570" t="n">
        <v>0</v>
      </c>
      <c r="M570" t="n">
        <v>0</v>
      </c>
      <c r="N570" t="n">
        <v>0</v>
      </c>
      <c r="O570" t="n">
        <v>0</v>
      </c>
      <c r="P570" t="n">
        <v>0</v>
      </c>
      <c r="Q570" t="n">
        <v>0</v>
      </c>
      <c r="R570" s="2" t="inlineStr"/>
    </row>
    <row r="571" ht="15" customHeight="1">
      <c r="A571" t="inlineStr">
        <is>
          <t>A 45173-2023</t>
        </is>
      </c>
      <c r="B571" s="1" t="n">
        <v>45191</v>
      </c>
      <c r="C571" s="1" t="n">
        <v>46079</v>
      </c>
      <c r="D571" t="inlineStr">
        <is>
          <t>STOCKHOLMS LÄN</t>
        </is>
      </c>
      <c r="E571" t="inlineStr">
        <is>
          <t>NORRTÄLJE</t>
        </is>
      </c>
      <c r="F571" t="inlineStr">
        <is>
          <t>Sveaskog</t>
        </is>
      </c>
      <c r="G571" t="n">
        <v>3.6</v>
      </c>
      <c r="H571" t="n">
        <v>0</v>
      </c>
      <c r="I571" t="n">
        <v>0</v>
      </c>
      <c r="J571" t="n">
        <v>0</v>
      </c>
      <c r="K571" t="n">
        <v>0</v>
      </c>
      <c r="L571" t="n">
        <v>0</v>
      </c>
      <c r="M571" t="n">
        <v>0</v>
      </c>
      <c r="N571" t="n">
        <v>0</v>
      </c>
      <c r="O571" t="n">
        <v>0</v>
      </c>
      <c r="P571" t="n">
        <v>0</v>
      </c>
      <c r="Q571" t="n">
        <v>0</v>
      </c>
      <c r="R571" s="2" t="inlineStr"/>
    </row>
    <row r="572" ht="15" customHeight="1">
      <c r="A572" t="inlineStr">
        <is>
          <t>A 7796-2025</t>
        </is>
      </c>
      <c r="B572" s="1" t="n">
        <v>45706.60130787037</v>
      </c>
      <c r="C572" s="1" t="n">
        <v>46079</v>
      </c>
      <c r="D572" t="inlineStr">
        <is>
          <t>STOCKHOLMS LÄN</t>
        </is>
      </c>
      <c r="E572" t="inlineStr">
        <is>
          <t>NORRTÄLJE</t>
        </is>
      </c>
      <c r="F572" t="inlineStr">
        <is>
          <t>Holmen skog AB</t>
        </is>
      </c>
      <c r="G572" t="n">
        <v>2.4</v>
      </c>
      <c r="H572" t="n">
        <v>0</v>
      </c>
      <c r="I572" t="n">
        <v>0</v>
      </c>
      <c r="J572" t="n">
        <v>0</v>
      </c>
      <c r="K572" t="n">
        <v>0</v>
      </c>
      <c r="L572" t="n">
        <v>0</v>
      </c>
      <c r="M572" t="n">
        <v>0</v>
      </c>
      <c r="N572" t="n">
        <v>0</v>
      </c>
      <c r="O572" t="n">
        <v>0</v>
      </c>
      <c r="P572" t="n">
        <v>0</v>
      </c>
      <c r="Q572" t="n">
        <v>0</v>
      </c>
      <c r="R572" s="2" t="inlineStr"/>
    </row>
    <row r="573" ht="15" customHeight="1">
      <c r="A573" t="inlineStr">
        <is>
          <t>A 21696-2024</t>
        </is>
      </c>
      <c r="B573" s="1" t="n">
        <v>45442.45686342593</v>
      </c>
      <c r="C573" s="1" t="n">
        <v>46079</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37136-2023</t>
        </is>
      </c>
      <c r="B574" s="1" t="n">
        <v>45155</v>
      </c>
      <c r="C574" s="1" t="n">
        <v>46079</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59767-2022</t>
        </is>
      </c>
      <c r="B575" s="1" t="n">
        <v>44900</v>
      </c>
      <c r="C575" s="1" t="n">
        <v>46079</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22756-2022</t>
        </is>
      </c>
      <c r="B576" s="1" t="n">
        <v>44714.92253472222</v>
      </c>
      <c r="C576" s="1" t="n">
        <v>46079</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1740-2023</t>
        </is>
      </c>
      <c r="B577" s="1" t="n">
        <v>44938</v>
      </c>
      <c r="C577" s="1" t="n">
        <v>46079</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64137-2021</t>
        </is>
      </c>
      <c r="B578" s="1" t="n">
        <v>44510.51422453704</v>
      </c>
      <c r="C578" s="1" t="n">
        <v>46079</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22008-2024</t>
        </is>
      </c>
      <c r="B579" s="1" t="n">
        <v>45443</v>
      </c>
      <c r="C579" s="1" t="n">
        <v>46079</v>
      </c>
      <c r="D579" t="inlineStr">
        <is>
          <t>STOCKHOLMS LÄN</t>
        </is>
      </c>
      <c r="E579" t="inlineStr">
        <is>
          <t>NORRTÄLJE</t>
        </is>
      </c>
      <c r="G579" t="n">
        <v>2</v>
      </c>
      <c r="H579" t="n">
        <v>0</v>
      </c>
      <c r="I579" t="n">
        <v>0</v>
      </c>
      <c r="J579" t="n">
        <v>0</v>
      </c>
      <c r="K579" t="n">
        <v>0</v>
      </c>
      <c r="L579" t="n">
        <v>0</v>
      </c>
      <c r="M579" t="n">
        <v>0</v>
      </c>
      <c r="N579" t="n">
        <v>0</v>
      </c>
      <c r="O579" t="n">
        <v>0</v>
      </c>
      <c r="P579" t="n">
        <v>0</v>
      </c>
      <c r="Q579" t="n">
        <v>0</v>
      </c>
      <c r="R579" s="2" t="inlineStr"/>
    </row>
    <row r="580" ht="15" customHeight="1">
      <c r="A580" t="inlineStr">
        <is>
          <t>A 58311-2023</t>
        </is>
      </c>
      <c r="B580" s="1" t="n">
        <v>45245</v>
      </c>
      <c r="C580" s="1" t="n">
        <v>46079</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38720-2022</t>
        </is>
      </c>
      <c r="B581" s="1" t="n">
        <v>44815.74539351852</v>
      </c>
      <c r="C581" s="1" t="n">
        <v>46079</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8739-2024</t>
        </is>
      </c>
      <c r="B582" s="1" t="n">
        <v>45356.47784722222</v>
      </c>
      <c r="C582" s="1" t="n">
        <v>46079</v>
      </c>
      <c r="D582" t="inlineStr">
        <is>
          <t>STOCKHOLMS LÄN</t>
        </is>
      </c>
      <c r="E582" t="inlineStr">
        <is>
          <t>NORRTÄLJE</t>
        </is>
      </c>
      <c r="G582" t="n">
        <v>1.2</v>
      </c>
      <c r="H582" t="n">
        <v>0</v>
      </c>
      <c r="I582" t="n">
        <v>0</v>
      </c>
      <c r="J582" t="n">
        <v>0</v>
      </c>
      <c r="K582" t="n">
        <v>0</v>
      </c>
      <c r="L582" t="n">
        <v>0</v>
      </c>
      <c r="M582" t="n">
        <v>0</v>
      </c>
      <c r="N582" t="n">
        <v>0</v>
      </c>
      <c r="O582" t="n">
        <v>0</v>
      </c>
      <c r="P582" t="n">
        <v>0</v>
      </c>
      <c r="Q582" t="n">
        <v>0</v>
      </c>
      <c r="R582" s="2" t="inlineStr"/>
    </row>
    <row r="583" ht="15" customHeight="1">
      <c r="A583" t="inlineStr">
        <is>
          <t>A 26640-2023</t>
        </is>
      </c>
      <c r="B583" s="1" t="n">
        <v>45092</v>
      </c>
      <c r="C583" s="1" t="n">
        <v>46079</v>
      </c>
      <c r="D583" t="inlineStr">
        <is>
          <t>STOCKHOLMS LÄN</t>
        </is>
      </c>
      <c r="E583" t="inlineStr">
        <is>
          <t>NORRTÄLJE</t>
        </is>
      </c>
      <c r="G583" t="n">
        <v>5.7</v>
      </c>
      <c r="H583" t="n">
        <v>0</v>
      </c>
      <c r="I583" t="n">
        <v>0</v>
      </c>
      <c r="J583" t="n">
        <v>0</v>
      </c>
      <c r="K583" t="n">
        <v>0</v>
      </c>
      <c r="L583" t="n">
        <v>0</v>
      </c>
      <c r="M583" t="n">
        <v>0</v>
      </c>
      <c r="N583" t="n">
        <v>0</v>
      </c>
      <c r="O583" t="n">
        <v>0</v>
      </c>
      <c r="P583" t="n">
        <v>0</v>
      </c>
      <c r="Q583" t="n">
        <v>0</v>
      </c>
      <c r="R583" s="2" t="inlineStr"/>
    </row>
    <row r="584" ht="15" customHeight="1">
      <c r="A584" t="inlineStr">
        <is>
          <t>A 34432-2021</t>
        </is>
      </c>
      <c r="B584" s="1" t="n">
        <v>44380.77346064815</v>
      </c>
      <c r="C584" s="1" t="n">
        <v>46079</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19911-2025</t>
        </is>
      </c>
      <c r="B585" s="1" t="n">
        <v>45771</v>
      </c>
      <c r="C585" s="1" t="n">
        <v>46079</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62765-2022</t>
        </is>
      </c>
      <c r="B586" s="1" t="n">
        <v>44637</v>
      </c>
      <c r="C586" s="1" t="n">
        <v>46079</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38990-2022</t>
        </is>
      </c>
      <c r="B587" s="1" t="n">
        <v>44816</v>
      </c>
      <c r="C587" s="1" t="n">
        <v>46079</v>
      </c>
      <c r="D587" t="inlineStr">
        <is>
          <t>STOCKHOLMS LÄN</t>
        </is>
      </c>
      <c r="E587" t="inlineStr">
        <is>
          <t>NORRTÄLJE</t>
        </is>
      </c>
      <c r="G587" t="n">
        <v>5.7</v>
      </c>
      <c r="H587" t="n">
        <v>0</v>
      </c>
      <c r="I587" t="n">
        <v>0</v>
      </c>
      <c r="J587" t="n">
        <v>0</v>
      </c>
      <c r="K587" t="n">
        <v>0</v>
      </c>
      <c r="L587" t="n">
        <v>0</v>
      </c>
      <c r="M587" t="n">
        <v>0</v>
      </c>
      <c r="N587" t="n">
        <v>0</v>
      </c>
      <c r="O587" t="n">
        <v>0</v>
      </c>
      <c r="P587" t="n">
        <v>0</v>
      </c>
      <c r="Q587" t="n">
        <v>0</v>
      </c>
      <c r="R587" s="2" t="inlineStr"/>
    </row>
    <row r="588" ht="15" customHeight="1">
      <c r="A588" t="inlineStr">
        <is>
          <t>A 17545-2025</t>
        </is>
      </c>
      <c r="B588" s="1" t="n">
        <v>45757.60658564815</v>
      </c>
      <c r="C588" s="1" t="n">
        <v>46079</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14130-2025</t>
        </is>
      </c>
      <c r="B589" s="1" t="n">
        <v>45740.47288194444</v>
      </c>
      <c r="C589" s="1" t="n">
        <v>46079</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17956-2025</t>
        </is>
      </c>
      <c r="B590" s="1" t="n">
        <v>45760.91174768518</v>
      </c>
      <c r="C590" s="1" t="n">
        <v>46079</v>
      </c>
      <c r="D590" t="inlineStr">
        <is>
          <t>STOCKHOLMS LÄN</t>
        </is>
      </c>
      <c r="E590" t="inlineStr">
        <is>
          <t>NORRTÄLJE</t>
        </is>
      </c>
      <c r="G590" t="n">
        <v>4.3</v>
      </c>
      <c r="H590" t="n">
        <v>0</v>
      </c>
      <c r="I590" t="n">
        <v>0</v>
      </c>
      <c r="J590" t="n">
        <v>0</v>
      </c>
      <c r="K590" t="n">
        <v>0</v>
      </c>
      <c r="L590" t="n">
        <v>0</v>
      </c>
      <c r="M590" t="n">
        <v>0</v>
      </c>
      <c r="N590" t="n">
        <v>0</v>
      </c>
      <c r="O590" t="n">
        <v>0</v>
      </c>
      <c r="P590" t="n">
        <v>0</v>
      </c>
      <c r="Q590" t="n">
        <v>0</v>
      </c>
      <c r="R590" s="2" t="inlineStr"/>
    </row>
    <row r="591" ht="15" customHeight="1">
      <c r="A591" t="inlineStr">
        <is>
          <t>A 12532-2025</t>
        </is>
      </c>
      <c r="B591" s="1" t="n">
        <v>45730.69143518519</v>
      </c>
      <c r="C591" s="1" t="n">
        <v>46079</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23265-2023</t>
        </is>
      </c>
      <c r="B592" s="1" t="n">
        <v>45075.90703703704</v>
      </c>
      <c r="C592" s="1" t="n">
        <v>46079</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30268-2024</t>
        </is>
      </c>
      <c r="B593" s="1" t="n">
        <v>45490.60572916667</v>
      </c>
      <c r="C593" s="1" t="n">
        <v>46079</v>
      </c>
      <c r="D593" t="inlineStr">
        <is>
          <t>STOCKHOLMS LÄN</t>
        </is>
      </c>
      <c r="E593" t="inlineStr">
        <is>
          <t>NORRTÄLJE</t>
        </is>
      </c>
      <c r="G593" t="n">
        <v>5.6</v>
      </c>
      <c r="H593" t="n">
        <v>0</v>
      </c>
      <c r="I593" t="n">
        <v>0</v>
      </c>
      <c r="J593" t="n">
        <v>0</v>
      </c>
      <c r="K593" t="n">
        <v>0</v>
      </c>
      <c r="L593" t="n">
        <v>0</v>
      </c>
      <c r="M593" t="n">
        <v>0</v>
      </c>
      <c r="N593" t="n">
        <v>0</v>
      </c>
      <c r="O593" t="n">
        <v>0</v>
      </c>
      <c r="P593" t="n">
        <v>0</v>
      </c>
      <c r="Q593" t="n">
        <v>0</v>
      </c>
      <c r="R593" s="2" t="inlineStr"/>
    </row>
    <row r="594" ht="15" customHeight="1">
      <c r="A594" t="inlineStr">
        <is>
          <t>A 59535-2024</t>
        </is>
      </c>
      <c r="B594" s="1" t="n">
        <v>45638.59979166667</v>
      </c>
      <c r="C594" s="1" t="n">
        <v>46079</v>
      </c>
      <c r="D594" t="inlineStr">
        <is>
          <t>STOCKHOLMS LÄN</t>
        </is>
      </c>
      <c r="E594" t="inlineStr">
        <is>
          <t>NORRTÄLJE</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9246-2024</t>
        </is>
      </c>
      <c r="B595" s="1" t="n">
        <v>45357</v>
      </c>
      <c r="C595" s="1" t="n">
        <v>46079</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40175-2024</t>
        </is>
      </c>
      <c r="B596" s="1" t="n">
        <v>45554.55707175926</v>
      </c>
      <c r="C596" s="1" t="n">
        <v>46079</v>
      </c>
      <c r="D596" t="inlineStr">
        <is>
          <t>STOCKHOLMS LÄN</t>
        </is>
      </c>
      <c r="E596" t="inlineStr">
        <is>
          <t>NORRTÄLJE</t>
        </is>
      </c>
      <c r="G596" t="n">
        <v>7.7</v>
      </c>
      <c r="H596" t="n">
        <v>0</v>
      </c>
      <c r="I596" t="n">
        <v>0</v>
      </c>
      <c r="J596" t="n">
        <v>0</v>
      </c>
      <c r="K596" t="n">
        <v>0</v>
      </c>
      <c r="L596" t="n">
        <v>0</v>
      </c>
      <c r="M596" t="n">
        <v>0</v>
      </c>
      <c r="N596" t="n">
        <v>0</v>
      </c>
      <c r="O596" t="n">
        <v>0</v>
      </c>
      <c r="P596" t="n">
        <v>0</v>
      </c>
      <c r="Q596" t="n">
        <v>0</v>
      </c>
      <c r="R596" s="2" t="inlineStr"/>
    </row>
    <row r="597" ht="15" customHeight="1">
      <c r="A597" t="inlineStr">
        <is>
          <t>A 16229-2022</t>
        </is>
      </c>
      <c r="B597" s="1" t="n">
        <v>44670.4190162037</v>
      </c>
      <c r="C597" s="1" t="n">
        <v>46079</v>
      </c>
      <c r="D597" t="inlineStr">
        <is>
          <t>STOCKHOLMS LÄN</t>
        </is>
      </c>
      <c r="E597" t="inlineStr">
        <is>
          <t>NORRTÄLJE</t>
        </is>
      </c>
      <c r="G597" t="n">
        <v>7.4</v>
      </c>
      <c r="H597" t="n">
        <v>0</v>
      </c>
      <c r="I597" t="n">
        <v>0</v>
      </c>
      <c r="J597" t="n">
        <v>0</v>
      </c>
      <c r="K597" t="n">
        <v>0</v>
      </c>
      <c r="L597" t="n">
        <v>0</v>
      </c>
      <c r="M597" t="n">
        <v>0</v>
      </c>
      <c r="N597" t="n">
        <v>0</v>
      </c>
      <c r="O597" t="n">
        <v>0</v>
      </c>
      <c r="P597" t="n">
        <v>0</v>
      </c>
      <c r="Q597" t="n">
        <v>0</v>
      </c>
      <c r="R597" s="2" t="inlineStr"/>
    </row>
    <row r="598" ht="15" customHeight="1">
      <c r="A598" t="inlineStr">
        <is>
          <t>A 5423-2023</t>
        </is>
      </c>
      <c r="B598" s="1" t="n">
        <v>44959.74533564815</v>
      </c>
      <c r="C598" s="1" t="n">
        <v>46079</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58277-2023</t>
        </is>
      </c>
      <c r="B599" s="1" t="n">
        <v>45245</v>
      </c>
      <c r="C599" s="1" t="n">
        <v>46079</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58492-2022</t>
        </is>
      </c>
      <c r="B600" s="1" t="n">
        <v>44902</v>
      </c>
      <c r="C600" s="1" t="n">
        <v>46079</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46914-2022</t>
        </is>
      </c>
      <c r="B601" s="1" t="n">
        <v>44851</v>
      </c>
      <c r="C601" s="1" t="n">
        <v>46079</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9480-2025</t>
        </is>
      </c>
      <c r="B602" s="1" t="n">
        <v>45715</v>
      </c>
      <c r="C602" s="1" t="n">
        <v>46079</v>
      </c>
      <c r="D602" t="inlineStr">
        <is>
          <t>STOCKHOLMS LÄN</t>
        </is>
      </c>
      <c r="E602" t="inlineStr">
        <is>
          <t>NORRTÄLJE</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20852-2023</t>
        </is>
      </c>
      <c r="B603" s="1" t="n">
        <v>45058.78607638889</v>
      </c>
      <c r="C603" s="1" t="n">
        <v>46079</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20244-2025</t>
        </is>
      </c>
      <c r="B604" s="1" t="n">
        <v>45772.71221064815</v>
      </c>
      <c r="C604" s="1" t="n">
        <v>46079</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50143-2023</t>
        </is>
      </c>
      <c r="B605" s="1" t="n">
        <v>45215</v>
      </c>
      <c r="C605" s="1" t="n">
        <v>46079</v>
      </c>
      <c r="D605" t="inlineStr">
        <is>
          <t>STOCKHOLMS LÄN</t>
        </is>
      </c>
      <c r="E605" t="inlineStr">
        <is>
          <t>NORRTÄLJE</t>
        </is>
      </c>
      <c r="G605" t="n">
        <v>10.3</v>
      </c>
      <c r="H605" t="n">
        <v>0</v>
      </c>
      <c r="I605" t="n">
        <v>0</v>
      </c>
      <c r="J605" t="n">
        <v>0</v>
      </c>
      <c r="K605" t="n">
        <v>0</v>
      </c>
      <c r="L605" t="n">
        <v>0</v>
      </c>
      <c r="M605" t="n">
        <v>0</v>
      </c>
      <c r="N605" t="n">
        <v>0</v>
      </c>
      <c r="O605" t="n">
        <v>0</v>
      </c>
      <c r="P605" t="n">
        <v>0</v>
      </c>
      <c r="Q605" t="n">
        <v>0</v>
      </c>
      <c r="R605" s="2" t="inlineStr"/>
    </row>
    <row r="606" ht="15" customHeight="1">
      <c r="A606" t="inlineStr">
        <is>
          <t>A 50355-2024</t>
        </is>
      </c>
      <c r="B606" s="1" t="n">
        <v>45600.86128472222</v>
      </c>
      <c r="C606" s="1" t="n">
        <v>46079</v>
      </c>
      <c r="D606" t="inlineStr">
        <is>
          <t>STOCKHOLMS LÄN</t>
        </is>
      </c>
      <c r="E606" t="inlineStr">
        <is>
          <t>NORRTÄLJE</t>
        </is>
      </c>
      <c r="F606" t="inlineStr">
        <is>
          <t>Kommuner</t>
        </is>
      </c>
      <c r="G606" t="n">
        <v>1</v>
      </c>
      <c r="H606" t="n">
        <v>0</v>
      </c>
      <c r="I606" t="n">
        <v>0</v>
      </c>
      <c r="J606" t="n">
        <v>0</v>
      </c>
      <c r="K606" t="n">
        <v>0</v>
      </c>
      <c r="L606" t="n">
        <v>0</v>
      </c>
      <c r="M606" t="n">
        <v>0</v>
      </c>
      <c r="N606" t="n">
        <v>0</v>
      </c>
      <c r="O606" t="n">
        <v>0</v>
      </c>
      <c r="P606" t="n">
        <v>0</v>
      </c>
      <c r="Q606" t="n">
        <v>0</v>
      </c>
      <c r="R606" s="2" t="inlineStr"/>
    </row>
    <row r="607" ht="15" customHeight="1">
      <c r="A607" t="inlineStr">
        <is>
          <t>A 4581-2025</t>
        </is>
      </c>
      <c r="B607" s="1" t="n">
        <v>45687</v>
      </c>
      <c r="C607" s="1" t="n">
        <v>46079</v>
      </c>
      <c r="D607" t="inlineStr">
        <is>
          <t>STOCKHOLMS LÄN</t>
        </is>
      </c>
      <c r="E607" t="inlineStr">
        <is>
          <t>NORRTÄLJE</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60694-2024</t>
        </is>
      </c>
      <c r="B608" s="1" t="n">
        <v>45644.47878472223</v>
      </c>
      <c r="C608" s="1" t="n">
        <v>46079</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20015-2023</t>
        </is>
      </c>
      <c r="B609" s="1" t="n">
        <v>45054</v>
      </c>
      <c r="C609" s="1" t="n">
        <v>46079</v>
      </c>
      <c r="D609" t="inlineStr">
        <is>
          <t>STOCKHOLMS LÄN</t>
        </is>
      </c>
      <c r="E609" t="inlineStr">
        <is>
          <t>NORRTÄLJE</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25094-2023</t>
        </is>
      </c>
      <c r="B610" s="1" t="n">
        <v>45086.3629050926</v>
      </c>
      <c r="C610" s="1" t="n">
        <v>46079</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59276-2023</t>
        </is>
      </c>
      <c r="B611" s="1" t="n">
        <v>45253.55641203704</v>
      </c>
      <c r="C611" s="1" t="n">
        <v>46079</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13767-2025</t>
        </is>
      </c>
      <c r="B612" s="1" t="n">
        <v>45737.43347222222</v>
      </c>
      <c r="C612" s="1" t="n">
        <v>46079</v>
      </c>
      <c r="D612" t="inlineStr">
        <is>
          <t>STOCKHOLMS LÄN</t>
        </is>
      </c>
      <c r="E612" t="inlineStr">
        <is>
          <t>NORRTÄLJE</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36157-2024</t>
        </is>
      </c>
      <c r="B613" s="1" t="n">
        <v>45534.38240740741</v>
      </c>
      <c r="C613" s="1" t="n">
        <v>46079</v>
      </c>
      <c r="D613" t="inlineStr">
        <is>
          <t>STOCKHOLMS LÄN</t>
        </is>
      </c>
      <c r="E613" t="inlineStr">
        <is>
          <t>NORRTÄLJE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62398-2022</t>
        </is>
      </c>
      <c r="B614" s="1" t="n">
        <v>44923.90159722222</v>
      </c>
      <c r="C614" s="1" t="n">
        <v>46079</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41587-2023</t>
        </is>
      </c>
      <c r="B615" s="1" t="n">
        <v>45175</v>
      </c>
      <c r="C615" s="1" t="n">
        <v>46079</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17039-2024</t>
        </is>
      </c>
      <c r="B616" s="1" t="n">
        <v>45412.4104050926</v>
      </c>
      <c r="C616" s="1" t="n">
        <v>46079</v>
      </c>
      <c r="D616" t="inlineStr">
        <is>
          <t>STOCKHOLMS LÄN</t>
        </is>
      </c>
      <c r="E616" t="inlineStr">
        <is>
          <t>NORRTÄLJE</t>
        </is>
      </c>
      <c r="G616" t="n">
        <v>5.9</v>
      </c>
      <c r="H616" t="n">
        <v>0</v>
      </c>
      <c r="I616" t="n">
        <v>0</v>
      </c>
      <c r="J616" t="n">
        <v>0</v>
      </c>
      <c r="K616" t="n">
        <v>0</v>
      </c>
      <c r="L616" t="n">
        <v>0</v>
      </c>
      <c r="M616" t="n">
        <v>0</v>
      </c>
      <c r="N616" t="n">
        <v>0</v>
      </c>
      <c r="O616" t="n">
        <v>0</v>
      </c>
      <c r="P616" t="n">
        <v>0</v>
      </c>
      <c r="Q616" t="n">
        <v>0</v>
      </c>
      <c r="R616" s="2" t="inlineStr"/>
    </row>
    <row r="617" ht="15" customHeight="1">
      <c r="A617" t="inlineStr">
        <is>
          <t>A 5027-2025</t>
        </is>
      </c>
      <c r="B617" s="1" t="n">
        <v>45691.41101851852</v>
      </c>
      <c r="C617" s="1" t="n">
        <v>46079</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3509-2022</t>
        </is>
      </c>
      <c r="B618" s="1" t="n">
        <v>44585</v>
      </c>
      <c r="C618" s="1" t="n">
        <v>46079</v>
      </c>
      <c r="D618" t="inlineStr">
        <is>
          <t>STOCKHOLMS LÄN</t>
        </is>
      </c>
      <c r="E618" t="inlineStr">
        <is>
          <t>NORRTÄLJE</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4322-2023</t>
        </is>
      </c>
      <c r="B619" s="1" t="n">
        <v>44953.69298611111</v>
      </c>
      <c r="C619" s="1" t="n">
        <v>46079</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8315-2025</t>
        </is>
      </c>
      <c r="B620" s="1" t="n">
        <v>45708.61761574074</v>
      </c>
      <c r="C620" s="1" t="n">
        <v>46079</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7697-2025</t>
        </is>
      </c>
      <c r="B621" s="1" t="n">
        <v>45706.40086805556</v>
      </c>
      <c r="C621" s="1" t="n">
        <v>46079</v>
      </c>
      <c r="D621" t="inlineStr">
        <is>
          <t>STOCKHOLMS LÄN</t>
        </is>
      </c>
      <c r="E621" t="inlineStr">
        <is>
          <t>NORRTÄLJE</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39669-2024</t>
        </is>
      </c>
      <c r="B622" s="1" t="n">
        <v>45552.52827546297</v>
      </c>
      <c r="C622" s="1" t="n">
        <v>46079</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35916-2024</t>
        </is>
      </c>
      <c r="B623" s="1" t="n">
        <v>45533</v>
      </c>
      <c r="C623" s="1" t="n">
        <v>46079</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2982-2023</t>
        </is>
      </c>
      <c r="B624" s="1" t="n">
        <v>44945.67409722223</v>
      </c>
      <c r="C624" s="1" t="n">
        <v>46079</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38889-2024</t>
        </is>
      </c>
      <c r="B625" s="1" t="n">
        <v>45547</v>
      </c>
      <c r="C625" s="1" t="n">
        <v>46079</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1448-2023</t>
        </is>
      </c>
      <c r="B626" s="1" t="n">
        <v>44937</v>
      </c>
      <c r="C626" s="1" t="n">
        <v>46079</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35127-2023</t>
        </is>
      </c>
      <c r="B627" s="1" t="n">
        <v>45145.51</v>
      </c>
      <c r="C627" s="1" t="n">
        <v>46079</v>
      </c>
      <c r="D627" t="inlineStr">
        <is>
          <t>STOCKHOLMS LÄN</t>
        </is>
      </c>
      <c r="E627" t="inlineStr">
        <is>
          <t>NORRTÄLJE</t>
        </is>
      </c>
      <c r="G627" t="n">
        <v>4.7</v>
      </c>
      <c r="H627" t="n">
        <v>0</v>
      </c>
      <c r="I627" t="n">
        <v>0</v>
      </c>
      <c r="J627" t="n">
        <v>0</v>
      </c>
      <c r="K627" t="n">
        <v>0</v>
      </c>
      <c r="L627" t="n">
        <v>0</v>
      </c>
      <c r="M627" t="n">
        <v>0</v>
      </c>
      <c r="N627" t="n">
        <v>0</v>
      </c>
      <c r="O627" t="n">
        <v>0</v>
      </c>
      <c r="P627" t="n">
        <v>0</v>
      </c>
      <c r="Q627" t="n">
        <v>0</v>
      </c>
      <c r="R627" s="2" t="inlineStr"/>
    </row>
    <row r="628" ht="15" customHeight="1">
      <c r="A628" t="inlineStr">
        <is>
          <t>A 12251-2025</t>
        </is>
      </c>
      <c r="B628" s="1" t="n">
        <v>45729.60859953704</v>
      </c>
      <c r="C628" s="1" t="n">
        <v>46079</v>
      </c>
      <c r="D628" t="inlineStr">
        <is>
          <t>STOCKHOLMS LÄN</t>
        </is>
      </c>
      <c r="E628" t="inlineStr">
        <is>
          <t>NORRTÄLJE</t>
        </is>
      </c>
      <c r="F628" t="inlineStr">
        <is>
          <t>Holmen skog AB</t>
        </is>
      </c>
      <c r="G628" t="n">
        <v>5.9</v>
      </c>
      <c r="H628" t="n">
        <v>0</v>
      </c>
      <c r="I628" t="n">
        <v>0</v>
      </c>
      <c r="J628" t="n">
        <v>0</v>
      </c>
      <c r="K628" t="n">
        <v>0</v>
      </c>
      <c r="L628" t="n">
        <v>0</v>
      </c>
      <c r="M628" t="n">
        <v>0</v>
      </c>
      <c r="N628" t="n">
        <v>0</v>
      </c>
      <c r="O628" t="n">
        <v>0</v>
      </c>
      <c r="P628" t="n">
        <v>0</v>
      </c>
      <c r="Q628" t="n">
        <v>0</v>
      </c>
      <c r="R628" s="2" t="inlineStr"/>
    </row>
    <row r="629" ht="15" customHeight="1">
      <c r="A629" t="inlineStr">
        <is>
          <t>A 50136-2023</t>
        </is>
      </c>
      <c r="B629" s="1" t="n">
        <v>45215</v>
      </c>
      <c r="C629" s="1" t="n">
        <v>46079</v>
      </c>
      <c r="D629" t="inlineStr">
        <is>
          <t>STOCKHOLMS LÄN</t>
        </is>
      </c>
      <c r="E629" t="inlineStr">
        <is>
          <t>NORRTÄLJE</t>
        </is>
      </c>
      <c r="G629" t="n">
        <v>5.2</v>
      </c>
      <c r="H629" t="n">
        <v>0</v>
      </c>
      <c r="I629" t="n">
        <v>0</v>
      </c>
      <c r="J629" t="n">
        <v>0</v>
      </c>
      <c r="K629" t="n">
        <v>0</v>
      </c>
      <c r="L629" t="n">
        <v>0</v>
      </c>
      <c r="M629" t="n">
        <v>0</v>
      </c>
      <c r="N629" t="n">
        <v>0</v>
      </c>
      <c r="O629" t="n">
        <v>0</v>
      </c>
      <c r="P629" t="n">
        <v>0</v>
      </c>
      <c r="Q629" t="n">
        <v>0</v>
      </c>
      <c r="R629" s="2" t="inlineStr"/>
    </row>
    <row r="630" ht="15" customHeight="1">
      <c r="A630" t="inlineStr">
        <is>
          <t>A 67921-2021</t>
        </is>
      </c>
      <c r="B630" s="1" t="n">
        <v>44525</v>
      </c>
      <c r="C630" s="1" t="n">
        <v>46079</v>
      </c>
      <c r="D630" t="inlineStr">
        <is>
          <t>STOCKHOLMS LÄN</t>
        </is>
      </c>
      <c r="E630" t="inlineStr">
        <is>
          <t>NORRTÄLJE</t>
        </is>
      </c>
      <c r="G630" t="n">
        <v>6.3</v>
      </c>
      <c r="H630" t="n">
        <v>0</v>
      </c>
      <c r="I630" t="n">
        <v>0</v>
      </c>
      <c r="J630" t="n">
        <v>0</v>
      </c>
      <c r="K630" t="n">
        <v>0</v>
      </c>
      <c r="L630" t="n">
        <v>0</v>
      </c>
      <c r="M630" t="n">
        <v>0</v>
      </c>
      <c r="N630" t="n">
        <v>0</v>
      </c>
      <c r="O630" t="n">
        <v>0</v>
      </c>
      <c r="P630" t="n">
        <v>0</v>
      </c>
      <c r="Q630" t="n">
        <v>0</v>
      </c>
      <c r="R630" s="2" t="inlineStr"/>
    </row>
    <row r="631" ht="15" customHeight="1">
      <c r="A631" t="inlineStr">
        <is>
          <t>A 27381-2024</t>
        </is>
      </c>
      <c r="B631" s="1" t="n">
        <v>45473.94501157408</v>
      </c>
      <c r="C631" s="1" t="n">
        <v>46079</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3299-2022</t>
        </is>
      </c>
      <c r="B632" s="1" t="n">
        <v>44584.91001157407</v>
      </c>
      <c r="C632" s="1" t="n">
        <v>46079</v>
      </c>
      <c r="D632" t="inlineStr">
        <is>
          <t>STOCKHOLMS LÄN</t>
        </is>
      </c>
      <c r="E632" t="inlineStr">
        <is>
          <t>NORRTÄLJE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60529-2023</t>
        </is>
      </c>
      <c r="B633" s="1" t="n">
        <v>45259</v>
      </c>
      <c r="C633" s="1" t="n">
        <v>46079</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42075-2023</t>
        </is>
      </c>
      <c r="B634" s="1" t="n">
        <v>45177</v>
      </c>
      <c r="C634" s="1" t="n">
        <v>46079</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54776-2023</t>
        </is>
      </c>
      <c r="B635" s="1" t="n">
        <v>45236.46369212963</v>
      </c>
      <c r="C635" s="1" t="n">
        <v>46079</v>
      </c>
      <c r="D635" t="inlineStr">
        <is>
          <t>STOCKHOLMS LÄN</t>
        </is>
      </c>
      <c r="E635" t="inlineStr">
        <is>
          <t>NORRTÄLJE</t>
        </is>
      </c>
      <c r="G635" t="n">
        <v>0.3</v>
      </c>
      <c r="H635" t="n">
        <v>0</v>
      </c>
      <c r="I635" t="n">
        <v>0</v>
      </c>
      <c r="J635" t="n">
        <v>0</v>
      </c>
      <c r="K635" t="n">
        <v>0</v>
      </c>
      <c r="L635" t="n">
        <v>0</v>
      </c>
      <c r="M635" t="n">
        <v>0</v>
      </c>
      <c r="N635" t="n">
        <v>0</v>
      </c>
      <c r="O635" t="n">
        <v>0</v>
      </c>
      <c r="P635" t="n">
        <v>0</v>
      </c>
      <c r="Q635" t="n">
        <v>0</v>
      </c>
      <c r="R635" s="2" t="inlineStr"/>
    </row>
    <row r="636" ht="15" customHeight="1">
      <c r="A636" t="inlineStr">
        <is>
          <t>A 20144-2023</t>
        </is>
      </c>
      <c r="B636" s="1" t="n">
        <v>45055.43509259259</v>
      </c>
      <c r="C636" s="1" t="n">
        <v>46079</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10676-2025</t>
        </is>
      </c>
      <c r="B637" s="1" t="n">
        <v>45721.88684027778</v>
      </c>
      <c r="C637" s="1" t="n">
        <v>46079</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13314-2025</t>
        </is>
      </c>
      <c r="B638" s="1" t="n">
        <v>45735.59287037037</v>
      </c>
      <c r="C638" s="1" t="n">
        <v>46079</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50154-2024</t>
        </is>
      </c>
      <c r="B639" s="1" t="n">
        <v>45600.4558912037</v>
      </c>
      <c r="C639" s="1" t="n">
        <v>46079</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59326-2023</t>
        </is>
      </c>
      <c r="B640" s="1" t="n">
        <v>45253.63089120371</v>
      </c>
      <c r="C640" s="1" t="n">
        <v>46079</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37273-2024</t>
        </is>
      </c>
      <c r="B641" s="1" t="n">
        <v>45540</v>
      </c>
      <c r="C641" s="1" t="n">
        <v>46079</v>
      </c>
      <c r="D641" t="inlineStr">
        <is>
          <t>STOCKHOLMS LÄN</t>
        </is>
      </c>
      <c r="E641" t="inlineStr">
        <is>
          <t>NORRTÄLJE</t>
        </is>
      </c>
      <c r="F641" t="inlineStr">
        <is>
          <t>Sveaskog</t>
        </is>
      </c>
      <c r="G641" t="n">
        <v>12.5</v>
      </c>
      <c r="H641" t="n">
        <v>0</v>
      </c>
      <c r="I641" t="n">
        <v>0</v>
      </c>
      <c r="J641" t="n">
        <v>0</v>
      </c>
      <c r="K641" t="n">
        <v>0</v>
      </c>
      <c r="L641" t="n">
        <v>0</v>
      </c>
      <c r="M641" t="n">
        <v>0</v>
      </c>
      <c r="N641" t="n">
        <v>0</v>
      </c>
      <c r="O641" t="n">
        <v>0</v>
      </c>
      <c r="P641" t="n">
        <v>0</v>
      </c>
      <c r="Q641" t="n">
        <v>0</v>
      </c>
      <c r="R641" s="2" t="inlineStr"/>
    </row>
    <row r="642" ht="15" customHeight="1">
      <c r="A642" t="inlineStr">
        <is>
          <t>A 20790-2025</t>
        </is>
      </c>
      <c r="B642" s="1" t="n">
        <v>45776.62563657408</v>
      </c>
      <c r="C642" s="1" t="n">
        <v>46079</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3152-2024</t>
        </is>
      </c>
      <c r="B643" s="1" t="n">
        <v>45316.60306712963</v>
      </c>
      <c r="C643" s="1" t="n">
        <v>46079</v>
      </c>
      <c r="D643" t="inlineStr">
        <is>
          <t>STOCKHOLMS LÄN</t>
        </is>
      </c>
      <c r="E643" t="inlineStr">
        <is>
          <t>NORRTÄLJE</t>
        </is>
      </c>
      <c r="G643" t="n">
        <v>7.9</v>
      </c>
      <c r="H643" t="n">
        <v>0</v>
      </c>
      <c r="I643" t="n">
        <v>0</v>
      </c>
      <c r="J643" t="n">
        <v>0</v>
      </c>
      <c r="K643" t="n">
        <v>0</v>
      </c>
      <c r="L643" t="n">
        <v>0</v>
      </c>
      <c r="M643" t="n">
        <v>0</v>
      </c>
      <c r="N643" t="n">
        <v>0</v>
      </c>
      <c r="O643" t="n">
        <v>0</v>
      </c>
      <c r="P643" t="n">
        <v>0</v>
      </c>
      <c r="Q643" t="n">
        <v>0</v>
      </c>
      <c r="R643" s="2" t="inlineStr"/>
    </row>
    <row r="644" ht="15" customHeight="1">
      <c r="A644" t="inlineStr">
        <is>
          <t>A 23056-2023</t>
        </is>
      </c>
      <c r="B644" s="1" t="n">
        <v>45075</v>
      </c>
      <c r="C644" s="1" t="n">
        <v>46079</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20699-2025</t>
        </is>
      </c>
      <c r="B645" s="1" t="n">
        <v>45776.47346064815</v>
      </c>
      <c r="C645" s="1" t="n">
        <v>46079</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20779-2025</t>
        </is>
      </c>
      <c r="B646" s="1" t="n">
        <v>45776.59871527777</v>
      </c>
      <c r="C646" s="1" t="n">
        <v>46079</v>
      </c>
      <c r="D646" t="inlineStr">
        <is>
          <t>STOCKHOLMS LÄN</t>
        </is>
      </c>
      <c r="E646" t="inlineStr">
        <is>
          <t>NORRTÄLJE</t>
        </is>
      </c>
      <c r="G646" t="n">
        <v>6.9</v>
      </c>
      <c r="H646" t="n">
        <v>0</v>
      </c>
      <c r="I646" t="n">
        <v>0</v>
      </c>
      <c r="J646" t="n">
        <v>0</v>
      </c>
      <c r="K646" t="n">
        <v>0</v>
      </c>
      <c r="L646" t="n">
        <v>0</v>
      </c>
      <c r="M646" t="n">
        <v>0</v>
      </c>
      <c r="N646" t="n">
        <v>0</v>
      </c>
      <c r="O646" t="n">
        <v>0</v>
      </c>
      <c r="P646" t="n">
        <v>0</v>
      </c>
      <c r="Q646" t="n">
        <v>0</v>
      </c>
      <c r="R646" s="2" t="inlineStr"/>
    </row>
    <row r="647" ht="15" customHeight="1">
      <c r="A647" t="inlineStr">
        <is>
          <t>A 13172-2025</t>
        </is>
      </c>
      <c r="B647" s="1" t="n">
        <v>45735.36873842592</v>
      </c>
      <c r="C647" s="1" t="n">
        <v>46079</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44836-2023</t>
        </is>
      </c>
      <c r="B648" s="1" t="n">
        <v>45190.55609953704</v>
      </c>
      <c r="C648" s="1" t="n">
        <v>46079</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34773-2022</t>
        </is>
      </c>
      <c r="B649" s="1" t="n">
        <v>44795</v>
      </c>
      <c r="C649" s="1" t="n">
        <v>46079</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23263-2023</t>
        </is>
      </c>
      <c r="B650" s="1" t="n">
        <v>45075</v>
      </c>
      <c r="C650" s="1" t="n">
        <v>46079</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23264-2023</t>
        </is>
      </c>
      <c r="B651" s="1" t="n">
        <v>45075</v>
      </c>
      <c r="C651" s="1" t="n">
        <v>46079</v>
      </c>
      <c r="D651" t="inlineStr">
        <is>
          <t>STOCKHOLMS LÄN</t>
        </is>
      </c>
      <c r="E651" t="inlineStr">
        <is>
          <t>NORRTÄLJE</t>
        </is>
      </c>
      <c r="G651" t="n">
        <v>2.9</v>
      </c>
      <c r="H651" t="n">
        <v>0</v>
      </c>
      <c r="I651" t="n">
        <v>0</v>
      </c>
      <c r="J651" t="n">
        <v>0</v>
      </c>
      <c r="K651" t="n">
        <v>0</v>
      </c>
      <c r="L651" t="n">
        <v>0</v>
      </c>
      <c r="M651" t="n">
        <v>0</v>
      </c>
      <c r="N651" t="n">
        <v>0</v>
      </c>
      <c r="O651" t="n">
        <v>0</v>
      </c>
      <c r="P651" t="n">
        <v>0</v>
      </c>
      <c r="Q651" t="n">
        <v>0</v>
      </c>
      <c r="R651" s="2" t="inlineStr"/>
    </row>
    <row r="652" ht="15" customHeight="1">
      <c r="A652" t="inlineStr">
        <is>
          <t>A 23267-2023</t>
        </is>
      </c>
      <c r="B652" s="1" t="n">
        <v>45075.90934027778</v>
      </c>
      <c r="C652" s="1" t="n">
        <v>46079</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25654-2023</t>
        </is>
      </c>
      <c r="B653" s="1" t="n">
        <v>45089</v>
      </c>
      <c r="C653" s="1" t="n">
        <v>46079</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19025-2025</t>
        </is>
      </c>
      <c r="B654" s="1" t="n">
        <v>45764.6359837963</v>
      </c>
      <c r="C654" s="1" t="n">
        <v>46079</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5867-2022</t>
        </is>
      </c>
      <c r="B655" s="1" t="n">
        <v>44596.66335648148</v>
      </c>
      <c r="C655" s="1" t="n">
        <v>46079</v>
      </c>
      <c r="D655" t="inlineStr">
        <is>
          <t>STOCKHOLMS LÄN</t>
        </is>
      </c>
      <c r="E655" t="inlineStr">
        <is>
          <t>NORRTÄLJE</t>
        </is>
      </c>
      <c r="F655" t="inlineStr">
        <is>
          <t>Naturvårdsverket</t>
        </is>
      </c>
      <c r="G655" t="n">
        <v>1.6</v>
      </c>
      <c r="H655" t="n">
        <v>0</v>
      </c>
      <c r="I655" t="n">
        <v>0</v>
      </c>
      <c r="J655" t="n">
        <v>0</v>
      </c>
      <c r="K655" t="n">
        <v>0</v>
      </c>
      <c r="L655" t="n">
        <v>0</v>
      </c>
      <c r="M655" t="n">
        <v>0</v>
      </c>
      <c r="N655" t="n">
        <v>0</v>
      </c>
      <c r="O655" t="n">
        <v>0</v>
      </c>
      <c r="P655" t="n">
        <v>0</v>
      </c>
      <c r="Q655" t="n">
        <v>0</v>
      </c>
      <c r="R655" s="2" t="inlineStr"/>
    </row>
    <row r="656" ht="15" customHeight="1">
      <c r="A656" t="inlineStr">
        <is>
          <t>A 47758-2023</t>
        </is>
      </c>
      <c r="B656" s="1" t="n">
        <v>45203.83891203703</v>
      </c>
      <c r="C656" s="1" t="n">
        <v>46079</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48151-2024</t>
        </is>
      </c>
      <c r="B657" s="1" t="n">
        <v>45589.68289351852</v>
      </c>
      <c r="C657" s="1" t="n">
        <v>46079</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73307-2021</t>
        </is>
      </c>
      <c r="B658" s="1" t="n">
        <v>44549</v>
      </c>
      <c r="C658" s="1" t="n">
        <v>46079</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22816-2021</t>
        </is>
      </c>
      <c r="B659" s="1" t="n">
        <v>44325</v>
      </c>
      <c r="C659" s="1" t="n">
        <v>46079</v>
      </c>
      <c r="D659" t="inlineStr">
        <is>
          <t>STOCKHOLMS LÄN</t>
        </is>
      </c>
      <c r="E659" t="inlineStr">
        <is>
          <t>NORRTÄLJE</t>
        </is>
      </c>
      <c r="G659" t="n">
        <v>4.5</v>
      </c>
      <c r="H659" t="n">
        <v>0</v>
      </c>
      <c r="I659" t="n">
        <v>0</v>
      </c>
      <c r="J659" t="n">
        <v>0</v>
      </c>
      <c r="K659" t="n">
        <v>0</v>
      </c>
      <c r="L659" t="n">
        <v>0</v>
      </c>
      <c r="M659" t="n">
        <v>0</v>
      </c>
      <c r="N659" t="n">
        <v>0</v>
      </c>
      <c r="O659" t="n">
        <v>0</v>
      </c>
      <c r="P659" t="n">
        <v>0</v>
      </c>
      <c r="Q659" t="n">
        <v>0</v>
      </c>
      <c r="R659" s="2" t="inlineStr"/>
    </row>
    <row r="660" ht="15" customHeight="1">
      <c r="A660" t="inlineStr">
        <is>
          <t>A 21771-2025</t>
        </is>
      </c>
      <c r="B660" s="1" t="n">
        <v>45783</v>
      </c>
      <c r="C660" s="1" t="n">
        <v>46079</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21731-2023</t>
        </is>
      </c>
      <c r="B661" s="1" t="n">
        <v>45063</v>
      </c>
      <c r="C661" s="1" t="n">
        <v>46079</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21745-2023</t>
        </is>
      </c>
      <c r="B662" s="1" t="n">
        <v>45065.55917824074</v>
      </c>
      <c r="C662" s="1" t="n">
        <v>46079</v>
      </c>
      <c r="D662" t="inlineStr">
        <is>
          <t>STOCKHOLMS LÄN</t>
        </is>
      </c>
      <c r="E662" t="inlineStr">
        <is>
          <t>NORRTÄLJE</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65499-2021</t>
        </is>
      </c>
      <c r="B663" s="1" t="n">
        <v>44516</v>
      </c>
      <c r="C663" s="1" t="n">
        <v>46079</v>
      </c>
      <c r="D663" t="inlineStr">
        <is>
          <t>STOCKHOLMS LÄN</t>
        </is>
      </c>
      <c r="E663" t="inlineStr">
        <is>
          <t>NORRTÄLJE</t>
        </is>
      </c>
      <c r="F663" t="inlineStr">
        <is>
          <t>Kommuner</t>
        </is>
      </c>
      <c r="G663" t="n">
        <v>5.2</v>
      </c>
      <c r="H663" t="n">
        <v>0</v>
      </c>
      <c r="I663" t="n">
        <v>0</v>
      </c>
      <c r="J663" t="n">
        <v>0</v>
      </c>
      <c r="K663" t="n">
        <v>0</v>
      </c>
      <c r="L663" t="n">
        <v>0</v>
      </c>
      <c r="M663" t="n">
        <v>0</v>
      </c>
      <c r="N663" t="n">
        <v>0</v>
      </c>
      <c r="O663" t="n">
        <v>0</v>
      </c>
      <c r="P663" t="n">
        <v>0</v>
      </c>
      <c r="Q663" t="n">
        <v>0</v>
      </c>
      <c r="R663" s="2" t="inlineStr"/>
    </row>
    <row r="664" ht="15" customHeight="1">
      <c r="A664" t="inlineStr">
        <is>
          <t>A 5831-2022</t>
        </is>
      </c>
      <c r="B664" s="1" t="n">
        <v>44596</v>
      </c>
      <c r="C664" s="1" t="n">
        <v>46079</v>
      </c>
      <c r="D664" t="inlineStr">
        <is>
          <t>STOCKHOLMS LÄN</t>
        </is>
      </c>
      <c r="E664" t="inlineStr">
        <is>
          <t>NORRTÄLJE</t>
        </is>
      </c>
      <c r="G664" t="n">
        <v>4.8</v>
      </c>
      <c r="H664" t="n">
        <v>0</v>
      </c>
      <c r="I664" t="n">
        <v>0</v>
      </c>
      <c r="J664" t="n">
        <v>0</v>
      </c>
      <c r="K664" t="n">
        <v>0</v>
      </c>
      <c r="L664" t="n">
        <v>0</v>
      </c>
      <c r="M664" t="n">
        <v>0</v>
      </c>
      <c r="N664" t="n">
        <v>0</v>
      </c>
      <c r="O664" t="n">
        <v>0</v>
      </c>
      <c r="P664" t="n">
        <v>0</v>
      </c>
      <c r="Q664" t="n">
        <v>0</v>
      </c>
      <c r="R664" s="2" t="inlineStr"/>
    </row>
    <row r="665" ht="15" customHeight="1">
      <c r="A665" t="inlineStr">
        <is>
          <t>A 58853-2024</t>
        </is>
      </c>
      <c r="B665" s="1" t="n">
        <v>45636.38974537037</v>
      </c>
      <c r="C665" s="1" t="n">
        <v>46079</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21778-2025</t>
        </is>
      </c>
      <c r="B666" s="1" t="n">
        <v>45783.66429398148</v>
      </c>
      <c r="C666" s="1" t="n">
        <v>46079</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30221-2024</t>
        </is>
      </c>
      <c r="B667" s="1" t="n">
        <v>45490.45342592592</v>
      </c>
      <c r="C667" s="1" t="n">
        <v>46079</v>
      </c>
      <c r="D667" t="inlineStr">
        <is>
          <t>STOCKHOLMS LÄN</t>
        </is>
      </c>
      <c r="E667" t="inlineStr">
        <is>
          <t>NORRTÄLJE</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26365-2024</t>
        </is>
      </c>
      <c r="B668" s="1" t="n">
        <v>45469</v>
      </c>
      <c r="C668" s="1" t="n">
        <v>46079</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50602-2021</t>
        </is>
      </c>
      <c r="B669" s="1" t="n">
        <v>44459</v>
      </c>
      <c r="C669" s="1" t="n">
        <v>46079</v>
      </c>
      <c r="D669" t="inlineStr">
        <is>
          <t>STOCKHOLMS LÄN</t>
        </is>
      </c>
      <c r="E669" t="inlineStr">
        <is>
          <t>NORRTÄLJE</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59712-2024</t>
        </is>
      </c>
      <c r="B670" s="1" t="n">
        <v>45639.45166666667</v>
      </c>
      <c r="C670" s="1" t="n">
        <v>46079</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59721-2024</t>
        </is>
      </c>
      <c r="B671" s="1" t="n">
        <v>45639.47385416667</v>
      </c>
      <c r="C671" s="1" t="n">
        <v>46079</v>
      </c>
      <c r="D671" t="inlineStr">
        <is>
          <t>STOCKHOLMS LÄN</t>
        </is>
      </c>
      <c r="E671" t="inlineStr">
        <is>
          <t>NORRTÄLJE</t>
        </is>
      </c>
      <c r="G671" t="n">
        <v>4.6</v>
      </c>
      <c r="H671" t="n">
        <v>0</v>
      </c>
      <c r="I671" t="n">
        <v>0</v>
      </c>
      <c r="J671" t="n">
        <v>0</v>
      </c>
      <c r="K671" t="n">
        <v>0</v>
      </c>
      <c r="L671" t="n">
        <v>0</v>
      </c>
      <c r="M671" t="n">
        <v>0</v>
      </c>
      <c r="N671" t="n">
        <v>0</v>
      </c>
      <c r="O671" t="n">
        <v>0</v>
      </c>
      <c r="P671" t="n">
        <v>0</v>
      </c>
      <c r="Q671" t="n">
        <v>0</v>
      </c>
      <c r="R671" s="2" t="inlineStr"/>
    </row>
    <row r="672" ht="15" customHeight="1">
      <c r="A672" t="inlineStr">
        <is>
          <t>A 48798-2021</t>
        </is>
      </c>
      <c r="B672" s="1" t="n">
        <v>44452</v>
      </c>
      <c r="C672" s="1" t="n">
        <v>46079</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60884-2024</t>
        </is>
      </c>
      <c r="B673" s="1" t="n">
        <v>45644.90815972222</v>
      </c>
      <c r="C673" s="1" t="n">
        <v>46079</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23150-2024</t>
        </is>
      </c>
      <c r="B674" s="1" t="n">
        <v>45450.64643518518</v>
      </c>
      <c r="C674" s="1" t="n">
        <v>46079</v>
      </c>
      <c r="D674" t="inlineStr">
        <is>
          <t>STOCKHOLMS LÄN</t>
        </is>
      </c>
      <c r="E674" t="inlineStr">
        <is>
          <t>NORRTÄLJE</t>
        </is>
      </c>
      <c r="F674" t="inlineStr">
        <is>
          <t>Kommuner</t>
        </is>
      </c>
      <c r="G674" t="n">
        <v>2.7</v>
      </c>
      <c r="H674" t="n">
        <v>0</v>
      </c>
      <c r="I674" t="n">
        <v>0</v>
      </c>
      <c r="J674" t="n">
        <v>0</v>
      </c>
      <c r="K674" t="n">
        <v>0</v>
      </c>
      <c r="L674" t="n">
        <v>0</v>
      </c>
      <c r="M674" t="n">
        <v>0</v>
      </c>
      <c r="N674" t="n">
        <v>0</v>
      </c>
      <c r="O674" t="n">
        <v>0</v>
      </c>
      <c r="P674" t="n">
        <v>0</v>
      </c>
      <c r="Q674" t="n">
        <v>0</v>
      </c>
      <c r="R674" s="2" t="inlineStr"/>
    </row>
    <row r="675" ht="15" customHeight="1">
      <c r="A675" t="inlineStr">
        <is>
          <t>A 59878-2024</t>
        </is>
      </c>
      <c r="B675" s="1" t="n">
        <v>45640.60240740741</v>
      </c>
      <c r="C675" s="1" t="n">
        <v>46079</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50182-2024</t>
        </is>
      </c>
      <c r="B676" s="1" t="n">
        <v>45600.47275462963</v>
      </c>
      <c r="C676" s="1" t="n">
        <v>46079</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2549-2022</t>
        </is>
      </c>
      <c r="B677" s="1" t="n">
        <v>44580</v>
      </c>
      <c r="C677" s="1" t="n">
        <v>46079</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31140-2023</t>
        </is>
      </c>
      <c r="B678" s="1" t="n">
        <v>45113</v>
      </c>
      <c r="C678" s="1" t="n">
        <v>46079</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31149-2023</t>
        </is>
      </c>
      <c r="B679" s="1" t="n">
        <v>45113</v>
      </c>
      <c r="C679" s="1" t="n">
        <v>46079</v>
      </c>
      <c r="D679" t="inlineStr">
        <is>
          <t>STOCKHOLMS LÄN</t>
        </is>
      </c>
      <c r="E679" t="inlineStr">
        <is>
          <t>NORRTÄLJE</t>
        </is>
      </c>
      <c r="G679" t="n">
        <v>7.1</v>
      </c>
      <c r="H679" t="n">
        <v>0</v>
      </c>
      <c r="I679" t="n">
        <v>0</v>
      </c>
      <c r="J679" t="n">
        <v>0</v>
      </c>
      <c r="K679" t="n">
        <v>0</v>
      </c>
      <c r="L679" t="n">
        <v>0</v>
      </c>
      <c r="M679" t="n">
        <v>0</v>
      </c>
      <c r="N679" t="n">
        <v>0</v>
      </c>
      <c r="O679" t="n">
        <v>0</v>
      </c>
      <c r="P679" t="n">
        <v>0</v>
      </c>
      <c r="Q679" t="n">
        <v>0</v>
      </c>
      <c r="R679" s="2" t="inlineStr"/>
    </row>
    <row r="680" ht="15" customHeight="1">
      <c r="A680" t="inlineStr">
        <is>
          <t>A 16835-2022</t>
        </is>
      </c>
      <c r="B680" s="1" t="n">
        <v>44673</v>
      </c>
      <c r="C680" s="1" t="n">
        <v>46079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39149-2025</t>
        </is>
      </c>
      <c r="B681" s="1" t="n">
        <v>45888.60714120371</v>
      </c>
      <c r="C681" s="1" t="n">
        <v>46079</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38720-2025</t>
        </is>
      </c>
      <c r="B682" s="1" t="n">
        <v>45886</v>
      </c>
      <c r="C682" s="1" t="n">
        <v>46079</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13701-2022</t>
        </is>
      </c>
      <c r="B683" s="1" t="n">
        <v>44648</v>
      </c>
      <c r="C683" s="1" t="n">
        <v>46079</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13089-2022</t>
        </is>
      </c>
      <c r="B684" s="1" t="n">
        <v>44643</v>
      </c>
      <c r="C684" s="1" t="n">
        <v>46079</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39152-2025</t>
        </is>
      </c>
      <c r="B685" s="1" t="n">
        <v>45888</v>
      </c>
      <c r="C685" s="1" t="n">
        <v>46079</v>
      </c>
      <c r="D685" t="inlineStr">
        <is>
          <t>STOCKHOLMS LÄN</t>
        </is>
      </c>
      <c r="E685" t="inlineStr">
        <is>
          <t>NORRTÄLJE</t>
        </is>
      </c>
      <c r="G685" t="n">
        <v>4.6</v>
      </c>
      <c r="H685" t="n">
        <v>0</v>
      </c>
      <c r="I685" t="n">
        <v>0</v>
      </c>
      <c r="J685" t="n">
        <v>0</v>
      </c>
      <c r="K685" t="n">
        <v>0</v>
      </c>
      <c r="L685" t="n">
        <v>0</v>
      </c>
      <c r="M685" t="n">
        <v>0</v>
      </c>
      <c r="N685" t="n">
        <v>0</v>
      </c>
      <c r="O685" t="n">
        <v>0</v>
      </c>
      <c r="P685" t="n">
        <v>0</v>
      </c>
      <c r="Q685" t="n">
        <v>0</v>
      </c>
      <c r="R685" s="2" t="inlineStr"/>
    </row>
    <row r="686" ht="15" customHeight="1">
      <c r="A686" t="inlineStr">
        <is>
          <t>A 30283-2022</t>
        </is>
      </c>
      <c r="B686" s="1" t="n">
        <v>44760</v>
      </c>
      <c r="C686" s="1" t="n">
        <v>46079</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30290-2022</t>
        </is>
      </c>
      <c r="B687" s="1" t="n">
        <v>44760</v>
      </c>
      <c r="C687" s="1" t="n">
        <v>46079</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38985-2022</t>
        </is>
      </c>
      <c r="B688" s="1" t="n">
        <v>44816</v>
      </c>
      <c r="C688" s="1" t="n">
        <v>46079</v>
      </c>
      <c r="D688" t="inlineStr">
        <is>
          <t>STOCKHOLMS LÄN</t>
        </is>
      </c>
      <c r="E688" t="inlineStr">
        <is>
          <t>NORRTÄLJE</t>
        </is>
      </c>
      <c r="G688" t="n">
        <v>10.1</v>
      </c>
      <c r="H688" t="n">
        <v>0</v>
      </c>
      <c r="I688" t="n">
        <v>0</v>
      </c>
      <c r="J688" t="n">
        <v>0</v>
      </c>
      <c r="K688" t="n">
        <v>0</v>
      </c>
      <c r="L688" t="n">
        <v>0</v>
      </c>
      <c r="M688" t="n">
        <v>0</v>
      </c>
      <c r="N688" t="n">
        <v>0</v>
      </c>
      <c r="O688" t="n">
        <v>0</v>
      </c>
      <c r="P688" t="n">
        <v>0</v>
      </c>
      <c r="Q688" t="n">
        <v>0</v>
      </c>
      <c r="R688" s="2" t="inlineStr"/>
    </row>
    <row r="689" ht="15" customHeight="1">
      <c r="A689" t="inlineStr">
        <is>
          <t>A 25625-2023</t>
        </is>
      </c>
      <c r="B689" s="1" t="n">
        <v>45089</v>
      </c>
      <c r="C689" s="1" t="n">
        <v>46079</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38759-2022</t>
        </is>
      </c>
      <c r="B690" s="1" t="n">
        <v>44816</v>
      </c>
      <c r="C690" s="1" t="n">
        <v>46079</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23998-2024</t>
        </is>
      </c>
      <c r="B691" s="1" t="n">
        <v>45456</v>
      </c>
      <c r="C691" s="1" t="n">
        <v>46079</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39692-2025</t>
        </is>
      </c>
      <c r="B692" s="1" t="n">
        <v>45890.68083333333</v>
      </c>
      <c r="C692" s="1" t="n">
        <v>46079</v>
      </c>
      <c r="D692" t="inlineStr">
        <is>
          <t>STOCKHOLMS LÄN</t>
        </is>
      </c>
      <c r="E692" t="inlineStr">
        <is>
          <t>NORRTÄLJE</t>
        </is>
      </c>
      <c r="G692" t="n">
        <v>10.5</v>
      </c>
      <c r="H692" t="n">
        <v>0</v>
      </c>
      <c r="I692" t="n">
        <v>0</v>
      </c>
      <c r="J692" t="n">
        <v>0</v>
      </c>
      <c r="K692" t="n">
        <v>0</v>
      </c>
      <c r="L692" t="n">
        <v>0</v>
      </c>
      <c r="M692" t="n">
        <v>0</v>
      </c>
      <c r="N692" t="n">
        <v>0</v>
      </c>
      <c r="O692" t="n">
        <v>0</v>
      </c>
      <c r="P692" t="n">
        <v>0</v>
      </c>
      <c r="Q692" t="n">
        <v>0</v>
      </c>
      <c r="R692" s="2" t="inlineStr"/>
    </row>
    <row r="693" ht="15" customHeight="1">
      <c r="A693" t="inlineStr">
        <is>
          <t>A 54504-2024</t>
        </is>
      </c>
      <c r="B693" s="1" t="n">
        <v>45617.58453703704</v>
      </c>
      <c r="C693" s="1" t="n">
        <v>46079</v>
      </c>
      <c r="D693" t="inlineStr">
        <is>
          <t>STOCKHOLMS LÄN</t>
        </is>
      </c>
      <c r="E693" t="inlineStr">
        <is>
          <t>NORRTÄLJE</t>
        </is>
      </c>
      <c r="G693" t="n">
        <v>3.4</v>
      </c>
      <c r="H693" t="n">
        <v>0</v>
      </c>
      <c r="I693" t="n">
        <v>0</v>
      </c>
      <c r="J693" t="n">
        <v>0</v>
      </c>
      <c r="K693" t="n">
        <v>0</v>
      </c>
      <c r="L693" t="n">
        <v>0</v>
      </c>
      <c r="M693" t="n">
        <v>0</v>
      </c>
      <c r="N693" t="n">
        <v>0</v>
      </c>
      <c r="O693" t="n">
        <v>0</v>
      </c>
      <c r="P693" t="n">
        <v>0</v>
      </c>
      <c r="Q693" t="n">
        <v>0</v>
      </c>
      <c r="R693" s="2" t="inlineStr"/>
    </row>
    <row r="694" ht="15" customHeight="1">
      <c r="A694" t="inlineStr">
        <is>
          <t>A 27677-2025</t>
        </is>
      </c>
      <c r="B694" s="1" t="n">
        <v>45813.63650462963</v>
      </c>
      <c r="C694" s="1" t="n">
        <v>46079</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32595-2023</t>
        </is>
      </c>
      <c r="B695" s="1" t="n">
        <v>45121</v>
      </c>
      <c r="C695" s="1" t="n">
        <v>46079</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11332-2025</t>
        </is>
      </c>
      <c r="B696" s="1" t="n">
        <v>45726.48152777777</v>
      </c>
      <c r="C696" s="1" t="n">
        <v>46079</v>
      </c>
      <c r="D696" t="inlineStr">
        <is>
          <t>STOCKHOLMS LÄN</t>
        </is>
      </c>
      <c r="E696" t="inlineStr">
        <is>
          <t>NORRTÄLJE</t>
        </is>
      </c>
      <c r="G696" t="n">
        <v>4.6</v>
      </c>
      <c r="H696" t="n">
        <v>0</v>
      </c>
      <c r="I696" t="n">
        <v>0</v>
      </c>
      <c r="J696" t="n">
        <v>0</v>
      </c>
      <c r="K696" t="n">
        <v>0</v>
      </c>
      <c r="L696" t="n">
        <v>0</v>
      </c>
      <c r="M696" t="n">
        <v>0</v>
      </c>
      <c r="N696" t="n">
        <v>0</v>
      </c>
      <c r="O696" t="n">
        <v>0</v>
      </c>
      <c r="P696" t="n">
        <v>0</v>
      </c>
      <c r="Q696" t="n">
        <v>0</v>
      </c>
      <c r="R696" s="2" t="inlineStr"/>
    </row>
    <row r="697" ht="15" customHeight="1">
      <c r="A697" t="inlineStr">
        <is>
          <t>A 12902-2024</t>
        </is>
      </c>
      <c r="B697" s="1" t="n">
        <v>45385.38146990741</v>
      </c>
      <c r="C697" s="1" t="n">
        <v>46079</v>
      </c>
      <c r="D697" t="inlineStr">
        <is>
          <t>STOCKHOLMS LÄN</t>
        </is>
      </c>
      <c r="E697" t="inlineStr">
        <is>
          <t>NORRTÄLJE</t>
        </is>
      </c>
      <c r="G697" t="n">
        <v>3.7</v>
      </c>
      <c r="H697" t="n">
        <v>0</v>
      </c>
      <c r="I697" t="n">
        <v>0</v>
      </c>
      <c r="J697" t="n">
        <v>0</v>
      </c>
      <c r="K697" t="n">
        <v>0</v>
      </c>
      <c r="L697" t="n">
        <v>0</v>
      </c>
      <c r="M697" t="n">
        <v>0</v>
      </c>
      <c r="N697" t="n">
        <v>0</v>
      </c>
      <c r="O697" t="n">
        <v>0</v>
      </c>
      <c r="P697" t="n">
        <v>0</v>
      </c>
      <c r="Q697" t="n">
        <v>0</v>
      </c>
      <c r="R697" s="2" t="inlineStr"/>
    </row>
    <row r="698" ht="15" customHeight="1">
      <c r="A698" t="inlineStr">
        <is>
          <t>A 14132-2025</t>
        </is>
      </c>
      <c r="B698" s="1" t="n">
        <v>45740.47550925926</v>
      </c>
      <c r="C698" s="1" t="n">
        <v>46079</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14133-2025</t>
        </is>
      </c>
      <c r="B699" s="1" t="n">
        <v>45740.47724537037</v>
      </c>
      <c r="C699" s="1" t="n">
        <v>46079</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7186-2024</t>
        </is>
      </c>
      <c r="B700" s="1" t="n">
        <v>45344</v>
      </c>
      <c r="C700" s="1" t="n">
        <v>46079</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40230-2025</t>
        </is>
      </c>
      <c r="B701" s="1" t="n">
        <v>45894.71101851852</v>
      </c>
      <c r="C701" s="1" t="n">
        <v>46079</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13718-2022</t>
        </is>
      </c>
      <c r="B702" s="1" t="n">
        <v>44649</v>
      </c>
      <c r="C702" s="1" t="n">
        <v>46079</v>
      </c>
      <c r="D702" t="inlineStr">
        <is>
          <t>STOCKHOLMS LÄN</t>
        </is>
      </c>
      <c r="E702" t="inlineStr">
        <is>
          <t>NORRTÄLJE</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39237-2024</t>
        </is>
      </c>
      <c r="B703" s="1" t="n">
        <v>45549</v>
      </c>
      <c r="C703" s="1" t="n">
        <v>46079</v>
      </c>
      <c r="D703" t="inlineStr">
        <is>
          <t>STOCKHOLMS LÄN</t>
        </is>
      </c>
      <c r="E703" t="inlineStr">
        <is>
          <t>NORRTÄLJE</t>
        </is>
      </c>
      <c r="G703" t="n">
        <v>13.3</v>
      </c>
      <c r="H703" t="n">
        <v>0</v>
      </c>
      <c r="I703" t="n">
        <v>0</v>
      </c>
      <c r="J703" t="n">
        <v>0</v>
      </c>
      <c r="K703" t="n">
        <v>0</v>
      </c>
      <c r="L703" t="n">
        <v>0</v>
      </c>
      <c r="M703" t="n">
        <v>0</v>
      </c>
      <c r="N703" t="n">
        <v>0</v>
      </c>
      <c r="O703" t="n">
        <v>0</v>
      </c>
      <c r="P703" t="n">
        <v>0</v>
      </c>
      <c r="Q703" t="n">
        <v>0</v>
      </c>
      <c r="R703" s="2" t="inlineStr"/>
    </row>
    <row r="704" ht="15" customHeight="1">
      <c r="A704" t="inlineStr">
        <is>
          <t>A 40228-2025</t>
        </is>
      </c>
      <c r="B704" s="1" t="n">
        <v>45894.70854166667</v>
      </c>
      <c r="C704" s="1" t="n">
        <v>46079</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35636-2025</t>
        </is>
      </c>
      <c r="B705" s="1" t="n">
        <v>45859</v>
      </c>
      <c r="C705" s="1" t="n">
        <v>46079</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39202-2024</t>
        </is>
      </c>
      <c r="B706" s="1" t="n">
        <v>45548.72306712963</v>
      </c>
      <c r="C706" s="1" t="n">
        <v>46079</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40172-2025</t>
        </is>
      </c>
      <c r="B707" s="1" t="n">
        <v>45894.6353125</v>
      </c>
      <c r="C707" s="1" t="n">
        <v>46079</v>
      </c>
      <c r="D707" t="inlineStr">
        <is>
          <t>STOCKHOLMS LÄN</t>
        </is>
      </c>
      <c r="E707" t="inlineStr">
        <is>
          <t>NORRTÄLJE</t>
        </is>
      </c>
      <c r="G707" t="n">
        <v>6</v>
      </c>
      <c r="H707" t="n">
        <v>0</v>
      </c>
      <c r="I707" t="n">
        <v>0</v>
      </c>
      <c r="J707" t="n">
        <v>0</v>
      </c>
      <c r="K707" t="n">
        <v>0</v>
      </c>
      <c r="L707" t="n">
        <v>0</v>
      </c>
      <c r="M707" t="n">
        <v>0</v>
      </c>
      <c r="N707" t="n">
        <v>0</v>
      </c>
      <c r="O707" t="n">
        <v>0</v>
      </c>
      <c r="P707" t="n">
        <v>0</v>
      </c>
      <c r="Q707" t="n">
        <v>0</v>
      </c>
      <c r="R707" s="2" t="inlineStr"/>
    </row>
    <row r="708" ht="15" customHeight="1">
      <c r="A708" t="inlineStr">
        <is>
          <t>A 44891-2023</t>
        </is>
      </c>
      <c r="B708" s="1" t="n">
        <v>45187</v>
      </c>
      <c r="C708" s="1" t="n">
        <v>46079</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13268-2025</t>
        </is>
      </c>
      <c r="B709" s="1" t="n">
        <v>45735</v>
      </c>
      <c r="C709" s="1" t="n">
        <v>46079</v>
      </c>
      <c r="D709" t="inlineStr">
        <is>
          <t>STOCKHOLMS LÄN</t>
        </is>
      </c>
      <c r="E709" t="inlineStr">
        <is>
          <t>NORRTÄLJE</t>
        </is>
      </c>
      <c r="G709" t="n">
        <v>11.4</v>
      </c>
      <c r="H709" t="n">
        <v>0</v>
      </c>
      <c r="I709" t="n">
        <v>0</v>
      </c>
      <c r="J709" t="n">
        <v>0</v>
      </c>
      <c r="K709" t="n">
        <v>0</v>
      </c>
      <c r="L709" t="n">
        <v>0</v>
      </c>
      <c r="M709" t="n">
        <v>0</v>
      </c>
      <c r="N709" t="n">
        <v>0</v>
      </c>
      <c r="O709" t="n">
        <v>0</v>
      </c>
      <c r="P709" t="n">
        <v>0</v>
      </c>
      <c r="Q709" t="n">
        <v>0</v>
      </c>
      <c r="R709" s="2" t="inlineStr"/>
    </row>
    <row r="710" ht="15" customHeight="1">
      <c r="A710" t="inlineStr">
        <is>
          <t>A 40033-2025</t>
        </is>
      </c>
      <c r="B710" s="1" t="n">
        <v>45893</v>
      </c>
      <c r="C710" s="1" t="n">
        <v>46079</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8414-2025</t>
        </is>
      </c>
      <c r="B711" s="1" t="n">
        <v>45709.39361111111</v>
      </c>
      <c r="C711" s="1" t="n">
        <v>46079</v>
      </c>
      <c r="D711" t="inlineStr">
        <is>
          <t>STOCKHOLMS LÄN</t>
        </is>
      </c>
      <c r="E711" t="inlineStr">
        <is>
          <t>NORRTÄLJE</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40217-2025</t>
        </is>
      </c>
      <c r="B712" s="1" t="n">
        <v>45894.68864583333</v>
      </c>
      <c r="C712" s="1" t="n">
        <v>46079</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35639-2025</t>
        </is>
      </c>
      <c r="B713" s="1" t="n">
        <v>45859</v>
      </c>
      <c r="C713" s="1" t="n">
        <v>46079</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40032-2025</t>
        </is>
      </c>
      <c r="B714" s="1" t="n">
        <v>45893</v>
      </c>
      <c r="C714" s="1" t="n">
        <v>46079</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40097-2025</t>
        </is>
      </c>
      <c r="B715" s="1" t="n">
        <v>45894.48322916667</v>
      </c>
      <c r="C715" s="1" t="n">
        <v>46079</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54259-2023</t>
        </is>
      </c>
      <c r="B716" s="1" t="n">
        <v>45232</v>
      </c>
      <c r="C716" s="1" t="n">
        <v>46079</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13171-2025</t>
        </is>
      </c>
      <c r="B717" s="1" t="n">
        <v>45735.36594907408</v>
      </c>
      <c r="C717" s="1" t="n">
        <v>46079</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12299-2025</t>
        </is>
      </c>
      <c r="B718" s="1" t="n">
        <v>45729.71065972222</v>
      </c>
      <c r="C718" s="1" t="n">
        <v>46079</v>
      </c>
      <c r="D718" t="inlineStr">
        <is>
          <t>STOCKHOLMS LÄN</t>
        </is>
      </c>
      <c r="E718" t="inlineStr">
        <is>
          <t>NORRTÄLJE</t>
        </is>
      </c>
      <c r="F718" t="inlineStr">
        <is>
          <t>Holmen skog AB</t>
        </is>
      </c>
      <c r="G718" t="n">
        <v>6.9</v>
      </c>
      <c r="H718" t="n">
        <v>0</v>
      </c>
      <c r="I718" t="n">
        <v>0</v>
      </c>
      <c r="J718" t="n">
        <v>0</v>
      </c>
      <c r="K718" t="n">
        <v>0</v>
      </c>
      <c r="L718" t="n">
        <v>0</v>
      </c>
      <c r="M718" t="n">
        <v>0</v>
      </c>
      <c r="N718" t="n">
        <v>0</v>
      </c>
      <c r="O718" t="n">
        <v>0</v>
      </c>
      <c r="P718" t="n">
        <v>0</v>
      </c>
      <c r="Q718" t="n">
        <v>0</v>
      </c>
      <c r="R718" s="2" t="inlineStr"/>
    </row>
    <row r="719" ht="15" customHeight="1">
      <c r="A719" t="inlineStr">
        <is>
          <t>A 53792-2023</t>
        </is>
      </c>
      <c r="B719" s="1" t="n">
        <v>45231.34144675926</v>
      </c>
      <c r="C719" s="1" t="n">
        <v>46079</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44032-2024</t>
        </is>
      </c>
      <c r="B720" s="1" t="n">
        <v>45572.57828703704</v>
      </c>
      <c r="C720" s="1" t="n">
        <v>46079</v>
      </c>
      <c r="D720" t="inlineStr">
        <is>
          <t>STOCKHOLMS LÄN</t>
        </is>
      </c>
      <c r="E720" t="inlineStr">
        <is>
          <t>NORRTÄLJE</t>
        </is>
      </c>
      <c r="G720" t="n">
        <v>8.6</v>
      </c>
      <c r="H720" t="n">
        <v>0</v>
      </c>
      <c r="I720" t="n">
        <v>0</v>
      </c>
      <c r="J720" t="n">
        <v>0</v>
      </c>
      <c r="K720" t="n">
        <v>0</v>
      </c>
      <c r="L720" t="n">
        <v>0</v>
      </c>
      <c r="M720" t="n">
        <v>0</v>
      </c>
      <c r="N720" t="n">
        <v>0</v>
      </c>
      <c r="O720" t="n">
        <v>0</v>
      </c>
      <c r="P720" t="n">
        <v>0</v>
      </c>
      <c r="Q720" t="n">
        <v>0</v>
      </c>
      <c r="R720" s="2" t="inlineStr"/>
    </row>
    <row r="721" ht="15" customHeight="1">
      <c r="A721" t="inlineStr">
        <is>
          <t>A 11900-2024</t>
        </is>
      </c>
      <c r="B721" s="1" t="n">
        <v>45376.55484953704</v>
      </c>
      <c r="C721" s="1" t="n">
        <v>46079</v>
      </c>
      <c r="D721" t="inlineStr">
        <is>
          <t>STOCKHOLMS LÄN</t>
        </is>
      </c>
      <c r="E721" t="inlineStr">
        <is>
          <t>NORRTÄLJE</t>
        </is>
      </c>
      <c r="G721" t="n">
        <v>4.2</v>
      </c>
      <c r="H721" t="n">
        <v>0</v>
      </c>
      <c r="I721" t="n">
        <v>0</v>
      </c>
      <c r="J721" t="n">
        <v>0</v>
      </c>
      <c r="K721" t="n">
        <v>0</v>
      </c>
      <c r="L721" t="n">
        <v>0</v>
      </c>
      <c r="M721" t="n">
        <v>0</v>
      </c>
      <c r="N721" t="n">
        <v>0</v>
      </c>
      <c r="O721" t="n">
        <v>0</v>
      </c>
      <c r="P721" t="n">
        <v>0</v>
      </c>
      <c r="Q721" t="n">
        <v>0</v>
      </c>
      <c r="R721" s="2" t="inlineStr"/>
    </row>
    <row r="722" ht="15" customHeight="1">
      <c r="A722" t="inlineStr">
        <is>
          <t>A 11280-2023</t>
        </is>
      </c>
      <c r="B722" s="1" t="n">
        <v>44992</v>
      </c>
      <c r="C722" s="1" t="n">
        <v>46079</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57442-2021</t>
        </is>
      </c>
      <c r="B723" s="1" t="n">
        <v>44483</v>
      </c>
      <c r="C723" s="1" t="n">
        <v>46079</v>
      </c>
      <c r="D723" t="inlineStr">
        <is>
          <t>STOCKHOLMS LÄN</t>
        </is>
      </c>
      <c r="E723" t="inlineStr">
        <is>
          <t>NORRTÄLJE</t>
        </is>
      </c>
      <c r="G723" t="n">
        <v>3.3</v>
      </c>
      <c r="H723" t="n">
        <v>0</v>
      </c>
      <c r="I723" t="n">
        <v>0</v>
      </c>
      <c r="J723" t="n">
        <v>0</v>
      </c>
      <c r="K723" t="n">
        <v>0</v>
      </c>
      <c r="L723" t="n">
        <v>0</v>
      </c>
      <c r="M723" t="n">
        <v>0</v>
      </c>
      <c r="N723" t="n">
        <v>0</v>
      </c>
      <c r="O723" t="n">
        <v>0</v>
      </c>
      <c r="P723" t="n">
        <v>0</v>
      </c>
      <c r="Q723" t="n">
        <v>0</v>
      </c>
      <c r="R723" s="2" t="inlineStr"/>
    </row>
    <row r="724" ht="15" customHeight="1">
      <c r="A724" t="inlineStr">
        <is>
          <t>A 40529-2025</t>
        </is>
      </c>
      <c r="B724" s="1" t="n">
        <v>45896.38466435186</v>
      </c>
      <c r="C724" s="1" t="n">
        <v>46079</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24563-2024</t>
        </is>
      </c>
      <c r="B725" s="1" t="n">
        <v>45460.44347222222</v>
      </c>
      <c r="C725" s="1" t="n">
        <v>46079</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22202-2025</t>
        </is>
      </c>
      <c r="B726" s="1" t="n">
        <v>45785.65300925926</v>
      </c>
      <c r="C726" s="1" t="n">
        <v>46079</v>
      </c>
      <c r="D726" t="inlineStr">
        <is>
          <t>STOCKHOLMS LÄN</t>
        </is>
      </c>
      <c r="E726" t="inlineStr">
        <is>
          <t>NORRTÄLJE</t>
        </is>
      </c>
      <c r="G726" t="n">
        <v>10.2</v>
      </c>
      <c r="H726" t="n">
        <v>0</v>
      </c>
      <c r="I726" t="n">
        <v>0</v>
      </c>
      <c r="J726" t="n">
        <v>0</v>
      </c>
      <c r="K726" t="n">
        <v>0</v>
      </c>
      <c r="L726" t="n">
        <v>0</v>
      </c>
      <c r="M726" t="n">
        <v>0</v>
      </c>
      <c r="N726" t="n">
        <v>0</v>
      </c>
      <c r="O726" t="n">
        <v>0</v>
      </c>
      <c r="P726" t="n">
        <v>0</v>
      </c>
      <c r="Q726" t="n">
        <v>0</v>
      </c>
      <c r="R726" s="2" t="inlineStr"/>
    </row>
    <row r="727" ht="15" customHeight="1">
      <c r="A727" t="inlineStr">
        <is>
          <t>A 19952-2023</t>
        </is>
      </c>
      <c r="B727" s="1" t="n">
        <v>45054.54091435186</v>
      </c>
      <c r="C727" s="1" t="n">
        <v>46079</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19994-2023</t>
        </is>
      </c>
      <c r="B728" s="1" t="n">
        <v>45054</v>
      </c>
      <c r="C728" s="1" t="n">
        <v>46079</v>
      </c>
      <c r="D728" t="inlineStr">
        <is>
          <t>STOCKHOLMS LÄN</t>
        </is>
      </c>
      <c r="E728" t="inlineStr">
        <is>
          <t>NORRTÄLJE</t>
        </is>
      </c>
      <c r="G728" t="n">
        <v>4.3</v>
      </c>
      <c r="H728" t="n">
        <v>0</v>
      </c>
      <c r="I728" t="n">
        <v>0</v>
      </c>
      <c r="J728" t="n">
        <v>0</v>
      </c>
      <c r="K728" t="n">
        <v>0</v>
      </c>
      <c r="L728" t="n">
        <v>0</v>
      </c>
      <c r="M728" t="n">
        <v>0</v>
      </c>
      <c r="N728" t="n">
        <v>0</v>
      </c>
      <c r="O728" t="n">
        <v>0</v>
      </c>
      <c r="P728" t="n">
        <v>0</v>
      </c>
      <c r="Q728" t="n">
        <v>0</v>
      </c>
      <c r="R728" s="2" t="inlineStr"/>
    </row>
    <row r="729" ht="15" customHeight="1">
      <c r="A729" t="inlineStr">
        <is>
          <t>A 43300-2023</t>
        </is>
      </c>
      <c r="B729" s="1" t="n">
        <v>45183</v>
      </c>
      <c r="C729" s="1" t="n">
        <v>46079</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40292-2025</t>
        </is>
      </c>
      <c r="B730" s="1" t="n">
        <v>45895.3867824074</v>
      </c>
      <c r="C730" s="1" t="n">
        <v>46079</v>
      </c>
      <c r="D730" t="inlineStr">
        <is>
          <t>STOCKHOLMS LÄN</t>
        </is>
      </c>
      <c r="E730" t="inlineStr">
        <is>
          <t>NORRTÄLJE</t>
        </is>
      </c>
      <c r="G730" t="n">
        <v>3.5</v>
      </c>
      <c r="H730" t="n">
        <v>0</v>
      </c>
      <c r="I730" t="n">
        <v>0</v>
      </c>
      <c r="J730" t="n">
        <v>0</v>
      </c>
      <c r="K730" t="n">
        <v>0</v>
      </c>
      <c r="L730" t="n">
        <v>0</v>
      </c>
      <c r="M730" t="n">
        <v>0</v>
      </c>
      <c r="N730" t="n">
        <v>0</v>
      </c>
      <c r="O730" t="n">
        <v>0</v>
      </c>
      <c r="P730" t="n">
        <v>0</v>
      </c>
      <c r="Q730" t="n">
        <v>0</v>
      </c>
      <c r="R730" s="2" t="inlineStr"/>
    </row>
    <row r="731" ht="15" customHeight="1">
      <c r="A731" t="inlineStr">
        <is>
          <t>A 40294-2025</t>
        </is>
      </c>
      <c r="B731" s="1" t="n">
        <v>45895.38778935185</v>
      </c>
      <c r="C731" s="1" t="n">
        <v>46079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29003-2023</t>
        </is>
      </c>
      <c r="B732" s="1" t="n">
        <v>45104</v>
      </c>
      <c r="C732" s="1" t="n">
        <v>46079</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13276-2022</t>
        </is>
      </c>
      <c r="B733" s="1" t="n">
        <v>44644</v>
      </c>
      <c r="C733" s="1" t="n">
        <v>46079</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36625-2024</t>
        </is>
      </c>
      <c r="B734" s="1" t="n">
        <v>45537</v>
      </c>
      <c r="C734" s="1" t="n">
        <v>46079</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45746-2024</t>
        </is>
      </c>
      <c r="B735" s="1" t="n">
        <v>45579</v>
      </c>
      <c r="C735" s="1" t="n">
        <v>46079</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41275-2025</t>
        </is>
      </c>
      <c r="B736" s="1" t="n">
        <v>45898.62625</v>
      </c>
      <c r="C736" s="1" t="n">
        <v>46079</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15956-2023</t>
        </is>
      </c>
      <c r="B737" s="1" t="n">
        <v>45022.61003472222</v>
      </c>
      <c r="C737" s="1" t="n">
        <v>46079</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40837-2025</t>
        </is>
      </c>
      <c r="B738" s="1" t="n">
        <v>45897.51328703704</v>
      </c>
      <c r="C738" s="1" t="n">
        <v>46079</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41030-2025</t>
        </is>
      </c>
      <c r="B739" s="1" t="n">
        <v>45898.37636574074</v>
      </c>
      <c r="C739" s="1" t="n">
        <v>46079</v>
      </c>
      <c r="D739" t="inlineStr">
        <is>
          <t>STOCKHOLMS LÄN</t>
        </is>
      </c>
      <c r="E739" t="inlineStr">
        <is>
          <t>NORRTÄLJE</t>
        </is>
      </c>
      <c r="F739" t="inlineStr">
        <is>
          <t>Holmen skog AB</t>
        </is>
      </c>
      <c r="G739" t="n">
        <v>2.6</v>
      </c>
      <c r="H739" t="n">
        <v>0</v>
      </c>
      <c r="I739" t="n">
        <v>0</v>
      </c>
      <c r="J739" t="n">
        <v>0</v>
      </c>
      <c r="K739" t="n">
        <v>0</v>
      </c>
      <c r="L739" t="n">
        <v>0</v>
      </c>
      <c r="M739" t="n">
        <v>0</v>
      </c>
      <c r="N739" t="n">
        <v>0</v>
      </c>
      <c r="O739" t="n">
        <v>0</v>
      </c>
      <c r="P739" t="n">
        <v>0</v>
      </c>
      <c r="Q739" t="n">
        <v>0</v>
      </c>
      <c r="R739" s="2" t="inlineStr"/>
    </row>
    <row r="740" ht="15" customHeight="1">
      <c r="A740" t="inlineStr">
        <is>
          <t>A 41158-2025</t>
        </is>
      </c>
      <c r="B740" s="1" t="n">
        <v>45898.5315625</v>
      </c>
      <c r="C740" s="1" t="n">
        <v>46079</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41301-2025</t>
        </is>
      </c>
      <c r="B741" s="1" t="n">
        <v>45898.68826388889</v>
      </c>
      <c r="C741" s="1" t="n">
        <v>46079</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41106-2025</t>
        </is>
      </c>
      <c r="B742" s="1" t="n">
        <v>45898.45636574074</v>
      </c>
      <c r="C742" s="1" t="n">
        <v>46079</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41174-2025</t>
        </is>
      </c>
      <c r="B743" s="1" t="n">
        <v>45898.54921296296</v>
      </c>
      <c r="C743" s="1" t="n">
        <v>46079</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8400-2024</t>
        </is>
      </c>
      <c r="B744" s="1" t="n">
        <v>45352.74090277778</v>
      </c>
      <c r="C744" s="1" t="n">
        <v>46079</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2182-2022</t>
        </is>
      </c>
      <c r="B745" s="1" t="n">
        <v>44578</v>
      </c>
      <c r="C745" s="1" t="n">
        <v>46079</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41110-2025</t>
        </is>
      </c>
      <c r="B746" s="1" t="n">
        <v>45898.45976851852</v>
      </c>
      <c r="C746" s="1" t="n">
        <v>46079</v>
      </c>
      <c r="D746" t="inlineStr">
        <is>
          <t>STOCKHOLMS LÄN</t>
        </is>
      </c>
      <c r="E746" t="inlineStr">
        <is>
          <t>NORRTÄLJE</t>
        </is>
      </c>
      <c r="F746" t="inlineStr">
        <is>
          <t>Holmen skog AB</t>
        </is>
      </c>
      <c r="G746" t="n">
        <v>6.7</v>
      </c>
      <c r="H746" t="n">
        <v>0</v>
      </c>
      <c r="I746" t="n">
        <v>0</v>
      </c>
      <c r="J746" t="n">
        <v>0</v>
      </c>
      <c r="K746" t="n">
        <v>0</v>
      </c>
      <c r="L746" t="n">
        <v>0</v>
      </c>
      <c r="M746" t="n">
        <v>0</v>
      </c>
      <c r="N746" t="n">
        <v>0</v>
      </c>
      <c r="O746" t="n">
        <v>0</v>
      </c>
      <c r="P746" t="n">
        <v>0</v>
      </c>
      <c r="Q746" t="n">
        <v>0</v>
      </c>
      <c r="R746" s="2" t="inlineStr"/>
    </row>
    <row r="747" ht="15" customHeight="1">
      <c r="A747" t="inlineStr">
        <is>
          <t>A 41259-2025</t>
        </is>
      </c>
      <c r="B747" s="1" t="n">
        <v>45898.61054398148</v>
      </c>
      <c r="C747" s="1" t="n">
        <v>46079</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41053-2025</t>
        </is>
      </c>
      <c r="B748" s="1" t="n">
        <v>45898.40480324074</v>
      </c>
      <c r="C748" s="1" t="n">
        <v>46079</v>
      </c>
      <c r="D748" t="inlineStr">
        <is>
          <t>STOCKHOLMS LÄN</t>
        </is>
      </c>
      <c r="E748" t="inlineStr">
        <is>
          <t>NORRTÄLJE</t>
        </is>
      </c>
      <c r="F748" t="inlineStr">
        <is>
          <t>Holmen skog AB</t>
        </is>
      </c>
      <c r="G748" t="n">
        <v>2.5</v>
      </c>
      <c r="H748" t="n">
        <v>0</v>
      </c>
      <c r="I748" t="n">
        <v>0</v>
      </c>
      <c r="J748" t="n">
        <v>0</v>
      </c>
      <c r="K748" t="n">
        <v>0</v>
      </c>
      <c r="L748" t="n">
        <v>0</v>
      </c>
      <c r="M748" t="n">
        <v>0</v>
      </c>
      <c r="N748" t="n">
        <v>0</v>
      </c>
      <c r="O748" t="n">
        <v>0</v>
      </c>
      <c r="P748" t="n">
        <v>0</v>
      </c>
      <c r="Q748" t="n">
        <v>0</v>
      </c>
      <c r="R748" s="2" t="inlineStr"/>
    </row>
    <row r="749" ht="15" customHeight="1">
      <c r="A749" t="inlineStr">
        <is>
          <t>A 40829-2025</t>
        </is>
      </c>
      <c r="B749" s="1" t="n">
        <v>45897.50802083333</v>
      </c>
      <c r="C749" s="1" t="n">
        <v>46079</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16620-2024</t>
        </is>
      </c>
      <c r="B750" s="1" t="n">
        <v>45408.57707175926</v>
      </c>
      <c r="C750" s="1" t="n">
        <v>46079</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40831-2025</t>
        </is>
      </c>
      <c r="B751" s="1" t="n">
        <v>45897.51077546296</v>
      </c>
      <c r="C751" s="1" t="n">
        <v>46079</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13053-2022</t>
        </is>
      </c>
      <c r="B752" s="1" t="n">
        <v>44643</v>
      </c>
      <c r="C752" s="1" t="n">
        <v>46079</v>
      </c>
      <c r="D752" t="inlineStr">
        <is>
          <t>STOCKHOLMS LÄN</t>
        </is>
      </c>
      <c r="E752" t="inlineStr">
        <is>
          <t>NORRTÄLJE</t>
        </is>
      </c>
      <c r="G752" t="n">
        <v>2.8</v>
      </c>
      <c r="H752" t="n">
        <v>0</v>
      </c>
      <c r="I752" t="n">
        <v>0</v>
      </c>
      <c r="J752" t="n">
        <v>0</v>
      </c>
      <c r="K752" t="n">
        <v>0</v>
      </c>
      <c r="L752" t="n">
        <v>0</v>
      </c>
      <c r="M752" t="n">
        <v>0</v>
      </c>
      <c r="N752" t="n">
        <v>0</v>
      </c>
      <c r="O752" t="n">
        <v>0</v>
      </c>
      <c r="P752" t="n">
        <v>0</v>
      </c>
      <c r="Q752" t="n">
        <v>0</v>
      </c>
      <c r="R752" s="2" t="inlineStr"/>
    </row>
    <row r="753" ht="15" customHeight="1">
      <c r="A753" t="inlineStr">
        <is>
          <t>A 41272-2025</t>
        </is>
      </c>
      <c r="B753" s="1" t="n">
        <v>45898.62373842593</v>
      </c>
      <c r="C753" s="1" t="n">
        <v>46079</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22416-2025</t>
        </is>
      </c>
      <c r="B754" s="1" t="n">
        <v>45786.55645833333</v>
      </c>
      <c r="C754" s="1" t="n">
        <v>46079</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3383-2023</t>
        </is>
      </c>
      <c r="B755" s="1" t="n">
        <v>44949</v>
      </c>
      <c r="C755" s="1" t="n">
        <v>46079</v>
      </c>
      <c r="D755" t="inlineStr">
        <is>
          <t>STOCKHOLMS LÄN</t>
        </is>
      </c>
      <c r="E755" t="inlineStr">
        <is>
          <t>NORRTÄLJE</t>
        </is>
      </c>
      <c r="G755" t="n">
        <v>14.6</v>
      </c>
      <c r="H755" t="n">
        <v>0</v>
      </c>
      <c r="I755" t="n">
        <v>0</v>
      </c>
      <c r="J755" t="n">
        <v>0</v>
      </c>
      <c r="K755" t="n">
        <v>0</v>
      </c>
      <c r="L755" t="n">
        <v>0</v>
      </c>
      <c r="M755" t="n">
        <v>0</v>
      </c>
      <c r="N755" t="n">
        <v>0</v>
      </c>
      <c r="O755" t="n">
        <v>0</v>
      </c>
      <c r="P755" t="n">
        <v>0</v>
      </c>
      <c r="Q755" t="n">
        <v>0</v>
      </c>
      <c r="R755" s="2" t="inlineStr"/>
    </row>
    <row r="756" ht="15" customHeight="1">
      <c r="A756" t="inlineStr">
        <is>
          <t>A 58785-2024</t>
        </is>
      </c>
      <c r="B756" s="1" t="n">
        <v>45635.88849537037</v>
      </c>
      <c r="C756" s="1" t="n">
        <v>46079</v>
      </c>
      <c r="D756" t="inlineStr">
        <is>
          <t>STOCKHOLMS LÄN</t>
        </is>
      </c>
      <c r="E756" t="inlineStr">
        <is>
          <t>NORRTÄLJE</t>
        </is>
      </c>
      <c r="G756" t="n">
        <v>3.3</v>
      </c>
      <c r="H756" t="n">
        <v>0</v>
      </c>
      <c r="I756" t="n">
        <v>0</v>
      </c>
      <c r="J756" t="n">
        <v>0</v>
      </c>
      <c r="K756" t="n">
        <v>0</v>
      </c>
      <c r="L756" t="n">
        <v>0</v>
      </c>
      <c r="M756" t="n">
        <v>0</v>
      </c>
      <c r="N756" t="n">
        <v>0</v>
      </c>
      <c r="O756" t="n">
        <v>0</v>
      </c>
      <c r="P756" t="n">
        <v>0</v>
      </c>
      <c r="Q756" t="n">
        <v>0</v>
      </c>
      <c r="R756" s="2" t="inlineStr"/>
    </row>
    <row r="757" ht="15" customHeight="1">
      <c r="A757" t="inlineStr">
        <is>
          <t>A 4316-2023</t>
        </is>
      </c>
      <c r="B757" s="1" t="n">
        <v>44953.67443287037</v>
      </c>
      <c r="C757" s="1" t="n">
        <v>46079</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41036-2025</t>
        </is>
      </c>
      <c r="B758" s="1" t="n">
        <v>45898.38552083333</v>
      </c>
      <c r="C758" s="1" t="n">
        <v>46079</v>
      </c>
      <c r="D758" t="inlineStr">
        <is>
          <t>STOCKHOLMS LÄN</t>
        </is>
      </c>
      <c r="E758" t="inlineStr">
        <is>
          <t>NORRTÄLJE</t>
        </is>
      </c>
      <c r="F758" t="inlineStr">
        <is>
          <t>Holmen skog AB</t>
        </is>
      </c>
      <c r="G758" t="n">
        <v>2.7</v>
      </c>
      <c r="H758" t="n">
        <v>0</v>
      </c>
      <c r="I758" t="n">
        <v>0</v>
      </c>
      <c r="J758" t="n">
        <v>0</v>
      </c>
      <c r="K758" t="n">
        <v>0</v>
      </c>
      <c r="L758" t="n">
        <v>0</v>
      </c>
      <c r="M758" t="n">
        <v>0</v>
      </c>
      <c r="N758" t="n">
        <v>0</v>
      </c>
      <c r="O758" t="n">
        <v>0</v>
      </c>
      <c r="P758" t="n">
        <v>0</v>
      </c>
      <c r="Q758" t="n">
        <v>0</v>
      </c>
      <c r="R758" s="2" t="inlineStr"/>
    </row>
    <row r="759" ht="15" customHeight="1">
      <c r="A759" t="inlineStr">
        <is>
          <t>A 19058-2024</t>
        </is>
      </c>
      <c r="B759" s="1" t="n">
        <v>45427.89121527778</v>
      </c>
      <c r="C759" s="1" t="n">
        <v>46079</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5839-2023</t>
        </is>
      </c>
      <c r="B760" s="1" t="n">
        <v>44963</v>
      </c>
      <c r="C760" s="1" t="n">
        <v>46079</v>
      </c>
      <c r="D760" t="inlineStr">
        <is>
          <t>STOCKHOLMS LÄN</t>
        </is>
      </c>
      <c r="E760" t="inlineStr">
        <is>
          <t>NORRTÄLJE</t>
        </is>
      </c>
      <c r="G760" t="n">
        <v>3.6</v>
      </c>
      <c r="H760" t="n">
        <v>0</v>
      </c>
      <c r="I760" t="n">
        <v>0</v>
      </c>
      <c r="J760" t="n">
        <v>0</v>
      </c>
      <c r="K760" t="n">
        <v>0</v>
      </c>
      <c r="L760" t="n">
        <v>0</v>
      </c>
      <c r="M760" t="n">
        <v>0</v>
      </c>
      <c r="N760" t="n">
        <v>0</v>
      </c>
      <c r="O760" t="n">
        <v>0</v>
      </c>
      <c r="P760" t="n">
        <v>0</v>
      </c>
      <c r="Q760" t="n">
        <v>0</v>
      </c>
      <c r="R760" s="2" t="inlineStr"/>
    </row>
    <row r="761" ht="15" customHeight="1">
      <c r="A761" t="inlineStr">
        <is>
          <t>A 5804-2025</t>
        </is>
      </c>
      <c r="B761" s="1" t="n">
        <v>45694.68207175926</v>
      </c>
      <c r="C761" s="1" t="n">
        <v>46079</v>
      </c>
      <c r="D761" t="inlineStr">
        <is>
          <t>STOCKHOLMS LÄN</t>
        </is>
      </c>
      <c r="E761" t="inlineStr">
        <is>
          <t>NORRTÄLJE</t>
        </is>
      </c>
      <c r="F761" t="inlineStr">
        <is>
          <t>Holmen skog AB</t>
        </is>
      </c>
      <c r="G761" t="n">
        <v>2.6</v>
      </c>
      <c r="H761" t="n">
        <v>0</v>
      </c>
      <c r="I761" t="n">
        <v>0</v>
      </c>
      <c r="J761" t="n">
        <v>0</v>
      </c>
      <c r="K761" t="n">
        <v>0</v>
      </c>
      <c r="L761" t="n">
        <v>0</v>
      </c>
      <c r="M761" t="n">
        <v>0</v>
      </c>
      <c r="N761" t="n">
        <v>0</v>
      </c>
      <c r="O761" t="n">
        <v>0</v>
      </c>
      <c r="P761" t="n">
        <v>0</v>
      </c>
      <c r="Q761" t="n">
        <v>0</v>
      </c>
      <c r="R761" s="2" t="inlineStr"/>
    </row>
    <row r="762" ht="15" customHeight="1">
      <c r="A762" t="inlineStr">
        <is>
          <t>A 19057-2024</t>
        </is>
      </c>
      <c r="B762" s="1" t="n">
        <v>45427.88731481481</v>
      </c>
      <c r="C762" s="1" t="n">
        <v>46079</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24705-2023</t>
        </is>
      </c>
      <c r="B763" s="1" t="n">
        <v>45084.54459490741</v>
      </c>
      <c r="C763" s="1" t="n">
        <v>46079</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15733-2025</t>
        </is>
      </c>
      <c r="B764" s="1" t="n">
        <v>45748</v>
      </c>
      <c r="C764" s="1" t="n">
        <v>46079</v>
      </c>
      <c r="D764" t="inlineStr">
        <is>
          <t>STOCKHOLMS LÄN</t>
        </is>
      </c>
      <c r="E764" t="inlineStr">
        <is>
          <t>NORRTÄLJE</t>
        </is>
      </c>
      <c r="G764" t="n">
        <v>13.3</v>
      </c>
      <c r="H764" t="n">
        <v>0</v>
      </c>
      <c r="I764" t="n">
        <v>0</v>
      </c>
      <c r="J764" t="n">
        <v>0</v>
      </c>
      <c r="K764" t="n">
        <v>0</v>
      </c>
      <c r="L764" t="n">
        <v>0</v>
      </c>
      <c r="M764" t="n">
        <v>0</v>
      </c>
      <c r="N764" t="n">
        <v>0</v>
      </c>
      <c r="O764" t="n">
        <v>0</v>
      </c>
      <c r="P764" t="n">
        <v>0</v>
      </c>
      <c r="Q764" t="n">
        <v>0</v>
      </c>
      <c r="R764" s="2" t="inlineStr"/>
    </row>
    <row r="765" ht="15" customHeight="1">
      <c r="A765" t="inlineStr">
        <is>
          <t>A 11900-2022</t>
        </is>
      </c>
      <c r="B765" s="1" t="n">
        <v>44635</v>
      </c>
      <c r="C765" s="1" t="n">
        <v>46079</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46079</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4580-2025</t>
        </is>
      </c>
      <c r="B767" s="1" t="n">
        <v>45687.5038425926</v>
      </c>
      <c r="C767" s="1" t="n">
        <v>46079</v>
      </c>
      <c r="D767" t="inlineStr">
        <is>
          <t>STOCKHOLMS LÄN</t>
        </is>
      </c>
      <c r="E767" t="inlineStr">
        <is>
          <t>NORRTÄLJE</t>
        </is>
      </c>
      <c r="F767" t="inlineStr">
        <is>
          <t>Holmen skog AB</t>
        </is>
      </c>
      <c r="G767" t="n">
        <v>4.8</v>
      </c>
      <c r="H767" t="n">
        <v>0</v>
      </c>
      <c r="I767" t="n">
        <v>0</v>
      </c>
      <c r="J767" t="n">
        <v>0</v>
      </c>
      <c r="K767" t="n">
        <v>0</v>
      </c>
      <c r="L767" t="n">
        <v>0</v>
      </c>
      <c r="M767" t="n">
        <v>0</v>
      </c>
      <c r="N767" t="n">
        <v>0</v>
      </c>
      <c r="O767" t="n">
        <v>0</v>
      </c>
      <c r="P767" t="n">
        <v>0</v>
      </c>
      <c r="Q767" t="n">
        <v>0</v>
      </c>
      <c r="R767" s="2" t="inlineStr"/>
    </row>
    <row r="768" ht="15" customHeight="1">
      <c r="A768" t="inlineStr">
        <is>
          <t>A 54358-2022</t>
        </is>
      </c>
      <c r="B768" s="1" t="n">
        <v>44882</v>
      </c>
      <c r="C768" s="1" t="n">
        <v>46079</v>
      </c>
      <c r="D768" t="inlineStr">
        <is>
          <t>STOCKHOLMS LÄN</t>
        </is>
      </c>
      <c r="E768" t="inlineStr">
        <is>
          <t>NORRTÄLJE</t>
        </is>
      </c>
      <c r="G768" t="n">
        <v>3.3</v>
      </c>
      <c r="H768" t="n">
        <v>0</v>
      </c>
      <c r="I768" t="n">
        <v>0</v>
      </c>
      <c r="J768" t="n">
        <v>0</v>
      </c>
      <c r="K768" t="n">
        <v>0</v>
      </c>
      <c r="L768" t="n">
        <v>0</v>
      </c>
      <c r="M768" t="n">
        <v>0</v>
      </c>
      <c r="N768" t="n">
        <v>0</v>
      </c>
      <c r="O768" t="n">
        <v>0</v>
      </c>
      <c r="P768" t="n">
        <v>0</v>
      </c>
      <c r="Q768" t="n">
        <v>0</v>
      </c>
      <c r="R768" s="2" t="inlineStr"/>
    </row>
    <row r="769" ht="15" customHeight="1">
      <c r="A769" t="inlineStr">
        <is>
          <t>A 10511-2025</t>
        </is>
      </c>
      <c r="B769" s="1" t="n">
        <v>45721.40780092592</v>
      </c>
      <c r="C769" s="1" t="n">
        <v>46079</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23749-2024</t>
        </is>
      </c>
      <c r="B770" s="1" t="n">
        <v>45455.33037037037</v>
      </c>
      <c r="C770" s="1" t="n">
        <v>46079</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16202-2022</t>
        </is>
      </c>
      <c r="B771" s="1" t="n">
        <v>44670</v>
      </c>
      <c r="C771" s="1" t="n">
        <v>46079</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35698-2023</t>
        </is>
      </c>
      <c r="B772" s="1" t="n">
        <v>45147</v>
      </c>
      <c r="C772" s="1" t="n">
        <v>46079</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42038-2025</t>
        </is>
      </c>
      <c r="B773" s="1" t="n">
        <v>45903.61431712963</v>
      </c>
      <c r="C773" s="1" t="n">
        <v>46079</v>
      </c>
      <c r="D773" t="inlineStr">
        <is>
          <t>STOCKHOLMS LÄN</t>
        </is>
      </c>
      <c r="E773" t="inlineStr">
        <is>
          <t>NORRTÄLJE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41964-2025</t>
        </is>
      </c>
      <c r="B774" s="1" t="n">
        <v>45903.47270833333</v>
      </c>
      <c r="C774" s="1" t="n">
        <v>46079</v>
      </c>
      <c r="D774" t="inlineStr">
        <is>
          <t>STOCKHOLMS LÄN</t>
        </is>
      </c>
      <c r="E774" t="inlineStr">
        <is>
          <t>NORRTÄLJE</t>
        </is>
      </c>
      <c r="F774" t="inlineStr">
        <is>
          <t>Sveaskog</t>
        </is>
      </c>
      <c r="G774" t="n">
        <v>4</v>
      </c>
      <c r="H774" t="n">
        <v>0</v>
      </c>
      <c r="I774" t="n">
        <v>0</v>
      </c>
      <c r="J774" t="n">
        <v>0</v>
      </c>
      <c r="K774" t="n">
        <v>0</v>
      </c>
      <c r="L774" t="n">
        <v>0</v>
      </c>
      <c r="M774" t="n">
        <v>0</v>
      </c>
      <c r="N774" t="n">
        <v>0</v>
      </c>
      <c r="O774" t="n">
        <v>0</v>
      </c>
      <c r="P774" t="n">
        <v>0</v>
      </c>
      <c r="Q774" t="n">
        <v>0</v>
      </c>
      <c r="R774" s="2" t="inlineStr"/>
    </row>
    <row r="775" ht="15" customHeight="1">
      <c r="A775" t="inlineStr">
        <is>
          <t>A 73992-2021</t>
        </is>
      </c>
      <c r="B775" s="1" t="n">
        <v>44556</v>
      </c>
      <c r="C775" s="1" t="n">
        <v>46079</v>
      </c>
      <c r="D775" t="inlineStr">
        <is>
          <t>STOCKHOLMS LÄN</t>
        </is>
      </c>
      <c r="E775" t="inlineStr">
        <is>
          <t>NORRTÄLJE</t>
        </is>
      </c>
      <c r="G775" t="n">
        <v>12.5</v>
      </c>
      <c r="H775" t="n">
        <v>0</v>
      </c>
      <c r="I775" t="n">
        <v>0</v>
      </c>
      <c r="J775" t="n">
        <v>0</v>
      </c>
      <c r="K775" t="n">
        <v>0</v>
      </c>
      <c r="L775" t="n">
        <v>0</v>
      </c>
      <c r="M775" t="n">
        <v>0</v>
      </c>
      <c r="N775" t="n">
        <v>0</v>
      </c>
      <c r="O775" t="n">
        <v>0</v>
      </c>
      <c r="P775" t="n">
        <v>0</v>
      </c>
      <c r="Q775" t="n">
        <v>0</v>
      </c>
      <c r="R775" s="2" t="inlineStr"/>
    </row>
    <row r="776" ht="15" customHeight="1">
      <c r="A776" t="inlineStr">
        <is>
          <t>A 41966-2025</t>
        </is>
      </c>
      <c r="B776" s="1" t="n">
        <v>45903.47456018518</v>
      </c>
      <c r="C776" s="1" t="n">
        <v>46079</v>
      </c>
      <c r="D776" t="inlineStr">
        <is>
          <t>STOCKHOLMS LÄN</t>
        </is>
      </c>
      <c r="E776" t="inlineStr">
        <is>
          <t>NORRTÄLJE</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21329-2022</t>
        </is>
      </c>
      <c r="B777" s="1" t="n">
        <v>44705.60626157407</v>
      </c>
      <c r="C777" s="1" t="n">
        <v>46079</v>
      </c>
      <c r="D777" t="inlineStr">
        <is>
          <t>STOCKHOLMS LÄN</t>
        </is>
      </c>
      <c r="E777" t="inlineStr">
        <is>
          <t>NORRTÄLJE</t>
        </is>
      </c>
      <c r="G777" t="n">
        <v>4.1</v>
      </c>
      <c r="H777" t="n">
        <v>0</v>
      </c>
      <c r="I777" t="n">
        <v>0</v>
      </c>
      <c r="J777" t="n">
        <v>0</v>
      </c>
      <c r="K777" t="n">
        <v>0</v>
      </c>
      <c r="L777" t="n">
        <v>0</v>
      </c>
      <c r="M777" t="n">
        <v>0</v>
      </c>
      <c r="N777" t="n">
        <v>0</v>
      </c>
      <c r="O777" t="n">
        <v>0</v>
      </c>
      <c r="P777" t="n">
        <v>0</v>
      </c>
      <c r="Q777" t="n">
        <v>0</v>
      </c>
      <c r="R777" s="2" t="inlineStr"/>
    </row>
    <row r="778" ht="15" customHeight="1">
      <c r="A778" t="inlineStr">
        <is>
          <t>A 62998-2023</t>
        </is>
      </c>
      <c r="B778" s="1" t="n">
        <v>45272.64479166667</v>
      </c>
      <c r="C778" s="1" t="n">
        <v>46079</v>
      </c>
      <c r="D778" t="inlineStr">
        <is>
          <t>STOCKHOLMS LÄN</t>
        </is>
      </c>
      <c r="E778" t="inlineStr">
        <is>
          <t>NORRTÄLJE</t>
        </is>
      </c>
      <c r="G778" t="n">
        <v>16.3</v>
      </c>
      <c r="H778" t="n">
        <v>0</v>
      </c>
      <c r="I778" t="n">
        <v>0</v>
      </c>
      <c r="J778" t="n">
        <v>0</v>
      </c>
      <c r="K778" t="n">
        <v>0</v>
      </c>
      <c r="L778" t="n">
        <v>0</v>
      </c>
      <c r="M778" t="n">
        <v>0</v>
      </c>
      <c r="N778" t="n">
        <v>0</v>
      </c>
      <c r="O778" t="n">
        <v>0</v>
      </c>
      <c r="P778" t="n">
        <v>0</v>
      </c>
      <c r="Q778" t="n">
        <v>0</v>
      </c>
      <c r="R778" s="2" t="inlineStr"/>
    </row>
    <row r="779" ht="15" customHeight="1">
      <c r="A779" t="inlineStr">
        <is>
          <t>A 6003-2025</t>
        </is>
      </c>
      <c r="B779" s="1" t="n">
        <v>45695.57881944445</v>
      </c>
      <c r="C779" s="1" t="n">
        <v>46079</v>
      </c>
      <c r="D779" t="inlineStr">
        <is>
          <t>STOCKHOLMS LÄN</t>
        </is>
      </c>
      <c r="E779" t="inlineStr">
        <is>
          <t>NORRTÄLJE</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63015-2023</t>
        </is>
      </c>
      <c r="B780" s="1" t="n">
        <v>45272</v>
      </c>
      <c r="C780" s="1" t="n">
        <v>46079</v>
      </c>
      <c r="D780" t="inlineStr">
        <is>
          <t>STOCKHOLMS LÄN</t>
        </is>
      </c>
      <c r="E780" t="inlineStr">
        <is>
          <t>NORRTÄLJE</t>
        </is>
      </c>
      <c r="G780" t="n">
        <v>13.1</v>
      </c>
      <c r="H780" t="n">
        <v>0</v>
      </c>
      <c r="I780" t="n">
        <v>0</v>
      </c>
      <c r="J780" t="n">
        <v>0</v>
      </c>
      <c r="K780" t="n">
        <v>0</v>
      </c>
      <c r="L780" t="n">
        <v>0</v>
      </c>
      <c r="M780" t="n">
        <v>0</v>
      </c>
      <c r="N780" t="n">
        <v>0</v>
      </c>
      <c r="O780" t="n">
        <v>0</v>
      </c>
      <c r="P780" t="n">
        <v>0</v>
      </c>
      <c r="Q780" t="n">
        <v>0</v>
      </c>
      <c r="R780" s="2" t="inlineStr"/>
    </row>
    <row r="781" ht="15" customHeight="1">
      <c r="A781" t="inlineStr">
        <is>
          <t>A 52321-2024</t>
        </is>
      </c>
      <c r="B781" s="1" t="n">
        <v>45608</v>
      </c>
      <c r="C781" s="1" t="n">
        <v>46079</v>
      </c>
      <c r="D781" t="inlineStr">
        <is>
          <t>STOCKHOLMS LÄN</t>
        </is>
      </c>
      <c r="E781" t="inlineStr">
        <is>
          <t>NORRTÄLJE</t>
        </is>
      </c>
      <c r="G781" t="n">
        <v>18.1</v>
      </c>
      <c r="H781" t="n">
        <v>0</v>
      </c>
      <c r="I781" t="n">
        <v>0</v>
      </c>
      <c r="J781" t="n">
        <v>0</v>
      </c>
      <c r="K781" t="n">
        <v>0</v>
      </c>
      <c r="L781" t="n">
        <v>0</v>
      </c>
      <c r="M781" t="n">
        <v>0</v>
      </c>
      <c r="N781" t="n">
        <v>0</v>
      </c>
      <c r="O781" t="n">
        <v>0</v>
      </c>
      <c r="P781" t="n">
        <v>0</v>
      </c>
      <c r="Q781" t="n">
        <v>0</v>
      </c>
      <c r="R781" s="2" t="inlineStr"/>
    </row>
    <row r="782" ht="15" customHeight="1">
      <c r="A782" t="inlineStr">
        <is>
          <t>A 54276-2021</t>
        </is>
      </c>
      <c r="B782" s="1" t="n">
        <v>44470</v>
      </c>
      <c r="C782" s="1" t="n">
        <v>46079</v>
      </c>
      <c r="D782" t="inlineStr">
        <is>
          <t>STOCKHOLMS LÄN</t>
        </is>
      </c>
      <c r="E782" t="inlineStr">
        <is>
          <t>NORRTÄLJE</t>
        </is>
      </c>
      <c r="G782" t="n">
        <v>7.3</v>
      </c>
      <c r="H782" t="n">
        <v>0</v>
      </c>
      <c r="I782" t="n">
        <v>0</v>
      </c>
      <c r="J782" t="n">
        <v>0</v>
      </c>
      <c r="K782" t="n">
        <v>0</v>
      </c>
      <c r="L782" t="n">
        <v>0</v>
      </c>
      <c r="M782" t="n">
        <v>0</v>
      </c>
      <c r="N782" t="n">
        <v>0</v>
      </c>
      <c r="O782" t="n">
        <v>0</v>
      </c>
      <c r="P782" t="n">
        <v>0</v>
      </c>
      <c r="Q782" t="n">
        <v>0</v>
      </c>
      <c r="R782" s="2" t="inlineStr"/>
    </row>
    <row r="783" ht="15" customHeight="1">
      <c r="A783" t="inlineStr">
        <is>
          <t>A 30699-2025</t>
        </is>
      </c>
      <c r="B783" s="1" t="n">
        <v>45831.54618055555</v>
      </c>
      <c r="C783" s="1" t="n">
        <v>46079</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12901-2024</t>
        </is>
      </c>
      <c r="B784" s="1" t="n">
        <v>45385.37922453704</v>
      </c>
      <c r="C784" s="1" t="n">
        <v>46079</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12301-2025</t>
        </is>
      </c>
      <c r="B785" s="1" t="n">
        <v>45729.7271875</v>
      </c>
      <c r="C785" s="1" t="n">
        <v>46079</v>
      </c>
      <c r="D785" t="inlineStr">
        <is>
          <t>STOCKHOLMS LÄN</t>
        </is>
      </c>
      <c r="E785" t="inlineStr">
        <is>
          <t>NORRTÄLJE</t>
        </is>
      </c>
      <c r="G785" t="n">
        <v>3.2</v>
      </c>
      <c r="H785" t="n">
        <v>0</v>
      </c>
      <c r="I785" t="n">
        <v>0</v>
      </c>
      <c r="J785" t="n">
        <v>0</v>
      </c>
      <c r="K785" t="n">
        <v>0</v>
      </c>
      <c r="L785" t="n">
        <v>0</v>
      </c>
      <c r="M785" t="n">
        <v>0</v>
      </c>
      <c r="N785" t="n">
        <v>0</v>
      </c>
      <c r="O785" t="n">
        <v>0</v>
      </c>
      <c r="P785" t="n">
        <v>0</v>
      </c>
      <c r="Q785" t="n">
        <v>0</v>
      </c>
      <c r="R785" s="2" t="inlineStr"/>
    </row>
    <row r="786" ht="15" customHeight="1">
      <c r="A786" t="inlineStr">
        <is>
          <t>A 10090-2022</t>
        </is>
      </c>
      <c r="B786" s="1" t="n">
        <v>44621</v>
      </c>
      <c r="C786" s="1" t="n">
        <v>46079</v>
      </c>
      <c r="D786" t="inlineStr">
        <is>
          <t>STOCKHOLMS LÄN</t>
        </is>
      </c>
      <c r="E786" t="inlineStr">
        <is>
          <t>NORRTÄLJE</t>
        </is>
      </c>
      <c r="G786" t="n">
        <v>5.2</v>
      </c>
      <c r="H786" t="n">
        <v>0</v>
      </c>
      <c r="I786" t="n">
        <v>0</v>
      </c>
      <c r="J786" t="n">
        <v>0</v>
      </c>
      <c r="K786" t="n">
        <v>0</v>
      </c>
      <c r="L786" t="n">
        <v>0</v>
      </c>
      <c r="M786" t="n">
        <v>0</v>
      </c>
      <c r="N786" t="n">
        <v>0</v>
      </c>
      <c r="O786" t="n">
        <v>0</v>
      </c>
      <c r="P786" t="n">
        <v>0</v>
      </c>
      <c r="Q786" t="n">
        <v>0</v>
      </c>
      <c r="R786" s="2" t="inlineStr"/>
    </row>
    <row r="787" ht="15" customHeight="1">
      <c r="A787" t="inlineStr">
        <is>
          <t>A 13785-2024</t>
        </is>
      </c>
      <c r="B787" s="1" t="n">
        <v>45391.3395949074</v>
      </c>
      <c r="C787" s="1" t="n">
        <v>46079</v>
      </c>
      <c r="D787" t="inlineStr">
        <is>
          <t>STOCKHOLMS LÄN</t>
        </is>
      </c>
      <c r="E787" t="inlineStr">
        <is>
          <t>NORRTÄLJE</t>
        </is>
      </c>
      <c r="G787" t="n">
        <v>5</v>
      </c>
      <c r="H787" t="n">
        <v>0</v>
      </c>
      <c r="I787" t="n">
        <v>0</v>
      </c>
      <c r="J787" t="n">
        <v>0</v>
      </c>
      <c r="K787" t="n">
        <v>0</v>
      </c>
      <c r="L787" t="n">
        <v>0</v>
      </c>
      <c r="M787" t="n">
        <v>0</v>
      </c>
      <c r="N787" t="n">
        <v>0</v>
      </c>
      <c r="O787" t="n">
        <v>0</v>
      </c>
      <c r="P787" t="n">
        <v>0</v>
      </c>
      <c r="Q787" t="n">
        <v>0</v>
      </c>
      <c r="R787" s="2" t="inlineStr"/>
    </row>
    <row r="788" ht="15" customHeight="1">
      <c r="A788" t="inlineStr">
        <is>
          <t>A 8950-2025</t>
        </is>
      </c>
      <c r="B788" s="1" t="n">
        <v>45713</v>
      </c>
      <c r="C788" s="1" t="n">
        <v>46079</v>
      </c>
      <c r="D788" t="inlineStr">
        <is>
          <t>STOCKHOLMS LÄN</t>
        </is>
      </c>
      <c r="E788" t="inlineStr">
        <is>
          <t>NORRTÄLJE</t>
        </is>
      </c>
      <c r="F788" t="inlineStr">
        <is>
          <t>Övriga Aktiebolag</t>
        </is>
      </c>
      <c r="G788" t="n">
        <v>3.6</v>
      </c>
      <c r="H788" t="n">
        <v>0</v>
      </c>
      <c r="I788" t="n">
        <v>0</v>
      </c>
      <c r="J788" t="n">
        <v>0</v>
      </c>
      <c r="K788" t="n">
        <v>0</v>
      </c>
      <c r="L788" t="n">
        <v>0</v>
      </c>
      <c r="M788" t="n">
        <v>0</v>
      </c>
      <c r="N788" t="n">
        <v>0</v>
      </c>
      <c r="O788" t="n">
        <v>0</v>
      </c>
      <c r="P788" t="n">
        <v>0</v>
      </c>
      <c r="Q788" t="n">
        <v>0</v>
      </c>
      <c r="R788" s="2" t="inlineStr"/>
    </row>
    <row r="789" ht="15" customHeight="1">
      <c r="A789" t="inlineStr">
        <is>
          <t>A 54558-2024</t>
        </is>
      </c>
      <c r="B789" s="1" t="n">
        <v>45617.62358796296</v>
      </c>
      <c r="C789" s="1" t="n">
        <v>46079</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51116-2022</t>
        </is>
      </c>
      <c r="B790" s="1" t="n">
        <v>44868.45741898148</v>
      </c>
      <c r="C790" s="1" t="n">
        <v>46079</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20730-2024</t>
        </is>
      </c>
      <c r="B791" s="1" t="n">
        <v>45436</v>
      </c>
      <c r="C791" s="1" t="n">
        <v>46079</v>
      </c>
      <c r="D791" t="inlineStr">
        <is>
          <t>STOCKHOLMS LÄN</t>
        </is>
      </c>
      <c r="E791" t="inlineStr">
        <is>
          <t>NORRTÄLJE</t>
        </is>
      </c>
      <c r="G791" t="n">
        <v>7.3</v>
      </c>
      <c r="H791" t="n">
        <v>0</v>
      </c>
      <c r="I791" t="n">
        <v>0</v>
      </c>
      <c r="J791" t="n">
        <v>0</v>
      </c>
      <c r="K791" t="n">
        <v>0</v>
      </c>
      <c r="L791" t="n">
        <v>0</v>
      </c>
      <c r="M791" t="n">
        <v>0</v>
      </c>
      <c r="N791" t="n">
        <v>0</v>
      </c>
      <c r="O791" t="n">
        <v>0</v>
      </c>
      <c r="P791" t="n">
        <v>0</v>
      </c>
      <c r="Q791" t="n">
        <v>0</v>
      </c>
      <c r="R791" s="2" t="inlineStr"/>
    </row>
    <row r="792" ht="15" customHeight="1">
      <c r="A792" t="inlineStr">
        <is>
          <t>A 33175-2024</t>
        </is>
      </c>
      <c r="B792" s="1" t="n">
        <v>45518</v>
      </c>
      <c r="C792" s="1" t="n">
        <v>46079</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13283-2025</t>
        </is>
      </c>
      <c r="B793" s="1" t="n">
        <v>45735</v>
      </c>
      <c r="C793" s="1" t="n">
        <v>46079</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27831-2024</t>
        </is>
      </c>
      <c r="B794" s="1" t="n">
        <v>45475.61896990741</v>
      </c>
      <c r="C794" s="1" t="n">
        <v>46079</v>
      </c>
      <c r="D794" t="inlineStr">
        <is>
          <t>STOCKHOLMS LÄN</t>
        </is>
      </c>
      <c r="E794" t="inlineStr">
        <is>
          <t>NORRTÄLJE</t>
        </is>
      </c>
      <c r="G794" t="n">
        <v>3.8</v>
      </c>
      <c r="H794" t="n">
        <v>0</v>
      </c>
      <c r="I794" t="n">
        <v>0</v>
      </c>
      <c r="J794" t="n">
        <v>0</v>
      </c>
      <c r="K794" t="n">
        <v>0</v>
      </c>
      <c r="L794" t="n">
        <v>0</v>
      </c>
      <c r="M794" t="n">
        <v>0</v>
      </c>
      <c r="N794" t="n">
        <v>0</v>
      </c>
      <c r="O794" t="n">
        <v>0</v>
      </c>
      <c r="P794" t="n">
        <v>0</v>
      </c>
      <c r="Q794" t="n">
        <v>0</v>
      </c>
      <c r="R794" s="2" t="inlineStr"/>
    </row>
    <row r="795" ht="15" customHeight="1">
      <c r="A795" t="inlineStr">
        <is>
          <t>A 42856-2025</t>
        </is>
      </c>
      <c r="B795" s="1" t="n">
        <v>45908</v>
      </c>
      <c r="C795" s="1" t="n">
        <v>46079</v>
      </c>
      <c r="D795" t="inlineStr">
        <is>
          <t>STOCKHOLMS LÄN</t>
        </is>
      </c>
      <c r="E795" t="inlineStr">
        <is>
          <t>NORRTÄLJE</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29972-2024</t>
        </is>
      </c>
      <c r="B796" s="1" t="n">
        <v>45485</v>
      </c>
      <c r="C796" s="1" t="n">
        <v>46079</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20011-2025</t>
        </is>
      </c>
      <c r="B797" s="1" t="n">
        <v>45772.29622685185</v>
      </c>
      <c r="C797" s="1" t="n">
        <v>46079</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28809-2023</t>
        </is>
      </c>
      <c r="B798" s="1" t="n">
        <v>45104</v>
      </c>
      <c r="C798" s="1" t="n">
        <v>46079</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28813-2023</t>
        </is>
      </c>
      <c r="B799" s="1" t="n">
        <v>45104</v>
      </c>
      <c r="C799" s="1" t="n">
        <v>46079</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19131-2025</t>
        </is>
      </c>
      <c r="B800" s="1" t="n">
        <v>45769</v>
      </c>
      <c r="C800" s="1" t="n">
        <v>46079</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11929-2024</t>
        </is>
      </c>
      <c r="B801" s="1" t="n">
        <v>45376.64532407407</v>
      </c>
      <c r="C801" s="1" t="n">
        <v>46079</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21803-2022</t>
        </is>
      </c>
      <c r="B802" s="1" t="n">
        <v>44708.67822916667</v>
      </c>
      <c r="C802" s="1" t="n">
        <v>46079</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64145-2021</t>
        </is>
      </c>
      <c r="B803" s="1" t="n">
        <v>44510</v>
      </c>
      <c r="C803" s="1" t="n">
        <v>46079</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24687-2025</t>
        </is>
      </c>
      <c r="B804" s="1" t="n">
        <v>45798.66767361111</v>
      </c>
      <c r="C804" s="1" t="n">
        <v>46079</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45451-2024</t>
        </is>
      </c>
      <c r="B805" s="1" t="n">
        <v>45576</v>
      </c>
      <c r="C805" s="1" t="n">
        <v>46079</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24835-2025</t>
        </is>
      </c>
      <c r="B806" s="1" t="n">
        <v>45799</v>
      </c>
      <c r="C806" s="1" t="n">
        <v>46079</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43169-2025</t>
        </is>
      </c>
      <c r="B807" s="1" t="n">
        <v>45910</v>
      </c>
      <c r="C807" s="1" t="n">
        <v>46079</v>
      </c>
      <c r="D807" t="inlineStr">
        <is>
          <t>STOCKHOLMS LÄN</t>
        </is>
      </c>
      <c r="E807" t="inlineStr">
        <is>
          <t>NORRTÄLJE</t>
        </is>
      </c>
      <c r="G807" t="n">
        <v>6.9</v>
      </c>
      <c r="H807" t="n">
        <v>0</v>
      </c>
      <c r="I807" t="n">
        <v>0</v>
      </c>
      <c r="J807" t="n">
        <v>0</v>
      </c>
      <c r="K807" t="n">
        <v>0</v>
      </c>
      <c r="L807" t="n">
        <v>0</v>
      </c>
      <c r="M807" t="n">
        <v>0</v>
      </c>
      <c r="N807" t="n">
        <v>0</v>
      </c>
      <c r="O807" t="n">
        <v>0</v>
      </c>
      <c r="P807" t="n">
        <v>0</v>
      </c>
      <c r="Q807" t="n">
        <v>0</v>
      </c>
      <c r="R807" s="2" t="inlineStr"/>
    </row>
    <row r="808" ht="15" customHeight="1">
      <c r="A808" t="inlineStr">
        <is>
          <t>A 43269-2025</t>
        </is>
      </c>
      <c r="B808" s="1" t="n">
        <v>45910.5819212963</v>
      </c>
      <c r="C808" s="1" t="n">
        <v>46079</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24690-2025</t>
        </is>
      </c>
      <c r="B809" s="1" t="n">
        <v>45798.67082175926</v>
      </c>
      <c r="C809" s="1" t="n">
        <v>46079</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24638-2025</t>
        </is>
      </c>
      <c r="B810" s="1" t="n">
        <v>45798</v>
      </c>
      <c r="C810" s="1" t="n">
        <v>46079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24351-2025</t>
        </is>
      </c>
      <c r="B811" s="1" t="n">
        <v>45797.58399305555</v>
      </c>
      <c r="C811" s="1" t="n">
        <v>46079</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22157-2023</t>
        </is>
      </c>
      <c r="B812" s="1" t="n">
        <v>45069</v>
      </c>
      <c r="C812" s="1" t="n">
        <v>46079</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c r="U812">
        <f>HYPERLINK("https://klasma.github.io/Logging_0188/knärot/A 22157-2023 karta knärot.png", "A 22157-2023")</f>
        <v/>
      </c>
      <c r="V812">
        <f>HYPERLINK("https://klasma.github.io/Logging_0188/klagomål/A 22157-2023 FSC-klagomål.docx", "A 22157-2023")</f>
        <v/>
      </c>
      <c r="W812">
        <f>HYPERLINK("https://klasma.github.io/Logging_0188/klagomålsmail/A 22157-2023 FSC-klagomål mail.docx", "A 22157-2023")</f>
        <v/>
      </c>
      <c r="X812">
        <f>HYPERLINK("https://klasma.github.io/Logging_0188/tillsyn/A 22157-2023 tillsynsbegäran.docx", "A 22157-2023")</f>
        <v/>
      </c>
      <c r="Y812">
        <f>HYPERLINK("https://klasma.github.io/Logging_0188/tillsynsmail/A 22157-2023 tillsynsbegäran mail.docx", "A 22157-2023")</f>
        <v/>
      </c>
    </row>
    <row r="813" ht="15" customHeight="1">
      <c r="A813" t="inlineStr">
        <is>
          <t>A 30719-2025</t>
        </is>
      </c>
      <c r="B813" s="1" t="n">
        <v>45831</v>
      </c>
      <c r="C813" s="1" t="n">
        <v>46079</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48633-2023</t>
        </is>
      </c>
      <c r="B814" s="1" t="n">
        <v>45208.58004629629</v>
      </c>
      <c r="C814" s="1" t="n">
        <v>46079</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44343-2025</t>
        </is>
      </c>
      <c r="B815" s="1" t="n">
        <v>45916.43378472222</v>
      </c>
      <c r="C815" s="1" t="n">
        <v>46079</v>
      </c>
      <c r="D815" t="inlineStr">
        <is>
          <t>STOCKHOLMS LÄN</t>
        </is>
      </c>
      <c r="E815" t="inlineStr">
        <is>
          <t>NORRTÄLJE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28603-2024</t>
        </is>
      </c>
      <c r="B816" s="1" t="n">
        <v>45478.42887731481</v>
      </c>
      <c r="C816" s="1" t="n">
        <v>46079</v>
      </c>
      <c r="D816" t="inlineStr">
        <is>
          <t>STOCKHOLMS LÄN</t>
        </is>
      </c>
      <c r="E816" t="inlineStr">
        <is>
          <t>NORRTÄLJE</t>
        </is>
      </c>
      <c r="G816" t="n">
        <v>5.6</v>
      </c>
      <c r="H816" t="n">
        <v>0</v>
      </c>
      <c r="I816" t="n">
        <v>0</v>
      </c>
      <c r="J816" t="n">
        <v>0</v>
      </c>
      <c r="K816" t="n">
        <v>0</v>
      </c>
      <c r="L816" t="n">
        <v>0</v>
      </c>
      <c r="M816" t="n">
        <v>0</v>
      </c>
      <c r="N816" t="n">
        <v>0</v>
      </c>
      <c r="O816" t="n">
        <v>0</v>
      </c>
      <c r="P816" t="n">
        <v>0</v>
      </c>
      <c r="Q816" t="n">
        <v>0</v>
      </c>
      <c r="R816" s="2" t="inlineStr"/>
    </row>
    <row r="817" ht="15" customHeight="1">
      <c r="A817" t="inlineStr">
        <is>
          <t>A 43916-2025</t>
        </is>
      </c>
      <c r="B817" s="1" t="n">
        <v>45914.78884259259</v>
      </c>
      <c r="C817" s="1" t="n">
        <v>46079</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44311-2025</t>
        </is>
      </c>
      <c r="B818" s="1" t="n">
        <v>45916.38394675926</v>
      </c>
      <c r="C818" s="1" t="n">
        <v>46079</v>
      </c>
      <c r="D818" t="inlineStr">
        <is>
          <t>STOCKHOLMS LÄN</t>
        </is>
      </c>
      <c r="E818" t="inlineStr">
        <is>
          <t>NORRTÄLJE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44349-2025</t>
        </is>
      </c>
      <c r="B819" s="1" t="n">
        <v>45916.43929398148</v>
      </c>
      <c r="C819" s="1" t="n">
        <v>46079</v>
      </c>
      <c r="D819" t="inlineStr">
        <is>
          <t>STOCKHOLMS LÄN</t>
        </is>
      </c>
      <c r="E819" t="inlineStr">
        <is>
          <t>NORRTÄLJE</t>
        </is>
      </c>
      <c r="G819" t="n">
        <v>3.5</v>
      </c>
      <c r="H819" t="n">
        <v>0</v>
      </c>
      <c r="I819" t="n">
        <v>0</v>
      </c>
      <c r="J819" t="n">
        <v>0</v>
      </c>
      <c r="K819" t="n">
        <v>0</v>
      </c>
      <c r="L819" t="n">
        <v>0</v>
      </c>
      <c r="M819" t="n">
        <v>0</v>
      </c>
      <c r="N819" t="n">
        <v>0</v>
      </c>
      <c r="O819" t="n">
        <v>0</v>
      </c>
      <c r="P819" t="n">
        <v>0</v>
      </c>
      <c r="Q819" t="n">
        <v>0</v>
      </c>
      <c r="R819" s="2" t="inlineStr"/>
    </row>
    <row r="820" ht="15" customHeight="1">
      <c r="A820" t="inlineStr">
        <is>
          <t>A 25702-2025</t>
        </is>
      </c>
      <c r="B820" s="1" t="n">
        <v>45800</v>
      </c>
      <c r="C820" s="1" t="n">
        <v>46079</v>
      </c>
      <c r="D820" t="inlineStr">
        <is>
          <t>STOCKHOLMS LÄN</t>
        </is>
      </c>
      <c r="E820" t="inlineStr">
        <is>
          <t>NORRTÄLJE</t>
        </is>
      </c>
      <c r="G820" t="n">
        <v>5.3</v>
      </c>
      <c r="H820" t="n">
        <v>0</v>
      </c>
      <c r="I820" t="n">
        <v>0</v>
      </c>
      <c r="J820" t="n">
        <v>0</v>
      </c>
      <c r="K820" t="n">
        <v>0</v>
      </c>
      <c r="L820" t="n">
        <v>0</v>
      </c>
      <c r="M820" t="n">
        <v>0</v>
      </c>
      <c r="N820" t="n">
        <v>0</v>
      </c>
      <c r="O820" t="n">
        <v>0</v>
      </c>
      <c r="P820" t="n">
        <v>0</v>
      </c>
      <c r="Q820" t="n">
        <v>0</v>
      </c>
      <c r="R820" s="2" t="inlineStr"/>
    </row>
    <row r="821" ht="15" customHeight="1">
      <c r="A821" t="inlineStr">
        <is>
          <t>A 44354-2025</t>
        </is>
      </c>
      <c r="B821" s="1" t="n">
        <v>45916.44655092592</v>
      </c>
      <c r="C821" s="1" t="n">
        <v>46079</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25721-2025</t>
        </is>
      </c>
      <c r="B822" s="1" t="n">
        <v>45800</v>
      </c>
      <c r="C822" s="1" t="n">
        <v>46079</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47419-2023</t>
        </is>
      </c>
      <c r="B823" s="1" t="n">
        <v>45202.65660879629</v>
      </c>
      <c r="C823" s="1" t="n">
        <v>46079</v>
      </c>
      <c r="D823" t="inlineStr">
        <is>
          <t>STOCKHOLMS LÄN</t>
        </is>
      </c>
      <c r="E823" t="inlineStr">
        <is>
          <t>NORRTÄLJE</t>
        </is>
      </c>
      <c r="G823" t="n">
        <v>11.4</v>
      </c>
      <c r="H823" t="n">
        <v>0</v>
      </c>
      <c r="I823" t="n">
        <v>0</v>
      </c>
      <c r="J823" t="n">
        <v>0</v>
      </c>
      <c r="K823" t="n">
        <v>0</v>
      </c>
      <c r="L823" t="n">
        <v>0</v>
      </c>
      <c r="M823" t="n">
        <v>0</v>
      </c>
      <c r="N823" t="n">
        <v>0</v>
      </c>
      <c r="O823" t="n">
        <v>0</v>
      </c>
      <c r="P823" t="n">
        <v>0</v>
      </c>
      <c r="Q823" t="n">
        <v>0</v>
      </c>
      <c r="R823" s="2" t="inlineStr"/>
    </row>
    <row r="824" ht="15" customHeight="1">
      <c r="A824" t="inlineStr">
        <is>
          <t>A 652-2025</t>
        </is>
      </c>
      <c r="B824" s="1" t="n">
        <v>45664</v>
      </c>
      <c r="C824" s="1" t="n">
        <v>46079</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44333-2025</t>
        </is>
      </c>
      <c r="B825" s="1" t="n">
        <v>45916.42293981482</v>
      </c>
      <c r="C825" s="1" t="n">
        <v>46079</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44306-2025</t>
        </is>
      </c>
      <c r="B826" s="1" t="n">
        <v>45916.37736111111</v>
      </c>
      <c r="C826" s="1" t="n">
        <v>46079</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25733-2025</t>
        </is>
      </c>
      <c r="B827" s="1" t="n">
        <v>45800</v>
      </c>
      <c r="C827" s="1" t="n">
        <v>46079</v>
      </c>
      <c r="D827" t="inlineStr">
        <is>
          <t>STOCKHOLMS LÄN</t>
        </is>
      </c>
      <c r="E827" t="inlineStr">
        <is>
          <t>NORRTÄLJE</t>
        </is>
      </c>
      <c r="G827" t="n">
        <v>2.2</v>
      </c>
      <c r="H827" t="n">
        <v>0</v>
      </c>
      <c r="I827" t="n">
        <v>0</v>
      </c>
      <c r="J827" t="n">
        <v>0</v>
      </c>
      <c r="K827" t="n">
        <v>0</v>
      </c>
      <c r="L827" t="n">
        <v>0</v>
      </c>
      <c r="M827" t="n">
        <v>0</v>
      </c>
      <c r="N827" t="n">
        <v>0</v>
      </c>
      <c r="O827" t="n">
        <v>0</v>
      </c>
      <c r="P827" t="n">
        <v>0</v>
      </c>
      <c r="Q827" t="n">
        <v>0</v>
      </c>
      <c r="R827" s="2" t="inlineStr"/>
    </row>
    <row r="828" ht="15" customHeight="1">
      <c r="A828" t="inlineStr">
        <is>
          <t>A 25571-2025</t>
        </is>
      </c>
      <c r="B828" s="1" t="n">
        <v>45803.4675</v>
      </c>
      <c r="C828" s="1" t="n">
        <v>46079</v>
      </c>
      <c r="D828" t="inlineStr">
        <is>
          <t>STOCKHOLMS LÄN</t>
        </is>
      </c>
      <c r="E828" t="inlineStr">
        <is>
          <t>NORRTÄLJE</t>
        </is>
      </c>
      <c r="G828" t="n">
        <v>5.4</v>
      </c>
      <c r="H828" t="n">
        <v>0</v>
      </c>
      <c r="I828" t="n">
        <v>0</v>
      </c>
      <c r="J828" t="n">
        <v>0</v>
      </c>
      <c r="K828" t="n">
        <v>0</v>
      </c>
      <c r="L828" t="n">
        <v>0</v>
      </c>
      <c r="M828" t="n">
        <v>0</v>
      </c>
      <c r="N828" t="n">
        <v>0</v>
      </c>
      <c r="O828" t="n">
        <v>0</v>
      </c>
      <c r="P828" t="n">
        <v>0</v>
      </c>
      <c r="Q828" t="n">
        <v>0</v>
      </c>
      <c r="R828" s="2" t="inlineStr"/>
    </row>
    <row r="829" ht="15" customHeight="1">
      <c r="A829" t="inlineStr">
        <is>
          <t>A 53561-2023</t>
        </is>
      </c>
      <c r="B829" s="1" t="n">
        <v>45224</v>
      </c>
      <c r="C829" s="1" t="n">
        <v>46079</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44937-2025</t>
        </is>
      </c>
      <c r="B830" s="1" t="n">
        <v>45918</v>
      </c>
      <c r="C830" s="1" t="n">
        <v>46079</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25712-2025</t>
        </is>
      </c>
      <c r="B831" s="1" t="n">
        <v>45803.69228009259</v>
      </c>
      <c r="C831" s="1" t="n">
        <v>46079</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41218-2024</t>
        </is>
      </c>
      <c r="B832" s="1" t="n">
        <v>45559.54706018518</v>
      </c>
      <c r="C832" s="1" t="n">
        <v>46079</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26051-2025</t>
        </is>
      </c>
      <c r="B833" s="1" t="n">
        <v>45804.74479166666</v>
      </c>
      <c r="C833" s="1" t="n">
        <v>46079</v>
      </c>
      <c r="D833" t="inlineStr">
        <is>
          <t>STOCKHOLMS LÄN</t>
        </is>
      </c>
      <c r="E833" t="inlineStr">
        <is>
          <t>NORRTÄLJE</t>
        </is>
      </c>
      <c r="G833" t="n">
        <v>3.2</v>
      </c>
      <c r="H833" t="n">
        <v>0</v>
      </c>
      <c r="I833" t="n">
        <v>0</v>
      </c>
      <c r="J833" t="n">
        <v>0</v>
      </c>
      <c r="K833" t="n">
        <v>0</v>
      </c>
      <c r="L833" t="n">
        <v>0</v>
      </c>
      <c r="M833" t="n">
        <v>0</v>
      </c>
      <c r="N833" t="n">
        <v>0</v>
      </c>
      <c r="O833" t="n">
        <v>0</v>
      </c>
      <c r="P833" t="n">
        <v>0</v>
      </c>
      <c r="Q833" t="n">
        <v>0</v>
      </c>
      <c r="R833" s="2" t="inlineStr"/>
    </row>
    <row r="834" ht="15" customHeight="1">
      <c r="A834" t="inlineStr">
        <is>
          <t>A 10653-2022</t>
        </is>
      </c>
      <c r="B834" s="1" t="n">
        <v>44624.59434027778</v>
      </c>
      <c r="C834" s="1" t="n">
        <v>46079</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39238-2024</t>
        </is>
      </c>
      <c r="B835" s="1" t="n">
        <v>45549</v>
      </c>
      <c r="C835" s="1" t="n">
        <v>46079</v>
      </c>
      <c r="D835" t="inlineStr">
        <is>
          <t>STOCKHOLMS LÄN</t>
        </is>
      </c>
      <c r="E835" t="inlineStr">
        <is>
          <t>NORRTÄLJE</t>
        </is>
      </c>
      <c r="G835" t="n">
        <v>3.6</v>
      </c>
      <c r="H835" t="n">
        <v>0</v>
      </c>
      <c r="I835" t="n">
        <v>0</v>
      </c>
      <c r="J835" t="n">
        <v>0</v>
      </c>
      <c r="K835" t="n">
        <v>0</v>
      </c>
      <c r="L835" t="n">
        <v>0</v>
      </c>
      <c r="M835" t="n">
        <v>0</v>
      </c>
      <c r="N835" t="n">
        <v>0</v>
      </c>
      <c r="O835" t="n">
        <v>0</v>
      </c>
      <c r="P835" t="n">
        <v>0</v>
      </c>
      <c r="Q835" t="n">
        <v>0</v>
      </c>
      <c r="R835" s="2" t="inlineStr"/>
    </row>
    <row r="836" ht="15" customHeight="1">
      <c r="A836" t="inlineStr">
        <is>
          <t>A 38449-2022</t>
        </is>
      </c>
      <c r="B836" s="1" t="n">
        <v>44813</v>
      </c>
      <c r="C836" s="1" t="n">
        <v>46079</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22359-2025</t>
        </is>
      </c>
      <c r="B837" s="1" t="n">
        <v>45786</v>
      </c>
      <c r="C837" s="1" t="n">
        <v>46079</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25697-2025</t>
        </is>
      </c>
      <c r="B838" s="1" t="n">
        <v>45803.66587962963</v>
      </c>
      <c r="C838" s="1" t="n">
        <v>46079</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35695-2023</t>
        </is>
      </c>
      <c r="B839" s="1" t="n">
        <v>45147.65407407407</v>
      </c>
      <c r="C839" s="1" t="n">
        <v>46079</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18665-2022</t>
        </is>
      </c>
      <c r="B840" s="1" t="n">
        <v>44687</v>
      </c>
      <c r="C840" s="1" t="n">
        <v>46079</v>
      </c>
      <c r="D840" t="inlineStr">
        <is>
          <t>STOCKHOLMS LÄN</t>
        </is>
      </c>
      <c r="E840" t="inlineStr">
        <is>
          <t>NORRTÄLJE</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17574-2025</t>
        </is>
      </c>
      <c r="B841" s="1" t="n">
        <v>45757.65178240741</v>
      </c>
      <c r="C841" s="1" t="n">
        <v>46079</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47259-2024</t>
        </is>
      </c>
      <c r="B842" s="1" t="n">
        <v>45586</v>
      </c>
      <c r="C842" s="1" t="n">
        <v>46079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20370-2025</t>
        </is>
      </c>
      <c r="B843" s="1" t="n">
        <v>45775.41451388889</v>
      </c>
      <c r="C843" s="1" t="n">
        <v>46079</v>
      </c>
      <c r="D843" t="inlineStr">
        <is>
          <t>STOCKHOLMS LÄN</t>
        </is>
      </c>
      <c r="E843" t="inlineStr">
        <is>
          <t>NORRTÄLJE</t>
        </is>
      </c>
      <c r="G843" t="n">
        <v>2.9</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46079</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35438-2023</t>
        </is>
      </c>
      <c r="B845" s="1" t="n">
        <v>45146</v>
      </c>
      <c r="C845" s="1" t="n">
        <v>46079</v>
      </c>
      <c r="D845" t="inlineStr">
        <is>
          <t>STOCKHOLMS LÄN</t>
        </is>
      </c>
      <c r="E845" t="inlineStr">
        <is>
          <t>NORRTÄLJE</t>
        </is>
      </c>
      <c r="F845" t="inlineStr">
        <is>
          <t>Kommuner</t>
        </is>
      </c>
      <c r="G845" t="n">
        <v>1.9</v>
      </c>
      <c r="H845" t="n">
        <v>0</v>
      </c>
      <c r="I845" t="n">
        <v>0</v>
      </c>
      <c r="J845" t="n">
        <v>0</v>
      </c>
      <c r="K845" t="n">
        <v>0</v>
      </c>
      <c r="L845" t="n">
        <v>0</v>
      </c>
      <c r="M845" t="n">
        <v>0</v>
      </c>
      <c r="N845" t="n">
        <v>0</v>
      </c>
      <c r="O845" t="n">
        <v>0</v>
      </c>
      <c r="P845" t="n">
        <v>0</v>
      </c>
      <c r="Q845" t="n">
        <v>0</v>
      </c>
      <c r="R845" s="2" t="inlineStr"/>
    </row>
    <row r="846" ht="15" customHeight="1">
      <c r="A846" t="inlineStr">
        <is>
          <t>A 33878-2024</t>
        </is>
      </c>
      <c r="B846" s="1" t="n">
        <v>45522.44414351852</v>
      </c>
      <c r="C846" s="1" t="n">
        <v>46079</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45697-2025</t>
        </is>
      </c>
      <c r="B847" s="1" t="n">
        <v>45923.39877314815</v>
      </c>
      <c r="C847" s="1" t="n">
        <v>46079</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26675-2025</t>
        </is>
      </c>
      <c r="B848" s="1" t="n">
        <v>45810.42393518519</v>
      </c>
      <c r="C848" s="1" t="n">
        <v>46079</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35256-2025</t>
        </is>
      </c>
      <c r="B849" s="1" t="n">
        <v>45853</v>
      </c>
      <c r="C849" s="1" t="n">
        <v>46079</v>
      </c>
      <c r="D849" t="inlineStr">
        <is>
          <t>STOCKHOLMS LÄN</t>
        </is>
      </c>
      <c r="E849" t="inlineStr">
        <is>
          <t>NORRTÄLJE</t>
        </is>
      </c>
      <c r="G849" t="n">
        <v>6.4</v>
      </c>
      <c r="H849" t="n">
        <v>0</v>
      </c>
      <c r="I849" t="n">
        <v>0</v>
      </c>
      <c r="J849" t="n">
        <v>0</v>
      </c>
      <c r="K849" t="n">
        <v>0</v>
      </c>
      <c r="L849" t="n">
        <v>0</v>
      </c>
      <c r="M849" t="n">
        <v>0</v>
      </c>
      <c r="N849" t="n">
        <v>0</v>
      </c>
      <c r="O849" t="n">
        <v>0</v>
      </c>
      <c r="P849" t="n">
        <v>0</v>
      </c>
      <c r="Q849" t="n">
        <v>0</v>
      </c>
      <c r="R849" s="2" t="inlineStr"/>
    </row>
    <row r="850" ht="15" customHeight="1">
      <c r="A850" t="inlineStr">
        <is>
          <t>A 4183-2025</t>
        </is>
      </c>
      <c r="B850" s="1" t="n">
        <v>45685.44592592592</v>
      </c>
      <c r="C850" s="1" t="n">
        <v>46079</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23061-2025</t>
        </is>
      </c>
      <c r="B851" s="1" t="n">
        <v>45790.81410879629</v>
      </c>
      <c r="C851" s="1" t="n">
        <v>46079</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26747-2025</t>
        </is>
      </c>
      <c r="B852" s="1" t="n">
        <v>45810.5333912037</v>
      </c>
      <c r="C852" s="1" t="n">
        <v>46079</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17556-2025</t>
        </is>
      </c>
      <c r="B853" s="1" t="n">
        <v>45757.62482638889</v>
      </c>
      <c r="C853" s="1" t="n">
        <v>46079</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41335-2023</t>
        </is>
      </c>
      <c r="B854" s="1" t="n">
        <v>45174.68702546296</v>
      </c>
      <c r="C854" s="1" t="n">
        <v>46079</v>
      </c>
      <c r="D854" t="inlineStr">
        <is>
          <t>STOCKHOLMS LÄN</t>
        </is>
      </c>
      <c r="E854" t="inlineStr">
        <is>
          <t>NORRTÄLJE</t>
        </is>
      </c>
      <c r="F854" t="inlineStr">
        <is>
          <t>Holmen skog AB</t>
        </is>
      </c>
      <c r="G854" t="n">
        <v>4.4</v>
      </c>
      <c r="H854" t="n">
        <v>0</v>
      </c>
      <c r="I854" t="n">
        <v>0</v>
      </c>
      <c r="J854" t="n">
        <v>0</v>
      </c>
      <c r="K854" t="n">
        <v>0</v>
      </c>
      <c r="L854" t="n">
        <v>0</v>
      </c>
      <c r="M854" t="n">
        <v>0</v>
      </c>
      <c r="N854" t="n">
        <v>0</v>
      </c>
      <c r="O854" t="n">
        <v>0</v>
      </c>
      <c r="P854" t="n">
        <v>0</v>
      </c>
      <c r="Q854" t="n">
        <v>0</v>
      </c>
      <c r="R854" s="2" t="inlineStr"/>
    </row>
    <row r="855" ht="15" customHeight="1">
      <c r="A855" t="inlineStr">
        <is>
          <t>A 46415-2025</t>
        </is>
      </c>
      <c r="B855" s="1" t="n">
        <v>45925.58636574074</v>
      </c>
      <c r="C855" s="1" t="n">
        <v>46079</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4484-2025</t>
        </is>
      </c>
      <c r="B856" s="1" t="n">
        <v>45686.65545138889</v>
      </c>
      <c r="C856" s="1" t="n">
        <v>46079</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26702-2025</t>
        </is>
      </c>
      <c r="B857" s="1" t="n">
        <v>45810.45236111111</v>
      </c>
      <c r="C857" s="1" t="n">
        <v>46079</v>
      </c>
      <c r="D857" t="inlineStr">
        <is>
          <t>STOCKHOLMS LÄN</t>
        </is>
      </c>
      <c r="E857" t="inlineStr">
        <is>
          <t>NORRTÄLJE</t>
        </is>
      </c>
      <c r="G857" t="n">
        <v>7.3</v>
      </c>
      <c r="H857" t="n">
        <v>0</v>
      </c>
      <c r="I857" t="n">
        <v>0</v>
      </c>
      <c r="J857" t="n">
        <v>0</v>
      </c>
      <c r="K857" t="n">
        <v>0</v>
      </c>
      <c r="L857" t="n">
        <v>0</v>
      </c>
      <c r="M857" t="n">
        <v>0</v>
      </c>
      <c r="N857" t="n">
        <v>0</v>
      </c>
      <c r="O857" t="n">
        <v>0</v>
      </c>
      <c r="P857" t="n">
        <v>0</v>
      </c>
      <c r="Q857" t="n">
        <v>0</v>
      </c>
      <c r="R857" s="2" t="inlineStr"/>
    </row>
    <row r="858" ht="15" customHeight="1">
      <c r="A858" t="inlineStr">
        <is>
          <t>A 8419-2025</t>
        </is>
      </c>
      <c r="B858" s="1" t="n">
        <v>45709.40231481481</v>
      </c>
      <c r="C858" s="1" t="n">
        <v>46079</v>
      </c>
      <c r="D858" t="inlineStr">
        <is>
          <t>STOCKHOLMS LÄN</t>
        </is>
      </c>
      <c r="E858" t="inlineStr">
        <is>
          <t>NORRTÄLJE</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26708-2025</t>
        </is>
      </c>
      <c r="B859" s="1" t="n">
        <v>45810.45633101852</v>
      </c>
      <c r="C859" s="1" t="n">
        <v>46079</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21480-2022</t>
        </is>
      </c>
      <c r="B860" s="1" t="n">
        <v>44704</v>
      </c>
      <c r="C860" s="1" t="n">
        <v>46079</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27040-2025</t>
        </is>
      </c>
      <c r="B861" s="1" t="n">
        <v>45811.60451388889</v>
      </c>
      <c r="C861" s="1" t="n">
        <v>46079</v>
      </c>
      <c r="D861" t="inlineStr">
        <is>
          <t>STOCKHOLMS LÄN</t>
        </is>
      </c>
      <c r="E861" t="inlineStr">
        <is>
          <t>NORRTÄLJE</t>
        </is>
      </c>
      <c r="G861" t="n">
        <v>4.3</v>
      </c>
      <c r="H861" t="n">
        <v>0</v>
      </c>
      <c r="I861" t="n">
        <v>0</v>
      </c>
      <c r="J861" t="n">
        <v>0</v>
      </c>
      <c r="K861" t="n">
        <v>0</v>
      </c>
      <c r="L861" t="n">
        <v>0</v>
      </c>
      <c r="M861" t="n">
        <v>0</v>
      </c>
      <c r="N861" t="n">
        <v>0</v>
      </c>
      <c r="O861" t="n">
        <v>0</v>
      </c>
      <c r="P861" t="n">
        <v>0</v>
      </c>
      <c r="Q861" t="n">
        <v>0</v>
      </c>
      <c r="R861" s="2" t="inlineStr"/>
    </row>
    <row r="862" ht="15" customHeight="1">
      <c r="A862" t="inlineStr">
        <is>
          <t>A 1654-2025</t>
        </is>
      </c>
      <c r="B862" s="1" t="n">
        <v>45670.65921296296</v>
      </c>
      <c r="C862" s="1" t="n">
        <v>46079</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47460-2025</t>
        </is>
      </c>
      <c r="B863" s="1" t="n">
        <v>45930.66012731481</v>
      </c>
      <c r="C863" s="1" t="n">
        <v>46079</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48686-2023</t>
        </is>
      </c>
      <c r="B864" s="1" t="n">
        <v>45208</v>
      </c>
      <c r="C864" s="1" t="n">
        <v>46079</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48691-2023</t>
        </is>
      </c>
      <c r="B865" s="1" t="n">
        <v>45208</v>
      </c>
      <c r="C865" s="1" t="n">
        <v>46079</v>
      </c>
      <c r="D865" t="inlineStr">
        <is>
          <t>STOCKHOLMS LÄN</t>
        </is>
      </c>
      <c r="E865" t="inlineStr">
        <is>
          <t>NORRTÄLJE</t>
        </is>
      </c>
      <c r="G865" t="n">
        <v>5.8</v>
      </c>
      <c r="H865" t="n">
        <v>0</v>
      </c>
      <c r="I865" t="n">
        <v>0</v>
      </c>
      <c r="J865" t="n">
        <v>0</v>
      </c>
      <c r="K865" t="n">
        <v>0</v>
      </c>
      <c r="L865" t="n">
        <v>0</v>
      </c>
      <c r="M865" t="n">
        <v>0</v>
      </c>
      <c r="N865" t="n">
        <v>0</v>
      </c>
      <c r="O865" t="n">
        <v>0</v>
      </c>
      <c r="P865" t="n">
        <v>0</v>
      </c>
      <c r="Q865" t="n">
        <v>0</v>
      </c>
      <c r="R865" s="2" t="inlineStr"/>
    </row>
    <row r="866" ht="15" customHeight="1">
      <c r="A866" t="inlineStr">
        <is>
          <t>A 46900-2025</t>
        </is>
      </c>
      <c r="B866" s="1" t="n">
        <v>45929.38712962963</v>
      </c>
      <c r="C866" s="1" t="n">
        <v>46079</v>
      </c>
      <c r="D866" t="inlineStr">
        <is>
          <t>STOCKHOLMS LÄN</t>
        </is>
      </c>
      <c r="E866" t="inlineStr">
        <is>
          <t>NORRTÄLJE</t>
        </is>
      </c>
      <c r="F866" t="inlineStr">
        <is>
          <t>Holmen skog AB</t>
        </is>
      </c>
      <c r="G866" t="n">
        <v>6.2</v>
      </c>
      <c r="H866" t="n">
        <v>0</v>
      </c>
      <c r="I866" t="n">
        <v>0</v>
      </c>
      <c r="J866" t="n">
        <v>0</v>
      </c>
      <c r="K866" t="n">
        <v>0</v>
      </c>
      <c r="L866" t="n">
        <v>0</v>
      </c>
      <c r="M866" t="n">
        <v>0</v>
      </c>
      <c r="N866" t="n">
        <v>0</v>
      </c>
      <c r="O866" t="n">
        <v>0</v>
      </c>
      <c r="P866" t="n">
        <v>0</v>
      </c>
      <c r="Q866" t="n">
        <v>0</v>
      </c>
      <c r="R866" s="2" t="inlineStr"/>
    </row>
    <row r="867" ht="15" customHeight="1">
      <c r="A867" t="inlineStr">
        <is>
          <t>A 55243-2023</t>
        </is>
      </c>
      <c r="B867" s="1" t="n">
        <v>45237</v>
      </c>
      <c r="C867" s="1" t="n">
        <v>46079</v>
      </c>
      <c r="D867" t="inlineStr">
        <is>
          <t>STOCKHOLMS LÄN</t>
        </is>
      </c>
      <c r="E867" t="inlineStr">
        <is>
          <t>NORRTÄLJE</t>
        </is>
      </c>
      <c r="G867" t="n">
        <v>6.5</v>
      </c>
      <c r="H867" t="n">
        <v>0</v>
      </c>
      <c r="I867" t="n">
        <v>0</v>
      </c>
      <c r="J867" t="n">
        <v>0</v>
      </c>
      <c r="K867" t="n">
        <v>0</v>
      </c>
      <c r="L867" t="n">
        <v>0</v>
      </c>
      <c r="M867" t="n">
        <v>0</v>
      </c>
      <c r="N867" t="n">
        <v>0</v>
      </c>
      <c r="O867" t="n">
        <v>0</v>
      </c>
      <c r="P867" t="n">
        <v>0</v>
      </c>
      <c r="Q867" t="n">
        <v>0</v>
      </c>
      <c r="R867" s="2" t="inlineStr"/>
    </row>
    <row r="868" ht="15" customHeight="1">
      <c r="A868" t="inlineStr">
        <is>
          <t>A 35210-2023</t>
        </is>
      </c>
      <c r="B868" s="1" t="n">
        <v>45145.63584490741</v>
      </c>
      <c r="C868" s="1" t="n">
        <v>46079</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47498-2025</t>
        </is>
      </c>
      <c r="B869" s="1" t="n">
        <v>45930.8134375</v>
      </c>
      <c r="C869" s="1" t="n">
        <v>46079</v>
      </c>
      <c r="D869" t="inlineStr">
        <is>
          <t>STOCKHOLMS LÄN</t>
        </is>
      </c>
      <c r="E869" t="inlineStr">
        <is>
          <t>NORRTÄLJE</t>
        </is>
      </c>
      <c r="F869" t="inlineStr">
        <is>
          <t>Holmen skog AB</t>
        </is>
      </c>
      <c r="G869" t="n">
        <v>1.7</v>
      </c>
      <c r="H869" t="n">
        <v>0</v>
      </c>
      <c r="I869" t="n">
        <v>0</v>
      </c>
      <c r="J869" t="n">
        <v>0</v>
      </c>
      <c r="K869" t="n">
        <v>0</v>
      </c>
      <c r="L869" t="n">
        <v>0</v>
      </c>
      <c r="M869" t="n">
        <v>0</v>
      </c>
      <c r="N869" t="n">
        <v>0</v>
      </c>
      <c r="O869" t="n">
        <v>0</v>
      </c>
      <c r="P869" t="n">
        <v>0</v>
      </c>
      <c r="Q869" t="n">
        <v>0</v>
      </c>
      <c r="R869" s="2" t="inlineStr"/>
    </row>
    <row r="870" ht="15" customHeight="1">
      <c r="A870" t="inlineStr">
        <is>
          <t>A 27697-2025</t>
        </is>
      </c>
      <c r="B870" s="1" t="n">
        <v>45813.66961805556</v>
      </c>
      <c r="C870" s="1" t="n">
        <v>46079</v>
      </c>
      <c r="D870" t="inlineStr">
        <is>
          <t>STOCKHOLMS LÄN</t>
        </is>
      </c>
      <c r="E870" t="inlineStr">
        <is>
          <t>NORRTÄLJE</t>
        </is>
      </c>
      <c r="G870" t="n">
        <v>6.2</v>
      </c>
      <c r="H870" t="n">
        <v>0</v>
      </c>
      <c r="I870" t="n">
        <v>0</v>
      </c>
      <c r="J870" t="n">
        <v>0</v>
      </c>
      <c r="K870" t="n">
        <v>0</v>
      </c>
      <c r="L870" t="n">
        <v>0</v>
      </c>
      <c r="M870" t="n">
        <v>0</v>
      </c>
      <c r="N870" t="n">
        <v>0</v>
      </c>
      <c r="O870" t="n">
        <v>0</v>
      </c>
      <c r="P870" t="n">
        <v>0</v>
      </c>
      <c r="Q870" t="n">
        <v>0</v>
      </c>
      <c r="R870" s="2" t="inlineStr"/>
    </row>
    <row r="871" ht="15" customHeight="1">
      <c r="A871" t="inlineStr">
        <is>
          <t>A 27700-2025</t>
        </is>
      </c>
      <c r="B871" s="1" t="n">
        <v>45813.6799537037</v>
      </c>
      <c r="C871" s="1" t="n">
        <v>46079</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27554-2025</t>
        </is>
      </c>
      <c r="B872" s="1" t="n">
        <v>45813.4709375</v>
      </c>
      <c r="C872" s="1" t="n">
        <v>46079</v>
      </c>
      <c r="D872" t="inlineStr">
        <is>
          <t>STOCKHOLMS LÄN</t>
        </is>
      </c>
      <c r="E872" t="inlineStr">
        <is>
          <t>NORRTÄLJE</t>
        </is>
      </c>
      <c r="F872" t="inlineStr">
        <is>
          <t>Övriga Aktiebolag</t>
        </is>
      </c>
      <c r="G872" t="n">
        <v>2.5</v>
      </c>
      <c r="H872" t="n">
        <v>0</v>
      </c>
      <c r="I872" t="n">
        <v>0</v>
      </c>
      <c r="J872" t="n">
        <v>0</v>
      </c>
      <c r="K872" t="n">
        <v>0</v>
      </c>
      <c r="L872" t="n">
        <v>0</v>
      </c>
      <c r="M872" t="n">
        <v>0</v>
      </c>
      <c r="N872" t="n">
        <v>0</v>
      </c>
      <c r="O872" t="n">
        <v>0</v>
      </c>
      <c r="P872" t="n">
        <v>0</v>
      </c>
      <c r="Q872" t="n">
        <v>0</v>
      </c>
      <c r="R872" s="2" t="inlineStr"/>
    </row>
    <row r="873" ht="15" customHeight="1">
      <c r="A873" t="inlineStr">
        <is>
          <t>A 47496-2025</t>
        </is>
      </c>
      <c r="B873" s="1" t="n">
        <v>45930.79252314815</v>
      </c>
      <c r="C873" s="1" t="n">
        <v>46079</v>
      </c>
      <c r="D873" t="inlineStr">
        <is>
          <t>STOCKHOLMS LÄN</t>
        </is>
      </c>
      <c r="E873" t="inlineStr">
        <is>
          <t>NORRTÄLJE</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47497-2025</t>
        </is>
      </c>
      <c r="B874" s="1" t="n">
        <v>45930.80217592593</v>
      </c>
      <c r="C874" s="1" t="n">
        <v>46079</v>
      </c>
      <c r="D874" t="inlineStr">
        <is>
          <t>STOCKHOLMS LÄN</t>
        </is>
      </c>
      <c r="E874" t="inlineStr">
        <is>
          <t>NORRTÄLJE</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6678-2025</t>
        </is>
      </c>
      <c r="B875" s="1" t="n">
        <v>45700</v>
      </c>
      <c r="C875" s="1" t="n">
        <v>46079</v>
      </c>
      <c r="D875" t="inlineStr">
        <is>
          <t>STOCKHOLMS LÄN</t>
        </is>
      </c>
      <c r="E875" t="inlineStr">
        <is>
          <t>NORRTÄLJE</t>
        </is>
      </c>
      <c r="F875" t="inlineStr">
        <is>
          <t>Övriga Aktiebolag</t>
        </is>
      </c>
      <c r="G875" t="n">
        <v>6.6</v>
      </c>
      <c r="H875" t="n">
        <v>0</v>
      </c>
      <c r="I875" t="n">
        <v>0</v>
      </c>
      <c r="J875" t="n">
        <v>0</v>
      </c>
      <c r="K875" t="n">
        <v>0</v>
      </c>
      <c r="L875" t="n">
        <v>0</v>
      </c>
      <c r="M875" t="n">
        <v>0</v>
      </c>
      <c r="N875" t="n">
        <v>0</v>
      </c>
      <c r="O875" t="n">
        <v>0</v>
      </c>
      <c r="P875" t="n">
        <v>0</v>
      </c>
      <c r="Q875" t="n">
        <v>0</v>
      </c>
      <c r="R875" s="2" t="inlineStr"/>
    </row>
    <row r="876" ht="15" customHeight="1">
      <c r="A876" t="inlineStr">
        <is>
          <t>A 11901-2024</t>
        </is>
      </c>
      <c r="B876" s="1" t="n">
        <v>45376.55638888889</v>
      </c>
      <c r="C876" s="1" t="n">
        <v>46079</v>
      </c>
      <c r="D876" t="inlineStr">
        <is>
          <t>STOCKHOLMS LÄN</t>
        </is>
      </c>
      <c r="E876" t="inlineStr">
        <is>
          <t>NORRTÄLJE</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17612-2022</t>
        </is>
      </c>
      <c r="B877" s="1" t="n">
        <v>44680</v>
      </c>
      <c r="C877" s="1" t="n">
        <v>46079</v>
      </c>
      <c r="D877" t="inlineStr">
        <is>
          <t>STOCKHOLMS LÄN</t>
        </is>
      </c>
      <c r="E877" t="inlineStr">
        <is>
          <t>NORRTÄLJE</t>
        </is>
      </c>
      <c r="G877" t="n">
        <v>2.6</v>
      </c>
      <c r="H877" t="n">
        <v>0</v>
      </c>
      <c r="I877" t="n">
        <v>0</v>
      </c>
      <c r="J877" t="n">
        <v>0</v>
      </c>
      <c r="K877" t="n">
        <v>0</v>
      </c>
      <c r="L877" t="n">
        <v>0</v>
      </c>
      <c r="M877" t="n">
        <v>0</v>
      </c>
      <c r="N877" t="n">
        <v>0</v>
      </c>
      <c r="O877" t="n">
        <v>0</v>
      </c>
      <c r="P877" t="n">
        <v>0</v>
      </c>
      <c r="Q877" t="n">
        <v>0</v>
      </c>
      <c r="R877" s="2" t="inlineStr"/>
    </row>
    <row r="878" ht="15" customHeight="1">
      <c r="A878" t="inlineStr">
        <is>
          <t>A 48718-2025</t>
        </is>
      </c>
      <c r="B878" s="1" t="n">
        <v>45936</v>
      </c>
      <c r="C878" s="1" t="n">
        <v>46079</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48360-2025</t>
        </is>
      </c>
      <c r="B879" s="1" t="n">
        <v>45933.66253472222</v>
      </c>
      <c r="C879" s="1" t="n">
        <v>46079</v>
      </c>
      <c r="D879" t="inlineStr">
        <is>
          <t>STOCKHOLMS LÄN</t>
        </is>
      </c>
      <c r="E879" t="inlineStr">
        <is>
          <t>NORRTÄLJE</t>
        </is>
      </c>
      <c r="G879" t="n">
        <v>4.1</v>
      </c>
      <c r="H879" t="n">
        <v>0</v>
      </c>
      <c r="I879" t="n">
        <v>0</v>
      </c>
      <c r="J879" t="n">
        <v>0</v>
      </c>
      <c r="K879" t="n">
        <v>0</v>
      </c>
      <c r="L879" t="n">
        <v>0</v>
      </c>
      <c r="M879" t="n">
        <v>0</v>
      </c>
      <c r="N879" t="n">
        <v>0</v>
      </c>
      <c r="O879" t="n">
        <v>0</v>
      </c>
      <c r="P879" t="n">
        <v>0</v>
      </c>
      <c r="Q879" t="n">
        <v>0</v>
      </c>
      <c r="R879" s="2" t="inlineStr"/>
    </row>
    <row r="880" ht="15" customHeight="1">
      <c r="A880" t="inlineStr">
        <is>
          <t>A 48370-2025</t>
        </is>
      </c>
      <c r="B880" s="1" t="n">
        <v>45933.67854166667</v>
      </c>
      <c r="C880" s="1" t="n">
        <v>46079</v>
      </c>
      <c r="D880" t="inlineStr">
        <is>
          <t>STOCKHOLMS LÄN</t>
        </is>
      </c>
      <c r="E880" t="inlineStr">
        <is>
          <t>NORRTÄLJE</t>
        </is>
      </c>
      <c r="G880" t="n">
        <v>4.5</v>
      </c>
      <c r="H880" t="n">
        <v>0</v>
      </c>
      <c r="I880" t="n">
        <v>0</v>
      </c>
      <c r="J880" t="n">
        <v>0</v>
      </c>
      <c r="K880" t="n">
        <v>0</v>
      </c>
      <c r="L880" t="n">
        <v>0</v>
      </c>
      <c r="M880" t="n">
        <v>0</v>
      </c>
      <c r="N880" t="n">
        <v>0</v>
      </c>
      <c r="O880" t="n">
        <v>0</v>
      </c>
      <c r="P880" t="n">
        <v>0</v>
      </c>
      <c r="Q880" t="n">
        <v>0</v>
      </c>
      <c r="R880" s="2" t="inlineStr"/>
    </row>
    <row r="881" ht="15" customHeight="1">
      <c r="A881" t="inlineStr">
        <is>
          <t>A 27802-2025</t>
        </is>
      </c>
      <c r="B881" s="1" t="n">
        <v>45817.2565625</v>
      </c>
      <c r="C881" s="1" t="n">
        <v>46079</v>
      </c>
      <c r="D881" t="inlineStr">
        <is>
          <t>STOCKHOLMS LÄN</t>
        </is>
      </c>
      <c r="E881" t="inlineStr">
        <is>
          <t>NORRTÄLJE</t>
        </is>
      </c>
      <c r="G881" t="n">
        <v>3</v>
      </c>
      <c r="H881" t="n">
        <v>0</v>
      </c>
      <c r="I881" t="n">
        <v>0</v>
      </c>
      <c r="J881" t="n">
        <v>0</v>
      </c>
      <c r="K881" t="n">
        <v>0</v>
      </c>
      <c r="L881" t="n">
        <v>0</v>
      </c>
      <c r="M881" t="n">
        <v>0</v>
      </c>
      <c r="N881" t="n">
        <v>0</v>
      </c>
      <c r="O881" t="n">
        <v>0</v>
      </c>
      <c r="P881" t="n">
        <v>0</v>
      </c>
      <c r="Q881" t="n">
        <v>0</v>
      </c>
      <c r="R881" s="2" t="inlineStr"/>
    </row>
    <row r="882" ht="15" customHeight="1">
      <c r="A882" t="inlineStr">
        <is>
          <t>A 27806-2025</t>
        </is>
      </c>
      <c r="B882" s="1" t="n">
        <v>45817.30329861111</v>
      </c>
      <c r="C882" s="1" t="n">
        <v>46079</v>
      </c>
      <c r="D882" t="inlineStr">
        <is>
          <t>STOCKHOLMS LÄN</t>
        </is>
      </c>
      <c r="E882" t="inlineStr">
        <is>
          <t>NORRTÄLJE</t>
        </is>
      </c>
      <c r="G882" t="n">
        <v>3</v>
      </c>
      <c r="H882" t="n">
        <v>0</v>
      </c>
      <c r="I882" t="n">
        <v>0</v>
      </c>
      <c r="J882" t="n">
        <v>0</v>
      </c>
      <c r="K882" t="n">
        <v>0</v>
      </c>
      <c r="L882" t="n">
        <v>0</v>
      </c>
      <c r="M882" t="n">
        <v>0</v>
      </c>
      <c r="N882" t="n">
        <v>0</v>
      </c>
      <c r="O882" t="n">
        <v>0</v>
      </c>
      <c r="P882" t="n">
        <v>0</v>
      </c>
      <c r="Q882" t="n">
        <v>0</v>
      </c>
      <c r="R882" s="2" t="inlineStr"/>
    </row>
    <row r="883" ht="15" customHeight="1">
      <c r="A883" t="inlineStr">
        <is>
          <t>A 27808-2025</t>
        </is>
      </c>
      <c r="B883" s="1" t="n">
        <v>45817.31085648148</v>
      </c>
      <c r="C883" s="1" t="n">
        <v>46079</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27810-2025</t>
        </is>
      </c>
      <c r="B884" s="1" t="n">
        <v>45817.31708333334</v>
      </c>
      <c r="C884" s="1" t="n">
        <v>46079</v>
      </c>
      <c r="D884" t="inlineStr">
        <is>
          <t>STOCKHOLMS LÄN</t>
        </is>
      </c>
      <c r="E884" t="inlineStr">
        <is>
          <t>NORRTÄLJE</t>
        </is>
      </c>
      <c r="G884" t="n">
        <v>3.9</v>
      </c>
      <c r="H884" t="n">
        <v>0</v>
      </c>
      <c r="I884" t="n">
        <v>0</v>
      </c>
      <c r="J884" t="n">
        <v>0</v>
      </c>
      <c r="K884" t="n">
        <v>0</v>
      </c>
      <c r="L884" t="n">
        <v>0</v>
      </c>
      <c r="M884" t="n">
        <v>0</v>
      </c>
      <c r="N884" t="n">
        <v>0</v>
      </c>
      <c r="O884" t="n">
        <v>0</v>
      </c>
      <c r="P884" t="n">
        <v>0</v>
      </c>
      <c r="Q884" t="n">
        <v>0</v>
      </c>
      <c r="R884" s="2" t="inlineStr"/>
    </row>
    <row r="885" ht="15" customHeight="1">
      <c r="A885" t="inlineStr">
        <is>
          <t>A 27811-2025</t>
        </is>
      </c>
      <c r="B885" s="1" t="n">
        <v>45817.31986111111</v>
      </c>
      <c r="C885" s="1" t="n">
        <v>46079</v>
      </c>
      <c r="D885" t="inlineStr">
        <is>
          <t>STOCKHOLMS LÄN</t>
        </is>
      </c>
      <c r="E885" t="inlineStr">
        <is>
          <t>NORRTÄLJE</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27818-2025</t>
        </is>
      </c>
      <c r="B886" s="1" t="n">
        <v>45817.33503472222</v>
      </c>
      <c r="C886" s="1" t="n">
        <v>46079</v>
      </c>
      <c r="D886" t="inlineStr">
        <is>
          <t>STOCKHOLMS LÄN</t>
        </is>
      </c>
      <c r="E886" t="inlineStr">
        <is>
          <t>NORRTÄLJE</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15528-2025</t>
        </is>
      </c>
      <c r="B887" s="1" t="n">
        <v>45747.63471064815</v>
      </c>
      <c r="C887" s="1" t="n">
        <v>46079</v>
      </c>
      <c r="D887" t="inlineStr">
        <is>
          <t>STOCKHOLMS LÄN</t>
        </is>
      </c>
      <c r="E887" t="inlineStr">
        <is>
          <t>NORRTÄLJE</t>
        </is>
      </c>
      <c r="G887" t="n">
        <v>10</v>
      </c>
      <c r="H887" t="n">
        <v>0</v>
      </c>
      <c r="I887" t="n">
        <v>0</v>
      </c>
      <c r="J887" t="n">
        <v>0</v>
      </c>
      <c r="K887" t="n">
        <v>0</v>
      </c>
      <c r="L887" t="n">
        <v>0</v>
      </c>
      <c r="M887" t="n">
        <v>0</v>
      </c>
      <c r="N887" t="n">
        <v>0</v>
      </c>
      <c r="O887" t="n">
        <v>0</v>
      </c>
      <c r="P887" t="n">
        <v>0</v>
      </c>
      <c r="Q887" t="n">
        <v>0</v>
      </c>
      <c r="R887" s="2" t="inlineStr"/>
    </row>
    <row r="888" ht="15" customHeight="1">
      <c r="A888" t="inlineStr">
        <is>
          <t>A 48443-2025</t>
        </is>
      </c>
      <c r="B888" s="1" t="n">
        <v>45935.55326388889</v>
      </c>
      <c r="C888" s="1" t="n">
        <v>46079</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27803-2025</t>
        </is>
      </c>
      <c r="B889" s="1" t="n">
        <v>45817.291875</v>
      </c>
      <c r="C889" s="1" t="n">
        <v>46079</v>
      </c>
      <c r="D889" t="inlineStr">
        <is>
          <t>STOCKHOLMS LÄN</t>
        </is>
      </c>
      <c r="E889" t="inlineStr">
        <is>
          <t>NORRTÄLJE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27813-2025</t>
        </is>
      </c>
      <c r="B890" s="1" t="n">
        <v>45817.32538194444</v>
      </c>
      <c r="C890" s="1" t="n">
        <v>46079</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58297-2023</t>
        </is>
      </c>
      <c r="B891" s="1" t="n">
        <v>45245</v>
      </c>
      <c r="C891" s="1" t="n">
        <v>46079</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48127-2025</t>
        </is>
      </c>
      <c r="B892" s="1" t="n">
        <v>45933.36621527778</v>
      </c>
      <c r="C892" s="1" t="n">
        <v>46079</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27801-2025</t>
        </is>
      </c>
      <c r="B893" s="1" t="n">
        <v>45817.25471064815</v>
      </c>
      <c r="C893" s="1" t="n">
        <v>46079</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48364-2025</t>
        </is>
      </c>
      <c r="B894" s="1" t="n">
        <v>45933.66796296297</v>
      </c>
      <c r="C894" s="1" t="n">
        <v>46079</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48179-2025</t>
        </is>
      </c>
      <c r="B895" s="1" t="n">
        <v>45933.44907407407</v>
      </c>
      <c r="C895" s="1" t="n">
        <v>46079</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27821-2025</t>
        </is>
      </c>
      <c r="B896" s="1" t="n">
        <v>45817.34083333334</v>
      </c>
      <c r="C896" s="1" t="n">
        <v>46079</v>
      </c>
      <c r="D896" t="inlineStr">
        <is>
          <t>STOCKHOLMS LÄN</t>
        </is>
      </c>
      <c r="E896" t="inlineStr">
        <is>
          <t>NORRTÄLJE</t>
        </is>
      </c>
      <c r="G896" t="n">
        <v>3.2</v>
      </c>
      <c r="H896" t="n">
        <v>0</v>
      </c>
      <c r="I896" t="n">
        <v>0</v>
      </c>
      <c r="J896" t="n">
        <v>0</v>
      </c>
      <c r="K896" t="n">
        <v>0</v>
      </c>
      <c r="L896" t="n">
        <v>0</v>
      </c>
      <c r="M896" t="n">
        <v>0</v>
      </c>
      <c r="N896" t="n">
        <v>0</v>
      </c>
      <c r="O896" t="n">
        <v>0</v>
      </c>
      <c r="P896" t="n">
        <v>0</v>
      </c>
      <c r="Q896" t="n">
        <v>0</v>
      </c>
      <c r="R896" s="2" t="inlineStr"/>
    </row>
    <row r="897" ht="15" customHeight="1">
      <c r="A897" t="inlineStr">
        <is>
          <t>A 21726-2022</t>
        </is>
      </c>
      <c r="B897" s="1" t="n">
        <v>44708</v>
      </c>
      <c r="C897" s="1" t="n">
        <v>46079</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21739-2022</t>
        </is>
      </c>
      <c r="B898" s="1" t="n">
        <v>44708.36708333333</v>
      </c>
      <c r="C898" s="1" t="n">
        <v>46079</v>
      </c>
      <c r="D898" t="inlineStr">
        <is>
          <t>STOCKHOLMS LÄN</t>
        </is>
      </c>
      <c r="E898" t="inlineStr">
        <is>
          <t>NORRTÄLJE</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44746.58530092592</v>
      </c>
      <c r="C899" s="1" t="n">
        <v>46079</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48174-2025</t>
        </is>
      </c>
      <c r="B900" s="1" t="n">
        <v>45933.44230324074</v>
      </c>
      <c r="C900" s="1" t="n">
        <v>46079</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48593-2025</t>
        </is>
      </c>
      <c r="B901" s="1" t="n">
        <v>45936.4627662037</v>
      </c>
      <c r="C901" s="1" t="n">
        <v>46079</v>
      </c>
      <c r="D901" t="inlineStr">
        <is>
          <t>STOCKHOLMS LÄN</t>
        </is>
      </c>
      <c r="E901" t="inlineStr">
        <is>
          <t>NORRTÄLJE</t>
        </is>
      </c>
      <c r="G901" t="n">
        <v>4.2</v>
      </c>
      <c r="H901" t="n">
        <v>0</v>
      </c>
      <c r="I901" t="n">
        <v>0</v>
      </c>
      <c r="J901" t="n">
        <v>0</v>
      </c>
      <c r="K901" t="n">
        <v>0</v>
      </c>
      <c r="L901" t="n">
        <v>0</v>
      </c>
      <c r="M901" t="n">
        <v>0</v>
      </c>
      <c r="N901" t="n">
        <v>0</v>
      </c>
      <c r="O901" t="n">
        <v>0</v>
      </c>
      <c r="P901" t="n">
        <v>0</v>
      </c>
      <c r="Q901" t="n">
        <v>0</v>
      </c>
      <c r="R901" s="2" t="inlineStr"/>
    </row>
    <row r="902" ht="15" customHeight="1">
      <c r="A902" t="inlineStr">
        <is>
          <t>A 3283-2025</t>
        </is>
      </c>
      <c r="B902" s="1" t="n">
        <v>45679</v>
      </c>
      <c r="C902" s="1" t="n">
        <v>46079</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18092-2022</t>
        </is>
      </c>
      <c r="B903" s="1" t="n">
        <v>44684</v>
      </c>
      <c r="C903" s="1" t="n">
        <v>46079</v>
      </c>
      <c r="D903" t="inlineStr">
        <is>
          <t>STOCKHOLMS LÄN</t>
        </is>
      </c>
      <c r="E903" t="inlineStr">
        <is>
          <t>NORRTÄLJE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33295-2023</t>
        </is>
      </c>
      <c r="B904" s="1" t="n">
        <v>45127.69371527778</v>
      </c>
      <c r="C904" s="1" t="n">
        <v>46079</v>
      </c>
      <c r="D904" t="inlineStr">
        <is>
          <t>STOCKHOLMS LÄN</t>
        </is>
      </c>
      <c r="E904" t="inlineStr">
        <is>
          <t>NORRTÄLJE</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49129-2025</t>
        </is>
      </c>
      <c r="B905" s="1" t="n">
        <v>45937.89517361111</v>
      </c>
      <c r="C905" s="1" t="n">
        <v>46079</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44075-2023</t>
        </is>
      </c>
      <c r="B906" s="1" t="n">
        <v>45188.41637731482</v>
      </c>
      <c r="C906" s="1" t="n">
        <v>46079</v>
      </c>
      <c r="D906" t="inlineStr">
        <is>
          <t>STOCKHOLMS LÄN</t>
        </is>
      </c>
      <c r="E906" t="inlineStr">
        <is>
          <t>NORRTÄLJE</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48780-2025</t>
        </is>
      </c>
      <c r="B907" s="1" t="n">
        <v>45937.30377314815</v>
      </c>
      <c r="C907" s="1" t="n">
        <v>46079</v>
      </c>
      <c r="D907" t="inlineStr">
        <is>
          <t>STOCKHOLMS LÄN</t>
        </is>
      </c>
      <c r="E907" t="inlineStr">
        <is>
          <t>NORRTÄLJE</t>
        </is>
      </c>
      <c r="G907" t="n">
        <v>7.7</v>
      </c>
      <c r="H907" t="n">
        <v>0</v>
      </c>
      <c r="I907" t="n">
        <v>0</v>
      </c>
      <c r="J907" t="n">
        <v>0</v>
      </c>
      <c r="K907" t="n">
        <v>0</v>
      </c>
      <c r="L907" t="n">
        <v>0</v>
      </c>
      <c r="M907" t="n">
        <v>0</v>
      </c>
      <c r="N907" t="n">
        <v>0</v>
      </c>
      <c r="O907" t="n">
        <v>0</v>
      </c>
      <c r="P907" t="n">
        <v>0</v>
      </c>
      <c r="Q907" t="n">
        <v>0</v>
      </c>
      <c r="R907" s="2" t="inlineStr"/>
    </row>
    <row r="908" ht="15" customHeight="1">
      <c r="A908" t="inlineStr">
        <is>
          <t>A 58404-2023</t>
        </is>
      </c>
      <c r="B908" s="1" t="n">
        <v>45245</v>
      </c>
      <c r="C908" s="1" t="n">
        <v>46079</v>
      </c>
      <c r="D908" t="inlineStr">
        <is>
          <t>STOCKHOLMS LÄN</t>
        </is>
      </c>
      <c r="E908" t="inlineStr">
        <is>
          <t>NORRTÄLJE</t>
        </is>
      </c>
      <c r="G908" t="n">
        <v>53.5</v>
      </c>
      <c r="H908" t="n">
        <v>0</v>
      </c>
      <c r="I908" t="n">
        <v>0</v>
      </c>
      <c r="J908" t="n">
        <v>0</v>
      </c>
      <c r="K908" t="n">
        <v>0</v>
      </c>
      <c r="L908" t="n">
        <v>0</v>
      </c>
      <c r="M908" t="n">
        <v>0</v>
      </c>
      <c r="N908" t="n">
        <v>0</v>
      </c>
      <c r="O908" t="n">
        <v>0</v>
      </c>
      <c r="P908" t="n">
        <v>0</v>
      </c>
      <c r="Q908" t="n">
        <v>0</v>
      </c>
      <c r="R908" s="2" t="inlineStr"/>
    </row>
    <row r="909" ht="15" customHeight="1">
      <c r="A909" t="inlineStr">
        <is>
          <t>A 27885-2022</t>
        </is>
      </c>
      <c r="B909" s="1" t="n">
        <v>44743.67418981482</v>
      </c>
      <c r="C909" s="1" t="n">
        <v>46079</v>
      </c>
      <c r="D909" t="inlineStr">
        <is>
          <t>STOCKHOLMS LÄN</t>
        </is>
      </c>
      <c r="E909" t="inlineStr">
        <is>
          <t>NORRTÄLJE</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29250-2025</t>
        </is>
      </c>
      <c r="B910" s="1" t="n">
        <v>45824.37275462963</v>
      </c>
      <c r="C910" s="1" t="n">
        <v>46079</v>
      </c>
      <c r="D910" t="inlineStr">
        <is>
          <t>STOCKHOLMS LÄN</t>
        </is>
      </c>
      <c r="E910" t="inlineStr">
        <is>
          <t>NORRTÄLJE</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49836-2025</t>
        </is>
      </c>
      <c r="B911" s="1" t="n">
        <v>45940.46862268518</v>
      </c>
      <c r="C911" s="1" t="n">
        <v>46079</v>
      </c>
      <c r="D911" t="inlineStr">
        <is>
          <t>STOCKHOLMS LÄN</t>
        </is>
      </c>
      <c r="E911" t="inlineStr">
        <is>
          <t>NORRTÄLJE</t>
        </is>
      </c>
      <c r="G911" t="n">
        <v>3.5</v>
      </c>
      <c r="H911" t="n">
        <v>0</v>
      </c>
      <c r="I911" t="n">
        <v>0</v>
      </c>
      <c r="J911" t="n">
        <v>0</v>
      </c>
      <c r="K911" t="n">
        <v>0</v>
      </c>
      <c r="L911" t="n">
        <v>0</v>
      </c>
      <c r="M911" t="n">
        <v>0</v>
      </c>
      <c r="N911" t="n">
        <v>0</v>
      </c>
      <c r="O911" t="n">
        <v>0</v>
      </c>
      <c r="P911" t="n">
        <v>0</v>
      </c>
      <c r="Q911" t="n">
        <v>0</v>
      </c>
      <c r="R911" s="2" t="inlineStr"/>
    </row>
    <row r="912" ht="15" customHeight="1">
      <c r="A912" t="inlineStr">
        <is>
          <t>A 25525-2022</t>
        </is>
      </c>
      <c r="B912" s="1" t="n">
        <v>44732</v>
      </c>
      <c r="C912" s="1" t="n">
        <v>46079</v>
      </c>
      <c r="D912" t="inlineStr">
        <is>
          <t>STOCKHOLMS LÄN</t>
        </is>
      </c>
      <c r="E912" t="inlineStr">
        <is>
          <t>NORRTÄLJE</t>
        </is>
      </c>
      <c r="G912" t="n">
        <v>2.2</v>
      </c>
      <c r="H912" t="n">
        <v>0</v>
      </c>
      <c r="I912" t="n">
        <v>0</v>
      </c>
      <c r="J912" t="n">
        <v>0</v>
      </c>
      <c r="K912" t="n">
        <v>0</v>
      </c>
      <c r="L912" t="n">
        <v>0</v>
      </c>
      <c r="M912" t="n">
        <v>0</v>
      </c>
      <c r="N912" t="n">
        <v>0</v>
      </c>
      <c r="O912" t="n">
        <v>0</v>
      </c>
      <c r="P912" t="n">
        <v>0</v>
      </c>
      <c r="Q912" t="n">
        <v>0</v>
      </c>
      <c r="R912" s="2" t="inlineStr"/>
    </row>
    <row r="913" ht="15" customHeight="1">
      <c r="A913" t="inlineStr">
        <is>
          <t>A 48722-2023</t>
        </is>
      </c>
      <c r="B913" s="1" t="n">
        <v>45208.70996527778</v>
      </c>
      <c r="C913" s="1" t="n">
        <v>46079</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50097-2025</t>
        </is>
      </c>
      <c r="B914" s="1" t="n">
        <v>45943.50207175926</v>
      </c>
      <c r="C914" s="1" t="n">
        <v>46079</v>
      </c>
      <c r="D914" t="inlineStr">
        <is>
          <t>STOCKHOLMS LÄN</t>
        </is>
      </c>
      <c r="E914" t="inlineStr">
        <is>
          <t>NORRTÄLJE</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23801-2022</t>
        </is>
      </c>
      <c r="B915" s="1" t="n">
        <v>44722</v>
      </c>
      <c r="C915" s="1" t="n">
        <v>46079</v>
      </c>
      <c r="D915" t="inlineStr">
        <is>
          <t>STOCKHOLMS LÄN</t>
        </is>
      </c>
      <c r="E915" t="inlineStr">
        <is>
          <t>NORRTÄLJE</t>
        </is>
      </c>
      <c r="G915" t="n">
        <v>6.8</v>
      </c>
      <c r="H915" t="n">
        <v>0</v>
      </c>
      <c r="I915" t="n">
        <v>0</v>
      </c>
      <c r="J915" t="n">
        <v>0</v>
      </c>
      <c r="K915" t="n">
        <v>0</v>
      </c>
      <c r="L915" t="n">
        <v>0</v>
      </c>
      <c r="M915" t="n">
        <v>0</v>
      </c>
      <c r="N915" t="n">
        <v>0</v>
      </c>
      <c r="O915" t="n">
        <v>0</v>
      </c>
      <c r="P915" t="n">
        <v>0</v>
      </c>
      <c r="Q915" t="n">
        <v>0</v>
      </c>
      <c r="R915" s="2" t="inlineStr"/>
    </row>
    <row r="916" ht="15" customHeight="1">
      <c r="A916" t="inlineStr">
        <is>
          <t>A 50333-2025</t>
        </is>
      </c>
      <c r="B916" s="1" t="n">
        <v>45944.47178240741</v>
      </c>
      <c r="C916" s="1" t="n">
        <v>46079</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50563-2025</t>
        </is>
      </c>
      <c r="B917" s="1" t="n">
        <v>45944</v>
      </c>
      <c r="C917" s="1" t="n">
        <v>46079</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50327-2025</t>
        </is>
      </c>
      <c r="B918" s="1" t="n">
        <v>45944.46387731482</v>
      </c>
      <c r="C918" s="1" t="n">
        <v>46079</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33353-2023</t>
        </is>
      </c>
      <c r="B919" s="1" t="n">
        <v>45128</v>
      </c>
      <c r="C919" s="1" t="n">
        <v>46079</v>
      </c>
      <c r="D919" t="inlineStr">
        <is>
          <t>STOCKHOLMS LÄN</t>
        </is>
      </c>
      <c r="E919" t="inlineStr">
        <is>
          <t>NORRTÄLJE</t>
        </is>
      </c>
      <c r="G919" t="n">
        <v>0.8</v>
      </c>
      <c r="H919" t="n">
        <v>0</v>
      </c>
      <c r="I919" t="n">
        <v>0</v>
      </c>
      <c r="J919" t="n">
        <v>0</v>
      </c>
      <c r="K919" t="n">
        <v>0</v>
      </c>
      <c r="L919" t="n">
        <v>0</v>
      </c>
      <c r="M919" t="n">
        <v>0</v>
      </c>
      <c r="N919" t="n">
        <v>0</v>
      </c>
      <c r="O919" t="n">
        <v>0</v>
      </c>
      <c r="P919" t="n">
        <v>0</v>
      </c>
      <c r="Q919" t="n">
        <v>0</v>
      </c>
      <c r="R919" s="2" t="inlineStr"/>
    </row>
    <row r="920" ht="15" customHeight="1">
      <c r="A920" t="inlineStr">
        <is>
          <t>A 30668-2025</t>
        </is>
      </c>
      <c r="B920" s="1" t="n">
        <v>45831.51659722222</v>
      </c>
      <c r="C920" s="1" t="n">
        <v>46079</v>
      </c>
      <c r="D920" t="inlineStr">
        <is>
          <t>STOCKHOLMS LÄN</t>
        </is>
      </c>
      <c r="E920" t="inlineStr">
        <is>
          <t>NORRTÄLJE</t>
        </is>
      </c>
      <c r="G920" t="n">
        <v>4.9</v>
      </c>
      <c r="H920" t="n">
        <v>0</v>
      </c>
      <c r="I920" t="n">
        <v>0</v>
      </c>
      <c r="J920" t="n">
        <v>0</v>
      </c>
      <c r="K920" t="n">
        <v>0</v>
      </c>
      <c r="L920" t="n">
        <v>0</v>
      </c>
      <c r="M920" t="n">
        <v>0</v>
      </c>
      <c r="N920" t="n">
        <v>0</v>
      </c>
      <c r="O920" t="n">
        <v>0</v>
      </c>
      <c r="P920" t="n">
        <v>0</v>
      </c>
      <c r="Q920" t="n">
        <v>0</v>
      </c>
      <c r="R920" s="2" t="inlineStr"/>
    </row>
    <row r="921" ht="15" customHeight="1">
      <c r="A921" t="inlineStr">
        <is>
          <t>A 51240-2025</t>
        </is>
      </c>
      <c r="B921" s="1" t="n">
        <v>45947.70420138889</v>
      </c>
      <c r="C921" s="1" t="n">
        <v>46079</v>
      </c>
      <c r="D921" t="inlineStr">
        <is>
          <t>STOCKHOLMS LÄN</t>
        </is>
      </c>
      <c r="E921" t="inlineStr">
        <is>
          <t>NORRTÄLJE</t>
        </is>
      </c>
      <c r="F921" t="inlineStr">
        <is>
          <t>Naturvårdsverket</t>
        </is>
      </c>
      <c r="G921" t="n">
        <v>3</v>
      </c>
      <c r="H921" t="n">
        <v>0</v>
      </c>
      <c r="I921" t="n">
        <v>0</v>
      </c>
      <c r="J921" t="n">
        <v>0</v>
      </c>
      <c r="K921" t="n">
        <v>0</v>
      </c>
      <c r="L921" t="n">
        <v>0</v>
      </c>
      <c r="M921" t="n">
        <v>0</v>
      </c>
      <c r="N921" t="n">
        <v>0</v>
      </c>
      <c r="O921" t="n">
        <v>0</v>
      </c>
      <c r="P921" t="n">
        <v>0</v>
      </c>
      <c r="Q921" t="n">
        <v>0</v>
      </c>
      <c r="R921" s="2" t="inlineStr"/>
    </row>
    <row r="922" ht="15" customHeight="1">
      <c r="A922" t="inlineStr">
        <is>
          <t>A 59477-2025</t>
        </is>
      </c>
      <c r="B922" s="1" t="n">
        <v>45989.58679398148</v>
      </c>
      <c r="C922" s="1" t="n">
        <v>46079</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30639-2025</t>
        </is>
      </c>
      <c r="B923" s="1" t="n">
        <v>45831.4844212963</v>
      </c>
      <c r="C923" s="1" t="n">
        <v>46079</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51121-2025</t>
        </is>
      </c>
      <c r="B924" s="1" t="n">
        <v>45947.53293981482</v>
      </c>
      <c r="C924" s="1" t="n">
        <v>46079</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31170-2025</t>
        </is>
      </c>
      <c r="B925" s="1" t="n">
        <v>45832.66385416667</v>
      </c>
      <c r="C925" s="1" t="n">
        <v>46079</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51532-2025</t>
        </is>
      </c>
      <c r="B926" s="1" t="n">
        <v>45950.68297453703</v>
      </c>
      <c r="C926" s="1" t="n">
        <v>46079</v>
      </c>
      <c r="D926" t="inlineStr">
        <is>
          <t>STOCKHOLMS LÄN</t>
        </is>
      </c>
      <c r="E926" t="inlineStr">
        <is>
          <t>NORRTÄLJE</t>
        </is>
      </c>
      <c r="F926" t="inlineStr">
        <is>
          <t>Naturvårdsverket</t>
        </is>
      </c>
      <c r="G926" t="n">
        <v>17.3</v>
      </c>
      <c r="H926" t="n">
        <v>0</v>
      </c>
      <c r="I926" t="n">
        <v>0</v>
      </c>
      <c r="J926" t="n">
        <v>0</v>
      </c>
      <c r="K926" t="n">
        <v>0</v>
      </c>
      <c r="L926" t="n">
        <v>0</v>
      </c>
      <c r="M926" t="n">
        <v>0</v>
      </c>
      <c r="N926" t="n">
        <v>0</v>
      </c>
      <c r="O926" t="n">
        <v>0</v>
      </c>
      <c r="P926" t="n">
        <v>0</v>
      </c>
      <c r="Q926" t="n">
        <v>0</v>
      </c>
      <c r="R926" s="2" t="inlineStr"/>
    </row>
    <row r="927" ht="15" customHeight="1">
      <c r="A927" t="inlineStr">
        <is>
          <t>A 35708-2022</t>
        </is>
      </c>
      <c r="B927" s="1" t="n">
        <v>44799.65013888889</v>
      </c>
      <c r="C927" s="1" t="n">
        <v>46079</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51233-2025</t>
        </is>
      </c>
      <c r="B928" s="1" t="n">
        <v>45947.68232638889</v>
      </c>
      <c r="C928" s="1" t="n">
        <v>46079</v>
      </c>
      <c r="D928" t="inlineStr">
        <is>
          <t>STOCKHOLMS LÄN</t>
        </is>
      </c>
      <c r="E928" t="inlineStr">
        <is>
          <t>NORRTÄLJE</t>
        </is>
      </c>
      <c r="F928" t="inlineStr">
        <is>
          <t>Naturvårdsverket</t>
        </is>
      </c>
      <c r="G928" t="n">
        <v>8.1</v>
      </c>
      <c r="H928" t="n">
        <v>0</v>
      </c>
      <c r="I928" t="n">
        <v>0</v>
      </c>
      <c r="J928" t="n">
        <v>0</v>
      </c>
      <c r="K928" t="n">
        <v>0</v>
      </c>
      <c r="L928" t="n">
        <v>0</v>
      </c>
      <c r="M928" t="n">
        <v>0</v>
      </c>
      <c r="N928" t="n">
        <v>0</v>
      </c>
      <c r="O928" t="n">
        <v>0</v>
      </c>
      <c r="P928" t="n">
        <v>0</v>
      </c>
      <c r="Q928" t="n">
        <v>0</v>
      </c>
      <c r="R928" s="2" t="inlineStr"/>
    </row>
    <row r="929" ht="15" customHeight="1">
      <c r="A929" t="inlineStr">
        <is>
          <t>A 51236-2025</t>
        </is>
      </c>
      <c r="B929" s="1" t="n">
        <v>45947.69078703703</v>
      </c>
      <c r="C929" s="1" t="n">
        <v>46079</v>
      </c>
      <c r="D929" t="inlineStr">
        <is>
          <t>STOCKHOLMS LÄN</t>
        </is>
      </c>
      <c r="E929" t="inlineStr">
        <is>
          <t>NORRTÄLJE</t>
        </is>
      </c>
      <c r="F929" t="inlineStr">
        <is>
          <t>Naturvårdsverket</t>
        </is>
      </c>
      <c r="G929" t="n">
        <v>6.3</v>
      </c>
      <c r="H929" t="n">
        <v>0</v>
      </c>
      <c r="I929" t="n">
        <v>0</v>
      </c>
      <c r="J929" t="n">
        <v>0</v>
      </c>
      <c r="K929" t="n">
        <v>0</v>
      </c>
      <c r="L929" t="n">
        <v>0</v>
      </c>
      <c r="M929" t="n">
        <v>0</v>
      </c>
      <c r="N929" t="n">
        <v>0</v>
      </c>
      <c r="O929" t="n">
        <v>0</v>
      </c>
      <c r="P929" t="n">
        <v>0</v>
      </c>
      <c r="Q929" t="n">
        <v>0</v>
      </c>
      <c r="R929" s="2" t="inlineStr"/>
    </row>
    <row r="930" ht="15" customHeight="1">
      <c r="A930" t="inlineStr">
        <is>
          <t>A 51241-2025</t>
        </is>
      </c>
      <c r="B930" s="1" t="n">
        <v>45947.71726851852</v>
      </c>
      <c r="C930" s="1" t="n">
        <v>46079</v>
      </c>
      <c r="D930" t="inlineStr">
        <is>
          <t>STOCKHOLMS LÄN</t>
        </is>
      </c>
      <c r="E930" t="inlineStr">
        <is>
          <t>NORRTÄLJE</t>
        </is>
      </c>
      <c r="F930" t="inlineStr">
        <is>
          <t>Naturvårdsverket</t>
        </is>
      </c>
      <c r="G930" t="n">
        <v>6.4</v>
      </c>
      <c r="H930" t="n">
        <v>0</v>
      </c>
      <c r="I930" t="n">
        <v>0</v>
      </c>
      <c r="J930" t="n">
        <v>0</v>
      </c>
      <c r="K930" t="n">
        <v>0</v>
      </c>
      <c r="L930" t="n">
        <v>0</v>
      </c>
      <c r="M930" t="n">
        <v>0</v>
      </c>
      <c r="N930" t="n">
        <v>0</v>
      </c>
      <c r="O930" t="n">
        <v>0</v>
      </c>
      <c r="P930" t="n">
        <v>0</v>
      </c>
      <c r="Q930" t="n">
        <v>0</v>
      </c>
      <c r="R930" s="2" t="inlineStr"/>
    </row>
    <row r="931" ht="15" customHeight="1">
      <c r="A931" t="inlineStr">
        <is>
          <t>A 3426-2025</t>
        </is>
      </c>
      <c r="B931" s="1" t="n">
        <v>45680.42665509259</v>
      </c>
      <c r="C931" s="1" t="n">
        <v>46079</v>
      </c>
      <c r="D931" t="inlineStr">
        <is>
          <t>STOCKHOLMS LÄN</t>
        </is>
      </c>
      <c r="E931" t="inlineStr">
        <is>
          <t>NORRTÄLJE</t>
        </is>
      </c>
      <c r="G931" t="n">
        <v>3.2</v>
      </c>
      <c r="H931" t="n">
        <v>0</v>
      </c>
      <c r="I931" t="n">
        <v>0</v>
      </c>
      <c r="J931" t="n">
        <v>0</v>
      </c>
      <c r="K931" t="n">
        <v>0</v>
      </c>
      <c r="L931" t="n">
        <v>0</v>
      </c>
      <c r="M931" t="n">
        <v>0</v>
      </c>
      <c r="N931" t="n">
        <v>0</v>
      </c>
      <c r="O931" t="n">
        <v>0</v>
      </c>
      <c r="P931" t="n">
        <v>0</v>
      </c>
      <c r="Q931" t="n">
        <v>0</v>
      </c>
      <c r="R931" s="2" t="inlineStr"/>
    </row>
    <row r="932" ht="15" customHeight="1">
      <c r="A932" t="inlineStr">
        <is>
          <t>A 51122-2025</t>
        </is>
      </c>
      <c r="B932" s="1" t="n">
        <v>45947.53693287037</v>
      </c>
      <c r="C932" s="1" t="n">
        <v>46079</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9-2024</t>
        </is>
      </c>
      <c r="B933" s="1" t="n">
        <v>45293</v>
      </c>
      <c r="C933" s="1" t="n">
        <v>46079</v>
      </c>
      <c r="D933" t="inlineStr">
        <is>
          <t>STOCKHOLMS LÄN</t>
        </is>
      </c>
      <c r="E933" t="inlineStr">
        <is>
          <t>NORRTÄLJE</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51312-2023</t>
        </is>
      </c>
      <c r="B934" s="1" t="n">
        <v>45219.56697916667</v>
      </c>
      <c r="C934" s="1" t="n">
        <v>46079</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11849-2025</t>
        </is>
      </c>
      <c r="B935" s="1" t="n">
        <v>45728.38409722222</v>
      </c>
      <c r="C935" s="1" t="n">
        <v>46079</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38610-2022</t>
        </is>
      </c>
      <c r="B936" s="1" t="n">
        <v>44813.59915509259</v>
      </c>
      <c r="C936" s="1" t="n">
        <v>46079</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22816-2021</t>
        </is>
      </c>
      <c r="B937" s="1" t="n">
        <v>44325</v>
      </c>
      <c r="C937" s="1" t="n">
        <v>46079</v>
      </c>
      <c r="D937" t="inlineStr">
        <is>
          <t>STOCKHOLMS LÄN</t>
        </is>
      </c>
      <c r="E937" t="inlineStr">
        <is>
          <t>NORRTÄLJE</t>
        </is>
      </c>
      <c r="G937" t="n">
        <v>4.5</v>
      </c>
      <c r="H937" t="n">
        <v>0</v>
      </c>
      <c r="I937" t="n">
        <v>0</v>
      </c>
      <c r="J937" t="n">
        <v>0</v>
      </c>
      <c r="K937" t="n">
        <v>0</v>
      </c>
      <c r="L937" t="n">
        <v>0</v>
      </c>
      <c r="M937" t="n">
        <v>0</v>
      </c>
      <c r="N937" t="n">
        <v>0</v>
      </c>
      <c r="O937" t="n">
        <v>0</v>
      </c>
      <c r="P937" t="n">
        <v>0</v>
      </c>
      <c r="Q937" t="n">
        <v>0</v>
      </c>
      <c r="R937" s="2" t="inlineStr"/>
    </row>
    <row r="938" ht="15" customHeight="1">
      <c r="A938" t="inlineStr">
        <is>
          <t>A 31874-2025</t>
        </is>
      </c>
      <c r="B938" s="1" t="n">
        <v>45834</v>
      </c>
      <c r="C938" s="1" t="n">
        <v>46079</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31868-2025</t>
        </is>
      </c>
      <c r="B939" s="1" t="n">
        <v>45834.6447337963</v>
      </c>
      <c r="C939" s="1" t="n">
        <v>46079</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6413-2025</t>
        </is>
      </c>
      <c r="B940" s="1" t="n">
        <v>45699.46283564815</v>
      </c>
      <c r="C940" s="1" t="n">
        <v>46079</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51945-2025</t>
        </is>
      </c>
      <c r="B941" s="1" t="n">
        <v>45952.52679398148</v>
      </c>
      <c r="C941" s="1" t="n">
        <v>46079</v>
      </c>
      <c r="D941" t="inlineStr">
        <is>
          <t>STOCKHOLMS LÄN</t>
        </is>
      </c>
      <c r="E941" t="inlineStr">
        <is>
          <t>NORRTÄLJE</t>
        </is>
      </c>
      <c r="G941" t="n">
        <v>7</v>
      </c>
      <c r="H941" t="n">
        <v>0</v>
      </c>
      <c r="I941" t="n">
        <v>0</v>
      </c>
      <c r="J941" t="n">
        <v>0</v>
      </c>
      <c r="K941" t="n">
        <v>0</v>
      </c>
      <c r="L941" t="n">
        <v>0</v>
      </c>
      <c r="M941" t="n">
        <v>0</v>
      </c>
      <c r="N941" t="n">
        <v>0</v>
      </c>
      <c r="O941" t="n">
        <v>0</v>
      </c>
      <c r="P941" t="n">
        <v>0</v>
      </c>
      <c r="Q941" t="n">
        <v>0</v>
      </c>
      <c r="R941" s="2" t="inlineStr"/>
    </row>
    <row r="942" ht="15" customHeight="1">
      <c r="A942" t="inlineStr">
        <is>
          <t>A 51941-2025</t>
        </is>
      </c>
      <c r="B942" s="1" t="n">
        <v>45952.52261574074</v>
      </c>
      <c r="C942" s="1" t="n">
        <v>46079</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52061-2025</t>
        </is>
      </c>
      <c r="B943" s="1" t="n">
        <v>45952.63679398148</v>
      </c>
      <c r="C943" s="1" t="n">
        <v>46079</v>
      </c>
      <c r="D943" t="inlineStr">
        <is>
          <t>STOCKHOLMS LÄN</t>
        </is>
      </c>
      <c r="E943" t="inlineStr">
        <is>
          <t>NORRTÄLJE</t>
        </is>
      </c>
      <c r="G943" t="n">
        <v>9.5</v>
      </c>
      <c r="H943" t="n">
        <v>0</v>
      </c>
      <c r="I943" t="n">
        <v>0</v>
      </c>
      <c r="J943" t="n">
        <v>0</v>
      </c>
      <c r="K943" t="n">
        <v>0</v>
      </c>
      <c r="L943" t="n">
        <v>0</v>
      </c>
      <c r="M943" t="n">
        <v>0</v>
      </c>
      <c r="N943" t="n">
        <v>0</v>
      </c>
      <c r="O943" t="n">
        <v>0</v>
      </c>
      <c r="P943" t="n">
        <v>0</v>
      </c>
      <c r="Q943" t="n">
        <v>0</v>
      </c>
      <c r="R943" s="2" t="inlineStr"/>
    </row>
    <row r="944" ht="15" customHeight="1">
      <c r="A944" t="inlineStr">
        <is>
          <t>A 31880-2025</t>
        </is>
      </c>
      <c r="B944" s="1" t="n">
        <v>45834.65538194445</v>
      </c>
      <c r="C944" s="1" t="n">
        <v>46079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51960-2025</t>
        </is>
      </c>
      <c r="B945" s="1" t="n">
        <v>45952.54755787037</v>
      </c>
      <c r="C945" s="1" t="n">
        <v>46079</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51789-2025</t>
        </is>
      </c>
      <c r="B946" s="1" t="n">
        <v>45951.68046296296</v>
      </c>
      <c r="C946" s="1" t="n">
        <v>46079</v>
      </c>
      <c r="D946" t="inlineStr">
        <is>
          <t>STOCKHOLMS LÄN</t>
        </is>
      </c>
      <c r="E946" t="inlineStr">
        <is>
          <t>NORRTÄLJE</t>
        </is>
      </c>
      <c r="F946" t="inlineStr">
        <is>
          <t>Naturvårdsverket</t>
        </is>
      </c>
      <c r="G946" t="n">
        <v>8.9</v>
      </c>
      <c r="H946" t="n">
        <v>0</v>
      </c>
      <c r="I946" t="n">
        <v>0</v>
      </c>
      <c r="J946" t="n">
        <v>0</v>
      </c>
      <c r="K946" t="n">
        <v>0</v>
      </c>
      <c r="L946" t="n">
        <v>0</v>
      </c>
      <c r="M946" t="n">
        <v>0</v>
      </c>
      <c r="N946" t="n">
        <v>0</v>
      </c>
      <c r="O946" t="n">
        <v>0</v>
      </c>
      <c r="P946" t="n">
        <v>0</v>
      </c>
      <c r="Q946" t="n">
        <v>0</v>
      </c>
      <c r="R946" s="2" t="inlineStr"/>
    </row>
    <row r="947" ht="15" customHeight="1">
      <c r="A947" t="inlineStr">
        <is>
          <t>A 32283-2025</t>
        </is>
      </c>
      <c r="B947" s="1" t="n">
        <v>45835.68076388889</v>
      </c>
      <c r="C947" s="1" t="n">
        <v>46079</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52529-2025</t>
        </is>
      </c>
      <c r="B948" s="1" t="n">
        <v>45954.53229166667</v>
      </c>
      <c r="C948" s="1" t="n">
        <v>46079</v>
      </c>
      <c r="D948" t="inlineStr">
        <is>
          <t>STOCKHOLMS LÄN</t>
        </is>
      </c>
      <c r="E948" t="inlineStr">
        <is>
          <t>NORRTÄLJE</t>
        </is>
      </c>
      <c r="F948" t="inlineStr">
        <is>
          <t>Sveaskog</t>
        </is>
      </c>
      <c r="G948" t="n">
        <v>7.8</v>
      </c>
      <c r="H948" t="n">
        <v>0</v>
      </c>
      <c r="I948" t="n">
        <v>0</v>
      </c>
      <c r="J948" t="n">
        <v>0</v>
      </c>
      <c r="K948" t="n">
        <v>0</v>
      </c>
      <c r="L948" t="n">
        <v>0</v>
      </c>
      <c r="M948" t="n">
        <v>0</v>
      </c>
      <c r="N948" t="n">
        <v>0</v>
      </c>
      <c r="O948" t="n">
        <v>0</v>
      </c>
      <c r="P948" t="n">
        <v>0</v>
      </c>
      <c r="Q948" t="n">
        <v>0</v>
      </c>
      <c r="R948" s="2" t="inlineStr"/>
    </row>
    <row r="949" ht="15" customHeight="1">
      <c r="A949" t="inlineStr">
        <is>
          <t>A 52251-2025</t>
        </is>
      </c>
      <c r="B949" s="1" t="n">
        <v>45953.49185185185</v>
      </c>
      <c r="C949" s="1" t="n">
        <v>46079</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52254-2025</t>
        </is>
      </c>
      <c r="B950" s="1" t="n">
        <v>45953.49519675926</v>
      </c>
      <c r="C950" s="1" t="n">
        <v>46079</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32122-2025</t>
        </is>
      </c>
      <c r="B951" s="1" t="n">
        <v>45835.4928125</v>
      </c>
      <c r="C951" s="1" t="n">
        <v>46079</v>
      </c>
      <c r="D951" t="inlineStr">
        <is>
          <t>STOCKHOLMS LÄN</t>
        </is>
      </c>
      <c r="E951" t="inlineStr">
        <is>
          <t>NORRTÄLJE</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52526-2025</t>
        </is>
      </c>
      <c r="B952" s="1" t="n">
        <v>45954.53061342592</v>
      </c>
      <c r="C952" s="1" t="n">
        <v>46079</v>
      </c>
      <c r="D952" t="inlineStr">
        <is>
          <t>STOCKHOLMS LÄN</t>
        </is>
      </c>
      <c r="E952" t="inlineStr">
        <is>
          <t>NORRTÄLJE</t>
        </is>
      </c>
      <c r="F952" t="inlineStr">
        <is>
          <t>Sveaskog</t>
        </is>
      </c>
      <c r="G952" t="n">
        <v>2.9</v>
      </c>
      <c r="H952" t="n">
        <v>0</v>
      </c>
      <c r="I952" t="n">
        <v>0</v>
      </c>
      <c r="J952" t="n">
        <v>0</v>
      </c>
      <c r="K952" t="n">
        <v>0</v>
      </c>
      <c r="L952" t="n">
        <v>0</v>
      </c>
      <c r="M952" t="n">
        <v>0</v>
      </c>
      <c r="N952" t="n">
        <v>0</v>
      </c>
      <c r="O952" t="n">
        <v>0</v>
      </c>
      <c r="P952" t="n">
        <v>0</v>
      </c>
      <c r="Q952" t="n">
        <v>0</v>
      </c>
      <c r="R952" s="2" t="inlineStr"/>
    </row>
    <row r="953" ht="15" customHeight="1">
      <c r="A953" t="inlineStr">
        <is>
          <t>A 59468-2023</t>
        </is>
      </c>
      <c r="B953" s="1" t="n">
        <v>45254.41509259259</v>
      </c>
      <c r="C953" s="1" t="n">
        <v>46079</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32094-2025</t>
        </is>
      </c>
      <c r="B954" s="1" t="n">
        <v>45835.46034722222</v>
      </c>
      <c r="C954" s="1" t="n">
        <v>46079</v>
      </c>
      <c r="D954" t="inlineStr">
        <is>
          <t>STOCKHOLMS LÄN</t>
        </is>
      </c>
      <c r="E954" t="inlineStr">
        <is>
          <t>NORRTÄLJE</t>
        </is>
      </c>
      <c r="F954" t="inlineStr">
        <is>
          <t>Holmen skog AB</t>
        </is>
      </c>
      <c r="G954" t="n">
        <v>2.9</v>
      </c>
      <c r="H954" t="n">
        <v>0</v>
      </c>
      <c r="I954" t="n">
        <v>0</v>
      </c>
      <c r="J954" t="n">
        <v>0</v>
      </c>
      <c r="K954" t="n">
        <v>0</v>
      </c>
      <c r="L954" t="n">
        <v>0</v>
      </c>
      <c r="M954" t="n">
        <v>0</v>
      </c>
      <c r="N954" t="n">
        <v>0</v>
      </c>
      <c r="O954" t="n">
        <v>0</v>
      </c>
      <c r="P954" t="n">
        <v>0</v>
      </c>
      <c r="Q954" t="n">
        <v>0</v>
      </c>
      <c r="R954" s="2" t="inlineStr"/>
    </row>
    <row r="955" ht="15" customHeight="1">
      <c r="A955" t="inlineStr">
        <is>
          <t>A 18846-2022</t>
        </is>
      </c>
      <c r="B955" s="1" t="n">
        <v>44690</v>
      </c>
      <c r="C955" s="1" t="n">
        <v>46079</v>
      </c>
      <c r="D955" t="inlineStr">
        <is>
          <t>STOCKHOLMS LÄN</t>
        </is>
      </c>
      <c r="E955" t="inlineStr">
        <is>
          <t>NORRTÄLJE</t>
        </is>
      </c>
      <c r="G955" t="n">
        <v>7</v>
      </c>
      <c r="H955" t="n">
        <v>0</v>
      </c>
      <c r="I955" t="n">
        <v>0</v>
      </c>
      <c r="J955" t="n">
        <v>0</v>
      </c>
      <c r="K955" t="n">
        <v>0</v>
      </c>
      <c r="L955" t="n">
        <v>0</v>
      </c>
      <c r="M955" t="n">
        <v>0</v>
      </c>
      <c r="N955" t="n">
        <v>0</v>
      </c>
      <c r="O955" t="n">
        <v>0</v>
      </c>
      <c r="P955" t="n">
        <v>0</v>
      </c>
      <c r="Q955" t="n">
        <v>0</v>
      </c>
      <c r="R955" s="2" t="inlineStr"/>
    </row>
    <row r="956" ht="15" customHeight="1">
      <c r="A956" t="inlineStr">
        <is>
          <t>A 52729-2025</t>
        </is>
      </c>
      <c r="B956" s="1" t="n">
        <v>45957.3636574074</v>
      </c>
      <c r="C956" s="1" t="n">
        <v>46079</v>
      </c>
      <c r="D956" t="inlineStr">
        <is>
          <t>STOCKHOLMS LÄN</t>
        </is>
      </c>
      <c r="E956" t="inlineStr">
        <is>
          <t>NORRTÄLJE</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32016-2025</t>
        </is>
      </c>
      <c r="B957" s="1" t="n">
        <v>45835</v>
      </c>
      <c r="C957" s="1" t="n">
        <v>46079</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32396-2025</t>
        </is>
      </c>
      <c r="B958" s="1" t="n">
        <v>45837</v>
      </c>
      <c r="C958" s="1" t="n">
        <v>46079</v>
      </c>
      <c r="D958" t="inlineStr">
        <is>
          <t>STOCKHOLMS LÄN</t>
        </is>
      </c>
      <c r="E958" t="inlineStr">
        <is>
          <t>NORRTÄLJE</t>
        </is>
      </c>
      <c r="G958" t="n">
        <v>2</v>
      </c>
      <c r="H958" t="n">
        <v>0</v>
      </c>
      <c r="I958" t="n">
        <v>0</v>
      </c>
      <c r="J958" t="n">
        <v>0</v>
      </c>
      <c r="K958" t="n">
        <v>0</v>
      </c>
      <c r="L958" t="n">
        <v>0</v>
      </c>
      <c r="M958" t="n">
        <v>0</v>
      </c>
      <c r="N958" t="n">
        <v>0</v>
      </c>
      <c r="O958" t="n">
        <v>0</v>
      </c>
      <c r="P958" t="n">
        <v>0</v>
      </c>
      <c r="Q958" t="n">
        <v>0</v>
      </c>
      <c r="R958" s="2" t="inlineStr"/>
    </row>
    <row r="959" ht="15" customHeight="1">
      <c r="A959" t="inlineStr">
        <is>
          <t>A 32397-2025</t>
        </is>
      </c>
      <c r="B959" s="1" t="n">
        <v>45837.94081018519</v>
      </c>
      <c r="C959" s="1" t="n">
        <v>46079</v>
      </c>
      <c r="D959" t="inlineStr">
        <is>
          <t>STOCKHOLMS LÄN</t>
        </is>
      </c>
      <c r="E959" t="inlineStr">
        <is>
          <t>NORRTÄLJE</t>
        </is>
      </c>
      <c r="G959" t="n">
        <v>5.9</v>
      </c>
      <c r="H959" t="n">
        <v>0</v>
      </c>
      <c r="I959" t="n">
        <v>0</v>
      </c>
      <c r="J959" t="n">
        <v>0</v>
      </c>
      <c r="K959" t="n">
        <v>0</v>
      </c>
      <c r="L959" t="n">
        <v>0</v>
      </c>
      <c r="M959" t="n">
        <v>0</v>
      </c>
      <c r="N959" t="n">
        <v>0</v>
      </c>
      <c r="O959" t="n">
        <v>0</v>
      </c>
      <c r="P959" t="n">
        <v>0</v>
      </c>
      <c r="Q959" t="n">
        <v>0</v>
      </c>
      <c r="R959" s="2" t="inlineStr"/>
    </row>
    <row r="960" ht="15" customHeight="1">
      <c r="A960" t="inlineStr">
        <is>
          <t>A 52777-2025</t>
        </is>
      </c>
      <c r="B960" s="1" t="n">
        <v>45957.41832175926</v>
      </c>
      <c r="C960" s="1" t="n">
        <v>46079</v>
      </c>
      <c r="D960" t="inlineStr">
        <is>
          <t>STOCKHOLMS LÄN</t>
        </is>
      </c>
      <c r="E960" t="inlineStr">
        <is>
          <t>NORRTÄLJE</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52553-2025</t>
        </is>
      </c>
      <c r="B961" s="1" t="n">
        <v>45954.5624537037</v>
      </c>
      <c r="C961" s="1" t="n">
        <v>46079</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32480-2025</t>
        </is>
      </c>
      <c r="B962" s="1" t="n">
        <v>45838.43261574074</v>
      </c>
      <c r="C962" s="1" t="n">
        <v>46079</v>
      </c>
      <c r="D962" t="inlineStr">
        <is>
          <t>STOCKHOLMS LÄN</t>
        </is>
      </c>
      <c r="E962" t="inlineStr">
        <is>
          <t>NORRTÄLJE</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53087-2025</t>
        </is>
      </c>
      <c r="B963" s="1" t="n">
        <v>45958.41065972222</v>
      </c>
      <c r="C963" s="1" t="n">
        <v>46079</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52704-2025</t>
        </is>
      </c>
      <c r="B964" s="1" t="n">
        <v>45956.89097222222</v>
      </c>
      <c r="C964" s="1" t="n">
        <v>46079</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52734-2025</t>
        </is>
      </c>
      <c r="B965" s="1" t="n">
        <v>45957.3710300926</v>
      </c>
      <c r="C965" s="1" t="n">
        <v>46079</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32395-2025</t>
        </is>
      </c>
      <c r="B966" s="1" t="n">
        <v>45837.93730324074</v>
      </c>
      <c r="C966" s="1" t="n">
        <v>46079</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52773-2025</t>
        </is>
      </c>
      <c r="B967" s="1" t="n">
        <v>45957.41457175926</v>
      </c>
      <c r="C967" s="1" t="n">
        <v>46079</v>
      </c>
      <c r="D967" t="inlineStr">
        <is>
          <t>STOCKHOLMS LÄN</t>
        </is>
      </c>
      <c r="E967" t="inlineStr">
        <is>
          <t>NORRTÄLJE</t>
        </is>
      </c>
      <c r="F967" t="inlineStr">
        <is>
          <t>Sveaskog</t>
        </is>
      </c>
      <c r="G967" t="n">
        <v>10.5</v>
      </c>
      <c r="H967" t="n">
        <v>0</v>
      </c>
      <c r="I967" t="n">
        <v>0</v>
      </c>
      <c r="J967" t="n">
        <v>0</v>
      </c>
      <c r="K967" t="n">
        <v>0</v>
      </c>
      <c r="L967" t="n">
        <v>0</v>
      </c>
      <c r="M967" t="n">
        <v>0</v>
      </c>
      <c r="N967" t="n">
        <v>0</v>
      </c>
      <c r="O967" t="n">
        <v>0</v>
      </c>
      <c r="P967" t="n">
        <v>0</v>
      </c>
      <c r="Q967" t="n">
        <v>0</v>
      </c>
      <c r="R967" s="2" t="inlineStr"/>
    </row>
    <row r="968" ht="15" customHeight="1">
      <c r="A968" t="inlineStr">
        <is>
          <t>A 52776-2025</t>
        </is>
      </c>
      <c r="B968" s="1" t="n">
        <v>45957.41724537037</v>
      </c>
      <c r="C968" s="1" t="n">
        <v>46079</v>
      </c>
      <c r="D968" t="inlineStr">
        <is>
          <t>STOCKHOLMS LÄN</t>
        </is>
      </c>
      <c r="E968" t="inlineStr">
        <is>
          <t>NORRTÄLJE</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52703-2025</t>
        </is>
      </c>
      <c r="B969" s="1" t="n">
        <v>45956.88643518519</v>
      </c>
      <c r="C969" s="1" t="n">
        <v>46079</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33211-2025</t>
        </is>
      </c>
      <c r="B970" s="1" t="n">
        <v>45840.62755787037</v>
      </c>
      <c r="C970" s="1" t="n">
        <v>46079</v>
      </c>
      <c r="D970" t="inlineStr">
        <is>
          <t>STOCKHOLMS LÄN</t>
        </is>
      </c>
      <c r="E970" t="inlineStr">
        <is>
          <t>NORRTÄLJE</t>
        </is>
      </c>
      <c r="G970" t="n">
        <v>5.1</v>
      </c>
      <c r="H970" t="n">
        <v>0</v>
      </c>
      <c r="I970" t="n">
        <v>0</v>
      </c>
      <c r="J970" t="n">
        <v>0</v>
      </c>
      <c r="K970" t="n">
        <v>0</v>
      </c>
      <c r="L970" t="n">
        <v>0</v>
      </c>
      <c r="M970" t="n">
        <v>0</v>
      </c>
      <c r="N970" t="n">
        <v>0</v>
      </c>
      <c r="O970" t="n">
        <v>0</v>
      </c>
      <c r="P970" t="n">
        <v>0</v>
      </c>
      <c r="Q970" t="n">
        <v>0</v>
      </c>
      <c r="R970" s="2" t="inlineStr"/>
    </row>
    <row r="971" ht="15" customHeight="1">
      <c r="A971" t="inlineStr">
        <is>
          <t>A 12535-2025</t>
        </is>
      </c>
      <c r="B971" s="1" t="n">
        <v>45730.69502314815</v>
      </c>
      <c r="C971" s="1" t="n">
        <v>46079</v>
      </c>
      <c r="D971" t="inlineStr">
        <is>
          <t>STOCKHOLMS LÄN</t>
        </is>
      </c>
      <c r="E971" t="inlineStr">
        <is>
          <t>NORRTÄLJE</t>
        </is>
      </c>
      <c r="G971" t="n">
        <v>7.1</v>
      </c>
      <c r="H971" t="n">
        <v>0</v>
      </c>
      <c r="I971" t="n">
        <v>0</v>
      </c>
      <c r="J971" t="n">
        <v>0</v>
      </c>
      <c r="K971" t="n">
        <v>0</v>
      </c>
      <c r="L971" t="n">
        <v>0</v>
      </c>
      <c r="M971" t="n">
        <v>0</v>
      </c>
      <c r="N971" t="n">
        <v>0</v>
      </c>
      <c r="O971" t="n">
        <v>0</v>
      </c>
      <c r="P971" t="n">
        <v>0</v>
      </c>
      <c r="Q971" t="n">
        <v>0</v>
      </c>
      <c r="R971" s="2" t="inlineStr"/>
    </row>
    <row r="972" ht="15" customHeight="1">
      <c r="A972" t="inlineStr">
        <is>
          <t>A 32903-2025</t>
        </is>
      </c>
      <c r="B972" s="1" t="n">
        <v>45839.62398148148</v>
      </c>
      <c r="C972" s="1" t="n">
        <v>46079</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53000-2025</t>
        </is>
      </c>
      <c r="B973" s="1" t="n">
        <v>45957.74357638889</v>
      </c>
      <c r="C973" s="1" t="n">
        <v>46079</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33265-2025</t>
        </is>
      </c>
      <c r="B974" s="1" t="n">
        <v>45840.67829861111</v>
      </c>
      <c r="C974" s="1" t="n">
        <v>46079</v>
      </c>
      <c r="D974" t="inlineStr">
        <is>
          <t>STOCKHOLMS LÄN</t>
        </is>
      </c>
      <c r="E974" t="inlineStr">
        <is>
          <t>NORRTÄLJE</t>
        </is>
      </c>
      <c r="G974" t="n">
        <v>5.5</v>
      </c>
      <c r="H974" t="n">
        <v>0</v>
      </c>
      <c r="I974" t="n">
        <v>0</v>
      </c>
      <c r="J974" t="n">
        <v>0</v>
      </c>
      <c r="K974" t="n">
        <v>0</v>
      </c>
      <c r="L974" t="n">
        <v>0</v>
      </c>
      <c r="M974" t="n">
        <v>0</v>
      </c>
      <c r="N974" t="n">
        <v>0</v>
      </c>
      <c r="O974" t="n">
        <v>0</v>
      </c>
      <c r="P974" t="n">
        <v>0</v>
      </c>
      <c r="Q974" t="n">
        <v>0</v>
      </c>
      <c r="R974" s="2" t="inlineStr"/>
    </row>
    <row r="975" ht="15" customHeight="1">
      <c r="A975" t="inlineStr">
        <is>
          <t>A 53115-2025</t>
        </is>
      </c>
      <c r="B975" s="1" t="n">
        <v>45958.44614583333</v>
      </c>
      <c r="C975" s="1" t="n">
        <v>46079</v>
      </c>
      <c r="D975" t="inlineStr">
        <is>
          <t>STOCKHOLMS LÄN</t>
        </is>
      </c>
      <c r="E975" t="inlineStr">
        <is>
          <t>NORRTÄLJE</t>
        </is>
      </c>
      <c r="F975" t="inlineStr">
        <is>
          <t>Kyrkan</t>
        </is>
      </c>
      <c r="G975" t="n">
        <v>2.5</v>
      </c>
      <c r="H975" t="n">
        <v>0</v>
      </c>
      <c r="I975" t="n">
        <v>0</v>
      </c>
      <c r="J975" t="n">
        <v>0</v>
      </c>
      <c r="K975" t="n">
        <v>0</v>
      </c>
      <c r="L975" t="n">
        <v>0</v>
      </c>
      <c r="M975" t="n">
        <v>0</v>
      </c>
      <c r="N975" t="n">
        <v>0</v>
      </c>
      <c r="O975" t="n">
        <v>0</v>
      </c>
      <c r="P975" t="n">
        <v>0</v>
      </c>
      <c r="Q975" t="n">
        <v>0</v>
      </c>
      <c r="R975" s="2" t="inlineStr"/>
    </row>
    <row r="976" ht="15" customHeight="1">
      <c r="A976" t="inlineStr">
        <is>
          <t>A 574-2023</t>
        </is>
      </c>
      <c r="B976" s="1" t="n">
        <v>44925</v>
      </c>
      <c r="C976" s="1" t="n">
        <v>46079</v>
      </c>
      <c r="D976" t="inlineStr">
        <is>
          <t>STOCKHOLMS LÄN</t>
        </is>
      </c>
      <c r="E976" t="inlineStr">
        <is>
          <t>NORRTÄLJE</t>
        </is>
      </c>
      <c r="G976" t="n">
        <v>5</v>
      </c>
      <c r="H976" t="n">
        <v>0</v>
      </c>
      <c r="I976" t="n">
        <v>0</v>
      </c>
      <c r="J976" t="n">
        <v>0</v>
      </c>
      <c r="K976" t="n">
        <v>0</v>
      </c>
      <c r="L976" t="n">
        <v>0</v>
      </c>
      <c r="M976" t="n">
        <v>0</v>
      </c>
      <c r="N976" t="n">
        <v>0</v>
      </c>
      <c r="O976" t="n">
        <v>0</v>
      </c>
      <c r="P976" t="n">
        <v>0</v>
      </c>
      <c r="Q976" t="n">
        <v>0</v>
      </c>
      <c r="R976" s="2" t="inlineStr"/>
    </row>
    <row r="977" ht="15" customHeight="1">
      <c r="A977" t="inlineStr">
        <is>
          <t>A 32872-2025</t>
        </is>
      </c>
      <c r="B977" s="1" t="n">
        <v>45839</v>
      </c>
      <c r="C977" s="1" t="n">
        <v>46079</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53629-2025</t>
        </is>
      </c>
      <c r="B978" s="1" t="n">
        <v>45960.49570601852</v>
      </c>
      <c r="C978" s="1" t="n">
        <v>46079</v>
      </c>
      <c r="D978" t="inlineStr">
        <is>
          <t>STOCKHOLMS LÄN</t>
        </is>
      </c>
      <c r="E978" t="inlineStr">
        <is>
          <t>NORRTÄLJE</t>
        </is>
      </c>
      <c r="F978" t="inlineStr">
        <is>
          <t>Naturvårdsverket</t>
        </is>
      </c>
      <c r="G978" t="n">
        <v>7.9</v>
      </c>
      <c r="H978" t="n">
        <v>0</v>
      </c>
      <c r="I978" t="n">
        <v>0</v>
      </c>
      <c r="J978" t="n">
        <v>0</v>
      </c>
      <c r="K978" t="n">
        <v>0</v>
      </c>
      <c r="L978" t="n">
        <v>0</v>
      </c>
      <c r="M978" t="n">
        <v>0</v>
      </c>
      <c r="N978" t="n">
        <v>0</v>
      </c>
      <c r="O978" t="n">
        <v>0</v>
      </c>
      <c r="P978" t="n">
        <v>0</v>
      </c>
      <c r="Q978" t="n">
        <v>0</v>
      </c>
      <c r="R978" s="2" t="inlineStr"/>
    </row>
    <row r="979" ht="15" customHeight="1">
      <c r="A979" t="inlineStr">
        <is>
          <t>A 33702-2025</t>
        </is>
      </c>
      <c r="B979" s="1" t="n">
        <v>45841.74596064815</v>
      </c>
      <c r="C979" s="1" t="n">
        <v>46079</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33336-2025</t>
        </is>
      </c>
      <c r="B980" s="1" t="n">
        <v>45841.35611111111</v>
      </c>
      <c r="C980" s="1" t="n">
        <v>46079</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53747-2025</t>
        </is>
      </c>
      <c r="B981" s="1" t="n">
        <v>45960.65415509259</v>
      </c>
      <c r="C981" s="1" t="n">
        <v>46079</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53299-2025</t>
        </is>
      </c>
      <c r="B982" s="1" t="n">
        <v>45959.31901620371</v>
      </c>
      <c r="C982" s="1" t="n">
        <v>46079</v>
      </c>
      <c r="D982" t="inlineStr">
        <is>
          <t>STOCKHOLMS LÄN</t>
        </is>
      </c>
      <c r="E982" t="inlineStr">
        <is>
          <t>NORRTÄLJE</t>
        </is>
      </c>
      <c r="G982" t="n">
        <v>4.8</v>
      </c>
      <c r="H982" t="n">
        <v>0</v>
      </c>
      <c r="I982" t="n">
        <v>0</v>
      </c>
      <c r="J982" t="n">
        <v>0</v>
      </c>
      <c r="K982" t="n">
        <v>0</v>
      </c>
      <c r="L982" t="n">
        <v>0</v>
      </c>
      <c r="M982" t="n">
        <v>0</v>
      </c>
      <c r="N982" t="n">
        <v>0</v>
      </c>
      <c r="O982" t="n">
        <v>0</v>
      </c>
      <c r="P982" t="n">
        <v>0</v>
      </c>
      <c r="Q982" t="n">
        <v>0</v>
      </c>
      <c r="R982" s="2" t="inlineStr"/>
    </row>
    <row r="983" ht="15" customHeight="1">
      <c r="A983" t="inlineStr">
        <is>
          <t>A 33552-2025</t>
        </is>
      </c>
      <c r="B983" s="1" t="n">
        <v>45841.5737962963</v>
      </c>
      <c r="C983" s="1" t="n">
        <v>46079</v>
      </c>
      <c r="D983" t="inlineStr">
        <is>
          <t>STOCKHOLMS LÄN</t>
        </is>
      </c>
      <c r="E983" t="inlineStr">
        <is>
          <t>NORRTÄLJE</t>
        </is>
      </c>
      <c r="G983" t="n">
        <v>8.9</v>
      </c>
      <c r="H983" t="n">
        <v>0</v>
      </c>
      <c r="I983" t="n">
        <v>0</v>
      </c>
      <c r="J983" t="n">
        <v>0</v>
      </c>
      <c r="K983" t="n">
        <v>0</v>
      </c>
      <c r="L983" t="n">
        <v>0</v>
      </c>
      <c r="M983" t="n">
        <v>0</v>
      </c>
      <c r="N983" t="n">
        <v>0</v>
      </c>
      <c r="O983" t="n">
        <v>0</v>
      </c>
      <c r="P983" t="n">
        <v>0</v>
      </c>
      <c r="Q983" t="n">
        <v>0</v>
      </c>
      <c r="R983" s="2" t="inlineStr"/>
    </row>
    <row r="984" ht="15" customHeight="1">
      <c r="A984" t="inlineStr">
        <is>
          <t>A 33824-2025</t>
        </is>
      </c>
      <c r="B984" s="1" t="n">
        <v>45842.46885416667</v>
      </c>
      <c r="C984" s="1" t="n">
        <v>46079</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46073-2024</t>
        </is>
      </c>
      <c r="B985" s="1" t="n">
        <v>45581</v>
      </c>
      <c r="C985" s="1" t="n">
        <v>46079</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37010-2022</t>
        </is>
      </c>
      <c r="B986" s="1" t="n">
        <v>44806.41576388889</v>
      </c>
      <c r="C986" s="1" t="n">
        <v>46079</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36689-2023</t>
        </is>
      </c>
      <c r="B987" s="1" t="n">
        <v>45152</v>
      </c>
      <c r="C987" s="1" t="n">
        <v>46079</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34139-2025</t>
        </is>
      </c>
      <c r="B988" s="1" t="n">
        <v>45845</v>
      </c>
      <c r="C988" s="1" t="n">
        <v>46079</v>
      </c>
      <c r="D988" t="inlineStr">
        <is>
          <t>STOCKHOLMS LÄN</t>
        </is>
      </c>
      <c r="E988" t="inlineStr">
        <is>
          <t>NORRTÄLJE</t>
        </is>
      </c>
      <c r="G988" t="n">
        <v>5.5</v>
      </c>
      <c r="H988" t="n">
        <v>0</v>
      </c>
      <c r="I988" t="n">
        <v>0</v>
      </c>
      <c r="J988" t="n">
        <v>0</v>
      </c>
      <c r="K988" t="n">
        <v>0</v>
      </c>
      <c r="L988" t="n">
        <v>0</v>
      </c>
      <c r="M988" t="n">
        <v>0</v>
      </c>
      <c r="N988" t="n">
        <v>0</v>
      </c>
      <c r="O988" t="n">
        <v>0</v>
      </c>
      <c r="P988" t="n">
        <v>0</v>
      </c>
      <c r="Q988" t="n">
        <v>0</v>
      </c>
      <c r="R988" s="2" t="inlineStr"/>
    </row>
    <row r="989" ht="15" customHeight="1">
      <c r="A989" t="inlineStr">
        <is>
          <t>A 34006-2025</t>
        </is>
      </c>
      <c r="B989" s="1" t="n">
        <v>45844.62609953704</v>
      </c>
      <c r="C989" s="1" t="n">
        <v>46079</v>
      </c>
      <c r="D989" t="inlineStr">
        <is>
          <t>STOCKHOLMS LÄN</t>
        </is>
      </c>
      <c r="E989" t="inlineStr">
        <is>
          <t>NORRTÄLJE</t>
        </is>
      </c>
      <c r="G989" t="n">
        <v>2.3</v>
      </c>
      <c r="H989" t="n">
        <v>0</v>
      </c>
      <c r="I989" t="n">
        <v>0</v>
      </c>
      <c r="J989" t="n">
        <v>0</v>
      </c>
      <c r="K989" t="n">
        <v>0</v>
      </c>
      <c r="L989" t="n">
        <v>0</v>
      </c>
      <c r="M989" t="n">
        <v>0</v>
      </c>
      <c r="N989" t="n">
        <v>0</v>
      </c>
      <c r="O989" t="n">
        <v>0</v>
      </c>
      <c r="P989" t="n">
        <v>0</v>
      </c>
      <c r="Q989" t="n">
        <v>0</v>
      </c>
      <c r="R989" s="2" t="inlineStr"/>
    </row>
    <row r="990" ht="15" customHeight="1">
      <c r="A990" t="inlineStr">
        <is>
          <t>A 32705-2022</t>
        </is>
      </c>
      <c r="B990" s="1" t="n">
        <v>44783</v>
      </c>
      <c r="C990" s="1" t="n">
        <v>46079</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33149-2022</t>
        </is>
      </c>
      <c r="B991" s="1" t="n">
        <v>44785</v>
      </c>
      <c r="C991" s="1" t="n">
        <v>46079</v>
      </c>
      <c r="D991" t="inlineStr">
        <is>
          <t>STOCKHOLMS LÄN</t>
        </is>
      </c>
      <c r="E991" t="inlineStr">
        <is>
          <t>NORRTÄLJE</t>
        </is>
      </c>
      <c r="F991" t="inlineStr">
        <is>
          <t>Holmen skog AB</t>
        </is>
      </c>
      <c r="G991" t="n">
        <v>4.4</v>
      </c>
      <c r="H991" t="n">
        <v>0</v>
      </c>
      <c r="I991" t="n">
        <v>0</v>
      </c>
      <c r="J991" t="n">
        <v>0</v>
      </c>
      <c r="K991" t="n">
        <v>0</v>
      </c>
      <c r="L991" t="n">
        <v>0</v>
      </c>
      <c r="M991" t="n">
        <v>0</v>
      </c>
      <c r="N991" t="n">
        <v>0</v>
      </c>
      <c r="O991" t="n">
        <v>0</v>
      </c>
      <c r="P991" t="n">
        <v>0</v>
      </c>
      <c r="Q991" t="n">
        <v>0</v>
      </c>
      <c r="R991" s="2" t="inlineStr"/>
    </row>
    <row r="992" ht="15" customHeight="1">
      <c r="A992" t="inlineStr">
        <is>
          <t>A 34010-2025</t>
        </is>
      </c>
      <c r="B992" s="1" t="n">
        <v>45844.91234953704</v>
      </c>
      <c r="C992" s="1" t="n">
        <v>46079</v>
      </c>
      <c r="D992" t="inlineStr">
        <is>
          <t>STOCKHOLMS LÄN</t>
        </is>
      </c>
      <c r="E992" t="inlineStr">
        <is>
          <t>NORRTÄLJE</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14559-2024</t>
        </is>
      </c>
      <c r="B993" s="1" t="n">
        <v>45394.72869212963</v>
      </c>
      <c r="C993" s="1" t="n">
        <v>46079</v>
      </c>
      <c r="D993" t="inlineStr">
        <is>
          <t>STOCKHOLMS LÄN</t>
        </is>
      </c>
      <c r="E993" t="inlineStr">
        <is>
          <t>NORRTÄLJE</t>
        </is>
      </c>
      <c r="G993" t="n">
        <v>4.2</v>
      </c>
      <c r="H993" t="n">
        <v>0</v>
      </c>
      <c r="I993" t="n">
        <v>0</v>
      </c>
      <c r="J993" t="n">
        <v>0</v>
      </c>
      <c r="K993" t="n">
        <v>0</v>
      </c>
      <c r="L993" t="n">
        <v>0</v>
      </c>
      <c r="M993" t="n">
        <v>0</v>
      </c>
      <c r="N993" t="n">
        <v>0</v>
      </c>
      <c r="O993" t="n">
        <v>0</v>
      </c>
      <c r="P993" t="n">
        <v>0</v>
      </c>
      <c r="Q993" t="n">
        <v>0</v>
      </c>
      <c r="R993" s="2" t="inlineStr"/>
    </row>
    <row r="994" ht="15" customHeight="1">
      <c r="A994" t="inlineStr">
        <is>
          <t>A 11-2024</t>
        </is>
      </c>
      <c r="B994" s="1" t="n">
        <v>45293</v>
      </c>
      <c r="C994" s="1" t="n">
        <v>46079</v>
      </c>
      <c r="D994" t="inlineStr">
        <is>
          <t>STOCKHOLMS LÄN</t>
        </is>
      </c>
      <c r="E994" t="inlineStr">
        <is>
          <t>NORRTÄLJE</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15256-2023</t>
        </is>
      </c>
      <c r="B995" s="1" t="n">
        <v>45019.3959837963</v>
      </c>
      <c r="C995" s="1" t="n">
        <v>46079</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7413-2024</t>
        </is>
      </c>
      <c r="B996" s="1" t="n">
        <v>45345.6059837963</v>
      </c>
      <c r="C996" s="1" t="n">
        <v>46079</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58040-2024</t>
        </is>
      </c>
      <c r="B997" s="1" t="n">
        <v>45631.73952546297</v>
      </c>
      <c r="C997" s="1" t="n">
        <v>46079</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58041-2024</t>
        </is>
      </c>
      <c r="B998" s="1" t="n">
        <v>45631.74673611111</v>
      </c>
      <c r="C998" s="1" t="n">
        <v>46079</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54907-2025</t>
        </is>
      </c>
      <c r="B999" s="1" t="n">
        <v>45967.37137731481</v>
      </c>
      <c r="C999" s="1" t="n">
        <v>46079</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31057-2022</t>
        </is>
      </c>
      <c r="B1000" s="1" t="n">
        <v>44769</v>
      </c>
      <c r="C1000" s="1" t="n">
        <v>46079</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35110-2025</t>
        </is>
      </c>
      <c r="B1001" s="1" t="n">
        <v>45852.58030092593</v>
      </c>
      <c r="C1001" s="1" t="n">
        <v>46079</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55503-2025</t>
        </is>
      </c>
      <c r="B1002" s="1" t="n">
        <v>45971</v>
      </c>
      <c r="C1002" s="1" t="n">
        <v>46079</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55599-2025</t>
        </is>
      </c>
      <c r="B1003" s="1" t="n">
        <v>45971.76810185185</v>
      </c>
      <c r="C1003" s="1" t="n">
        <v>46079</v>
      </c>
      <c r="D1003" t="inlineStr">
        <is>
          <t>STOCKHOLMS LÄN</t>
        </is>
      </c>
      <c r="E1003" t="inlineStr">
        <is>
          <t>NORRTÄLJE</t>
        </is>
      </c>
      <c r="F1003" t="inlineStr">
        <is>
          <t>Holmen skog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25619-2022</t>
        </is>
      </c>
      <c r="B1004" s="1" t="n">
        <v>44732</v>
      </c>
      <c r="C1004" s="1" t="n">
        <v>46079</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15422-2024</t>
        </is>
      </c>
      <c r="B1005" s="1" t="n">
        <v>45401.3653125</v>
      </c>
      <c r="C1005" s="1" t="n">
        <v>46079</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35254-2025</t>
        </is>
      </c>
      <c r="B1006" s="1" t="n">
        <v>45853</v>
      </c>
      <c r="C1006" s="1" t="n">
        <v>46079</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35479-2025</t>
        </is>
      </c>
      <c r="B1007" s="1" t="n">
        <v>45855.69387731481</v>
      </c>
      <c r="C1007" s="1" t="n">
        <v>46079</v>
      </c>
      <c r="D1007" t="inlineStr">
        <is>
          <t>STOCKHOLMS LÄN</t>
        </is>
      </c>
      <c r="E1007" t="inlineStr">
        <is>
          <t>NORRTÄLJE</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56207-2025</t>
        </is>
      </c>
      <c r="B1008" s="1" t="n">
        <v>45974.47329861111</v>
      </c>
      <c r="C1008" s="1" t="n">
        <v>46079</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35451-2025</t>
        </is>
      </c>
      <c r="B1009" s="1" t="n">
        <v>45855.57033564815</v>
      </c>
      <c r="C1009" s="1" t="n">
        <v>46079</v>
      </c>
      <c r="D1009" t="inlineStr">
        <is>
          <t>STOCKHOLMS LÄN</t>
        </is>
      </c>
      <c r="E1009" t="inlineStr">
        <is>
          <t>NORRTÄLJE</t>
        </is>
      </c>
      <c r="F1009" t="inlineStr">
        <is>
          <t>Holmen skog AB</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48716-2023</t>
        </is>
      </c>
      <c r="B1010" s="1" t="n">
        <v>45208.69671296296</v>
      </c>
      <c r="C1010" s="1" t="n">
        <v>46079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55369-2023</t>
        </is>
      </c>
      <c r="B1011" s="1" t="n">
        <v>45238</v>
      </c>
      <c r="C1011" s="1" t="n">
        <v>46079</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35478-2025</t>
        </is>
      </c>
      <c r="B1012" s="1" t="n">
        <v>45855.68413194444</v>
      </c>
      <c r="C1012" s="1" t="n">
        <v>46079</v>
      </c>
      <c r="D1012" t="inlineStr">
        <is>
          <t>STOCKHOLMS LÄN</t>
        </is>
      </c>
      <c r="E1012" t="inlineStr">
        <is>
          <t>NORRTÄLJE</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20121-2022</t>
        </is>
      </c>
      <c r="B1013" s="1" t="n">
        <v>44698</v>
      </c>
      <c r="C1013" s="1" t="n">
        <v>46079</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26407-2024</t>
        </is>
      </c>
      <c r="B1014" s="1" t="n">
        <v>45469</v>
      </c>
      <c r="C1014" s="1" t="n">
        <v>46079</v>
      </c>
      <c r="D1014" t="inlineStr">
        <is>
          <t>STOCKHOLMS LÄN</t>
        </is>
      </c>
      <c r="E1014" t="inlineStr">
        <is>
          <t>NORRTÄLJE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10098-2022</t>
        </is>
      </c>
      <c r="B1015" s="1" t="n">
        <v>44621</v>
      </c>
      <c r="C1015" s="1" t="n">
        <v>46079</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56114-2025</t>
        </is>
      </c>
      <c r="B1016" s="1" t="n">
        <v>45973.74474537037</v>
      </c>
      <c r="C1016" s="1" t="n">
        <v>46079</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49700-2023</t>
        </is>
      </c>
      <c r="B1017" s="1" t="n">
        <v>45212</v>
      </c>
      <c r="C1017" s="1" t="n">
        <v>46079</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59875-2024</t>
        </is>
      </c>
      <c r="B1018" s="1" t="n">
        <v>45640.58716435185</v>
      </c>
      <c r="C1018" s="1" t="n">
        <v>46079</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45220-2024</t>
        </is>
      </c>
      <c r="B1019" s="1" t="n">
        <v>45575</v>
      </c>
      <c r="C1019" s="1" t="n">
        <v>46079</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20698-2025</t>
        </is>
      </c>
      <c r="B1020" s="1" t="n">
        <v>45776.47122685185</v>
      </c>
      <c r="C1020" s="1" t="n">
        <v>46079</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4658-2024</t>
        </is>
      </c>
      <c r="B1021" s="1" t="n">
        <v>45328.46336805556</v>
      </c>
      <c r="C1021" s="1" t="n">
        <v>46079</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36396-2025</t>
        </is>
      </c>
      <c r="B1022" s="1" t="n">
        <v>45868.62267361111</v>
      </c>
      <c r="C1022" s="1" t="n">
        <v>46079</v>
      </c>
      <c r="D1022" t="inlineStr">
        <is>
          <t>STOCKHOLMS LÄN</t>
        </is>
      </c>
      <c r="E1022" t="inlineStr">
        <is>
          <t>NORRTÄLJE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48145-2024</t>
        </is>
      </c>
      <c r="B1023" s="1" t="n">
        <v>45589.6756712963</v>
      </c>
      <c r="C1023" s="1" t="n">
        <v>46079</v>
      </c>
      <c r="D1023" t="inlineStr">
        <is>
          <t>STOCKHOLMS LÄN</t>
        </is>
      </c>
      <c r="E1023" t="inlineStr">
        <is>
          <t>NORRTÄLJE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10642-2025</t>
        </is>
      </c>
      <c r="B1024" s="1" t="n">
        <v>45721.65858796296</v>
      </c>
      <c r="C1024" s="1" t="n">
        <v>46079</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22232-2024</t>
        </is>
      </c>
      <c r="B1025" s="1" t="n">
        <v>45446.4287962963</v>
      </c>
      <c r="C1025" s="1" t="n">
        <v>46079</v>
      </c>
      <c r="D1025" t="inlineStr">
        <is>
          <t>STOCKHOLMS LÄN</t>
        </is>
      </c>
      <c r="E1025" t="inlineStr">
        <is>
          <t>NORRTÄLJE</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34444-2024</t>
        </is>
      </c>
      <c r="B1026" s="1" t="n">
        <v>45525</v>
      </c>
      <c r="C1026" s="1" t="n">
        <v>46079</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24024-2024</t>
        </is>
      </c>
      <c r="B1027" s="1" t="n">
        <v>45456</v>
      </c>
      <c r="C1027" s="1" t="n">
        <v>46079</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58142-2025</t>
        </is>
      </c>
      <c r="B1028" s="1" t="n">
        <v>45982.63791666667</v>
      </c>
      <c r="C1028" s="1" t="n">
        <v>46079</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57953-2025</t>
        </is>
      </c>
      <c r="B1029" s="1" t="n">
        <v>45982.35016203704</v>
      </c>
      <c r="C1029" s="1" t="n">
        <v>46079</v>
      </c>
      <c r="D1029" t="inlineStr">
        <is>
          <t>STOCKHOLMS LÄN</t>
        </is>
      </c>
      <c r="E1029" t="inlineStr">
        <is>
          <t>NORRTÄLJE</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35532-2024</t>
        </is>
      </c>
      <c r="B1030" s="1" t="n">
        <v>45531</v>
      </c>
      <c r="C1030" s="1" t="n">
        <v>46079</v>
      </c>
      <c r="D1030" t="inlineStr">
        <is>
          <t>STOCKHOLMS LÄN</t>
        </is>
      </c>
      <c r="E1030" t="inlineStr">
        <is>
          <t>NORRTÄLJE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21291-2021</t>
        </is>
      </c>
      <c r="B1031" s="1" t="n">
        <v>44319</v>
      </c>
      <c r="C1031" s="1" t="n">
        <v>46079</v>
      </c>
      <c r="D1031" t="inlineStr">
        <is>
          <t>STOCKHOLMS LÄN</t>
        </is>
      </c>
      <c r="E1031" t="inlineStr">
        <is>
          <t>NORRTÄLJE</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19118-2022</t>
        </is>
      </c>
      <c r="B1032" s="1" t="n">
        <v>44691.5652662037</v>
      </c>
      <c r="C1032" s="1" t="n">
        <v>46079</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22421-2021</t>
        </is>
      </c>
      <c r="B1033" s="1" t="n">
        <v>44326</v>
      </c>
      <c r="C1033" s="1" t="n">
        <v>46079</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58403-2025</t>
        </is>
      </c>
      <c r="B1034" s="1" t="n">
        <v>45985.56777777777</v>
      </c>
      <c r="C1034" s="1" t="n">
        <v>46079</v>
      </c>
      <c r="D1034" t="inlineStr">
        <is>
          <t>STOCKHOLMS LÄN</t>
        </is>
      </c>
      <c r="E1034" t="inlineStr">
        <is>
          <t>NORRTÄLJE</t>
        </is>
      </c>
      <c r="F1034" t="inlineStr">
        <is>
          <t>Naturvårdsverket</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59893-2022</t>
        </is>
      </c>
      <c r="B1035" s="1" t="n">
        <v>44908.77368055555</v>
      </c>
      <c r="C1035" s="1" t="n">
        <v>46079</v>
      </c>
      <c r="D1035" t="inlineStr">
        <is>
          <t>STOCKHOLMS LÄN</t>
        </is>
      </c>
      <c r="E1035" t="inlineStr">
        <is>
          <t>NORRTÄLJE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33226-2024</t>
        </is>
      </c>
      <c r="B1036" s="1" t="n">
        <v>45518</v>
      </c>
      <c r="C1036" s="1" t="n">
        <v>46079</v>
      </c>
      <c r="D1036" t="inlineStr">
        <is>
          <t>STOCKHOLMS LÄN</t>
        </is>
      </c>
      <c r="E1036" t="inlineStr">
        <is>
          <t>NORRTÄLJE</t>
        </is>
      </c>
      <c r="G1036" t="n">
        <v>13.8</v>
      </c>
      <c r="H1036" t="n">
        <v>0</v>
      </c>
      <c r="I1036" t="n">
        <v>0</v>
      </c>
      <c r="J1036" t="n">
        <v>0</v>
      </c>
      <c r="K1036" t="n">
        <v>0</v>
      </c>
      <c r="L1036" t="n">
        <v>0</v>
      </c>
      <c r="M1036" t="n">
        <v>0</v>
      </c>
      <c r="N1036" t="n">
        <v>0</v>
      </c>
      <c r="O1036" t="n">
        <v>0</v>
      </c>
      <c r="P1036" t="n">
        <v>0</v>
      </c>
      <c r="Q1036" t="n">
        <v>0</v>
      </c>
      <c r="R1036" s="2" t="inlineStr"/>
    </row>
    <row r="1037" ht="15" customHeight="1">
      <c r="A1037" t="inlineStr">
        <is>
          <t>A 58939-2025</t>
        </is>
      </c>
      <c r="B1037" s="1" t="n">
        <v>45987.5681712963</v>
      </c>
      <c r="C1037" s="1" t="n">
        <v>46079</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37261-2025</t>
        </is>
      </c>
      <c r="B1038" s="1" t="n">
        <v>45876.45253472222</v>
      </c>
      <c r="C1038" s="1" t="n">
        <v>46079</v>
      </c>
      <c r="D1038" t="inlineStr">
        <is>
          <t>STOCKHOLMS LÄN</t>
        </is>
      </c>
      <c r="E1038" t="inlineStr">
        <is>
          <t>NORRTÄLJE</t>
        </is>
      </c>
      <c r="F1038" t="inlineStr">
        <is>
          <t>Kommuner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20692-2025</t>
        </is>
      </c>
      <c r="B1039" s="1" t="n">
        <v>45776.46369212963</v>
      </c>
      <c r="C1039" s="1" t="n">
        <v>46079</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46071-2024</t>
        </is>
      </c>
      <c r="B1040" s="1" t="n">
        <v>45581</v>
      </c>
      <c r="C1040" s="1" t="n">
        <v>46079</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57788-2025</t>
        </is>
      </c>
      <c r="B1041" s="1" t="n">
        <v>45981.5778125</v>
      </c>
      <c r="C1041" s="1" t="n">
        <v>46079</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29369-2024</t>
        </is>
      </c>
      <c r="B1042" s="1" t="n">
        <v>45483.57244212963</v>
      </c>
      <c r="C1042" s="1" t="n">
        <v>46079</v>
      </c>
      <c r="D1042" t="inlineStr">
        <is>
          <t>STOCKHOLMS LÄN</t>
        </is>
      </c>
      <c r="E1042" t="inlineStr">
        <is>
          <t>NORRTÄLJE</t>
        </is>
      </c>
      <c r="G1042" t="n">
        <v>15.9</v>
      </c>
      <c r="H1042" t="n">
        <v>0</v>
      </c>
      <c r="I1042" t="n">
        <v>0</v>
      </c>
      <c r="J1042" t="n">
        <v>0</v>
      </c>
      <c r="K1042" t="n">
        <v>0</v>
      </c>
      <c r="L1042" t="n">
        <v>0</v>
      </c>
      <c r="M1042" t="n">
        <v>0</v>
      </c>
      <c r="N1042" t="n">
        <v>0</v>
      </c>
      <c r="O1042" t="n">
        <v>0</v>
      </c>
      <c r="P1042" t="n">
        <v>0</v>
      </c>
      <c r="Q1042" t="n">
        <v>0</v>
      </c>
      <c r="R1042" s="2" t="inlineStr"/>
    </row>
    <row r="1043" ht="15" customHeight="1">
      <c r="A1043" t="inlineStr">
        <is>
          <t>A 37630-2025</t>
        </is>
      </c>
      <c r="B1043" s="1" t="n">
        <v>45880.46372685185</v>
      </c>
      <c r="C1043" s="1" t="n">
        <v>46079</v>
      </c>
      <c r="D1043" t="inlineStr">
        <is>
          <t>STOCKHOLMS LÄN</t>
        </is>
      </c>
      <c r="E1043" t="inlineStr">
        <is>
          <t>NORRTÄLJE</t>
        </is>
      </c>
      <c r="F1043" t="inlineStr">
        <is>
          <t>Sveaskog</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37632-2025</t>
        </is>
      </c>
      <c r="B1044" s="1" t="n">
        <v>45880.46524305556</v>
      </c>
      <c r="C1044" s="1" t="n">
        <v>46079</v>
      </c>
      <c r="D1044" t="inlineStr">
        <is>
          <t>STOCKHOLMS LÄN</t>
        </is>
      </c>
      <c r="E1044" t="inlineStr">
        <is>
          <t>NORRTÄLJE</t>
        </is>
      </c>
      <c r="F1044" t="inlineStr">
        <is>
          <t>Sveaskog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29841-2024</t>
        </is>
      </c>
      <c r="B1045" s="1" t="n">
        <v>45485.60261574074</v>
      </c>
      <c r="C1045" s="1" t="n">
        <v>46079</v>
      </c>
      <c r="D1045" t="inlineStr">
        <is>
          <t>STOCKHOLMS LÄN</t>
        </is>
      </c>
      <c r="E1045" t="inlineStr">
        <is>
          <t>NORRTÄLJE</t>
        </is>
      </c>
      <c r="G1045" t="n">
        <v>15.9</v>
      </c>
      <c r="H1045" t="n">
        <v>0</v>
      </c>
      <c r="I1045" t="n">
        <v>0</v>
      </c>
      <c r="J1045" t="n">
        <v>0</v>
      </c>
      <c r="K1045" t="n">
        <v>0</v>
      </c>
      <c r="L1045" t="n">
        <v>0</v>
      </c>
      <c r="M1045" t="n">
        <v>0</v>
      </c>
      <c r="N1045" t="n">
        <v>0</v>
      </c>
      <c r="O1045" t="n">
        <v>0</v>
      </c>
      <c r="P1045" t="n">
        <v>0</v>
      </c>
      <c r="Q1045" t="n">
        <v>0</v>
      </c>
      <c r="R1045" s="2" t="inlineStr"/>
    </row>
    <row r="1046" ht="15" customHeight="1">
      <c r="A1046" t="inlineStr">
        <is>
          <t>A 59672-2025</t>
        </is>
      </c>
      <c r="B1046" s="1" t="n">
        <v>45992.45884259259</v>
      </c>
      <c r="C1046" s="1" t="n">
        <v>46079</v>
      </c>
      <c r="D1046" t="inlineStr">
        <is>
          <t>STOCKHOLMS LÄN</t>
        </is>
      </c>
      <c r="E1046" t="inlineStr">
        <is>
          <t>NORRTÄLJE</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37628-2025</t>
        </is>
      </c>
      <c r="B1047" s="1" t="n">
        <v>45880.46189814815</v>
      </c>
      <c r="C1047" s="1" t="n">
        <v>46079</v>
      </c>
      <c r="D1047" t="inlineStr">
        <is>
          <t>STOCKHOLMS LÄN</t>
        </is>
      </c>
      <c r="E1047" t="inlineStr">
        <is>
          <t>NORRTÄLJE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16980-2023</t>
        </is>
      </c>
      <c r="B1048" s="1" t="n">
        <v>45033</v>
      </c>
      <c r="C1048" s="1" t="n">
        <v>46079</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60223-2025</t>
        </is>
      </c>
      <c r="B1049" s="1" t="n">
        <v>45994.54497685185</v>
      </c>
      <c r="C1049" s="1" t="n">
        <v>46079</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24350-2025</t>
        </is>
      </c>
      <c r="B1050" s="1" t="n">
        <v>45797.58350694444</v>
      </c>
      <c r="C1050" s="1" t="n">
        <v>46079</v>
      </c>
      <c r="D1050" t="inlineStr">
        <is>
          <t>STOCKHOLMS LÄN</t>
        </is>
      </c>
      <c r="E1050" t="inlineStr">
        <is>
          <t>NORRTÄLJE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59914-2025</t>
        </is>
      </c>
      <c r="B1051" s="1" t="n">
        <v>45993.37056712963</v>
      </c>
      <c r="C1051" s="1" t="n">
        <v>46079</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26703-2025</t>
        </is>
      </c>
      <c r="B1052" s="1" t="n">
        <v>45810.45263888889</v>
      </c>
      <c r="C1052" s="1" t="n">
        <v>46079</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59041-2025</t>
        </is>
      </c>
      <c r="B1053" s="1" t="n">
        <v>45988</v>
      </c>
      <c r="C1053" s="1" t="n">
        <v>46079</v>
      </c>
      <c r="D1053" t="inlineStr">
        <is>
          <t>STOCKHOLMS LÄN</t>
        </is>
      </c>
      <c r="E1053" t="inlineStr">
        <is>
          <t>NORRTÄLJE</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31107-2022</t>
        </is>
      </c>
      <c r="B1054" s="1" t="n">
        <v>44769.66864583334</v>
      </c>
      <c r="C1054" s="1" t="n">
        <v>46079</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60214-2025</t>
        </is>
      </c>
      <c r="B1055" s="1" t="n">
        <v>45994.53761574074</v>
      </c>
      <c r="C1055" s="1" t="n">
        <v>46079</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13137-2024</t>
        </is>
      </c>
      <c r="B1056" s="1" t="n">
        <v>45386.34175925926</v>
      </c>
      <c r="C1056" s="1" t="n">
        <v>46079</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38153-2025</t>
        </is>
      </c>
      <c r="B1057" s="1" t="n">
        <v>45882.59722222222</v>
      </c>
      <c r="C1057" s="1" t="n">
        <v>46079</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18539-2021</t>
        </is>
      </c>
      <c r="B1058" s="1" t="n">
        <v>44306</v>
      </c>
      <c r="C1058" s="1" t="n">
        <v>46079</v>
      </c>
      <c r="D1058" t="inlineStr">
        <is>
          <t>STOCKHOLMS LÄN</t>
        </is>
      </c>
      <c r="E1058" t="inlineStr">
        <is>
          <t>NORRTÄLJE</t>
        </is>
      </c>
      <c r="F1058" t="inlineStr">
        <is>
          <t>Holmen skog AB</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60253-2025</t>
        </is>
      </c>
      <c r="B1059" s="1" t="n">
        <v>45994.59827546297</v>
      </c>
      <c r="C1059" s="1" t="n">
        <v>46079</v>
      </c>
      <c r="D1059" t="inlineStr">
        <is>
          <t>STOCKHOLMS LÄN</t>
        </is>
      </c>
      <c r="E1059" t="inlineStr">
        <is>
          <t>NORRTÄLJE</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59907-2025</t>
        </is>
      </c>
      <c r="B1060" s="1" t="n">
        <v>45993.35350694445</v>
      </c>
      <c r="C1060" s="1" t="n">
        <v>46079</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43170-2023</t>
        </is>
      </c>
      <c r="B1061" s="1" t="n">
        <v>45183</v>
      </c>
      <c r="C1061" s="1" t="n">
        <v>46079</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59924-2025</t>
        </is>
      </c>
      <c r="B1062" s="1" t="n">
        <v>45993.38928240741</v>
      </c>
      <c r="C1062" s="1" t="n">
        <v>46079</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47626-2022</t>
        </is>
      </c>
      <c r="B1063" s="1" t="n">
        <v>44854</v>
      </c>
      <c r="C1063" s="1" t="n">
        <v>46079</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60649-2025</t>
        </is>
      </c>
      <c r="B1064" s="1" t="n">
        <v>45996.4560300926</v>
      </c>
      <c r="C1064" s="1" t="n">
        <v>46079</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32101-2022</t>
        </is>
      </c>
      <c r="B1065" s="1" t="n">
        <v>44778.69210648148</v>
      </c>
      <c r="C1065" s="1" t="n">
        <v>46079</v>
      </c>
      <c r="D1065" t="inlineStr">
        <is>
          <t>STOCKHOLMS LÄN</t>
        </is>
      </c>
      <c r="E1065" t="inlineStr">
        <is>
          <t>NORRTÄLJE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28365-2022</t>
        </is>
      </c>
      <c r="B1066" s="1" t="n">
        <v>44747</v>
      </c>
      <c r="C1066" s="1" t="n">
        <v>46079</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38593-2025</t>
        </is>
      </c>
      <c r="B1067" s="1" t="n">
        <v>45884.48696759259</v>
      </c>
      <c r="C1067" s="1" t="n">
        <v>46079</v>
      </c>
      <c r="D1067" t="inlineStr">
        <is>
          <t>STOCKHOLMS LÄN</t>
        </is>
      </c>
      <c r="E1067" t="inlineStr">
        <is>
          <t>NORRTÄLJE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42867-2022</t>
        </is>
      </c>
      <c r="B1068" s="1" t="n">
        <v>44832</v>
      </c>
      <c r="C1068" s="1" t="n">
        <v>46079</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44960.60469907407</v>
      </c>
      <c r="C1069" s="1" t="n">
        <v>46079</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60745-2025</t>
        </is>
      </c>
      <c r="B1070" s="1" t="n">
        <v>45999.37753472223</v>
      </c>
      <c r="C1070" s="1" t="n">
        <v>46079</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17775-2022</t>
        </is>
      </c>
      <c r="B1071" s="1" t="n">
        <v>44682.78430555556</v>
      </c>
      <c r="C1071" s="1" t="n">
        <v>46079</v>
      </c>
      <c r="D1071" t="inlineStr">
        <is>
          <t>STOCKHOLMS LÄN</t>
        </is>
      </c>
      <c r="E1071" t="inlineStr">
        <is>
          <t>NORRTÄLJE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60928-2025</t>
        </is>
      </c>
      <c r="B1072" s="1" t="n">
        <v>45999.633125</v>
      </c>
      <c r="C1072" s="1" t="n">
        <v>46079</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60948-2025</t>
        </is>
      </c>
      <c r="B1073" s="1" t="n">
        <v>45999.650625</v>
      </c>
      <c r="C1073" s="1" t="n">
        <v>46079</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47481-2024</t>
        </is>
      </c>
      <c r="B1074" s="1" t="n">
        <v>45587</v>
      </c>
      <c r="C1074" s="1" t="n">
        <v>46079</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24933-2023</t>
        </is>
      </c>
      <c r="B1075" s="1" t="n">
        <v>45085.5309375</v>
      </c>
      <c r="C1075" s="1" t="n">
        <v>46079</v>
      </c>
      <c r="D1075" t="inlineStr">
        <is>
          <t>STOCKHOLMS LÄN</t>
        </is>
      </c>
      <c r="E1075" t="inlineStr">
        <is>
          <t>NORRTÄLJE</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11062-2024</t>
        </is>
      </c>
      <c r="B1076" s="1" t="n">
        <v>45370</v>
      </c>
      <c r="C1076" s="1" t="n">
        <v>46079</v>
      </c>
      <c r="D1076" t="inlineStr">
        <is>
          <t>STOCKHOLMS LÄN</t>
        </is>
      </c>
      <c r="E1076" t="inlineStr">
        <is>
          <t>NORRTÄLJE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61160-2025</t>
        </is>
      </c>
      <c r="B1077" s="1" t="n">
        <v>46000.55262731481</v>
      </c>
      <c r="C1077" s="1" t="n">
        <v>46079</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576-2023</t>
        </is>
      </c>
      <c r="B1078" s="1" t="n">
        <v>44925</v>
      </c>
      <c r="C1078" s="1" t="n">
        <v>46079</v>
      </c>
      <c r="D1078" t="inlineStr">
        <is>
          <t>STOCKHOLMS LÄN</t>
        </is>
      </c>
      <c r="E1078" t="inlineStr">
        <is>
          <t>NORRTÄLJE</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12908-2025</t>
        </is>
      </c>
      <c r="B1079" s="1" t="n">
        <v>45733.82105324074</v>
      </c>
      <c r="C1079" s="1" t="n">
        <v>46079</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68361-2021</t>
        </is>
      </c>
      <c r="B1080" s="1" t="n">
        <v>44528.91494212963</v>
      </c>
      <c r="C1080" s="1" t="n">
        <v>46079</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50469-2022</t>
        </is>
      </c>
      <c r="B1081" s="1" t="n">
        <v>44866.49827546296</v>
      </c>
      <c r="C1081" s="1" t="n">
        <v>46079</v>
      </c>
      <c r="D1081" t="inlineStr">
        <is>
          <t>STOCKHOLMS LÄN</t>
        </is>
      </c>
      <c r="E1081" t="inlineStr">
        <is>
          <t>NORRTÄLJE</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3933-2026</t>
        </is>
      </c>
      <c r="B1082" s="1" t="n">
        <v>46043.79916666666</v>
      </c>
      <c r="C1082" s="1" t="n">
        <v>46079</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41976-2024</t>
        </is>
      </c>
      <c r="B1083" s="1" t="n">
        <v>45561.62141203704</v>
      </c>
      <c r="C1083" s="1" t="n">
        <v>46079</v>
      </c>
      <c r="D1083" t="inlineStr">
        <is>
          <t>STOCKHOLMS LÄN</t>
        </is>
      </c>
      <c r="E1083" t="inlineStr">
        <is>
          <t>NORRTÄLJE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61769-2025</t>
        </is>
      </c>
      <c r="B1084" s="1" t="n">
        <v>46002.64556712963</v>
      </c>
      <c r="C1084" s="1" t="n">
        <v>46079</v>
      </c>
      <c r="D1084" t="inlineStr">
        <is>
          <t>STOCKHOLMS LÄN</t>
        </is>
      </c>
      <c r="E1084" t="inlineStr">
        <is>
          <t>NORRTÄLJE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61764-2025</t>
        </is>
      </c>
      <c r="B1085" s="1" t="n">
        <v>46002.62763888889</v>
      </c>
      <c r="C1085" s="1" t="n">
        <v>46079</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62206-2022</t>
        </is>
      </c>
      <c r="B1086" s="1" t="n">
        <v>44922</v>
      </c>
      <c r="C1086" s="1" t="n">
        <v>46079</v>
      </c>
      <c r="D1086" t="inlineStr">
        <is>
          <t>STOCKHOLMS LÄN</t>
        </is>
      </c>
      <c r="E1086" t="inlineStr">
        <is>
          <t>NORRTÄLJE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30886-2022</t>
        </is>
      </c>
      <c r="B1087" s="1" t="n">
        <v>44767.60601851852</v>
      </c>
      <c r="C1087" s="1" t="n">
        <v>46079</v>
      </c>
      <c r="D1087" t="inlineStr">
        <is>
          <t>STOCKHOLMS LÄN</t>
        </is>
      </c>
      <c r="E1087" t="inlineStr">
        <is>
          <t>NORRTÄLJE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61289-2025</t>
        </is>
      </c>
      <c r="B1088" s="1" t="n">
        <v>46000.73659722223</v>
      </c>
      <c r="C1088" s="1" t="n">
        <v>46079</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58989-2021</t>
        </is>
      </c>
      <c r="B1089" s="1" t="n">
        <v>44490.02482638889</v>
      </c>
      <c r="C1089" s="1" t="n">
        <v>46079</v>
      </c>
      <c r="D1089" t="inlineStr">
        <is>
          <t>STOCKHOLMS LÄN</t>
        </is>
      </c>
      <c r="E1089" t="inlineStr">
        <is>
          <t>NORRTÄLJE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58990-2021</t>
        </is>
      </c>
      <c r="B1090" s="1" t="n">
        <v>44490.03621527777</v>
      </c>
      <c r="C1090" s="1" t="n">
        <v>46079</v>
      </c>
      <c r="D1090" t="inlineStr">
        <is>
          <t>STOCKHOLMS LÄN</t>
        </is>
      </c>
      <c r="E1090" t="inlineStr">
        <is>
          <t>NORRTÄLJE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11940-2023</t>
        </is>
      </c>
      <c r="B1091" s="1" t="n">
        <v>44995</v>
      </c>
      <c r="C1091" s="1" t="n">
        <v>46079</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61419-2025</t>
        </is>
      </c>
      <c r="B1092" s="1" t="n">
        <v>46001.54137731482</v>
      </c>
      <c r="C1092" s="1" t="n">
        <v>46079</v>
      </c>
      <c r="D1092" t="inlineStr">
        <is>
          <t>STOCKHOLMS LÄN</t>
        </is>
      </c>
      <c r="E1092" t="inlineStr">
        <is>
          <t>NORRTÄLJE</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61430-2025</t>
        </is>
      </c>
      <c r="B1093" s="1" t="n">
        <v>46001.55583333333</v>
      </c>
      <c r="C1093" s="1" t="n">
        <v>46079</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61452-2025</t>
        </is>
      </c>
      <c r="B1094" s="1" t="n">
        <v>46001.58043981482</v>
      </c>
      <c r="C1094" s="1" t="n">
        <v>46079</v>
      </c>
      <c r="D1094" t="inlineStr">
        <is>
          <t>STOCKHOLMS LÄN</t>
        </is>
      </c>
      <c r="E1094" t="inlineStr">
        <is>
          <t>NORRTÄLJE</t>
        </is>
      </c>
      <c r="F1094" t="inlineStr">
        <is>
          <t>Holmen skog AB</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29266-2022</t>
        </is>
      </c>
      <c r="B1095" s="1" t="n">
        <v>44750.66068287037</v>
      </c>
      <c r="C1095" s="1" t="n">
        <v>46079</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29278-2022</t>
        </is>
      </c>
      <c r="B1096" s="1" t="n">
        <v>44750</v>
      </c>
      <c r="C1096" s="1" t="n">
        <v>46079</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6401-2024</t>
        </is>
      </c>
      <c r="B1097" s="1" t="n">
        <v>45338</v>
      </c>
      <c r="C1097" s="1" t="n">
        <v>46079</v>
      </c>
      <c r="D1097" t="inlineStr">
        <is>
          <t>STOCKHOLMS LÄN</t>
        </is>
      </c>
      <c r="E1097" t="inlineStr">
        <is>
          <t>NORRTÄLJE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24501-2023</t>
        </is>
      </c>
      <c r="B1098" s="1" t="n">
        <v>45082</v>
      </c>
      <c r="C1098" s="1" t="n">
        <v>46079</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24520-2023</t>
        </is>
      </c>
      <c r="B1099" s="1" t="n">
        <v>45082.68922453704</v>
      </c>
      <c r="C1099" s="1" t="n">
        <v>46079</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31281-2022</t>
        </is>
      </c>
      <c r="B1100" s="1" t="n">
        <v>44771</v>
      </c>
      <c r="C1100" s="1" t="n">
        <v>46079</v>
      </c>
      <c r="D1100" t="inlineStr">
        <is>
          <t>STOCKHOLMS LÄN</t>
        </is>
      </c>
      <c r="E1100" t="inlineStr">
        <is>
          <t>NORRTÄLJE</t>
        </is>
      </c>
      <c r="F1100" t="inlineStr">
        <is>
          <t>Holmen skog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4886-2026</t>
        </is>
      </c>
      <c r="B1101" s="1" t="n">
        <v>46048.66328703704</v>
      </c>
      <c r="C1101" s="1" t="n">
        <v>46079</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53499-2025</t>
        </is>
      </c>
      <c r="B1102" s="1" t="n">
        <v>45960</v>
      </c>
      <c r="C1102" s="1" t="n">
        <v>46079</v>
      </c>
      <c r="D1102" t="inlineStr">
        <is>
          <t>STOCKHOLMS LÄN</t>
        </is>
      </c>
      <c r="E1102" t="inlineStr">
        <is>
          <t>NORRTÄLJE</t>
        </is>
      </c>
      <c r="G1102" t="n">
        <v>23.8</v>
      </c>
      <c r="H1102" t="n">
        <v>0</v>
      </c>
      <c r="I1102" t="n">
        <v>0</v>
      </c>
      <c r="J1102" t="n">
        <v>0</v>
      </c>
      <c r="K1102" t="n">
        <v>0</v>
      </c>
      <c r="L1102" t="n">
        <v>0</v>
      </c>
      <c r="M1102" t="n">
        <v>0</v>
      </c>
      <c r="N1102" t="n">
        <v>0</v>
      </c>
      <c r="O1102" t="n">
        <v>0</v>
      </c>
      <c r="P1102" t="n">
        <v>0</v>
      </c>
      <c r="Q1102" t="n">
        <v>0</v>
      </c>
      <c r="R1102" s="2" t="inlineStr"/>
    </row>
    <row r="1103" ht="15" customHeight="1">
      <c r="A1103" t="inlineStr">
        <is>
          <t>A 4232-2026</t>
        </is>
      </c>
      <c r="B1103" s="1" t="n">
        <v>46044.89594907407</v>
      </c>
      <c r="C1103" s="1" t="n">
        <v>46079</v>
      </c>
      <c r="D1103" t="inlineStr">
        <is>
          <t>STOCKHOLMS LÄN</t>
        </is>
      </c>
      <c r="E1103" t="inlineStr">
        <is>
          <t>NORRTÄLJE</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4230-2026</t>
        </is>
      </c>
      <c r="B1104" s="1" t="n">
        <v>46044.89366898148</v>
      </c>
      <c r="C1104" s="1" t="n">
        <v>46079</v>
      </c>
      <c r="D1104" t="inlineStr">
        <is>
          <t>STOCKHOLMS LÄN</t>
        </is>
      </c>
      <c r="E1104" t="inlineStr">
        <is>
          <t>NORRTÄLJE</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62708-2025</t>
        </is>
      </c>
      <c r="B1105" s="1" t="n">
        <v>46008.50986111111</v>
      </c>
      <c r="C1105" s="1" t="n">
        <v>46079</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4231-2026</t>
        </is>
      </c>
      <c r="B1106" s="1" t="n">
        <v>46044</v>
      </c>
      <c r="C1106" s="1" t="n">
        <v>46079</v>
      </c>
      <c r="D1106" t="inlineStr">
        <is>
          <t>STOCKHOLMS LÄN</t>
        </is>
      </c>
      <c r="E1106" t="inlineStr">
        <is>
          <t>NORRTÄLJE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62689-2025</t>
        </is>
      </c>
      <c r="B1107" s="1" t="n">
        <v>46008.47171296296</v>
      </c>
      <c r="C1107" s="1" t="n">
        <v>46079</v>
      </c>
      <c r="D1107" t="inlineStr">
        <is>
          <t>STOCKHOLMS LÄN</t>
        </is>
      </c>
      <c r="E1107" t="inlineStr">
        <is>
          <t>NORRTÄLJE</t>
        </is>
      </c>
      <c r="F1107" t="inlineStr">
        <is>
          <t>Kyrkan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4227-2026</t>
        </is>
      </c>
      <c r="B1108" s="1" t="n">
        <v>46044</v>
      </c>
      <c r="C1108" s="1" t="n">
        <v>46079</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33279-2025</t>
        </is>
      </c>
      <c r="B1109" s="1" t="n">
        <v>45840</v>
      </c>
      <c r="C1109" s="1" t="n">
        <v>46079</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5227-2026</t>
        </is>
      </c>
      <c r="B1110" s="1" t="n">
        <v>46049.80460648148</v>
      </c>
      <c r="C1110" s="1" t="n">
        <v>46079</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4235-2026</t>
        </is>
      </c>
      <c r="B1111" s="1" t="n">
        <v>46044</v>
      </c>
      <c r="C1111" s="1" t="n">
        <v>46079</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5226-2026</t>
        </is>
      </c>
      <c r="B1112" s="1" t="n">
        <v>46049.79961805556</v>
      </c>
      <c r="C1112" s="1" t="n">
        <v>46079</v>
      </c>
      <c r="D1112" t="inlineStr">
        <is>
          <t>STOCKHOLMS LÄN</t>
        </is>
      </c>
      <c r="E1112" t="inlineStr">
        <is>
          <t>NORRTÄLJE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5224-2026</t>
        </is>
      </c>
      <c r="B1113" s="1" t="n">
        <v>46049.79521990741</v>
      </c>
      <c r="C1113" s="1" t="n">
        <v>46079</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5241-2026</t>
        </is>
      </c>
      <c r="B1114" s="1" t="n">
        <v>46049.86471064815</v>
      </c>
      <c r="C1114" s="1" t="n">
        <v>46079</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62681-2025</t>
        </is>
      </c>
      <c r="B1115" s="1" t="n">
        <v>46008.45534722223</v>
      </c>
      <c r="C1115" s="1" t="n">
        <v>46079</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34478-2025</t>
        </is>
      </c>
      <c r="B1116" s="1" t="n">
        <v>45847</v>
      </c>
      <c r="C1116" s="1" t="n">
        <v>46079</v>
      </c>
      <c r="D1116" t="inlineStr">
        <is>
          <t>STOCKHOLMS LÄN</t>
        </is>
      </c>
      <c r="E1116" t="inlineStr">
        <is>
          <t>NORRTÄLJE</t>
        </is>
      </c>
      <c r="F1116" t="inlineStr">
        <is>
          <t>Övriga Aktiebolag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5934-2026</t>
        </is>
      </c>
      <c r="B1117" s="1" t="n">
        <v>46052.47082175926</v>
      </c>
      <c r="C1117" s="1" t="n">
        <v>46079</v>
      </c>
      <c r="D1117" t="inlineStr">
        <is>
          <t>STOCKHOLMS LÄN</t>
        </is>
      </c>
      <c r="E1117" t="inlineStr">
        <is>
          <t>NORRTÄLJE</t>
        </is>
      </c>
      <c r="F1117" t="inlineStr">
        <is>
          <t>Holmen skog AB</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62922-2025</t>
        </is>
      </c>
      <c r="B1118" s="1" t="n">
        <v>46009.38064814815</v>
      </c>
      <c r="C1118" s="1" t="n">
        <v>46079</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6701-2026</t>
        </is>
      </c>
      <c r="B1119" s="1" t="n">
        <v>46056.64357638889</v>
      </c>
      <c r="C1119" s="1" t="n">
        <v>46079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6724-2026</t>
        </is>
      </c>
      <c r="B1120" s="1" t="n">
        <v>46056.67717592593</v>
      </c>
      <c r="C1120" s="1" t="n">
        <v>46079</v>
      </c>
      <c r="D1120" t="inlineStr">
        <is>
          <t>STOCKHOLMS LÄN</t>
        </is>
      </c>
      <c r="E1120" t="inlineStr">
        <is>
          <t>NORRTÄLJE</t>
        </is>
      </c>
      <c r="F1120" t="inlineStr">
        <is>
          <t>Holmen skog AB</t>
        </is>
      </c>
      <c r="G1120" t="n">
        <v>16.2</v>
      </c>
      <c r="H1120" t="n">
        <v>0</v>
      </c>
      <c r="I1120" t="n">
        <v>0</v>
      </c>
      <c r="J1120" t="n">
        <v>0</v>
      </c>
      <c r="K1120" t="n">
        <v>0</v>
      </c>
      <c r="L1120" t="n">
        <v>0</v>
      </c>
      <c r="M1120" t="n">
        <v>0</v>
      </c>
      <c r="N1120" t="n">
        <v>0</v>
      </c>
      <c r="O1120" t="n">
        <v>0</v>
      </c>
      <c r="P1120" t="n">
        <v>0</v>
      </c>
      <c r="Q1120" t="n">
        <v>0</v>
      </c>
      <c r="R1120" s="2" t="inlineStr"/>
    </row>
    <row r="1121" ht="15" customHeight="1">
      <c r="A1121" t="inlineStr">
        <is>
          <t>A 6532-2026</t>
        </is>
      </c>
      <c r="B1121" s="1" t="n">
        <v>46056.41300925926</v>
      </c>
      <c r="C1121" s="1" t="n">
        <v>46079</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6838-2026</t>
        </is>
      </c>
      <c r="B1122" s="1" t="n">
        <v>46057.41151620371</v>
      </c>
      <c r="C1122" s="1" t="n">
        <v>46079</v>
      </c>
      <c r="D1122" t="inlineStr">
        <is>
          <t>STOCKHOLMS LÄN</t>
        </is>
      </c>
      <c r="E1122" t="inlineStr">
        <is>
          <t>NORRTÄLJE</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6874-2026</t>
        </is>
      </c>
      <c r="B1123" s="1" t="n">
        <v>46057.45295138889</v>
      </c>
      <c r="C1123" s="1" t="n">
        <v>46079</v>
      </c>
      <c r="D1123" t="inlineStr">
        <is>
          <t>STOCKHOLMS LÄN</t>
        </is>
      </c>
      <c r="E1123" t="inlineStr">
        <is>
          <t>NORRTÄLJE</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7308-2026</t>
        </is>
      </c>
      <c r="B1124" s="1" t="n">
        <v>46058.66025462963</v>
      </c>
      <c r="C1124" s="1" t="n">
        <v>46079</v>
      </c>
      <c r="D1124" t="inlineStr">
        <is>
          <t>STOCKHOLMS LÄN</t>
        </is>
      </c>
      <c r="E1124" t="inlineStr">
        <is>
          <t>NORRTÄLJE</t>
        </is>
      </c>
      <c r="F1124" t="inlineStr">
        <is>
          <t>Holmen skog AB</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4549-2026</t>
        </is>
      </c>
      <c r="B1125" s="1" t="n">
        <v>46047</v>
      </c>
      <c r="C1125" s="1" t="n">
        <v>46079</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7582-2026</t>
        </is>
      </c>
      <c r="B1126" s="1" t="n">
        <v>46061.6455324074</v>
      </c>
      <c r="C1126" s="1" t="n">
        <v>46079</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7793-2026</t>
        </is>
      </c>
      <c r="B1127" s="1" t="n">
        <v>46062.59496527778</v>
      </c>
      <c r="C1127" s="1" t="n">
        <v>46079</v>
      </c>
      <c r="D1127" t="inlineStr">
        <is>
          <t>STOCKHOLMS LÄN</t>
        </is>
      </c>
      <c r="E1127" t="inlineStr">
        <is>
          <t>NORRTÄLJE</t>
        </is>
      </c>
      <c r="F1127" t="inlineStr">
        <is>
          <t>Holmen skog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3549-2026</t>
        </is>
      </c>
      <c r="B1128" s="1" t="n">
        <v>46042</v>
      </c>
      <c r="C1128" s="1" t="n">
        <v>46079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7532-2026</t>
        </is>
      </c>
      <c r="B1129" s="1" t="n">
        <v>46059.61903935186</v>
      </c>
      <c r="C1129" s="1" t="n">
        <v>46079</v>
      </c>
      <c r="D1129" t="inlineStr">
        <is>
          <t>STOCKHOLMS LÄN</t>
        </is>
      </c>
      <c r="E1129" t="inlineStr">
        <is>
          <t>NORRTÄLJE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7723-2026</t>
        </is>
      </c>
      <c r="B1130" s="1" t="n">
        <v>46062.49905092592</v>
      </c>
      <c r="C1130" s="1" t="n">
        <v>46079</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7729-2026</t>
        </is>
      </c>
      <c r="B1131" s="1" t="n">
        <v>46062.51100694444</v>
      </c>
      <c r="C1131" s="1" t="n">
        <v>46079</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8055-2026</t>
        </is>
      </c>
      <c r="B1132" s="1" t="n">
        <v>46063.62002314815</v>
      </c>
      <c r="C1132" s="1" t="n">
        <v>46079</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8091-2026</t>
        </is>
      </c>
      <c r="B1133" s="1" t="n">
        <v>46063.70944444444</v>
      </c>
      <c r="C1133" s="1" t="n">
        <v>46079</v>
      </c>
      <c r="D1133" t="inlineStr">
        <is>
          <t>STOCKHOLMS LÄN</t>
        </is>
      </c>
      <c r="E1133" t="inlineStr">
        <is>
          <t>NORRTÄLJE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8096-2026</t>
        </is>
      </c>
      <c r="B1134" s="1" t="n">
        <v>46063.714375</v>
      </c>
      <c r="C1134" s="1" t="n">
        <v>46079</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8489-2026</t>
        </is>
      </c>
      <c r="B1135" s="1" t="n">
        <v>46065.48268518518</v>
      </c>
      <c r="C1135" s="1" t="n">
        <v>46079</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8454-2026</t>
        </is>
      </c>
      <c r="B1136" s="1" t="n">
        <v>46065.42506944444</v>
      </c>
      <c r="C1136" s="1" t="n">
        <v>46079</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124-2026</t>
        </is>
      </c>
      <c r="B1137" s="1" t="n">
        <v>46024.58378472222</v>
      </c>
      <c r="C1137" s="1" t="n">
        <v>46079</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8410-2026</t>
        </is>
      </c>
      <c r="B1138" s="1" t="n">
        <v>46065.34261574074</v>
      </c>
      <c r="C1138" s="1" t="n">
        <v>46079</v>
      </c>
      <c r="D1138" t="inlineStr">
        <is>
          <t>STOCKHOLMS LÄN</t>
        </is>
      </c>
      <c r="E1138" t="inlineStr">
        <is>
          <t>NORRTÄLJE</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8465-2026</t>
        </is>
      </c>
      <c r="B1139" s="1" t="n">
        <v>46065.44141203703</v>
      </c>
      <c r="C1139" s="1" t="n">
        <v>46079</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197-2026</t>
        </is>
      </c>
      <c r="B1140" s="1" t="n">
        <v>46026</v>
      </c>
      <c r="C1140" s="1" t="n">
        <v>46079</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8985-2026</t>
        </is>
      </c>
      <c r="B1141" s="1" t="n">
        <v>46069.45234953704</v>
      </c>
      <c r="C1141" s="1" t="n">
        <v>46079</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8962-2026</t>
        </is>
      </c>
      <c r="B1142" s="1" t="n">
        <v>46069.41644675926</v>
      </c>
      <c r="C1142" s="1" t="n">
        <v>46079</v>
      </c>
      <c r="D1142" t="inlineStr">
        <is>
          <t>STOCKHOLMS LÄN</t>
        </is>
      </c>
      <c r="E1142" t="inlineStr">
        <is>
          <t>NORRTÄLJE</t>
        </is>
      </c>
      <c r="F1142" t="inlineStr">
        <is>
          <t>Holmen skog AB</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8989-2026</t>
        </is>
      </c>
      <c r="B1143" s="1" t="n">
        <v>46069.45789351852</v>
      </c>
      <c r="C1143" s="1" t="n">
        <v>46079</v>
      </c>
      <c r="D1143" t="inlineStr">
        <is>
          <t>STOCKHOLMS LÄN</t>
        </is>
      </c>
      <c r="E1143" t="inlineStr">
        <is>
          <t>NORRTÄLJE</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9103-2026</t>
        </is>
      </c>
      <c r="B1144" s="1" t="n">
        <v>46069.65039351852</v>
      </c>
      <c r="C1144" s="1" t="n">
        <v>46079</v>
      </c>
      <c r="D1144" t="inlineStr">
        <is>
          <t>STOCKHOLMS LÄN</t>
        </is>
      </c>
      <c r="E1144" t="inlineStr">
        <is>
          <t>NORRTÄLJE</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718-2026</t>
        </is>
      </c>
      <c r="B1145" s="1" t="n">
        <v>46029.63174768518</v>
      </c>
      <c r="C1145" s="1" t="n">
        <v>46079</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694-2026</t>
        </is>
      </c>
      <c r="B1146" s="1" t="n">
        <v>46029.61375</v>
      </c>
      <c r="C1146" s="1" t="n">
        <v>46079</v>
      </c>
      <c r="D1146" t="inlineStr">
        <is>
          <t>STOCKHOLMS LÄN</t>
        </is>
      </c>
      <c r="E1146" t="inlineStr">
        <is>
          <t>NORRTÄLJE</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6828-2026</t>
        </is>
      </c>
      <c r="B1147" s="1" t="n">
        <v>46057</v>
      </c>
      <c r="C1147" s="1" t="n">
        <v>46079</v>
      </c>
      <c r="D1147" t="inlineStr">
        <is>
          <t>STOCKHOLMS LÄN</t>
        </is>
      </c>
      <c r="E1147" t="inlineStr">
        <is>
          <t>NORRTÄLJE</t>
        </is>
      </c>
      <c r="F1147" t="inlineStr">
        <is>
          <t>Holmen skog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693-2026</t>
        </is>
      </c>
      <c r="B1148" s="1" t="n">
        <v>46029.6133449074</v>
      </c>
      <c r="C1148" s="1" t="n">
        <v>46079</v>
      </c>
      <c r="D1148" t="inlineStr">
        <is>
          <t>STOCKHOLMS LÄN</t>
        </is>
      </c>
      <c r="E1148" t="inlineStr">
        <is>
          <t>NORRTÄLJE</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812-2026</t>
        </is>
      </c>
      <c r="B1149" s="1" t="n">
        <v>46030.33358796296</v>
      </c>
      <c r="C1149" s="1" t="n">
        <v>46079</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717-2026</t>
        </is>
      </c>
      <c r="B1150" s="1" t="n">
        <v>46029.63028935185</v>
      </c>
      <c r="C1150" s="1" t="n">
        <v>46079</v>
      </c>
      <c r="D1150" t="inlineStr">
        <is>
          <t>STOCKHOLMS LÄN</t>
        </is>
      </c>
      <c r="E1150" t="inlineStr">
        <is>
          <t>NORRTÄLJE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475-2026</t>
        </is>
      </c>
      <c r="B1151" s="1" t="n">
        <v>46029.39351851852</v>
      </c>
      <c r="C1151" s="1" t="n">
        <v>46079</v>
      </c>
      <c r="D1151" t="inlineStr">
        <is>
          <t>STOCKHOLMS LÄN</t>
        </is>
      </c>
      <c r="E1151" t="inlineStr">
        <is>
          <t>NORRTÄLJE</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9720-2026</t>
        </is>
      </c>
      <c r="B1152" s="1" t="n">
        <v>46072.45061342593</v>
      </c>
      <c r="C1152" s="1" t="n">
        <v>46079</v>
      </c>
      <c r="D1152" t="inlineStr">
        <is>
          <t>STOCKHOLMS LÄN</t>
        </is>
      </c>
      <c r="E1152" t="inlineStr">
        <is>
          <t>NORRTÄLJE</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39610-2025</t>
        </is>
      </c>
      <c r="B1153" s="1" t="n">
        <v>45890</v>
      </c>
      <c r="C1153" s="1" t="n">
        <v>46079</v>
      </c>
      <c r="D1153" t="inlineStr">
        <is>
          <t>STOCKHOLMS LÄN</t>
        </is>
      </c>
      <c r="E1153" t="inlineStr">
        <is>
          <t>NORRTÄLJE</t>
        </is>
      </c>
      <c r="G1153" t="n">
        <v>28.6</v>
      </c>
      <c r="H1153" t="n">
        <v>0</v>
      </c>
      <c r="I1153" t="n">
        <v>0</v>
      </c>
      <c r="J1153" t="n">
        <v>0</v>
      </c>
      <c r="K1153" t="n">
        <v>0</v>
      </c>
      <c r="L1153" t="n">
        <v>0</v>
      </c>
      <c r="M1153" t="n">
        <v>0</v>
      </c>
      <c r="N1153" t="n">
        <v>0</v>
      </c>
      <c r="O1153" t="n">
        <v>0</v>
      </c>
      <c r="P1153" t="n">
        <v>0</v>
      </c>
      <c r="Q1153" t="n">
        <v>0</v>
      </c>
      <c r="R1153" s="2" t="inlineStr"/>
    </row>
    <row r="1154" ht="15" customHeight="1">
      <c r="A1154" t="inlineStr">
        <is>
          <t>A 1789-2026</t>
        </is>
      </c>
      <c r="B1154" s="1" t="n">
        <v>46034</v>
      </c>
      <c r="C1154" s="1" t="n">
        <v>46079</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1755-2026</t>
        </is>
      </c>
      <c r="B1155" s="1" t="n">
        <v>46034.66230324074</v>
      </c>
      <c r="C1155" s="1" t="n">
        <v>46079</v>
      </c>
      <c r="D1155" t="inlineStr">
        <is>
          <t>STOCKHOLMS LÄN</t>
        </is>
      </c>
      <c r="E1155" t="inlineStr">
        <is>
          <t>NORRTÄLJE</t>
        </is>
      </c>
      <c r="F1155" t="inlineStr">
        <is>
          <t>Holmen skog AB</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10429-2026</t>
        </is>
      </c>
      <c r="B1156" s="1" t="n">
        <v>46077.3822337963</v>
      </c>
      <c r="C1156" s="1" t="n">
        <v>46079</v>
      </c>
      <c r="D1156" t="inlineStr">
        <is>
          <t>STOCKHOLMS LÄN</t>
        </is>
      </c>
      <c r="E1156" t="inlineStr">
        <is>
          <t>NORRTÄLJE</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10444-2026</t>
        </is>
      </c>
      <c r="B1157" s="1" t="n">
        <v>46077.42230324074</v>
      </c>
      <c r="C1157" s="1" t="n">
        <v>46079</v>
      </c>
      <c r="D1157" t="inlineStr">
        <is>
          <t>STOCKHOLMS LÄN</t>
        </is>
      </c>
      <c r="E1157" t="inlineStr">
        <is>
          <t>NORRTÄLJE</t>
        </is>
      </c>
      <c r="F1157" t="inlineStr">
        <is>
          <t>Holmen skog AB</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2088-2026</t>
        </is>
      </c>
      <c r="B1158" s="1" t="n">
        <v>46036.35909722222</v>
      </c>
      <c r="C1158" s="1" t="n">
        <v>46079</v>
      </c>
      <c r="D1158" t="inlineStr">
        <is>
          <t>STOCKHOLMS LÄN</t>
        </is>
      </c>
      <c r="E1158" t="inlineStr">
        <is>
          <t>NORRTÄLJE</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2116-2026</t>
        </is>
      </c>
      <c r="B1159" s="1" t="n">
        <v>46036.38108796296</v>
      </c>
      <c r="C1159" s="1" t="n">
        <v>46079</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10399-2026</t>
        </is>
      </c>
      <c r="B1160" s="1" t="n">
        <v>46077</v>
      </c>
      <c r="C1160" s="1" t="n">
        <v>46079</v>
      </c>
      <c r="D1160" t="inlineStr">
        <is>
          <t>STOCKHOLMS LÄN</t>
        </is>
      </c>
      <c r="E1160" t="inlineStr">
        <is>
          <t>NORRTÄLJE</t>
        </is>
      </c>
      <c r="F1160" t="inlineStr">
        <is>
          <t>Övriga Aktiebolag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10646-2026</t>
        </is>
      </c>
      <c r="B1161" s="1" t="n">
        <v>46078.34157407407</v>
      </c>
      <c r="C1161" s="1" t="n">
        <v>46079</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10553-2026</t>
        </is>
      </c>
      <c r="B1162" s="1" t="n">
        <v>46077.62944444444</v>
      </c>
      <c r="C1162" s="1" t="n">
        <v>46079</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c r="A1163" t="inlineStr">
        <is>
          <t>A 10586-2026</t>
        </is>
      </c>
      <c r="B1163" s="1" t="n">
        <v>46077.68192129629</v>
      </c>
      <c r="C1163" s="1" t="n">
        <v>46079</v>
      </c>
      <c r="D1163" t="inlineStr">
        <is>
          <t>STOCKHOLMS LÄN</t>
        </is>
      </c>
      <c r="E1163" t="inlineStr">
        <is>
          <t>NORRTÄLJE</t>
        </is>
      </c>
      <c r="F1163" t="inlineStr">
        <is>
          <t>Holmen skog AB</t>
        </is>
      </c>
      <c r="G1163" t="n">
        <v>3.3</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2026-02-26T11:14:45Z</dcterms:created>
  <dcterms:modified xmlns:dcterms="http://purl.org/dc/terms/" xmlns:xsi="http://www.w3.org/2001/XMLSchema-instance" xsi:type="dcterms:W3CDTF">2026-02-26T11:14:46Z</dcterms:modified>
</cp:coreProperties>
</file>