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45658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45658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45658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45658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45658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45658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45658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45658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45658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45658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45658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45658</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45658</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45658</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45658</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45658</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45658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45658</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45658</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45658</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45658</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45658</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45658</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45658</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45658</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45658</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45658</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45658</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45658</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45658</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45658</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45658</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45658</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45658</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45658</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45658</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45658</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45658</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45658</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45658</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45658</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45658</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45658</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45658</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45658</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45658</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45658</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45658</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45658</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45658</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45658</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45658</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45658</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45658</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45658</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45658</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45658</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45658</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45658</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45658</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45658</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45658</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45658</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45658</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45658</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45658</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45658</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45658</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45658</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45658</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45658</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45658</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45658</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45658</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12215-2022</t>
        </is>
      </c>
      <c r="B76" s="1" t="n">
        <v>44637</v>
      </c>
      <c r="C76" s="1" t="n">
        <v>45658</v>
      </c>
      <c r="D76" t="inlineStr">
        <is>
          <t>STOCKHOLMS LÄN</t>
        </is>
      </c>
      <c r="E76" t="inlineStr">
        <is>
          <t>NORRTÄLJE</t>
        </is>
      </c>
      <c r="G76" t="n">
        <v>3.1</v>
      </c>
      <c r="H76" t="n">
        <v>3</v>
      </c>
      <c r="I76" t="n">
        <v>3</v>
      </c>
      <c r="J76" t="n">
        <v>0</v>
      </c>
      <c r="K76" t="n">
        <v>0</v>
      </c>
      <c r="L76" t="n">
        <v>0</v>
      </c>
      <c r="M76" t="n">
        <v>0</v>
      </c>
      <c r="N76" t="n">
        <v>0</v>
      </c>
      <c r="O76" t="n">
        <v>0</v>
      </c>
      <c r="P76" t="n">
        <v>0</v>
      </c>
      <c r="Q76" t="n">
        <v>3</v>
      </c>
      <c r="R76" s="2" t="inlineStr">
        <is>
          <t>Guckusko
Skogsknipprot
Tvåblad</t>
        </is>
      </c>
      <c r="S76">
        <f>HYPERLINK("https://klasma.github.io/Logging_0188/artfynd/A 12215-2022 artfynd.xlsx", "A 12215-2022")</f>
        <v/>
      </c>
      <c r="T76">
        <f>HYPERLINK("https://klasma.github.io/Logging_0188/kartor/A 12215-2022 karta.png", "A 12215-2022")</f>
        <v/>
      </c>
      <c r="V76">
        <f>HYPERLINK("https://klasma.github.io/Logging_0188/klagomål/A 12215-2022 FSC-klagomål.docx", "A 12215-2022")</f>
        <v/>
      </c>
      <c r="W76">
        <f>HYPERLINK("https://klasma.github.io/Logging_0188/klagomålsmail/A 12215-2022 FSC-klagomål mail.docx", "A 12215-2022")</f>
        <v/>
      </c>
      <c r="X76">
        <f>HYPERLINK("https://klasma.github.io/Logging_0188/tillsyn/A 12215-2022 tillsynsbegäran.docx", "A 12215-2022")</f>
        <v/>
      </c>
      <c r="Y76">
        <f>HYPERLINK("https://klasma.github.io/Logging_0188/tillsynsmail/A 12215-2022 tillsynsbegäran mail.docx", "A 12215-2022")</f>
        <v/>
      </c>
    </row>
    <row r="77" ht="15" customHeight="1">
      <c r="A77" t="inlineStr">
        <is>
          <t>A 20185-2022</t>
        </is>
      </c>
      <c r="B77" s="1" t="n">
        <v>44698</v>
      </c>
      <c r="C77" s="1" t="n">
        <v>45658</v>
      </c>
      <c r="D77" t="inlineStr">
        <is>
          <t>STOCKHOLMS LÄN</t>
        </is>
      </c>
      <c r="E77" t="inlineStr">
        <is>
          <t>NORRTÄLJE</t>
        </is>
      </c>
      <c r="G77" t="n">
        <v>8.4</v>
      </c>
      <c r="H77" t="n">
        <v>1</v>
      </c>
      <c r="I77" t="n">
        <v>2</v>
      </c>
      <c r="J77" t="n">
        <v>0</v>
      </c>
      <c r="K77" t="n">
        <v>1</v>
      </c>
      <c r="L77" t="n">
        <v>0</v>
      </c>
      <c r="M77" t="n">
        <v>0</v>
      </c>
      <c r="N77" t="n">
        <v>0</v>
      </c>
      <c r="O77" t="n">
        <v>1</v>
      </c>
      <c r="P77" t="n">
        <v>1</v>
      </c>
      <c r="Q77" t="n">
        <v>3</v>
      </c>
      <c r="R77" s="2" t="inlineStr">
        <is>
          <t>Tallbit
Gullgröppa
Vedticka</t>
        </is>
      </c>
      <c r="S77">
        <f>HYPERLINK("https://klasma.github.io/Logging_0188/artfynd/A 20185-2022 artfynd.xlsx", "A 20185-2022")</f>
        <v/>
      </c>
      <c r="T77">
        <f>HYPERLINK("https://klasma.github.io/Logging_0188/kartor/A 20185-2022 karta.png", "A 20185-2022")</f>
        <v/>
      </c>
      <c r="V77">
        <f>HYPERLINK("https://klasma.github.io/Logging_0188/klagomål/A 20185-2022 FSC-klagomål.docx", "A 20185-2022")</f>
        <v/>
      </c>
      <c r="W77">
        <f>HYPERLINK("https://klasma.github.io/Logging_0188/klagomålsmail/A 20185-2022 FSC-klagomål mail.docx", "A 20185-2022")</f>
        <v/>
      </c>
      <c r="X77">
        <f>HYPERLINK("https://klasma.github.io/Logging_0188/tillsyn/A 20185-2022 tillsynsbegäran.docx", "A 20185-2022")</f>
        <v/>
      </c>
      <c r="Y77">
        <f>HYPERLINK("https://klasma.github.io/Logging_0188/tillsynsmail/A 20185-2022 tillsynsbegäran mail.docx", "A 20185-2022")</f>
        <v/>
      </c>
      <c r="Z77">
        <f>HYPERLINK("https://klasma.github.io/Logging_0188/fåglar/A 20185-2022 prioriterade fågelarter.docx", "A 20185-2022")</f>
        <v/>
      </c>
    </row>
    <row r="78" ht="15" customHeight="1">
      <c r="A78" t="inlineStr">
        <is>
          <t>A 28836-2022</t>
        </is>
      </c>
      <c r="B78" s="1" t="n">
        <v>44749</v>
      </c>
      <c r="C78" s="1" t="n">
        <v>45658</v>
      </c>
      <c r="D78" t="inlineStr">
        <is>
          <t>STOCKHOLMS LÄN</t>
        </is>
      </c>
      <c r="E78" t="inlineStr">
        <is>
          <t>NORRTÄLJE</t>
        </is>
      </c>
      <c r="G78" t="n">
        <v>25</v>
      </c>
      <c r="H78" t="n">
        <v>2</v>
      </c>
      <c r="I78" t="n">
        <v>0</v>
      </c>
      <c r="J78" t="n">
        <v>2</v>
      </c>
      <c r="K78" t="n">
        <v>0</v>
      </c>
      <c r="L78" t="n">
        <v>0</v>
      </c>
      <c r="M78" t="n">
        <v>0</v>
      </c>
      <c r="N78" t="n">
        <v>0</v>
      </c>
      <c r="O78" t="n">
        <v>2</v>
      </c>
      <c r="P78" t="n">
        <v>0</v>
      </c>
      <c r="Q78" t="n">
        <v>3</v>
      </c>
      <c r="R78" s="2" t="inlineStr">
        <is>
          <t>Backklöver
Svartvit flugsnappare
Skogsödla</t>
        </is>
      </c>
      <c r="S78">
        <f>HYPERLINK("https://klasma.github.io/Logging_0188/artfynd/A 28836-2022 artfynd.xlsx", "A 28836-2022")</f>
        <v/>
      </c>
      <c r="T78">
        <f>HYPERLINK("https://klasma.github.io/Logging_0188/kartor/A 28836-2022 karta.png", "A 28836-2022")</f>
        <v/>
      </c>
      <c r="V78">
        <f>HYPERLINK("https://klasma.github.io/Logging_0188/klagomål/A 28836-2022 FSC-klagomål.docx", "A 28836-2022")</f>
        <v/>
      </c>
      <c r="W78">
        <f>HYPERLINK("https://klasma.github.io/Logging_0188/klagomålsmail/A 28836-2022 FSC-klagomål mail.docx", "A 28836-2022")</f>
        <v/>
      </c>
      <c r="X78">
        <f>HYPERLINK("https://klasma.github.io/Logging_0188/tillsyn/A 28836-2022 tillsynsbegäran.docx", "A 28836-2022")</f>
        <v/>
      </c>
      <c r="Y78">
        <f>HYPERLINK("https://klasma.github.io/Logging_0188/tillsynsmail/A 28836-2022 tillsynsbegäran mail.docx", "A 28836-2022")</f>
        <v/>
      </c>
      <c r="Z78">
        <f>HYPERLINK("https://klasma.github.io/Logging_0188/fåglar/A 28836-2022 prioriterade fågelarter.docx", "A 28836-2022")</f>
        <v/>
      </c>
    </row>
    <row r="79" ht="15" customHeight="1">
      <c r="A79" t="inlineStr">
        <is>
          <t>A 45113-2022</t>
        </is>
      </c>
      <c r="B79" s="1" t="n">
        <v>44843</v>
      </c>
      <c r="C79" s="1" t="n">
        <v>45658</v>
      </c>
      <c r="D79" t="inlineStr">
        <is>
          <t>STOCKHOLMS LÄN</t>
        </is>
      </c>
      <c r="E79" t="inlineStr">
        <is>
          <t>NORRTÄLJE</t>
        </is>
      </c>
      <c r="G79" t="n">
        <v>1.7</v>
      </c>
      <c r="H79" t="n">
        <v>0</v>
      </c>
      <c r="I79" t="n">
        <v>1</v>
      </c>
      <c r="J79" t="n">
        <v>1</v>
      </c>
      <c r="K79" t="n">
        <v>1</v>
      </c>
      <c r="L79" t="n">
        <v>0</v>
      </c>
      <c r="M79" t="n">
        <v>0</v>
      </c>
      <c r="N79" t="n">
        <v>0</v>
      </c>
      <c r="O79" t="n">
        <v>2</v>
      </c>
      <c r="P79" t="n">
        <v>1</v>
      </c>
      <c r="Q79" t="n">
        <v>3</v>
      </c>
      <c r="R79" s="2" t="inlineStr">
        <is>
          <t>Violett fingersvamp
Kandelabersvamp
Slät lönnlav</t>
        </is>
      </c>
      <c r="S79">
        <f>HYPERLINK("https://klasma.github.io/Logging_0188/artfynd/A 45113-2022 artfynd.xlsx", "A 45113-2022")</f>
        <v/>
      </c>
      <c r="T79">
        <f>HYPERLINK("https://klasma.github.io/Logging_0188/kartor/A 45113-2022 karta.png", "A 45113-2022")</f>
        <v/>
      </c>
      <c r="V79">
        <f>HYPERLINK("https://klasma.github.io/Logging_0188/klagomål/A 45113-2022 FSC-klagomål.docx", "A 45113-2022")</f>
        <v/>
      </c>
      <c r="W79">
        <f>HYPERLINK("https://klasma.github.io/Logging_0188/klagomålsmail/A 45113-2022 FSC-klagomål mail.docx", "A 45113-2022")</f>
        <v/>
      </c>
      <c r="X79">
        <f>HYPERLINK("https://klasma.github.io/Logging_0188/tillsyn/A 45113-2022 tillsynsbegäran.docx", "A 45113-2022")</f>
        <v/>
      </c>
      <c r="Y79">
        <f>HYPERLINK("https://klasma.github.io/Logging_0188/tillsynsmail/A 45113-2022 tillsynsbegäran mail.docx", "A 45113-2022")</f>
        <v/>
      </c>
    </row>
    <row r="80" ht="15" customHeight="1">
      <c r="A80" t="inlineStr">
        <is>
          <t>A 50618-2022</t>
        </is>
      </c>
      <c r="B80" s="1" t="n">
        <v>44866</v>
      </c>
      <c r="C80" s="1" t="n">
        <v>45658</v>
      </c>
      <c r="D80" t="inlineStr">
        <is>
          <t>STOCKHOLMS LÄN</t>
        </is>
      </c>
      <c r="E80" t="inlineStr">
        <is>
          <t>NORRTÄLJE</t>
        </is>
      </c>
      <c r="G80" t="n">
        <v>7.8</v>
      </c>
      <c r="H80" t="n">
        <v>2</v>
      </c>
      <c r="I80" t="n">
        <v>2</v>
      </c>
      <c r="J80" t="n">
        <v>0</v>
      </c>
      <c r="K80" t="n">
        <v>0</v>
      </c>
      <c r="L80" t="n">
        <v>0</v>
      </c>
      <c r="M80" t="n">
        <v>0</v>
      </c>
      <c r="N80" t="n">
        <v>0</v>
      </c>
      <c r="O80" t="n">
        <v>0</v>
      </c>
      <c r="P80" t="n">
        <v>0</v>
      </c>
      <c r="Q80" t="n">
        <v>3</v>
      </c>
      <c r="R80" s="2" t="inlineStr">
        <is>
          <t>Skogsknipprot
Vårärt
Blåsippa</t>
        </is>
      </c>
      <c r="S80">
        <f>HYPERLINK("https://klasma.github.io/Logging_0188/artfynd/A 50618-2022 artfynd.xlsx", "A 50618-2022")</f>
        <v/>
      </c>
      <c r="T80">
        <f>HYPERLINK("https://klasma.github.io/Logging_0188/kartor/A 50618-2022 karta.png", "A 50618-2022")</f>
        <v/>
      </c>
      <c r="V80">
        <f>HYPERLINK("https://klasma.github.io/Logging_0188/klagomål/A 50618-2022 FSC-klagomål.docx", "A 50618-2022")</f>
        <v/>
      </c>
      <c r="W80">
        <f>HYPERLINK("https://klasma.github.io/Logging_0188/klagomålsmail/A 50618-2022 FSC-klagomål mail.docx", "A 50618-2022")</f>
        <v/>
      </c>
      <c r="X80">
        <f>HYPERLINK("https://klasma.github.io/Logging_0188/tillsyn/A 50618-2022 tillsynsbegäran.docx", "A 50618-2022")</f>
        <v/>
      </c>
      <c r="Y80">
        <f>HYPERLINK("https://klasma.github.io/Logging_0188/tillsynsmail/A 50618-2022 tillsynsbegäran mail.docx", "A 50618-2022")</f>
        <v/>
      </c>
    </row>
    <row r="81" ht="15" customHeight="1">
      <c r="A81" t="inlineStr">
        <is>
          <t>A 2851-2023</t>
        </is>
      </c>
      <c r="B81" s="1" t="n">
        <v>44945</v>
      </c>
      <c r="C81" s="1" t="n">
        <v>45658</v>
      </c>
      <c r="D81" t="inlineStr">
        <is>
          <t>STOCKHOLMS LÄN</t>
        </is>
      </c>
      <c r="E81" t="inlineStr">
        <is>
          <t>NORRTÄLJE</t>
        </is>
      </c>
      <c r="G81" t="n">
        <v>5.8</v>
      </c>
      <c r="H81" t="n">
        <v>1</v>
      </c>
      <c r="I81" t="n">
        <v>1</v>
      </c>
      <c r="J81" t="n">
        <v>2</v>
      </c>
      <c r="K81" t="n">
        <v>0</v>
      </c>
      <c r="L81" t="n">
        <v>0</v>
      </c>
      <c r="M81" t="n">
        <v>0</v>
      </c>
      <c r="N81" t="n">
        <v>0</v>
      </c>
      <c r="O81" t="n">
        <v>2</v>
      </c>
      <c r="P81" t="n">
        <v>0</v>
      </c>
      <c r="Q81" t="n">
        <v>3</v>
      </c>
      <c r="R81" s="2" t="inlineStr">
        <is>
          <t>Gulsparv
Vedflikmossa
Terpentinmossa</t>
        </is>
      </c>
      <c r="S81">
        <f>HYPERLINK("https://klasma.github.io/Logging_0188/artfynd/A 2851-2023 artfynd.xlsx", "A 2851-2023")</f>
        <v/>
      </c>
      <c r="T81">
        <f>HYPERLINK("https://klasma.github.io/Logging_0188/kartor/A 2851-2023 karta.png", "A 2851-2023")</f>
        <v/>
      </c>
      <c r="V81">
        <f>HYPERLINK("https://klasma.github.io/Logging_0188/klagomål/A 2851-2023 FSC-klagomål.docx", "A 2851-2023")</f>
        <v/>
      </c>
      <c r="W81">
        <f>HYPERLINK("https://klasma.github.io/Logging_0188/klagomålsmail/A 2851-2023 FSC-klagomål mail.docx", "A 2851-2023")</f>
        <v/>
      </c>
      <c r="X81">
        <f>HYPERLINK("https://klasma.github.io/Logging_0188/tillsyn/A 2851-2023 tillsynsbegäran.docx", "A 2851-2023")</f>
        <v/>
      </c>
      <c r="Y81">
        <f>HYPERLINK("https://klasma.github.io/Logging_0188/tillsynsmail/A 2851-2023 tillsynsbegäran mail.docx", "A 2851-2023")</f>
        <v/>
      </c>
      <c r="Z81">
        <f>HYPERLINK("https://klasma.github.io/Logging_0188/fåglar/A 2851-2023 prioriterade fågelarter.docx", "A 2851-2023")</f>
        <v/>
      </c>
    </row>
    <row r="82" ht="15" customHeight="1">
      <c r="A82" t="inlineStr">
        <is>
          <t>A 17916-2023</t>
        </is>
      </c>
      <c r="B82" s="1" t="n">
        <v>45040</v>
      </c>
      <c r="C82" s="1" t="n">
        <v>45658</v>
      </c>
      <c r="D82" t="inlineStr">
        <is>
          <t>STOCKHOLMS LÄN</t>
        </is>
      </c>
      <c r="E82" t="inlineStr">
        <is>
          <t>NORRTÄLJE</t>
        </is>
      </c>
      <c r="G82" t="n">
        <v>9.1</v>
      </c>
      <c r="H82" t="n">
        <v>1</v>
      </c>
      <c r="I82" t="n">
        <v>2</v>
      </c>
      <c r="J82" t="n">
        <v>0</v>
      </c>
      <c r="K82" t="n">
        <v>0</v>
      </c>
      <c r="L82" t="n">
        <v>0</v>
      </c>
      <c r="M82" t="n">
        <v>0</v>
      </c>
      <c r="N82" t="n">
        <v>0</v>
      </c>
      <c r="O82" t="n">
        <v>0</v>
      </c>
      <c r="P82" t="n">
        <v>0</v>
      </c>
      <c r="Q82" t="n">
        <v>3</v>
      </c>
      <c r="R82" s="2" t="inlineStr">
        <is>
          <t>Skarp dropptaggsvamp
Sårläka
Blåsippa</t>
        </is>
      </c>
      <c r="S82">
        <f>HYPERLINK("https://klasma.github.io/Logging_0188/artfynd/A 17916-2023 artfynd.xlsx", "A 17916-2023")</f>
        <v/>
      </c>
      <c r="T82">
        <f>HYPERLINK("https://klasma.github.io/Logging_0188/kartor/A 17916-2023 karta.png", "A 17916-2023")</f>
        <v/>
      </c>
      <c r="V82">
        <f>HYPERLINK("https://klasma.github.io/Logging_0188/klagomål/A 17916-2023 FSC-klagomål.docx", "A 17916-2023")</f>
        <v/>
      </c>
      <c r="W82">
        <f>HYPERLINK("https://klasma.github.io/Logging_0188/klagomålsmail/A 17916-2023 FSC-klagomål mail.docx", "A 17916-2023")</f>
        <v/>
      </c>
      <c r="X82">
        <f>HYPERLINK("https://klasma.github.io/Logging_0188/tillsyn/A 17916-2023 tillsynsbegäran.docx", "A 17916-2023")</f>
        <v/>
      </c>
      <c r="Y82">
        <f>HYPERLINK("https://klasma.github.io/Logging_0188/tillsynsmail/A 17916-2023 tillsynsbegäran mail.docx", "A 17916-2023")</f>
        <v/>
      </c>
    </row>
    <row r="83" ht="15" customHeight="1">
      <c r="A83" t="inlineStr">
        <is>
          <t>A 36662-2023</t>
        </is>
      </c>
      <c r="B83" s="1" t="n">
        <v>45153</v>
      </c>
      <c r="C83" s="1" t="n">
        <v>45658</v>
      </c>
      <c r="D83" t="inlineStr">
        <is>
          <t>STOCKHOLMS LÄN</t>
        </is>
      </c>
      <c r="E83" t="inlineStr">
        <is>
          <t>NORRTÄLJE</t>
        </is>
      </c>
      <c r="G83" t="n">
        <v>3.1</v>
      </c>
      <c r="H83" t="n">
        <v>1</v>
      </c>
      <c r="I83" t="n">
        <v>2</v>
      </c>
      <c r="J83" t="n">
        <v>1</v>
      </c>
      <c r="K83" t="n">
        <v>0</v>
      </c>
      <c r="L83" t="n">
        <v>0</v>
      </c>
      <c r="M83" t="n">
        <v>0</v>
      </c>
      <c r="N83" t="n">
        <v>0</v>
      </c>
      <c r="O83" t="n">
        <v>1</v>
      </c>
      <c r="P83" t="n">
        <v>0</v>
      </c>
      <c r="Q83" t="n">
        <v>3</v>
      </c>
      <c r="R83" s="2" t="inlineStr">
        <is>
          <t>Svartvit taggsvamp
Skogsknipprot
Svavelriska</t>
        </is>
      </c>
      <c r="S83">
        <f>HYPERLINK("https://klasma.github.io/Logging_0188/artfynd/A 36662-2023 artfynd.xlsx", "A 36662-2023")</f>
        <v/>
      </c>
      <c r="T83">
        <f>HYPERLINK("https://klasma.github.io/Logging_0188/kartor/A 36662-2023 karta.png", "A 36662-2023")</f>
        <v/>
      </c>
      <c r="V83">
        <f>HYPERLINK("https://klasma.github.io/Logging_0188/klagomål/A 36662-2023 FSC-klagomål.docx", "A 36662-2023")</f>
        <v/>
      </c>
      <c r="W83">
        <f>HYPERLINK("https://klasma.github.io/Logging_0188/klagomålsmail/A 36662-2023 FSC-klagomål mail.docx", "A 36662-2023")</f>
        <v/>
      </c>
      <c r="X83">
        <f>HYPERLINK("https://klasma.github.io/Logging_0188/tillsyn/A 36662-2023 tillsynsbegäran.docx", "A 36662-2023")</f>
        <v/>
      </c>
      <c r="Y83">
        <f>HYPERLINK("https://klasma.github.io/Logging_0188/tillsynsmail/A 36662-2023 tillsynsbegäran mail.docx", "A 36662-2023")</f>
        <v/>
      </c>
    </row>
    <row r="84" ht="15" customHeight="1">
      <c r="A84" t="inlineStr">
        <is>
          <t>A 43304-2023</t>
        </is>
      </c>
      <c r="B84" s="1" t="n">
        <v>45183</v>
      </c>
      <c r="C84" s="1" t="n">
        <v>45658</v>
      </c>
      <c r="D84" t="inlineStr">
        <is>
          <t>STOCKHOLMS LÄN</t>
        </is>
      </c>
      <c r="E84" t="inlineStr">
        <is>
          <t>NORRTÄLJE</t>
        </is>
      </c>
      <c r="G84" t="n">
        <v>1.5</v>
      </c>
      <c r="H84" t="n">
        <v>0</v>
      </c>
      <c r="I84" t="n">
        <v>0</v>
      </c>
      <c r="J84" t="n">
        <v>2</v>
      </c>
      <c r="K84" t="n">
        <v>1</v>
      </c>
      <c r="L84" t="n">
        <v>0</v>
      </c>
      <c r="M84" t="n">
        <v>0</v>
      </c>
      <c r="N84" t="n">
        <v>0</v>
      </c>
      <c r="O84" t="n">
        <v>3</v>
      </c>
      <c r="P84" t="n">
        <v>1</v>
      </c>
      <c r="Q84" t="n">
        <v>3</v>
      </c>
      <c r="R84" s="2" t="inlineStr">
        <is>
          <t>Spricktaggsvamp
Kungsspindling
Persiljespindling</t>
        </is>
      </c>
      <c r="S84">
        <f>HYPERLINK("https://klasma.github.io/Logging_0188/artfynd/A 43304-2023 artfynd.xlsx", "A 43304-2023")</f>
        <v/>
      </c>
      <c r="T84">
        <f>HYPERLINK("https://klasma.github.io/Logging_0188/kartor/A 43304-2023 karta.png", "A 43304-2023")</f>
        <v/>
      </c>
      <c r="V84">
        <f>HYPERLINK("https://klasma.github.io/Logging_0188/klagomål/A 43304-2023 FSC-klagomål.docx", "A 43304-2023")</f>
        <v/>
      </c>
      <c r="W84">
        <f>HYPERLINK("https://klasma.github.io/Logging_0188/klagomålsmail/A 43304-2023 FSC-klagomål mail.docx", "A 43304-2023")</f>
        <v/>
      </c>
      <c r="X84">
        <f>HYPERLINK("https://klasma.github.io/Logging_0188/tillsyn/A 43304-2023 tillsynsbegäran.docx", "A 43304-2023")</f>
        <v/>
      </c>
      <c r="Y84">
        <f>HYPERLINK("https://klasma.github.io/Logging_0188/tillsynsmail/A 43304-2023 tillsynsbegäran mail.docx", "A 43304-2023")</f>
        <v/>
      </c>
    </row>
    <row r="85" ht="15" customHeight="1">
      <c r="A85" t="inlineStr">
        <is>
          <t>A 52011-2023</t>
        </is>
      </c>
      <c r="B85" s="1" t="n">
        <v>45223</v>
      </c>
      <c r="C85" s="1" t="n">
        <v>45658</v>
      </c>
      <c r="D85" t="inlineStr">
        <is>
          <t>STOCKHOLMS LÄN</t>
        </is>
      </c>
      <c r="E85" t="inlineStr">
        <is>
          <t>NORRTÄLJE</t>
        </is>
      </c>
      <c r="F85" t="inlineStr">
        <is>
          <t>Övriga Aktiebolag</t>
        </is>
      </c>
      <c r="G85" t="n">
        <v>16.6</v>
      </c>
      <c r="H85" t="n">
        <v>0</v>
      </c>
      <c r="I85" t="n">
        <v>2</v>
      </c>
      <c r="J85" t="n">
        <v>1</v>
      </c>
      <c r="K85" t="n">
        <v>0</v>
      </c>
      <c r="L85" t="n">
        <v>0</v>
      </c>
      <c r="M85" t="n">
        <v>0</v>
      </c>
      <c r="N85" t="n">
        <v>0</v>
      </c>
      <c r="O85" t="n">
        <v>1</v>
      </c>
      <c r="P85" t="n">
        <v>0</v>
      </c>
      <c r="Q85" t="n">
        <v>3</v>
      </c>
      <c r="R85" s="2" t="inlineStr">
        <is>
          <t>Vedtrappmossa
Mörk husmossa
Skogshakmossa</t>
        </is>
      </c>
      <c r="S85">
        <f>HYPERLINK("https://klasma.github.io/Logging_0188/artfynd/A 52011-2023 artfynd.xlsx", "A 52011-2023")</f>
        <v/>
      </c>
      <c r="T85">
        <f>HYPERLINK("https://klasma.github.io/Logging_0188/kartor/A 52011-2023 karta.png", "A 52011-2023")</f>
        <v/>
      </c>
      <c r="V85">
        <f>HYPERLINK("https://klasma.github.io/Logging_0188/klagomål/A 52011-2023 FSC-klagomål.docx", "A 52011-2023")</f>
        <v/>
      </c>
      <c r="W85">
        <f>HYPERLINK("https://klasma.github.io/Logging_0188/klagomålsmail/A 52011-2023 FSC-klagomål mail.docx", "A 52011-2023")</f>
        <v/>
      </c>
      <c r="X85">
        <f>HYPERLINK("https://klasma.github.io/Logging_0188/tillsyn/A 52011-2023 tillsynsbegäran.docx", "A 52011-2023")</f>
        <v/>
      </c>
      <c r="Y85">
        <f>HYPERLINK("https://klasma.github.io/Logging_0188/tillsynsmail/A 52011-2023 tillsynsbegäran mail.docx", "A 52011-2023")</f>
        <v/>
      </c>
    </row>
    <row r="86" ht="15" customHeight="1">
      <c r="A86" t="inlineStr">
        <is>
          <t>A 53065-2024</t>
        </is>
      </c>
      <c r="B86" s="1" t="n">
        <v>45611</v>
      </c>
      <c r="C86" s="1" t="n">
        <v>45658</v>
      </c>
      <c r="D86" t="inlineStr">
        <is>
          <t>STOCKHOLMS LÄN</t>
        </is>
      </c>
      <c r="E86" t="inlineStr">
        <is>
          <t>NORRTÄLJE</t>
        </is>
      </c>
      <c r="G86" t="n">
        <v>12.3</v>
      </c>
      <c r="H86" t="n">
        <v>0</v>
      </c>
      <c r="I86" t="n">
        <v>1</v>
      </c>
      <c r="J86" t="n">
        <v>1</v>
      </c>
      <c r="K86" t="n">
        <v>1</v>
      </c>
      <c r="L86" t="n">
        <v>0</v>
      </c>
      <c r="M86" t="n">
        <v>0</v>
      </c>
      <c r="N86" t="n">
        <v>0</v>
      </c>
      <c r="O86" t="n">
        <v>2</v>
      </c>
      <c r="P86" t="n">
        <v>1</v>
      </c>
      <c r="Q86" t="n">
        <v>3</v>
      </c>
      <c r="R86" s="2" t="inlineStr">
        <is>
          <t>Aspsplintbock
Grön aspvedbock
Gulröd blankbock</t>
        </is>
      </c>
      <c r="S86">
        <f>HYPERLINK("https://klasma.github.io/Logging_0188/artfynd/A 53065-2024 artfynd.xlsx", "A 53065-2024")</f>
        <v/>
      </c>
      <c r="T86">
        <f>HYPERLINK("https://klasma.github.io/Logging_0188/kartor/A 53065-2024 karta.png", "A 53065-2024")</f>
        <v/>
      </c>
      <c r="V86">
        <f>HYPERLINK("https://klasma.github.io/Logging_0188/klagomål/A 53065-2024 FSC-klagomål.docx", "A 53065-2024")</f>
        <v/>
      </c>
      <c r="W86">
        <f>HYPERLINK("https://klasma.github.io/Logging_0188/klagomålsmail/A 53065-2024 FSC-klagomål mail.docx", "A 53065-2024")</f>
        <v/>
      </c>
      <c r="X86">
        <f>HYPERLINK("https://klasma.github.io/Logging_0188/tillsyn/A 53065-2024 tillsynsbegäran.docx", "A 53065-2024")</f>
        <v/>
      </c>
      <c r="Y86">
        <f>HYPERLINK("https://klasma.github.io/Logging_0188/tillsynsmail/A 53065-2024 tillsynsbegäran mail.docx", "A 53065-2024")</f>
        <v/>
      </c>
    </row>
    <row r="87" ht="15" customHeight="1">
      <c r="A87" t="inlineStr">
        <is>
          <t>A 54110-2024</t>
        </is>
      </c>
      <c r="B87" s="1" t="n">
        <v>45616</v>
      </c>
      <c r="C87" s="1" t="n">
        <v>45658</v>
      </c>
      <c r="D87" t="inlineStr">
        <is>
          <t>STOCKHOLMS LÄN</t>
        </is>
      </c>
      <c r="E87" t="inlineStr">
        <is>
          <t>NORRTÄLJE</t>
        </is>
      </c>
      <c r="G87" t="n">
        <v>6.7</v>
      </c>
      <c r="H87" t="n">
        <v>2</v>
      </c>
      <c r="I87" t="n">
        <v>0</v>
      </c>
      <c r="J87" t="n">
        <v>1</v>
      </c>
      <c r="K87" t="n">
        <v>0</v>
      </c>
      <c r="L87" t="n">
        <v>0</v>
      </c>
      <c r="M87" t="n">
        <v>0</v>
      </c>
      <c r="N87" t="n">
        <v>0</v>
      </c>
      <c r="O87" t="n">
        <v>1</v>
      </c>
      <c r="P87" t="n">
        <v>0</v>
      </c>
      <c r="Q87" t="n">
        <v>3</v>
      </c>
      <c r="R87" s="2" t="inlineStr">
        <is>
          <t>Klasefibbla
Nattviol
Gullviva</t>
        </is>
      </c>
      <c r="S87">
        <f>HYPERLINK("https://klasma.github.io/Logging_0188/artfynd/A 54110-2024 artfynd.xlsx", "A 54110-2024")</f>
        <v/>
      </c>
      <c r="T87">
        <f>HYPERLINK("https://klasma.github.io/Logging_0188/kartor/A 54110-2024 karta.png", "A 54110-2024")</f>
        <v/>
      </c>
      <c r="V87">
        <f>HYPERLINK("https://klasma.github.io/Logging_0188/klagomål/A 54110-2024 FSC-klagomål.docx", "A 54110-2024")</f>
        <v/>
      </c>
      <c r="W87">
        <f>HYPERLINK("https://klasma.github.io/Logging_0188/klagomålsmail/A 54110-2024 FSC-klagomål mail.docx", "A 54110-2024")</f>
        <v/>
      </c>
      <c r="X87">
        <f>HYPERLINK("https://klasma.github.io/Logging_0188/tillsyn/A 54110-2024 tillsynsbegäran.docx", "A 54110-2024")</f>
        <v/>
      </c>
      <c r="Y87">
        <f>HYPERLINK("https://klasma.github.io/Logging_0188/tillsynsmail/A 54110-2024 tillsynsbegäran mail.docx", "A 54110-2024")</f>
        <v/>
      </c>
    </row>
    <row r="88" ht="15" customHeight="1">
      <c r="A88" t="inlineStr">
        <is>
          <t>A 23830-2019</t>
        </is>
      </c>
      <c r="B88" s="1" t="n">
        <v>43595</v>
      </c>
      <c r="C88" s="1" t="n">
        <v>45658</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45658</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2810-2020</t>
        </is>
      </c>
      <c r="B90" s="1" t="n">
        <v>43850</v>
      </c>
      <c r="C90" s="1" t="n">
        <v>45658</v>
      </c>
      <c r="D90" t="inlineStr">
        <is>
          <t>STOCKHOLMS LÄN</t>
        </is>
      </c>
      <c r="E90" t="inlineStr">
        <is>
          <t>NORRTÄLJE</t>
        </is>
      </c>
      <c r="G90" t="n">
        <v>0.9</v>
      </c>
      <c r="H90" t="n">
        <v>1</v>
      </c>
      <c r="I90" t="n">
        <v>1</v>
      </c>
      <c r="J90" t="n">
        <v>0</v>
      </c>
      <c r="K90" t="n">
        <v>1</v>
      </c>
      <c r="L90" t="n">
        <v>0</v>
      </c>
      <c r="M90" t="n">
        <v>0</v>
      </c>
      <c r="N90" t="n">
        <v>0</v>
      </c>
      <c r="O90" t="n">
        <v>1</v>
      </c>
      <c r="P90" t="n">
        <v>1</v>
      </c>
      <c r="Q90" t="n">
        <v>2</v>
      </c>
      <c r="R90" s="2" t="inlineStr">
        <is>
          <t>Knärot
Grönpyrola</t>
        </is>
      </c>
      <c r="S90">
        <f>HYPERLINK("https://klasma.github.io/Logging_0188/artfynd/A 2810-2020 artfynd.xlsx", "A 2810-2020")</f>
        <v/>
      </c>
      <c r="T90">
        <f>HYPERLINK("https://klasma.github.io/Logging_0188/kartor/A 2810-2020 karta.png", "A 2810-2020")</f>
        <v/>
      </c>
      <c r="U90">
        <f>HYPERLINK("https://klasma.github.io/Logging_0188/knärot/A 2810-2020 karta knärot.png", "A 2810-2020")</f>
        <v/>
      </c>
      <c r="V90">
        <f>HYPERLINK("https://klasma.github.io/Logging_0188/klagomål/A 2810-2020 FSC-klagomål.docx", "A 2810-2020")</f>
        <v/>
      </c>
      <c r="W90">
        <f>HYPERLINK("https://klasma.github.io/Logging_0188/klagomålsmail/A 2810-2020 FSC-klagomål mail.docx", "A 2810-2020")</f>
        <v/>
      </c>
      <c r="X90">
        <f>HYPERLINK("https://klasma.github.io/Logging_0188/tillsyn/A 2810-2020 tillsynsbegäran.docx", "A 2810-2020")</f>
        <v/>
      </c>
      <c r="Y90">
        <f>HYPERLINK("https://klasma.github.io/Logging_0188/tillsynsmail/A 2810-2020 tillsynsbegäran mail.docx", "A 2810-2020")</f>
        <v/>
      </c>
    </row>
    <row r="91" ht="15" customHeight="1">
      <c r="A91" t="inlineStr">
        <is>
          <t>A 6272-2020</t>
        </is>
      </c>
      <c r="B91" s="1" t="n">
        <v>43866</v>
      </c>
      <c r="C91" s="1" t="n">
        <v>45658</v>
      </c>
      <c r="D91" t="inlineStr">
        <is>
          <t>STOCKHOLMS LÄN</t>
        </is>
      </c>
      <c r="E91" t="inlineStr">
        <is>
          <t>NORRTÄLJE</t>
        </is>
      </c>
      <c r="F91" t="inlineStr">
        <is>
          <t>Övriga statliga verk och myndigheter</t>
        </is>
      </c>
      <c r="G91" t="n">
        <v>1.9</v>
      </c>
      <c r="H91" t="n">
        <v>1</v>
      </c>
      <c r="I91" t="n">
        <v>1</v>
      </c>
      <c r="J91" t="n">
        <v>1</v>
      </c>
      <c r="K91" t="n">
        <v>0</v>
      </c>
      <c r="L91" t="n">
        <v>0</v>
      </c>
      <c r="M91" t="n">
        <v>0</v>
      </c>
      <c r="N91" t="n">
        <v>0</v>
      </c>
      <c r="O91" t="n">
        <v>1</v>
      </c>
      <c r="P91" t="n">
        <v>0</v>
      </c>
      <c r="Q91" t="n">
        <v>2</v>
      </c>
      <c r="R91" s="2" t="inlineStr">
        <is>
          <t>Silversmygare
Nästrot</t>
        </is>
      </c>
      <c r="S91">
        <f>HYPERLINK("https://klasma.github.io/Logging_0188/artfynd/A 6272-2020 artfynd.xlsx", "A 6272-2020")</f>
        <v/>
      </c>
      <c r="T91">
        <f>HYPERLINK("https://klasma.github.io/Logging_0188/kartor/A 6272-2020 karta.png", "A 6272-2020")</f>
        <v/>
      </c>
      <c r="V91">
        <f>HYPERLINK("https://klasma.github.io/Logging_0188/klagomål/A 6272-2020 FSC-klagomål.docx", "A 6272-2020")</f>
        <v/>
      </c>
      <c r="W91">
        <f>HYPERLINK("https://klasma.github.io/Logging_0188/klagomålsmail/A 6272-2020 FSC-klagomål mail.docx", "A 6272-2020")</f>
        <v/>
      </c>
      <c r="X91">
        <f>HYPERLINK("https://klasma.github.io/Logging_0188/tillsyn/A 6272-2020 tillsynsbegäran.docx", "A 6272-2020")</f>
        <v/>
      </c>
      <c r="Y91">
        <f>HYPERLINK("https://klasma.github.io/Logging_0188/tillsynsmail/A 6272-2020 tillsynsbegäran mail.docx", "A 6272-2020")</f>
        <v/>
      </c>
    </row>
    <row r="92" ht="15" customHeight="1">
      <c r="A92" t="inlineStr">
        <is>
          <t>A 14565-2020</t>
        </is>
      </c>
      <c r="B92" s="1" t="n">
        <v>43908</v>
      </c>
      <c r="C92" s="1" t="n">
        <v>45658</v>
      </c>
      <c r="D92" t="inlineStr">
        <is>
          <t>STOCKHOLMS LÄN</t>
        </is>
      </c>
      <c r="E92" t="inlineStr">
        <is>
          <t>NORRTÄLJE</t>
        </is>
      </c>
      <c r="G92" t="n">
        <v>3.4</v>
      </c>
      <c r="H92" t="n">
        <v>2</v>
      </c>
      <c r="I92" t="n">
        <v>0</v>
      </c>
      <c r="J92" t="n">
        <v>0</v>
      </c>
      <c r="K92" t="n">
        <v>0</v>
      </c>
      <c r="L92" t="n">
        <v>0</v>
      </c>
      <c r="M92" t="n">
        <v>0</v>
      </c>
      <c r="N92" t="n">
        <v>0</v>
      </c>
      <c r="O92" t="n">
        <v>0</v>
      </c>
      <c r="P92" t="n">
        <v>0</v>
      </c>
      <c r="Q92" t="n">
        <v>2</v>
      </c>
      <c r="R92" s="2" t="inlineStr">
        <is>
          <t>Mindre vattensalamander
Vanlig groda</t>
        </is>
      </c>
      <c r="S92">
        <f>HYPERLINK("https://klasma.github.io/Logging_0188/artfynd/A 14565-2020 artfynd.xlsx", "A 14565-2020")</f>
        <v/>
      </c>
      <c r="T92">
        <f>HYPERLINK("https://klasma.github.io/Logging_0188/kartor/A 14565-2020 karta.png", "A 14565-2020")</f>
        <v/>
      </c>
      <c r="V92">
        <f>HYPERLINK("https://klasma.github.io/Logging_0188/klagomål/A 14565-2020 FSC-klagomål.docx", "A 14565-2020")</f>
        <v/>
      </c>
      <c r="W92">
        <f>HYPERLINK("https://klasma.github.io/Logging_0188/klagomålsmail/A 14565-2020 FSC-klagomål mail.docx", "A 14565-2020")</f>
        <v/>
      </c>
      <c r="X92">
        <f>HYPERLINK("https://klasma.github.io/Logging_0188/tillsyn/A 14565-2020 tillsynsbegäran.docx", "A 14565-2020")</f>
        <v/>
      </c>
      <c r="Y92">
        <f>HYPERLINK("https://klasma.github.io/Logging_0188/tillsynsmail/A 14565-2020 tillsynsbegäran mail.docx", "A 14565-2020")</f>
        <v/>
      </c>
    </row>
    <row r="93" ht="15" customHeight="1">
      <c r="A93" t="inlineStr">
        <is>
          <t>A 19565-2020</t>
        </is>
      </c>
      <c r="B93" s="1" t="n">
        <v>43936</v>
      </c>
      <c r="C93" s="1" t="n">
        <v>45658</v>
      </c>
      <c r="D93" t="inlineStr">
        <is>
          <t>STOCKHOLMS LÄN</t>
        </is>
      </c>
      <c r="E93" t="inlineStr">
        <is>
          <t>NORRTÄLJE</t>
        </is>
      </c>
      <c r="G93" t="n">
        <v>2.4</v>
      </c>
      <c r="H93" t="n">
        <v>0</v>
      </c>
      <c r="I93" t="n">
        <v>2</v>
      </c>
      <c r="J93" t="n">
        <v>0</v>
      </c>
      <c r="K93" t="n">
        <v>0</v>
      </c>
      <c r="L93" t="n">
        <v>0</v>
      </c>
      <c r="M93" t="n">
        <v>0</v>
      </c>
      <c r="N93" t="n">
        <v>0</v>
      </c>
      <c r="O93" t="n">
        <v>0</v>
      </c>
      <c r="P93" t="n">
        <v>0</v>
      </c>
      <c r="Q93" t="n">
        <v>2</v>
      </c>
      <c r="R93" s="2" t="inlineStr">
        <is>
          <t>Mörk husmossa
Rödgul trumpetsvamp</t>
        </is>
      </c>
      <c r="S93">
        <f>HYPERLINK("https://klasma.github.io/Logging_0188/artfynd/A 19565-2020 artfynd.xlsx", "A 19565-2020")</f>
        <v/>
      </c>
      <c r="T93">
        <f>HYPERLINK("https://klasma.github.io/Logging_0188/kartor/A 19565-2020 karta.png", "A 19565-2020")</f>
        <v/>
      </c>
      <c r="V93">
        <f>HYPERLINK("https://klasma.github.io/Logging_0188/klagomål/A 19565-2020 FSC-klagomål.docx", "A 19565-2020")</f>
        <v/>
      </c>
      <c r="W93">
        <f>HYPERLINK("https://klasma.github.io/Logging_0188/klagomålsmail/A 19565-2020 FSC-klagomål mail.docx", "A 19565-2020")</f>
        <v/>
      </c>
      <c r="X93">
        <f>HYPERLINK("https://klasma.github.io/Logging_0188/tillsyn/A 19565-2020 tillsynsbegäran.docx", "A 19565-2020")</f>
        <v/>
      </c>
      <c r="Y93">
        <f>HYPERLINK("https://klasma.github.io/Logging_0188/tillsynsmail/A 19565-2020 tillsynsbegäran mail.docx", "A 19565-2020")</f>
        <v/>
      </c>
    </row>
    <row r="94" ht="15" customHeight="1">
      <c r="A94" t="inlineStr">
        <is>
          <t>A 31803-2021</t>
        </is>
      </c>
      <c r="B94" s="1" t="n">
        <v>44370</v>
      </c>
      <c r="C94" s="1" t="n">
        <v>45658</v>
      </c>
      <c r="D94" t="inlineStr">
        <is>
          <t>STOCKHOLMS LÄN</t>
        </is>
      </c>
      <c r="E94" t="inlineStr">
        <is>
          <t>NORRTÄLJE</t>
        </is>
      </c>
      <c r="G94" t="n">
        <v>4.6</v>
      </c>
      <c r="H94" t="n">
        <v>0</v>
      </c>
      <c r="I94" t="n">
        <v>1</v>
      </c>
      <c r="J94" t="n">
        <v>1</v>
      </c>
      <c r="K94" t="n">
        <v>0</v>
      </c>
      <c r="L94" t="n">
        <v>0</v>
      </c>
      <c r="M94" t="n">
        <v>0</v>
      </c>
      <c r="N94" t="n">
        <v>0</v>
      </c>
      <c r="O94" t="n">
        <v>1</v>
      </c>
      <c r="P94" t="n">
        <v>0</v>
      </c>
      <c r="Q94" t="n">
        <v>2</v>
      </c>
      <c r="R94" s="2" t="inlineStr">
        <is>
          <t>Slåtterfibbla
Vårärt</t>
        </is>
      </c>
      <c r="S94">
        <f>HYPERLINK("https://klasma.github.io/Logging_0188/artfynd/A 31803-2021 artfynd.xlsx", "A 31803-2021")</f>
        <v/>
      </c>
      <c r="T94">
        <f>HYPERLINK("https://klasma.github.io/Logging_0188/kartor/A 31803-2021 karta.png", "A 31803-2021")</f>
        <v/>
      </c>
      <c r="V94">
        <f>HYPERLINK("https://klasma.github.io/Logging_0188/klagomål/A 31803-2021 FSC-klagomål.docx", "A 31803-2021")</f>
        <v/>
      </c>
      <c r="W94">
        <f>HYPERLINK("https://klasma.github.io/Logging_0188/klagomålsmail/A 31803-2021 FSC-klagomål mail.docx", "A 31803-2021")</f>
        <v/>
      </c>
      <c r="X94">
        <f>HYPERLINK("https://klasma.github.io/Logging_0188/tillsyn/A 31803-2021 tillsynsbegäran.docx", "A 31803-2021")</f>
        <v/>
      </c>
      <c r="Y94">
        <f>HYPERLINK("https://klasma.github.io/Logging_0188/tillsynsmail/A 31803-2021 tillsynsbegäran mail.docx", "A 31803-2021")</f>
        <v/>
      </c>
    </row>
    <row r="95" ht="15" customHeight="1">
      <c r="A95" t="inlineStr">
        <is>
          <t>A 40072-2021</t>
        </is>
      </c>
      <c r="B95" s="1" t="n">
        <v>44418</v>
      </c>
      <c r="C95" s="1" t="n">
        <v>45658</v>
      </c>
      <c r="D95" t="inlineStr">
        <is>
          <t>STOCKHOLMS LÄN</t>
        </is>
      </c>
      <c r="E95" t="inlineStr">
        <is>
          <t>NORRTÄLJE</t>
        </is>
      </c>
      <c r="G95" t="n">
        <v>1.1</v>
      </c>
      <c r="H95" t="n">
        <v>2</v>
      </c>
      <c r="I95" t="n">
        <v>0</v>
      </c>
      <c r="J95" t="n">
        <v>2</v>
      </c>
      <c r="K95" t="n">
        <v>0</v>
      </c>
      <c r="L95" t="n">
        <v>0</v>
      </c>
      <c r="M95" t="n">
        <v>0</v>
      </c>
      <c r="N95" t="n">
        <v>0</v>
      </c>
      <c r="O95" t="n">
        <v>2</v>
      </c>
      <c r="P95" t="n">
        <v>0</v>
      </c>
      <c r="Q95" t="n">
        <v>2</v>
      </c>
      <c r="R95" s="2" t="inlineStr">
        <is>
          <t>Rördrom
Slaguggla</t>
        </is>
      </c>
      <c r="S95">
        <f>HYPERLINK("https://klasma.github.io/Logging_0188/artfynd/A 40072-2021 artfynd.xlsx", "A 40072-2021")</f>
        <v/>
      </c>
      <c r="T95">
        <f>HYPERLINK("https://klasma.github.io/Logging_0188/kartor/A 40072-2021 karta.png", "A 40072-2021")</f>
        <v/>
      </c>
      <c r="V95">
        <f>HYPERLINK("https://klasma.github.io/Logging_0188/klagomål/A 40072-2021 FSC-klagomål.docx", "A 40072-2021")</f>
        <v/>
      </c>
      <c r="W95">
        <f>HYPERLINK("https://klasma.github.io/Logging_0188/klagomålsmail/A 40072-2021 FSC-klagomål mail.docx", "A 40072-2021")</f>
        <v/>
      </c>
      <c r="X95">
        <f>HYPERLINK("https://klasma.github.io/Logging_0188/tillsyn/A 40072-2021 tillsynsbegäran.docx", "A 40072-2021")</f>
        <v/>
      </c>
      <c r="Y95">
        <f>HYPERLINK("https://klasma.github.io/Logging_0188/tillsynsmail/A 40072-2021 tillsynsbegäran mail.docx", "A 40072-2021")</f>
        <v/>
      </c>
      <c r="Z95">
        <f>HYPERLINK("https://klasma.github.io/Logging_0188/fåglar/A 40072-2021 prioriterade fågelarter.docx", "A 40072-2021")</f>
        <v/>
      </c>
    </row>
    <row r="96" ht="15" customHeight="1">
      <c r="A96" t="inlineStr">
        <is>
          <t>A 58676-2021</t>
        </is>
      </c>
      <c r="B96" s="1" t="n">
        <v>44489</v>
      </c>
      <c r="C96" s="1" t="n">
        <v>45658</v>
      </c>
      <c r="D96" t="inlineStr">
        <is>
          <t>STOCKHOLMS LÄN</t>
        </is>
      </c>
      <c r="E96" t="inlineStr">
        <is>
          <t>NORRTÄLJE</t>
        </is>
      </c>
      <c r="G96" t="n">
        <v>0.6</v>
      </c>
      <c r="H96" t="n">
        <v>2</v>
      </c>
      <c r="I96" t="n">
        <v>0</v>
      </c>
      <c r="J96" t="n">
        <v>0</v>
      </c>
      <c r="K96" t="n">
        <v>0</v>
      </c>
      <c r="L96" t="n">
        <v>0</v>
      </c>
      <c r="M96" t="n">
        <v>0</v>
      </c>
      <c r="N96" t="n">
        <v>0</v>
      </c>
      <c r="O96" t="n">
        <v>0</v>
      </c>
      <c r="P96" t="n">
        <v>0</v>
      </c>
      <c r="Q96" t="n">
        <v>2</v>
      </c>
      <c r="R96" s="2" t="inlineStr">
        <is>
          <t>Nattviol
Blåsippa</t>
        </is>
      </c>
      <c r="S96">
        <f>HYPERLINK("https://klasma.github.io/Logging_0188/artfynd/A 58676-2021 artfynd.xlsx", "A 58676-2021")</f>
        <v/>
      </c>
      <c r="T96">
        <f>HYPERLINK("https://klasma.github.io/Logging_0188/kartor/A 58676-2021 karta.png", "A 58676-2021")</f>
        <v/>
      </c>
      <c r="V96">
        <f>HYPERLINK("https://klasma.github.io/Logging_0188/klagomål/A 58676-2021 FSC-klagomål.docx", "A 58676-2021")</f>
        <v/>
      </c>
      <c r="W96">
        <f>HYPERLINK("https://klasma.github.io/Logging_0188/klagomålsmail/A 58676-2021 FSC-klagomål mail.docx", "A 58676-2021")</f>
        <v/>
      </c>
      <c r="X96">
        <f>HYPERLINK("https://klasma.github.io/Logging_0188/tillsyn/A 58676-2021 tillsynsbegäran.docx", "A 58676-2021")</f>
        <v/>
      </c>
      <c r="Y96">
        <f>HYPERLINK("https://klasma.github.io/Logging_0188/tillsynsmail/A 58676-2021 tillsynsbegäran mail.docx", "A 58676-2021")</f>
        <v/>
      </c>
    </row>
    <row r="97" ht="15" customHeight="1">
      <c r="A97" t="inlineStr">
        <is>
          <t>A 8024-2022</t>
        </is>
      </c>
      <c r="B97" s="1" t="n">
        <v>44609</v>
      </c>
      <c r="C97" s="1" t="n">
        <v>45658</v>
      </c>
      <c r="D97" t="inlineStr">
        <is>
          <t>STOCKHOLMS LÄN</t>
        </is>
      </c>
      <c r="E97" t="inlineStr">
        <is>
          <t>NORRTÄLJE</t>
        </is>
      </c>
      <c r="F97" t="inlineStr">
        <is>
          <t>Kyrkan</t>
        </is>
      </c>
      <c r="G97" t="n">
        <v>28.2</v>
      </c>
      <c r="H97" t="n">
        <v>2</v>
      </c>
      <c r="I97" t="n">
        <v>0</v>
      </c>
      <c r="J97" t="n">
        <v>0</v>
      </c>
      <c r="K97" t="n">
        <v>0</v>
      </c>
      <c r="L97" t="n">
        <v>0</v>
      </c>
      <c r="M97" t="n">
        <v>0</v>
      </c>
      <c r="N97" t="n">
        <v>0</v>
      </c>
      <c r="O97" t="n">
        <v>0</v>
      </c>
      <c r="P97" t="n">
        <v>0</v>
      </c>
      <c r="Q97" t="n">
        <v>2</v>
      </c>
      <c r="R97" s="2" t="inlineStr">
        <is>
          <t>Hökuggla
Revlummer</t>
        </is>
      </c>
      <c r="S97">
        <f>HYPERLINK("https://klasma.github.io/Logging_0188/artfynd/A 8024-2022 artfynd.xlsx", "A 8024-2022")</f>
        <v/>
      </c>
      <c r="T97">
        <f>HYPERLINK("https://klasma.github.io/Logging_0188/kartor/A 8024-2022 karta.png", "A 8024-2022")</f>
        <v/>
      </c>
      <c r="V97">
        <f>HYPERLINK("https://klasma.github.io/Logging_0188/klagomål/A 8024-2022 FSC-klagomål.docx", "A 8024-2022")</f>
        <v/>
      </c>
      <c r="W97">
        <f>HYPERLINK("https://klasma.github.io/Logging_0188/klagomålsmail/A 8024-2022 FSC-klagomål mail.docx", "A 8024-2022")</f>
        <v/>
      </c>
      <c r="X97">
        <f>HYPERLINK("https://klasma.github.io/Logging_0188/tillsyn/A 8024-2022 tillsynsbegäran.docx", "A 8024-2022")</f>
        <v/>
      </c>
      <c r="Y97">
        <f>HYPERLINK("https://klasma.github.io/Logging_0188/tillsynsmail/A 8024-2022 tillsynsbegäran mail.docx", "A 8024-2022")</f>
        <v/>
      </c>
      <c r="Z97">
        <f>HYPERLINK("https://klasma.github.io/Logging_0188/fåglar/A 8024-2022 prioriterade fågelarter.docx", "A 8024-2022")</f>
        <v/>
      </c>
    </row>
    <row r="98" ht="15" customHeight="1">
      <c r="A98" t="inlineStr">
        <is>
          <t>A 16260-2022</t>
        </is>
      </c>
      <c r="B98" s="1" t="n">
        <v>44670</v>
      </c>
      <c r="C98" s="1" t="n">
        <v>45658</v>
      </c>
      <c r="D98" t="inlineStr">
        <is>
          <t>STOCKHOLMS LÄN</t>
        </is>
      </c>
      <c r="E98" t="inlineStr">
        <is>
          <t>NORRTÄLJE</t>
        </is>
      </c>
      <c r="G98" t="n">
        <v>6.6</v>
      </c>
      <c r="H98" t="n">
        <v>1</v>
      </c>
      <c r="I98" t="n">
        <v>2</v>
      </c>
      <c r="J98" t="n">
        <v>0</v>
      </c>
      <c r="K98" t="n">
        <v>0</v>
      </c>
      <c r="L98" t="n">
        <v>0</v>
      </c>
      <c r="M98" t="n">
        <v>0</v>
      </c>
      <c r="N98" t="n">
        <v>0</v>
      </c>
      <c r="O98" t="n">
        <v>0</v>
      </c>
      <c r="P98" t="n">
        <v>0</v>
      </c>
      <c r="Q98" t="n">
        <v>2</v>
      </c>
      <c r="R98" s="2" t="inlineStr">
        <is>
          <t>Nästrot
Vårärt</t>
        </is>
      </c>
      <c r="S98">
        <f>HYPERLINK("https://klasma.github.io/Logging_0188/artfynd/A 16260-2022 artfynd.xlsx", "A 16260-2022")</f>
        <v/>
      </c>
      <c r="T98">
        <f>HYPERLINK("https://klasma.github.io/Logging_0188/kartor/A 16260-2022 karta.png", "A 16260-2022")</f>
        <v/>
      </c>
      <c r="V98">
        <f>HYPERLINK("https://klasma.github.io/Logging_0188/klagomål/A 16260-2022 FSC-klagomål.docx", "A 16260-2022")</f>
        <v/>
      </c>
      <c r="W98">
        <f>HYPERLINK("https://klasma.github.io/Logging_0188/klagomålsmail/A 16260-2022 FSC-klagomål mail.docx", "A 16260-2022")</f>
        <v/>
      </c>
      <c r="X98">
        <f>HYPERLINK("https://klasma.github.io/Logging_0188/tillsyn/A 16260-2022 tillsynsbegäran.docx", "A 16260-2022")</f>
        <v/>
      </c>
      <c r="Y98">
        <f>HYPERLINK("https://klasma.github.io/Logging_0188/tillsynsmail/A 16260-2022 tillsynsbegäran mail.docx", "A 16260-2022")</f>
        <v/>
      </c>
    </row>
    <row r="99" ht="15" customHeight="1">
      <c r="A99" t="inlineStr">
        <is>
          <t>A 19862-2022</t>
        </is>
      </c>
      <c r="B99" s="1" t="n">
        <v>44696</v>
      </c>
      <c r="C99" s="1" t="n">
        <v>45658</v>
      </c>
      <c r="D99" t="inlineStr">
        <is>
          <t>STOCKHOLMS LÄN</t>
        </is>
      </c>
      <c r="E99" t="inlineStr">
        <is>
          <t>NORRTÄLJE</t>
        </is>
      </c>
      <c r="G99" t="n">
        <v>6</v>
      </c>
      <c r="H99" t="n">
        <v>1</v>
      </c>
      <c r="I99" t="n">
        <v>0</v>
      </c>
      <c r="J99" t="n">
        <v>1</v>
      </c>
      <c r="K99" t="n">
        <v>0</v>
      </c>
      <c r="L99" t="n">
        <v>0</v>
      </c>
      <c r="M99" t="n">
        <v>0</v>
      </c>
      <c r="N99" t="n">
        <v>0</v>
      </c>
      <c r="O99" t="n">
        <v>1</v>
      </c>
      <c r="P99" t="n">
        <v>0</v>
      </c>
      <c r="Q99" t="n">
        <v>2</v>
      </c>
      <c r="R99" s="2" t="inlineStr">
        <is>
          <t>Granticka
Blåsippa</t>
        </is>
      </c>
      <c r="S99">
        <f>HYPERLINK("https://klasma.github.io/Logging_0188/artfynd/A 19862-2022 artfynd.xlsx", "A 19862-2022")</f>
        <v/>
      </c>
      <c r="T99">
        <f>HYPERLINK("https://klasma.github.io/Logging_0188/kartor/A 19862-2022 karta.png", "A 19862-2022")</f>
        <v/>
      </c>
      <c r="V99">
        <f>HYPERLINK("https://klasma.github.io/Logging_0188/klagomål/A 19862-2022 FSC-klagomål.docx", "A 19862-2022")</f>
        <v/>
      </c>
      <c r="W99">
        <f>HYPERLINK("https://klasma.github.io/Logging_0188/klagomålsmail/A 19862-2022 FSC-klagomål mail.docx", "A 19862-2022")</f>
        <v/>
      </c>
      <c r="X99">
        <f>HYPERLINK("https://klasma.github.io/Logging_0188/tillsyn/A 19862-2022 tillsynsbegäran.docx", "A 19862-2022")</f>
        <v/>
      </c>
      <c r="Y99">
        <f>HYPERLINK("https://klasma.github.io/Logging_0188/tillsynsmail/A 19862-2022 tillsynsbegäran mail.docx", "A 19862-2022")</f>
        <v/>
      </c>
    </row>
    <row r="100" ht="15" customHeight="1">
      <c r="A100" t="inlineStr">
        <is>
          <t>A 27742-2022</t>
        </is>
      </c>
      <c r="B100" s="1" t="n">
        <v>44743</v>
      </c>
      <c r="C100" s="1" t="n">
        <v>45658</v>
      </c>
      <c r="D100" t="inlineStr">
        <is>
          <t>STOCKHOLMS LÄN</t>
        </is>
      </c>
      <c r="E100" t="inlineStr">
        <is>
          <t>NORRTÄLJE</t>
        </is>
      </c>
      <c r="G100" t="n">
        <v>3.9</v>
      </c>
      <c r="H100" t="n">
        <v>1</v>
      </c>
      <c r="I100" t="n">
        <v>1</v>
      </c>
      <c r="J100" t="n">
        <v>0</v>
      </c>
      <c r="K100" t="n">
        <v>0</v>
      </c>
      <c r="L100" t="n">
        <v>0</v>
      </c>
      <c r="M100" t="n">
        <v>0</v>
      </c>
      <c r="N100" t="n">
        <v>0</v>
      </c>
      <c r="O100" t="n">
        <v>0</v>
      </c>
      <c r="P100" t="n">
        <v>0</v>
      </c>
      <c r="Q100" t="n">
        <v>2</v>
      </c>
      <c r="R100" s="2" t="inlineStr">
        <is>
          <t>Svavelriska
Blåsippa</t>
        </is>
      </c>
      <c r="S100">
        <f>HYPERLINK("https://klasma.github.io/Logging_0188/artfynd/A 27742-2022 artfynd.xlsx", "A 27742-2022")</f>
        <v/>
      </c>
      <c r="T100">
        <f>HYPERLINK("https://klasma.github.io/Logging_0188/kartor/A 27742-2022 karta.png", "A 27742-2022")</f>
        <v/>
      </c>
      <c r="V100">
        <f>HYPERLINK("https://klasma.github.io/Logging_0188/klagomål/A 27742-2022 FSC-klagomål.docx", "A 27742-2022")</f>
        <v/>
      </c>
      <c r="W100">
        <f>HYPERLINK("https://klasma.github.io/Logging_0188/klagomålsmail/A 27742-2022 FSC-klagomål mail.docx", "A 27742-2022")</f>
        <v/>
      </c>
      <c r="X100">
        <f>HYPERLINK("https://klasma.github.io/Logging_0188/tillsyn/A 27742-2022 tillsynsbegäran.docx", "A 27742-2022")</f>
        <v/>
      </c>
      <c r="Y100">
        <f>HYPERLINK("https://klasma.github.io/Logging_0188/tillsynsmail/A 27742-2022 tillsynsbegäran mail.docx", "A 27742-2022")</f>
        <v/>
      </c>
    </row>
    <row r="101" ht="15" customHeight="1">
      <c r="A101" t="inlineStr">
        <is>
          <t>A 30693-2022</t>
        </is>
      </c>
      <c r="B101" s="1" t="n">
        <v>44763</v>
      </c>
      <c r="C101" s="1" t="n">
        <v>45658</v>
      </c>
      <c r="D101" t="inlineStr">
        <is>
          <t>STOCKHOLMS LÄN</t>
        </is>
      </c>
      <c r="E101" t="inlineStr">
        <is>
          <t>NORRTÄLJE</t>
        </is>
      </c>
      <c r="F101" t="inlineStr">
        <is>
          <t>Sveaskog</t>
        </is>
      </c>
      <c r="G101" t="n">
        <v>3.4</v>
      </c>
      <c r="H101" t="n">
        <v>2</v>
      </c>
      <c r="I101" t="n">
        <v>0</v>
      </c>
      <c r="J101" t="n">
        <v>1</v>
      </c>
      <c r="K101" t="n">
        <v>0</v>
      </c>
      <c r="L101" t="n">
        <v>0</v>
      </c>
      <c r="M101" t="n">
        <v>0</v>
      </c>
      <c r="N101" t="n">
        <v>0</v>
      </c>
      <c r="O101" t="n">
        <v>1</v>
      </c>
      <c r="P101" t="n">
        <v>0</v>
      </c>
      <c r="Q101" t="n">
        <v>2</v>
      </c>
      <c r="R101" s="2" t="inlineStr">
        <is>
          <t>Gulsparv
Gullviva</t>
        </is>
      </c>
      <c r="S101">
        <f>HYPERLINK("https://klasma.github.io/Logging_0188/artfynd/A 30693-2022 artfynd.xlsx", "A 30693-2022")</f>
        <v/>
      </c>
      <c r="T101">
        <f>HYPERLINK("https://klasma.github.io/Logging_0188/kartor/A 30693-2022 karta.png", "A 30693-2022")</f>
        <v/>
      </c>
      <c r="V101">
        <f>HYPERLINK("https://klasma.github.io/Logging_0188/klagomål/A 30693-2022 FSC-klagomål.docx", "A 30693-2022")</f>
        <v/>
      </c>
      <c r="W101">
        <f>HYPERLINK("https://klasma.github.io/Logging_0188/klagomålsmail/A 30693-2022 FSC-klagomål mail.docx", "A 30693-2022")</f>
        <v/>
      </c>
      <c r="X101">
        <f>HYPERLINK("https://klasma.github.io/Logging_0188/tillsyn/A 30693-2022 tillsynsbegäran.docx", "A 30693-2022")</f>
        <v/>
      </c>
      <c r="Y101">
        <f>HYPERLINK("https://klasma.github.io/Logging_0188/tillsynsmail/A 30693-2022 tillsynsbegäran mail.docx", "A 30693-2022")</f>
        <v/>
      </c>
      <c r="Z101">
        <f>HYPERLINK("https://klasma.github.io/Logging_0188/fåglar/A 30693-2022 prioriterade fågelarter.docx", "A 30693-2022")</f>
        <v/>
      </c>
    </row>
    <row r="102" ht="15" customHeight="1">
      <c r="A102" t="inlineStr">
        <is>
          <t>A 38597-2022</t>
        </is>
      </c>
      <c r="B102" s="1" t="n">
        <v>44813</v>
      </c>
      <c r="C102" s="1" t="n">
        <v>45658</v>
      </c>
      <c r="D102" t="inlineStr">
        <is>
          <t>STOCKHOLMS LÄN</t>
        </is>
      </c>
      <c r="E102" t="inlineStr">
        <is>
          <t>NORRTÄLJE</t>
        </is>
      </c>
      <c r="G102" t="n">
        <v>13.2</v>
      </c>
      <c r="H102" t="n">
        <v>1</v>
      </c>
      <c r="I102" t="n">
        <v>1</v>
      </c>
      <c r="J102" t="n">
        <v>0</v>
      </c>
      <c r="K102" t="n">
        <v>0</v>
      </c>
      <c r="L102" t="n">
        <v>1</v>
      </c>
      <c r="M102" t="n">
        <v>0</v>
      </c>
      <c r="N102" t="n">
        <v>0</v>
      </c>
      <c r="O102" t="n">
        <v>1</v>
      </c>
      <c r="P102" t="n">
        <v>1</v>
      </c>
      <c r="Q102" t="n">
        <v>2</v>
      </c>
      <c r="R102" s="2" t="inlineStr">
        <is>
          <t>Asknätfjäril
Scharlakansvårskål agg.</t>
        </is>
      </c>
      <c r="S102">
        <f>HYPERLINK("https://klasma.github.io/Logging_0188/artfynd/A 38597-2022 artfynd.xlsx", "A 38597-2022")</f>
        <v/>
      </c>
      <c r="T102">
        <f>HYPERLINK("https://klasma.github.io/Logging_0188/kartor/A 38597-2022 karta.png", "A 38597-2022")</f>
        <v/>
      </c>
      <c r="V102">
        <f>HYPERLINK("https://klasma.github.io/Logging_0188/klagomål/A 38597-2022 FSC-klagomål.docx", "A 38597-2022")</f>
        <v/>
      </c>
      <c r="W102">
        <f>HYPERLINK("https://klasma.github.io/Logging_0188/klagomålsmail/A 38597-2022 FSC-klagomål mail.docx", "A 38597-2022")</f>
        <v/>
      </c>
      <c r="X102">
        <f>HYPERLINK("https://klasma.github.io/Logging_0188/tillsyn/A 38597-2022 tillsynsbegäran.docx", "A 38597-2022")</f>
        <v/>
      </c>
      <c r="Y102">
        <f>HYPERLINK("https://klasma.github.io/Logging_0188/tillsynsmail/A 38597-2022 tillsynsbegäran mail.docx", "A 38597-2022")</f>
        <v/>
      </c>
    </row>
    <row r="103" ht="15" customHeight="1">
      <c r="A103" t="inlineStr">
        <is>
          <t>A 52124-2022</t>
        </is>
      </c>
      <c r="B103" s="1" t="n">
        <v>44868</v>
      </c>
      <c r="C103" s="1" t="n">
        <v>45658</v>
      </c>
      <c r="D103" t="inlineStr">
        <is>
          <t>STOCKHOLMS LÄN</t>
        </is>
      </c>
      <c r="E103" t="inlineStr">
        <is>
          <t>NORRTÄLJE</t>
        </is>
      </c>
      <c r="G103" t="n">
        <v>4.8</v>
      </c>
      <c r="H103" t="n">
        <v>1</v>
      </c>
      <c r="I103" t="n">
        <v>0</v>
      </c>
      <c r="J103" t="n">
        <v>1</v>
      </c>
      <c r="K103" t="n">
        <v>0</v>
      </c>
      <c r="L103" t="n">
        <v>0</v>
      </c>
      <c r="M103" t="n">
        <v>0</v>
      </c>
      <c r="N103" t="n">
        <v>0</v>
      </c>
      <c r="O103" t="n">
        <v>1</v>
      </c>
      <c r="P103" t="n">
        <v>0</v>
      </c>
      <c r="Q103" t="n">
        <v>2</v>
      </c>
      <c r="R103" s="2" t="inlineStr">
        <is>
          <t>Kandelabersvamp
Blåsippa</t>
        </is>
      </c>
      <c r="S103">
        <f>HYPERLINK("https://klasma.github.io/Logging_0188/artfynd/A 52124-2022 artfynd.xlsx", "A 52124-2022")</f>
        <v/>
      </c>
      <c r="T103">
        <f>HYPERLINK("https://klasma.github.io/Logging_0188/kartor/A 52124-2022 karta.png", "A 52124-2022")</f>
        <v/>
      </c>
      <c r="V103">
        <f>HYPERLINK("https://klasma.github.io/Logging_0188/klagomål/A 52124-2022 FSC-klagomål.docx", "A 52124-2022")</f>
        <v/>
      </c>
      <c r="W103">
        <f>HYPERLINK("https://klasma.github.io/Logging_0188/klagomålsmail/A 52124-2022 FSC-klagomål mail.docx", "A 52124-2022")</f>
        <v/>
      </c>
      <c r="X103">
        <f>HYPERLINK("https://klasma.github.io/Logging_0188/tillsyn/A 52124-2022 tillsynsbegäran.docx", "A 52124-2022")</f>
        <v/>
      </c>
      <c r="Y103">
        <f>HYPERLINK("https://klasma.github.io/Logging_0188/tillsynsmail/A 52124-2022 tillsynsbegäran mail.docx", "A 52124-2022")</f>
        <v/>
      </c>
    </row>
    <row r="104" ht="15" customHeight="1">
      <c r="A104" t="inlineStr">
        <is>
          <t>A 51980-2022</t>
        </is>
      </c>
      <c r="B104" s="1" t="n">
        <v>44872</v>
      </c>
      <c r="C104" s="1" t="n">
        <v>45658</v>
      </c>
      <c r="D104" t="inlineStr">
        <is>
          <t>STOCKHOLMS LÄN</t>
        </is>
      </c>
      <c r="E104" t="inlineStr">
        <is>
          <t>NORRTÄLJE</t>
        </is>
      </c>
      <c r="G104" t="n">
        <v>7.9</v>
      </c>
      <c r="H104" t="n">
        <v>1</v>
      </c>
      <c r="I104" t="n">
        <v>2</v>
      </c>
      <c r="J104" t="n">
        <v>0</v>
      </c>
      <c r="K104" t="n">
        <v>0</v>
      </c>
      <c r="L104" t="n">
        <v>0</v>
      </c>
      <c r="M104" t="n">
        <v>0</v>
      </c>
      <c r="N104" t="n">
        <v>0</v>
      </c>
      <c r="O104" t="n">
        <v>0</v>
      </c>
      <c r="P104" t="n">
        <v>0</v>
      </c>
      <c r="Q104" t="n">
        <v>2</v>
      </c>
      <c r="R104" s="2" t="inlineStr">
        <is>
          <t>Rödgul trumpetsvamp
Skogsknipprot</t>
        </is>
      </c>
      <c r="S104">
        <f>HYPERLINK("https://klasma.github.io/Logging_0188/artfynd/A 51980-2022 artfynd.xlsx", "A 51980-2022")</f>
        <v/>
      </c>
      <c r="T104">
        <f>HYPERLINK("https://klasma.github.io/Logging_0188/kartor/A 51980-2022 karta.png", "A 51980-2022")</f>
        <v/>
      </c>
      <c r="V104">
        <f>HYPERLINK("https://klasma.github.io/Logging_0188/klagomål/A 51980-2022 FSC-klagomål.docx", "A 51980-2022")</f>
        <v/>
      </c>
      <c r="W104">
        <f>HYPERLINK("https://klasma.github.io/Logging_0188/klagomålsmail/A 51980-2022 FSC-klagomål mail.docx", "A 51980-2022")</f>
        <v/>
      </c>
      <c r="X104">
        <f>HYPERLINK("https://klasma.github.io/Logging_0188/tillsyn/A 51980-2022 tillsynsbegäran.docx", "A 51980-2022")</f>
        <v/>
      </c>
      <c r="Y104">
        <f>HYPERLINK("https://klasma.github.io/Logging_0188/tillsynsmail/A 51980-2022 tillsynsbegäran mail.docx", "A 51980-2022")</f>
        <v/>
      </c>
    </row>
    <row r="105" ht="15" customHeight="1">
      <c r="A105" t="inlineStr">
        <is>
          <t>A 7341-2023</t>
        </is>
      </c>
      <c r="B105" s="1" t="n">
        <v>44971</v>
      </c>
      <c r="C105" s="1" t="n">
        <v>45658</v>
      </c>
      <c r="D105" t="inlineStr">
        <is>
          <t>STOCKHOLMS LÄN</t>
        </is>
      </c>
      <c r="E105" t="inlineStr">
        <is>
          <t>NORRTÄLJE</t>
        </is>
      </c>
      <c r="F105" t="inlineStr">
        <is>
          <t>Holmen skog AB</t>
        </is>
      </c>
      <c r="G105" t="n">
        <v>10.7</v>
      </c>
      <c r="H105" t="n">
        <v>0</v>
      </c>
      <c r="I105" t="n">
        <v>0</v>
      </c>
      <c r="J105" t="n">
        <v>2</v>
      </c>
      <c r="K105" t="n">
        <v>0</v>
      </c>
      <c r="L105" t="n">
        <v>0</v>
      </c>
      <c r="M105" t="n">
        <v>0</v>
      </c>
      <c r="N105" t="n">
        <v>0</v>
      </c>
      <c r="O105" t="n">
        <v>2</v>
      </c>
      <c r="P105" t="n">
        <v>0</v>
      </c>
      <c r="Q105" t="n">
        <v>2</v>
      </c>
      <c r="R105" s="2" t="inlineStr">
        <is>
          <t>Mindre bastardsvärmare
Smalsprötad bastardsvärmare</t>
        </is>
      </c>
      <c r="S105">
        <f>HYPERLINK("https://klasma.github.io/Logging_0188/artfynd/A 7341-2023 artfynd.xlsx", "A 7341-2023")</f>
        <v/>
      </c>
      <c r="T105">
        <f>HYPERLINK("https://klasma.github.io/Logging_0188/kartor/A 7341-2023 karta.png", "A 7341-2023")</f>
        <v/>
      </c>
      <c r="V105">
        <f>HYPERLINK("https://klasma.github.io/Logging_0188/klagomål/A 7341-2023 FSC-klagomål.docx", "A 7341-2023")</f>
        <v/>
      </c>
      <c r="W105">
        <f>HYPERLINK("https://klasma.github.io/Logging_0188/klagomålsmail/A 7341-2023 FSC-klagomål mail.docx", "A 7341-2023")</f>
        <v/>
      </c>
      <c r="X105">
        <f>HYPERLINK("https://klasma.github.io/Logging_0188/tillsyn/A 7341-2023 tillsynsbegäran.docx", "A 7341-2023")</f>
        <v/>
      </c>
      <c r="Y105">
        <f>HYPERLINK("https://klasma.github.io/Logging_0188/tillsynsmail/A 7341-2023 tillsynsbegäran mail.docx", "A 7341-2023")</f>
        <v/>
      </c>
    </row>
    <row r="106" ht="15" customHeight="1">
      <c r="A106" t="inlineStr">
        <is>
          <t>A 10136-2023</t>
        </is>
      </c>
      <c r="B106" s="1" t="n">
        <v>44986</v>
      </c>
      <c r="C106" s="1" t="n">
        <v>45658</v>
      </c>
      <c r="D106" t="inlineStr">
        <is>
          <t>STOCKHOLMS LÄN</t>
        </is>
      </c>
      <c r="E106" t="inlineStr">
        <is>
          <t>NORRTÄLJE</t>
        </is>
      </c>
      <c r="F106" t="inlineStr">
        <is>
          <t>Övriga statliga verk och myndigheter</t>
        </is>
      </c>
      <c r="G106" t="n">
        <v>3.6</v>
      </c>
      <c r="H106" t="n">
        <v>0</v>
      </c>
      <c r="I106" t="n">
        <v>0</v>
      </c>
      <c r="J106" t="n">
        <v>1</v>
      </c>
      <c r="K106" t="n">
        <v>1</v>
      </c>
      <c r="L106" t="n">
        <v>0</v>
      </c>
      <c r="M106" t="n">
        <v>0</v>
      </c>
      <c r="N106" t="n">
        <v>0</v>
      </c>
      <c r="O106" t="n">
        <v>2</v>
      </c>
      <c r="P106" t="n">
        <v>1</v>
      </c>
      <c r="Q106" t="n">
        <v>2</v>
      </c>
      <c r="R106" s="2" t="inlineStr">
        <is>
          <t>Svartfjällig musseron
Persiljespindling</t>
        </is>
      </c>
      <c r="S106">
        <f>HYPERLINK("https://klasma.github.io/Logging_0188/artfynd/A 10136-2023 artfynd.xlsx", "A 10136-2023")</f>
        <v/>
      </c>
      <c r="T106">
        <f>HYPERLINK("https://klasma.github.io/Logging_0188/kartor/A 10136-2023 karta.png", "A 10136-2023")</f>
        <v/>
      </c>
      <c r="V106">
        <f>HYPERLINK("https://klasma.github.io/Logging_0188/klagomål/A 10136-2023 FSC-klagomål.docx", "A 10136-2023")</f>
        <v/>
      </c>
      <c r="W106">
        <f>HYPERLINK("https://klasma.github.io/Logging_0188/klagomålsmail/A 10136-2023 FSC-klagomål mail.docx", "A 10136-2023")</f>
        <v/>
      </c>
      <c r="X106">
        <f>HYPERLINK("https://klasma.github.io/Logging_0188/tillsyn/A 10136-2023 tillsynsbegäran.docx", "A 10136-2023")</f>
        <v/>
      </c>
      <c r="Y106">
        <f>HYPERLINK("https://klasma.github.io/Logging_0188/tillsynsmail/A 10136-2023 tillsynsbegäran mail.docx", "A 10136-2023")</f>
        <v/>
      </c>
    </row>
    <row r="107" ht="15" customHeight="1">
      <c r="A107" t="inlineStr">
        <is>
          <t>A 21748-2023</t>
        </is>
      </c>
      <c r="B107" s="1" t="n">
        <v>45065</v>
      </c>
      <c r="C107" s="1" t="n">
        <v>45658</v>
      </c>
      <c r="D107" t="inlineStr">
        <is>
          <t>STOCKHOLMS LÄN</t>
        </is>
      </c>
      <c r="E107" t="inlineStr">
        <is>
          <t>NORRTÄLJE</t>
        </is>
      </c>
      <c r="F107" t="inlineStr">
        <is>
          <t>Holmen skog AB</t>
        </is>
      </c>
      <c r="G107" t="n">
        <v>2.4</v>
      </c>
      <c r="H107" t="n">
        <v>0</v>
      </c>
      <c r="I107" t="n">
        <v>2</v>
      </c>
      <c r="J107" t="n">
        <v>0</v>
      </c>
      <c r="K107" t="n">
        <v>0</v>
      </c>
      <c r="L107" t="n">
        <v>0</v>
      </c>
      <c r="M107" t="n">
        <v>0</v>
      </c>
      <c r="N107" t="n">
        <v>0</v>
      </c>
      <c r="O107" t="n">
        <v>0</v>
      </c>
      <c r="P107" t="n">
        <v>0</v>
      </c>
      <c r="Q107" t="n">
        <v>2</v>
      </c>
      <c r="R107" s="2" t="inlineStr">
        <is>
          <t>Aspvedgnagare
Tibast</t>
        </is>
      </c>
      <c r="S107">
        <f>HYPERLINK("https://klasma.github.io/Logging_0188/artfynd/A 21748-2023 artfynd.xlsx", "A 21748-2023")</f>
        <v/>
      </c>
      <c r="T107">
        <f>HYPERLINK("https://klasma.github.io/Logging_0188/kartor/A 21748-2023 karta.png", "A 21748-2023")</f>
        <v/>
      </c>
      <c r="V107">
        <f>HYPERLINK("https://klasma.github.io/Logging_0188/klagomål/A 21748-2023 FSC-klagomål.docx", "A 21748-2023")</f>
        <v/>
      </c>
      <c r="W107">
        <f>HYPERLINK("https://klasma.github.io/Logging_0188/klagomålsmail/A 21748-2023 FSC-klagomål mail.docx", "A 21748-2023")</f>
        <v/>
      </c>
      <c r="X107">
        <f>HYPERLINK("https://klasma.github.io/Logging_0188/tillsyn/A 21748-2023 tillsynsbegäran.docx", "A 21748-2023")</f>
        <v/>
      </c>
      <c r="Y107">
        <f>HYPERLINK("https://klasma.github.io/Logging_0188/tillsynsmail/A 21748-2023 tillsynsbegäran mail.docx", "A 21748-2023")</f>
        <v/>
      </c>
    </row>
    <row r="108" ht="15" customHeight="1">
      <c r="A108" t="inlineStr">
        <is>
          <t>A 23861-2023</t>
        </is>
      </c>
      <c r="B108" s="1" t="n">
        <v>45078</v>
      </c>
      <c r="C108" s="1" t="n">
        <v>45658</v>
      </c>
      <c r="D108" t="inlineStr">
        <is>
          <t>STOCKHOLMS LÄN</t>
        </is>
      </c>
      <c r="E108" t="inlineStr">
        <is>
          <t>NORRTÄLJE</t>
        </is>
      </c>
      <c r="G108" t="n">
        <v>3.3</v>
      </c>
      <c r="H108" t="n">
        <v>1</v>
      </c>
      <c r="I108" t="n">
        <v>1</v>
      </c>
      <c r="J108" t="n">
        <v>0</v>
      </c>
      <c r="K108" t="n">
        <v>0</v>
      </c>
      <c r="L108" t="n">
        <v>0</v>
      </c>
      <c r="M108" t="n">
        <v>0</v>
      </c>
      <c r="N108" t="n">
        <v>0</v>
      </c>
      <c r="O108" t="n">
        <v>0</v>
      </c>
      <c r="P108" t="n">
        <v>0</v>
      </c>
      <c r="Q108" t="n">
        <v>2</v>
      </c>
      <c r="R108" s="2" t="inlineStr">
        <is>
          <t>Tibast
Blåsippa</t>
        </is>
      </c>
      <c r="S108">
        <f>HYPERLINK("https://klasma.github.io/Logging_0188/artfynd/A 23861-2023 artfynd.xlsx", "A 23861-2023")</f>
        <v/>
      </c>
      <c r="T108">
        <f>HYPERLINK("https://klasma.github.io/Logging_0188/kartor/A 23861-2023 karta.png", "A 23861-2023")</f>
        <v/>
      </c>
      <c r="V108">
        <f>HYPERLINK("https://klasma.github.io/Logging_0188/klagomål/A 23861-2023 FSC-klagomål.docx", "A 23861-2023")</f>
        <v/>
      </c>
      <c r="W108">
        <f>HYPERLINK("https://klasma.github.io/Logging_0188/klagomålsmail/A 23861-2023 FSC-klagomål mail.docx", "A 23861-2023")</f>
        <v/>
      </c>
      <c r="X108">
        <f>HYPERLINK("https://klasma.github.io/Logging_0188/tillsyn/A 23861-2023 tillsynsbegäran.docx", "A 23861-2023")</f>
        <v/>
      </c>
      <c r="Y108">
        <f>HYPERLINK("https://klasma.github.io/Logging_0188/tillsynsmail/A 23861-2023 tillsynsbegäran mail.docx", "A 23861-2023")</f>
        <v/>
      </c>
    </row>
    <row r="109" ht="15" customHeight="1">
      <c r="A109" t="inlineStr">
        <is>
          <t>A 33287-2023</t>
        </is>
      </c>
      <c r="B109" s="1" t="n">
        <v>45127</v>
      </c>
      <c r="C109" s="1" t="n">
        <v>45658</v>
      </c>
      <c r="D109" t="inlineStr">
        <is>
          <t>STOCKHOLMS LÄN</t>
        </is>
      </c>
      <c r="E109" t="inlineStr">
        <is>
          <t>NORRTÄLJE</t>
        </is>
      </c>
      <c r="F109" t="inlineStr">
        <is>
          <t>Holmen skog AB</t>
        </is>
      </c>
      <c r="G109" t="n">
        <v>3.3</v>
      </c>
      <c r="H109" t="n">
        <v>0</v>
      </c>
      <c r="I109" t="n">
        <v>0</v>
      </c>
      <c r="J109" t="n">
        <v>2</v>
      </c>
      <c r="K109" t="n">
        <v>0</v>
      </c>
      <c r="L109" t="n">
        <v>0</v>
      </c>
      <c r="M109" t="n">
        <v>0</v>
      </c>
      <c r="N109" t="n">
        <v>0</v>
      </c>
      <c r="O109" t="n">
        <v>2</v>
      </c>
      <c r="P109" t="n">
        <v>0</v>
      </c>
      <c r="Q109" t="n">
        <v>2</v>
      </c>
      <c r="R109" s="2" t="inlineStr">
        <is>
          <t>Smalsprötad bastardsvärmare
Violettkantad guldvinge</t>
        </is>
      </c>
      <c r="S109">
        <f>HYPERLINK("https://klasma.github.io/Logging_0188/artfynd/A 33287-2023 artfynd.xlsx", "A 33287-2023")</f>
        <v/>
      </c>
      <c r="T109">
        <f>HYPERLINK("https://klasma.github.io/Logging_0188/kartor/A 33287-2023 karta.png", "A 33287-2023")</f>
        <v/>
      </c>
      <c r="V109">
        <f>HYPERLINK("https://klasma.github.io/Logging_0188/klagomål/A 33287-2023 FSC-klagomål.docx", "A 33287-2023")</f>
        <v/>
      </c>
      <c r="W109">
        <f>HYPERLINK("https://klasma.github.io/Logging_0188/klagomålsmail/A 33287-2023 FSC-klagomål mail.docx", "A 33287-2023")</f>
        <v/>
      </c>
      <c r="X109">
        <f>HYPERLINK("https://klasma.github.io/Logging_0188/tillsyn/A 33287-2023 tillsynsbegäran.docx", "A 33287-2023")</f>
        <v/>
      </c>
      <c r="Y109">
        <f>HYPERLINK("https://klasma.github.io/Logging_0188/tillsynsmail/A 33287-2023 tillsynsbegäran mail.docx", "A 33287-2023")</f>
        <v/>
      </c>
    </row>
    <row r="110" ht="15" customHeight="1">
      <c r="A110" t="inlineStr">
        <is>
          <t>A 51220-2023</t>
        </is>
      </c>
      <c r="B110" s="1" t="n">
        <v>45219</v>
      </c>
      <c r="C110" s="1" t="n">
        <v>45658</v>
      </c>
      <c r="D110" t="inlineStr">
        <is>
          <t>STOCKHOLMS LÄN</t>
        </is>
      </c>
      <c r="E110" t="inlineStr">
        <is>
          <t>NORRTÄLJE</t>
        </is>
      </c>
      <c r="G110" t="n">
        <v>7.7</v>
      </c>
      <c r="H110" t="n">
        <v>1</v>
      </c>
      <c r="I110" t="n">
        <v>0</v>
      </c>
      <c r="J110" t="n">
        <v>1</v>
      </c>
      <c r="K110" t="n">
        <v>0</v>
      </c>
      <c r="L110" t="n">
        <v>0</v>
      </c>
      <c r="M110" t="n">
        <v>0</v>
      </c>
      <c r="N110" t="n">
        <v>0</v>
      </c>
      <c r="O110" t="n">
        <v>1</v>
      </c>
      <c r="P110" t="n">
        <v>0</v>
      </c>
      <c r="Q110" t="n">
        <v>2</v>
      </c>
      <c r="R110" s="2" t="inlineStr">
        <is>
          <t>Ullticka
Blåsippa</t>
        </is>
      </c>
      <c r="S110">
        <f>HYPERLINK("https://klasma.github.io/Logging_0188/artfynd/A 51220-2023 artfynd.xlsx", "A 51220-2023")</f>
        <v/>
      </c>
      <c r="T110">
        <f>HYPERLINK("https://klasma.github.io/Logging_0188/kartor/A 51220-2023 karta.png", "A 51220-2023")</f>
        <v/>
      </c>
      <c r="V110">
        <f>HYPERLINK("https://klasma.github.io/Logging_0188/klagomål/A 51220-2023 FSC-klagomål.docx", "A 51220-2023")</f>
        <v/>
      </c>
      <c r="W110">
        <f>HYPERLINK("https://klasma.github.io/Logging_0188/klagomålsmail/A 51220-2023 FSC-klagomål mail.docx", "A 51220-2023")</f>
        <v/>
      </c>
      <c r="X110">
        <f>HYPERLINK("https://klasma.github.io/Logging_0188/tillsyn/A 51220-2023 tillsynsbegäran.docx", "A 51220-2023")</f>
        <v/>
      </c>
      <c r="Y110">
        <f>HYPERLINK("https://klasma.github.io/Logging_0188/tillsynsmail/A 51220-2023 tillsynsbegäran mail.docx", "A 51220-2023")</f>
        <v/>
      </c>
    </row>
    <row r="111" ht="15" customHeight="1">
      <c r="A111" t="inlineStr">
        <is>
          <t>A 52825-2023</t>
        </is>
      </c>
      <c r="B111" s="1" t="n">
        <v>45226</v>
      </c>
      <c r="C111" s="1" t="n">
        <v>45658</v>
      </c>
      <c r="D111" t="inlineStr">
        <is>
          <t>STOCKHOLMS LÄN</t>
        </is>
      </c>
      <c r="E111" t="inlineStr">
        <is>
          <t>NORRTÄLJE</t>
        </is>
      </c>
      <c r="G111" t="n">
        <v>1</v>
      </c>
      <c r="H111" t="n">
        <v>0</v>
      </c>
      <c r="I111" t="n">
        <v>2</v>
      </c>
      <c r="J111" t="n">
        <v>0</v>
      </c>
      <c r="K111" t="n">
        <v>0</v>
      </c>
      <c r="L111" t="n">
        <v>0</v>
      </c>
      <c r="M111" t="n">
        <v>0</v>
      </c>
      <c r="N111" t="n">
        <v>0</v>
      </c>
      <c r="O111" t="n">
        <v>0</v>
      </c>
      <c r="P111" t="n">
        <v>0</v>
      </c>
      <c r="Q111" t="n">
        <v>2</v>
      </c>
      <c r="R111" s="2" t="inlineStr">
        <is>
          <t>Fjällig taggsvamp s.str.
Strimspindling</t>
        </is>
      </c>
      <c r="S111">
        <f>HYPERLINK("https://klasma.github.io/Logging_0188/artfynd/A 52825-2023 artfynd.xlsx", "A 52825-2023")</f>
        <v/>
      </c>
      <c r="T111">
        <f>HYPERLINK("https://klasma.github.io/Logging_0188/kartor/A 52825-2023 karta.png", "A 52825-2023")</f>
        <v/>
      </c>
      <c r="V111">
        <f>HYPERLINK("https://klasma.github.io/Logging_0188/klagomål/A 52825-2023 FSC-klagomål.docx", "A 52825-2023")</f>
        <v/>
      </c>
      <c r="W111">
        <f>HYPERLINK("https://klasma.github.io/Logging_0188/klagomålsmail/A 52825-2023 FSC-klagomål mail.docx", "A 52825-2023")</f>
        <v/>
      </c>
      <c r="X111">
        <f>HYPERLINK("https://klasma.github.io/Logging_0188/tillsyn/A 52825-2023 tillsynsbegäran.docx", "A 52825-2023")</f>
        <v/>
      </c>
      <c r="Y111">
        <f>HYPERLINK("https://klasma.github.io/Logging_0188/tillsynsmail/A 52825-2023 tillsynsbegäran mail.docx", "A 52825-2023")</f>
        <v/>
      </c>
    </row>
    <row r="112" ht="15" customHeight="1">
      <c r="A112" t="inlineStr">
        <is>
          <t>A 4909-2024</t>
        </is>
      </c>
      <c r="B112" s="1" t="n">
        <v>45329</v>
      </c>
      <c r="C112" s="1" t="n">
        <v>45658</v>
      </c>
      <c r="D112" t="inlineStr">
        <is>
          <t>STOCKHOLMS LÄN</t>
        </is>
      </c>
      <c r="E112" t="inlineStr">
        <is>
          <t>NORRTÄLJE</t>
        </is>
      </c>
      <c r="G112" t="n">
        <v>4.1</v>
      </c>
      <c r="H112" t="n">
        <v>0</v>
      </c>
      <c r="I112" t="n">
        <v>2</v>
      </c>
      <c r="J112" t="n">
        <v>0</v>
      </c>
      <c r="K112" t="n">
        <v>0</v>
      </c>
      <c r="L112" t="n">
        <v>0</v>
      </c>
      <c r="M112" t="n">
        <v>0</v>
      </c>
      <c r="N112" t="n">
        <v>0</v>
      </c>
      <c r="O112" t="n">
        <v>0</v>
      </c>
      <c r="P112" t="n">
        <v>0</v>
      </c>
      <c r="Q112" t="n">
        <v>2</v>
      </c>
      <c r="R112" s="2" t="inlineStr">
        <is>
          <t>Fjällig taggsvamp s.str.
Rödgul trumpetsvamp</t>
        </is>
      </c>
      <c r="S112">
        <f>HYPERLINK("https://klasma.github.io/Logging_0188/artfynd/A 4909-2024 artfynd.xlsx", "A 4909-2024")</f>
        <v/>
      </c>
      <c r="T112">
        <f>HYPERLINK("https://klasma.github.io/Logging_0188/kartor/A 4909-2024 karta.png", "A 4909-2024")</f>
        <v/>
      </c>
      <c r="V112">
        <f>HYPERLINK("https://klasma.github.io/Logging_0188/klagomål/A 4909-2024 FSC-klagomål.docx", "A 4909-2024")</f>
        <v/>
      </c>
      <c r="W112">
        <f>HYPERLINK("https://klasma.github.io/Logging_0188/klagomålsmail/A 4909-2024 FSC-klagomål mail.docx", "A 4909-2024")</f>
        <v/>
      </c>
      <c r="X112">
        <f>HYPERLINK("https://klasma.github.io/Logging_0188/tillsyn/A 4909-2024 tillsynsbegäran.docx", "A 4909-2024")</f>
        <v/>
      </c>
      <c r="Y112">
        <f>HYPERLINK("https://klasma.github.io/Logging_0188/tillsynsmail/A 4909-2024 tillsynsbegäran mail.docx", "A 4909-2024")</f>
        <v/>
      </c>
    </row>
    <row r="113" ht="15" customHeight="1">
      <c r="A113" t="inlineStr">
        <is>
          <t>A 11995-2024</t>
        </is>
      </c>
      <c r="B113" s="1" t="n">
        <v>45377</v>
      </c>
      <c r="C113" s="1" t="n">
        <v>45658</v>
      </c>
      <c r="D113" t="inlineStr">
        <is>
          <t>STOCKHOLMS LÄN</t>
        </is>
      </c>
      <c r="E113" t="inlineStr">
        <is>
          <t>NORRTÄLJE</t>
        </is>
      </c>
      <c r="G113" t="n">
        <v>4.7</v>
      </c>
      <c r="H113" t="n">
        <v>0</v>
      </c>
      <c r="I113" t="n">
        <v>1</v>
      </c>
      <c r="J113" t="n">
        <v>1</v>
      </c>
      <c r="K113" t="n">
        <v>0</v>
      </c>
      <c r="L113" t="n">
        <v>0</v>
      </c>
      <c r="M113" t="n">
        <v>0</v>
      </c>
      <c r="N113" t="n">
        <v>0</v>
      </c>
      <c r="O113" t="n">
        <v>1</v>
      </c>
      <c r="P113" t="n">
        <v>0</v>
      </c>
      <c r="Q113" t="n">
        <v>2</v>
      </c>
      <c r="R113" s="2" t="inlineStr">
        <is>
          <t>Tallticka
Svavelriska</t>
        </is>
      </c>
      <c r="S113">
        <f>HYPERLINK("https://klasma.github.io/Logging_0188/artfynd/A 11995-2024 artfynd.xlsx", "A 11995-2024")</f>
        <v/>
      </c>
      <c r="T113">
        <f>HYPERLINK("https://klasma.github.io/Logging_0188/kartor/A 11995-2024 karta.png", "A 11995-2024")</f>
        <v/>
      </c>
      <c r="V113">
        <f>HYPERLINK("https://klasma.github.io/Logging_0188/klagomål/A 11995-2024 FSC-klagomål.docx", "A 11995-2024")</f>
        <v/>
      </c>
      <c r="W113">
        <f>HYPERLINK("https://klasma.github.io/Logging_0188/klagomålsmail/A 11995-2024 FSC-klagomål mail.docx", "A 11995-2024")</f>
        <v/>
      </c>
      <c r="X113">
        <f>HYPERLINK("https://klasma.github.io/Logging_0188/tillsyn/A 11995-2024 tillsynsbegäran.docx", "A 11995-2024")</f>
        <v/>
      </c>
      <c r="Y113">
        <f>HYPERLINK("https://klasma.github.io/Logging_0188/tillsynsmail/A 11995-2024 tillsynsbegäran mail.docx", "A 11995-2024")</f>
        <v/>
      </c>
    </row>
    <row r="114" ht="15" customHeight="1">
      <c r="A114" t="inlineStr">
        <is>
          <t>A 13150-2024</t>
        </is>
      </c>
      <c r="B114" s="1" t="n">
        <v>45386</v>
      </c>
      <c r="C114" s="1" t="n">
        <v>45658</v>
      </c>
      <c r="D114" t="inlineStr">
        <is>
          <t>STOCKHOLMS LÄN</t>
        </is>
      </c>
      <c r="E114" t="inlineStr">
        <is>
          <t>NORRTÄLJE</t>
        </is>
      </c>
      <c r="G114" t="n">
        <v>7.4</v>
      </c>
      <c r="H114" t="n">
        <v>0</v>
      </c>
      <c r="I114" t="n">
        <v>1</v>
      </c>
      <c r="J114" t="n">
        <v>1</v>
      </c>
      <c r="K114" t="n">
        <v>0</v>
      </c>
      <c r="L114" t="n">
        <v>0</v>
      </c>
      <c r="M114" t="n">
        <v>0</v>
      </c>
      <c r="N114" t="n">
        <v>0</v>
      </c>
      <c r="O114" t="n">
        <v>1</v>
      </c>
      <c r="P114" t="n">
        <v>0</v>
      </c>
      <c r="Q114" t="n">
        <v>2</v>
      </c>
      <c r="R114" s="2" t="inlineStr">
        <is>
          <t>Orange taggsvamp
Mönjevaxskivling</t>
        </is>
      </c>
      <c r="S114">
        <f>HYPERLINK("https://klasma.github.io/Logging_0188/artfynd/A 13150-2024 artfynd.xlsx", "A 13150-2024")</f>
        <v/>
      </c>
      <c r="T114">
        <f>HYPERLINK("https://klasma.github.io/Logging_0188/kartor/A 13150-2024 karta.png", "A 13150-2024")</f>
        <v/>
      </c>
      <c r="V114">
        <f>HYPERLINK("https://klasma.github.io/Logging_0188/klagomål/A 13150-2024 FSC-klagomål.docx", "A 13150-2024")</f>
        <v/>
      </c>
      <c r="W114">
        <f>HYPERLINK("https://klasma.github.io/Logging_0188/klagomålsmail/A 13150-2024 FSC-klagomål mail.docx", "A 13150-2024")</f>
        <v/>
      </c>
      <c r="X114">
        <f>HYPERLINK("https://klasma.github.io/Logging_0188/tillsyn/A 13150-2024 tillsynsbegäran.docx", "A 13150-2024")</f>
        <v/>
      </c>
      <c r="Y114">
        <f>HYPERLINK("https://klasma.github.io/Logging_0188/tillsynsmail/A 13150-2024 tillsynsbegäran mail.docx", "A 13150-2024")</f>
        <v/>
      </c>
    </row>
    <row r="115" ht="15" customHeight="1">
      <c r="A115" t="inlineStr">
        <is>
          <t>A 24025-2024</t>
        </is>
      </c>
      <c r="B115" s="1" t="n">
        <v>45456</v>
      </c>
      <c r="C115" s="1" t="n">
        <v>45658</v>
      </c>
      <c r="D115" t="inlineStr">
        <is>
          <t>STOCKHOLMS LÄN</t>
        </is>
      </c>
      <c r="E115" t="inlineStr">
        <is>
          <t>NORRTÄLJE</t>
        </is>
      </c>
      <c r="G115" t="n">
        <v>6</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HYPERLINK("https://klasma.github.io/Logging_0188/artfynd/A 24025-2024 artfynd.xlsx", "A 24025-2024")</f>
        <v/>
      </c>
      <c r="T115">
        <f>HYPERLINK("https://klasma.github.io/Logging_0188/kartor/A 24025-2024 karta.png", "A 24025-2024")</f>
        <v/>
      </c>
      <c r="V115">
        <f>HYPERLINK("https://klasma.github.io/Logging_0188/klagomål/A 24025-2024 FSC-klagomål.docx", "A 24025-2024")</f>
        <v/>
      </c>
      <c r="W115">
        <f>HYPERLINK("https://klasma.github.io/Logging_0188/klagomålsmail/A 24025-2024 FSC-klagomål mail.docx", "A 24025-2024")</f>
        <v/>
      </c>
      <c r="X115">
        <f>HYPERLINK("https://klasma.github.io/Logging_0188/tillsyn/A 24025-2024 tillsynsbegäran.docx", "A 24025-2024")</f>
        <v/>
      </c>
      <c r="Y115">
        <f>HYPERLINK("https://klasma.github.io/Logging_0188/tillsynsmail/A 24025-2024 tillsynsbegäran mail.docx", "A 24025-2024")</f>
        <v/>
      </c>
    </row>
    <row r="116" ht="15" customHeight="1">
      <c r="A116" t="inlineStr">
        <is>
          <t>A 50326-2024</t>
        </is>
      </c>
      <c r="B116" s="1" t="n">
        <v>45600</v>
      </c>
      <c r="C116" s="1" t="n">
        <v>45658</v>
      </c>
      <c r="D116" t="inlineStr">
        <is>
          <t>STOCKHOLMS LÄN</t>
        </is>
      </c>
      <c r="E116" t="inlineStr">
        <is>
          <t>NORRTÄLJE</t>
        </is>
      </c>
      <c r="G116" t="n">
        <v>23.9</v>
      </c>
      <c r="H116" t="n">
        <v>1</v>
      </c>
      <c r="I116" t="n">
        <v>1</v>
      </c>
      <c r="J116" t="n">
        <v>1</v>
      </c>
      <c r="K116" t="n">
        <v>0</v>
      </c>
      <c r="L116" t="n">
        <v>0</v>
      </c>
      <c r="M116" t="n">
        <v>0</v>
      </c>
      <c r="N116" t="n">
        <v>0</v>
      </c>
      <c r="O116" t="n">
        <v>1</v>
      </c>
      <c r="P116" t="n">
        <v>0</v>
      </c>
      <c r="Q116" t="n">
        <v>2</v>
      </c>
      <c r="R116" s="2" t="inlineStr">
        <is>
          <t>Sommarfibbla
Nästrot</t>
        </is>
      </c>
      <c r="S116">
        <f>HYPERLINK("https://klasma.github.io/Logging_0188/artfynd/A 50326-2024 artfynd.xlsx", "A 50326-2024")</f>
        <v/>
      </c>
      <c r="T116">
        <f>HYPERLINK("https://klasma.github.io/Logging_0188/kartor/A 50326-2024 karta.png", "A 50326-2024")</f>
        <v/>
      </c>
      <c r="V116">
        <f>HYPERLINK("https://klasma.github.io/Logging_0188/klagomål/A 50326-2024 FSC-klagomål.docx", "A 50326-2024")</f>
        <v/>
      </c>
      <c r="W116">
        <f>HYPERLINK("https://klasma.github.io/Logging_0188/klagomålsmail/A 50326-2024 FSC-klagomål mail.docx", "A 50326-2024")</f>
        <v/>
      </c>
      <c r="X116">
        <f>HYPERLINK("https://klasma.github.io/Logging_0188/tillsyn/A 50326-2024 tillsynsbegäran.docx", "A 50326-2024")</f>
        <v/>
      </c>
      <c r="Y116">
        <f>HYPERLINK("https://klasma.github.io/Logging_0188/tillsynsmail/A 50326-2024 tillsynsbegäran mail.docx", "A 50326-2024")</f>
        <v/>
      </c>
    </row>
    <row r="117" ht="15" customHeight="1">
      <c r="A117" t="inlineStr">
        <is>
          <t>A 52360-2024</t>
        </is>
      </c>
      <c r="B117" s="1" t="n">
        <v>45609</v>
      </c>
      <c r="C117" s="1" t="n">
        <v>45658</v>
      </c>
      <c r="D117" t="inlineStr">
        <is>
          <t>STOCKHOLMS LÄN</t>
        </is>
      </c>
      <c r="E117" t="inlineStr">
        <is>
          <t>NORRTÄLJE</t>
        </is>
      </c>
      <c r="G117" t="n">
        <v>2.2</v>
      </c>
      <c r="H117" t="n">
        <v>1</v>
      </c>
      <c r="I117" t="n">
        <v>1</v>
      </c>
      <c r="J117" t="n">
        <v>0</v>
      </c>
      <c r="K117" t="n">
        <v>0</v>
      </c>
      <c r="L117" t="n">
        <v>0</v>
      </c>
      <c r="M117" t="n">
        <v>0</v>
      </c>
      <c r="N117" t="n">
        <v>0</v>
      </c>
      <c r="O117" t="n">
        <v>0</v>
      </c>
      <c r="P117" t="n">
        <v>0</v>
      </c>
      <c r="Q117" t="n">
        <v>2</v>
      </c>
      <c r="R117" s="2" t="inlineStr">
        <is>
          <t>Brandticka
Blåsippa</t>
        </is>
      </c>
      <c r="S117">
        <f>HYPERLINK("https://klasma.github.io/Logging_0188/artfynd/A 52360-2024 artfynd.xlsx", "A 52360-2024")</f>
        <v/>
      </c>
      <c r="T117">
        <f>HYPERLINK("https://klasma.github.io/Logging_0188/kartor/A 52360-2024 karta.png", "A 52360-2024")</f>
        <v/>
      </c>
      <c r="V117">
        <f>HYPERLINK("https://klasma.github.io/Logging_0188/klagomål/A 52360-2024 FSC-klagomål.docx", "A 52360-2024")</f>
        <v/>
      </c>
      <c r="W117">
        <f>HYPERLINK("https://klasma.github.io/Logging_0188/klagomålsmail/A 52360-2024 FSC-klagomål mail.docx", "A 52360-2024")</f>
        <v/>
      </c>
      <c r="X117">
        <f>HYPERLINK("https://klasma.github.io/Logging_0188/tillsyn/A 52360-2024 tillsynsbegäran.docx", "A 52360-2024")</f>
        <v/>
      </c>
      <c r="Y117">
        <f>HYPERLINK("https://klasma.github.io/Logging_0188/tillsynsmail/A 52360-2024 tillsynsbegäran mail.docx", "A 52360-2024")</f>
        <v/>
      </c>
    </row>
    <row r="118" ht="15" customHeight="1">
      <c r="A118" t="inlineStr">
        <is>
          <t>A 20740-2019</t>
        </is>
      </c>
      <c r="B118" s="1" t="n">
        <v>43573</v>
      </c>
      <c r="C118" s="1" t="n">
        <v>45658</v>
      </c>
      <c r="D118" t="inlineStr">
        <is>
          <t>STOCKHOLMS LÄN</t>
        </is>
      </c>
      <c r="E118" t="inlineStr">
        <is>
          <t>NORRTÄLJE</t>
        </is>
      </c>
      <c r="G118" t="n">
        <v>1.6</v>
      </c>
      <c r="H118" t="n">
        <v>0</v>
      </c>
      <c r="I118" t="n">
        <v>0</v>
      </c>
      <c r="J118" t="n">
        <v>1</v>
      </c>
      <c r="K118" t="n">
        <v>0</v>
      </c>
      <c r="L118" t="n">
        <v>0</v>
      </c>
      <c r="M118" t="n">
        <v>0</v>
      </c>
      <c r="N118" t="n">
        <v>0</v>
      </c>
      <c r="O118" t="n">
        <v>1</v>
      </c>
      <c r="P118" t="n">
        <v>0</v>
      </c>
      <c r="Q118" t="n">
        <v>1</v>
      </c>
      <c r="R118" s="2" t="inlineStr">
        <is>
          <t>Slåtterfibbla</t>
        </is>
      </c>
      <c r="S118">
        <f>HYPERLINK("https://klasma.github.io/Logging_0188/artfynd/A 20740-2019 artfynd.xlsx", "A 20740-2019")</f>
        <v/>
      </c>
      <c r="T118">
        <f>HYPERLINK("https://klasma.github.io/Logging_0188/kartor/A 20740-2019 karta.png", "A 20740-2019")</f>
        <v/>
      </c>
      <c r="V118">
        <f>HYPERLINK("https://klasma.github.io/Logging_0188/klagomål/A 20740-2019 FSC-klagomål.docx", "A 20740-2019")</f>
        <v/>
      </c>
      <c r="W118">
        <f>HYPERLINK("https://klasma.github.io/Logging_0188/klagomålsmail/A 20740-2019 FSC-klagomål mail.docx", "A 20740-2019")</f>
        <v/>
      </c>
      <c r="X118">
        <f>HYPERLINK("https://klasma.github.io/Logging_0188/tillsyn/A 20740-2019 tillsynsbegäran.docx", "A 20740-2019")</f>
        <v/>
      </c>
      <c r="Y118">
        <f>HYPERLINK("https://klasma.github.io/Logging_0188/tillsynsmail/A 20740-2019 tillsynsbegäran mail.docx", "A 20740-2019")</f>
        <v/>
      </c>
    </row>
    <row r="119" ht="15" customHeight="1">
      <c r="A119" t="inlineStr">
        <is>
          <t>A 26275-2019</t>
        </is>
      </c>
      <c r="B119" s="1" t="n">
        <v>43611</v>
      </c>
      <c r="C119" s="1" t="n">
        <v>45658</v>
      </c>
      <c r="D119" t="inlineStr">
        <is>
          <t>STOCKHOLMS LÄN</t>
        </is>
      </c>
      <c r="E119" t="inlineStr">
        <is>
          <t>NORRTÄLJE</t>
        </is>
      </c>
      <c r="G119" t="n">
        <v>0.5</v>
      </c>
      <c r="H119" t="n">
        <v>0</v>
      </c>
      <c r="I119" t="n">
        <v>1</v>
      </c>
      <c r="J119" t="n">
        <v>0</v>
      </c>
      <c r="K119" t="n">
        <v>0</v>
      </c>
      <c r="L119" t="n">
        <v>0</v>
      </c>
      <c r="M119" t="n">
        <v>0</v>
      </c>
      <c r="N119" t="n">
        <v>0</v>
      </c>
      <c r="O119" t="n">
        <v>0</v>
      </c>
      <c r="P119" t="n">
        <v>0</v>
      </c>
      <c r="Q119" t="n">
        <v>1</v>
      </c>
      <c r="R119" s="2" t="inlineStr">
        <is>
          <t>Blåmossa</t>
        </is>
      </c>
      <c r="S119">
        <f>HYPERLINK("https://klasma.github.io/Logging_0188/artfynd/A 26275-2019 artfynd.xlsx", "A 26275-2019")</f>
        <v/>
      </c>
      <c r="T119">
        <f>HYPERLINK("https://klasma.github.io/Logging_0188/kartor/A 26275-2019 karta.png", "A 26275-2019")</f>
        <v/>
      </c>
      <c r="V119">
        <f>HYPERLINK("https://klasma.github.io/Logging_0188/klagomål/A 26275-2019 FSC-klagomål.docx", "A 26275-2019")</f>
        <v/>
      </c>
      <c r="W119">
        <f>HYPERLINK("https://klasma.github.io/Logging_0188/klagomålsmail/A 26275-2019 FSC-klagomål mail.docx", "A 26275-2019")</f>
        <v/>
      </c>
      <c r="X119">
        <f>HYPERLINK("https://klasma.github.io/Logging_0188/tillsyn/A 26275-2019 tillsynsbegäran.docx", "A 26275-2019")</f>
        <v/>
      </c>
      <c r="Y119">
        <f>HYPERLINK("https://klasma.github.io/Logging_0188/tillsynsmail/A 26275-2019 tillsynsbegäran mail.docx", "A 26275-2019")</f>
        <v/>
      </c>
    </row>
    <row r="120" ht="15" customHeight="1">
      <c r="A120" t="inlineStr">
        <is>
          <t>A 30011-2019</t>
        </is>
      </c>
      <c r="B120" s="1" t="n">
        <v>43633</v>
      </c>
      <c r="C120" s="1" t="n">
        <v>45658</v>
      </c>
      <c r="D120" t="inlineStr">
        <is>
          <t>STOCKHOLMS LÄN</t>
        </is>
      </c>
      <c r="E120" t="inlineStr">
        <is>
          <t>NORRTÄLJE</t>
        </is>
      </c>
      <c r="G120" t="n">
        <v>2.6</v>
      </c>
      <c r="H120" t="n">
        <v>0</v>
      </c>
      <c r="I120" t="n">
        <v>1</v>
      </c>
      <c r="J120" t="n">
        <v>0</v>
      </c>
      <c r="K120" t="n">
        <v>0</v>
      </c>
      <c r="L120" t="n">
        <v>0</v>
      </c>
      <c r="M120" t="n">
        <v>0</v>
      </c>
      <c r="N120" t="n">
        <v>0</v>
      </c>
      <c r="O120" t="n">
        <v>0</v>
      </c>
      <c r="P120" t="n">
        <v>0</v>
      </c>
      <c r="Q120" t="n">
        <v>1</v>
      </c>
      <c r="R120" s="2" t="inlineStr">
        <is>
          <t>Tibast</t>
        </is>
      </c>
      <c r="S120">
        <f>HYPERLINK("https://klasma.github.io/Logging_0188/artfynd/A 30011-2019 artfynd.xlsx", "A 30011-2019")</f>
        <v/>
      </c>
      <c r="T120">
        <f>HYPERLINK("https://klasma.github.io/Logging_0188/kartor/A 30011-2019 karta.png", "A 30011-2019")</f>
        <v/>
      </c>
      <c r="V120">
        <f>HYPERLINK("https://klasma.github.io/Logging_0188/klagomål/A 30011-2019 FSC-klagomål.docx", "A 30011-2019")</f>
        <v/>
      </c>
      <c r="W120">
        <f>HYPERLINK("https://klasma.github.io/Logging_0188/klagomålsmail/A 30011-2019 FSC-klagomål mail.docx", "A 30011-2019")</f>
        <v/>
      </c>
      <c r="X120">
        <f>HYPERLINK("https://klasma.github.io/Logging_0188/tillsyn/A 30011-2019 tillsynsbegäran.docx", "A 30011-2019")</f>
        <v/>
      </c>
      <c r="Y120">
        <f>HYPERLINK("https://klasma.github.io/Logging_0188/tillsynsmail/A 30011-2019 tillsynsbegäran mail.docx", "A 30011-2019")</f>
        <v/>
      </c>
    </row>
    <row r="121" ht="15" customHeight="1">
      <c r="A121" t="inlineStr">
        <is>
          <t>A 38137-2019</t>
        </is>
      </c>
      <c r="B121" s="1" t="n">
        <v>43684</v>
      </c>
      <c r="C121" s="1" t="n">
        <v>45658</v>
      </c>
      <c r="D121" t="inlineStr">
        <is>
          <t>STOCKHOLMS LÄN</t>
        </is>
      </c>
      <c r="E121" t="inlineStr">
        <is>
          <t>NORRTÄLJE</t>
        </is>
      </c>
      <c r="G121" t="n">
        <v>12.9</v>
      </c>
      <c r="H121" t="n">
        <v>0</v>
      </c>
      <c r="I121" t="n">
        <v>0</v>
      </c>
      <c r="J121" t="n">
        <v>1</v>
      </c>
      <c r="K121" t="n">
        <v>0</v>
      </c>
      <c r="L121" t="n">
        <v>0</v>
      </c>
      <c r="M121" t="n">
        <v>0</v>
      </c>
      <c r="N121" t="n">
        <v>0</v>
      </c>
      <c r="O121" t="n">
        <v>1</v>
      </c>
      <c r="P121" t="n">
        <v>0</v>
      </c>
      <c r="Q121" t="n">
        <v>1</v>
      </c>
      <c r="R121" s="2" t="inlineStr">
        <is>
          <t>Rutskinn</t>
        </is>
      </c>
      <c r="S121">
        <f>HYPERLINK("https://klasma.github.io/Logging_0188/artfynd/A 38137-2019 artfynd.xlsx", "A 38137-2019")</f>
        <v/>
      </c>
      <c r="T121">
        <f>HYPERLINK("https://klasma.github.io/Logging_0188/kartor/A 38137-2019 karta.png", "A 38137-2019")</f>
        <v/>
      </c>
      <c r="V121">
        <f>HYPERLINK("https://klasma.github.io/Logging_0188/klagomål/A 38137-2019 FSC-klagomål.docx", "A 38137-2019")</f>
        <v/>
      </c>
      <c r="W121">
        <f>HYPERLINK("https://klasma.github.io/Logging_0188/klagomålsmail/A 38137-2019 FSC-klagomål mail.docx", "A 38137-2019")</f>
        <v/>
      </c>
      <c r="X121">
        <f>HYPERLINK("https://klasma.github.io/Logging_0188/tillsyn/A 38137-2019 tillsynsbegäran.docx", "A 38137-2019")</f>
        <v/>
      </c>
      <c r="Y121">
        <f>HYPERLINK("https://klasma.github.io/Logging_0188/tillsynsmail/A 38137-2019 tillsynsbegäran mail.docx", "A 38137-2019")</f>
        <v/>
      </c>
    </row>
    <row r="122" ht="15" customHeight="1">
      <c r="A122" t="inlineStr">
        <is>
          <t>A 62848-2019</t>
        </is>
      </c>
      <c r="B122" s="1" t="n">
        <v>43790</v>
      </c>
      <c r="C122" s="1" t="n">
        <v>45658</v>
      </c>
      <c r="D122" t="inlineStr">
        <is>
          <t>STOCKHOLMS LÄN</t>
        </is>
      </c>
      <c r="E122" t="inlineStr">
        <is>
          <t>NORRTÄLJE</t>
        </is>
      </c>
      <c r="F122" t="inlineStr">
        <is>
          <t>Holmen skog AB</t>
        </is>
      </c>
      <c r="G122" t="n">
        <v>6.6</v>
      </c>
      <c r="H122" t="n">
        <v>1</v>
      </c>
      <c r="I122" t="n">
        <v>0</v>
      </c>
      <c r="J122" t="n">
        <v>0</v>
      </c>
      <c r="K122" t="n">
        <v>0</v>
      </c>
      <c r="L122" t="n">
        <v>1</v>
      </c>
      <c r="M122" t="n">
        <v>0</v>
      </c>
      <c r="N122" t="n">
        <v>0</v>
      </c>
      <c r="O122" t="n">
        <v>1</v>
      </c>
      <c r="P122" t="n">
        <v>1</v>
      </c>
      <c r="Q122" t="n">
        <v>1</v>
      </c>
      <c r="R122" s="2" t="inlineStr">
        <is>
          <t>Asknätfjäril</t>
        </is>
      </c>
      <c r="S122">
        <f>HYPERLINK("https://klasma.github.io/Logging_0188/artfynd/A 62848-2019 artfynd.xlsx", "A 62848-2019")</f>
        <v/>
      </c>
      <c r="T122">
        <f>HYPERLINK("https://klasma.github.io/Logging_0188/kartor/A 62848-2019 karta.png", "A 62848-2019")</f>
        <v/>
      </c>
      <c r="V122">
        <f>HYPERLINK("https://klasma.github.io/Logging_0188/klagomål/A 62848-2019 FSC-klagomål.docx", "A 62848-2019")</f>
        <v/>
      </c>
      <c r="W122">
        <f>HYPERLINK("https://klasma.github.io/Logging_0188/klagomålsmail/A 62848-2019 FSC-klagomål mail.docx", "A 62848-2019")</f>
        <v/>
      </c>
      <c r="X122">
        <f>HYPERLINK("https://klasma.github.io/Logging_0188/tillsyn/A 62848-2019 tillsynsbegäran.docx", "A 62848-2019")</f>
        <v/>
      </c>
      <c r="Y122">
        <f>HYPERLINK("https://klasma.github.io/Logging_0188/tillsynsmail/A 62848-2019 tillsynsbegäran mail.docx", "A 62848-2019")</f>
        <v/>
      </c>
    </row>
    <row r="123" ht="15" customHeight="1">
      <c r="A123" t="inlineStr">
        <is>
          <t>A 64849-2019</t>
        </is>
      </c>
      <c r="B123" s="1" t="n">
        <v>43801</v>
      </c>
      <c r="C123" s="1" t="n">
        <v>45658</v>
      </c>
      <c r="D123" t="inlineStr">
        <is>
          <t>STOCKHOLMS LÄN</t>
        </is>
      </c>
      <c r="E123" t="inlineStr">
        <is>
          <t>NORRTÄLJE</t>
        </is>
      </c>
      <c r="G123" t="n">
        <v>1.6</v>
      </c>
      <c r="H123" t="n">
        <v>0</v>
      </c>
      <c r="I123" t="n">
        <v>0</v>
      </c>
      <c r="J123" t="n">
        <v>1</v>
      </c>
      <c r="K123" t="n">
        <v>0</v>
      </c>
      <c r="L123" t="n">
        <v>0</v>
      </c>
      <c r="M123" t="n">
        <v>0</v>
      </c>
      <c r="N123" t="n">
        <v>0</v>
      </c>
      <c r="O123" t="n">
        <v>1</v>
      </c>
      <c r="P123" t="n">
        <v>0</v>
      </c>
      <c r="Q123" t="n">
        <v>1</v>
      </c>
      <c r="R123" s="2" t="inlineStr">
        <is>
          <t>Skogsklocka</t>
        </is>
      </c>
      <c r="S123">
        <f>HYPERLINK("https://klasma.github.io/Logging_0188/artfynd/A 64849-2019 artfynd.xlsx", "A 64849-2019")</f>
        <v/>
      </c>
      <c r="T123">
        <f>HYPERLINK("https://klasma.github.io/Logging_0188/kartor/A 64849-2019 karta.png", "A 64849-2019")</f>
        <v/>
      </c>
      <c r="V123">
        <f>HYPERLINK("https://klasma.github.io/Logging_0188/klagomål/A 64849-2019 FSC-klagomål.docx", "A 64849-2019")</f>
        <v/>
      </c>
      <c r="W123">
        <f>HYPERLINK("https://klasma.github.io/Logging_0188/klagomålsmail/A 64849-2019 FSC-klagomål mail.docx", "A 64849-2019")</f>
        <v/>
      </c>
      <c r="X123">
        <f>HYPERLINK("https://klasma.github.io/Logging_0188/tillsyn/A 64849-2019 tillsynsbegäran.docx", "A 64849-2019")</f>
        <v/>
      </c>
      <c r="Y123">
        <f>HYPERLINK("https://klasma.github.io/Logging_0188/tillsynsmail/A 64849-2019 tillsynsbegäran mail.docx", "A 64849-2019")</f>
        <v/>
      </c>
    </row>
    <row r="124" ht="15" customHeight="1">
      <c r="A124" t="inlineStr">
        <is>
          <t>A 2808-2020</t>
        </is>
      </c>
      <c r="B124" s="1" t="n">
        <v>43850</v>
      </c>
      <c r="C124" s="1" t="n">
        <v>45658</v>
      </c>
      <c r="D124" t="inlineStr">
        <is>
          <t>STOCKHOLMS LÄN</t>
        </is>
      </c>
      <c r="E124" t="inlineStr">
        <is>
          <t>NORRTÄLJE</t>
        </is>
      </c>
      <c r="G124" t="n">
        <v>1</v>
      </c>
      <c r="H124" t="n">
        <v>1</v>
      </c>
      <c r="I124" t="n">
        <v>0</v>
      </c>
      <c r="J124" t="n">
        <v>0</v>
      </c>
      <c r="K124" t="n">
        <v>1</v>
      </c>
      <c r="L124" t="n">
        <v>0</v>
      </c>
      <c r="M124" t="n">
        <v>0</v>
      </c>
      <c r="N124" t="n">
        <v>0</v>
      </c>
      <c r="O124" t="n">
        <v>1</v>
      </c>
      <c r="P124" t="n">
        <v>1</v>
      </c>
      <c r="Q124" t="n">
        <v>1</v>
      </c>
      <c r="R124" s="2" t="inlineStr">
        <is>
          <t>Knärot</t>
        </is>
      </c>
      <c r="S124">
        <f>HYPERLINK("https://klasma.github.io/Logging_0188/artfynd/A 2808-2020 artfynd.xlsx", "A 2808-2020")</f>
        <v/>
      </c>
      <c r="T124">
        <f>HYPERLINK("https://klasma.github.io/Logging_0188/kartor/A 2808-2020 karta.png", "A 2808-2020")</f>
        <v/>
      </c>
      <c r="U124">
        <f>HYPERLINK("https://klasma.github.io/Logging_0188/knärot/A 2808-2020 karta knärot.png", "A 2808-2020")</f>
        <v/>
      </c>
      <c r="V124">
        <f>HYPERLINK("https://klasma.github.io/Logging_0188/klagomål/A 2808-2020 FSC-klagomål.docx", "A 2808-2020")</f>
        <v/>
      </c>
      <c r="W124">
        <f>HYPERLINK("https://klasma.github.io/Logging_0188/klagomålsmail/A 2808-2020 FSC-klagomål mail.docx", "A 2808-2020")</f>
        <v/>
      </c>
      <c r="X124">
        <f>HYPERLINK("https://klasma.github.io/Logging_0188/tillsyn/A 2808-2020 tillsynsbegäran.docx", "A 2808-2020")</f>
        <v/>
      </c>
      <c r="Y124">
        <f>HYPERLINK("https://klasma.github.io/Logging_0188/tillsynsmail/A 2808-2020 tillsynsbegäran mail.docx", "A 2808-2020")</f>
        <v/>
      </c>
    </row>
    <row r="125" ht="15" customHeight="1">
      <c r="A125" t="inlineStr">
        <is>
          <t>A 2796-2020</t>
        </is>
      </c>
      <c r="B125" s="1" t="n">
        <v>43850</v>
      </c>
      <c r="C125" s="1" t="n">
        <v>45658</v>
      </c>
      <c r="D125" t="inlineStr">
        <is>
          <t>STOCKHOLMS LÄN</t>
        </is>
      </c>
      <c r="E125" t="inlineStr">
        <is>
          <t>NORRTÄLJE</t>
        </is>
      </c>
      <c r="G125" t="n">
        <v>5.6</v>
      </c>
      <c r="H125" t="n">
        <v>1</v>
      </c>
      <c r="I125" t="n">
        <v>1</v>
      </c>
      <c r="J125" t="n">
        <v>0</v>
      </c>
      <c r="K125" t="n">
        <v>0</v>
      </c>
      <c r="L125" t="n">
        <v>0</v>
      </c>
      <c r="M125" t="n">
        <v>0</v>
      </c>
      <c r="N125" t="n">
        <v>0</v>
      </c>
      <c r="O125" t="n">
        <v>0</v>
      </c>
      <c r="P125" t="n">
        <v>0</v>
      </c>
      <c r="Q125" t="n">
        <v>1</v>
      </c>
      <c r="R125" s="2" t="inlineStr">
        <is>
          <t>Spindelblomster</t>
        </is>
      </c>
      <c r="S125">
        <f>HYPERLINK("https://klasma.github.io/Logging_0188/artfynd/A 2796-2020 artfynd.xlsx", "A 2796-2020")</f>
        <v/>
      </c>
      <c r="T125">
        <f>HYPERLINK("https://klasma.github.io/Logging_0188/kartor/A 2796-2020 karta.png", "A 2796-2020")</f>
        <v/>
      </c>
      <c r="V125">
        <f>HYPERLINK("https://klasma.github.io/Logging_0188/klagomål/A 2796-2020 FSC-klagomål.docx", "A 2796-2020")</f>
        <v/>
      </c>
      <c r="W125">
        <f>HYPERLINK("https://klasma.github.io/Logging_0188/klagomålsmail/A 2796-2020 FSC-klagomål mail.docx", "A 2796-2020")</f>
        <v/>
      </c>
      <c r="X125">
        <f>HYPERLINK("https://klasma.github.io/Logging_0188/tillsyn/A 2796-2020 tillsynsbegäran.docx", "A 2796-2020")</f>
        <v/>
      </c>
      <c r="Y125">
        <f>HYPERLINK("https://klasma.github.io/Logging_0188/tillsynsmail/A 2796-2020 tillsynsbegäran mail.docx", "A 2796-2020")</f>
        <v/>
      </c>
    </row>
    <row r="126" ht="15" customHeight="1">
      <c r="A126" t="inlineStr">
        <is>
          <t>A 9051-2020</t>
        </is>
      </c>
      <c r="B126" s="1" t="n">
        <v>43879</v>
      </c>
      <c r="C126" s="1" t="n">
        <v>45658</v>
      </c>
      <c r="D126" t="inlineStr">
        <is>
          <t>STOCKHOLMS LÄN</t>
        </is>
      </c>
      <c r="E126" t="inlineStr">
        <is>
          <t>NORRTÄLJE</t>
        </is>
      </c>
      <c r="G126" t="n">
        <v>12.5</v>
      </c>
      <c r="H126" t="n">
        <v>1</v>
      </c>
      <c r="I126" t="n">
        <v>0</v>
      </c>
      <c r="J126" t="n">
        <v>0</v>
      </c>
      <c r="K126" t="n">
        <v>0</v>
      </c>
      <c r="L126" t="n">
        <v>1</v>
      </c>
      <c r="M126" t="n">
        <v>0</v>
      </c>
      <c r="N126" t="n">
        <v>0</v>
      </c>
      <c r="O126" t="n">
        <v>1</v>
      </c>
      <c r="P126" t="n">
        <v>1</v>
      </c>
      <c r="Q126" t="n">
        <v>1</v>
      </c>
      <c r="R126" s="2" t="inlineStr">
        <is>
          <t>Asknätfjäril</t>
        </is>
      </c>
      <c r="S126">
        <f>HYPERLINK("https://klasma.github.io/Logging_0188/artfynd/A 9051-2020 artfynd.xlsx", "A 9051-2020")</f>
        <v/>
      </c>
      <c r="T126">
        <f>HYPERLINK("https://klasma.github.io/Logging_0188/kartor/A 9051-2020 karta.png", "A 9051-2020")</f>
        <v/>
      </c>
      <c r="V126">
        <f>HYPERLINK("https://klasma.github.io/Logging_0188/klagomål/A 9051-2020 FSC-klagomål.docx", "A 9051-2020")</f>
        <v/>
      </c>
      <c r="W126">
        <f>HYPERLINK("https://klasma.github.io/Logging_0188/klagomålsmail/A 9051-2020 FSC-klagomål mail.docx", "A 9051-2020")</f>
        <v/>
      </c>
      <c r="X126">
        <f>HYPERLINK("https://klasma.github.io/Logging_0188/tillsyn/A 9051-2020 tillsynsbegäran.docx", "A 9051-2020")</f>
        <v/>
      </c>
      <c r="Y126">
        <f>HYPERLINK("https://klasma.github.io/Logging_0188/tillsynsmail/A 9051-2020 tillsynsbegäran mail.docx", "A 9051-2020")</f>
        <v/>
      </c>
    </row>
    <row r="127" ht="15" customHeight="1">
      <c r="A127" t="inlineStr">
        <is>
          <t>A 12843-2020</t>
        </is>
      </c>
      <c r="B127" s="1" t="n">
        <v>43899</v>
      </c>
      <c r="C127" s="1" t="n">
        <v>45658</v>
      </c>
      <c r="D127" t="inlineStr">
        <is>
          <t>STOCKHOLMS LÄN</t>
        </is>
      </c>
      <c r="E127" t="inlineStr">
        <is>
          <t>NORRTÄLJE</t>
        </is>
      </c>
      <c r="G127" t="n">
        <v>7.5</v>
      </c>
      <c r="H127" t="n">
        <v>1</v>
      </c>
      <c r="I127" t="n">
        <v>0</v>
      </c>
      <c r="J127" t="n">
        <v>1</v>
      </c>
      <c r="K127" t="n">
        <v>0</v>
      </c>
      <c r="L127" t="n">
        <v>0</v>
      </c>
      <c r="M127" t="n">
        <v>0</v>
      </c>
      <c r="N127" t="n">
        <v>0</v>
      </c>
      <c r="O127" t="n">
        <v>1</v>
      </c>
      <c r="P127" t="n">
        <v>0</v>
      </c>
      <c r="Q127" t="n">
        <v>1</v>
      </c>
      <c r="R127" s="2" t="inlineStr">
        <is>
          <t>Talltita</t>
        </is>
      </c>
      <c r="S127">
        <f>HYPERLINK("https://klasma.github.io/Logging_0188/artfynd/A 12843-2020 artfynd.xlsx", "A 12843-2020")</f>
        <v/>
      </c>
      <c r="T127">
        <f>HYPERLINK("https://klasma.github.io/Logging_0188/kartor/A 12843-2020 karta.png", "A 12843-2020")</f>
        <v/>
      </c>
      <c r="V127">
        <f>HYPERLINK("https://klasma.github.io/Logging_0188/klagomål/A 12843-2020 FSC-klagomål.docx", "A 12843-2020")</f>
        <v/>
      </c>
      <c r="W127">
        <f>HYPERLINK("https://klasma.github.io/Logging_0188/klagomålsmail/A 12843-2020 FSC-klagomål mail.docx", "A 12843-2020")</f>
        <v/>
      </c>
      <c r="X127">
        <f>HYPERLINK("https://klasma.github.io/Logging_0188/tillsyn/A 12843-2020 tillsynsbegäran.docx", "A 12843-2020")</f>
        <v/>
      </c>
      <c r="Y127">
        <f>HYPERLINK("https://klasma.github.io/Logging_0188/tillsynsmail/A 12843-2020 tillsynsbegäran mail.docx", "A 12843-2020")</f>
        <v/>
      </c>
      <c r="Z127">
        <f>HYPERLINK("https://klasma.github.io/Logging_0188/fåglar/A 12843-2020 prioriterade fågelarter.docx", "A 12843-2020")</f>
        <v/>
      </c>
    </row>
    <row r="128" ht="15" customHeight="1">
      <c r="A128" t="inlineStr">
        <is>
          <t>A 28380-2020</t>
        </is>
      </c>
      <c r="B128" s="1" t="n">
        <v>43998</v>
      </c>
      <c r="C128" s="1" t="n">
        <v>45658</v>
      </c>
      <c r="D128" t="inlineStr">
        <is>
          <t>STOCKHOLMS LÄN</t>
        </is>
      </c>
      <c r="E128" t="inlineStr">
        <is>
          <t>NORRTÄLJE</t>
        </is>
      </c>
      <c r="G128" t="n">
        <v>43</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28380-2020 artfynd.xlsx", "A 28380-2020")</f>
        <v/>
      </c>
      <c r="T128">
        <f>HYPERLINK("https://klasma.github.io/Logging_0188/kartor/A 28380-2020 karta.png", "A 28380-2020")</f>
        <v/>
      </c>
      <c r="V128">
        <f>HYPERLINK("https://klasma.github.io/Logging_0188/klagomål/A 28380-2020 FSC-klagomål.docx", "A 28380-2020")</f>
        <v/>
      </c>
      <c r="W128">
        <f>HYPERLINK("https://klasma.github.io/Logging_0188/klagomålsmail/A 28380-2020 FSC-klagomål mail.docx", "A 28380-2020")</f>
        <v/>
      </c>
      <c r="X128">
        <f>HYPERLINK("https://klasma.github.io/Logging_0188/tillsyn/A 28380-2020 tillsynsbegäran.docx", "A 28380-2020")</f>
        <v/>
      </c>
      <c r="Y128">
        <f>HYPERLINK("https://klasma.github.io/Logging_0188/tillsynsmail/A 28380-2020 tillsynsbegäran mail.docx", "A 28380-2020")</f>
        <v/>
      </c>
    </row>
    <row r="129" ht="15" customHeight="1">
      <c r="A129" t="inlineStr">
        <is>
          <t>A 48288-2020</t>
        </is>
      </c>
      <c r="B129" s="1" t="n">
        <v>44102</v>
      </c>
      <c r="C129" s="1" t="n">
        <v>45658</v>
      </c>
      <c r="D129" t="inlineStr">
        <is>
          <t>STOCKHOLMS LÄN</t>
        </is>
      </c>
      <c r="E129" t="inlineStr">
        <is>
          <t>NORRTÄLJE</t>
        </is>
      </c>
      <c r="F129" t="inlineStr">
        <is>
          <t>Holmen skog AB</t>
        </is>
      </c>
      <c r="G129" t="n">
        <v>2.9</v>
      </c>
      <c r="H129" t="n">
        <v>1</v>
      </c>
      <c r="I129" t="n">
        <v>0</v>
      </c>
      <c r="J129" t="n">
        <v>0</v>
      </c>
      <c r="K129" t="n">
        <v>0</v>
      </c>
      <c r="L129" t="n">
        <v>1</v>
      </c>
      <c r="M129" t="n">
        <v>0</v>
      </c>
      <c r="N129" t="n">
        <v>0</v>
      </c>
      <c r="O129" t="n">
        <v>1</v>
      </c>
      <c r="P129" t="n">
        <v>1</v>
      </c>
      <c r="Q129" t="n">
        <v>1</v>
      </c>
      <c r="R129" s="2" t="inlineStr">
        <is>
          <t>Asknätfjäril</t>
        </is>
      </c>
      <c r="S129">
        <f>HYPERLINK("https://klasma.github.io/Logging_0188/artfynd/A 48288-2020 artfynd.xlsx", "A 48288-2020")</f>
        <v/>
      </c>
      <c r="T129">
        <f>HYPERLINK("https://klasma.github.io/Logging_0188/kartor/A 48288-2020 karta.png", "A 48288-2020")</f>
        <v/>
      </c>
      <c r="V129">
        <f>HYPERLINK("https://klasma.github.io/Logging_0188/klagomål/A 48288-2020 FSC-klagomål.docx", "A 48288-2020")</f>
        <v/>
      </c>
      <c r="W129">
        <f>HYPERLINK("https://klasma.github.io/Logging_0188/klagomålsmail/A 48288-2020 FSC-klagomål mail.docx", "A 48288-2020")</f>
        <v/>
      </c>
      <c r="X129">
        <f>HYPERLINK("https://klasma.github.io/Logging_0188/tillsyn/A 48288-2020 tillsynsbegäran.docx", "A 48288-2020")</f>
        <v/>
      </c>
      <c r="Y129">
        <f>HYPERLINK("https://klasma.github.io/Logging_0188/tillsynsmail/A 48288-2020 tillsynsbegäran mail.docx", "A 48288-2020")</f>
        <v/>
      </c>
    </row>
    <row r="130" ht="15" customHeight="1">
      <c r="A130" t="inlineStr">
        <is>
          <t>A 62846-2020</t>
        </is>
      </c>
      <c r="B130" s="1" t="n">
        <v>44161</v>
      </c>
      <c r="C130" s="1" t="n">
        <v>45658</v>
      </c>
      <c r="D130" t="inlineStr">
        <is>
          <t>STOCKHOLMS LÄN</t>
        </is>
      </c>
      <c r="E130" t="inlineStr">
        <is>
          <t>NORRTÄLJE</t>
        </is>
      </c>
      <c r="G130" t="n">
        <v>1.4</v>
      </c>
      <c r="H130" t="n">
        <v>1</v>
      </c>
      <c r="I130" t="n">
        <v>0</v>
      </c>
      <c r="J130" t="n">
        <v>0</v>
      </c>
      <c r="K130" t="n">
        <v>0</v>
      </c>
      <c r="L130" t="n">
        <v>0</v>
      </c>
      <c r="M130" t="n">
        <v>0</v>
      </c>
      <c r="N130" t="n">
        <v>0</v>
      </c>
      <c r="O130" t="n">
        <v>0</v>
      </c>
      <c r="P130" t="n">
        <v>0</v>
      </c>
      <c r="Q130" t="n">
        <v>1</v>
      </c>
      <c r="R130" s="2" t="inlineStr">
        <is>
          <t>Fläcknycklar</t>
        </is>
      </c>
      <c r="S130">
        <f>HYPERLINK("https://klasma.github.io/Logging_0188/artfynd/A 62846-2020 artfynd.xlsx", "A 62846-2020")</f>
        <v/>
      </c>
      <c r="T130">
        <f>HYPERLINK("https://klasma.github.io/Logging_0188/kartor/A 62846-2020 karta.png", "A 62846-2020")</f>
        <v/>
      </c>
      <c r="V130">
        <f>HYPERLINK("https://klasma.github.io/Logging_0188/klagomål/A 62846-2020 FSC-klagomål.docx", "A 62846-2020")</f>
        <v/>
      </c>
      <c r="W130">
        <f>HYPERLINK("https://klasma.github.io/Logging_0188/klagomålsmail/A 62846-2020 FSC-klagomål mail.docx", "A 62846-2020")</f>
        <v/>
      </c>
      <c r="X130">
        <f>HYPERLINK("https://klasma.github.io/Logging_0188/tillsyn/A 62846-2020 tillsynsbegäran.docx", "A 62846-2020")</f>
        <v/>
      </c>
      <c r="Y130">
        <f>HYPERLINK("https://klasma.github.io/Logging_0188/tillsynsmail/A 62846-2020 tillsynsbegäran mail.docx", "A 62846-2020")</f>
        <v/>
      </c>
    </row>
    <row r="131" ht="15" customHeight="1">
      <c r="A131" t="inlineStr">
        <is>
          <t>A 1162-2021</t>
        </is>
      </c>
      <c r="B131" s="1" t="n">
        <v>44207</v>
      </c>
      <c r="C131" s="1" t="n">
        <v>45658</v>
      </c>
      <c r="D131" t="inlineStr">
        <is>
          <t>STOCKHOLMS LÄN</t>
        </is>
      </c>
      <c r="E131" t="inlineStr">
        <is>
          <t>NORRTÄLJE</t>
        </is>
      </c>
      <c r="G131" t="n">
        <v>2.2</v>
      </c>
      <c r="H131" t="n">
        <v>1</v>
      </c>
      <c r="I131" t="n">
        <v>0</v>
      </c>
      <c r="J131" t="n">
        <v>0</v>
      </c>
      <c r="K131" t="n">
        <v>1</v>
      </c>
      <c r="L131" t="n">
        <v>0</v>
      </c>
      <c r="M131" t="n">
        <v>0</v>
      </c>
      <c r="N131" t="n">
        <v>0</v>
      </c>
      <c r="O131" t="n">
        <v>1</v>
      </c>
      <c r="P131" t="n">
        <v>1</v>
      </c>
      <c r="Q131" t="n">
        <v>1</v>
      </c>
      <c r="R131" s="2" t="inlineStr">
        <is>
          <t>Hällebräcka</t>
        </is>
      </c>
      <c r="S131">
        <f>HYPERLINK("https://klasma.github.io/Logging_0188/artfynd/A 1162-2021 artfynd.xlsx", "A 1162-2021")</f>
        <v/>
      </c>
      <c r="T131">
        <f>HYPERLINK("https://klasma.github.io/Logging_0188/kartor/A 1162-2021 karta.png", "A 1162-2021")</f>
        <v/>
      </c>
      <c r="V131">
        <f>HYPERLINK("https://klasma.github.io/Logging_0188/klagomål/A 1162-2021 FSC-klagomål.docx", "A 1162-2021")</f>
        <v/>
      </c>
      <c r="W131">
        <f>HYPERLINK("https://klasma.github.io/Logging_0188/klagomålsmail/A 1162-2021 FSC-klagomål mail.docx", "A 1162-2021")</f>
        <v/>
      </c>
      <c r="X131">
        <f>HYPERLINK("https://klasma.github.io/Logging_0188/tillsyn/A 1162-2021 tillsynsbegäran.docx", "A 1162-2021")</f>
        <v/>
      </c>
      <c r="Y131">
        <f>HYPERLINK("https://klasma.github.io/Logging_0188/tillsynsmail/A 1162-2021 tillsynsbegäran mail.docx", "A 1162-2021")</f>
        <v/>
      </c>
    </row>
    <row r="132" ht="15" customHeight="1">
      <c r="A132" t="inlineStr">
        <is>
          <t>A 30138-2021</t>
        </is>
      </c>
      <c r="B132" s="1" t="n">
        <v>44363</v>
      </c>
      <c r="C132" s="1" t="n">
        <v>45658</v>
      </c>
      <c r="D132" t="inlineStr">
        <is>
          <t>STOCKHOLMS LÄN</t>
        </is>
      </c>
      <c r="E132" t="inlineStr">
        <is>
          <t>NORRTÄLJE</t>
        </is>
      </c>
      <c r="G132" t="n">
        <v>4.5</v>
      </c>
      <c r="H132" t="n">
        <v>0</v>
      </c>
      <c r="I132" t="n">
        <v>1</v>
      </c>
      <c r="J132" t="n">
        <v>0</v>
      </c>
      <c r="K132" t="n">
        <v>0</v>
      </c>
      <c r="L132" t="n">
        <v>0</v>
      </c>
      <c r="M132" t="n">
        <v>0</v>
      </c>
      <c r="N132" t="n">
        <v>0</v>
      </c>
      <c r="O132" t="n">
        <v>0</v>
      </c>
      <c r="P132" t="n">
        <v>0</v>
      </c>
      <c r="Q132" t="n">
        <v>1</v>
      </c>
      <c r="R132" s="2" t="inlineStr">
        <is>
          <t>Vårärt</t>
        </is>
      </c>
      <c r="S132">
        <f>HYPERLINK("https://klasma.github.io/Logging_0188/artfynd/A 30138-2021 artfynd.xlsx", "A 30138-2021")</f>
        <v/>
      </c>
      <c r="T132">
        <f>HYPERLINK("https://klasma.github.io/Logging_0188/kartor/A 30138-2021 karta.png", "A 30138-2021")</f>
        <v/>
      </c>
      <c r="V132">
        <f>HYPERLINK("https://klasma.github.io/Logging_0188/klagomål/A 30138-2021 FSC-klagomål.docx", "A 30138-2021")</f>
        <v/>
      </c>
      <c r="W132">
        <f>HYPERLINK("https://klasma.github.io/Logging_0188/klagomålsmail/A 30138-2021 FSC-klagomål mail.docx", "A 30138-2021")</f>
        <v/>
      </c>
      <c r="X132">
        <f>HYPERLINK("https://klasma.github.io/Logging_0188/tillsyn/A 30138-2021 tillsynsbegäran.docx", "A 30138-2021")</f>
        <v/>
      </c>
      <c r="Y132">
        <f>HYPERLINK("https://klasma.github.io/Logging_0188/tillsynsmail/A 30138-2021 tillsynsbegäran mail.docx", "A 30138-2021")</f>
        <v/>
      </c>
    </row>
    <row r="133" ht="15" customHeight="1">
      <c r="A133" t="inlineStr">
        <is>
          <t>A 33302-2021</t>
        </is>
      </c>
      <c r="B133" s="1" t="n">
        <v>44377</v>
      </c>
      <c r="C133" s="1" t="n">
        <v>45658</v>
      </c>
      <c r="D133" t="inlineStr">
        <is>
          <t>STOCKHOLMS LÄN</t>
        </is>
      </c>
      <c r="E133" t="inlineStr">
        <is>
          <t>NORRTÄLJE</t>
        </is>
      </c>
      <c r="G133" t="n">
        <v>12.5</v>
      </c>
      <c r="H133" t="n">
        <v>1</v>
      </c>
      <c r="I133" t="n">
        <v>0</v>
      </c>
      <c r="J133" t="n">
        <v>1</v>
      </c>
      <c r="K133" t="n">
        <v>0</v>
      </c>
      <c r="L133" t="n">
        <v>0</v>
      </c>
      <c r="M133" t="n">
        <v>0</v>
      </c>
      <c r="N133" t="n">
        <v>0</v>
      </c>
      <c r="O133" t="n">
        <v>1</v>
      </c>
      <c r="P133" t="n">
        <v>0</v>
      </c>
      <c r="Q133" t="n">
        <v>1</v>
      </c>
      <c r="R133" s="2" t="inlineStr">
        <is>
          <t>Spillkråka</t>
        </is>
      </c>
      <c r="S133">
        <f>HYPERLINK("https://klasma.github.io/Logging_0188/artfynd/A 33302-2021 artfynd.xlsx", "A 33302-2021")</f>
        <v/>
      </c>
      <c r="T133">
        <f>HYPERLINK("https://klasma.github.io/Logging_0188/kartor/A 33302-2021 karta.png", "A 33302-2021")</f>
        <v/>
      </c>
      <c r="V133">
        <f>HYPERLINK("https://klasma.github.io/Logging_0188/klagomål/A 33302-2021 FSC-klagomål.docx", "A 33302-2021")</f>
        <v/>
      </c>
      <c r="W133">
        <f>HYPERLINK("https://klasma.github.io/Logging_0188/klagomålsmail/A 33302-2021 FSC-klagomål mail.docx", "A 33302-2021")</f>
        <v/>
      </c>
      <c r="X133">
        <f>HYPERLINK("https://klasma.github.io/Logging_0188/tillsyn/A 33302-2021 tillsynsbegäran.docx", "A 33302-2021")</f>
        <v/>
      </c>
      <c r="Y133">
        <f>HYPERLINK("https://klasma.github.io/Logging_0188/tillsynsmail/A 33302-2021 tillsynsbegäran mail.docx", "A 33302-2021")</f>
        <v/>
      </c>
      <c r="Z133">
        <f>HYPERLINK("https://klasma.github.io/Logging_0188/fåglar/A 33302-2021 prioriterade fågelarter.docx", "A 33302-2021")</f>
        <v/>
      </c>
    </row>
    <row r="134" ht="15" customHeight="1">
      <c r="A134" t="inlineStr">
        <is>
          <t>A 58888-2021</t>
        </is>
      </c>
      <c r="B134" s="1" t="n">
        <v>44489</v>
      </c>
      <c r="C134" s="1" t="n">
        <v>45658</v>
      </c>
      <c r="D134" t="inlineStr">
        <is>
          <t>STOCKHOLMS LÄN</t>
        </is>
      </c>
      <c r="E134" t="inlineStr">
        <is>
          <t>NORRTÄLJE</t>
        </is>
      </c>
      <c r="F134" t="inlineStr">
        <is>
          <t>Holmen skog AB</t>
        </is>
      </c>
      <c r="G134" t="n">
        <v>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58888-2021 artfynd.xlsx", "A 58888-2021")</f>
        <v/>
      </c>
      <c r="T134">
        <f>HYPERLINK("https://klasma.github.io/Logging_0188/kartor/A 58888-2021 karta.png", "A 58888-2021")</f>
        <v/>
      </c>
      <c r="V134">
        <f>HYPERLINK("https://klasma.github.io/Logging_0188/klagomål/A 58888-2021 FSC-klagomål.docx", "A 58888-2021")</f>
        <v/>
      </c>
      <c r="W134">
        <f>HYPERLINK("https://klasma.github.io/Logging_0188/klagomålsmail/A 58888-2021 FSC-klagomål mail.docx", "A 58888-2021")</f>
        <v/>
      </c>
      <c r="X134">
        <f>HYPERLINK("https://klasma.github.io/Logging_0188/tillsyn/A 58888-2021 tillsynsbegäran.docx", "A 58888-2021")</f>
        <v/>
      </c>
      <c r="Y134">
        <f>HYPERLINK("https://klasma.github.io/Logging_0188/tillsynsmail/A 58888-2021 tillsynsbegäran mail.docx", "A 58888-2021")</f>
        <v/>
      </c>
    </row>
    <row r="135" ht="15" customHeight="1">
      <c r="A135" t="inlineStr">
        <is>
          <t>A 68692-2021</t>
        </is>
      </c>
      <c r="B135" s="1" t="n">
        <v>44529</v>
      </c>
      <c r="C135" s="1" t="n">
        <v>45658</v>
      </c>
      <c r="D135" t="inlineStr">
        <is>
          <t>STOCKHOLMS LÄN</t>
        </is>
      </c>
      <c r="E135" t="inlineStr">
        <is>
          <t>NORRTÄLJE</t>
        </is>
      </c>
      <c r="F135" t="inlineStr">
        <is>
          <t>Holmen skog AB</t>
        </is>
      </c>
      <c r="G135" t="n">
        <v>0.7</v>
      </c>
      <c r="H135" t="n">
        <v>1</v>
      </c>
      <c r="I135" t="n">
        <v>0</v>
      </c>
      <c r="J135" t="n">
        <v>0</v>
      </c>
      <c r="K135" t="n">
        <v>0</v>
      </c>
      <c r="L135" t="n">
        <v>1</v>
      </c>
      <c r="M135" t="n">
        <v>0</v>
      </c>
      <c r="N135" t="n">
        <v>0</v>
      </c>
      <c r="O135" t="n">
        <v>1</v>
      </c>
      <c r="P135" t="n">
        <v>1</v>
      </c>
      <c r="Q135" t="n">
        <v>1</v>
      </c>
      <c r="R135" s="2" t="inlineStr">
        <is>
          <t>Asknätfjäril</t>
        </is>
      </c>
      <c r="S135">
        <f>HYPERLINK("https://klasma.github.io/Logging_0188/artfynd/A 68692-2021 artfynd.xlsx", "A 68692-2021")</f>
        <v/>
      </c>
      <c r="T135">
        <f>HYPERLINK("https://klasma.github.io/Logging_0188/kartor/A 68692-2021 karta.png", "A 68692-2021")</f>
        <v/>
      </c>
      <c r="V135">
        <f>HYPERLINK("https://klasma.github.io/Logging_0188/klagomål/A 68692-2021 FSC-klagomål.docx", "A 68692-2021")</f>
        <v/>
      </c>
      <c r="W135">
        <f>HYPERLINK("https://klasma.github.io/Logging_0188/klagomålsmail/A 68692-2021 FSC-klagomål mail.docx", "A 68692-2021")</f>
        <v/>
      </c>
      <c r="X135">
        <f>HYPERLINK("https://klasma.github.io/Logging_0188/tillsyn/A 68692-2021 tillsynsbegäran.docx", "A 68692-2021")</f>
        <v/>
      </c>
      <c r="Y135">
        <f>HYPERLINK("https://klasma.github.io/Logging_0188/tillsynsmail/A 68692-2021 tillsynsbegäran mail.docx", "A 68692-2021")</f>
        <v/>
      </c>
    </row>
    <row r="136" ht="15" customHeight="1">
      <c r="A136" t="inlineStr">
        <is>
          <t>A 188-2022</t>
        </is>
      </c>
      <c r="B136" s="1" t="n">
        <v>44564</v>
      </c>
      <c r="C136" s="1" t="n">
        <v>45658</v>
      </c>
      <c r="D136" t="inlineStr">
        <is>
          <t>STOCKHOLMS LÄN</t>
        </is>
      </c>
      <c r="E136" t="inlineStr">
        <is>
          <t>NORRTÄLJE</t>
        </is>
      </c>
      <c r="G136" t="n">
        <v>4.1</v>
      </c>
      <c r="H136" t="n">
        <v>0</v>
      </c>
      <c r="I136" t="n">
        <v>1</v>
      </c>
      <c r="J136" t="n">
        <v>0</v>
      </c>
      <c r="K136" t="n">
        <v>0</v>
      </c>
      <c r="L136" t="n">
        <v>0</v>
      </c>
      <c r="M136" t="n">
        <v>0</v>
      </c>
      <c r="N136" t="n">
        <v>0</v>
      </c>
      <c r="O136" t="n">
        <v>0</v>
      </c>
      <c r="P136" t="n">
        <v>0</v>
      </c>
      <c r="Q136" t="n">
        <v>1</v>
      </c>
      <c r="R136" s="2" t="inlineStr">
        <is>
          <t>Svart trolldruva</t>
        </is>
      </c>
      <c r="S136">
        <f>HYPERLINK("https://klasma.github.io/Logging_0188/artfynd/A 188-2022 artfynd.xlsx", "A 188-2022")</f>
        <v/>
      </c>
      <c r="T136">
        <f>HYPERLINK("https://klasma.github.io/Logging_0188/kartor/A 188-2022 karta.png", "A 188-2022")</f>
        <v/>
      </c>
      <c r="V136">
        <f>HYPERLINK("https://klasma.github.io/Logging_0188/klagomål/A 188-2022 FSC-klagomål.docx", "A 188-2022")</f>
        <v/>
      </c>
      <c r="W136">
        <f>HYPERLINK("https://klasma.github.io/Logging_0188/klagomålsmail/A 188-2022 FSC-klagomål mail.docx", "A 188-2022")</f>
        <v/>
      </c>
      <c r="X136">
        <f>HYPERLINK("https://klasma.github.io/Logging_0188/tillsyn/A 188-2022 tillsynsbegäran.docx", "A 188-2022")</f>
        <v/>
      </c>
      <c r="Y136">
        <f>HYPERLINK("https://klasma.github.io/Logging_0188/tillsynsmail/A 188-2022 tillsynsbegäran mail.docx", "A 188-2022")</f>
        <v/>
      </c>
    </row>
    <row r="137" ht="15" customHeight="1">
      <c r="A137" t="inlineStr">
        <is>
          <t>A 1547-2022</t>
        </is>
      </c>
      <c r="B137" s="1" t="n">
        <v>44573</v>
      </c>
      <c r="C137" s="1" t="n">
        <v>45658</v>
      </c>
      <c r="D137" t="inlineStr">
        <is>
          <t>STOCKHOLMS LÄN</t>
        </is>
      </c>
      <c r="E137" t="inlineStr">
        <is>
          <t>NORRTÄLJE</t>
        </is>
      </c>
      <c r="G137" t="n">
        <v>1.8</v>
      </c>
      <c r="H137" t="n">
        <v>1</v>
      </c>
      <c r="I137" t="n">
        <v>0</v>
      </c>
      <c r="J137" t="n">
        <v>0</v>
      </c>
      <c r="K137" t="n">
        <v>1</v>
      </c>
      <c r="L137" t="n">
        <v>0</v>
      </c>
      <c r="M137" t="n">
        <v>0</v>
      </c>
      <c r="N137" t="n">
        <v>0</v>
      </c>
      <c r="O137" t="n">
        <v>1</v>
      </c>
      <c r="P137" t="n">
        <v>1</v>
      </c>
      <c r="Q137" t="n">
        <v>1</v>
      </c>
      <c r="R137" s="2" t="inlineStr">
        <is>
          <t>Hällebräcka</t>
        </is>
      </c>
      <c r="S137">
        <f>HYPERLINK("https://klasma.github.io/Logging_0188/artfynd/A 1547-2022 artfynd.xlsx", "A 1547-2022")</f>
        <v/>
      </c>
      <c r="T137">
        <f>HYPERLINK("https://klasma.github.io/Logging_0188/kartor/A 1547-2022 karta.png", "A 1547-2022")</f>
        <v/>
      </c>
      <c r="V137">
        <f>HYPERLINK("https://klasma.github.io/Logging_0188/klagomål/A 1547-2022 FSC-klagomål.docx", "A 1547-2022")</f>
        <v/>
      </c>
      <c r="W137">
        <f>HYPERLINK("https://klasma.github.io/Logging_0188/klagomålsmail/A 1547-2022 FSC-klagomål mail.docx", "A 1547-2022")</f>
        <v/>
      </c>
      <c r="X137">
        <f>HYPERLINK("https://klasma.github.io/Logging_0188/tillsyn/A 1547-2022 tillsynsbegäran.docx", "A 1547-2022")</f>
        <v/>
      </c>
      <c r="Y137">
        <f>HYPERLINK("https://klasma.github.io/Logging_0188/tillsynsmail/A 1547-2022 tillsynsbegäran mail.docx", "A 1547-2022")</f>
        <v/>
      </c>
    </row>
    <row r="138" ht="15" customHeight="1">
      <c r="A138" t="inlineStr">
        <is>
          <t>A 7172-2022</t>
        </is>
      </c>
      <c r="B138" s="1" t="n">
        <v>44604</v>
      </c>
      <c r="C138" s="1" t="n">
        <v>45658</v>
      </c>
      <c r="D138" t="inlineStr">
        <is>
          <t>STOCKHOLMS LÄN</t>
        </is>
      </c>
      <c r="E138" t="inlineStr">
        <is>
          <t>NORRTÄLJE</t>
        </is>
      </c>
      <c r="G138" t="n">
        <v>4.8</v>
      </c>
      <c r="H138" t="n">
        <v>0</v>
      </c>
      <c r="I138" t="n">
        <v>1</v>
      </c>
      <c r="J138" t="n">
        <v>0</v>
      </c>
      <c r="K138" t="n">
        <v>0</v>
      </c>
      <c r="L138" t="n">
        <v>0</v>
      </c>
      <c r="M138" t="n">
        <v>0</v>
      </c>
      <c r="N138" t="n">
        <v>0</v>
      </c>
      <c r="O138" t="n">
        <v>0</v>
      </c>
      <c r="P138" t="n">
        <v>0</v>
      </c>
      <c r="Q138" t="n">
        <v>1</v>
      </c>
      <c r="R138" s="2" t="inlineStr">
        <is>
          <t>Trådticka</t>
        </is>
      </c>
      <c r="S138">
        <f>HYPERLINK("https://klasma.github.io/Logging_0188/artfynd/A 7172-2022 artfynd.xlsx", "A 7172-2022")</f>
        <v/>
      </c>
      <c r="T138">
        <f>HYPERLINK("https://klasma.github.io/Logging_0188/kartor/A 7172-2022 karta.png", "A 7172-2022")</f>
        <v/>
      </c>
      <c r="U138">
        <f>HYPERLINK("https://klasma.github.io/Logging_0188/knärot/A 7172-2022 karta knärot.png", "A 7172-2022")</f>
        <v/>
      </c>
      <c r="V138">
        <f>HYPERLINK("https://klasma.github.io/Logging_0188/klagomål/A 7172-2022 FSC-klagomål.docx", "A 7172-2022")</f>
        <v/>
      </c>
      <c r="W138">
        <f>HYPERLINK("https://klasma.github.io/Logging_0188/klagomålsmail/A 7172-2022 FSC-klagomål mail.docx", "A 7172-2022")</f>
        <v/>
      </c>
      <c r="X138">
        <f>HYPERLINK("https://klasma.github.io/Logging_0188/tillsyn/A 7172-2022 tillsynsbegäran.docx", "A 7172-2022")</f>
        <v/>
      </c>
      <c r="Y138">
        <f>HYPERLINK("https://klasma.github.io/Logging_0188/tillsynsmail/A 7172-2022 tillsynsbegäran mail.docx", "A 7172-2022")</f>
        <v/>
      </c>
    </row>
    <row r="139" ht="15" customHeight="1">
      <c r="A139" t="inlineStr">
        <is>
          <t>A 9955-2022</t>
        </is>
      </c>
      <c r="B139" s="1" t="n">
        <v>44620</v>
      </c>
      <c r="C139" s="1" t="n">
        <v>45658</v>
      </c>
      <c r="D139" t="inlineStr">
        <is>
          <t>STOCKHOLMS LÄN</t>
        </is>
      </c>
      <c r="E139" t="inlineStr">
        <is>
          <t>NORRTÄLJE</t>
        </is>
      </c>
      <c r="G139" t="n">
        <v>7.8</v>
      </c>
      <c r="H139" t="n">
        <v>1</v>
      </c>
      <c r="I139" t="n">
        <v>0</v>
      </c>
      <c r="J139" t="n">
        <v>0</v>
      </c>
      <c r="K139" t="n">
        <v>0</v>
      </c>
      <c r="L139" t="n">
        <v>0</v>
      </c>
      <c r="M139" t="n">
        <v>0</v>
      </c>
      <c r="N139" t="n">
        <v>0</v>
      </c>
      <c r="O139" t="n">
        <v>0</v>
      </c>
      <c r="P139" t="n">
        <v>0</v>
      </c>
      <c r="Q139" t="n">
        <v>1</v>
      </c>
      <c r="R139" s="2" t="inlineStr">
        <is>
          <t>Åkergroda</t>
        </is>
      </c>
      <c r="S139">
        <f>HYPERLINK("https://klasma.github.io/Logging_0188/artfynd/A 9955-2022 artfynd.xlsx", "A 9955-2022")</f>
        <v/>
      </c>
      <c r="T139">
        <f>HYPERLINK("https://klasma.github.io/Logging_0188/kartor/A 9955-2022 karta.png", "A 9955-2022")</f>
        <v/>
      </c>
      <c r="V139">
        <f>HYPERLINK("https://klasma.github.io/Logging_0188/klagomål/A 9955-2022 FSC-klagomål.docx", "A 9955-2022")</f>
        <v/>
      </c>
      <c r="W139">
        <f>HYPERLINK("https://klasma.github.io/Logging_0188/klagomålsmail/A 9955-2022 FSC-klagomål mail.docx", "A 9955-2022")</f>
        <v/>
      </c>
      <c r="X139">
        <f>HYPERLINK("https://klasma.github.io/Logging_0188/tillsyn/A 9955-2022 tillsynsbegäran.docx", "A 9955-2022")</f>
        <v/>
      </c>
      <c r="Y139">
        <f>HYPERLINK("https://klasma.github.io/Logging_0188/tillsynsmail/A 9955-2022 tillsynsbegäran mail.docx", "A 9955-2022")</f>
        <v/>
      </c>
    </row>
    <row r="140" ht="15" customHeight="1">
      <c r="A140" t="inlineStr">
        <is>
          <t>A 10712-2022</t>
        </is>
      </c>
      <c r="B140" s="1" t="n">
        <v>44626</v>
      </c>
      <c r="C140" s="1" t="n">
        <v>45658</v>
      </c>
      <c r="D140" t="inlineStr">
        <is>
          <t>STOCKHOLMS LÄN</t>
        </is>
      </c>
      <c r="E140" t="inlineStr">
        <is>
          <t>NORRTÄLJE</t>
        </is>
      </c>
      <c r="G140" t="n">
        <v>4.5</v>
      </c>
      <c r="H140" t="n">
        <v>1</v>
      </c>
      <c r="I140" t="n">
        <v>0</v>
      </c>
      <c r="J140" t="n">
        <v>0</v>
      </c>
      <c r="K140" t="n">
        <v>0</v>
      </c>
      <c r="L140" t="n">
        <v>0</v>
      </c>
      <c r="M140" t="n">
        <v>0</v>
      </c>
      <c r="N140" t="n">
        <v>0</v>
      </c>
      <c r="O140" t="n">
        <v>0</v>
      </c>
      <c r="P140" t="n">
        <v>0</v>
      </c>
      <c r="Q140" t="n">
        <v>1</v>
      </c>
      <c r="R140" s="2" t="inlineStr">
        <is>
          <t>Åkergroda</t>
        </is>
      </c>
      <c r="S140">
        <f>HYPERLINK("https://klasma.github.io/Logging_0188/artfynd/A 10712-2022 artfynd.xlsx", "A 10712-2022")</f>
        <v/>
      </c>
      <c r="T140">
        <f>HYPERLINK("https://klasma.github.io/Logging_0188/kartor/A 10712-2022 karta.png", "A 10712-2022")</f>
        <v/>
      </c>
      <c r="V140">
        <f>HYPERLINK("https://klasma.github.io/Logging_0188/klagomål/A 10712-2022 FSC-klagomål.docx", "A 10712-2022")</f>
        <v/>
      </c>
      <c r="W140">
        <f>HYPERLINK("https://klasma.github.io/Logging_0188/klagomålsmail/A 10712-2022 FSC-klagomål mail.docx", "A 10712-2022")</f>
        <v/>
      </c>
      <c r="X140">
        <f>HYPERLINK("https://klasma.github.io/Logging_0188/tillsyn/A 10712-2022 tillsynsbegäran.docx", "A 10712-2022")</f>
        <v/>
      </c>
      <c r="Y140">
        <f>HYPERLINK("https://klasma.github.io/Logging_0188/tillsynsmail/A 10712-2022 tillsynsbegäran mail.docx", "A 10712-2022")</f>
        <v/>
      </c>
    </row>
    <row r="141" ht="15" customHeight="1">
      <c r="A141" t="inlineStr">
        <is>
          <t>A 14720-2022</t>
        </is>
      </c>
      <c r="B141" s="1" t="n">
        <v>44656</v>
      </c>
      <c r="C141" s="1" t="n">
        <v>45658</v>
      </c>
      <c r="D141" t="inlineStr">
        <is>
          <t>STOCKHOLMS LÄN</t>
        </is>
      </c>
      <c r="E141" t="inlineStr">
        <is>
          <t>NORRTÄLJE</t>
        </is>
      </c>
      <c r="F141" t="inlineStr">
        <is>
          <t>Sveaskog</t>
        </is>
      </c>
      <c r="G141" t="n">
        <v>5.1</v>
      </c>
      <c r="H141" t="n">
        <v>0</v>
      </c>
      <c r="I141" t="n">
        <v>0</v>
      </c>
      <c r="J141" t="n">
        <v>1</v>
      </c>
      <c r="K141" t="n">
        <v>0</v>
      </c>
      <c r="L141" t="n">
        <v>0</v>
      </c>
      <c r="M141" t="n">
        <v>0</v>
      </c>
      <c r="N141" t="n">
        <v>0</v>
      </c>
      <c r="O141" t="n">
        <v>1</v>
      </c>
      <c r="P141" t="n">
        <v>0</v>
      </c>
      <c r="Q141" t="n">
        <v>1</v>
      </c>
      <c r="R141" s="2" t="inlineStr">
        <is>
          <t>Loppstarr</t>
        </is>
      </c>
      <c r="S141">
        <f>HYPERLINK("https://klasma.github.io/Logging_0188/artfynd/A 14720-2022 artfynd.xlsx", "A 14720-2022")</f>
        <v/>
      </c>
      <c r="T141">
        <f>HYPERLINK("https://klasma.github.io/Logging_0188/kartor/A 14720-2022 karta.png", "A 14720-2022")</f>
        <v/>
      </c>
      <c r="V141">
        <f>HYPERLINK("https://klasma.github.io/Logging_0188/klagomål/A 14720-2022 FSC-klagomål.docx", "A 14720-2022")</f>
        <v/>
      </c>
      <c r="W141">
        <f>HYPERLINK("https://klasma.github.io/Logging_0188/klagomålsmail/A 14720-2022 FSC-klagomål mail.docx", "A 14720-2022")</f>
        <v/>
      </c>
      <c r="X141">
        <f>HYPERLINK("https://klasma.github.io/Logging_0188/tillsyn/A 14720-2022 tillsynsbegäran.docx", "A 14720-2022")</f>
        <v/>
      </c>
      <c r="Y141">
        <f>HYPERLINK("https://klasma.github.io/Logging_0188/tillsynsmail/A 14720-2022 tillsynsbegäran mail.docx", "A 14720-2022")</f>
        <v/>
      </c>
    </row>
    <row r="142" ht="15" customHeight="1">
      <c r="A142" t="inlineStr">
        <is>
          <t>A 16539-2022</t>
        </is>
      </c>
      <c r="B142" s="1" t="n">
        <v>44672</v>
      </c>
      <c r="C142" s="1" t="n">
        <v>45658</v>
      </c>
      <c r="D142" t="inlineStr">
        <is>
          <t>STOCKHOLMS LÄN</t>
        </is>
      </c>
      <c r="E142" t="inlineStr">
        <is>
          <t>NORRTÄLJE</t>
        </is>
      </c>
      <c r="G142" t="n">
        <v>8.6</v>
      </c>
      <c r="H142" t="n">
        <v>1</v>
      </c>
      <c r="I142" t="n">
        <v>1</v>
      </c>
      <c r="J142" t="n">
        <v>0</v>
      </c>
      <c r="K142" t="n">
        <v>0</v>
      </c>
      <c r="L142" t="n">
        <v>0</v>
      </c>
      <c r="M142" t="n">
        <v>0</v>
      </c>
      <c r="N142" t="n">
        <v>0</v>
      </c>
      <c r="O142" t="n">
        <v>0</v>
      </c>
      <c r="P142" t="n">
        <v>0</v>
      </c>
      <c r="Q142" t="n">
        <v>1</v>
      </c>
      <c r="R142" s="2" t="inlineStr">
        <is>
          <t>Nästrot</t>
        </is>
      </c>
      <c r="S142">
        <f>HYPERLINK("https://klasma.github.io/Logging_0188/artfynd/A 16539-2022 artfynd.xlsx", "A 16539-2022")</f>
        <v/>
      </c>
      <c r="T142">
        <f>HYPERLINK("https://klasma.github.io/Logging_0188/kartor/A 16539-2022 karta.png", "A 16539-2022")</f>
        <v/>
      </c>
      <c r="V142">
        <f>HYPERLINK("https://klasma.github.io/Logging_0188/klagomål/A 16539-2022 FSC-klagomål.docx", "A 16539-2022")</f>
        <v/>
      </c>
      <c r="W142">
        <f>HYPERLINK("https://klasma.github.io/Logging_0188/klagomålsmail/A 16539-2022 FSC-klagomål mail.docx", "A 16539-2022")</f>
        <v/>
      </c>
      <c r="X142">
        <f>HYPERLINK("https://klasma.github.io/Logging_0188/tillsyn/A 16539-2022 tillsynsbegäran.docx", "A 16539-2022")</f>
        <v/>
      </c>
      <c r="Y142">
        <f>HYPERLINK("https://klasma.github.io/Logging_0188/tillsynsmail/A 16539-2022 tillsynsbegäran mail.docx", "A 16539-2022")</f>
        <v/>
      </c>
    </row>
    <row r="143" ht="15" customHeight="1">
      <c r="A143" t="inlineStr">
        <is>
          <t>A 19829-2022</t>
        </is>
      </c>
      <c r="B143" s="1" t="n">
        <v>44695</v>
      </c>
      <c r="C143" s="1" t="n">
        <v>45658</v>
      </c>
      <c r="D143" t="inlineStr">
        <is>
          <t>STOCKHOLMS LÄN</t>
        </is>
      </c>
      <c r="E143" t="inlineStr">
        <is>
          <t>NORRTÄLJE</t>
        </is>
      </c>
      <c r="G143" t="n">
        <v>2</v>
      </c>
      <c r="H143" t="n">
        <v>1</v>
      </c>
      <c r="I143" t="n">
        <v>1</v>
      </c>
      <c r="J143" t="n">
        <v>0</v>
      </c>
      <c r="K143" t="n">
        <v>0</v>
      </c>
      <c r="L143" t="n">
        <v>0</v>
      </c>
      <c r="M143" t="n">
        <v>0</v>
      </c>
      <c r="N143" t="n">
        <v>0</v>
      </c>
      <c r="O143" t="n">
        <v>0</v>
      </c>
      <c r="P143" t="n">
        <v>0</v>
      </c>
      <c r="Q143" t="n">
        <v>1</v>
      </c>
      <c r="R143" s="2" t="inlineStr">
        <is>
          <t>Guckusko</t>
        </is>
      </c>
      <c r="S143">
        <f>HYPERLINK("https://klasma.github.io/Logging_0188/artfynd/A 19829-2022 artfynd.xlsx", "A 19829-2022")</f>
        <v/>
      </c>
      <c r="T143">
        <f>HYPERLINK("https://klasma.github.io/Logging_0188/kartor/A 19829-2022 karta.png", "A 19829-2022")</f>
        <v/>
      </c>
      <c r="V143">
        <f>HYPERLINK("https://klasma.github.io/Logging_0188/klagomål/A 19829-2022 FSC-klagomål.docx", "A 19829-2022")</f>
        <v/>
      </c>
      <c r="W143">
        <f>HYPERLINK("https://klasma.github.io/Logging_0188/klagomålsmail/A 19829-2022 FSC-klagomål mail.docx", "A 19829-2022")</f>
        <v/>
      </c>
      <c r="X143">
        <f>HYPERLINK("https://klasma.github.io/Logging_0188/tillsyn/A 19829-2022 tillsynsbegäran.docx", "A 19829-2022")</f>
        <v/>
      </c>
      <c r="Y143">
        <f>HYPERLINK("https://klasma.github.io/Logging_0188/tillsynsmail/A 19829-2022 tillsynsbegäran mail.docx", "A 19829-2022")</f>
        <v/>
      </c>
    </row>
    <row r="144" ht="15" customHeight="1">
      <c r="A144" t="inlineStr">
        <is>
          <t>A 21150-2022</t>
        </is>
      </c>
      <c r="B144" s="1" t="n">
        <v>44704</v>
      </c>
      <c r="C144" s="1" t="n">
        <v>45658</v>
      </c>
      <c r="D144" t="inlineStr">
        <is>
          <t>STOCKHOLMS LÄN</t>
        </is>
      </c>
      <c r="E144" t="inlineStr">
        <is>
          <t>NORRTÄLJE</t>
        </is>
      </c>
      <c r="G144" t="n">
        <v>12.5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21150-2022 artfynd.xlsx", "A 21150-2022")</f>
        <v/>
      </c>
      <c r="T144">
        <f>HYPERLINK("https://klasma.github.io/Logging_0188/kartor/A 21150-2022 karta.png", "A 21150-2022")</f>
        <v/>
      </c>
      <c r="V144">
        <f>HYPERLINK("https://klasma.github.io/Logging_0188/klagomål/A 21150-2022 FSC-klagomål.docx", "A 21150-2022")</f>
        <v/>
      </c>
      <c r="W144">
        <f>HYPERLINK("https://klasma.github.io/Logging_0188/klagomålsmail/A 21150-2022 FSC-klagomål mail.docx", "A 21150-2022")</f>
        <v/>
      </c>
      <c r="X144">
        <f>HYPERLINK("https://klasma.github.io/Logging_0188/tillsyn/A 21150-2022 tillsynsbegäran.docx", "A 21150-2022")</f>
        <v/>
      </c>
      <c r="Y144">
        <f>HYPERLINK("https://klasma.github.io/Logging_0188/tillsynsmail/A 21150-2022 tillsynsbegäran mail.docx", "A 21150-2022")</f>
        <v/>
      </c>
    </row>
    <row r="145" ht="15" customHeight="1">
      <c r="A145" t="inlineStr">
        <is>
          <t>A 31194-2022</t>
        </is>
      </c>
      <c r="B145" s="1" t="n">
        <v>44770</v>
      </c>
      <c r="C145" s="1" t="n">
        <v>45658</v>
      </c>
      <c r="D145" t="inlineStr">
        <is>
          <t>STOCKHOLMS LÄN</t>
        </is>
      </c>
      <c r="E145" t="inlineStr">
        <is>
          <t>NORRTÄLJE</t>
        </is>
      </c>
      <c r="G145" t="n">
        <v>2.7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31194-2022 artfynd.xlsx", "A 31194-2022")</f>
        <v/>
      </c>
      <c r="T145">
        <f>HYPERLINK("https://klasma.github.io/Logging_0188/kartor/A 31194-2022 karta.png", "A 31194-2022")</f>
        <v/>
      </c>
      <c r="V145">
        <f>HYPERLINK("https://klasma.github.io/Logging_0188/klagomål/A 31194-2022 FSC-klagomål.docx", "A 31194-2022")</f>
        <v/>
      </c>
      <c r="W145">
        <f>HYPERLINK("https://klasma.github.io/Logging_0188/klagomålsmail/A 31194-2022 FSC-klagomål mail.docx", "A 31194-2022")</f>
        <v/>
      </c>
      <c r="X145">
        <f>HYPERLINK("https://klasma.github.io/Logging_0188/tillsyn/A 31194-2022 tillsynsbegäran.docx", "A 31194-2022")</f>
        <v/>
      </c>
      <c r="Y145">
        <f>HYPERLINK("https://klasma.github.io/Logging_0188/tillsynsmail/A 31194-2022 tillsynsbegäran mail.docx", "A 31194-2022")</f>
        <v/>
      </c>
    </row>
    <row r="146" ht="15" customHeight="1">
      <c r="A146" t="inlineStr">
        <is>
          <t>A 33477-2022</t>
        </is>
      </c>
      <c r="B146" s="1" t="n">
        <v>44788</v>
      </c>
      <c r="C146" s="1" t="n">
        <v>45658</v>
      </c>
      <c r="D146" t="inlineStr">
        <is>
          <t>STOCKHOLMS LÄN</t>
        </is>
      </c>
      <c r="E146" t="inlineStr">
        <is>
          <t>NORRTÄLJE</t>
        </is>
      </c>
      <c r="G146" t="n">
        <v>5.7</v>
      </c>
      <c r="H146" t="n">
        <v>1</v>
      </c>
      <c r="I146" t="n">
        <v>1</v>
      </c>
      <c r="J146" t="n">
        <v>0</v>
      </c>
      <c r="K146" t="n">
        <v>0</v>
      </c>
      <c r="L146" t="n">
        <v>0</v>
      </c>
      <c r="M146" t="n">
        <v>0</v>
      </c>
      <c r="N146" t="n">
        <v>0</v>
      </c>
      <c r="O146" t="n">
        <v>0</v>
      </c>
      <c r="P146" t="n">
        <v>0</v>
      </c>
      <c r="Q146" t="n">
        <v>1</v>
      </c>
      <c r="R146" s="2" t="inlineStr">
        <is>
          <t>Nästrot</t>
        </is>
      </c>
      <c r="S146">
        <f>HYPERLINK("https://klasma.github.io/Logging_0188/artfynd/A 33477-2022 artfynd.xlsx", "A 33477-2022")</f>
        <v/>
      </c>
      <c r="T146">
        <f>HYPERLINK("https://klasma.github.io/Logging_0188/kartor/A 33477-2022 karta.png", "A 33477-2022")</f>
        <v/>
      </c>
      <c r="V146">
        <f>HYPERLINK("https://klasma.github.io/Logging_0188/klagomål/A 33477-2022 FSC-klagomål.docx", "A 33477-2022")</f>
        <v/>
      </c>
      <c r="W146">
        <f>HYPERLINK("https://klasma.github.io/Logging_0188/klagomålsmail/A 33477-2022 FSC-klagomål mail.docx", "A 33477-2022")</f>
        <v/>
      </c>
      <c r="X146">
        <f>HYPERLINK("https://klasma.github.io/Logging_0188/tillsyn/A 33477-2022 tillsynsbegäran.docx", "A 33477-2022")</f>
        <v/>
      </c>
      <c r="Y146">
        <f>HYPERLINK("https://klasma.github.io/Logging_0188/tillsynsmail/A 33477-2022 tillsynsbegäran mail.docx", "A 33477-2022")</f>
        <v/>
      </c>
    </row>
    <row r="147" ht="15" customHeight="1">
      <c r="A147" t="inlineStr">
        <is>
          <t>A 37522-2022</t>
        </is>
      </c>
      <c r="B147" s="1" t="n">
        <v>44809</v>
      </c>
      <c r="C147" s="1" t="n">
        <v>45658</v>
      </c>
      <c r="D147" t="inlineStr">
        <is>
          <t>STOCKHOLMS LÄN</t>
        </is>
      </c>
      <c r="E147" t="inlineStr">
        <is>
          <t>NORRTÄLJE</t>
        </is>
      </c>
      <c r="G147" t="n">
        <v>2.4</v>
      </c>
      <c r="H147" t="n">
        <v>1</v>
      </c>
      <c r="I147" t="n">
        <v>0</v>
      </c>
      <c r="J147" t="n">
        <v>0</v>
      </c>
      <c r="K147" t="n">
        <v>0</v>
      </c>
      <c r="L147" t="n">
        <v>0</v>
      </c>
      <c r="M147" t="n">
        <v>0</v>
      </c>
      <c r="N147" t="n">
        <v>0</v>
      </c>
      <c r="O147" t="n">
        <v>0</v>
      </c>
      <c r="P147" t="n">
        <v>0</v>
      </c>
      <c r="Q147" t="n">
        <v>1</v>
      </c>
      <c r="R147" s="2" t="inlineStr">
        <is>
          <t>Blåsippa</t>
        </is>
      </c>
      <c r="S147">
        <f>HYPERLINK("https://klasma.github.io/Logging_0188/artfynd/A 37522-2022 artfynd.xlsx", "A 37522-2022")</f>
        <v/>
      </c>
      <c r="T147">
        <f>HYPERLINK("https://klasma.github.io/Logging_0188/kartor/A 37522-2022 karta.png", "A 37522-2022")</f>
        <v/>
      </c>
      <c r="V147">
        <f>HYPERLINK("https://klasma.github.io/Logging_0188/klagomål/A 37522-2022 FSC-klagomål.docx", "A 37522-2022")</f>
        <v/>
      </c>
      <c r="W147">
        <f>HYPERLINK("https://klasma.github.io/Logging_0188/klagomålsmail/A 37522-2022 FSC-klagomål mail.docx", "A 37522-2022")</f>
        <v/>
      </c>
      <c r="X147">
        <f>HYPERLINK("https://klasma.github.io/Logging_0188/tillsyn/A 37522-2022 tillsynsbegäran.docx", "A 37522-2022")</f>
        <v/>
      </c>
      <c r="Y147">
        <f>HYPERLINK("https://klasma.github.io/Logging_0188/tillsynsmail/A 37522-2022 tillsynsbegäran mail.docx", "A 37522-2022")</f>
        <v/>
      </c>
    </row>
    <row r="148" ht="15" customHeight="1">
      <c r="A148" t="inlineStr">
        <is>
          <t>A 39318-2022</t>
        </is>
      </c>
      <c r="B148" s="1" t="n">
        <v>44817</v>
      </c>
      <c r="C148" s="1" t="n">
        <v>45658</v>
      </c>
      <c r="D148" t="inlineStr">
        <is>
          <t>STOCKHOLMS LÄN</t>
        </is>
      </c>
      <c r="E148" t="inlineStr">
        <is>
          <t>NORRTÄLJE</t>
        </is>
      </c>
      <c r="G148" t="n">
        <v>2.4</v>
      </c>
      <c r="H148" t="n">
        <v>1</v>
      </c>
      <c r="I148" t="n">
        <v>0</v>
      </c>
      <c r="J148" t="n">
        <v>0</v>
      </c>
      <c r="K148" t="n">
        <v>1</v>
      </c>
      <c r="L148" t="n">
        <v>0</v>
      </c>
      <c r="M148" t="n">
        <v>0</v>
      </c>
      <c r="N148" t="n">
        <v>0</v>
      </c>
      <c r="O148" t="n">
        <v>1</v>
      </c>
      <c r="P148" t="n">
        <v>1</v>
      </c>
      <c r="Q148" t="n">
        <v>1</v>
      </c>
      <c r="R148" s="2" t="inlineStr">
        <is>
          <t>Stare</t>
        </is>
      </c>
      <c r="S148">
        <f>HYPERLINK("https://klasma.github.io/Logging_0188/artfynd/A 39318-2022 artfynd.xlsx", "A 39318-2022")</f>
        <v/>
      </c>
      <c r="T148">
        <f>HYPERLINK("https://klasma.github.io/Logging_0188/kartor/A 39318-2022 karta.png", "A 39318-2022")</f>
        <v/>
      </c>
      <c r="V148">
        <f>HYPERLINK("https://klasma.github.io/Logging_0188/klagomål/A 39318-2022 FSC-klagomål.docx", "A 39318-2022")</f>
        <v/>
      </c>
      <c r="W148">
        <f>HYPERLINK("https://klasma.github.io/Logging_0188/klagomålsmail/A 39318-2022 FSC-klagomål mail.docx", "A 39318-2022")</f>
        <v/>
      </c>
      <c r="X148">
        <f>HYPERLINK("https://klasma.github.io/Logging_0188/tillsyn/A 39318-2022 tillsynsbegäran.docx", "A 39318-2022")</f>
        <v/>
      </c>
      <c r="Y148">
        <f>HYPERLINK("https://klasma.github.io/Logging_0188/tillsynsmail/A 39318-2022 tillsynsbegäran mail.docx", "A 39318-2022")</f>
        <v/>
      </c>
    </row>
    <row r="149" ht="15" customHeight="1">
      <c r="A149" t="inlineStr">
        <is>
          <t>A 40672-2022</t>
        </is>
      </c>
      <c r="B149" s="1" t="n">
        <v>44824</v>
      </c>
      <c r="C149" s="1" t="n">
        <v>45658</v>
      </c>
      <c r="D149" t="inlineStr">
        <is>
          <t>STOCKHOLMS LÄN</t>
        </is>
      </c>
      <c r="E149" t="inlineStr">
        <is>
          <t>NORRTÄLJE</t>
        </is>
      </c>
      <c r="F149" t="inlineStr">
        <is>
          <t>Övriga Aktiebolag</t>
        </is>
      </c>
      <c r="G149" t="n">
        <v>1.3</v>
      </c>
      <c r="H149" t="n">
        <v>0</v>
      </c>
      <c r="I149" t="n">
        <v>0</v>
      </c>
      <c r="J149" t="n">
        <v>1</v>
      </c>
      <c r="K149" t="n">
        <v>0</v>
      </c>
      <c r="L149" t="n">
        <v>0</v>
      </c>
      <c r="M149" t="n">
        <v>0</v>
      </c>
      <c r="N149" t="n">
        <v>0</v>
      </c>
      <c r="O149" t="n">
        <v>1</v>
      </c>
      <c r="P149" t="n">
        <v>0</v>
      </c>
      <c r="Q149" t="n">
        <v>1</v>
      </c>
      <c r="R149" s="2" t="inlineStr">
        <is>
          <t>Månlåsbräken</t>
        </is>
      </c>
      <c r="S149">
        <f>HYPERLINK("https://klasma.github.io/Logging_0188/artfynd/A 40672-2022 artfynd.xlsx", "A 40672-2022")</f>
        <v/>
      </c>
      <c r="T149">
        <f>HYPERLINK("https://klasma.github.io/Logging_0188/kartor/A 40672-2022 karta.png", "A 40672-2022")</f>
        <v/>
      </c>
      <c r="V149">
        <f>HYPERLINK("https://klasma.github.io/Logging_0188/klagomål/A 40672-2022 FSC-klagomål.docx", "A 40672-2022")</f>
        <v/>
      </c>
      <c r="W149">
        <f>HYPERLINK("https://klasma.github.io/Logging_0188/klagomålsmail/A 40672-2022 FSC-klagomål mail.docx", "A 40672-2022")</f>
        <v/>
      </c>
      <c r="X149">
        <f>HYPERLINK("https://klasma.github.io/Logging_0188/tillsyn/A 40672-2022 tillsynsbegäran.docx", "A 40672-2022")</f>
        <v/>
      </c>
      <c r="Y149">
        <f>HYPERLINK("https://klasma.github.io/Logging_0188/tillsynsmail/A 40672-2022 tillsynsbegäran mail.docx", "A 40672-2022")</f>
        <v/>
      </c>
    </row>
    <row r="150" ht="15" customHeight="1">
      <c r="A150" t="inlineStr">
        <is>
          <t>A 44709-2022</t>
        </is>
      </c>
      <c r="B150" s="1" t="n">
        <v>44839</v>
      </c>
      <c r="C150" s="1" t="n">
        <v>45658</v>
      </c>
      <c r="D150" t="inlineStr">
        <is>
          <t>STOCKHOLMS LÄN</t>
        </is>
      </c>
      <c r="E150" t="inlineStr">
        <is>
          <t>NORRTÄLJE</t>
        </is>
      </c>
      <c r="G150" t="n">
        <v>16.3</v>
      </c>
      <c r="H150" t="n">
        <v>0</v>
      </c>
      <c r="I150" t="n">
        <v>0</v>
      </c>
      <c r="J150" t="n">
        <v>1</v>
      </c>
      <c r="K150" t="n">
        <v>0</v>
      </c>
      <c r="L150" t="n">
        <v>0</v>
      </c>
      <c r="M150" t="n">
        <v>0</v>
      </c>
      <c r="N150" t="n">
        <v>0</v>
      </c>
      <c r="O150" t="n">
        <v>1</v>
      </c>
      <c r="P150" t="n">
        <v>0</v>
      </c>
      <c r="Q150" t="n">
        <v>1</v>
      </c>
      <c r="R150" s="2" t="inlineStr">
        <is>
          <t>Asppraktbagge</t>
        </is>
      </c>
      <c r="S150">
        <f>HYPERLINK("https://klasma.github.io/Logging_0188/artfynd/A 44709-2022 artfynd.xlsx", "A 44709-2022")</f>
        <v/>
      </c>
      <c r="T150">
        <f>HYPERLINK("https://klasma.github.io/Logging_0188/kartor/A 44709-2022 karta.png", "A 44709-2022")</f>
        <v/>
      </c>
      <c r="V150">
        <f>HYPERLINK("https://klasma.github.io/Logging_0188/klagomål/A 44709-2022 FSC-klagomål.docx", "A 44709-2022")</f>
        <v/>
      </c>
      <c r="W150">
        <f>HYPERLINK("https://klasma.github.io/Logging_0188/klagomålsmail/A 44709-2022 FSC-klagomål mail.docx", "A 44709-2022")</f>
        <v/>
      </c>
      <c r="X150">
        <f>HYPERLINK("https://klasma.github.io/Logging_0188/tillsyn/A 44709-2022 tillsynsbegäran.docx", "A 44709-2022")</f>
        <v/>
      </c>
      <c r="Y150">
        <f>HYPERLINK("https://klasma.github.io/Logging_0188/tillsynsmail/A 44709-2022 tillsynsbegäran mail.docx", "A 44709-2022")</f>
        <v/>
      </c>
    </row>
    <row r="151" ht="15" customHeight="1">
      <c r="A151" t="inlineStr">
        <is>
          <t>A 47898-2022</t>
        </is>
      </c>
      <c r="B151" s="1" t="n">
        <v>44855</v>
      </c>
      <c r="C151" s="1" t="n">
        <v>45658</v>
      </c>
      <c r="D151" t="inlineStr">
        <is>
          <t>STOCKHOLMS LÄN</t>
        </is>
      </c>
      <c r="E151" t="inlineStr">
        <is>
          <t>NORRTÄLJE</t>
        </is>
      </c>
      <c r="G151" t="n">
        <v>6.7</v>
      </c>
      <c r="H151" t="n">
        <v>1</v>
      </c>
      <c r="I151" t="n">
        <v>1</v>
      </c>
      <c r="J151" t="n">
        <v>0</v>
      </c>
      <c r="K151" t="n">
        <v>0</v>
      </c>
      <c r="L151" t="n">
        <v>0</v>
      </c>
      <c r="M151" t="n">
        <v>0</v>
      </c>
      <c r="N151" t="n">
        <v>0</v>
      </c>
      <c r="O151" t="n">
        <v>0</v>
      </c>
      <c r="P151" t="n">
        <v>0</v>
      </c>
      <c r="Q151" t="n">
        <v>1</v>
      </c>
      <c r="R151" s="2" t="inlineStr">
        <is>
          <t>Guckusko</t>
        </is>
      </c>
      <c r="S151">
        <f>HYPERLINK("https://klasma.github.io/Logging_0188/artfynd/A 47898-2022 artfynd.xlsx", "A 47898-2022")</f>
        <v/>
      </c>
      <c r="T151">
        <f>HYPERLINK("https://klasma.github.io/Logging_0188/kartor/A 47898-2022 karta.png", "A 47898-2022")</f>
        <v/>
      </c>
      <c r="V151">
        <f>HYPERLINK("https://klasma.github.io/Logging_0188/klagomål/A 47898-2022 FSC-klagomål.docx", "A 47898-2022")</f>
        <v/>
      </c>
      <c r="W151">
        <f>HYPERLINK("https://klasma.github.io/Logging_0188/klagomålsmail/A 47898-2022 FSC-klagomål mail.docx", "A 47898-2022")</f>
        <v/>
      </c>
      <c r="X151">
        <f>HYPERLINK("https://klasma.github.io/Logging_0188/tillsyn/A 47898-2022 tillsynsbegäran.docx", "A 47898-2022")</f>
        <v/>
      </c>
      <c r="Y151">
        <f>HYPERLINK("https://klasma.github.io/Logging_0188/tillsynsmail/A 47898-2022 tillsynsbegäran mail.docx", "A 47898-2022")</f>
        <v/>
      </c>
    </row>
    <row r="152" ht="15" customHeight="1">
      <c r="A152" t="inlineStr">
        <is>
          <t>A 50854-2022</t>
        </is>
      </c>
      <c r="B152" s="1" t="n">
        <v>44863</v>
      </c>
      <c r="C152" s="1" t="n">
        <v>45658</v>
      </c>
      <c r="D152" t="inlineStr">
        <is>
          <t>STOCKHOLMS LÄN</t>
        </is>
      </c>
      <c r="E152" t="inlineStr">
        <is>
          <t>NORRTÄLJE</t>
        </is>
      </c>
      <c r="G152" t="n">
        <v>2.9</v>
      </c>
      <c r="H152" t="n">
        <v>0</v>
      </c>
      <c r="I152" t="n">
        <v>1</v>
      </c>
      <c r="J152" t="n">
        <v>0</v>
      </c>
      <c r="K152" t="n">
        <v>0</v>
      </c>
      <c r="L152" t="n">
        <v>0</v>
      </c>
      <c r="M152" t="n">
        <v>0</v>
      </c>
      <c r="N152" t="n">
        <v>0</v>
      </c>
      <c r="O152" t="n">
        <v>0</v>
      </c>
      <c r="P152" t="n">
        <v>0</v>
      </c>
      <c r="Q152" t="n">
        <v>1</v>
      </c>
      <c r="R152" s="2" t="inlineStr">
        <is>
          <t>Tibast</t>
        </is>
      </c>
      <c r="S152">
        <f>HYPERLINK("https://klasma.github.io/Logging_0188/artfynd/A 50854-2022 artfynd.xlsx", "A 50854-2022")</f>
        <v/>
      </c>
      <c r="T152">
        <f>HYPERLINK("https://klasma.github.io/Logging_0188/kartor/A 50854-2022 karta.png", "A 50854-2022")</f>
        <v/>
      </c>
      <c r="V152">
        <f>HYPERLINK("https://klasma.github.io/Logging_0188/klagomål/A 50854-2022 FSC-klagomål.docx", "A 50854-2022")</f>
        <v/>
      </c>
      <c r="W152">
        <f>HYPERLINK("https://klasma.github.io/Logging_0188/klagomålsmail/A 50854-2022 FSC-klagomål mail.docx", "A 50854-2022")</f>
        <v/>
      </c>
      <c r="X152">
        <f>HYPERLINK("https://klasma.github.io/Logging_0188/tillsyn/A 50854-2022 tillsynsbegäran.docx", "A 50854-2022")</f>
        <v/>
      </c>
      <c r="Y152">
        <f>HYPERLINK("https://klasma.github.io/Logging_0188/tillsynsmail/A 50854-2022 tillsynsbegäran mail.docx", "A 50854-2022")</f>
        <v/>
      </c>
    </row>
    <row r="153" ht="15" customHeight="1">
      <c r="A153" t="inlineStr">
        <is>
          <t>A 52130-2022</t>
        </is>
      </c>
      <c r="B153" s="1" t="n">
        <v>44868</v>
      </c>
      <c r="C153" s="1" t="n">
        <v>45658</v>
      </c>
      <c r="D153" t="inlineStr">
        <is>
          <t>STOCKHOLMS LÄN</t>
        </is>
      </c>
      <c r="E153" t="inlineStr">
        <is>
          <t>NORRTÄLJE</t>
        </is>
      </c>
      <c r="G153" t="n">
        <v>3.7</v>
      </c>
      <c r="H153" t="n">
        <v>0</v>
      </c>
      <c r="I153" t="n">
        <v>0</v>
      </c>
      <c r="J153" t="n">
        <v>1</v>
      </c>
      <c r="K153" t="n">
        <v>0</v>
      </c>
      <c r="L153" t="n">
        <v>0</v>
      </c>
      <c r="M153" t="n">
        <v>0</v>
      </c>
      <c r="N153" t="n">
        <v>0</v>
      </c>
      <c r="O153" t="n">
        <v>1</v>
      </c>
      <c r="P153" t="n">
        <v>0</v>
      </c>
      <c r="Q153" t="n">
        <v>1</v>
      </c>
      <c r="R153" s="2" t="inlineStr">
        <is>
          <t>Flattoppad klubbsvamp</t>
        </is>
      </c>
      <c r="S153">
        <f>HYPERLINK("https://klasma.github.io/Logging_0188/artfynd/A 52130-2022 artfynd.xlsx", "A 52130-2022")</f>
        <v/>
      </c>
      <c r="T153">
        <f>HYPERLINK("https://klasma.github.io/Logging_0188/kartor/A 52130-2022 karta.png", "A 52130-2022")</f>
        <v/>
      </c>
      <c r="V153">
        <f>HYPERLINK("https://klasma.github.io/Logging_0188/klagomål/A 52130-2022 FSC-klagomål.docx", "A 52130-2022")</f>
        <v/>
      </c>
      <c r="W153">
        <f>HYPERLINK("https://klasma.github.io/Logging_0188/klagomålsmail/A 52130-2022 FSC-klagomål mail.docx", "A 52130-2022")</f>
        <v/>
      </c>
      <c r="X153">
        <f>HYPERLINK("https://klasma.github.io/Logging_0188/tillsyn/A 52130-2022 tillsynsbegäran.docx", "A 52130-2022")</f>
        <v/>
      </c>
      <c r="Y153">
        <f>HYPERLINK("https://klasma.github.io/Logging_0188/tillsynsmail/A 52130-2022 tillsynsbegäran mail.docx", "A 52130-2022")</f>
        <v/>
      </c>
    </row>
    <row r="154" ht="15" customHeight="1">
      <c r="A154" t="inlineStr">
        <is>
          <t>A 61011-2022</t>
        </is>
      </c>
      <c r="B154" s="1" t="n">
        <v>44914</v>
      </c>
      <c r="C154" s="1" t="n">
        <v>45658</v>
      </c>
      <c r="D154" t="inlineStr">
        <is>
          <t>STOCKHOLMS LÄN</t>
        </is>
      </c>
      <c r="E154" t="inlineStr">
        <is>
          <t>NORRTÄLJE</t>
        </is>
      </c>
      <c r="G154" t="n">
        <v>2.2</v>
      </c>
      <c r="H154" t="n">
        <v>0</v>
      </c>
      <c r="I154" t="n">
        <v>0</v>
      </c>
      <c r="J154" t="n">
        <v>1</v>
      </c>
      <c r="K154" t="n">
        <v>0</v>
      </c>
      <c r="L154" t="n">
        <v>0</v>
      </c>
      <c r="M154" t="n">
        <v>0</v>
      </c>
      <c r="N154" t="n">
        <v>0</v>
      </c>
      <c r="O154" t="n">
        <v>1</v>
      </c>
      <c r="P154" t="n">
        <v>0</v>
      </c>
      <c r="Q154" t="n">
        <v>1</v>
      </c>
      <c r="R154" s="2" t="inlineStr">
        <is>
          <t>Orange taggsvamp</t>
        </is>
      </c>
      <c r="S154">
        <f>HYPERLINK("https://klasma.github.io/Logging_0188/artfynd/A 61011-2022 artfynd.xlsx", "A 61011-2022")</f>
        <v/>
      </c>
      <c r="T154">
        <f>HYPERLINK("https://klasma.github.io/Logging_0188/kartor/A 61011-2022 karta.png", "A 61011-2022")</f>
        <v/>
      </c>
      <c r="V154">
        <f>HYPERLINK("https://klasma.github.io/Logging_0188/klagomål/A 61011-2022 FSC-klagomål.docx", "A 61011-2022")</f>
        <v/>
      </c>
      <c r="W154">
        <f>HYPERLINK("https://klasma.github.io/Logging_0188/klagomålsmail/A 61011-2022 FSC-klagomål mail.docx", "A 61011-2022")</f>
        <v/>
      </c>
      <c r="X154">
        <f>HYPERLINK("https://klasma.github.io/Logging_0188/tillsyn/A 61011-2022 tillsynsbegäran.docx", "A 61011-2022")</f>
        <v/>
      </c>
      <c r="Y154">
        <f>HYPERLINK("https://klasma.github.io/Logging_0188/tillsynsmail/A 61011-2022 tillsynsbegäran mail.docx", "A 61011-2022")</f>
        <v/>
      </c>
    </row>
    <row r="155" ht="15" customHeight="1">
      <c r="A155" t="inlineStr">
        <is>
          <t>A 4385-2023</t>
        </is>
      </c>
      <c r="B155" s="1" t="n">
        <v>44955</v>
      </c>
      <c r="C155" s="1" t="n">
        <v>45658</v>
      </c>
      <c r="D155" t="inlineStr">
        <is>
          <t>STOCKHOLMS LÄN</t>
        </is>
      </c>
      <c r="E155" t="inlineStr">
        <is>
          <t>NORRTÄLJE</t>
        </is>
      </c>
      <c r="G155" t="n">
        <v>7.8</v>
      </c>
      <c r="H155" t="n">
        <v>1</v>
      </c>
      <c r="I155" t="n">
        <v>1</v>
      </c>
      <c r="J155" t="n">
        <v>0</v>
      </c>
      <c r="K155" t="n">
        <v>0</v>
      </c>
      <c r="L155" t="n">
        <v>0</v>
      </c>
      <c r="M155" t="n">
        <v>0</v>
      </c>
      <c r="N155" t="n">
        <v>0</v>
      </c>
      <c r="O155" t="n">
        <v>0</v>
      </c>
      <c r="P155" t="n">
        <v>0</v>
      </c>
      <c r="Q155" t="n">
        <v>1</v>
      </c>
      <c r="R155" s="2" t="inlineStr">
        <is>
          <t>Skogsknipprot</t>
        </is>
      </c>
      <c r="S155">
        <f>HYPERLINK("https://klasma.github.io/Logging_0188/artfynd/A 4385-2023 artfynd.xlsx", "A 4385-2023")</f>
        <v/>
      </c>
      <c r="T155">
        <f>HYPERLINK("https://klasma.github.io/Logging_0188/kartor/A 4385-2023 karta.png", "A 4385-2023")</f>
        <v/>
      </c>
      <c r="V155">
        <f>HYPERLINK("https://klasma.github.io/Logging_0188/klagomål/A 4385-2023 FSC-klagomål.docx", "A 4385-2023")</f>
        <v/>
      </c>
      <c r="W155">
        <f>HYPERLINK("https://klasma.github.io/Logging_0188/klagomålsmail/A 4385-2023 FSC-klagomål mail.docx", "A 4385-2023")</f>
        <v/>
      </c>
      <c r="X155">
        <f>HYPERLINK("https://klasma.github.io/Logging_0188/tillsyn/A 4385-2023 tillsynsbegäran.docx", "A 4385-2023")</f>
        <v/>
      </c>
      <c r="Y155">
        <f>HYPERLINK("https://klasma.github.io/Logging_0188/tillsynsmail/A 4385-2023 tillsynsbegäran mail.docx", "A 4385-2023")</f>
        <v/>
      </c>
    </row>
    <row r="156" ht="15" customHeight="1">
      <c r="A156" t="inlineStr">
        <is>
          <t>A 4595-2023</t>
        </is>
      </c>
      <c r="B156" s="1" t="n">
        <v>44956</v>
      </c>
      <c r="C156" s="1" t="n">
        <v>45658</v>
      </c>
      <c r="D156" t="inlineStr">
        <is>
          <t>STOCKHOLMS LÄN</t>
        </is>
      </c>
      <c r="E156" t="inlineStr">
        <is>
          <t>NORRTÄLJE</t>
        </is>
      </c>
      <c r="G156" t="n">
        <v>0.6</v>
      </c>
      <c r="H156" t="n">
        <v>1</v>
      </c>
      <c r="I156" t="n">
        <v>0</v>
      </c>
      <c r="J156" t="n">
        <v>0</v>
      </c>
      <c r="K156" t="n">
        <v>0</v>
      </c>
      <c r="L156" t="n">
        <v>0</v>
      </c>
      <c r="M156" t="n">
        <v>0</v>
      </c>
      <c r="N156" t="n">
        <v>0</v>
      </c>
      <c r="O156" t="n">
        <v>0</v>
      </c>
      <c r="P156" t="n">
        <v>0</v>
      </c>
      <c r="Q156" t="n">
        <v>1</v>
      </c>
      <c r="R156" s="2" t="inlineStr">
        <is>
          <t>Blåsippa</t>
        </is>
      </c>
      <c r="S156">
        <f>HYPERLINK("https://klasma.github.io/Logging_0188/artfynd/A 4595-2023 artfynd.xlsx", "A 4595-2023")</f>
        <v/>
      </c>
      <c r="T156">
        <f>HYPERLINK("https://klasma.github.io/Logging_0188/kartor/A 4595-2023 karta.png", "A 4595-2023")</f>
        <v/>
      </c>
      <c r="V156">
        <f>HYPERLINK("https://klasma.github.io/Logging_0188/klagomål/A 4595-2023 FSC-klagomål.docx", "A 4595-2023")</f>
        <v/>
      </c>
      <c r="W156">
        <f>HYPERLINK("https://klasma.github.io/Logging_0188/klagomålsmail/A 4595-2023 FSC-klagomål mail.docx", "A 4595-2023")</f>
        <v/>
      </c>
      <c r="X156">
        <f>HYPERLINK("https://klasma.github.io/Logging_0188/tillsyn/A 4595-2023 tillsynsbegäran.docx", "A 4595-2023")</f>
        <v/>
      </c>
      <c r="Y156">
        <f>HYPERLINK("https://klasma.github.io/Logging_0188/tillsynsmail/A 4595-2023 tillsynsbegäran mail.docx", "A 4595-2023")</f>
        <v/>
      </c>
    </row>
    <row r="157" ht="15" customHeight="1">
      <c r="A157" t="inlineStr">
        <is>
          <t>A 6381-2023</t>
        </is>
      </c>
      <c r="B157" s="1" t="n">
        <v>44965</v>
      </c>
      <c r="C157" s="1" t="n">
        <v>45658</v>
      </c>
      <c r="D157" t="inlineStr">
        <is>
          <t>STOCKHOLMS LÄN</t>
        </is>
      </c>
      <c r="E157" t="inlineStr">
        <is>
          <t>NORRTÄLJE</t>
        </is>
      </c>
      <c r="G157" t="n">
        <v>3.5</v>
      </c>
      <c r="H157" t="n">
        <v>1</v>
      </c>
      <c r="I157" t="n">
        <v>1</v>
      </c>
      <c r="J157" t="n">
        <v>0</v>
      </c>
      <c r="K157" t="n">
        <v>0</v>
      </c>
      <c r="L157" t="n">
        <v>0</v>
      </c>
      <c r="M157" t="n">
        <v>0</v>
      </c>
      <c r="N157" t="n">
        <v>0</v>
      </c>
      <c r="O157" t="n">
        <v>0</v>
      </c>
      <c r="P157" t="n">
        <v>0</v>
      </c>
      <c r="Q157" t="n">
        <v>1</v>
      </c>
      <c r="R157" s="2" t="inlineStr">
        <is>
          <t>Guckusko</t>
        </is>
      </c>
      <c r="S157">
        <f>HYPERLINK("https://klasma.github.io/Logging_0188/artfynd/A 6381-2023 artfynd.xlsx", "A 6381-2023")</f>
        <v/>
      </c>
      <c r="T157">
        <f>HYPERLINK("https://klasma.github.io/Logging_0188/kartor/A 6381-2023 karta.png", "A 6381-2023")</f>
        <v/>
      </c>
      <c r="V157">
        <f>HYPERLINK("https://klasma.github.io/Logging_0188/klagomål/A 6381-2023 FSC-klagomål.docx", "A 6381-2023")</f>
        <v/>
      </c>
      <c r="W157">
        <f>HYPERLINK("https://klasma.github.io/Logging_0188/klagomålsmail/A 6381-2023 FSC-klagomål mail.docx", "A 6381-2023")</f>
        <v/>
      </c>
      <c r="X157">
        <f>HYPERLINK("https://klasma.github.io/Logging_0188/tillsyn/A 6381-2023 tillsynsbegäran.docx", "A 6381-2023")</f>
        <v/>
      </c>
      <c r="Y157">
        <f>HYPERLINK("https://klasma.github.io/Logging_0188/tillsynsmail/A 6381-2023 tillsynsbegäran mail.docx", "A 6381-2023")</f>
        <v/>
      </c>
    </row>
    <row r="158" ht="15" customHeight="1">
      <c r="A158" t="inlineStr">
        <is>
          <t>A 9214-2023</t>
        </is>
      </c>
      <c r="B158" s="1" t="n">
        <v>44980</v>
      </c>
      <c r="C158" s="1" t="n">
        <v>45658</v>
      </c>
      <c r="D158" t="inlineStr">
        <is>
          <t>STOCKHOLMS LÄN</t>
        </is>
      </c>
      <c r="E158" t="inlineStr">
        <is>
          <t>NORRTÄLJE</t>
        </is>
      </c>
      <c r="G158" t="n">
        <v>10.6</v>
      </c>
      <c r="H158" t="n">
        <v>1</v>
      </c>
      <c r="I158" t="n">
        <v>1</v>
      </c>
      <c r="J158" t="n">
        <v>0</v>
      </c>
      <c r="K158" t="n">
        <v>0</v>
      </c>
      <c r="L158" t="n">
        <v>0</v>
      </c>
      <c r="M158" t="n">
        <v>0</v>
      </c>
      <c r="N158" t="n">
        <v>0</v>
      </c>
      <c r="O158" t="n">
        <v>0</v>
      </c>
      <c r="P158" t="n">
        <v>0</v>
      </c>
      <c r="Q158" t="n">
        <v>1</v>
      </c>
      <c r="R158" s="2" t="inlineStr">
        <is>
          <t>Guckusko</t>
        </is>
      </c>
      <c r="S158">
        <f>HYPERLINK("https://klasma.github.io/Logging_0188/artfynd/A 9214-2023 artfynd.xlsx", "A 9214-2023")</f>
        <v/>
      </c>
      <c r="T158">
        <f>HYPERLINK("https://klasma.github.io/Logging_0188/kartor/A 9214-2023 karta.png", "A 9214-2023")</f>
        <v/>
      </c>
      <c r="V158">
        <f>HYPERLINK("https://klasma.github.io/Logging_0188/klagomål/A 9214-2023 FSC-klagomål.docx", "A 9214-2023")</f>
        <v/>
      </c>
      <c r="W158">
        <f>HYPERLINK("https://klasma.github.io/Logging_0188/klagomålsmail/A 9214-2023 FSC-klagomål mail.docx", "A 9214-2023")</f>
        <v/>
      </c>
      <c r="X158">
        <f>HYPERLINK("https://klasma.github.io/Logging_0188/tillsyn/A 9214-2023 tillsynsbegäran.docx", "A 9214-2023")</f>
        <v/>
      </c>
      <c r="Y158">
        <f>HYPERLINK("https://klasma.github.io/Logging_0188/tillsynsmail/A 9214-2023 tillsynsbegäran mail.docx", "A 9214-2023")</f>
        <v/>
      </c>
    </row>
    <row r="159" ht="15" customHeight="1">
      <c r="A159" t="inlineStr">
        <is>
          <t>A 9271-2023</t>
        </is>
      </c>
      <c r="B159" s="1" t="n">
        <v>44980</v>
      </c>
      <c r="C159" s="1" t="n">
        <v>45658</v>
      </c>
      <c r="D159" t="inlineStr">
        <is>
          <t>STOCKHOLMS LÄN</t>
        </is>
      </c>
      <c r="E159" t="inlineStr">
        <is>
          <t>NORRTÄLJE</t>
        </is>
      </c>
      <c r="G159" t="n">
        <v>5.3</v>
      </c>
      <c r="H159" t="n">
        <v>1</v>
      </c>
      <c r="I159" t="n">
        <v>0</v>
      </c>
      <c r="J159" t="n">
        <v>0</v>
      </c>
      <c r="K159" t="n">
        <v>1</v>
      </c>
      <c r="L159" t="n">
        <v>0</v>
      </c>
      <c r="M159" t="n">
        <v>0</v>
      </c>
      <c r="N159" t="n">
        <v>0</v>
      </c>
      <c r="O159" t="n">
        <v>1</v>
      </c>
      <c r="P159" t="n">
        <v>1</v>
      </c>
      <c r="Q159" t="n">
        <v>1</v>
      </c>
      <c r="R159" s="2" t="inlineStr">
        <is>
          <t>Hällebräcka</t>
        </is>
      </c>
      <c r="S159">
        <f>HYPERLINK("https://klasma.github.io/Logging_0188/artfynd/A 9271-2023 artfynd.xlsx", "A 9271-2023")</f>
        <v/>
      </c>
      <c r="T159">
        <f>HYPERLINK("https://klasma.github.io/Logging_0188/kartor/A 9271-2023 karta.png", "A 9271-2023")</f>
        <v/>
      </c>
      <c r="V159">
        <f>HYPERLINK("https://klasma.github.io/Logging_0188/klagomål/A 9271-2023 FSC-klagomål.docx", "A 9271-2023")</f>
        <v/>
      </c>
      <c r="W159">
        <f>HYPERLINK("https://klasma.github.io/Logging_0188/klagomålsmail/A 9271-2023 FSC-klagomål mail.docx", "A 9271-2023")</f>
        <v/>
      </c>
      <c r="X159">
        <f>HYPERLINK("https://klasma.github.io/Logging_0188/tillsyn/A 9271-2023 tillsynsbegäran.docx", "A 9271-2023")</f>
        <v/>
      </c>
      <c r="Y159">
        <f>HYPERLINK("https://klasma.github.io/Logging_0188/tillsynsmail/A 9271-2023 tillsynsbegäran mail.docx", "A 9271-2023")</f>
        <v/>
      </c>
    </row>
    <row r="160" ht="15" customHeight="1">
      <c r="A160" t="inlineStr">
        <is>
          <t>A 9522-2023</t>
        </is>
      </c>
      <c r="B160" s="1" t="n">
        <v>44981</v>
      </c>
      <c r="C160" s="1" t="n">
        <v>45658</v>
      </c>
      <c r="D160" t="inlineStr">
        <is>
          <t>STOCKHOLMS LÄN</t>
        </is>
      </c>
      <c r="E160" t="inlineStr">
        <is>
          <t>NORRTÄLJE</t>
        </is>
      </c>
      <c r="F160" t="inlineStr">
        <is>
          <t>Holmen skog AB</t>
        </is>
      </c>
      <c r="G160" t="n">
        <v>7.5</v>
      </c>
      <c r="H160" t="n">
        <v>1</v>
      </c>
      <c r="I160" t="n">
        <v>0</v>
      </c>
      <c r="J160" t="n">
        <v>0</v>
      </c>
      <c r="K160" t="n">
        <v>0</v>
      </c>
      <c r="L160" t="n">
        <v>1</v>
      </c>
      <c r="M160" t="n">
        <v>0</v>
      </c>
      <c r="N160" t="n">
        <v>0</v>
      </c>
      <c r="O160" t="n">
        <v>1</v>
      </c>
      <c r="P160" t="n">
        <v>1</v>
      </c>
      <c r="Q160" t="n">
        <v>1</v>
      </c>
      <c r="R160" s="2" t="inlineStr">
        <is>
          <t>Asknätfjäril</t>
        </is>
      </c>
      <c r="S160">
        <f>HYPERLINK("https://klasma.github.io/Logging_0188/artfynd/A 9522-2023 artfynd.xlsx", "A 9522-2023")</f>
        <v/>
      </c>
      <c r="T160">
        <f>HYPERLINK("https://klasma.github.io/Logging_0188/kartor/A 9522-2023 karta.png", "A 9522-2023")</f>
        <v/>
      </c>
      <c r="V160">
        <f>HYPERLINK("https://klasma.github.io/Logging_0188/klagomål/A 9522-2023 FSC-klagomål.docx", "A 9522-2023")</f>
        <v/>
      </c>
      <c r="W160">
        <f>HYPERLINK("https://klasma.github.io/Logging_0188/klagomålsmail/A 9522-2023 FSC-klagomål mail.docx", "A 9522-2023")</f>
        <v/>
      </c>
      <c r="X160">
        <f>HYPERLINK("https://klasma.github.io/Logging_0188/tillsyn/A 9522-2023 tillsynsbegäran.docx", "A 9522-2023")</f>
        <v/>
      </c>
      <c r="Y160">
        <f>HYPERLINK("https://klasma.github.io/Logging_0188/tillsynsmail/A 9522-2023 tillsynsbegäran mail.docx", "A 9522-2023")</f>
        <v/>
      </c>
    </row>
    <row r="161" ht="15" customHeight="1">
      <c r="A161" t="inlineStr">
        <is>
          <t>A 10019-2023</t>
        </is>
      </c>
      <c r="B161" s="1" t="n">
        <v>44985</v>
      </c>
      <c r="C161" s="1" t="n">
        <v>45658</v>
      </c>
      <c r="D161" t="inlineStr">
        <is>
          <t>STOCKHOLMS LÄN</t>
        </is>
      </c>
      <c r="E161" t="inlineStr">
        <is>
          <t>NORRTÄLJE</t>
        </is>
      </c>
      <c r="G161" t="n">
        <v>8.4</v>
      </c>
      <c r="H161" t="n">
        <v>0</v>
      </c>
      <c r="I161" t="n">
        <v>1</v>
      </c>
      <c r="J161" t="n">
        <v>0</v>
      </c>
      <c r="K161" t="n">
        <v>0</v>
      </c>
      <c r="L161" t="n">
        <v>0</v>
      </c>
      <c r="M161" t="n">
        <v>0</v>
      </c>
      <c r="N161" t="n">
        <v>0</v>
      </c>
      <c r="O161" t="n">
        <v>0</v>
      </c>
      <c r="P161" t="n">
        <v>0</v>
      </c>
      <c r="Q161" t="n">
        <v>1</v>
      </c>
      <c r="R161" s="2" t="inlineStr">
        <is>
          <t>Underviol</t>
        </is>
      </c>
      <c r="S161">
        <f>HYPERLINK("https://klasma.github.io/Logging_0188/artfynd/A 10019-2023 artfynd.xlsx", "A 10019-2023")</f>
        <v/>
      </c>
      <c r="T161">
        <f>HYPERLINK("https://klasma.github.io/Logging_0188/kartor/A 10019-2023 karta.png", "A 10019-2023")</f>
        <v/>
      </c>
      <c r="V161">
        <f>HYPERLINK("https://klasma.github.io/Logging_0188/klagomål/A 10019-2023 FSC-klagomål.docx", "A 10019-2023")</f>
        <v/>
      </c>
      <c r="W161">
        <f>HYPERLINK("https://klasma.github.io/Logging_0188/klagomålsmail/A 10019-2023 FSC-klagomål mail.docx", "A 10019-2023")</f>
        <v/>
      </c>
      <c r="X161">
        <f>HYPERLINK("https://klasma.github.io/Logging_0188/tillsyn/A 10019-2023 tillsynsbegäran.docx", "A 10019-2023")</f>
        <v/>
      </c>
      <c r="Y161">
        <f>HYPERLINK("https://klasma.github.io/Logging_0188/tillsynsmail/A 10019-2023 tillsynsbegäran mail.docx", "A 10019-2023")</f>
        <v/>
      </c>
    </row>
    <row r="162" ht="15" customHeight="1">
      <c r="A162" t="inlineStr">
        <is>
          <t>A 11429-2023</t>
        </is>
      </c>
      <c r="B162" s="1" t="n">
        <v>44993</v>
      </c>
      <c r="C162" s="1" t="n">
        <v>45658</v>
      </c>
      <c r="D162" t="inlineStr">
        <is>
          <t>STOCKHOLMS LÄN</t>
        </is>
      </c>
      <c r="E162" t="inlineStr">
        <is>
          <t>NORRTÄLJE</t>
        </is>
      </c>
      <c r="G162" t="n">
        <v>2</v>
      </c>
      <c r="H162" t="n">
        <v>0</v>
      </c>
      <c r="I162" t="n">
        <v>0</v>
      </c>
      <c r="J162" t="n">
        <v>1</v>
      </c>
      <c r="K162" t="n">
        <v>0</v>
      </c>
      <c r="L162" t="n">
        <v>0</v>
      </c>
      <c r="M162" t="n">
        <v>0</v>
      </c>
      <c r="N162" t="n">
        <v>0</v>
      </c>
      <c r="O162" t="n">
        <v>1</v>
      </c>
      <c r="P162" t="n">
        <v>0</v>
      </c>
      <c r="Q162" t="n">
        <v>1</v>
      </c>
      <c r="R162" s="2" t="inlineStr">
        <is>
          <t>Skogsklocka</t>
        </is>
      </c>
      <c r="S162">
        <f>HYPERLINK("https://klasma.github.io/Logging_0188/artfynd/A 11429-2023 artfynd.xlsx", "A 11429-2023")</f>
        <v/>
      </c>
      <c r="T162">
        <f>HYPERLINK("https://klasma.github.io/Logging_0188/kartor/A 11429-2023 karta.png", "A 11429-2023")</f>
        <v/>
      </c>
      <c r="V162">
        <f>HYPERLINK("https://klasma.github.io/Logging_0188/klagomål/A 11429-2023 FSC-klagomål.docx", "A 11429-2023")</f>
        <v/>
      </c>
      <c r="W162">
        <f>HYPERLINK("https://klasma.github.io/Logging_0188/klagomålsmail/A 11429-2023 FSC-klagomål mail.docx", "A 11429-2023")</f>
        <v/>
      </c>
      <c r="X162">
        <f>HYPERLINK("https://klasma.github.io/Logging_0188/tillsyn/A 11429-2023 tillsynsbegäran.docx", "A 11429-2023")</f>
        <v/>
      </c>
      <c r="Y162">
        <f>HYPERLINK("https://klasma.github.io/Logging_0188/tillsynsmail/A 11429-2023 tillsynsbegäran mail.docx", "A 11429-2023")</f>
        <v/>
      </c>
    </row>
    <row r="163" ht="15" customHeight="1">
      <c r="A163" t="inlineStr">
        <is>
          <t>A 12442-2023</t>
        </is>
      </c>
      <c r="B163" s="1" t="n">
        <v>44999</v>
      </c>
      <c r="C163" s="1" t="n">
        <v>45658</v>
      </c>
      <c r="D163" t="inlineStr">
        <is>
          <t>STOCKHOLMS LÄN</t>
        </is>
      </c>
      <c r="E163" t="inlineStr">
        <is>
          <t>NORRTÄLJE</t>
        </is>
      </c>
      <c r="G163" t="n">
        <v>1.9</v>
      </c>
      <c r="H163" t="n">
        <v>1</v>
      </c>
      <c r="I163" t="n">
        <v>0</v>
      </c>
      <c r="J163" t="n">
        <v>0</v>
      </c>
      <c r="K163" t="n">
        <v>0</v>
      </c>
      <c r="L163" t="n">
        <v>0</v>
      </c>
      <c r="M163" t="n">
        <v>0</v>
      </c>
      <c r="N163" t="n">
        <v>0</v>
      </c>
      <c r="O163" t="n">
        <v>0</v>
      </c>
      <c r="P163" t="n">
        <v>0</v>
      </c>
      <c r="Q163" t="n">
        <v>1</v>
      </c>
      <c r="R163" s="2" t="inlineStr">
        <is>
          <t>Gullviva</t>
        </is>
      </c>
      <c r="S163">
        <f>HYPERLINK("https://klasma.github.io/Logging_0188/artfynd/A 12442-2023 artfynd.xlsx", "A 12442-2023")</f>
        <v/>
      </c>
      <c r="T163">
        <f>HYPERLINK("https://klasma.github.io/Logging_0188/kartor/A 12442-2023 karta.png", "A 12442-2023")</f>
        <v/>
      </c>
      <c r="V163">
        <f>HYPERLINK("https://klasma.github.io/Logging_0188/klagomål/A 12442-2023 FSC-klagomål.docx", "A 12442-2023")</f>
        <v/>
      </c>
      <c r="W163">
        <f>HYPERLINK("https://klasma.github.io/Logging_0188/klagomålsmail/A 12442-2023 FSC-klagomål mail.docx", "A 12442-2023")</f>
        <v/>
      </c>
      <c r="X163">
        <f>HYPERLINK("https://klasma.github.io/Logging_0188/tillsyn/A 12442-2023 tillsynsbegäran.docx", "A 12442-2023")</f>
        <v/>
      </c>
      <c r="Y163">
        <f>HYPERLINK("https://klasma.github.io/Logging_0188/tillsynsmail/A 12442-2023 tillsynsbegäran mail.docx", "A 12442-2023")</f>
        <v/>
      </c>
    </row>
    <row r="164" ht="15" customHeight="1">
      <c r="A164" t="inlineStr">
        <is>
          <t>A 15644-2023</t>
        </is>
      </c>
      <c r="B164" s="1" t="n">
        <v>45021</v>
      </c>
      <c r="C164" s="1" t="n">
        <v>45658</v>
      </c>
      <c r="D164" t="inlineStr">
        <is>
          <t>STOCKHOLMS LÄN</t>
        </is>
      </c>
      <c r="E164" t="inlineStr">
        <is>
          <t>NORRTÄLJE</t>
        </is>
      </c>
      <c r="F164" t="inlineStr">
        <is>
          <t>Holmen skog AB</t>
        </is>
      </c>
      <c r="G164" t="n">
        <v>13</v>
      </c>
      <c r="H164" t="n">
        <v>1</v>
      </c>
      <c r="I164" t="n">
        <v>0</v>
      </c>
      <c r="J164" t="n">
        <v>0</v>
      </c>
      <c r="K164" t="n">
        <v>0</v>
      </c>
      <c r="L164" t="n">
        <v>1</v>
      </c>
      <c r="M164" t="n">
        <v>0</v>
      </c>
      <c r="N164" t="n">
        <v>0</v>
      </c>
      <c r="O164" t="n">
        <v>1</v>
      </c>
      <c r="P164" t="n">
        <v>1</v>
      </c>
      <c r="Q164" t="n">
        <v>1</v>
      </c>
      <c r="R164" s="2" t="inlineStr">
        <is>
          <t>Asknätfjäril</t>
        </is>
      </c>
      <c r="S164">
        <f>HYPERLINK("https://klasma.github.io/Logging_0188/artfynd/A 15644-2023 artfynd.xlsx", "A 15644-2023")</f>
        <v/>
      </c>
      <c r="T164">
        <f>HYPERLINK("https://klasma.github.io/Logging_0188/kartor/A 15644-2023 karta.png", "A 15644-2023")</f>
        <v/>
      </c>
      <c r="V164">
        <f>HYPERLINK("https://klasma.github.io/Logging_0188/klagomål/A 15644-2023 FSC-klagomål.docx", "A 15644-2023")</f>
        <v/>
      </c>
      <c r="W164">
        <f>HYPERLINK("https://klasma.github.io/Logging_0188/klagomålsmail/A 15644-2023 FSC-klagomål mail.docx", "A 15644-2023")</f>
        <v/>
      </c>
      <c r="X164">
        <f>HYPERLINK("https://klasma.github.io/Logging_0188/tillsyn/A 15644-2023 tillsynsbegäran.docx", "A 15644-2023")</f>
        <v/>
      </c>
      <c r="Y164">
        <f>HYPERLINK("https://klasma.github.io/Logging_0188/tillsynsmail/A 15644-2023 tillsynsbegäran mail.docx", "A 15644-2023")</f>
        <v/>
      </c>
    </row>
    <row r="165" ht="15" customHeight="1">
      <c r="A165" t="inlineStr">
        <is>
          <t>A 18216-2023</t>
        </is>
      </c>
      <c r="B165" s="1" t="n">
        <v>45041</v>
      </c>
      <c r="C165" s="1" t="n">
        <v>45658</v>
      </c>
      <c r="D165" t="inlineStr">
        <is>
          <t>STOCKHOLMS LÄN</t>
        </is>
      </c>
      <c r="E165" t="inlineStr">
        <is>
          <t>NORRTÄLJE</t>
        </is>
      </c>
      <c r="F165" t="inlineStr">
        <is>
          <t>Holmen skog AB</t>
        </is>
      </c>
      <c r="G165" t="n">
        <v>1.9</v>
      </c>
      <c r="H165" t="n">
        <v>0</v>
      </c>
      <c r="I165" t="n">
        <v>1</v>
      </c>
      <c r="J165" t="n">
        <v>0</v>
      </c>
      <c r="K165" t="n">
        <v>0</v>
      </c>
      <c r="L165" t="n">
        <v>0</v>
      </c>
      <c r="M165" t="n">
        <v>0</v>
      </c>
      <c r="N165" t="n">
        <v>0</v>
      </c>
      <c r="O165" t="n">
        <v>0</v>
      </c>
      <c r="P165" t="n">
        <v>0</v>
      </c>
      <c r="Q165" t="n">
        <v>1</v>
      </c>
      <c r="R165" s="2" t="inlineStr">
        <is>
          <t>Vårärt</t>
        </is>
      </c>
      <c r="S165">
        <f>HYPERLINK("https://klasma.github.io/Logging_0188/artfynd/A 18216-2023 artfynd.xlsx", "A 18216-2023")</f>
        <v/>
      </c>
      <c r="T165">
        <f>HYPERLINK("https://klasma.github.io/Logging_0188/kartor/A 18216-2023 karta.png", "A 18216-2023")</f>
        <v/>
      </c>
      <c r="V165">
        <f>HYPERLINK("https://klasma.github.io/Logging_0188/klagomål/A 18216-2023 FSC-klagomål.docx", "A 18216-2023")</f>
        <v/>
      </c>
      <c r="W165">
        <f>HYPERLINK("https://klasma.github.io/Logging_0188/klagomålsmail/A 18216-2023 FSC-klagomål mail.docx", "A 18216-2023")</f>
        <v/>
      </c>
      <c r="X165">
        <f>HYPERLINK("https://klasma.github.io/Logging_0188/tillsyn/A 18216-2023 tillsynsbegäran.docx", "A 18216-2023")</f>
        <v/>
      </c>
      <c r="Y165">
        <f>HYPERLINK("https://klasma.github.io/Logging_0188/tillsynsmail/A 18216-2023 tillsynsbegäran mail.docx", "A 18216-2023")</f>
        <v/>
      </c>
    </row>
    <row r="166" ht="15" customHeight="1">
      <c r="A166" t="inlineStr">
        <is>
          <t>A 21431-2023</t>
        </is>
      </c>
      <c r="B166" s="1" t="n">
        <v>45063</v>
      </c>
      <c r="C166" s="1" t="n">
        <v>45658</v>
      </c>
      <c r="D166" t="inlineStr">
        <is>
          <t>STOCKHOLMS LÄN</t>
        </is>
      </c>
      <c r="E166" t="inlineStr">
        <is>
          <t>NORRTÄLJE</t>
        </is>
      </c>
      <c r="F166" t="inlineStr">
        <is>
          <t>Holmen skog AB</t>
        </is>
      </c>
      <c r="G166" t="n">
        <v>4</v>
      </c>
      <c r="H166" t="n">
        <v>1</v>
      </c>
      <c r="I166" t="n">
        <v>1</v>
      </c>
      <c r="J166" t="n">
        <v>0</v>
      </c>
      <c r="K166" t="n">
        <v>0</v>
      </c>
      <c r="L166" t="n">
        <v>0</v>
      </c>
      <c r="M166" t="n">
        <v>0</v>
      </c>
      <c r="N166" t="n">
        <v>0</v>
      </c>
      <c r="O166" t="n">
        <v>0</v>
      </c>
      <c r="P166" t="n">
        <v>0</v>
      </c>
      <c r="Q166" t="n">
        <v>1</v>
      </c>
      <c r="R166" s="2" t="inlineStr">
        <is>
          <t>Nästrot</t>
        </is>
      </c>
      <c r="S166">
        <f>HYPERLINK("https://klasma.github.io/Logging_0188/artfynd/A 21431-2023 artfynd.xlsx", "A 21431-2023")</f>
        <v/>
      </c>
      <c r="T166">
        <f>HYPERLINK("https://klasma.github.io/Logging_0188/kartor/A 21431-2023 karta.png", "A 21431-2023")</f>
        <v/>
      </c>
      <c r="V166">
        <f>HYPERLINK("https://klasma.github.io/Logging_0188/klagomål/A 21431-2023 FSC-klagomål.docx", "A 21431-2023")</f>
        <v/>
      </c>
      <c r="W166">
        <f>HYPERLINK("https://klasma.github.io/Logging_0188/klagomålsmail/A 21431-2023 FSC-klagomål mail.docx", "A 21431-2023")</f>
        <v/>
      </c>
      <c r="X166">
        <f>HYPERLINK("https://klasma.github.io/Logging_0188/tillsyn/A 21431-2023 tillsynsbegäran.docx", "A 21431-2023")</f>
        <v/>
      </c>
      <c r="Y166">
        <f>HYPERLINK("https://klasma.github.io/Logging_0188/tillsynsmail/A 21431-2023 tillsynsbegäran mail.docx", "A 21431-2023")</f>
        <v/>
      </c>
    </row>
    <row r="167" ht="15" customHeight="1">
      <c r="A167" t="inlineStr">
        <is>
          <t>A 21744-2023</t>
        </is>
      </c>
      <c r="B167" s="1" t="n">
        <v>45065</v>
      </c>
      <c r="C167" s="1" t="n">
        <v>45658</v>
      </c>
      <c r="D167" t="inlineStr">
        <is>
          <t>STOCKHOLMS LÄN</t>
        </is>
      </c>
      <c r="E167" t="inlineStr">
        <is>
          <t>NORRTÄLJE</t>
        </is>
      </c>
      <c r="F167" t="inlineStr">
        <is>
          <t>Holmen skog AB</t>
        </is>
      </c>
      <c r="G167" t="n">
        <v>4.2</v>
      </c>
      <c r="H167" t="n">
        <v>0</v>
      </c>
      <c r="I167" t="n">
        <v>1</v>
      </c>
      <c r="J167" t="n">
        <v>0</v>
      </c>
      <c r="K167" t="n">
        <v>0</v>
      </c>
      <c r="L167" t="n">
        <v>0</v>
      </c>
      <c r="M167" t="n">
        <v>0</v>
      </c>
      <c r="N167" t="n">
        <v>0</v>
      </c>
      <c r="O167" t="n">
        <v>0</v>
      </c>
      <c r="P167" t="n">
        <v>0</v>
      </c>
      <c r="Q167" t="n">
        <v>1</v>
      </c>
      <c r="R167" s="2" t="inlineStr">
        <is>
          <t>Korallblylav</t>
        </is>
      </c>
      <c r="S167">
        <f>HYPERLINK("https://klasma.github.io/Logging_0188/artfynd/A 21744-2023 artfynd.xlsx", "A 21744-2023")</f>
        <v/>
      </c>
      <c r="T167">
        <f>HYPERLINK("https://klasma.github.io/Logging_0188/kartor/A 21744-2023 karta.png", "A 21744-2023")</f>
        <v/>
      </c>
      <c r="V167">
        <f>HYPERLINK("https://klasma.github.io/Logging_0188/klagomål/A 21744-2023 FSC-klagomål.docx", "A 21744-2023")</f>
        <v/>
      </c>
      <c r="W167">
        <f>HYPERLINK("https://klasma.github.io/Logging_0188/klagomålsmail/A 21744-2023 FSC-klagomål mail.docx", "A 21744-2023")</f>
        <v/>
      </c>
      <c r="X167">
        <f>HYPERLINK("https://klasma.github.io/Logging_0188/tillsyn/A 21744-2023 tillsynsbegäran.docx", "A 21744-2023")</f>
        <v/>
      </c>
      <c r="Y167">
        <f>HYPERLINK("https://klasma.github.io/Logging_0188/tillsynsmail/A 21744-2023 tillsynsbegäran mail.docx", "A 21744-2023")</f>
        <v/>
      </c>
    </row>
    <row r="168" ht="15" customHeight="1">
      <c r="A168" t="inlineStr">
        <is>
          <t>A 24535-2023</t>
        </is>
      </c>
      <c r="B168" s="1" t="n">
        <v>45082</v>
      </c>
      <c r="C168" s="1" t="n">
        <v>45658</v>
      </c>
      <c r="D168" t="inlineStr">
        <is>
          <t>STOCKHOLMS LÄN</t>
        </is>
      </c>
      <c r="E168" t="inlineStr">
        <is>
          <t>NORRTÄLJE</t>
        </is>
      </c>
      <c r="F168" t="inlineStr">
        <is>
          <t>Kommuner</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HYPERLINK("https://klasma.github.io/Logging_0188/artfynd/A 24535-2023 artfynd.xlsx", "A 24535-2023")</f>
        <v/>
      </c>
      <c r="T168">
        <f>HYPERLINK("https://klasma.github.io/Logging_0188/kartor/A 24535-2023 karta.png", "A 24535-2023")</f>
        <v/>
      </c>
      <c r="V168">
        <f>HYPERLINK("https://klasma.github.io/Logging_0188/klagomål/A 24535-2023 FSC-klagomål.docx", "A 24535-2023")</f>
        <v/>
      </c>
      <c r="W168">
        <f>HYPERLINK("https://klasma.github.io/Logging_0188/klagomålsmail/A 24535-2023 FSC-klagomål mail.docx", "A 24535-2023")</f>
        <v/>
      </c>
      <c r="X168">
        <f>HYPERLINK("https://klasma.github.io/Logging_0188/tillsyn/A 24535-2023 tillsynsbegäran.docx", "A 24535-2023")</f>
        <v/>
      </c>
      <c r="Y168">
        <f>HYPERLINK("https://klasma.github.io/Logging_0188/tillsynsmail/A 24535-2023 tillsynsbegäran mail.docx", "A 24535-2023")</f>
        <v/>
      </c>
    </row>
    <row r="169" ht="15" customHeight="1">
      <c r="A169" t="inlineStr">
        <is>
          <t>A 26635-2023</t>
        </is>
      </c>
      <c r="B169" s="1" t="n">
        <v>45092</v>
      </c>
      <c r="C169" s="1" t="n">
        <v>45658</v>
      </c>
      <c r="D169" t="inlineStr">
        <is>
          <t>STOCKHOLMS LÄN</t>
        </is>
      </c>
      <c r="E169" t="inlineStr">
        <is>
          <t>NORRTÄLJE</t>
        </is>
      </c>
      <c r="G169" t="n">
        <v>3.1</v>
      </c>
      <c r="H169" t="n">
        <v>1</v>
      </c>
      <c r="I169" t="n">
        <v>0</v>
      </c>
      <c r="J169" t="n">
        <v>0</v>
      </c>
      <c r="K169" t="n">
        <v>0</v>
      </c>
      <c r="L169" t="n">
        <v>0</v>
      </c>
      <c r="M169" t="n">
        <v>0</v>
      </c>
      <c r="N169" t="n">
        <v>0</v>
      </c>
      <c r="O169" t="n">
        <v>0</v>
      </c>
      <c r="P169" t="n">
        <v>0</v>
      </c>
      <c r="Q169" t="n">
        <v>1</v>
      </c>
      <c r="R169" s="2" t="inlineStr">
        <is>
          <t>Fläcknycklar</t>
        </is>
      </c>
      <c r="S169">
        <f>HYPERLINK("https://klasma.github.io/Logging_0188/artfynd/A 26635-2023 artfynd.xlsx", "A 26635-2023")</f>
        <v/>
      </c>
      <c r="T169">
        <f>HYPERLINK("https://klasma.github.io/Logging_0188/kartor/A 26635-2023 karta.png", "A 26635-2023")</f>
        <v/>
      </c>
      <c r="V169">
        <f>HYPERLINK("https://klasma.github.io/Logging_0188/klagomål/A 26635-2023 FSC-klagomål.docx", "A 26635-2023")</f>
        <v/>
      </c>
      <c r="W169">
        <f>HYPERLINK("https://klasma.github.io/Logging_0188/klagomålsmail/A 26635-2023 FSC-klagomål mail.docx", "A 26635-2023")</f>
        <v/>
      </c>
      <c r="X169">
        <f>HYPERLINK("https://klasma.github.io/Logging_0188/tillsyn/A 26635-2023 tillsynsbegäran.docx", "A 26635-2023")</f>
        <v/>
      </c>
      <c r="Y169">
        <f>HYPERLINK("https://klasma.github.io/Logging_0188/tillsynsmail/A 26635-2023 tillsynsbegäran mail.docx", "A 26635-2023")</f>
        <v/>
      </c>
    </row>
    <row r="170" ht="15" customHeight="1">
      <c r="A170" t="inlineStr">
        <is>
          <t>A 35649-2023</t>
        </is>
      </c>
      <c r="B170" s="1" t="n">
        <v>45146</v>
      </c>
      <c r="C170" s="1" t="n">
        <v>45658</v>
      </c>
      <c r="D170" t="inlineStr">
        <is>
          <t>STOCKHOLMS LÄN</t>
        </is>
      </c>
      <c r="E170" t="inlineStr">
        <is>
          <t>NORRTÄLJE</t>
        </is>
      </c>
      <c r="G170" t="n">
        <v>25.1</v>
      </c>
      <c r="H170" t="n">
        <v>0</v>
      </c>
      <c r="I170" t="n">
        <v>0</v>
      </c>
      <c r="J170" t="n">
        <v>1</v>
      </c>
      <c r="K170" t="n">
        <v>0</v>
      </c>
      <c r="L170" t="n">
        <v>0</v>
      </c>
      <c r="M170" t="n">
        <v>0</v>
      </c>
      <c r="N170" t="n">
        <v>0</v>
      </c>
      <c r="O170" t="n">
        <v>1</v>
      </c>
      <c r="P170" t="n">
        <v>0</v>
      </c>
      <c r="Q170" t="n">
        <v>1</v>
      </c>
      <c r="R170" s="2" t="inlineStr">
        <is>
          <t>Månlåsbräken</t>
        </is>
      </c>
      <c r="S170">
        <f>HYPERLINK("https://klasma.github.io/Logging_0188/artfynd/A 35649-2023 artfynd.xlsx", "A 35649-2023")</f>
        <v/>
      </c>
      <c r="T170">
        <f>HYPERLINK("https://klasma.github.io/Logging_0188/kartor/A 35649-2023 karta.png", "A 35649-2023")</f>
        <v/>
      </c>
      <c r="V170">
        <f>HYPERLINK("https://klasma.github.io/Logging_0188/klagomål/A 35649-2023 FSC-klagomål.docx", "A 35649-2023")</f>
        <v/>
      </c>
      <c r="W170">
        <f>HYPERLINK("https://klasma.github.io/Logging_0188/klagomålsmail/A 35649-2023 FSC-klagomål mail.docx", "A 35649-2023")</f>
        <v/>
      </c>
      <c r="X170">
        <f>HYPERLINK("https://klasma.github.io/Logging_0188/tillsyn/A 35649-2023 tillsynsbegäran.docx", "A 35649-2023")</f>
        <v/>
      </c>
      <c r="Y170">
        <f>HYPERLINK("https://klasma.github.io/Logging_0188/tillsynsmail/A 35649-2023 tillsynsbegäran mail.docx", "A 35649-2023")</f>
        <v/>
      </c>
    </row>
    <row r="171" ht="15" customHeight="1">
      <c r="A171" t="inlineStr">
        <is>
          <t>A 39255-2023</t>
        </is>
      </c>
      <c r="B171" s="1" t="n">
        <v>45166</v>
      </c>
      <c r="C171" s="1" t="n">
        <v>45658</v>
      </c>
      <c r="D171" t="inlineStr">
        <is>
          <t>STOCKHOLMS LÄN</t>
        </is>
      </c>
      <c r="E171" t="inlineStr">
        <is>
          <t>NORRTÄLJE</t>
        </is>
      </c>
      <c r="G171" t="n">
        <v>14.2</v>
      </c>
      <c r="H171" t="n">
        <v>1</v>
      </c>
      <c r="I171" t="n">
        <v>0</v>
      </c>
      <c r="J171" t="n">
        <v>0</v>
      </c>
      <c r="K171" t="n">
        <v>0</v>
      </c>
      <c r="L171" t="n">
        <v>0</v>
      </c>
      <c r="M171" t="n">
        <v>0</v>
      </c>
      <c r="N171" t="n">
        <v>0</v>
      </c>
      <c r="O171" t="n">
        <v>0</v>
      </c>
      <c r="P171" t="n">
        <v>0</v>
      </c>
      <c r="Q171" t="n">
        <v>1</v>
      </c>
      <c r="R171" s="2" t="inlineStr">
        <is>
          <t>Lopplummer</t>
        </is>
      </c>
      <c r="S171">
        <f>HYPERLINK("https://klasma.github.io/Logging_0188/artfynd/A 39255-2023 artfynd.xlsx", "A 39255-2023")</f>
        <v/>
      </c>
      <c r="T171">
        <f>HYPERLINK("https://klasma.github.io/Logging_0188/kartor/A 39255-2023 karta.png", "A 39255-2023")</f>
        <v/>
      </c>
      <c r="V171">
        <f>HYPERLINK("https://klasma.github.io/Logging_0188/klagomål/A 39255-2023 FSC-klagomål.docx", "A 39255-2023")</f>
        <v/>
      </c>
      <c r="W171">
        <f>HYPERLINK("https://klasma.github.io/Logging_0188/klagomålsmail/A 39255-2023 FSC-klagomål mail.docx", "A 39255-2023")</f>
        <v/>
      </c>
      <c r="X171">
        <f>HYPERLINK("https://klasma.github.io/Logging_0188/tillsyn/A 39255-2023 tillsynsbegäran.docx", "A 39255-2023")</f>
        <v/>
      </c>
      <c r="Y171">
        <f>HYPERLINK("https://klasma.github.io/Logging_0188/tillsynsmail/A 39255-2023 tillsynsbegäran mail.docx", "A 39255-2023")</f>
        <v/>
      </c>
    </row>
    <row r="172" ht="15" customHeight="1">
      <c r="A172" t="inlineStr">
        <is>
          <t>A 43178-2023</t>
        </is>
      </c>
      <c r="B172" s="1" t="n">
        <v>45183</v>
      </c>
      <c r="C172" s="1" t="n">
        <v>45658</v>
      </c>
      <c r="D172" t="inlineStr">
        <is>
          <t>STOCKHOLMS LÄN</t>
        </is>
      </c>
      <c r="E172" t="inlineStr">
        <is>
          <t>NORRTÄLJE</t>
        </is>
      </c>
      <c r="F172" t="inlineStr">
        <is>
          <t>Kyrkan</t>
        </is>
      </c>
      <c r="G172" t="n">
        <v>1.5</v>
      </c>
      <c r="H172" t="n">
        <v>0</v>
      </c>
      <c r="I172" t="n">
        <v>0</v>
      </c>
      <c r="J172" t="n">
        <v>1</v>
      </c>
      <c r="K172" t="n">
        <v>0</v>
      </c>
      <c r="L172" t="n">
        <v>0</v>
      </c>
      <c r="M172" t="n">
        <v>0</v>
      </c>
      <c r="N172" t="n">
        <v>0</v>
      </c>
      <c r="O172" t="n">
        <v>1</v>
      </c>
      <c r="P172" t="n">
        <v>0</v>
      </c>
      <c r="Q172" t="n">
        <v>1</v>
      </c>
      <c r="R172" s="2" t="inlineStr">
        <is>
          <t>Mindre bastardsvärmare</t>
        </is>
      </c>
      <c r="S172">
        <f>HYPERLINK("https://klasma.github.io/Logging_0188/artfynd/A 43178-2023 artfynd.xlsx", "A 43178-2023")</f>
        <v/>
      </c>
      <c r="T172">
        <f>HYPERLINK("https://klasma.github.io/Logging_0188/kartor/A 43178-2023 karta.png", "A 43178-2023")</f>
        <v/>
      </c>
      <c r="V172">
        <f>HYPERLINK("https://klasma.github.io/Logging_0188/klagomål/A 43178-2023 FSC-klagomål.docx", "A 43178-2023")</f>
        <v/>
      </c>
      <c r="W172">
        <f>HYPERLINK("https://klasma.github.io/Logging_0188/klagomålsmail/A 43178-2023 FSC-klagomål mail.docx", "A 43178-2023")</f>
        <v/>
      </c>
      <c r="X172">
        <f>HYPERLINK("https://klasma.github.io/Logging_0188/tillsyn/A 43178-2023 tillsynsbegäran.docx", "A 43178-2023")</f>
        <v/>
      </c>
      <c r="Y172">
        <f>HYPERLINK("https://klasma.github.io/Logging_0188/tillsynsmail/A 43178-2023 tillsynsbegäran mail.docx", "A 43178-2023")</f>
        <v/>
      </c>
    </row>
    <row r="173" ht="15" customHeight="1">
      <c r="A173" t="inlineStr">
        <is>
          <t>A 43171-2023</t>
        </is>
      </c>
      <c r="B173" s="1" t="n">
        <v>45183</v>
      </c>
      <c r="C173" s="1" t="n">
        <v>45658</v>
      </c>
      <c r="D173" t="inlineStr">
        <is>
          <t>STOCKHOLMS LÄN</t>
        </is>
      </c>
      <c r="E173" t="inlineStr">
        <is>
          <t>NORRTÄLJE</t>
        </is>
      </c>
      <c r="F173" t="inlineStr">
        <is>
          <t>Kyrkan</t>
        </is>
      </c>
      <c r="G173" t="n">
        <v>1.3</v>
      </c>
      <c r="H173" t="n">
        <v>0</v>
      </c>
      <c r="I173" t="n">
        <v>0</v>
      </c>
      <c r="J173" t="n">
        <v>0</v>
      </c>
      <c r="K173" t="n">
        <v>0</v>
      </c>
      <c r="L173" t="n">
        <v>1</v>
      </c>
      <c r="M173" t="n">
        <v>0</v>
      </c>
      <c r="N173" t="n">
        <v>0</v>
      </c>
      <c r="O173" t="n">
        <v>1</v>
      </c>
      <c r="P173" t="n">
        <v>1</v>
      </c>
      <c r="Q173" t="n">
        <v>1</v>
      </c>
      <c r="R173" s="2" t="inlineStr">
        <is>
          <t>Ryl</t>
        </is>
      </c>
      <c r="S173">
        <f>HYPERLINK("https://klasma.github.io/Logging_0188/artfynd/A 43171-2023 artfynd.xlsx", "A 43171-2023")</f>
        <v/>
      </c>
      <c r="T173">
        <f>HYPERLINK("https://klasma.github.io/Logging_0188/kartor/A 43171-2023 karta.png", "A 43171-2023")</f>
        <v/>
      </c>
      <c r="U173">
        <f>HYPERLINK("https://klasma.github.io/Logging_0188/knärot/A 43171-2023 karta knärot.png", "A 43171-2023")</f>
        <v/>
      </c>
      <c r="V173">
        <f>HYPERLINK("https://klasma.github.io/Logging_0188/klagomål/A 43171-2023 FSC-klagomål.docx", "A 43171-2023")</f>
        <v/>
      </c>
      <c r="W173">
        <f>HYPERLINK("https://klasma.github.io/Logging_0188/klagomålsmail/A 43171-2023 FSC-klagomål mail.docx", "A 43171-2023")</f>
        <v/>
      </c>
      <c r="X173">
        <f>HYPERLINK("https://klasma.github.io/Logging_0188/tillsyn/A 43171-2023 tillsynsbegäran.docx", "A 43171-2023")</f>
        <v/>
      </c>
      <c r="Y173">
        <f>HYPERLINK("https://klasma.github.io/Logging_0188/tillsynsmail/A 43171-2023 tillsynsbegäran mail.docx", "A 43171-2023")</f>
        <v/>
      </c>
    </row>
    <row r="174" ht="15" customHeight="1">
      <c r="A174" t="inlineStr">
        <is>
          <t>A 43350-2023</t>
        </is>
      </c>
      <c r="B174" s="1" t="n">
        <v>45183</v>
      </c>
      <c r="C174" s="1" t="n">
        <v>45658</v>
      </c>
      <c r="D174" t="inlineStr">
        <is>
          <t>STOCKHOLMS LÄN</t>
        </is>
      </c>
      <c r="E174" t="inlineStr">
        <is>
          <t>NORRTÄLJE</t>
        </is>
      </c>
      <c r="F174" t="inlineStr">
        <is>
          <t>Holmen skog AB</t>
        </is>
      </c>
      <c r="G174" t="n">
        <v>4.2</v>
      </c>
      <c r="H174" t="n">
        <v>1</v>
      </c>
      <c r="I174" t="n">
        <v>0</v>
      </c>
      <c r="J174" t="n">
        <v>0</v>
      </c>
      <c r="K174" t="n">
        <v>0</v>
      </c>
      <c r="L174" t="n">
        <v>0</v>
      </c>
      <c r="M174" t="n">
        <v>0</v>
      </c>
      <c r="N174" t="n">
        <v>0</v>
      </c>
      <c r="O174" t="n">
        <v>0</v>
      </c>
      <c r="P174" t="n">
        <v>0</v>
      </c>
      <c r="Q174" t="n">
        <v>1</v>
      </c>
      <c r="R174" s="2" t="inlineStr">
        <is>
          <t>Revlummer</t>
        </is>
      </c>
      <c r="S174">
        <f>HYPERLINK("https://klasma.github.io/Logging_0188/artfynd/A 43350-2023 artfynd.xlsx", "A 43350-2023")</f>
        <v/>
      </c>
      <c r="T174">
        <f>HYPERLINK("https://klasma.github.io/Logging_0188/kartor/A 43350-2023 karta.png", "A 43350-2023")</f>
        <v/>
      </c>
      <c r="V174">
        <f>HYPERLINK("https://klasma.github.io/Logging_0188/klagomål/A 43350-2023 FSC-klagomål.docx", "A 43350-2023")</f>
        <v/>
      </c>
      <c r="W174">
        <f>HYPERLINK("https://klasma.github.io/Logging_0188/klagomålsmail/A 43350-2023 FSC-klagomål mail.docx", "A 43350-2023")</f>
        <v/>
      </c>
      <c r="X174">
        <f>HYPERLINK("https://klasma.github.io/Logging_0188/tillsyn/A 43350-2023 tillsynsbegäran.docx", "A 43350-2023")</f>
        <v/>
      </c>
      <c r="Y174">
        <f>HYPERLINK("https://klasma.github.io/Logging_0188/tillsynsmail/A 43350-2023 tillsynsbegäran mail.docx", "A 43350-2023")</f>
        <v/>
      </c>
    </row>
    <row r="175" ht="15" customHeight="1">
      <c r="A175" t="inlineStr">
        <is>
          <t>A 43354-2023</t>
        </is>
      </c>
      <c r="B175" s="1" t="n">
        <v>45183</v>
      </c>
      <c r="C175" s="1" t="n">
        <v>45658</v>
      </c>
      <c r="D175" t="inlineStr">
        <is>
          <t>STOCKHOLMS LÄN</t>
        </is>
      </c>
      <c r="E175" t="inlineStr">
        <is>
          <t>NORRTÄLJE</t>
        </is>
      </c>
      <c r="F175" t="inlineStr">
        <is>
          <t>Holmen skog AB</t>
        </is>
      </c>
      <c r="G175" t="n">
        <v>9.9</v>
      </c>
      <c r="H175" t="n">
        <v>0</v>
      </c>
      <c r="I175" t="n">
        <v>1</v>
      </c>
      <c r="J175" t="n">
        <v>0</v>
      </c>
      <c r="K175" t="n">
        <v>0</v>
      </c>
      <c r="L175" t="n">
        <v>0</v>
      </c>
      <c r="M175" t="n">
        <v>0</v>
      </c>
      <c r="N175" t="n">
        <v>0</v>
      </c>
      <c r="O175" t="n">
        <v>0</v>
      </c>
      <c r="P175" t="n">
        <v>0</v>
      </c>
      <c r="Q175" t="n">
        <v>1</v>
      </c>
      <c r="R175" s="2" t="inlineStr">
        <is>
          <t>Tibast</t>
        </is>
      </c>
      <c r="S175">
        <f>HYPERLINK("https://klasma.github.io/Logging_0188/artfynd/A 43354-2023 artfynd.xlsx", "A 43354-2023")</f>
        <v/>
      </c>
      <c r="T175">
        <f>HYPERLINK("https://klasma.github.io/Logging_0188/kartor/A 43354-2023 karta.png", "A 43354-2023")</f>
        <v/>
      </c>
      <c r="V175">
        <f>HYPERLINK("https://klasma.github.io/Logging_0188/klagomål/A 43354-2023 FSC-klagomål.docx", "A 43354-2023")</f>
        <v/>
      </c>
      <c r="W175">
        <f>HYPERLINK("https://klasma.github.io/Logging_0188/klagomålsmail/A 43354-2023 FSC-klagomål mail.docx", "A 43354-2023")</f>
        <v/>
      </c>
      <c r="X175">
        <f>HYPERLINK("https://klasma.github.io/Logging_0188/tillsyn/A 43354-2023 tillsynsbegäran.docx", "A 43354-2023")</f>
        <v/>
      </c>
      <c r="Y175">
        <f>HYPERLINK("https://klasma.github.io/Logging_0188/tillsynsmail/A 43354-2023 tillsynsbegäran mail.docx", "A 43354-2023")</f>
        <v/>
      </c>
    </row>
    <row r="176" ht="15" customHeight="1">
      <c r="A176" t="inlineStr">
        <is>
          <t>A 45172-2023</t>
        </is>
      </c>
      <c r="B176" s="1" t="n">
        <v>45191</v>
      </c>
      <c r="C176" s="1" t="n">
        <v>45658</v>
      </c>
      <c r="D176" t="inlineStr">
        <is>
          <t>STOCKHOLMS LÄN</t>
        </is>
      </c>
      <c r="E176" t="inlineStr">
        <is>
          <t>NORRTÄLJE</t>
        </is>
      </c>
      <c r="F176" t="inlineStr">
        <is>
          <t>Sveaskog</t>
        </is>
      </c>
      <c r="G176" t="n">
        <v>3.8</v>
      </c>
      <c r="H176" t="n">
        <v>1</v>
      </c>
      <c r="I176" t="n">
        <v>0</v>
      </c>
      <c r="J176" t="n">
        <v>1</v>
      </c>
      <c r="K176" t="n">
        <v>0</v>
      </c>
      <c r="L176" t="n">
        <v>0</v>
      </c>
      <c r="M176" t="n">
        <v>0</v>
      </c>
      <c r="N176" t="n">
        <v>0</v>
      </c>
      <c r="O176" t="n">
        <v>1</v>
      </c>
      <c r="P176" t="n">
        <v>0</v>
      </c>
      <c r="Q176" t="n">
        <v>1</v>
      </c>
      <c r="R176" s="2" t="inlineStr">
        <is>
          <t>Slaguggla</t>
        </is>
      </c>
      <c r="S176">
        <f>HYPERLINK("https://klasma.github.io/Logging_0188/artfynd/A 45172-2023 artfynd.xlsx", "A 45172-2023")</f>
        <v/>
      </c>
      <c r="T176">
        <f>HYPERLINK("https://klasma.github.io/Logging_0188/kartor/A 45172-2023 karta.png", "A 45172-2023")</f>
        <v/>
      </c>
      <c r="V176">
        <f>HYPERLINK("https://klasma.github.io/Logging_0188/klagomål/A 45172-2023 FSC-klagomål.docx", "A 45172-2023")</f>
        <v/>
      </c>
      <c r="W176">
        <f>HYPERLINK("https://klasma.github.io/Logging_0188/klagomålsmail/A 45172-2023 FSC-klagomål mail.docx", "A 45172-2023")</f>
        <v/>
      </c>
      <c r="X176">
        <f>HYPERLINK("https://klasma.github.io/Logging_0188/tillsyn/A 45172-2023 tillsynsbegäran.docx", "A 45172-2023")</f>
        <v/>
      </c>
      <c r="Y176">
        <f>HYPERLINK("https://klasma.github.io/Logging_0188/tillsynsmail/A 45172-2023 tillsynsbegäran mail.docx", "A 45172-2023")</f>
        <v/>
      </c>
      <c r="Z176">
        <f>HYPERLINK("https://klasma.github.io/Logging_0188/fåglar/A 45172-2023 prioriterade fågelarter.docx", "A 45172-2023")</f>
        <v/>
      </c>
    </row>
    <row r="177" ht="15" customHeight="1">
      <c r="A177" t="inlineStr">
        <is>
          <t>A 48131-2023</t>
        </is>
      </c>
      <c r="B177" s="1" t="n">
        <v>45205</v>
      </c>
      <c r="C177" s="1" t="n">
        <v>45658</v>
      </c>
      <c r="D177" t="inlineStr">
        <is>
          <t>STOCKHOLMS LÄN</t>
        </is>
      </c>
      <c r="E177" t="inlineStr">
        <is>
          <t>NORRTÄLJE</t>
        </is>
      </c>
      <c r="G177" t="n">
        <v>2.3</v>
      </c>
      <c r="H177" t="n">
        <v>0</v>
      </c>
      <c r="I177" t="n">
        <v>0</v>
      </c>
      <c r="J177" t="n">
        <v>1</v>
      </c>
      <c r="K177" t="n">
        <v>0</v>
      </c>
      <c r="L177" t="n">
        <v>0</v>
      </c>
      <c r="M177" t="n">
        <v>0</v>
      </c>
      <c r="N177" t="n">
        <v>0</v>
      </c>
      <c r="O177" t="n">
        <v>1</v>
      </c>
      <c r="P177" t="n">
        <v>0</v>
      </c>
      <c r="Q177" t="n">
        <v>1</v>
      </c>
      <c r="R177" s="2" t="inlineStr">
        <is>
          <t>Slåtterfibbla</t>
        </is>
      </c>
      <c r="S177">
        <f>HYPERLINK("https://klasma.github.io/Logging_0188/artfynd/A 48131-2023 artfynd.xlsx", "A 48131-2023")</f>
        <v/>
      </c>
      <c r="T177">
        <f>HYPERLINK("https://klasma.github.io/Logging_0188/kartor/A 48131-2023 karta.png", "A 48131-2023")</f>
        <v/>
      </c>
      <c r="V177">
        <f>HYPERLINK("https://klasma.github.io/Logging_0188/klagomål/A 48131-2023 FSC-klagomål.docx", "A 48131-2023")</f>
        <v/>
      </c>
      <c r="W177">
        <f>HYPERLINK("https://klasma.github.io/Logging_0188/klagomålsmail/A 48131-2023 FSC-klagomål mail.docx", "A 48131-2023")</f>
        <v/>
      </c>
      <c r="X177">
        <f>HYPERLINK("https://klasma.github.io/Logging_0188/tillsyn/A 48131-2023 tillsynsbegäran.docx", "A 48131-2023")</f>
        <v/>
      </c>
      <c r="Y177">
        <f>HYPERLINK("https://klasma.github.io/Logging_0188/tillsynsmail/A 48131-2023 tillsynsbegäran mail.docx", "A 48131-2023")</f>
        <v/>
      </c>
    </row>
    <row r="178" ht="15" customHeight="1">
      <c r="A178" t="inlineStr">
        <is>
          <t>A 51695-2023</t>
        </is>
      </c>
      <c r="B178" s="1" t="n">
        <v>45222</v>
      </c>
      <c r="C178" s="1" t="n">
        <v>45658</v>
      </c>
      <c r="D178" t="inlineStr">
        <is>
          <t>STOCKHOLMS LÄN</t>
        </is>
      </c>
      <c r="E178" t="inlineStr">
        <is>
          <t>NORRTÄLJE</t>
        </is>
      </c>
      <c r="G178" t="n">
        <v>4.9</v>
      </c>
      <c r="H178" t="n">
        <v>0</v>
      </c>
      <c r="I178" t="n">
        <v>1</v>
      </c>
      <c r="J178" t="n">
        <v>0</v>
      </c>
      <c r="K178" t="n">
        <v>0</v>
      </c>
      <c r="L178" t="n">
        <v>0</v>
      </c>
      <c r="M178" t="n">
        <v>0</v>
      </c>
      <c r="N178" t="n">
        <v>0</v>
      </c>
      <c r="O178" t="n">
        <v>0</v>
      </c>
      <c r="P178" t="n">
        <v>0</v>
      </c>
      <c r="Q178" t="n">
        <v>1</v>
      </c>
      <c r="R178" s="2" t="inlineStr">
        <is>
          <t>Fjällig taggsvamp s.str.</t>
        </is>
      </c>
      <c r="S178">
        <f>HYPERLINK("https://klasma.github.io/Logging_0188/artfynd/A 51695-2023 artfynd.xlsx", "A 51695-2023")</f>
        <v/>
      </c>
      <c r="T178">
        <f>HYPERLINK("https://klasma.github.io/Logging_0188/kartor/A 51695-2023 karta.png", "A 51695-2023")</f>
        <v/>
      </c>
      <c r="V178">
        <f>HYPERLINK("https://klasma.github.io/Logging_0188/klagomål/A 51695-2023 FSC-klagomål.docx", "A 51695-2023")</f>
        <v/>
      </c>
      <c r="W178">
        <f>HYPERLINK("https://klasma.github.io/Logging_0188/klagomålsmail/A 51695-2023 FSC-klagomål mail.docx", "A 51695-2023")</f>
        <v/>
      </c>
      <c r="X178">
        <f>HYPERLINK("https://klasma.github.io/Logging_0188/tillsyn/A 51695-2023 tillsynsbegäran.docx", "A 51695-2023")</f>
        <v/>
      </c>
      <c r="Y178">
        <f>HYPERLINK("https://klasma.github.io/Logging_0188/tillsynsmail/A 51695-2023 tillsynsbegäran mail.docx", "A 51695-2023")</f>
        <v/>
      </c>
    </row>
    <row r="179" ht="15" customHeight="1">
      <c r="A179" t="inlineStr">
        <is>
          <t>A 51909-2023</t>
        </is>
      </c>
      <c r="B179" s="1" t="n">
        <v>45223</v>
      </c>
      <c r="C179" s="1" t="n">
        <v>45658</v>
      </c>
      <c r="D179" t="inlineStr">
        <is>
          <t>STOCKHOLMS LÄN</t>
        </is>
      </c>
      <c r="E179" t="inlineStr">
        <is>
          <t>NORRTÄLJE</t>
        </is>
      </c>
      <c r="G179" t="n">
        <v>8.1</v>
      </c>
      <c r="H179" t="n">
        <v>1</v>
      </c>
      <c r="I179" t="n">
        <v>1</v>
      </c>
      <c r="J179" t="n">
        <v>0</v>
      </c>
      <c r="K179" t="n">
        <v>0</v>
      </c>
      <c r="L179" t="n">
        <v>0</v>
      </c>
      <c r="M179" t="n">
        <v>0</v>
      </c>
      <c r="N179" t="n">
        <v>0</v>
      </c>
      <c r="O179" t="n">
        <v>0</v>
      </c>
      <c r="P179" t="n">
        <v>0</v>
      </c>
      <c r="Q179" t="n">
        <v>1</v>
      </c>
      <c r="R179" s="2" t="inlineStr">
        <is>
          <t>Skogsknipprot</t>
        </is>
      </c>
      <c r="S179">
        <f>HYPERLINK("https://klasma.github.io/Logging_0188/artfynd/A 51909-2023 artfynd.xlsx", "A 51909-2023")</f>
        <v/>
      </c>
      <c r="T179">
        <f>HYPERLINK("https://klasma.github.io/Logging_0188/kartor/A 51909-2023 karta.png", "A 51909-2023")</f>
        <v/>
      </c>
      <c r="V179">
        <f>HYPERLINK("https://klasma.github.io/Logging_0188/klagomål/A 51909-2023 FSC-klagomål.docx", "A 51909-2023")</f>
        <v/>
      </c>
      <c r="W179">
        <f>HYPERLINK("https://klasma.github.io/Logging_0188/klagomålsmail/A 51909-2023 FSC-klagomål mail.docx", "A 51909-2023")</f>
        <v/>
      </c>
      <c r="X179">
        <f>HYPERLINK("https://klasma.github.io/Logging_0188/tillsyn/A 51909-2023 tillsynsbegäran.docx", "A 51909-2023")</f>
        <v/>
      </c>
      <c r="Y179">
        <f>HYPERLINK("https://klasma.github.io/Logging_0188/tillsynsmail/A 51909-2023 tillsynsbegäran mail.docx", "A 51909-2023")</f>
        <v/>
      </c>
    </row>
    <row r="180" ht="15" customHeight="1">
      <c r="A180" t="inlineStr">
        <is>
          <t>A 52508-2023</t>
        </is>
      </c>
      <c r="B180" s="1" t="n">
        <v>45225</v>
      </c>
      <c r="C180" s="1" t="n">
        <v>45658</v>
      </c>
      <c r="D180" t="inlineStr">
        <is>
          <t>STOCKHOLMS LÄN</t>
        </is>
      </c>
      <c r="E180" t="inlineStr">
        <is>
          <t>NORRTÄLJE</t>
        </is>
      </c>
      <c r="G180" t="n">
        <v>19.7</v>
      </c>
      <c r="H180" t="n">
        <v>1</v>
      </c>
      <c r="I180" t="n">
        <v>0</v>
      </c>
      <c r="J180" t="n">
        <v>0</v>
      </c>
      <c r="K180" t="n">
        <v>1</v>
      </c>
      <c r="L180" t="n">
        <v>0</v>
      </c>
      <c r="M180" t="n">
        <v>0</v>
      </c>
      <c r="N180" t="n">
        <v>0</v>
      </c>
      <c r="O180" t="n">
        <v>1</v>
      </c>
      <c r="P180" t="n">
        <v>1</v>
      </c>
      <c r="Q180" t="n">
        <v>1</v>
      </c>
      <c r="R180" s="2" t="inlineStr">
        <is>
          <t>Svärta</t>
        </is>
      </c>
      <c r="S180">
        <f>HYPERLINK("https://klasma.github.io/Logging_0188/artfynd/A 52508-2023 artfynd.xlsx", "A 52508-2023")</f>
        <v/>
      </c>
      <c r="T180">
        <f>HYPERLINK("https://klasma.github.io/Logging_0188/kartor/A 52508-2023 karta.png", "A 52508-2023")</f>
        <v/>
      </c>
      <c r="V180">
        <f>HYPERLINK("https://klasma.github.io/Logging_0188/klagomål/A 52508-2023 FSC-klagomål.docx", "A 52508-2023")</f>
        <v/>
      </c>
      <c r="W180">
        <f>HYPERLINK("https://klasma.github.io/Logging_0188/klagomålsmail/A 52508-2023 FSC-klagomål mail.docx", "A 52508-2023")</f>
        <v/>
      </c>
      <c r="X180">
        <f>HYPERLINK("https://klasma.github.io/Logging_0188/tillsyn/A 52508-2023 tillsynsbegäran.docx", "A 52508-2023")</f>
        <v/>
      </c>
      <c r="Y180">
        <f>HYPERLINK("https://klasma.github.io/Logging_0188/tillsynsmail/A 52508-2023 tillsynsbegäran mail.docx", "A 52508-2023")</f>
        <v/>
      </c>
    </row>
    <row r="181" ht="15" customHeight="1">
      <c r="A181" t="inlineStr">
        <is>
          <t>A 55767-2023</t>
        </is>
      </c>
      <c r="B181" s="1" t="n">
        <v>45239</v>
      </c>
      <c r="C181" s="1" t="n">
        <v>45658</v>
      </c>
      <c r="D181" t="inlineStr">
        <is>
          <t>STOCKHOLMS LÄN</t>
        </is>
      </c>
      <c r="E181" t="inlineStr">
        <is>
          <t>NORRTÄLJE</t>
        </is>
      </c>
      <c r="G181" t="n">
        <v>3.7</v>
      </c>
      <c r="H181" t="n">
        <v>0</v>
      </c>
      <c r="I181" t="n">
        <v>1</v>
      </c>
      <c r="J181" t="n">
        <v>0</v>
      </c>
      <c r="K181" t="n">
        <v>0</v>
      </c>
      <c r="L181" t="n">
        <v>0</v>
      </c>
      <c r="M181" t="n">
        <v>0</v>
      </c>
      <c r="N181" t="n">
        <v>0</v>
      </c>
      <c r="O181" t="n">
        <v>0</v>
      </c>
      <c r="P181" t="n">
        <v>0</v>
      </c>
      <c r="Q181" t="n">
        <v>1</v>
      </c>
      <c r="R181" s="2" t="inlineStr">
        <is>
          <t>Ögonpyrola</t>
        </is>
      </c>
      <c r="S181">
        <f>HYPERLINK("https://klasma.github.io/Logging_0188/artfynd/A 55767-2023 artfynd.xlsx", "A 55767-2023")</f>
        <v/>
      </c>
      <c r="T181">
        <f>HYPERLINK("https://klasma.github.io/Logging_0188/kartor/A 55767-2023 karta.png", "A 55767-2023")</f>
        <v/>
      </c>
      <c r="V181">
        <f>HYPERLINK("https://klasma.github.io/Logging_0188/klagomål/A 55767-2023 FSC-klagomål.docx", "A 55767-2023")</f>
        <v/>
      </c>
      <c r="W181">
        <f>HYPERLINK("https://klasma.github.io/Logging_0188/klagomålsmail/A 55767-2023 FSC-klagomål mail.docx", "A 55767-2023")</f>
        <v/>
      </c>
      <c r="X181">
        <f>HYPERLINK("https://klasma.github.io/Logging_0188/tillsyn/A 55767-2023 tillsynsbegäran.docx", "A 55767-2023")</f>
        <v/>
      </c>
      <c r="Y181">
        <f>HYPERLINK("https://klasma.github.io/Logging_0188/tillsynsmail/A 55767-2023 tillsynsbegäran mail.docx", "A 55767-2023")</f>
        <v/>
      </c>
    </row>
    <row r="182" ht="15" customHeight="1">
      <c r="A182" t="inlineStr">
        <is>
          <t>A 59580-2023</t>
        </is>
      </c>
      <c r="B182" s="1" t="n">
        <v>45254</v>
      </c>
      <c r="C182" s="1" t="n">
        <v>45658</v>
      </c>
      <c r="D182" t="inlineStr">
        <is>
          <t>STOCKHOLMS LÄN</t>
        </is>
      </c>
      <c r="E182" t="inlineStr">
        <is>
          <t>NORRTÄLJE</t>
        </is>
      </c>
      <c r="G182" t="n">
        <v>3.2</v>
      </c>
      <c r="H182" t="n">
        <v>0</v>
      </c>
      <c r="I182" t="n">
        <v>1</v>
      </c>
      <c r="J182" t="n">
        <v>0</v>
      </c>
      <c r="K182" t="n">
        <v>0</v>
      </c>
      <c r="L182" t="n">
        <v>0</v>
      </c>
      <c r="M182" t="n">
        <v>0</v>
      </c>
      <c r="N182" t="n">
        <v>0</v>
      </c>
      <c r="O182" t="n">
        <v>0</v>
      </c>
      <c r="P182" t="n">
        <v>0</v>
      </c>
      <c r="Q182" t="n">
        <v>1</v>
      </c>
      <c r="R182" s="2" t="inlineStr">
        <is>
          <t>Trådticka</t>
        </is>
      </c>
      <c r="S182">
        <f>HYPERLINK("https://klasma.github.io/Logging_0188/artfynd/A 59580-2023 artfynd.xlsx", "A 59580-2023")</f>
        <v/>
      </c>
      <c r="T182">
        <f>HYPERLINK("https://klasma.github.io/Logging_0188/kartor/A 59580-2023 karta.png", "A 59580-2023")</f>
        <v/>
      </c>
      <c r="V182">
        <f>HYPERLINK("https://klasma.github.io/Logging_0188/klagomål/A 59580-2023 FSC-klagomål.docx", "A 59580-2023")</f>
        <v/>
      </c>
      <c r="W182">
        <f>HYPERLINK("https://klasma.github.io/Logging_0188/klagomålsmail/A 59580-2023 FSC-klagomål mail.docx", "A 59580-2023")</f>
        <v/>
      </c>
      <c r="X182">
        <f>HYPERLINK("https://klasma.github.io/Logging_0188/tillsyn/A 59580-2023 tillsynsbegäran.docx", "A 59580-2023")</f>
        <v/>
      </c>
      <c r="Y182">
        <f>HYPERLINK("https://klasma.github.io/Logging_0188/tillsynsmail/A 59580-2023 tillsynsbegäran mail.docx", "A 59580-2023")</f>
        <v/>
      </c>
    </row>
    <row r="183" ht="15" customHeight="1">
      <c r="A183" t="inlineStr">
        <is>
          <t>A 63851-2023</t>
        </is>
      </c>
      <c r="B183" s="1" t="n">
        <v>45278</v>
      </c>
      <c r="C183" s="1" t="n">
        <v>45658</v>
      </c>
      <c r="D183" t="inlineStr">
        <is>
          <t>STOCKHOLMS LÄN</t>
        </is>
      </c>
      <c r="E183" t="inlineStr">
        <is>
          <t>NORRTÄLJE</t>
        </is>
      </c>
      <c r="G183" t="n">
        <v>5.6</v>
      </c>
      <c r="H183" t="n">
        <v>1</v>
      </c>
      <c r="I183" t="n">
        <v>0</v>
      </c>
      <c r="J183" t="n">
        <v>0</v>
      </c>
      <c r="K183" t="n">
        <v>0</v>
      </c>
      <c r="L183" t="n">
        <v>0</v>
      </c>
      <c r="M183" t="n">
        <v>0</v>
      </c>
      <c r="N183" t="n">
        <v>0</v>
      </c>
      <c r="O183" t="n">
        <v>0</v>
      </c>
      <c r="P183" t="n">
        <v>0</v>
      </c>
      <c r="Q183" t="n">
        <v>1</v>
      </c>
      <c r="R183" s="2" t="inlineStr">
        <is>
          <t>Tjäder</t>
        </is>
      </c>
      <c r="S183">
        <f>HYPERLINK("https://klasma.github.io/Logging_0188/artfynd/A 63851-2023 artfynd.xlsx", "A 63851-2023")</f>
        <v/>
      </c>
      <c r="T183">
        <f>HYPERLINK("https://klasma.github.io/Logging_0188/kartor/A 63851-2023 karta.png", "A 63851-2023")</f>
        <v/>
      </c>
      <c r="V183">
        <f>HYPERLINK("https://klasma.github.io/Logging_0188/klagomål/A 63851-2023 FSC-klagomål.docx", "A 63851-2023")</f>
        <v/>
      </c>
      <c r="W183">
        <f>HYPERLINK("https://klasma.github.io/Logging_0188/klagomålsmail/A 63851-2023 FSC-klagomål mail.docx", "A 63851-2023")</f>
        <v/>
      </c>
      <c r="X183">
        <f>HYPERLINK("https://klasma.github.io/Logging_0188/tillsyn/A 63851-2023 tillsynsbegäran.docx", "A 63851-2023")</f>
        <v/>
      </c>
      <c r="Y183">
        <f>HYPERLINK("https://klasma.github.io/Logging_0188/tillsynsmail/A 63851-2023 tillsynsbegäran mail.docx", "A 63851-2023")</f>
        <v/>
      </c>
      <c r="Z183">
        <f>HYPERLINK("https://klasma.github.io/Logging_0188/fåglar/A 63851-2023 prioriterade fågelarter.docx", "A 63851-2023")</f>
        <v/>
      </c>
    </row>
    <row r="184" ht="15" customHeight="1">
      <c r="A184" t="inlineStr">
        <is>
          <t>A 64456-2023</t>
        </is>
      </c>
      <c r="B184" s="1" t="n">
        <v>45280</v>
      </c>
      <c r="C184" s="1" t="n">
        <v>45658</v>
      </c>
      <c r="D184" t="inlineStr">
        <is>
          <t>STOCKHOLMS LÄN</t>
        </is>
      </c>
      <c r="E184" t="inlineStr">
        <is>
          <t>NORRTÄLJE</t>
        </is>
      </c>
      <c r="G184" t="n">
        <v>2.5</v>
      </c>
      <c r="H184" t="n">
        <v>0</v>
      </c>
      <c r="I184" t="n">
        <v>1</v>
      </c>
      <c r="J184" t="n">
        <v>0</v>
      </c>
      <c r="K184" t="n">
        <v>0</v>
      </c>
      <c r="L184" t="n">
        <v>0</v>
      </c>
      <c r="M184" t="n">
        <v>0</v>
      </c>
      <c r="N184" t="n">
        <v>0</v>
      </c>
      <c r="O184" t="n">
        <v>0</v>
      </c>
      <c r="P184" t="n">
        <v>0</v>
      </c>
      <c r="Q184" t="n">
        <v>1</v>
      </c>
      <c r="R184" s="2" t="inlineStr">
        <is>
          <t>Rödgul trumpetsvamp</t>
        </is>
      </c>
      <c r="S184">
        <f>HYPERLINK("https://klasma.github.io/Logging_0188/artfynd/A 64456-2023 artfynd.xlsx", "A 64456-2023")</f>
        <v/>
      </c>
      <c r="T184">
        <f>HYPERLINK("https://klasma.github.io/Logging_0188/kartor/A 64456-2023 karta.png", "A 64456-2023")</f>
        <v/>
      </c>
      <c r="V184">
        <f>HYPERLINK("https://klasma.github.io/Logging_0188/klagomål/A 64456-2023 FSC-klagomål.docx", "A 64456-2023")</f>
        <v/>
      </c>
      <c r="W184">
        <f>HYPERLINK("https://klasma.github.io/Logging_0188/klagomålsmail/A 64456-2023 FSC-klagomål mail.docx", "A 64456-2023")</f>
        <v/>
      </c>
      <c r="X184">
        <f>HYPERLINK("https://klasma.github.io/Logging_0188/tillsyn/A 64456-2023 tillsynsbegäran.docx", "A 64456-2023")</f>
        <v/>
      </c>
      <c r="Y184">
        <f>HYPERLINK("https://klasma.github.io/Logging_0188/tillsynsmail/A 64456-2023 tillsynsbegäran mail.docx", "A 64456-2023")</f>
        <v/>
      </c>
    </row>
    <row r="185" ht="15" customHeight="1">
      <c r="A185" t="inlineStr">
        <is>
          <t>A 6950-2024</t>
        </is>
      </c>
      <c r="B185" s="1" t="n">
        <v>45343</v>
      </c>
      <c r="C185" s="1" t="n">
        <v>45658</v>
      </c>
      <c r="D185" t="inlineStr">
        <is>
          <t>STOCKHOLMS LÄN</t>
        </is>
      </c>
      <c r="E185" t="inlineStr">
        <is>
          <t>NORRTÄLJE</t>
        </is>
      </c>
      <c r="G185" t="n">
        <v>26.8</v>
      </c>
      <c r="H185" t="n">
        <v>1</v>
      </c>
      <c r="I185" t="n">
        <v>0</v>
      </c>
      <c r="J185" t="n">
        <v>0</v>
      </c>
      <c r="K185" t="n">
        <v>0</v>
      </c>
      <c r="L185" t="n">
        <v>0</v>
      </c>
      <c r="M185" t="n">
        <v>0</v>
      </c>
      <c r="N185" t="n">
        <v>0</v>
      </c>
      <c r="O185" t="n">
        <v>0</v>
      </c>
      <c r="P185" t="n">
        <v>0</v>
      </c>
      <c r="Q185" t="n">
        <v>1</v>
      </c>
      <c r="R185" s="2" t="inlineStr">
        <is>
          <t>Blåsippa</t>
        </is>
      </c>
      <c r="S185">
        <f>HYPERLINK("https://klasma.github.io/Logging_0188/artfynd/A 6950-2024 artfynd.xlsx", "A 6950-2024")</f>
        <v/>
      </c>
      <c r="T185">
        <f>HYPERLINK("https://klasma.github.io/Logging_0188/kartor/A 6950-2024 karta.png", "A 6950-2024")</f>
        <v/>
      </c>
      <c r="V185">
        <f>HYPERLINK("https://klasma.github.io/Logging_0188/klagomål/A 6950-2024 FSC-klagomål.docx", "A 6950-2024")</f>
        <v/>
      </c>
      <c r="W185">
        <f>HYPERLINK("https://klasma.github.io/Logging_0188/klagomålsmail/A 6950-2024 FSC-klagomål mail.docx", "A 6950-2024")</f>
        <v/>
      </c>
      <c r="X185">
        <f>HYPERLINK("https://klasma.github.io/Logging_0188/tillsyn/A 6950-2024 tillsynsbegäran.docx", "A 6950-2024")</f>
        <v/>
      </c>
      <c r="Y185">
        <f>HYPERLINK("https://klasma.github.io/Logging_0188/tillsynsmail/A 6950-2024 tillsynsbegäran mail.docx", "A 6950-2024")</f>
        <v/>
      </c>
    </row>
    <row r="186" ht="15" customHeight="1">
      <c r="A186" t="inlineStr">
        <is>
          <t>A 20468-2024</t>
        </is>
      </c>
      <c r="B186" s="1" t="n">
        <v>45435</v>
      </c>
      <c r="C186" s="1" t="n">
        <v>45658</v>
      </c>
      <c r="D186" t="inlineStr">
        <is>
          <t>STOCKHOLMS LÄN</t>
        </is>
      </c>
      <c r="E186" t="inlineStr">
        <is>
          <t>NORRTÄLJE</t>
        </is>
      </c>
      <c r="G186" t="n">
        <v>2.2</v>
      </c>
      <c r="H186" t="n">
        <v>0</v>
      </c>
      <c r="I186" t="n">
        <v>0</v>
      </c>
      <c r="J186" t="n">
        <v>0</v>
      </c>
      <c r="K186" t="n">
        <v>0</v>
      </c>
      <c r="L186" t="n">
        <v>1</v>
      </c>
      <c r="M186" t="n">
        <v>0</v>
      </c>
      <c r="N186" t="n">
        <v>0</v>
      </c>
      <c r="O186" t="n">
        <v>1</v>
      </c>
      <c r="P186" t="n">
        <v>1</v>
      </c>
      <c r="Q186" t="n">
        <v>1</v>
      </c>
      <c r="R186" s="2" t="inlineStr">
        <is>
          <t>Fältgentiana</t>
        </is>
      </c>
      <c r="S186">
        <f>HYPERLINK("https://klasma.github.io/Logging_0188/artfynd/A 20468-2024 artfynd.xlsx", "A 20468-2024")</f>
        <v/>
      </c>
      <c r="T186">
        <f>HYPERLINK("https://klasma.github.io/Logging_0188/kartor/A 20468-2024 karta.png", "A 20468-2024")</f>
        <v/>
      </c>
      <c r="V186">
        <f>HYPERLINK("https://klasma.github.io/Logging_0188/klagomål/A 20468-2024 FSC-klagomål.docx", "A 20468-2024")</f>
        <v/>
      </c>
      <c r="W186">
        <f>HYPERLINK("https://klasma.github.io/Logging_0188/klagomålsmail/A 20468-2024 FSC-klagomål mail.docx", "A 20468-2024")</f>
        <v/>
      </c>
      <c r="X186">
        <f>HYPERLINK("https://klasma.github.io/Logging_0188/tillsyn/A 20468-2024 tillsynsbegäran.docx", "A 20468-2024")</f>
        <v/>
      </c>
      <c r="Y186">
        <f>HYPERLINK("https://klasma.github.io/Logging_0188/tillsynsmail/A 20468-2024 tillsynsbegäran mail.docx", "A 20468-2024")</f>
        <v/>
      </c>
    </row>
    <row r="187" ht="15" customHeight="1">
      <c r="A187" t="inlineStr">
        <is>
          <t>A 23146-2024</t>
        </is>
      </c>
      <c r="B187" s="1" t="n">
        <v>45450</v>
      </c>
      <c r="C187" s="1" t="n">
        <v>45658</v>
      </c>
      <c r="D187" t="inlineStr">
        <is>
          <t>STOCKHOLMS LÄN</t>
        </is>
      </c>
      <c r="E187" t="inlineStr">
        <is>
          <t>NORRTÄLJE</t>
        </is>
      </c>
      <c r="F187" t="inlineStr">
        <is>
          <t>Kommuner</t>
        </is>
      </c>
      <c r="G187" t="n">
        <v>6</v>
      </c>
      <c r="H187" t="n">
        <v>0</v>
      </c>
      <c r="I187" t="n">
        <v>0</v>
      </c>
      <c r="J187" t="n">
        <v>1</v>
      </c>
      <c r="K187" t="n">
        <v>0</v>
      </c>
      <c r="L187" t="n">
        <v>0</v>
      </c>
      <c r="M187" t="n">
        <v>0</v>
      </c>
      <c r="N187" t="n">
        <v>0</v>
      </c>
      <c r="O187" t="n">
        <v>1</v>
      </c>
      <c r="P187" t="n">
        <v>0</v>
      </c>
      <c r="Q187" t="n">
        <v>1</v>
      </c>
      <c r="R187" s="2" t="inlineStr">
        <is>
          <t>Motaggsvamp</t>
        </is>
      </c>
      <c r="S187">
        <f>HYPERLINK("https://klasma.github.io/Logging_0188/artfynd/A 23146-2024 artfynd.xlsx", "A 23146-2024")</f>
        <v/>
      </c>
      <c r="T187">
        <f>HYPERLINK("https://klasma.github.io/Logging_0188/kartor/A 23146-2024 karta.png", "A 23146-2024")</f>
        <v/>
      </c>
      <c r="V187">
        <f>HYPERLINK("https://klasma.github.io/Logging_0188/klagomål/A 23146-2024 FSC-klagomål.docx", "A 23146-2024")</f>
        <v/>
      </c>
      <c r="W187">
        <f>HYPERLINK("https://klasma.github.io/Logging_0188/klagomålsmail/A 23146-2024 FSC-klagomål mail.docx", "A 23146-2024")</f>
        <v/>
      </c>
      <c r="X187">
        <f>HYPERLINK("https://klasma.github.io/Logging_0188/tillsyn/A 23146-2024 tillsynsbegäran.docx", "A 23146-2024")</f>
        <v/>
      </c>
      <c r="Y187">
        <f>HYPERLINK("https://klasma.github.io/Logging_0188/tillsynsmail/A 23146-2024 tillsynsbegäran mail.docx", "A 23146-2024")</f>
        <v/>
      </c>
    </row>
    <row r="188" ht="15" customHeight="1">
      <c r="A188" t="inlineStr">
        <is>
          <t>A 23583-2024</t>
        </is>
      </c>
      <c r="B188" s="1" t="n">
        <v>45454</v>
      </c>
      <c r="C188" s="1" t="n">
        <v>45658</v>
      </c>
      <c r="D188" t="inlineStr">
        <is>
          <t>STOCKHOLMS LÄN</t>
        </is>
      </c>
      <c r="E188" t="inlineStr">
        <is>
          <t>NORRTÄLJE</t>
        </is>
      </c>
      <c r="G188" t="n">
        <v>7.7</v>
      </c>
      <c r="H188" t="n">
        <v>0</v>
      </c>
      <c r="I188" t="n">
        <v>1</v>
      </c>
      <c r="J188" t="n">
        <v>0</v>
      </c>
      <c r="K188" t="n">
        <v>0</v>
      </c>
      <c r="L188" t="n">
        <v>0</v>
      </c>
      <c r="M188" t="n">
        <v>0</v>
      </c>
      <c r="N188" t="n">
        <v>0</v>
      </c>
      <c r="O188" t="n">
        <v>0</v>
      </c>
      <c r="P188" t="n">
        <v>0</v>
      </c>
      <c r="Q188" t="n">
        <v>1</v>
      </c>
      <c r="R188" s="2" t="inlineStr">
        <is>
          <t>Kattfotslav</t>
        </is>
      </c>
      <c r="S188">
        <f>HYPERLINK("https://klasma.github.io/Logging_0188/artfynd/A 23583-2024 artfynd.xlsx", "A 23583-2024")</f>
        <v/>
      </c>
      <c r="T188">
        <f>HYPERLINK("https://klasma.github.io/Logging_0188/kartor/A 23583-2024 karta.png", "A 23583-2024")</f>
        <v/>
      </c>
      <c r="V188">
        <f>HYPERLINK("https://klasma.github.io/Logging_0188/klagomål/A 23583-2024 FSC-klagomål.docx", "A 23583-2024")</f>
        <v/>
      </c>
      <c r="W188">
        <f>HYPERLINK("https://klasma.github.io/Logging_0188/klagomålsmail/A 23583-2024 FSC-klagomål mail.docx", "A 23583-2024")</f>
        <v/>
      </c>
      <c r="X188">
        <f>HYPERLINK("https://klasma.github.io/Logging_0188/tillsyn/A 23583-2024 tillsynsbegäran.docx", "A 23583-2024")</f>
        <v/>
      </c>
      <c r="Y188">
        <f>HYPERLINK("https://klasma.github.io/Logging_0188/tillsynsmail/A 23583-2024 tillsynsbegäran mail.docx", "A 23583-2024")</f>
        <v/>
      </c>
    </row>
    <row r="189" ht="15" customHeight="1">
      <c r="A189" t="inlineStr">
        <is>
          <t>A 24577-2024</t>
        </is>
      </c>
      <c r="B189" s="1" t="n">
        <v>45460</v>
      </c>
      <c r="C189" s="1" t="n">
        <v>45658</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45658</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45658</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45658</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45658</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45658</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45658</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45658</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45658</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45658</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17752-2019</t>
        </is>
      </c>
      <c r="B199" s="1" t="n">
        <v>43556</v>
      </c>
      <c r="C199" s="1" t="n">
        <v>45658</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17795-2019</t>
        </is>
      </c>
      <c r="B200" s="1" t="n">
        <v>43556</v>
      </c>
      <c r="C200" s="1" t="n">
        <v>45658</v>
      </c>
      <c r="D200" t="inlineStr">
        <is>
          <t>STOCKHOLMS LÄN</t>
        </is>
      </c>
      <c r="E200" t="inlineStr">
        <is>
          <t>NORRTÄLJE</t>
        </is>
      </c>
      <c r="G200" t="n">
        <v>0.8</v>
      </c>
      <c r="H200" t="n">
        <v>0</v>
      </c>
      <c r="I200" t="n">
        <v>0</v>
      </c>
      <c r="J200" t="n">
        <v>0</v>
      </c>
      <c r="K200" t="n">
        <v>0</v>
      </c>
      <c r="L200" t="n">
        <v>0</v>
      </c>
      <c r="M200" t="n">
        <v>0</v>
      </c>
      <c r="N200" t="n">
        <v>0</v>
      </c>
      <c r="O200" t="n">
        <v>0</v>
      </c>
      <c r="P200" t="n">
        <v>0</v>
      </c>
      <c r="Q200" t="n">
        <v>0</v>
      </c>
      <c r="R200" s="2" t="inlineStr"/>
    </row>
    <row r="201" ht="15" customHeight="1">
      <c r="A201" t="inlineStr">
        <is>
          <t>A 17757-2019</t>
        </is>
      </c>
      <c r="B201" s="1" t="n">
        <v>43556</v>
      </c>
      <c r="C201" s="1" t="n">
        <v>45658</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17963-2019</t>
        </is>
      </c>
      <c r="B202" s="1" t="n">
        <v>43557</v>
      </c>
      <c r="C202" s="1" t="n">
        <v>45658</v>
      </c>
      <c r="D202" t="inlineStr">
        <is>
          <t>STOCKHOLMS LÄN</t>
        </is>
      </c>
      <c r="E202" t="inlineStr">
        <is>
          <t>NORRTÄLJE</t>
        </is>
      </c>
      <c r="G202" t="n">
        <v>0.9</v>
      </c>
      <c r="H202" t="n">
        <v>0</v>
      </c>
      <c r="I202" t="n">
        <v>0</v>
      </c>
      <c r="J202" t="n">
        <v>0</v>
      </c>
      <c r="K202" t="n">
        <v>0</v>
      </c>
      <c r="L202" t="n">
        <v>0</v>
      </c>
      <c r="M202" t="n">
        <v>0</v>
      </c>
      <c r="N202" t="n">
        <v>0</v>
      </c>
      <c r="O202" t="n">
        <v>0</v>
      </c>
      <c r="P202" t="n">
        <v>0</v>
      </c>
      <c r="Q202" t="n">
        <v>0</v>
      </c>
      <c r="R202" s="2" t="inlineStr"/>
    </row>
    <row r="203" ht="15" customHeight="1">
      <c r="A203" t="inlineStr">
        <is>
          <t>A 18378-2019</t>
        </is>
      </c>
      <c r="B203" s="1" t="n">
        <v>43559</v>
      </c>
      <c r="C203" s="1" t="n">
        <v>45658</v>
      </c>
      <c r="D203" t="inlineStr">
        <is>
          <t>STOCKHOLMS LÄN</t>
        </is>
      </c>
      <c r="E203" t="inlineStr">
        <is>
          <t>NORRTÄLJE</t>
        </is>
      </c>
      <c r="G203" t="n">
        <v>5.8</v>
      </c>
      <c r="H203" t="n">
        <v>0</v>
      </c>
      <c r="I203" t="n">
        <v>0</v>
      </c>
      <c r="J203" t="n">
        <v>0</v>
      </c>
      <c r="K203" t="n">
        <v>0</v>
      </c>
      <c r="L203" t="n">
        <v>0</v>
      </c>
      <c r="M203" t="n">
        <v>0</v>
      </c>
      <c r="N203" t="n">
        <v>0</v>
      </c>
      <c r="O203" t="n">
        <v>0</v>
      </c>
      <c r="P203" t="n">
        <v>0</v>
      </c>
      <c r="Q203" t="n">
        <v>0</v>
      </c>
      <c r="R203" s="2" t="inlineStr"/>
    </row>
    <row r="204" ht="15" customHeight="1">
      <c r="A204" t="inlineStr">
        <is>
          <t>A 18664-2019</t>
        </is>
      </c>
      <c r="B204" s="1" t="n">
        <v>43560</v>
      </c>
      <c r="C204" s="1" t="n">
        <v>45658</v>
      </c>
      <c r="D204" t="inlineStr">
        <is>
          <t>STOCKHOLMS LÄN</t>
        </is>
      </c>
      <c r="E204" t="inlineStr">
        <is>
          <t>NORRTÄLJE</t>
        </is>
      </c>
      <c r="G204" t="n">
        <v>0.6</v>
      </c>
      <c r="H204" t="n">
        <v>0</v>
      </c>
      <c r="I204" t="n">
        <v>0</v>
      </c>
      <c r="J204" t="n">
        <v>0</v>
      </c>
      <c r="K204" t="n">
        <v>0</v>
      </c>
      <c r="L204" t="n">
        <v>0</v>
      </c>
      <c r="M204" t="n">
        <v>0</v>
      </c>
      <c r="N204" t="n">
        <v>0</v>
      </c>
      <c r="O204" t="n">
        <v>0</v>
      </c>
      <c r="P204" t="n">
        <v>0</v>
      </c>
      <c r="Q204" t="n">
        <v>0</v>
      </c>
      <c r="R204" s="2" t="inlineStr"/>
    </row>
    <row r="205" ht="15" customHeight="1">
      <c r="A205" t="inlineStr">
        <is>
          <t>A 18767-2019</t>
        </is>
      </c>
      <c r="B205" s="1" t="n">
        <v>43560</v>
      </c>
      <c r="C205" s="1" t="n">
        <v>45658</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18820-2019</t>
        </is>
      </c>
      <c r="B206" s="1" t="n">
        <v>43563</v>
      </c>
      <c r="C206" s="1" t="n">
        <v>45658</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18890-2019</t>
        </is>
      </c>
      <c r="B207" s="1" t="n">
        <v>43563</v>
      </c>
      <c r="C207" s="1" t="n">
        <v>45658</v>
      </c>
      <c r="D207" t="inlineStr">
        <is>
          <t>STOCKHOLMS LÄN</t>
        </is>
      </c>
      <c r="E207" t="inlineStr">
        <is>
          <t>NORRTÄLJE</t>
        </is>
      </c>
      <c r="G207" t="n">
        <v>4.7</v>
      </c>
      <c r="H207" t="n">
        <v>0</v>
      </c>
      <c r="I207" t="n">
        <v>0</v>
      </c>
      <c r="J207" t="n">
        <v>0</v>
      </c>
      <c r="K207" t="n">
        <v>0</v>
      </c>
      <c r="L207" t="n">
        <v>0</v>
      </c>
      <c r="M207" t="n">
        <v>0</v>
      </c>
      <c r="N207" t="n">
        <v>0</v>
      </c>
      <c r="O207" t="n">
        <v>0</v>
      </c>
      <c r="P207" t="n">
        <v>0</v>
      </c>
      <c r="Q207" t="n">
        <v>0</v>
      </c>
      <c r="R207" s="2" t="inlineStr"/>
    </row>
    <row r="208" ht="15" customHeight="1">
      <c r="A208" t="inlineStr">
        <is>
          <t>A 18909-2019</t>
        </is>
      </c>
      <c r="B208" s="1" t="n">
        <v>43563</v>
      </c>
      <c r="C208" s="1" t="n">
        <v>45658</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19026-2019</t>
        </is>
      </c>
      <c r="B209" s="1" t="n">
        <v>43563</v>
      </c>
      <c r="C209" s="1" t="n">
        <v>45658</v>
      </c>
      <c r="D209" t="inlineStr">
        <is>
          <t>STOCKHOLMS LÄN</t>
        </is>
      </c>
      <c r="E209" t="inlineStr">
        <is>
          <t>NORRTÄLJE</t>
        </is>
      </c>
      <c r="G209" t="n">
        <v>4.4</v>
      </c>
      <c r="H209" t="n">
        <v>0</v>
      </c>
      <c r="I209" t="n">
        <v>0</v>
      </c>
      <c r="J209" t="n">
        <v>0</v>
      </c>
      <c r="K209" t="n">
        <v>0</v>
      </c>
      <c r="L209" t="n">
        <v>0</v>
      </c>
      <c r="M209" t="n">
        <v>0</v>
      </c>
      <c r="N209" t="n">
        <v>0</v>
      </c>
      <c r="O209" t="n">
        <v>0</v>
      </c>
      <c r="P209" t="n">
        <v>0</v>
      </c>
      <c r="Q209" t="n">
        <v>0</v>
      </c>
      <c r="R209" s="2" t="inlineStr"/>
    </row>
    <row r="210" ht="15" customHeight="1">
      <c r="A210" t="inlineStr">
        <is>
          <t>A 19014-2019</t>
        </is>
      </c>
      <c r="B210" s="1" t="n">
        <v>43563</v>
      </c>
      <c r="C210" s="1" t="n">
        <v>45658</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19247-2019</t>
        </is>
      </c>
      <c r="B211" s="1" t="n">
        <v>43564</v>
      </c>
      <c r="C211" s="1" t="n">
        <v>45658</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19255-2019</t>
        </is>
      </c>
      <c r="B212" s="1" t="n">
        <v>43564</v>
      </c>
      <c r="C212" s="1" t="n">
        <v>45658</v>
      </c>
      <c r="D212" t="inlineStr">
        <is>
          <t>STOCKHOLMS LÄN</t>
        </is>
      </c>
      <c r="E212" t="inlineStr">
        <is>
          <t>NORRTÄLJE</t>
        </is>
      </c>
      <c r="G212" t="n">
        <v>2.6</v>
      </c>
      <c r="H212" t="n">
        <v>0</v>
      </c>
      <c r="I212" t="n">
        <v>0</v>
      </c>
      <c r="J212" t="n">
        <v>0</v>
      </c>
      <c r="K212" t="n">
        <v>0</v>
      </c>
      <c r="L212" t="n">
        <v>0</v>
      </c>
      <c r="M212" t="n">
        <v>0</v>
      </c>
      <c r="N212" t="n">
        <v>0</v>
      </c>
      <c r="O212" t="n">
        <v>0</v>
      </c>
      <c r="P212" t="n">
        <v>0</v>
      </c>
      <c r="Q212" t="n">
        <v>0</v>
      </c>
      <c r="R212" s="2" t="inlineStr"/>
    </row>
    <row r="213" ht="15" customHeight="1">
      <c r="A213" t="inlineStr">
        <is>
          <t>A 19302-2019</t>
        </is>
      </c>
      <c r="B213" s="1" t="n">
        <v>43565</v>
      </c>
      <c r="C213" s="1" t="n">
        <v>45658</v>
      </c>
      <c r="D213" t="inlineStr">
        <is>
          <t>STOCKHOLMS LÄN</t>
        </is>
      </c>
      <c r="E213" t="inlineStr">
        <is>
          <t>NORRTÄLJE</t>
        </is>
      </c>
      <c r="F213" t="inlineStr">
        <is>
          <t>Kommuner</t>
        </is>
      </c>
      <c r="G213" t="n">
        <v>4.2</v>
      </c>
      <c r="H213" t="n">
        <v>0</v>
      </c>
      <c r="I213" t="n">
        <v>0</v>
      </c>
      <c r="J213" t="n">
        <v>0</v>
      </c>
      <c r="K213" t="n">
        <v>0</v>
      </c>
      <c r="L213" t="n">
        <v>0</v>
      </c>
      <c r="M213" t="n">
        <v>0</v>
      </c>
      <c r="N213" t="n">
        <v>0</v>
      </c>
      <c r="O213" t="n">
        <v>0</v>
      </c>
      <c r="P213" t="n">
        <v>0</v>
      </c>
      <c r="Q213" t="n">
        <v>0</v>
      </c>
      <c r="R213" s="2" t="inlineStr"/>
    </row>
    <row r="214" ht="15" customHeight="1">
      <c r="A214" t="inlineStr">
        <is>
          <t>A 19301-2019</t>
        </is>
      </c>
      <c r="B214" s="1" t="n">
        <v>43565</v>
      </c>
      <c r="C214" s="1" t="n">
        <v>45658</v>
      </c>
      <c r="D214" t="inlineStr">
        <is>
          <t>STOCKHOLMS LÄN</t>
        </is>
      </c>
      <c r="E214" t="inlineStr">
        <is>
          <t>NORRTÄLJE</t>
        </is>
      </c>
      <c r="F214" t="inlineStr">
        <is>
          <t>Kommuner</t>
        </is>
      </c>
      <c r="G214" t="n">
        <v>3.9</v>
      </c>
      <c r="H214" t="n">
        <v>0</v>
      </c>
      <c r="I214" t="n">
        <v>0</v>
      </c>
      <c r="J214" t="n">
        <v>0</v>
      </c>
      <c r="K214" t="n">
        <v>0</v>
      </c>
      <c r="L214" t="n">
        <v>0</v>
      </c>
      <c r="M214" t="n">
        <v>0</v>
      </c>
      <c r="N214" t="n">
        <v>0</v>
      </c>
      <c r="O214" t="n">
        <v>0</v>
      </c>
      <c r="P214" t="n">
        <v>0</v>
      </c>
      <c r="Q214" t="n">
        <v>0</v>
      </c>
      <c r="R214" s="2" t="inlineStr"/>
    </row>
    <row r="215" ht="15" customHeight="1">
      <c r="A215" t="inlineStr">
        <is>
          <t>A 19297-2019</t>
        </is>
      </c>
      <c r="B215" s="1" t="n">
        <v>43565</v>
      </c>
      <c r="C215" s="1" t="n">
        <v>45658</v>
      </c>
      <c r="D215" t="inlineStr">
        <is>
          <t>STOCKHOLMS LÄN</t>
        </is>
      </c>
      <c r="E215" t="inlineStr">
        <is>
          <t>NORRTÄLJE</t>
        </is>
      </c>
      <c r="F215" t="inlineStr">
        <is>
          <t>Kommuner</t>
        </is>
      </c>
      <c r="G215" t="n">
        <v>1.2</v>
      </c>
      <c r="H215" t="n">
        <v>0</v>
      </c>
      <c r="I215" t="n">
        <v>0</v>
      </c>
      <c r="J215" t="n">
        <v>0</v>
      </c>
      <c r="K215" t="n">
        <v>0</v>
      </c>
      <c r="L215" t="n">
        <v>0</v>
      </c>
      <c r="M215" t="n">
        <v>0</v>
      </c>
      <c r="N215" t="n">
        <v>0</v>
      </c>
      <c r="O215" t="n">
        <v>0</v>
      </c>
      <c r="P215" t="n">
        <v>0</v>
      </c>
      <c r="Q215" t="n">
        <v>0</v>
      </c>
      <c r="R215" s="2" t="inlineStr"/>
    </row>
    <row r="216" ht="15" customHeight="1">
      <c r="A216" t="inlineStr">
        <is>
          <t>A 19537-2019</t>
        </is>
      </c>
      <c r="B216" s="1" t="n">
        <v>43565</v>
      </c>
      <c r="C216" s="1" t="n">
        <v>45658</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19539-2019</t>
        </is>
      </c>
      <c r="B217" s="1" t="n">
        <v>43565</v>
      </c>
      <c r="C217" s="1" t="n">
        <v>45658</v>
      </c>
      <c r="D217" t="inlineStr">
        <is>
          <t>STOCKHOLMS LÄN</t>
        </is>
      </c>
      <c r="E217" t="inlineStr">
        <is>
          <t>NORRTÄLJE</t>
        </is>
      </c>
      <c r="G217" t="n">
        <v>2.4</v>
      </c>
      <c r="H217" t="n">
        <v>0</v>
      </c>
      <c r="I217" t="n">
        <v>0</v>
      </c>
      <c r="J217" t="n">
        <v>0</v>
      </c>
      <c r="K217" t="n">
        <v>0</v>
      </c>
      <c r="L217" t="n">
        <v>0</v>
      </c>
      <c r="M217" t="n">
        <v>0</v>
      </c>
      <c r="N217" t="n">
        <v>0</v>
      </c>
      <c r="O217" t="n">
        <v>0</v>
      </c>
      <c r="P217" t="n">
        <v>0</v>
      </c>
      <c r="Q217" t="n">
        <v>0</v>
      </c>
      <c r="R217" s="2" t="inlineStr"/>
    </row>
    <row r="218" ht="15" customHeight="1">
      <c r="A218" t="inlineStr">
        <is>
          <t>A 19540-2019</t>
        </is>
      </c>
      <c r="B218" s="1" t="n">
        <v>43565</v>
      </c>
      <c r="C218" s="1" t="n">
        <v>45658</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19638-2019</t>
        </is>
      </c>
      <c r="B219" s="1" t="n">
        <v>43566</v>
      </c>
      <c r="C219" s="1" t="n">
        <v>45658</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19593-2019</t>
        </is>
      </c>
      <c r="B220" s="1" t="n">
        <v>43566</v>
      </c>
      <c r="C220" s="1" t="n">
        <v>45658</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19872-2019</t>
        </is>
      </c>
      <c r="B221" s="1" t="n">
        <v>43567</v>
      </c>
      <c r="C221" s="1" t="n">
        <v>45658</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19811-2019</t>
        </is>
      </c>
      <c r="B222" s="1" t="n">
        <v>43567</v>
      </c>
      <c r="C222" s="1" t="n">
        <v>45658</v>
      </c>
      <c r="D222" t="inlineStr">
        <is>
          <t>STOCKHOLMS LÄN</t>
        </is>
      </c>
      <c r="E222" t="inlineStr">
        <is>
          <t>NORRTÄLJE</t>
        </is>
      </c>
      <c r="F222" t="inlineStr">
        <is>
          <t>Kommuner</t>
        </is>
      </c>
      <c r="G222" t="n">
        <v>1.6</v>
      </c>
      <c r="H222" t="n">
        <v>0</v>
      </c>
      <c r="I222" t="n">
        <v>0</v>
      </c>
      <c r="J222" t="n">
        <v>0</v>
      </c>
      <c r="K222" t="n">
        <v>0</v>
      </c>
      <c r="L222" t="n">
        <v>0</v>
      </c>
      <c r="M222" t="n">
        <v>0</v>
      </c>
      <c r="N222" t="n">
        <v>0</v>
      </c>
      <c r="O222" t="n">
        <v>0</v>
      </c>
      <c r="P222" t="n">
        <v>0</v>
      </c>
      <c r="Q222" t="n">
        <v>0</v>
      </c>
      <c r="R222" s="2" t="inlineStr"/>
    </row>
    <row r="223" ht="15" customHeight="1">
      <c r="A223" t="inlineStr">
        <is>
          <t>A 19812-2019</t>
        </is>
      </c>
      <c r="B223" s="1" t="n">
        <v>43567</v>
      </c>
      <c r="C223" s="1" t="n">
        <v>45658</v>
      </c>
      <c r="D223" t="inlineStr">
        <is>
          <t>STOCKHOLMS LÄN</t>
        </is>
      </c>
      <c r="E223" t="inlineStr">
        <is>
          <t>NORRTÄLJE</t>
        </is>
      </c>
      <c r="F223" t="inlineStr">
        <is>
          <t>Kommuner</t>
        </is>
      </c>
      <c r="G223" t="n">
        <v>1.5</v>
      </c>
      <c r="H223" t="n">
        <v>0</v>
      </c>
      <c r="I223" t="n">
        <v>0</v>
      </c>
      <c r="J223" t="n">
        <v>0</v>
      </c>
      <c r="K223" t="n">
        <v>0</v>
      </c>
      <c r="L223" t="n">
        <v>0</v>
      </c>
      <c r="M223" t="n">
        <v>0</v>
      </c>
      <c r="N223" t="n">
        <v>0</v>
      </c>
      <c r="O223" t="n">
        <v>0</v>
      </c>
      <c r="P223" t="n">
        <v>0</v>
      </c>
      <c r="Q223" t="n">
        <v>0</v>
      </c>
      <c r="R223" s="2" t="inlineStr"/>
    </row>
    <row r="224" ht="15" customHeight="1">
      <c r="A224" t="inlineStr">
        <is>
          <t>A 19931-2019</t>
        </is>
      </c>
      <c r="B224" s="1" t="n">
        <v>43568</v>
      </c>
      <c r="C224" s="1" t="n">
        <v>45658</v>
      </c>
      <c r="D224" t="inlineStr">
        <is>
          <t>STOCKHOLMS LÄN</t>
        </is>
      </c>
      <c r="E224" t="inlineStr">
        <is>
          <t>NORRTÄLJE</t>
        </is>
      </c>
      <c r="G224" t="n">
        <v>4.2</v>
      </c>
      <c r="H224" t="n">
        <v>0</v>
      </c>
      <c r="I224" t="n">
        <v>0</v>
      </c>
      <c r="J224" t="n">
        <v>0</v>
      </c>
      <c r="K224" t="n">
        <v>0</v>
      </c>
      <c r="L224" t="n">
        <v>0</v>
      </c>
      <c r="M224" t="n">
        <v>0</v>
      </c>
      <c r="N224" t="n">
        <v>0</v>
      </c>
      <c r="O224" t="n">
        <v>0</v>
      </c>
      <c r="P224" t="n">
        <v>0</v>
      </c>
      <c r="Q224" t="n">
        <v>0</v>
      </c>
      <c r="R224" s="2" t="inlineStr"/>
    </row>
    <row r="225" ht="15" customHeight="1">
      <c r="A225" t="inlineStr">
        <is>
          <t>A 20033-2019</t>
        </is>
      </c>
      <c r="B225" s="1" t="n">
        <v>43570</v>
      </c>
      <c r="C225" s="1" t="n">
        <v>45658</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20020-2019</t>
        </is>
      </c>
      <c r="B226" s="1" t="n">
        <v>43570</v>
      </c>
      <c r="C226" s="1" t="n">
        <v>45658</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20051-2019</t>
        </is>
      </c>
      <c r="B227" s="1" t="n">
        <v>43570</v>
      </c>
      <c r="C227" s="1" t="n">
        <v>45658</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20137-2019</t>
        </is>
      </c>
      <c r="B228" s="1" t="n">
        <v>43570</v>
      </c>
      <c r="C228" s="1" t="n">
        <v>45658</v>
      </c>
      <c r="D228" t="inlineStr">
        <is>
          <t>STOCKHOLMS LÄN</t>
        </is>
      </c>
      <c r="E228" t="inlineStr">
        <is>
          <t>NORRTÄLJE</t>
        </is>
      </c>
      <c r="G228" t="n">
        <v>3</v>
      </c>
      <c r="H228" t="n">
        <v>0</v>
      </c>
      <c r="I228" t="n">
        <v>0</v>
      </c>
      <c r="J228" t="n">
        <v>0</v>
      </c>
      <c r="K228" t="n">
        <v>0</v>
      </c>
      <c r="L228" t="n">
        <v>0</v>
      </c>
      <c r="M228" t="n">
        <v>0</v>
      </c>
      <c r="N228" t="n">
        <v>0</v>
      </c>
      <c r="O228" t="n">
        <v>0</v>
      </c>
      <c r="P228" t="n">
        <v>0</v>
      </c>
      <c r="Q228" t="n">
        <v>0</v>
      </c>
      <c r="R228" s="2" t="inlineStr"/>
    </row>
    <row r="229" ht="15" customHeight="1">
      <c r="A229" t="inlineStr">
        <is>
          <t>A 20007-2019</t>
        </is>
      </c>
      <c r="B229" s="1" t="n">
        <v>43570</v>
      </c>
      <c r="C229" s="1" t="n">
        <v>45658</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20052-2019</t>
        </is>
      </c>
      <c r="B230" s="1" t="n">
        <v>43570</v>
      </c>
      <c r="C230" s="1" t="n">
        <v>45658</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20159-2019</t>
        </is>
      </c>
      <c r="B231" s="1" t="n">
        <v>43570</v>
      </c>
      <c r="C231" s="1" t="n">
        <v>45658</v>
      </c>
      <c r="D231" t="inlineStr">
        <is>
          <t>STOCKHOLMS LÄN</t>
        </is>
      </c>
      <c r="E231" t="inlineStr">
        <is>
          <t>NORRTÄLJE</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20181-2019</t>
        </is>
      </c>
      <c r="B232" s="1" t="n">
        <v>43570</v>
      </c>
      <c r="C232" s="1" t="n">
        <v>45658</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20184-2019</t>
        </is>
      </c>
      <c r="B233" s="1" t="n">
        <v>43570</v>
      </c>
      <c r="C233" s="1" t="n">
        <v>45658</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20193-2019</t>
        </is>
      </c>
      <c r="B234" s="1" t="n">
        <v>43570</v>
      </c>
      <c r="C234" s="1" t="n">
        <v>45658</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20090-2019</t>
        </is>
      </c>
      <c r="B235" s="1" t="n">
        <v>43570</v>
      </c>
      <c r="C235" s="1" t="n">
        <v>45658</v>
      </c>
      <c r="D235" t="inlineStr">
        <is>
          <t>STOCKHOLMS LÄN</t>
        </is>
      </c>
      <c r="E235" t="inlineStr">
        <is>
          <t>NORRTÄLJE</t>
        </is>
      </c>
      <c r="F235" t="inlineStr">
        <is>
          <t>Kommuner</t>
        </is>
      </c>
      <c r="G235" t="n">
        <v>1.3</v>
      </c>
      <c r="H235" t="n">
        <v>0</v>
      </c>
      <c r="I235" t="n">
        <v>0</v>
      </c>
      <c r="J235" t="n">
        <v>0</v>
      </c>
      <c r="K235" t="n">
        <v>0</v>
      </c>
      <c r="L235" t="n">
        <v>0</v>
      </c>
      <c r="M235" t="n">
        <v>0</v>
      </c>
      <c r="N235" t="n">
        <v>0</v>
      </c>
      <c r="O235" t="n">
        <v>0</v>
      </c>
      <c r="P235" t="n">
        <v>0</v>
      </c>
      <c r="Q235" t="n">
        <v>0</v>
      </c>
      <c r="R235" s="2" t="inlineStr"/>
    </row>
    <row r="236" ht="15" customHeight="1">
      <c r="A236" t="inlineStr">
        <is>
          <t>A 20165-2019</t>
        </is>
      </c>
      <c r="B236" s="1" t="n">
        <v>43570</v>
      </c>
      <c r="C236" s="1" t="n">
        <v>45658</v>
      </c>
      <c r="D236" t="inlineStr">
        <is>
          <t>STOCKHOLMS LÄN</t>
        </is>
      </c>
      <c r="E236" t="inlineStr">
        <is>
          <t>NORRTÄLJE</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20023-2019</t>
        </is>
      </c>
      <c r="B237" s="1" t="n">
        <v>43570</v>
      </c>
      <c r="C237" s="1" t="n">
        <v>45658</v>
      </c>
      <c r="D237" t="inlineStr">
        <is>
          <t>STOCKHOLMS LÄN</t>
        </is>
      </c>
      <c r="E237" t="inlineStr">
        <is>
          <t>NORRTÄLJE</t>
        </is>
      </c>
      <c r="G237" t="n">
        <v>5.1</v>
      </c>
      <c r="H237" t="n">
        <v>0</v>
      </c>
      <c r="I237" t="n">
        <v>0</v>
      </c>
      <c r="J237" t="n">
        <v>0</v>
      </c>
      <c r="K237" t="n">
        <v>0</v>
      </c>
      <c r="L237" t="n">
        <v>0</v>
      </c>
      <c r="M237" t="n">
        <v>0</v>
      </c>
      <c r="N237" t="n">
        <v>0</v>
      </c>
      <c r="O237" t="n">
        <v>0</v>
      </c>
      <c r="P237" t="n">
        <v>0</v>
      </c>
      <c r="Q237" t="n">
        <v>0</v>
      </c>
      <c r="R237" s="2" t="inlineStr"/>
    </row>
    <row r="238" ht="15" customHeight="1">
      <c r="A238" t="inlineStr">
        <is>
          <t>A 20531-2019</t>
        </is>
      </c>
      <c r="B238" s="1" t="n">
        <v>43572</v>
      </c>
      <c r="C238" s="1" t="n">
        <v>45658</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20743-2019</t>
        </is>
      </c>
      <c r="B239" s="1" t="n">
        <v>43573</v>
      </c>
      <c r="C239" s="1" t="n">
        <v>45658</v>
      </c>
      <c r="D239" t="inlineStr">
        <is>
          <t>STOCKHOLMS LÄN</t>
        </is>
      </c>
      <c r="E239" t="inlineStr">
        <is>
          <t>NORRTÄLJE</t>
        </is>
      </c>
      <c r="G239" t="n">
        <v>2.2</v>
      </c>
      <c r="H239" t="n">
        <v>0</v>
      </c>
      <c r="I239" t="n">
        <v>0</v>
      </c>
      <c r="J239" t="n">
        <v>0</v>
      </c>
      <c r="K239" t="n">
        <v>0</v>
      </c>
      <c r="L239" t="n">
        <v>0</v>
      </c>
      <c r="M239" t="n">
        <v>0</v>
      </c>
      <c r="N239" t="n">
        <v>0</v>
      </c>
      <c r="O239" t="n">
        <v>0</v>
      </c>
      <c r="P239" t="n">
        <v>0</v>
      </c>
      <c r="Q239" t="n">
        <v>0</v>
      </c>
      <c r="R239" s="2" t="inlineStr"/>
    </row>
    <row r="240" ht="15" customHeight="1">
      <c r="A240" t="inlineStr">
        <is>
          <t>A 20809-2019</t>
        </is>
      </c>
      <c r="B240" s="1" t="n">
        <v>43573</v>
      </c>
      <c r="C240" s="1" t="n">
        <v>45658</v>
      </c>
      <c r="D240" t="inlineStr">
        <is>
          <t>STOCKHOLMS LÄN</t>
        </is>
      </c>
      <c r="E240" t="inlineStr">
        <is>
          <t>NORRTÄLJE</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20925-2019</t>
        </is>
      </c>
      <c r="B241" s="1" t="n">
        <v>43578</v>
      </c>
      <c r="C241" s="1" t="n">
        <v>45658</v>
      </c>
      <c r="D241" t="inlineStr">
        <is>
          <t>STOCKHOLMS LÄN</t>
        </is>
      </c>
      <c r="E241" t="inlineStr">
        <is>
          <t>NORRTÄLJE</t>
        </is>
      </c>
      <c r="G241" t="n">
        <v>5</v>
      </c>
      <c r="H241" t="n">
        <v>0</v>
      </c>
      <c r="I241" t="n">
        <v>0</v>
      </c>
      <c r="J241" t="n">
        <v>0</v>
      </c>
      <c r="K241" t="n">
        <v>0</v>
      </c>
      <c r="L241" t="n">
        <v>0</v>
      </c>
      <c r="M241" t="n">
        <v>0</v>
      </c>
      <c r="N241" t="n">
        <v>0</v>
      </c>
      <c r="O241" t="n">
        <v>0</v>
      </c>
      <c r="P241" t="n">
        <v>0</v>
      </c>
      <c r="Q241" t="n">
        <v>0</v>
      </c>
      <c r="R241" s="2" t="inlineStr"/>
    </row>
    <row r="242" ht="15" customHeight="1">
      <c r="A242" t="inlineStr">
        <is>
          <t>A 21062-2019</t>
        </is>
      </c>
      <c r="B242" s="1" t="n">
        <v>43578</v>
      </c>
      <c r="C242" s="1" t="n">
        <v>45658</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21441-2019</t>
        </is>
      </c>
      <c r="B243" s="1" t="n">
        <v>43580</v>
      </c>
      <c r="C243" s="1" t="n">
        <v>45658</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21521-2019</t>
        </is>
      </c>
      <c r="B244" s="1" t="n">
        <v>43580</v>
      </c>
      <c r="C244" s="1" t="n">
        <v>45658</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21508-2019</t>
        </is>
      </c>
      <c r="B245" s="1" t="n">
        <v>43580</v>
      </c>
      <c r="C245" s="1" t="n">
        <v>45658</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21457-2019</t>
        </is>
      </c>
      <c r="B246" s="1" t="n">
        <v>43580</v>
      </c>
      <c r="C246" s="1" t="n">
        <v>45658</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21501-2019</t>
        </is>
      </c>
      <c r="B247" s="1" t="n">
        <v>43580</v>
      </c>
      <c r="C247" s="1" t="n">
        <v>45658</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21616-2019</t>
        </is>
      </c>
      <c r="B248" s="1" t="n">
        <v>43581</v>
      </c>
      <c r="C248" s="1" t="n">
        <v>45658</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21662-2019</t>
        </is>
      </c>
      <c r="B249" s="1" t="n">
        <v>43581</v>
      </c>
      <c r="C249" s="1" t="n">
        <v>45658</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21720-2019</t>
        </is>
      </c>
      <c r="B250" s="1" t="n">
        <v>43581</v>
      </c>
      <c r="C250" s="1" t="n">
        <v>45658</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21692-2019</t>
        </is>
      </c>
      <c r="B251" s="1" t="n">
        <v>43581</v>
      </c>
      <c r="C251" s="1" t="n">
        <v>45658</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21811-2019</t>
        </is>
      </c>
      <c r="B252" s="1" t="n">
        <v>43582</v>
      </c>
      <c r="C252" s="1" t="n">
        <v>45658</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22207-2019</t>
        </is>
      </c>
      <c r="B253" s="1" t="n">
        <v>43585</v>
      </c>
      <c r="C253" s="1" t="n">
        <v>45658</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22211-2019</t>
        </is>
      </c>
      <c r="B254" s="1" t="n">
        <v>43585</v>
      </c>
      <c r="C254" s="1" t="n">
        <v>45658</v>
      </c>
      <c r="D254" t="inlineStr">
        <is>
          <t>STOCKHOLMS LÄN</t>
        </is>
      </c>
      <c r="E254" t="inlineStr">
        <is>
          <t>NORRTÄLJE</t>
        </is>
      </c>
      <c r="G254" t="n">
        <v>6.8</v>
      </c>
      <c r="H254" t="n">
        <v>0</v>
      </c>
      <c r="I254" t="n">
        <v>0</v>
      </c>
      <c r="J254" t="n">
        <v>0</v>
      </c>
      <c r="K254" t="n">
        <v>0</v>
      </c>
      <c r="L254" t="n">
        <v>0</v>
      </c>
      <c r="M254" t="n">
        <v>0</v>
      </c>
      <c r="N254" t="n">
        <v>0</v>
      </c>
      <c r="O254" t="n">
        <v>0</v>
      </c>
      <c r="P254" t="n">
        <v>0</v>
      </c>
      <c r="Q254" t="n">
        <v>0</v>
      </c>
      <c r="R254" s="2" t="inlineStr"/>
    </row>
    <row r="255" ht="15" customHeight="1">
      <c r="A255" t="inlineStr">
        <is>
          <t>A 22254-2019</t>
        </is>
      </c>
      <c r="B255" s="1" t="n">
        <v>43585</v>
      </c>
      <c r="C255" s="1" t="n">
        <v>45658</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22218-2019</t>
        </is>
      </c>
      <c r="B256" s="1" t="n">
        <v>43585</v>
      </c>
      <c r="C256" s="1" t="n">
        <v>45658</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22331-2019</t>
        </is>
      </c>
      <c r="B257" s="1" t="n">
        <v>43586</v>
      </c>
      <c r="C257" s="1" t="n">
        <v>45658</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22359-2019</t>
        </is>
      </c>
      <c r="B258" s="1" t="n">
        <v>43587</v>
      </c>
      <c r="C258" s="1" t="n">
        <v>45658</v>
      </c>
      <c r="D258" t="inlineStr">
        <is>
          <t>STOCKHOLMS LÄN</t>
        </is>
      </c>
      <c r="E258" t="inlineStr">
        <is>
          <t>NORRTÄLJE</t>
        </is>
      </c>
      <c r="G258" t="n">
        <v>1.1</v>
      </c>
      <c r="H258" t="n">
        <v>0</v>
      </c>
      <c r="I258" t="n">
        <v>0</v>
      </c>
      <c r="J258" t="n">
        <v>0</v>
      </c>
      <c r="K258" t="n">
        <v>0</v>
      </c>
      <c r="L258" t="n">
        <v>0</v>
      </c>
      <c r="M258" t="n">
        <v>0</v>
      </c>
      <c r="N258" t="n">
        <v>0</v>
      </c>
      <c r="O258" t="n">
        <v>0</v>
      </c>
      <c r="P258" t="n">
        <v>0</v>
      </c>
      <c r="Q258" t="n">
        <v>0</v>
      </c>
      <c r="R258" s="2" t="inlineStr"/>
    </row>
    <row r="259" ht="15" customHeight="1">
      <c r="A259" t="inlineStr">
        <is>
          <t>A 22422-2019</t>
        </is>
      </c>
      <c r="B259" s="1" t="n">
        <v>43587</v>
      </c>
      <c r="C259" s="1" t="n">
        <v>45658</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22490-2019</t>
        </is>
      </c>
      <c r="B260" s="1" t="n">
        <v>43587</v>
      </c>
      <c r="C260" s="1" t="n">
        <v>45658</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22496-2019</t>
        </is>
      </c>
      <c r="B261" s="1" t="n">
        <v>43587</v>
      </c>
      <c r="C261" s="1" t="n">
        <v>45658</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23711-2019</t>
        </is>
      </c>
      <c r="B262" s="1" t="n">
        <v>43594</v>
      </c>
      <c r="C262" s="1" t="n">
        <v>45658</v>
      </c>
      <c r="D262" t="inlineStr">
        <is>
          <t>STOCKHOLMS LÄN</t>
        </is>
      </c>
      <c r="E262" t="inlineStr">
        <is>
          <t>NORRTÄLJE</t>
        </is>
      </c>
      <c r="G262" t="n">
        <v>2.6</v>
      </c>
      <c r="H262" t="n">
        <v>0</v>
      </c>
      <c r="I262" t="n">
        <v>0</v>
      </c>
      <c r="J262" t="n">
        <v>0</v>
      </c>
      <c r="K262" t="n">
        <v>0</v>
      </c>
      <c r="L262" t="n">
        <v>0</v>
      </c>
      <c r="M262" t="n">
        <v>0</v>
      </c>
      <c r="N262" t="n">
        <v>0</v>
      </c>
      <c r="O262" t="n">
        <v>0</v>
      </c>
      <c r="P262" t="n">
        <v>0</v>
      </c>
      <c r="Q262" t="n">
        <v>0</v>
      </c>
      <c r="R262" s="2" t="inlineStr"/>
    </row>
    <row r="263" ht="15" customHeight="1">
      <c r="A263" t="inlineStr">
        <is>
          <t>A 23710-2019</t>
        </is>
      </c>
      <c r="B263" s="1" t="n">
        <v>43594</v>
      </c>
      <c r="C263" s="1" t="n">
        <v>45658</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23862-2019</t>
        </is>
      </c>
      <c r="B264" s="1" t="n">
        <v>43595</v>
      </c>
      <c r="C264" s="1" t="n">
        <v>45658</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23878-2019</t>
        </is>
      </c>
      <c r="B265" s="1" t="n">
        <v>43595</v>
      </c>
      <c r="C265" s="1" t="n">
        <v>45658</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23961-2019</t>
        </is>
      </c>
      <c r="B266" s="1" t="n">
        <v>43597</v>
      </c>
      <c r="C266" s="1" t="n">
        <v>45658</v>
      </c>
      <c r="D266" t="inlineStr">
        <is>
          <t>STOCKHOLMS LÄN</t>
        </is>
      </c>
      <c r="E266" t="inlineStr">
        <is>
          <t>NORRTÄLJE</t>
        </is>
      </c>
      <c r="G266" t="n">
        <v>17.6</v>
      </c>
      <c r="H266" t="n">
        <v>0</v>
      </c>
      <c r="I266" t="n">
        <v>0</v>
      </c>
      <c r="J266" t="n">
        <v>0</v>
      </c>
      <c r="K266" t="n">
        <v>0</v>
      </c>
      <c r="L266" t="n">
        <v>0</v>
      </c>
      <c r="M266" t="n">
        <v>0</v>
      </c>
      <c r="N266" t="n">
        <v>0</v>
      </c>
      <c r="O266" t="n">
        <v>0</v>
      </c>
      <c r="P266" t="n">
        <v>0</v>
      </c>
      <c r="Q266" t="n">
        <v>0</v>
      </c>
      <c r="R266" s="2" t="inlineStr"/>
    </row>
    <row r="267" ht="15" customHeight="1">
      <c r="A267" t="inlineStr">
        <is>
          <t>A 23965-2019</t>
        </is>
      </c>
      <c r="B267" s="1" t="n">
        <v>43597</v>
      </c>
      <c r="C267" s="1" t="n">
        <v>45658</v>
      </c>
      <c r="D267" t="inlineStr">
        <is>
          <t>STOCKHOLMS LÄN</t>
        </is>
      </c>
      <c r="E267" t="inlineStr">
        <is>
          <t>NORRTÄLJE</t>
        </is>
      </c>
      <c r="G267" t="n">
        <v>6.1</v>
      </c>
      <c r="H267" t="n">
        <v>0</v>
      </c>
      <c r="I267" t="n">
        <v>0</v>
      </c>
      <c r="J267" t="n">
        <v>0</v>
      </c>
      <c r="K267" t="n">
        <v>0</v>
      </c>
      <c r="L267" t="n">
        <v>0</v>
      </c>
      <c r="M267" t="n">
        <v>0</v>
      </c>
      <c r="N267" t="n">
        <v>0</v>
      </c>
      <c r="O267" t="n">
        <v>0</v>
      </c>
      <c r="P267" t="n">
        <v>0</v>
      </c>
      <c r="Q267" t="n">
        <v>0</v>
      </c>
      <c r="R267" s="2" t="inlineStr"/>
    </row>
    <row r="268" ht="15" customHeight="1">
      <c r="A268" t="inlineStr">
        <is>
          <t>A 23963-2019</t>
        </is>
      </c>
      <c r="B268" s="1" t="n">
        <v>43597</v>
      </c>
      <c r="C268" s="1" t="n">
        <v>45658</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24124-2019</t>
        </is>
      </c>
      <c r="B269" s="1" t="n">
        <v>43598</v>
      </c>
      <c r="C269" s="1" t="n">
        <v>45658</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24058-2019</t>
        </is>
      </c>
      <c r="B270" s="1" t="n">
        <v>43598</v>
      </c>
      <c r="C270" s="1" t="n">
        <v>45658</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24562-2019</t>
        </is>
      </c>
      <c r="B271" s="1" t="n">
        <v>43600</v>
      </c>
      <c r="C271" s="1" t="n">
        <v>45658</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24721-2019</t>
        </is>
      </c>
      <c r="B272" s="1" t="n">
        <v>43601</v>
      </c>
      <c r="C272" s="1" t="n">
        <v>45658</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25284-2019</t>
        </is>
      </c>
      <c r="B273" s="1" t="n">
        <v>43605</v>
      </c>
      <c r="C273" s="1" t="n">
        <v>45658</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25535-2019</t>
        </is>
      </c>
      <c r="B274" s="1" t="n">
        <v>43606</v>
      </c>
      <c r="C274" s="1" t="n">
        <v>45658</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25316-2019</t>
        </is>
      </c>
      <c r="B275" s="1" t="n">
        <v>43606</v>
      </c>
      <c r="C275" s="1" t="n">
        <v>45658</v>
      </c>
      <c r="D275" t="inlineStr">
        <is>
          <t>STOCKHOLMS LÄN</t>
        </is>
      </c>
      <c r="E275" t="inlineStr">
        <is>
          <t>NORRTÄLJE</t>
        </is>
      </c>
      <c r="G275" t="n">
        <v>1.6</v>
      </c>
      <c r="H275" t="n">
        <v>0</v>
      </c>
      <c r="I275" t="n">
        <v>0</v>
      </c>
      <c r="J275" t="n">
        <v>0</v>
      </c>
      <c r="K275" t="n">
        <v>0</v>
      </c>
      <c r="L275" t="n">
        <v>0</v>
      </c>
      <c r="M275" t="n">
        <v>0</v>
      </c>
      <c r="N275" t="n">
        <v>0</v>
      </c>
      <c r="O275" t="n">
        <v>0</v>
      </c>
      <c r="P275" t="n">
        <v>0</v>
      </c>
      <c r="Q275" t="n">
        <v>0</v>
      </c>
      <c r="R275" s="2" t="inlineStr"/>
    </row>
    <row r="276" ht="15" customHeight="1">
      <c r="A276" t="inlineStr">
        <is>
          <t>A 26374-2019</t>
        </is>
      </c>
      <c r="B276" s="1" t="n">
        <v>43606</v>
      </c>
      <c r="C276" s="1" t="n">
        <v>45658</v>
      </c>
      <c r="D276" t="inlineStr">
        <is>
          <t>STOCKHOLMS LÄN</t>
        </is>
      </c>
      <c r="E276" t="inlineStr">
        <is>
          <t>NORRTÄLJE</t>
        </is>
      </c>
      <c r="G276" t="n">
        <v>11.6</v>
      </c>
      <c r="H276" t="n">
        <v>0</v>
      </c>
      <c r="I276" t="n">
        <v>0</v>
      </c>
      <c r="J276" t="n">
        <v>0</v>
      </c>
      <c r="K276" t="n">
        <v>0</v>
      </c>
      <c r="L276" t="n">
        <v>0</v>
      </c>
      <c r="M276" t="n">
        <v>0</v>
      </c>
      <c r="N276" t="n">
        <v>0</v>
      </c>
      <c r="O276" t="n">
        <v>0</v>
      </c>
      <c r="P276" t="n">
        <v>0</v>
      </c>
      <c r="Q276" t="n">
        <v>0</v>
      </c>
      <c r="R276" s="2" t="inlineStr"/>
    </row>
    <row r="277" ht="15" customHeight="1">
      <c r="A277" t="inlineStr">
        <is>
          <t>A 25315-2019</t>
        </is>
      </c>
      <c r="B277" s="1" t="n">
        <v>43606</v>
      </c>
      <c r="C277" s="1" t="n">
        <v>45658</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25625-2019</t>
        </is>
      </c>
      <c r="B278" s="1" t="n">
        <v>43607</v>
      </c>
      <c r="C278" s="1" t="n">
        <v>45658</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26272-2019</t>
        </is>
      </c>
      <c r="B279" s="1" t="n">
        <v>43611</v>
      </c>
      <c r="C279" s="1" t="n">
        <v>45658</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26620-2019</t>
        </is>
      </c>
      <c r="B280" s="1" t="n">
        <v>43612</v>
      </c>
      <c r="C280" s="1" t="n">
        <v>45658</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26391-2019</t>
        </is>
      </c>
      <c r="B281" s="1" t="n">
        <v>43612</v>
      </c>
      <c r="C281" s="1" t="n">
        <v>45658</v>
      </c>
      <c r="D281" t="inlineStr">
        <is>
          <t>STOCKHOLMS LÄN</t>
        </is>
      </c>
      <c r="E281" t="inlineStr">
        <is>
          <t>NORRTÄLJE</t>
        </is>
      </c>
      <c r="G281" t="n">
        <v>1.9</v>
      </c>
      <c r="H281" t="n">
        <v>0</v>
      </c>
      <c r="I281" t="n">
        <v>0</v>
      </c>
      <c r="J281" t="n">
        <v>0</v>
      </c>
      <c r="K281" t="n">
        <v>0</v>
      </c>
      <c r="L281" t="n">
        <v>0</v>
      </c>
      <c r="M281" t="n">
        <v>0</v>
      </c>
      <c r="N281" t="n">
        <v>0</v>
      </c>
      <c r="O281" t="n">
        <v>0</v>
      </c>
      <c r="P281" t="n">
        <v>0</v>
      </c>
      <c r="Q281" t="n">
        <v>0</v>
      </c>
      <c r="R281" s="2" t="inlineStr"/>
    </row>
    <row r="282" ht="15" customHeight="1">
      <c r="A282" t="inlineStr">
        <is>
          <t>A 26933-2019</t>
        </is>
      </c>
      <c r="B282" s="1" t="n">
        <v>43613</v>
      </c>
      <c r="C282" s="1" t="n">
        <v>45658</v>
      </c>
      <c r="D282" t="inlineStr">
        <is>
          <t>STOCKHOLMS LÄN</t>
        </is>
      </c>
      <c r="E282" t="inlineStr">
        <is>
          <t>NORRTÄLJE</t>
        </is>
      </c>
      <c r="G282" t="n">
        <v>2.8</v>
      </c>
      <c r="H282" t="n">
        <v>0</v>
      </c>
      <c r="I282" t="n">
        <v>0</v>
      </c>
      <c r="J282" t="n">
        <v>0</v>
      </c>
      <c r="K282" t="n">
        <v>0</v>
      </c>
      <c r="L282" t="n">
        <v>0</v>
      </c>
      <c r="M282" t="n">
        <v>0</v>
      </c>
      <c r="N282" t="n">
        <v>0</v>
      </c>
      <c r="O282" t="n">
        <v>0</v>
      </c>
      <c r="P282" t="n">
        <v>0</v>
      </c>
      <c r="Q282" t="n">
        <v>0</v>
      </c>
      <c r="R282" s="2" t="inlineStr"/>
    </row>
    <row r="283" ht="15" customHeight="1">
      <c r="A283" t="inlineStr">
        <is>
          <t>A 26830-2019</t>
        </is>
      </c>
      <c r="B283" s="1" t="n">
        <v>43613</v>
      </c>
      <c r="C283" s="1" t="n">
        <v>45658</v>
      </c>
      <c r="D283" t="inlineStr">
        <is>
          <t>STOCKHOLMS LÄN</t>
        </is>
      </c>
      <c r="E283" t="inlineStr">
        <is>
          <t>NORRTÄLJE</t>
        </is>
      </c>
      <c r="G283" t="n">
        <v>2.1</v>
      </c>
      <c r="H283" t="n">
        <v>0</v>
      </c>
      <c r="I283" t="n">
        <v>0</v>
      </c>
      <c r="J283" t="n">
        <v>0</v>
      </c>
      <c r="K283" t="n">
        <v>0</v>
      </c>
      <c r="L283" t="n">
        <v>0</v>
      </c>
      <c r="M283" t="n">
        <v>0</v>
      </c>
      <c r="N283" t="n">
        <v>0</v>
      </c>
      <c r="O283" t="n">
        <v>0</v>
      </c>
      <c r="P283" t="n">
        <v>0</v>
      </c>
      <c r="Q283" t="n">
        <v>0</v>
      </c>
      <c r="R283" s="2" t="inlineStr"/>
    </row>
    <row r="284" ht="15" customHeight="1">
      <c r="A284" t="inlineStr">
        <is>
          <t>A 27095-2019</t>
        </is>
      </c>
      <c r="B284" s="1" t="n">
        <v>43614</v>
      </c>
      <c r="C284" s="1" t="n">
        <v>45658</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28157-2019</t>
        </is>
      </c>
      <c r="B285" s="1" t="n">
        <v>43614</v>
      </c>
      <c r="C285" s="1" t="n">
        <v>45658</v>
      </c>
      <c r="D285" t="inlineStr">
        <is>
          <t>STOCKHOLMS LÄN</t>
        </is>
      </c>
      <c r="E285" t="inlineStr">
        <is>
          <t>NORRTÄLJE</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27264-2019</t>
        </is>
      </c>
      <c r="B286" s="1" t="n">
        <v>43615</v>
      </c>
      <c r="C286" s="1" t="n">
        <v>45658</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27971-2019</t>
        </is>
      </c>
      <c r="B287" s="1" t="n">
        <v>43620</v>
      </c>
      <c r="C287" s="1" t="n">
        <v>45658</v>
      </c>
      <c r="D287" t="inlineStr">
        <is>
          <t>STOCKHOLMS LÄN</t>
        </is>
      </c>
      <c r="E287" t="inlineStr">
        <is>
          <t>NORRTÄLJE</t>
        </is>
      </c>
      <c r="G287" t="n">
        <v>1.7</v>
      </c>
      <c r="H287" t="n">
        <v>0</v>
      </c>
      <c r="I287" t="n">
        <v>0</v>
      </c>
      <c r="J287" t="n">
        <v>0</v>
      </c>
      <c r="K287" t="n">
        <v>0</v>
      </c>
      <c r="L287" t="n">
        <v>0</v>
      </c>
      <c r="M287" t="n">
        <v>0</v>
      </c>
      <c r="N287" t="n">
        <v>0</v>
      </c>
      <c r="O287" t="n">
        <v>0</v>
      </c>
      <c r="P287" t="n">
        <v>0</v>
      </c>
      <c r="Q287" t="n">
        <v>0</v>
      </c>
      <c r="R287" s="2" t="inlineStr"/>
    </row>
    <row r="288" ht="15" customHeight="1">
      <c r="A288" t="inlineStr">
        <is>
          <t>A 27967-2019</t>
        </is>
      </c>
      <c r="B288" s="1" t="n">
        <v>43620</v>
      </c>
      <c r="C288" s="1" t="n">
        <v>45658</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28121-2019</t>
        </is>
      </c>
      <c r="B289" s="1" t="n">
        <v>43621</v>
      </c>
      <c r="C289" s="1" t="n">
        <v>45658</v>
      </c>
      <c r="D289" t="inlineStr">
        <is>
          <t>STOCKHOLMS LÄN</t>
        </is>
      </c>
      <c r="E289" t="inlineStr">
        <is>
          <t>NORRTÄLJE</t>
        </is>
      </c>
      <c r="F289" t="inlineStr">
        <is>
          <t>Kyrkan</t>
        </is>
      </c>
      <c r="G289" t="n">
        <v>2.5</v>
      </c>
      <c r="H289" t="n">
        <v>0</v>
      </c>
      <c r="I289" t="n">
        <v>0</v>
      </c>
      <c r="J289" t="n">
        <v>0</v>
      </c>
      <c r="K289" t="n">
        <v>0</v>
      </c>
      <c r="L289" t="n">
        <v>0</v>
      </c>
      <c r="M289" t="n">
        <v>0</v>
      </c>
      <c r="N289" t="n">
        <v>0</v>
      </c>
      <c r="O289" t="n">
        <v>0</v>
      </c>
      <c r="P289" t="n">
        <v>0</v>
      </c>
      <c r="Q289" t="n">
        <v>0</v>
      </c>
      <c r="R289" s="2" t="inlineStr"/>
    </row>
    <row r="290" ht="15" customHeight="1">
      <c r="A290" t="inlineStr">
        <is>
          <t>A 28289-2019</t>
        </is>
      </c>
      <c r="B290" s="1" t="n">
        <v>43623</v>
      </c>
      <c r="C290" s="1" t="n">
        <v>45658</v>
      </c>
      <c r="D290" t="inlineStr">
        <is>
          <t>STOCKHOLMS LÄN</t>
        </is>
      </c>
      <c r="E290" t="inlineStr">
        <is>
          <t>NORRTÄLJE</t>
        </is>
      </c>
      <c r="G290" t="n">
        <v>7.7</v>
      </c>
      <c r="H290" t="n">
        <v>0</v>
      </c>
      <c r="I290" t="n">
        <v>0</v>
      </c>
      <c r="J290" t="n">
        <v>0</v>
      </c>
      <c r="K290" t="n">
        <v>0</v>
      </c>
      <c r="L290" t="n">
        <v>0</v>
      </c>
      <c r="M290" t="n">
        <v>0</v>
      </c>
      <c r="N290" t="n">
        <v>0</v>
      </c>
      <c r="O290" t="n">
        <v>0</v>
      </c>
      <c r="P290" t="n">
        <v>0</v>
      </c>
      <c r="Q290" t="n">
        <v>0</v>
      </c>
      <c r="R290" s="2" t="inlineStr"/>
    </row>
    <row r="291" ht="15" customHeight="1">
      <c r="A291" t="inlineStr">
        <is>
          <t>A 28519-2019</t>
        </is>
      </c>
      <c r="B291" s="1" t="n">
        <v>43626</v>
      </c>
      <c r="C291" s="1" t="n">
        <v>45658</v>
      </c>
      <c r="D291" t="inlineStr">
        <is>
          <t>STOCKHOLMS LÄN</t>
        </is>
      </c>
      <c r="E291" t="inlineStr">
        <is>
          <t>NORRTÄLJE</t>
        </is>
      </c>
      <c r="G291" t="n">
        <v>3</v>
      </c>
      <c r="H291" t="n">
        <v>0</v>
      </c>
      <c r="I291" t="n">
        <v>0</v>
      </c>
      <c r="J291" t="n">
        <v>0</v>
      </c>
      <c r="K291" t="n">
        <v>0</v>
      </c>
      <c r="L291" t="n">
        <v>0</v>
      </c>
      <c r="M291" t="n">
        <v>0</v>
      </c>
      <c r="N291" t="n">
        <v>0</v>
      </c>
      <c r="O291" t="n">
        <v>0</v>
      </c>
      <c r="P291" t="n">
        <v>0</v>
      </c>
      <c r="Q291" t="n">
        <v>0</v>
      </c>
      <c r="R291" s="2" t="inlineStr"/>
    </row>
    <row r="292" ht="15" customHeight="1">
      <c r="A292" t="inlineStr">
        <is>
          <t>A 28495-2019</t>
        </is>
      </c>
      <c r="B292" s="1" t="n">
        <v>43626</v>
      </c>
      <c r="C292" s="1" t="n">
        <v>45658</v>
      </c>
      <c r="D292" t="inlineStr">
        <is>
          <t>STOCKHOLMS LÄN</t>
        </is>
      </c>
      <c r="E292" t="inlineStr">
        <is>
          <t>NORRTÄLJE</t>
        </is>
      </c>
      <c r="G292" t="n">
        <v>14.7</v>
      </c>
      <c r="H292" t="n">
        <v>0</v>
      </c>
      <c r="I292" t="n">
        <v>0</v>
      </c>
      <c r="J292" t="n">
        <v>0</v>
      </c>
      <c r="K292" t="n">
        <v>0</v>
      </c>
      <c r="L292" t="n">
        <v>0</v>
      </c>
      <c r="M292" t="n">
        <v>0</v>
      </c>
      <c r="N292" t="n">
        <v>0</v>
      </c>
      <c r="O292" t="n">
        <v>0</v>
      </c>
      <c r="P292" t="n">
        <v>0</v>
      </c>
      <c r="Q292" t="n">
        <v>0</v>
      </c>
      <c r="R292" s="2" t="inlineStr"/>
    </row>
    <row r="293" ht="15" customHeight="1">
      <c r="A293" t="inlineStr">
        <is>
          <t>A 28394-2019</t>
        </is>
      </c>
      <c r="B293" s="1" t="n">
        <v>43626</v>
      </c>
      <c r="C293" s="1" t="n">
        <v>45658</v>
      </c>
      <c r="D293" t="inlineStr">
        <is>
          <t>STOCKHOLMS LÄN</t>
        </is>
      </c>
      <c r="E293" t="inlineStr">
        <is>
          <t>NORRTÄLJE</t>
        </is>
      </c>
      <c r="G293" t="n">
        <v>2.4</v>
      </c>
      <c r="H293" t="n">
        <v>0</v>
      </c>
      <c r="I293" t="n">
        <v>0</v>
      </c>
      <c r="J293" t="n">
        <v>0</v>
      </c>
      <c r="K293" t="n">
        <v>0</v>
      </c>
      <c r="L293" t="n">
        <v>0</v>
      </c>
      <c r="M293" t="n">
        <v>0</v>
      </c>
      <c r="N293" t="n">
        <v>0</v>
      </c>
      <c r="O293" t="n">
        <v>0</v>
      </c>
      <c r="P293" t="n">
        <v>0</v>
      </c>
      <c r="Q293" t="n">
        <v>0</v>
      </c>
      <c r="R293" s="2" t="inlineStr"/>
    </row>
    <row r="294" ht="15" customHeight="1">
      <c r="A294" t="inlineStr">
        <is>
          <t>A 29260-2019</t>
        </is>
      </c>
      <c r="B294" s="1" t="n">
        <v>43629</v>
      </c>
      <c r="C294" s="1" t="n">
        <v>45658</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29312-2019</t>
        </is>
      </c>
      <c r="B295" s="1" t="n">
        <v>43629</v>
      </c>
      <c r="C295" s="1" t="n">
        <v>45658</v>
      </c>
      <c r="D295" t="inlineStr">
        <is>
          <t>STOCKHOLMS LÄN</t>
        </is>
      </c>
      <c r="E295" t="inlineStr">
        <is>
          <t>NORRTÄLJE</t>
        </is>
      </c>
      <c r="G295" t="n">
        <v>7.1</v>
      </c>
      <c r="H295" t="n">
        <v>0</v>
      </c>
      <c r="I295" t="n">
        <v>0</v>
      </c>
      <c r="J295" t="n">
        <v>0</v>
      </c>
      <c r="K295" t="n">
        <v>0</v>
      </c>
      <c r="L295" t="n">
        <v>0</v>
      </c>
      <c r="M295" t="n">
        <v>0</v>
      </c>
      <c r="N295" t="n">
        <v>0</v>
      </c>
      <c r="O295" t="n">
        <v>0</v>
      </c>
      <c r="P295" t="n">
        <v>0</v>
      </c>
      <c r="Q295" t="n">
        <v>0</v>
      </c>
      <c r="R295" s="2" t="inlineStr"/>
    </row>
    <row r="296" ht="15" customHeight="1">
      <c r="A296" t="inlineStr">
        <is>
          <t>A 29759-2019</t>
        </is>
      </c>
      <c r="B296" s="1" t="n">
        <v>43631</v>
      </c>
      <c r="C296" s="1" t="n">
        <v>45658</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30000-2019</t>
        </is>
      </c>
      <c r="B297" s="1" t="n">
        <v>43633</v>
      </c>
      <c r="C297" s="1" t="n">
        <v>45658</v>
      </c>
      <c r="D297" t="inlineStr">
        <is>
          <t>STOCKHOLMS LÄN</t>
        </is>
      </c>
      <c r="E297" t="inlineStr">
        <is>
          <t>NORRTÄLJE</t>
        </is>
      </c>
      <c r="G297" t="n">
        <v>5.4</v>
      </c>
      <c r="H297" t="n">
        <v>0</v>
      </c>
      <c r="I297" t="n">
        <v>0</v>
      </c>
      <c r="J297" t="n">
        <v>0</v>
      </c>
      <c r="K297" t="n">
        <v>0</v>
      </c>
      <c r="L297" t="n">
        <v>0</v>
      </c>
      <c r="M297" t="n">
        <v>0</v>
      </c>
      <c r="N297" t="n">
        <v>0</v>
      </c>
      <c r="O297" t="n">
        <v>0</v>
      </c>
      <c r="P297" t="n">
        <v>0</v>
      </c>
      <c r="Q297" t="n">
        <v>0</v>
      </c>
      <c r="R297" s="2" t="inlineStr"/>
    </row>
    <row r="298" ht="15" customHeight="1">
      <c r="A298" t="inlineStr">
        <is>
          <t>A 30833-2019</t>
        </is>
      </c>
      <c r="B298" s="1" t="n">
        <v>43636</v>
      </c>
      <c r="C298" s="1" t="n">
        <v>45658</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31215-2019</t>
        </is>
      </c>
      <c r="B299" s="1" t="n">
        <v>43640</v>
      </c>
      <c r="C299" s="1" t="n">
        <v>45658</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31017-2019</t>
        </is>
      </c>
      <c r="B300" s="1" t="n">
        <v>43640</v>
      </c>
      <c r="C300" s="1" t="n">
        <v>45658</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31966-2019</t>
        </is>
      </c>
      <c r="B301" s="1" t="n">
        <v>43643</v>
      </c>
      <c r="C301" s="1" t="n">
        <v>45658</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32725-2019</t>
        </is>
      </c>
      <c r="B302" s="1" t="n">
        <v>43647</v>
      </c>
      <c r="C302" s="1" t="n">
        <v>45658</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32726-2019</t>
        </is>
      </c>
      <c r="B303" s="1" t="n">
        <v>43647</v>
      </c>
      <c r="C303" s="1" t="n">
        <v>45658</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33207-2019</t>
        </is>
      </c>
      <c r="B304" s="1" t="n">
        <v>43649</v>
      </c>
      <c r="C304" s="1" t="n">
        <v>45658</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33955-2019</t>
        </is>
      </c>
      <c r="B305" s="1" t="n">
        <v>43654</v>
      </c>
      <c r="C305" s="1" t="n">
        <v>45658</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33966-2019</t>
        </is>
      </c>
      <c r="B306" s="1" t="n">
        <v>43654</v>
      </c>
      <c r="C306" s="1" t="n">
        <v>45658</v>
      </c>
      <c r="D306" t="inlineStr">
        <is>
          <t>STOCKHOLMS LÄN</t>
        </is>
      </c>
      <c r="E306" t="inlineStr">
        <is>
          <t>NORRTÄLJE</t>
        </is>
      </c>
      <c r="G306" t="n">
        <v>3.2</v>
      </c>
      <c r="H306" t="n">
        <v>0</v>
      </c>
      <c r="I306" t="n">
        <v>0</v>
      </c>
      <c r="J306" t="n">
        <v>0</v>
      </c>
      <c r="K306" t="n">
        <v>0</v>
      </c>
      <c r="L306" t="n">
        <v>0</v>
      </c>
      <c r="M306" t="n">
        <v>0</v>
      </c>
      <c r="N306" t="n">
        <v>0</v>
      </c>
      <c r="O306" t="n">
        <v>0</v>
      </c>
      <c r="P306" t="n">
        <v>0</v>
      </c>
      <c r="Q306" t="n">
        <v>0</v>
      </c>
      <c r="R306" s="2" t="inlineStr"/>
    </row>
    <row r="307" ht="15" customHeight="1">
      <c r="A307" t="inlineStr">
        <is>
          <t>A 35247-2019</t>
        </is>
      </c>
      <c r="B307" s="1" t="n">
        <v>43656</v>
      </c>
      <c r="C307" s="1" t="n">
        <v>45658</v>
      </c>
      <c r="D307" t="inlineStr">
        <is>
          <t>STOCKHOLMS LÄN</t>
        </is>
      </c>
      <c r="E307" t="inlineStr">
        <is>
          <t>NORRTÄLJE</t>
        </is>
      </c>
      <c r="G307" t="n">
        <v>1.8</v>
      </c>
      <c r="H307" t="n">
        <v>0</v>
      </c>
      <c r="I307" t="n">
        <v>0</v>
      </c>
      <c r="J307" t="n">
        <v>0</v>
      </c>
      <c r="K307" t="n">
        <v>0</v>
      </c>
      <c r="L307" t="n">
        <v>0</v>
      </c>
      <c r="M307" t="n">
        <v>0</v>
      </c>
      <c r="N307" t="n">
        <v>0</v>
      </c>
      <c r="O307" t="n">
        <v>0</v>
      </c>
      <c r="P307" t="n">
        <v>0</v>
      </c>
      <c r="Q307" t="n">
        <v>0</v>
      </c>
      <c r="R307" s="2" t="inlineStr"/>
    </row>
    <row r="308" ht="15" customHeight="1">
      <c r="A308" t="inlineStr">
        <is>
          <t>A 35244-2019</t>
        </is>
      </c>
      <c r="B308" s="1" t="n">
        <v>43656</v>
      </c>
      <c r="C308" s="1" t="n">
        <v>45658</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35249-2019</t>
        </is>
      </c>
      <c r="B309" s="1" t="n">
        <v>43656</v>
      </c>
      <c r="C309" s="1" t="n">
        <v>45658</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35251-2019</t>
        </is>
      </c>
      <c r="B310" s="1" t="n">
        <v>43656</v>
      </c>
      <c r="C310" s="1" t="n">
        <v>45658</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35492-2019</t>
        </is>
      </c>
      <c r="B311" s="1" t="n">
        <v>43663</v>
      </c>
      <c r="C311" s="1" t="n">
        <v>45658</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35770-2019</t>
        </is>
      </c>
      <c r="B312" s="1" t="n">
        <v>43665</v>
      </c>
      <c r="C312" s="1" t="n">
        <v>45658</v>
      </c>
      <c r="D312" t="inlineStr">
        <is>
          <t>STOCKHOLMS LÄN</t>
        </is>
      </c>
      <c r="E312" t="inlineStr">
        <is>
          <t>NORRTÄLJE</t>
        </is>
      </c>
      <c r="G312" t="n">
        <v>6.3</v>
      </c>
      <c r="H312" t="n">
        <v>0</v>
      </c>
      <c r="I312" t="n">
        <v>0</v>
      </c>
      <c r="J312" t="n">
        <v>0</v>
      </c>
      <c r="K312" t="n">
        <v>0</v>
      </c>
      <c r="L312" t="n">
        <v>0</v>
      </c>
      <c r="M312" t="n">
        <v>0</v>
      </c>
      <c r="N312" t="n">
        <v>0</v>
      </c>
      <c r="O312" t="n">
        <v>0</v>
      </c>
      <c r="P312" t="n">
        <v>0</v>
      </c>
      <c r="Q312" t="n">
        <v>0</v>
      </c>
      <c r="R312" s="2" t="inlineStr"/>
    </row>
    <row r="313" ht="15" customHeight="1">
      <c r="A313" t="inlineStr">
        <is>
          <t>A 35766-2019</t>
        </is>
      </c>
      <c r="B313" s="1" t="n">
        <v>43665</v>
      </c>
      <c r="C313" s="1" t="n">
        <v>45658</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36418-2019</t>
        </is>
      </c>
      <c r="B314" s="1" t="n">
        <v>43670</v>
      </c>
      <c r="C314" s="1" t="n">
        <v>45658</v>
      </c>
      <c r="D314" t="inlineStr">
        <is>
          <t>STOCKHOLMS LÄN</t>
        </is>
      </c>
      <c r="E314" t="inlineStr">
        <is>
          <t>NORRTÄLJE</t>
        </is>
      </c>
      <c r="G314" t="n">
        <v>16.8</v>
      </c>
      <c r="H314" t="n">
        <v>0</v>
      </c>
      <c r="I314" t="n">
        <v>0</v>
      </c>
      <c r="J314" t="n">
        <v>0</v>
      </c>
      <c r="K314" t="n">
        <v>0</v>
      </c>
      <c r="L314" t="n">
        <v>0</v>
      </c>
      <c r="M314" t="n">
        <v>0</v>
      </c>
      <c r="N314" t="n">
        <v>0</v>
      </c>
      <c r="O314" t="n">
        <v>0</v>
      </c>
      <c r="P314" t="n">
        <v>0</v>
      </c>
      <c r="Q314" t="n">
        <v>0</v>
      </c>
      <c r="R314" s="2" t="inlineStr"/>
    </row>
    <row r="315" ht="15" customHeight="1">
      <c r="A315" t="inlineStr">
        <is>
          <t>A 37401-2019</t>
        </is>
      </c>
      <c r="B315" s="1" t="n">
        <v>43678</v>
      </c>
      <c r="C315" s="1" t="n">
        <v>45658</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37662-2019</t>
        </is>
      </c>
      <c r="B316" s="1" t="n">
        <v>43682</v>
      </c>
      <c r="C316" s="1" t="n">
        <v>45658</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38144-2019</t>
        </is>
      </c>
      <c r="B317" s="1" t="n">
        <v>43684</v>
      </c>
      <c r="C317" s="1" t="n">
        <v>45658</v>
      </c>
      <c r="D317" t="inlineStr">
        <is>
          <t>STOCKHOLMS LÄN</t>
        </is>
      </c>
      <c r="E317" t="inlineStr">
        <is>
          <t>NORRTÄLJE</t>
        </is>
      </c>
      <c r="G317" t="n">
        <v>3.6</v>
      </c>
      <c r="H317" t="n">
        <v>0</v>
      </c>
      <c r="I317" t="n">
        <v>0</v>
      </c>
      <c r="J317" t="n">
        <v>0</v>
      </c>
      <c r="K317" t="n">
        <v>0</v>
      </c>
      <c r="L317" t="n">
        <v>0</v>
      </c>
      <c r="M317" t="n">
        <v>0</v>
      </c>
      <c r="N317" t="n">
        <v>0</v>
      </c>
      <c r="O317" t="n">
        <v>0</v>
      </c>
      <c r="P317" t="n">
        <v>0</v>
      </c>
      <c r="Q317" t="n">
        <v>0</v>
      </c>
      <c r="R317" s="2" t="inlineStr"/>
    </row>
    <row r="318" ht="15" customHeight="1">
      <c r="A318" t="inlineStr">
        <is>
          <t>A 38139-2019</t>
        </is>
      </c>
      <c r="B318" s="1" t="n">
        <v>43684</v>
      </c>
      <c r="C318" s="1" t="n">
        <v>45658</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38145-2019</t>
        </is>
      </c>
      <c r="B319" s="1" t="n">
        <v>43684</v>
      </c>
      <c r="C319" s="1" t="n">
        <v>45658</v>
      </c>
      <c r="D319" t="inlineStr">
        <is>
          <t>STOCKHOLMS LÄN</t>
        </is>
      </c>
      <c r="E319" t="inlineStr">
        <is>
          <t>NORRTÄLJE</t>
        </is>
      </c>
      <c r="G319" t="n">
        <v>9.9</v>
      </c>
      <c r="H319" t="n">
        <v>0</v>
      </c>
      <c r="I319" t="n">
        <v>0</v>
      </c>
      <c r="J319" t="n">
        <v>0</v>
      </c>
      <c r="K319" t="n">
        <v>0</v>
      </c>
      <c r="L319" t="n">
        <v>0</v>
      </c>
      <c r="M319" t="n">
        <v>0</v>
      </c>
      <c r="N319" t="n">
        <v>0</v>
      </c>
      <c r="O319" t="n">
        <v>0</v>
      </c>
      <c r="P319" t="n">
        <v>0</v>
      </c>
      <c r="Q319" t="n">
        <v>0</v>
      </c>
      <c r="R319" s="2" t="inlineStr"/>
    </row>
    <row r="320" ht="15" customHeight="1">
      <c r="A320" t="inlineStr">
        <is>
          <t>A 38140-2019</t>
        </is>
      </c>
      <c r="B320" s="1" t="n">
        <v>43684</v>
      </c>
      <c r="C320" s="1" t="n">
        <v>45658</v>
      </c>
      <c r="D320" t="inlineStr">
        <is>
          <t>STOCKHOLMS LÄN</t>
        </is>
      </c>
      <c r="E320" t="inlineStr">
        <is>
          <t>NORRTÄLJE</t>
        </is>
      </c>
      <c r="G320" t="n">
        <v>3.4</v>
      </c>
      <c r="H320" t="n">
        <v>0</v>
      </c>
      <c r="I320" t="n">
        <v>0</v>
      </c>
      <c r="J320" t="n">
        <v>0</v>
      </c>
      <c r="K320" t="n">
        <v>0</v>
      </c>
      <c r="L320" t="n">
        <v>0</v>
      </c>
      <c r="M320" t="n">
        <v>0</v>
      </c>
      <c r="N320" t="n">
        <v>0</v>
      </c>
      <c r="O320" t="n">
        <v>0</v>
      </c>
      <c r="P320" t="n">
        <v>0</v>
      </c>
      <c r="Q320" t="n">
        <v>0</v>
      </c>
      <c r="R320" s="2" t="inlineStr"/>
    </row>
    <row r="321" ht="15" customHeight="1">
      <c r="A321" t="inlineStr">
        <is>
          <t>A 38143-2019</t>
        </is>
      </c>
      <c r="B321" s="1" t="n">
        <v>43684</v>
      </c>
      <c r="C321" s="1" t="n">
        <v>45658</v>
      </c>
      <c r="D321" t="inlineStr">
        <is>
          <t>STOCKHOLMS LÄN</t>
        </is>
      </c>
      <c r="E321" t="inlineStr">
        <is>
          <t>NORRTÄLJE</t>
        </is>
      </c>
      <c r="G321" t="n">
        <v>12.7</v>
      </c>
      <c r="H321" t="n">
        <v>0</v>
      </c>
      <c r="I321" t="n">
        <v>0</v>
      </c>
      <c r="J321" t="n">
        <v>0</v>
      </c>
      <c r="K321" t="n">
        <v>0</v>
      </c>
      <c r="L321" t="n">
        <v>0</v>
      </c>
      <c r="M321" t="n">
        <v>0</v>
      </c>
      <c r="N321" t="n">
        <v>0</v>
      </c>
      <c r="O321" t="n">
        <v>0</v>
      </c>
      <c r="P321" t="n">
        <v>0</v>
      </c>
      <c r="Q321" t="n">
        <v>0</v>
      </c>
      <c r="R321" s="2" t="inlineStr"/>
    </row>
    <row r="322" ht="15" customHeight="1">
      <c r="A322" t="inlineStr">
        <is>
          <t>A 38506-2019</t>
        </is>
      </c>
      <c r="B322" s="1" t="n">
        <v>43685</v>
      </c>
      <c r="C322" s="1" t="n">
        <v>45658</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38605-2019</t>
        </is>
      </c>
      <c r="B323" s="1" t="n">
        <v>43686</v>
      </c>
      <c r="C323" s="1" t="n">
        <v>45658</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38737-2019</t>
        </is>
      </c>
      <c r="B324" s="1" t="n">
        <v>43686</v>
      </c>
      <c r="C324" s="1" t="n">
        <v>45658</v>
      </c>
      <c r="D324" t="inlineStr">
        <is>
          <t>STOCKHOLMS LÄN</t>
        </is>
      </c>
      <c r="E324" t="inlineStr">
        <is>
          <t>NORRTÄLJE</t>
        </is>
      </c>
      <c r="G324" t="n">
        <v>4.7</v>
      </c>
      <c r="H324" t="n">
        <v>0</v>
      </c>
      <c r="I324" t="n">
        <v>0</v>
      </c>
      <c r="J324" t="n">
        <v>0</v>
      </c>
      <c r="K324" t="n">
        <v>0</v>
      </c>
      <c r="L324" t="n">
        <v>0</v>
      </c>
      <c r="M324" t="n">
        <v>0</v>
      </c>
      <c r="N324" t="n">
        <v>0</v>
      </c>
      <c r="O324" t="n">
        <v>0</v>
      </c>
      <c r="P324" t="n">
        <v>0</v>
      </c>
      <c r="Q324" t="n">
        <v>0</v>
      </c>
      <c r="R324" s="2" t="inlineStr"/>
    </row>
    <row r="325" ht="15" customHeight="1">
      <c r="A325" t="inlineStr">
        <is>
          <t>A 40571-2019</t>
        </is>
      </c>
      <c r="B325" s="1" t="n">
        <v>43696</v>
      </c>
      <c r="C325" s="1" t="n">
        <v>45658</v>
      </c>
      <c r="D325" t="inlineStr">
        <is>
          <t>STOCKHOLMS LÄN</t>
        </is>
      </c>
      <c r="E325" t="inlineStr">
        <is>
          <t>NORRTÄLJE</t>
        </is>
      </c>
      <c r="G325" t="n">
        <v>2.8</v>
      </c>
      <c r="H325" t="n">
        <v>0</v>
      </c>
      <c r="I325" t="n">
        <v>0</v>
      </c>
      <c r="J325" t="n">
        <v>0</v>
      </c>
      <c r="K325" t="n">
        <v>0</v>
      </c>
      <c r="L325" t="n">
        <v>0</v>
      </c>
      <c r="M325" t="n">
        <v>0</v>
      </c>
      <c r="N325" t="n">
        <v>0</v>
      </c>
      <c r="O325" t="n">
        <v>0</v>
      </c>
      <c r="P325" t="n">
        <v>0</v>
      </c>
      <c r="Q325" t="n">
        <v>0</v>
      </c>
      <c r="R325" s="2" t="inlineStr"/>
    </row>
    <row r="326" ht="15" customHeight="1">
      <c r="A326" t="inlineStr">
        <is>
          <t>A 42330-2019</t>
        </is>
      </c>
      <c r="B326" s="1" t="n">
        <v>43703</v>
      </c>
      <c r="C326" s="1" t="n">
        <v>45658</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43379-2019</t>
        </is>
      </c>
      <c r="B327" s="1" t="n">
        <v>43703</v>
      </c>
      <c r="C327" s="1" t="n">
        <v>45658</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43296-2019</t>
        </is>
      </c>
      <c r="B328" s="1" t="n">
        <v>43706</v>
      </c>
      <c r="C328" s="1" t="n">
        <v>45658</v>
      </c>
      <c r="D328" t="inlineStr">
        <is>
          <t>STOCKHOLMS LÄN</t>
        </is>
      </c>
      <c r="E328" t="inlineStr">
        <is>
          <t>NORRTÄLJE</t>
        </is>
      </c>
      <c r="F328" t="inlineStr">
        <is>
          <t>Kommuner</t>
        </is>
      </c>
      <c r="G328" t="n">
        <v>1.7</v>
      </c>
      <c r="H328" t="n">
        <v>0</v>
      </c>
      <c r="I328" t="n">
        <v>0</v>
      </c>
      <c r="J328" t="n">
        <v>0</v>
      </c>
      <c r="K328" t="n">
        <v>0</v>
      </c>
      <c r="L328" t="n">
        <v>0</v>
      </c>
      <c r="M328" t="n">
        <v>0</v>
      </c>
      <c r="N328" t="n">
        <v>0</v>
      </c>
      <c r="O328" t="n">
        <v>0</v>
      </c>
      <c r="P328" t="n">
        <v>0</v>
      </c>
      <c r="Q328" t="n">
        <v>0</v>
      </c>
      <c r="R328" s="2" t="inlineStr"/>
    </row>
    <row r="329" ht="15" customHeight="1">
      <c r="A329" t="inlineStr">
        <is>
          <t>A 44643-2019</t>
        </is>
      </c>
      <c r="B329" s="1" t="n">
        <v>43712</v>
      </c>
      <c r="C329" s="1" t="n">
        <v>45658</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45463-2019</t>
        </is>
      </c>
      <c r="B330" s="1" t="n">
        <v>43714</v>
      </c>
      <c r="C330" s="1" t="n">
        <v>45658</v>
      </c>
      <c r="D330" t="inlineStr">
        <is>
          <t>STOCKHOLMS LÄN</t>
        </is>
      </c>
      <c r="E330" t="inlineStr">
        <is>
          <t>NORRTÄLJE</t>
        </is>
      </c>
      <c r="F330" t="inlineStr">
        <is>
          <t>Övriga statliga verk och myndigheter</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45477-2019</t>
        </is>
      </c>
      <c r="B331" s="1" t="n">
        <v>43714</v>
      </c>
      <c r="C331" s="1" t="n">
        <v>45658</v>
      </c>
      <c r="D331" t="inlineStr">
        <is>
          <t>STOCKHOLMS LÄN</t>
        </is>
      </c>
      <c r="E331" t="inlineStr">
        <is>
          <t>NORRTÄLJE</t>
        </is>
      </c>
      <c r="F331" t="inlineStr">
        <is>
          <t>Övriga statliga verk och myndigheter</t>
        </is>
      </c>
      <c r="G331" t="n">
        <v>8.9</v>
      </c>
      <c r="H331" t="n">
        <v>0</v>
      </c>
      <c r="I331" t="n">
        <v>0</v>
      </c>
      <c r="J331" t="n">
        <v>0</v>
      </c>
      <c r="K331" t="n">
        <v>0</v>
      </c>
      <c r="L331" t="n">
        <v>0</v>
      </c>
      <c r="M331" t="n">
        <v>0</v>
      </c>
      <c r="N331" t="n">
        <v>0</v>
      </c>
      <c r="O331" t="n">
        <v>0</v>
      </c>
      <c r="P331" t="n">
        <v>0</v>
      </c>
      <c r="Q331" t="n">
        <v>0</v>
      </c>
      <c r="R331" s="2" t="inlineStr"/>
    </row>
    <row r="332" ht="15" customHeight="1">
      <c r="A332" t="inlineStr">
        <is>
          <t>A 46327-2019</t>
        </is>
      </c>
      <c r="B332" s="1" t="n">
        <v>43718</v>
      </c>
      <c r="C332" s="1" t="n">
        <v>45658</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47876-2019</t>
        </is>
      </c>
      <c r="B333" s="1" t="n">
        <v>43725</v>
      </c>
      <c r="C333" s="1" t="n">
        <v>45658</v>
      </c>
      <c r="D333" t="inlineStr">
        <is>
          <t>STOCKHOLMS LÄN</t>
        </is>
      </c>
      <c r="E333" t="inlineStr">
        <is>
          <t>NORRTÄLJE</t>
        </is>
      </c>
      <c r="G333" t="n">
        <v>11.4</v>
      </c>
      <c r="H333" t="n">
        <v>0</v>
      </c>
      <c r="I333" t="n">
        <v>0</v>
      </c>
      <c r="J333" t="n">
        <v>0</v>
      </c>
      <c r="K333" t="n">
        <v>0</v>
      </c>
      <c r="L333" t="n">
        <v>0</v>
      </c>
      <c r="M333" t="n">
        <v>0</v>
      </c>
      <c r="N333" t="n">
        <v>0</v>
      </c>
      <c r="O333" t="n">
        <v>0</v>
      </c>
      <c r="P333" t="n">
        <v>0</v>
      </c>
      <c r="Q333" t="n">
        <v>0</v>
      </c>
      <c r="R333" s="2" t="inlineStr"/>
    </row>
    <row r="334" ht="15" customHeight="1">
      <c r="A334" t="inlineStr">
        <is>
          <t>A 47877-2019</t>
        </is>
      </c>
      <c r="B334" s="1" t="n">
        <v>43725</v>
      </c>
      <c r="C334" s="1" t="n">
        <v>45658</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47903-2019</t>
        </is>
      </c>
      <c r="B335" s="1" t="n">
        <v>43725</v>
      </c>
      <c r="C335" s="1" t="n">
        <v>45658</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47901-2019</t>
        </is>
      </c>
      <c r="B336" s="1" t="n">
        <v>43725</v>
      </c>
      <c r="C336" s="1" t="n">
        <v>45658</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47939-2019</t>
        </is>
      </c>
      <c r="B337" s="1" t="n">
        <v>43725</v>
      </c>
      <c r="C337" s="1" t="n">
        <v>45658</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47941-2019</t>
        </is>
      </c>
      <c r="B338" s="1" t="n">
        <v>43725</v>
      </c>
      <c r="C338" s="1" t="n">
        <v>45658</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47879-2019</t>
        </is>
      </c>
      <c r="B339" s="1" t="n">
        <v>43725</v>
      </c>
      <c r="C339" s="1" t="n">
        <v>45658</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48730-2019</t>
        </is>
      </c>
      <c r="B340" s="1" t="n">
        <v>43728</v>
      </c>
      <c r="C340" s="1" t="n">
        <v>45658</v>
      </c>
      <c r="D340" t="inlineStr">
        <is>
          <t>STOCKHOLMS LÄN</t>
        </is>
      </c>
      <c r="E340" t="inlineStr">
        <is>
          <t>NORRTÄLJE</t>
        </is>
      </c>
      <c r="F340" t="inlineStr">
        <is>
          <t>Övriga statliga verk och myndigheter</t>
        </is>
      </c>
      <c r="G340" t="n">
        <v>1.3</v>
      </c>
      <c r="H340" t="n">
        <v>0</v>
      </c>
      <c r="I340" t="n">
        <v>0</v>
      </c>
      <c r="J340" t="n">
        <v>0</v>
      </c>
      <c r="K340" t="n">
        <v>0</v>
      </c>
      <c r="L340" t="n">
        <v>0</v>
      </c>
      <c r="M340" t="n">
        <v>0</v>
      </c>
      <c r="N340" t="n">
        <v>0</v>
      </c>
      <c r="O340" t="n">
        <v>0</v>
      </c>
      <c r="P340" t="n">
        <v>0</v>
      </c>
      <c r="Q340" t="n">
        <v>0</v>
      </c>
      <c r="R340" s="2" t="inlineStr"/>
    </row>
    <row r="341" ht="15" customHeight="1">
      <c r="A341" t="inlineStr">
        <is>
          <t>A 49252-2019</t>
        </is>
      </c>
      <c r="B341" s="1" t="n">
        <v>43731</v>
      </c>
      <c r="C341" s="1" t="n">
        <v>45658</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51940-2019</t>
        </is>
      </c>
      <c r="B342" s="1" t="n">
        <v>43741</v>
      </c>
      <c r="C342" s="1" t="n">
        <v>45658</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51942-2019</t>
        </is>
      </c>
      <c r="B343" s="1" t="n">
        <v>43741</v>
      </c>
      <c r="C343" s="1" t="n">
        <v>45658</v>
      </c>
      <c r="D343" t="inlineStr">
        <is>
          <t>STOCKHOLMS LÄN</t>
        </is>
      </c>
      <c r="E343" t="inlineStr">
        <is>
          <t>NORRTÄLJE</t>
        </is>
      </c>
      <c r="G343" t="n">
        <v>5.6</v>
      </c>
      <c r="H343" t="n">
        <v>0</v>
      </c>
      <c r="I343" t="n">
        <v>0</v>
      </c>
      <c r="J343" t="n">
        <v>0</v>
      </c>
      <c r="K343" t="n">
        <v>0</v>
      </c>
      <c r="L343" t="n">
        <v>0</v>
      </c>
      <c r="M343" t="n">
        <v>0</v>
      </c>
      <c r="N343" t="n">
        <v>0</v>
      </c>
      <c r="O343" t="n">
        <v>0</v>
      </c>
      <c r="P343" t="n">
        <v>0</v>
      </c>
      <c r="Q343" t="n">
        <v>0</v>
      </c>
      <c r="R343" s="2" t="inlineStr"/>
    </row>
    <row r="344" ht="15" customHeight="1">
      <c r="A344" t="inlineStr">
        <is>
          <t>A 55481-2019</t>
        </is>
      </c>
      <c r="B344" s="1" t="n">
        <v>43759</v>
      </c>
      <c r="C344" s="1" t="n">
        <v>45658</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55891-2019</t>
        </is>
      </c>
      <c r="B345" s="1" t="n">
        <v>43761</v>
      </c>
      <c r="C345" s="1" t="n">
        <v>45658</v>
      </c>
      <c r="D345" t="inlineStr">
        <is>
          <t>STOCKHOLMS LÄN</t>
        </is>
      </c>
      <c r="E345" t="inlineStr">
        <is>
          <t>NORRTÄLJE</t>
        </is>
      </c>
      <c r="G345" t="n">
        <v>7.6</v>
      </c>
      <c r="H345" t="n">
        <v>0</v>
      </c>
      <c r="I345" t="n">
        <v>0</v>
      </c>
      <c r="J345" t="n">
        <v>0</v>
      </c>
      <c r="K345" t="n">
        <v>0</v>
      </c>
      <c r="L345" t="n">
        <v>0</v>
      </c>
      <c r="M345" t="n">
        <v>0</v>
      </c>
      <c r="N345" t="n">
        <v>0</v>
      </c>
      <c r="O345" t="n">
        <v>0</v>
      </c>
      <c r="P345" t="n">
        <v>0</v>
      </c>
      <c r="Q345" t="n">
        <v>0</v>
      </c>
      <c r="R345" s="2" t="inlineStr"/>
    </row>
    <row r="346" ht="15" customHeight="1">
      <c r="A346" t="inlineStr">
        <is>
          <t>A 56349-2019</t>
        </is>
      </c>
      <c r="B346" s="1" t="n">
        <v>43762</v>
      </c>
      <c r="C346" s="1" t="n">
        <v>45658</v>
      </c>
      <c r="D346" t="inlineStr">
        <is>
          <t>STOCKHOLMS LÄN</t>
        </is>
      </c>
      <c r="E346" t="inlineStr">
        <is>
          <t>NORRTÄLJE</t>
        </is>
      </c>
      <c r="G346" t="n">
        <v>1.5</v>
      </c>
      <c r="H346" t="n">
        <v>0</v>
      </c>
      <c r="I346" t="n">
        <v>0</v>
      </c>
      <c r="J346" t="n">
        <v>0</v>
      </c>
      <c r="K346" t="n">
        <v>0</v>
      </c>
      <c r="L346" t="n">
        <v>0</v>
      </c>
      <c r="M346" t="n">
        <v>0</v>
      </c>
      <c r="N346" t="n">
        <v>0</v>
      </c>
      <c r="O346" t="n">
        <v>0</v>
      </c>
      <c r="P346" t="n">
        <v>0</v>
      </c>
      <c r="Q346" t="n">
        <v>0</v>
      </c>
      <c r="R346" s="2" t="inlineStr"/>
    </row>
    <row r="347" ht="15" customHeight="1">
      <c r="A347" t="inlineStr">
        <is>
          <t>A 57759-2019</t>
        </is>
      </c>
      <c r="B347" s="1" t="n">
        <v>43763</v>
      </c>
      <c r="C347" s="1" t="n">
        <v>45658</v>
      </c>
      <c r="D347" t="inlineStr">
        <is>
          <t>STOCKHOLMS LÄN</t>
        </is>
      </c>
      <c r="E347" t="inlineStr">
        <is>
          <t>NORRTÄLJE</t>
        </is>
      </c>
      <c r="F347" t="inlineStr">
        <is>
          <t>Övriga Aktiebolag</t>
        </is>
      </c>
      <c r="G347" t="n">
        <v>7.3</v>
      </c>
      <c r="H347" t="n">
        <v>0</v>
      </c>
      <c r="I347" t="n">
        <v>0</v>
      </c>
      <c r="J347" t="n">
        <v>0</v>
      </c>
      <c r="K347" t="n">
        <v>0</v>
      </c>
      <c r="L347" t="n">
        <v>0</v>
      </c>
      <c r="M347" t="n">
        <v>0</v>
      </c>
      <c r="N347" t="n">
        <v>0</v>
      </c>
      <c r="O347" t="n">
        <v>0</v>
      </c>
      <c r="P347" t="n">
        <v>0</v>
      </c>
      <c r="Q347" t="n">
        <v>0</v>
      </c>
      <c r="R347" s="2" t="inlineStr"/>
    </row>
    <row r="348" ht="15" customHeight="1">
      <c r="A348" t="inlineStr">
        <is>
          <t>A 57063-2019</t>
        </is>
      </c>
      <c r="B348" s="1" t="n">
        <v>43766</v>
      </c>
      <c r="C348" s="1" t="n">
        <v>45658</v>
      </c>
      <c r="D348" t="inlineStr">
        <is>
          <t>STOCKHOLMS LÄN</t>
        </is>
      </c>
      <c r="E348" t="inlineStr">
        <is>
          <t>NORRTÄLJE</t>
        </is>
      </c>
      <c r="F348" t="inlineStr">
        <is>
          <t>Kyrkan</t>
        </is>
      </c>
      <c r="G348" t="n">
        <v>1.3</v>
      </c>
      <c r="H348" t="n">
        <v>0</v>
      </c>
      <c r="I348" t="n">
        <v>0</v>
      </c>
      <c r="J348" t="n">
        <v>0</v>
      </c>
      <c r="K348" t="n">
        <v>0</v>
      </c>
      <c r="L348" t="n">
        <v>0</v>
      </c>
      <c r="M348" t="n">
        <v>0</v>
      </c>
      <c r="N348" t="n">
        <v>0</v>
      </c>
      <c r="O348" t="n">
        <v>0</v>
      </c>
      <c r="P348" t="n">
        <v>0</v>
      </c>
      <c r="Q348" t="n">
        <v>0</v>
      </c>
      <c r="R348" s="2" t="inlineStr"/>
    </row>
    <row r="349" ht="15" customHeight="1">
      <c r="A349" t="inlineStr">
        <is>
          <t>A 56950-2019</t>
        </is>
      </c>
      <c r="B349" s="1" t="n">
        <v>43766</v>
      </c>
      <c r="C349" s="1" t="n">
        <v>45658</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57605-2019</t>
        </is>
      </c>
      <c r="B350" s="1" t="n">
        <v>43768</v>
      </c>
      <c r="C350" s="1" t="n">
        <v>45658</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58064-2019</t>
        </is>
      </c>
      <c r="B351" s="1" t="n">
        <v>43769</v>
      </c>
      <c r="C351" s="1" t="n">
        <v>45658</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58631-2019</t>
        </is>
      </c>
      <c r="B352" s="1" t="n">
        <v>43773</v>
      </c>
      <c r="C352" s="1" t="n">
        <v>45658</v>
      </c>
      <c r="D352" t="inlineStr">
        <is>
          <t>STOCKHOLMS LÄN</t>
        </is>
      </c>
      <c r="E352" t="inlineStr">
        <is>
          <t>NORRTÄLJE</t>
        </is>
      </c>
      <c r="G352" t="n">
        <v>6</v>
      </c>
      <c r="H352" t="n">
        <v>0</v>
      </c>
      <c r="I352" t="n">
        <v>0</v>
      </c>
      <c r="J352" t="n">
        <v>0</v>
      </c>
      <c r="K352" t="n">
        <v>0</v>
      </c>
      <c r="L352" t="n">
        <v>0</v>
      </c>
      <c r="M352" t="n">
        <v>0</v>
      </c>
      <c r="N352" t="n">
        <v>0</v>
      </c>
      <c r="O352" t="n">
        <v>0</v>
      </c>
      <c r="P352" t="n">
        <v>0</v>
      </c>
      <c r="Q352" t="n">
        <v>0</v>
      </c>
      <c r="R352" s="2" t="inlineStr"/>
    </row>
    <row r="353" ht="15" customHeight="1">
      <c r="A353" t="inlineStr">
        <is>
          <t>A 60214-2019</t>
        </is>
      </c>
      <c r="B353" s="1" t="n">
        <v>43780</v>
      </c>
      <c r="C353" s="1" t="n">
        <v>45658</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60208-2019</t>
        </is>
      </c>
      <c r="B354" s="1" t="n">
        <v>43780</v>
      </c>
      <c r="C354" s="1" t="n">
        <v>45658</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60842-2019</t>
        </is>
      </c>
      <c r="B355" s="1" t="n">
        <v>43781</v>
      </c>
      <c r="C355" s="1" t="n">
        <v>45658</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60844-2019</t>
        </is>
      </c>
      <c r="B356" s="1" t="n">
        <v>43781</v>
      </c>
      <c r="C356" s="1" t="n">
        <v>45658</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61657-2019</t>
        </is>
      </c>
      <c r="B357" s="1" t="n">
        <v>43784</v>
      </c>
      <c r="C357" s="1" t="n">
        <v>45658</v>
      </c>
      <c r="D357" t="inlineStr">
        <is>
          <t>STOCKHOLMS LÄN</t>
        </is>
      </c>
      <c r="E357" t="inlineStr">
        <is>
          <t>NORRTÄLJE</t>
        </is>
      </c>
      <c r="G357" t="n">
        <v>5</v>
      </c>
      <c r="H357" t="n">
        <v>0</v>
      </c>
      <c r="I357" t="n">
        <v>0</v>
      </c>
      <c r="J357" t="n">
        <v>0</v>
      </c>
      <c r="K357" t="n">
        <v>0</v>
      </c>
      <c r="L357" t="n">
        <v>0</v>
      </c>
      <c r="M357" t="n">
        <v>0</v>
      </c>
      <c r="N357" t="n">
        <v>0</v>
      </c>
      <c r="O357" t="n">
        <v>0</v>
      </c>
      <c r="P357" t="n">
        <v>0</v>
      </c>
      <c r="Q357" t="n">
        <v>0</v>
      </c>
      <c r="R357" s="2" t="inlineStr"/>
    </row>
    <row r="358" ht="15" customHeight="1">
      <c r="A358" t="inlineStr">
        <is>
          <t>A 62980-2019</t>
        </is>
      </c>
      <c r="B358" s="1" t="n">
        <v>43790</v>
      </c>
      <c r="C358" s="1" t="n">
        <v>45658</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63513-2019</t>
        </is>
      </c>
      <c r="B359" s="1" t="n">
        <v>43794</v>
      </c>
      <c r="C359" s="1" t="n">
        <v>45658</v>
      </c>
      <c r="D359" t="inlineStr">
        <is>
          <t>STOCKHOLMS LÄN</t>
        </is>
      </c>
      <c r="E359" t="inlineStr">
        <is>
          <t>NORRTÄLJE</t>
        </is>
      </c>
      <c r="G359" t="n">
        <v>9</v>
      </c>
      <c r="H359" t="n">
        <v>0</v>
      </c>
      <c r="I359" t="n">
        <v>0</v>
      </c>
      <c r="J359" t="n">
        <v>0</v>
      </c>
      <c r="K359" t="n">
        <v>0</v>
      </c>
      <c r="L359" t="n">
        <v>0</v>
      </c>
      <c r="M359" t="n">
        <v>0</v>
      </c>
      <c r="N359" t="n">
        <v>0</v>
      </c>
      <c r="O359" t="n">
        <v>0</v>
      </c>
      <c r="P359" t="n">
        <v>0</v>
      </c>
      <c r="Q359" t="n">
        <v>0</v>
      </c>
      <c r="R359" s="2" t="inlineStr"/>
    </row>
    <row r="360" ht="15" customHeight="1">
      <c r="A360" t="inlineStr">
        <is>
          <t>A 63529-2019</t>
        </is>
      </c>
      <c r="B360" s="1" t="n">
        <v>43794</v>
      </c>
      <c r="C360" s="1" t="n">
        <v>45658</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63495-2019</t>
        </is>
      </c>
      <c r="B361" s="1" t="n">
        <v>43794</v>
      </c>
      <c r="C361" s="1" t="n">
        <v>45658</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63504-2019</t>
        </is>
      </c>
      <c r="B362" s="1" t="n">
        <v>43794</v>
      </c>
      <c r="C362" s="1" t="n">
        <v>45658</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63528-2019</t>
        </is>
      </c>
      <c r="B363" s="1" t="n">
        <v>43794</v>
      </c>
      <c r="C363" s="1" t="n">
        <v>45658</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63515-2019</t>
        </is>
      </c>
      <c r="B364" s="1" t="n">
        <v>43794</v>
      </c>
      <c r="C364" s="1" t="n">
        <v>45658</v>
      </c>
      <c r="D364" t="inlineStr">
        <is>
          <t>STOCKHOLMS LÄN</t>
        </is>
      </c>
      <c r="E364" t="inlineStr">
        <is>
          <t>NORRTÄLJE</t>
        </is>
      </c>
      <c r="G364" t="n">
        <v>7.1</v>
      </c>
      <c r="H364" t="n">
        <v>0</v>
      </c>
      <c r="I364" t="n">
        <v>0</v>
      </c>
      <c r="J364" t="n">
        <v>0</v>
      </c>
      <c r="K364" t="n">
        <v>0</v>
      </c>
      <c r="L364" t="n">
        <v>0</v>
      </c>
      <c r="M364" t="n">
        <v>0</v>
      </c>
      <c r="N364" t="n">
        <v>0</v>
      </c>
      <c r="O364" t="n">
        <v>0</v>
      </c>
      <c r="P364" t="n">
        <v>0</v>
      </c>
      <c r="Q364" t="n">
        <v>0</v>
      </c>
      <c r="R364" s="2" t="inlineStr"/>
    </row>
    <row r="365" ht="15" customHeight="1">
      <c r="A365" t="inlineStr">
        <is>
          <t>A 64293-2019</t>
        </is>
      </c>
      <c r="B365" s="1" t="n">
        <v>43797</v>
      </c>
      <c r="C365" s="1" t="n">
        <v>45658</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65640-2019</t>
        </is>
      </c>
      <c r="B366" s="1" t="n">
        <v>43804</v>
      </c>
      <c r="C366" s="1" t="n">
        <v>45658</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65998-2019</t>
        </is>
      </c>
      <c r="B367" s="1" t="n">
        <v>43805</v>
      </c>
      <c r="C367" s="1" t="n">
        <v>45658</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66604-2019</t>
        </is>
      </c>
      <c r="B368" s="1" t="n">
        <v>43809</v>
      </c>
      <c r="C368" s="1" t="n">
        <v>45658</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67158-2019</t>
        </is>
      </c>
      <c r="B369" s="1" t="n">
        <v>43811</v>
      </c>
      <c r="C369" s="1" t="n">
        <v>45658</v>
      </c>
      <c r="D369" t="inlineStr">
        <is>
          <t>STOCKHOLMS LÄN</t>
        </is>
      </c>
      <c r="E369" t="inlineStr">
        <is>
          <t>NORRTÄLJE</t>
        </is>
      </c>
      <c r="G369" t="n">
        <v>4.4</v>
      </c>
      <c r="H369" t="n">
        <v>0</v>
      </c>
      <c r="I369" t="n">
        <v>0</v>
      </c>
      <c r="J369" t="n">
        <v>0</v>
      </c>
      <c r="K369" t="n">
        <v>0</v>
      </c>
      <c r="L369" t="n">
        <v>0</v>
      </c>
      <c r="M369" t="n">
        <v>0</v>
      </c>
      <c r="N369" t="n">
        <v>0</v>
      </c>
      <c r="O369" t="n">
        <v>0</v>
      </c>
      <c r="P369" t="n">
        <v>0</v>
      </c>
      <c r="Q369" t="n">
        <v>0</v>
      </c>
      <c r="R369" s="2" t="inlineStr"/>
    </row>
    <row r="370" ht="15" customHeight="1">
      <c r="A370" t="inlineStr">
        <is>
          <t>A 67324-2019</t>
        </is>
      </c>
      <c r="B370" s="1" t="n">
        <v>43812</v>
      </c>
      <c r="C370" s="1" t="n">
        <v>45658</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68865-2019</t>
        </is>
      </c>
      <c r="B371" s="1" t="n">
        <v>43821</v>
      </c>
      <c r="C371" s="1" t="n">
        <v>45658</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1099-2020</t>
        </is>
      </c>
      <c r="B372" s="1" t="n">
        <v>43822</v>
      </c>
      <c r="C372" s="1" t="n">
        <v>45658</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4475-2020</t>
        </is>
      </c>
      <c r="B373" s="1" t="n">
        <v>43849</v>
      </c>
      <c r="C373" s="1" t="n">
        <v>45658</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3882-2020</t>
        </is>
      </c>
      <c r="B374" s="1" t="n">
        <v>43854</v>
      </c>
      <c r="C374" s="1" t="n">
        <v>45658</v>
      </c>
      <c r="D374" t="inlineStr">
        <is>
          <t>STOCKHOLMS LÄN</t>
        </is>
      </c>
      <c r="E374" t="inlineStr">
        <is>
          <t>NORRTÄLJE</t>
        </is>
      </c>
      <c r="G374" t="n">
        <v>5.9</v>
      </c>
      <c r="H374" t="n">
        <v>0</v>
      </c>
      <c r="I374" t="n">
        <v>0</v>
      </c>
      <c r="J374" t="n">
        <v>0</v>
      </c>
      <c r="K374" t="n">
        <v>0</v>
      </c>
      <c r="L374" t="n">
        <v>0</v>
      </c>
      <c r="M374" t="n">
        <v>0</v>
      </c>
      <c r="N374" t="n">
        <v>0</v>
      </c>
      <c r="O374" t="n">
        <v>0</v>
      </c>
      <c r="P374" t="n">
        <v>0</v>
      </c>
      <c r="Q374" t="n">
        <v>0</v>
      </c>
      <c r="R374" s="2" t="inlineStr"/>
    </row>
    <row r="375" ht="15" customHeight="1">
      <c r="A375" t="inlineStr">
        <is>
          <t>A 4094-2020</t>
        </is>
      </c>
      <c r="B375" s="1" t="n">
        <v>43857</v>
      </c>
      <c r="C375" s="1" t="n">
        <v>45658</v>
      </c>
      <c r="D375" t="inlineStr">
        <is>
          <t>STOCKHOLMS LÄN</t>
        </is>
      </c>
      <c r="E375" t="inlineStr">
        <is>
          <t>NORRTÄLJE</t>
        </is>
      </c>
      <c r="G375" t="n">
        <v>2.5</v>
      </c>
      <c r="H375" t="n">
        <v>0</v>
      </c>
      <c r="I375" t="n">
        <v>0</v>
      </c>
      <c r="J375" t="n">
        <v>0</v>
      </c>
      <c r="K375" t="n">
        <v>0</v>
      </c>
      <c r="L375" t="n">
        <v>0</v>
      </c>
      <c r="M375" t="n">
        <v>0</v>
      </c>
      <c r="N375" t="n">
        <v>0</v>
      </c>
      <c r="O375" t="n">
        <v>0</v>
      </c>
      <c r="P375" t="n">
        <v>0</v>
      </c>
      <c r="Q375" t="n">
        <v>0</v>
      </c>
      <c r="R375" s="2" t="inlineStr"/>
    </row>
    <row r="376" ht="15" customHeight="1">
      <c r="A376" t="inlineStr">
        <is>
          <t>A 4950-2020</t>
        </is>
      </c>
      <c r="B376" s="1" t="n">
        <v>43859</v>
      </c>
      <c r="C376" s="1" t="n">
        <v>45658</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5084-2020</t>
        </is>
      </c>
      <c r="B377" s="1" t="n">
        <v>43859</v>
      </c>
      <c r="C377" s="1" t="n">
        <v>45658</v>
      </c>
      <c r="D377" t="inlineStr">
        <is>
          <t>STOCKHOLMS LÄN</t>
        </is>
      </c>
      <c r="E377" t="inlineStr">
        <is>
          <t>NORRTÄLJE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4952-2020</t>
        </is>
      </c>
      <c r="B378" s="1" t="n">
        <v>43859</v>
      </c>
      <c r="C378" s="1" t="n">
        <v>45658</v>
      </c>
      <c r="D378" t="inlineStr">
        <is>
          <t>STOCKHOLMS LÄN</t>
        </is>
      </c>
      <c r="E378" t="inlineStr">
        <is>
          <t>NORRTÄLJE</t>
        </is>
      </c>
      <c r="G378" t="n">
        <v>0.3</v>
      </c>
      <c r="H378" t="n">
        <v>0</v>
      </c>
      <c r="I378" t="n">
        <v>0</v>
      </c>
      <c r="J378" t="n">
        <v>0</v>
      </c>
      <c r="K378" t="n">
        <v>0</v>
      </c>
      <c r="L378" t="n">
        <v>0</v>
      </c>
      <c r="M378" t="n">
        <v>0</v>
      </c>
      <c r="N378" t="n">
        <v>0</v>
      </c>
      <c r="O378" t="n">
        <v>0</v>
      </c>
      <c r="P378" t="n">
        <v>0</v>
      </c>
      <c r="Q378" t="n">
        <v>0</v>
      </c>
      <c r="R378" s="2" t="inlineStr"/>
    </row>
    <row r="379" ht="15" customHeight="1">
      <c r="A379" t="inlineStr">
        <is>
          <t>A 5735-2020</t>
        </is>
      </c>
      <c r="B379" s="1" t="n">
        <v>43863</v>
      </c>
      <c r="C379" s="1" t="n">
        <v>45658</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5733-2020</t>
        </is>
      </c>
      <c r="B380" s="1" t="n">
        <v>43863</v>
      </c>
      <c r="C380" s="1" t="n">
        <v>45658</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5739-2020</t>
        </is>
      </c>
      <c r="B381" s="1" t="n">
        <v>43863</v>
      </c>
      <c r="C381" s="1" t="n">
        <v>45658</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7471-2020</t>
        </is>
      </c>
      <c r="B382" s="1" t="n">
        <v>43871</v>
      </c>
      <c r="C382" s="1" t="n">
        <v>45658</v>
      </c>
      <c r="D382" t="inlineStr">
        <is>
          <t>STOCKHOLMS LÄN</t>
        </is>
      </c>
      <c r="E382" t="inlineStr">
        <is>
          <t>NORRTÄLJE</t>
        </is>
      </c>
      <c r="G382" t="n">
        <v>7.8</v>
      </c>
      <c r="H382" t="n">
        <v>0</v>
      </c>
      <c r="I382" t="n">
        <v>0</v>
      </c>
      <c r="J382" t="n">
        <v>0</v>
      </c>
      <c r="K382" t="n">
        <v>0</v>
      </c>
      <c r="L382" t="n">
        <v>0</v>
      </c>
      <c r="M382" t="n">
        <v>0</v>
      </c>
      <c r="N382" t="n">
        <v>0</v>
      </c>
      <c r="O382" t="n">
        <v>0</v>
      </c>
      <c r="P382" t="n">
        <v>0</v>
      </c>
      <c r="Q382" t="n">
        <v>0</v>
      </c>
      <c r="R382" s="2" t="inlineStr"/>
    </row>
    <row r="383" ht="15" customHeight="1">
      <c r="A383" t="inlineStr">
        <is>
          <t>A 9845-2020</t>
        </is>
      </c>
      <c r="B383" s="1" t="n">
        <v>43881</v>
      </c>
      <c r="C383" s="1" t="n">
        <v>45658</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10618-2020</t>
        </is>
      </c>
      <c r="B384" s="1" t="n">
        <v>43887</v>
      </c>
      <c r="C384" s="1" t="n">
        <v>45658</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11184-2020</t>
        </is>
      </c>
      <c r="B385" s="1" t="n">
        <v>43892</v>
      </c>
      <c r="C385" s="1" t="n">
        <v>45658</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11576-2020</t>
        </is>
      </c>
      <c r="B386" s="1" t="n">
        <v>43893</v>
      </c>
      <c r="C386" s="1" t="n">
        <v>45658</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12113-2020</t>
        </is>
      </c>
      <c r="B387" s="1" t="n">
        <v>43895</v>
      </c>
      <c r="C387" s="1" t="n">
        <v>45658</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12970-2020</t>
        </is>
      </c>
      <c r="B388" s="1" t="n">
        <v>43900</v>
      </c>
      <c r="C388" s="1" t="n">
        <v>45658</v>
      </c>
      <c r="D388" t="inlineStr">
        <is>
          <t>STOCKHOLMS LÄN</t>
        </is>
      </c>
      <c r="E388" t="inlineStr">
        <is>
          <t>NORRTÄLJE</t>
        </is>
      </c>
      <c r="F388" t="inlineStr">
        <is>
          <t>Kommuner</t>
        </is>
      </c>
      <c r="G388" t="n">
        <v>3</v>
      </c>
      <c r="H388" t="n">
        <v>0</v>
      </c>
      <c r="I388" t="n">
        <v>0</v>
      </c>
      <c r="J388" t="n">
        <v>0</v>
      </c>
      <c r="K388" t="n">
        <v>0</v>
      </c>
      <c r="L388" t="n">
        <v>0</v>
      </c>
      <c r="M388" t="n">
        <v>0</v>
      </c>
      <c r="N388" t="n">
        <v>0</v>
      </c>
      <c r="O388" t="n">
        <v>0</v>
      </c>
      <c r="P388" t="n">
        <v>0</v>
      </c>
      <c r="Q388" t="n">
        <v>0</v>
      </c>
      <c r="R388" s="2" t="inlineStr"/>
    </row>
    <row r="389" ht="15" customHeight="1">
      <c r="A389" t="inlineStr">
        <is>
          <t>A 13230-2020</t>
        </is>
      </c>
      <c r="B389" s="1" t="n">
        <v>43901</v>
      </c>
      <c r="C389" s="1" t="n">
        <v>45658</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13287-2020</t>
        </is>
      </c>
      <c r="B390" s="1" t="n">
        <v>43901</v>
      </c>
      <c r="C390" s="1" t="n">
        <v>45658</v>
      </c>
      <c r="D390" t="inlineStr">
        <is>
          <t>STOCKHOLMS LÄN</t>
        </is>
      </c>
      <c r="E390" t="inlineStr">
        <is>
          <t>NORRTÄLJE</t>
        </is>
      </c>
      <c r="F390" t="inlineStr">
        <is>
          <t>Kommuner</t>
        </is>
      </c>
      <c r="G390" t="n">
        <v>3.2</v>
      </c>
      <c r="H390" t="n">
        <v>0</v>
      </c>
      <c r="I390" t="n">
        <v>0</v>
      </c>
      <c r="J390" t="n">
        <v>0</v>
      </c>
      <c r="K390" t="n">
        <v>0</v>
      </c>
      <c r="L390" t="n">
        <v>0</v>
      </c>
      <c r="M390" t="n">
        <v>0</v>
      </c>
      <c r="N390" t="n">
        <v>0</v>
      </c>
      <c r="O390" t="n">
        <v>0</v>
      </c>
      <c r="P390" t="n">
        <v>0</v>
      </c>
      <c r="Q390" t="n">
        <v>0</v>
      </c>
      <c r="R390" s="2" t="inlineStr"/>
    </row>
    <row r="391" ht="15" customHeight="1">
      <c r="A391" t="inlineStr">
        <is>
          <t>A 13281-2020</t>
        </is>
      </c>
      <c r="B391" s="1" t="n">
        <v>43901</v>
      </c>
      <c r="C391" s="1" t="n">
        <v>45658</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13501-2020</t>
        </is>
      </c>
      <c r="B392" s="1" t="n">
        <v>43902</v>
      </c>
      <c r="C392" s="1" t="n">
        <v>45658</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13506-2020</t>
        </is>
      </c>
      <c r="B393" s="1" t="n">
        <v>43902</v>
      </c>
      <c r="C393" s="1" t="n">
        <v>45658</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14525-2020</t>
        </is>
      </c>
      <c r="B394" s="1" t="n">
        <v>43908</v>
      </c>
      <c r="C394" s="1" t="n">
        <v>45658</v>
      </c>
      <c r="D394" t="inlineStr">
        <is>
          <t>STOCKHOLMS LÄN</t>
        </is>
      </c>
      <c r="E394" t="inlineStr">
        <is>
          <t>NORRTÄLJE</t>
        </is>
      </c>
      <c r="G394" t="n">
        <v>10.2</v>
      </c>
      <c r="H394" t="n">
        <v>0</v>
      </c>
      <c r="I394" t="n">
        <v>0</v>
      </c>
      <c r="J394" t="n">
        <v>0</v>
      </c>
      <c r="K394" t="n">
        <v>0</v>
      </c>
      <c r="L394" t="n">
        <v>0</v>
      </c>
      <c r="M394" t="n">
        <v>0</v>
      </c>
      <c r="N394" t="n">
        <v>0</v>
      </c>
      <c r="O394" t="n">
        <v>0</v>
      </c>
      <c r="P394" t="n">
        <v>0</v>
      </c>
      <c r="Q394" t="n">
        <v>0</v>
      </c>
      <c r="R394" s="2" t="inlineStr"/>
    </row>
    <row r="395" ht="15" customHeight="1">
      <c r="A395" t="inlineStr">
        <is>
          <t>A 14831-2020</t>
        </is>
      </c>
      <c r="B395" s="1" t="n">
        <v>43909</v>
      </c>
      <c r="C395" s="1" t="n">
        <v>45658</v>
      </c>
      <c r="D395" t="inlineStr">
        <is>
          <t>STOCKHOLMS LÄN</t>
        </is>
      </c>
      <c r="E395" t="inlineStr">
        <is>
          <t>NORRTÄLJE</t>
        </is>
      </c>
      <c r="G395" t="n">
        <v>11.4</v>
      </c>
      <c r="H395" t="n">
        <v>0</v>
      </c>
      <c r="I395" t="n">
        <v>0</v>
      </c>
      <c r="J395" t="n">
        <v>0</v>
      </c>
      <c r="K395" t="n">
        <v>0</v>
      </c>
      <c r="L395" t="n">
        <v>0</v>
      </c>
      <c r="M395" t="n">
        <v>0</v>
      </c>
      <c r="N395" t="n">
        <v>0</v>
      </c>
      <c r="O395" t="n">
        <v>0</v>
      </c>
      <c r="P395" t="n">
        <v>0</v>
      </c>
      <c r="Q395" t="n">
        <v>0</v>
      </c>
      <c r="R395" s="2" t="inlineStr"/>
    </row>
    <row r="396" ht="15" customHeight="1">
      <c r="A396" t="inlineStr">
        <is>
          <t>A 15663-2020</t>
        </is>
      </c>
      <c r="B396" s="1" t="n">
        <v>43915</v>
      </c>
      <c r="C396" s="1" t="n">
        <v>45658</v>
      </c>
      <c r="D396" t="inlineStr">
        <is>
          <t>STOCKHOLMS LÄN</t>
        </is>
      </c>
      <c r="E396" t="inlineStr">
        <is>
          <t>NORRTÄLJE</t>
        </is>
      </c>
      <c r="G396" t="n">
        <v>11.1</v>
      </c>
      <c r="H396" t="n">
        <v>0</v>
      </c>
      <c r="I396" t="n">
        <v>0</v>
      </c>
      <c r="J396" t="n">
        <v>0</v>
      </c>
      <c r="K396" t="n">
        <v>0</v>
      </c>
      <c r="L396" t="n">
        <v>0</v>
      </c>
      <c r="M396" t="n">
        <v>0</v>
      </c>
      <c r="N396" t="n">
        <v>0</v>
      </c>
      <c r="O396" t="n">
        <v>0</v>
      </c>
      <c r="P396" t="n">
        <v>0</v>
      </c>
      <c r="Q396" t="n">
        <v>0</v>
      </c>
      <c r="R396" s="2" t="inlineStr"/>
    </row>
    <row r="397" ht="15" customHeight="1">
      <c r="A397" t="inlineStr">
        <is>
          <t>A 16273-2020</t>
        </is>
      </c>
      <c r="B397" s="1" t="n">
        <v>43917</v>
      </c>
      <c r="C397" s="1" t="n">
        <v>45658</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17965-2020</t>
        </is>
      </c>
      <c r="B398" s="1" t="n">
        <v>43925</v>
      </c>
      <c r="C398" s="1" t="n">
        <v>45658</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19258-2020</t>
        </is>
      </c>
      <c r="B399" s="1" t="n">
        <v>43937</v>
      </c>
      <c r="C399" s="1" t="n">
        <v>45658</v>
      </c>
      <c r="D399" t="inlineStr">
        <is>
          <t>STOCKHOLMS LÄN</t>
        </is>
      </c>
      <c r="E399" t="inlineStr">
        <is>
          <t>NORRTÄLJE</t>
        </is>
      </c>
      <c r="F399" t="inlineStr">
        <is>
          <t>Övriga statliga verk och myndigheter</t>
        </is>
      </c>
      <c r="G399" t="n">
        <v>2.9</v>
      </c>
      <c r="H399" t="n">
        <v>0</v>
      </c>
      <c r="I399" t="n">
        <v>0</v>
      </c>
      <c r="J399" t="n">
        <v>0</v>
      </c>
      <c r="K399" t="n">
        <v>0</v>
      </c>
      <c r="L399" t="n">
        <v>0</v>
      </c>
      <c r="M399" t="n">
        <v>0</v>
      </c>
      <c r="N399" t="n">
        <v>0</v>
      </c>
      <c r="O399" t="n">
        <v>0</v>
      </c>
      <c r="P399" t="n">
        <v>0</v>
      </c>
      <c r="Q399" t="n">
        <v>0</v>
      </c>
      <c r="R399" s="2" t="inlineStr"/>
    </row>
    <row r="400" ht="15" customHeight="1">
      <c r="A400" t="inlineStr">
        <is>
          <t>A 20257-2020</t>
        </is>
      </c>
      <c r="B400" s="1" t="n">
        <v>43944</v>
      </c>
      <c r="C400" s="1" t="n">
        <v>45658</v>
      </c>
      <c r="D400" t="inlineStr">
        <is>
          <t>STOCKHOLMS LÄN</t>
        </is>
      </c>
      <c r="E400" t="inlineStr">
        <is>
          <t>NORRTÄLJE</t>
        </is>
      </c>
      <c r="G400" t="n">
        <v>80.09999999999999</v>
      </c>
      <c r="H400" t="n">
        <v>0</v>
      </c>
      <c r="I400" t="n">
        <v>0</v>
      </c>
      <c r="J400" t="n">
        <v>0</v>
      </c>
      <c r="K400" t="n">
        <v>0</v>
      </c>
      <c r="L400" t="n">
        <v>0</v>
      </c>
      <c r="M400" t="n">
        <v>0</v>
      </c>
      <c r="N400" t="n">
        <v>0</v>
      </c>
      <c r="O400" t="n">
        <v>0</v>
      </c>
      <c r="P400" t="n">
        <v>0</v>
      </c>
      <c r="Q400" t="n">
        <v>0</v>
      </c>
      <c r="R400" s="2" t="inlineStr"/>
    </row>
    <row r="401" ht="15" customHeight="1">
      <c r="A401" t="inlineStr">
        <is>
          <t>A 21849-2020</t>
        </is>
      </c>
      <c r="B401" s="1" t="n">
        <v>43958</v>
      </c>
      <c r="C401" s="1" t="n">
        <v>45658</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21875-2020</t>
        </is>
      </c>
      <c r="B402" s="1" t="n">
        <v>43958</v>
      </c>
      <c r="C402" s="1" t="n">
        <v>45658</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23751-2020</t>
        </is>
      </c>
      <c r="B403" s="1" t="n">
        <v>43970</v>
      </c>
      <c r="C403" s="1" t="n">
        <v>45658</v>
      </c>
      <c r="D403" t="inlineStr">
        <is>
          <t>STOCKHOLMS LÄN</t>
        </is>
      </c>
      <c r="E403" t="inlineStr">
        <is>
          <t>NORRTÄLJE</t>
        </is>
      </c>
      <c r="G403" t="n">
        <v>5.6</v>
      </c>
      <c r="H403" t="n">
        <v>0</v>
      </c>
      <c r="I403" t="n">
        <v>0</v>
      </c>
      <c r="J403" t="n">
        <v>0</v>
      </c>
      <c r="K403" t="n">
        <v>0</v>
      </c>
      <c r="L403" t="n">
        <v>0</v>
      </c>
      <c r="M403" t="n">
        <v>0</v>
      </c>
      <c r="N403" t="n">
        <v>0</v>
      </c>
      <c r="O403" t="n">
        <v>0</v>
      </c>
      <c r="P403" t="n">
        <v>0</v>
      </c>
      <c r="Q403" t="n">
        <v>0</v>
      </c>
      <c r="R403" s="2" t="inlineStr"/>
    </row>
    <row r="404" ht="15" customHeight="1">
      <c r="A404" t="inlineStr">
        <is>
          <t>A 24136-2020</t>
        </is>
      </c>
      <c r="B404" s="1" t="n">
        <v>43973</v>
      </c>
      <c r="C404" s="1" t="n">
        <v>45658</v>
      </c>
      <c r="D404" t="inlineStr">
        <is>
          <t>STOCKHOLMS LÄN</t>
        </is>
      </c>
      <c r="E404" t="inlineStr">
        <is>
          <t>NORRTÄLJE</t>
        </is>
      </c>
      <c r="G404" t="n">
        <v>4.1</v>
      </c>
      <c r="H404" t="n">
        <v>0</v>
      </c>
      <c r="I404" t="n">
        <v>0</v>
      </c>
      <c r="J404" t="n">
        <v>0</v>
      </c>
      <c r="K404" t="n">
        <v>0</v>
      </c>
      <c r="L404" t="n">
        <v>0</v>
      </c>
      <c r="M404" t="n">
        <v>0</v>
      </c>
      <c r="N404" t="n">
        <v>0</v>
      </c>
      <c r="O404" t="n">
        <v>0</v>
      </c>
      <c r="P404" t="n">
        <v>0</v>
      </c>
      <c r="Q404" t="n">
        <v>0</v>
      </c>
      <c r="R404" s="2" t="inlineStr"/>
    </row>
    <row r="405" ht="15" customHeight="1">
      <c r="A405" t="inlineStr">
        <is>
          <t>A 25584-2020</t>
        </is>
      </c>
      <c r="B405" s="1" t="n">
        <v>43983</v>
      </c>
      <c r="C405" s="1" t="n">
        <v>45658</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25589-2020</t>
        </is>
      </c>
      <c r="B406" s="1" t="n">
        <v>43983</v>
      </c>
      <c r="C406" s="1" t="n">
        <v>45658</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25897-2020</t>
        </is>
      </c>
      <c r="B407" s="1" t="n">
        <v>43984</v>
      </c>
      <c r="C407" s="1" t="n">
        <v>45658</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30600-2020</t>
        </is>
      </c>
      <c r="B408" s="1" t="n">
        <v>44008</v>
      </c>
      <c r="C408" s="1" t="n">
        <v>45658</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31783-2020</t>
        </is>
      </c>
      <c r="B409" s="1" t="n">
        <v>44014</v>
      </c>
      <c r="C409" s="1" t="n">
        <v>45658</v>
      </c>
      <c r="D409" t="inlineStr">
        <is>
          <t>STOCKHOLMS LÄN</t>
        </is>
      </c>
      <c r="E409" t="inlineStr">
        <is>
          <t>NORRTÄLJE</t>
        </is>
      </c>
      <c r="G409" t="n">
        <v>4.8</v>
      </c>
      <c r="H409" t="n">
        <v>0</v>
      </c>
      <c r="I409" t="n">
        <v>0</v>
      </c>
      <c r="J409" t="n">
        <v>0</v>
      </c>
      <c r="K409" t="n">
        <v>0</v>
      </c>
      <c r="L409" t="n">
        <v>0</v>
      </c>
      <c r="M409" t="n">
        <v>0</v>
      </c>
      <c r="N409" t="n">
        <v>0</v>
      </c>
      <c r="O409" t="n">
        <v>0</v>
      </c>
      <c r="P409" t="n">
        <v>0</v>
      </c>
      <c r="Q409" t="n">
        <v>0</v>
      </c>
      <c r="R409" s="2" t="inlineStr"/>
    </row>
    <row r="410" ht="15" customHeight="1">
      <c r="A410" t="inlineStr">
        <is>
          <t>A 33749-2020</t>
        </is>
      </c>
      <c r="B410" s="1" t="n">
        <v>44026</v>
      </c>
      <c r="C410" s="1" t="n">
        <v>45658</v>
      </c>
      <c r="D410" t="inlineStr">
        <is>
          <t>STOCKHOLMS LÄN</t>
        </is>
      </c>
      <c r="E410" t="inlineStr">
        <is>
          <t>NORRTÄLJE</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34651-2020</t>
        </is>
      </c>
      <c r="B411" s="1" t="n">
        <v>44034</v>
      </c>
      <c r="C411" s="1" t="n">
        <v>45658</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34650-2020</t>
        </is>
      </c>
      <c r="B412" s="1" t="n">
        <v>44034</v>
      </c>
      <c r="C412" s="1" t="n">
        <v>45658</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36314-2020</t>
        </is>
      </c>
      <c r="B413" s="1" t="n">
        <v>44049</v>
      </c>
      <c r="C413" s="1" t="n">
        <v>45658</v>
      </c>
      <c r="D413" t="inlineStr">
        <is>
          <t>STOCKHOLMS LÄN</t>
        </is>
      </c>
      <c r="E413" t="inlineStr">
        <is>
          <t>NORRTÄLJE</t>
        </is>
      </c>
      <c r="G413" t="n">
        <v>5</v>
      </c>
      <c r="H413" t="n">
        <v>0</v>
      </c>
      <c r="I413" t="n">
        <v>0</v>
      </c>
      <c r="J413" t="n">
        <v>0</v>
      </c>
      <c r="K413" t="n">
        <v>0</v>
      </c>
      <c r="L413" t="n">
        <v>0</v>
      </c>
      <c r="M413" t="n">
        <v>0</v>
      </c>
      <c r="N413" t="n">
        <v>0</v>
      </c>
      <c r="O413" t="n">
        <v>0</v>
      </c>
      <c r="P413" t="n">
        <v>0</v>
      </c>
      <c r="Q413" t="n">
        <v>0</v>
      </c>
      <c r="R413" s="2" t="inlineStr"/>
    </row>
    <row r="414" ht="15" customHeight="1">
      <c r="A414" t="inlineStr">
        <is>
          <t>A 36359-2020</t>
        </is>
      </c>
      <c r="B414" s="1" t="n">
        <v>44049</v>
      </c>
      <c r="C414" s="1" t="n">
        <v>45658</v>
      </c>
      <c r="D414" t="inlineStr">
        <is>
          <t>STOCKHOLMS LÄN</t>
        </is>
      </c>
      <c r="E414" t="inlineStr">
        <is>
          <t>NORRTÄLJE</t>
        </is>
      </c>
      <c r="G414" t="n">
        <v>6.5</v>
      </c>
      <c r="H414" t="n">
        <v>0</v>
      </c>
      <c r="I414" t="n">
        <v>0</v>
      </c>
      <c r="J414" t="n">
        <v>0</v>
      </c>
      <c r="K414" t="n">
        <v>0</v>
      </c>
      <c r="L414" t="n">
        <v>0</v>
      </c>
      <c r="M414" t="n">
        <v>0</v>
      </c>
      <c r="N414" t="n">
        <v>0</v>
      </c>
      <c r="O414" t="n">
        <v>0</v>
      </c>
      <c r="P414" t="n">
        <v>0</v>
      </c>
      <c r="Q414" t="n">
        <v>0</v>
      </c>
      <c r="R414" s="2" t="inlineStr"/>
    </row>
    <row r="415" ht="15" customHeight="1">
      <c r="A415" t="inlineStr">
        <is>
          <t>A 40837-2020</t>
        </is>
      </c>
      <c r="B415" s="1" t="n">
        <v>44067</v>
      </c>
      <c r="C415" s="1" t="n">
        <v>45658</v>
      </c>
      <c r="D415" t="inlineStr">
        <is>
          <t>STOCKHOLMS LÄN</t>
        </is>
      </c>
      <c r="E415" t="inlineStr">
        <is>
          <t>NORRTÄLJE</t>
        </is>
      </c>
      <c r="G415" t="n">
        <v>20.6</v>
      </c>
      <c r="H415" t="n">
        <v>0</v>
      </c>
      <c r="I415" t="n">
        <v>0</v>
      </c>
      <c r="J415" t="n">
        <v>0</v>
      </c>
      <c r="K415" t="n">
        <v>0</v>
      </c>
      <c r="L415" t="n">
        <v>0</v>
      </c>
      <c r="M415" t="n">
        <v>0</v>
      </c>
      <c r="N415" t="n">
        <v>0</v>
      </c>
      <c r="O415" t="n">
        <v>0</v>
      </c>
      <c r="P415" t="n">
        <v>0</v>
      </c>
      <c r="Q415" t="n">
        <v>0</v>
      </c>
      <c r="R415" s="2" t="inlineStr"/>
    </row>
    <row r="416" ht="15" customHeight="1">
      <c r="A416" t="inlineStr">
        <is>
          <t>A 40661-2020</t>
        </is>
      </c>
      <c r="B416" s="1" t="n">
        <v>44069</v>
      </c>
      <c r="C416" s="1" t="n">
        <v>45658</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42247-2020</t>
        </is>
      </c>
      <c r="B417" s="1" t="n">
        <v>44074</v>
      </c>
      <c r="C417" s="1" t="n">
        <v>45658</v>
      </c>
      <c r="D417" t="inlineStr">
        <is>
          <t>STOCKHOLMS LÄN</t>
        </is>
      </c>
      <c r="E417" t="inlineStr">
        <is>
          <t>NORRTÄLJE</t>
        </is>
      </c>
      <c r="G417" t="n">
        <v>1.4</v>
      </c>
      <c r="H417" t="n">
        <v>0</v>
      </c>
      <c r="I417" t="n">
        <v>0</v>
      </c>
      <c r="J417" t="n">
        <v>0</v>
      </c>
      <c r="K417" t="n">
        <v>0</v>
      </c>
      <c r="L417" t="n">
        <v>0</v>
      </c>
      <c r="M417" t="n">
        <v>0</v>
      </c>
      <c r="N417" t="n">
        <v>0</v>
      </c>
      <c r="O417" t="n">
        <v>0</v>
      </c>
      <c r="P417" t="n">
        <v>0</v>
      </c>
      <c r="Q417" t="n">
        <v>0</v>
      </c>
      <c r="R417" s="2" t="inlineStr"/>
    </row>
    <row r="418" ht="15" customHeight="1">
      <c r="A418" t="inlineStr">
        <is>
          <t>A 42256-2020</t>
        </is>
      </c>
      <c r="B418" s="1" t="n">
        <v>44074</v>
      </c>
      <c r="C418" s="1" t="n">
        <v>45658</v>
      </c>
      <c r="D418" t="inlineStr">
        <is>
          <t>STOCKHOLMS LÄN</t>
        </is>
      </c>
      <c r="E418" t="inlineStr">
        <is>
          <t>NORRTÄLJE</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41694-2020</t>
        </is>
      </c>
      <c r="B419" s="1" t="n">
        <v>44074</v>
      </c>
      <c r="C419" s="1" t="n">
        <v>45658</v>
      </c>
      <c r="D419" t="inlineStr">
        <is>
          <t>STOCKHOLMS LÄN</t>
        </is>
      </c>
      <c r="E419" t="inlineStr">
        <is>
          <t>NORRTÄLJE</t>
        </is>
      </c>
      <c r="G419" t="n">
        <v>3</v>
      </c>
      <c r="H419" t="n">
        <v>0</v>
      </c>
      <c r="I419" t="n">
        <v>0</v>
      </c>
      <c r="J419" t="n">
        <v>0</v>
      </c>
      <c r="K419" t="n">
        <v>0</v>
      </c>
      <c r="L419" t="n">
        <v>0</v>
      </c>
      <c r="M419" t="n">
        <v>0</v>
      </c>
      <c r="N419" t="n">
        <v>0</v>
      </c>
      <c r="O419" t="n">
        <v>0</v>
      </c>
      <c r="P419" t="n">
        <v>0</v>
      </c>
      <c r="Q419" t="n">
        <v>0</v>
      </c>
      <c r="R419" s="2" t="inlineStr"/>
    </row>
    <row r="420" ht="15" customHeight="1">
      <c r="A420" t="inlineStr">
        <is>
          <t>A 42365-2020</t>
        </is>
      </c>
      <c r="B420" s="1" t="n">
        <v>44076</v>
      </c>
      <c r="C420" s="1" t="n">
        <v>45658</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45658</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42455-2020</t>
        </is>
      </c>
      <c r="B422" s="1" t="n">
        <v>44076</v>
      </c>
      <c r="C422" s="1" t="n">
        <v>45658</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43751-2020</t>
        </is>
      </c>
      <c r="B423" s="1" t="n">
        <v>44082</v>
      </c>
      <c r="C423" s="1" t="n">
        <v>45658</v>
      </c>
      <c r="D423" t="inlineStr">
        <is>
          <t>STOCKHOLMS LÄN</t>
        </is>
      </c>
      <c r="E423" t="inlineStr">
        <is>
          <t>NORRTÄLJE</t>
        </is>
      </c>
      <c r="G423" t="n">
        <v>8</v>
      </c>
      <c r="H423" t="n">
        <v>0</v>
      </c>
      <c r="I423" t="n">
        <v>0</v>
      </c>
      <c r="J423" t="n">
        <v>0</v>
      </c>
      <c r="K423" t="n">
        <v>0</v>
      </c>
      <c r="L423" t="n">
        <v>0</v>
      </c>
      <c r="M423" t="n">
        <v>0</v>
      </c>
      <c r="N423" t="n">
        <v>0</v>
      </c>
      <c r="O423" t="n">
        <v>0</v>
      </c>
      <c r="P423" t="n">
        <v>0</v>
      </c>
      <c r="Q423" t="n">
        <v>0</v>
      </c>
      <c r="R423" s="2" t="inlineStr"/>
    </row>
    <row r="424" ht="15" customHeight="1">
      <c r="A424" t="inlineStr">
        <is>
          <t>A 44096-2020</t>
        </is>
      </c>
      <c r="B424" s="1" t="n">
        <v>44083</v>
      </c>
      <c r="C424" s="1" t="n">
        <v>45658</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44071-2020</t>
        </is>
      </c>
      <c r="B425" s="1" t="n">
        <v>44083</v>
      </c>
      <c r="C425" s="1" t="n">
        <v>45658</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44183-2020</t>
        </is>
      </c>
      <c r="B426" s="1" t="n">
        <v>44083</v>
      </c>
      <c r="C426" s="1" t="n">
        <v>45658</v>
      </c>
      <c r="D426" t="inlineStr">
        <is>
          <t>STOCKHOLMS LÄN</t>
        </is>
      </c>
      <c r="E426" t="inlineStr">
        <is>
          <t>NORRTÄLJE</t>
        </is>
      </c>
      <c r="G426" t="n">
        <v>4.3</v>
      </c>
      <c r="H426" t="n">
        <v>0</v>
      </c>
      <c r="I426" t="n">
        <v>0</v>
      </c>
      <c r="J426" t="n">
        <v>0</v>
      </c>
      <c r="K426" t="n">
        <v>0</v>
      </c>
      <c r="L426" t="n">
        <v>0</v>
      </c>
      <c r="M426" t="n">
        <v>0</v>
      </c>
      <c r="N426" t="n">
        <v>0</v>
      </c>
      <c r="O426" t="n">
        <v>0</v>
      </c>
      <c r="P426" t="n">
        <v>0</v>
      </c>
      <c r="Q426" t="n">
        <v>0</v>
      </c>
      <c r="R426" s="2" t="inlineStr"/>
    </row>
    <row r="427" ht="15" customHeight="1">
      <c r="A427" t="inlineStr">
        <is>
          <t>A 44792-2020</t>
        </is>
      </c>
      <c r="B427" s="1" t="n">
        <v>44085</v>
      </c>
      <c r="C427" s="1" t="n">
        <v>45658</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45988-2020</t>
        </is>
      </c>
      <c r="B428" s="1" t="n">
        <v>44091</v>
      </c>
      <c r="C428" s="1" t="n">
        <v>45658</v>
      </c>
      <c r="D428" t="inlineStr">
        <is>
          <t>STOCKHOLMS LÄN</t>
        </is>
      </c>
      <c r="E428" t="inlineStr">
        <is>
          <t>NORRTÄLJE</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46556-2020</t>
        </is>
      </c>
      <c r="B429" s="1" t="n">
        <v>44095</v>
      </c>
      <c r="C429" s="1" t="n">
        <v>45658</v>
      </c>
      <c r="D429" t="inlineStr">
        <is>
          <t>STOCKHOLMS LÄN</t>
        </is>
      </c>
      <c r="E429" t="inlineStr">
        <is>
          <t>NORRTÄLJE</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47291-2020</t>
        </is>
      </c>
      <c r="B430" s="1" t="n">
        <v>44097</v>
      </c>
      <c r="C430" s="1" t="n">
        <v>45658</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48392-2020</t>
        </is>
      </c>
      <c r="B431" s="1" t="n">
        <v>44097</v>
      </c>
      <c r="C431" s="1" t="n">
        <v>45658</v>
      </c>
      <c r="D431" t="inlineStr">
        <is>
          <t>STOCKHOLMS LÄN</t>
        </is>
      </c>
      <c r="E431" t="inlineStr">
        <is>
          <t>NORRTÄLJE</t>
        </is>
      </c>
      <c r="G431" t="n">
        <v>12.5</v>
      </c>
      <c r="H431" t="n">
        <v>0</v>
      </c>
      <c r="I431" t="n">
        <v>0</v>
      </c>
      <c r="J431" t="n">
        <v>0</v>
      </c>
      <c r="K431" t="n">
        <v>0</v>
      </c>
      <c r="L431" t="n">
        <v>0</v>
      </c>
      <c r="M431" t="n">
        <v>0</v>
      </c>
      <c r="N431" t="n">
        <v>0</v>
      </c>
      <c r="O431" t="n">
        <v>0</v>
      </c>
      <c r="P431" t="n">
        <v>0</v>
      </c>
      <c r="Q431" t="n">
        <v>0</v>
      </c>
      <c r="R431" s="2" t="inlineStr"/>
    </row>
    <row r="432" ht="15" customHeight="1">
      <c r="A432" t="inlineStr">
        <is>
          <t>A 47869-2020</t>
        </is>
      </c>
      <c r="B432" s="1" t="n">
        <v>44098</v>
      </c>
      <c r="C432" s="1" t="n">
        <v>45658</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47868-2020</t>
        </is>
      </c>
      <c r="B433" s="1" t="n">
        <v>44098</v>
      </c>
      <c r="C433" s="1" t="n">
        <v>45658</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48066-2020</t>
        </is>
      </c>
      <c r="B434" s="1" t="n">
        <v>44100</v>
      </c>
      <c r="C434" s="1" t="n">
        <v>45658</v>
      </c>
      <c r="D434" t="inlineStr">
        <is>
          <t>STOCKHOLMS LÄN</t>
        </is>
      </c>
      <c r="E434" t="inlineStr">
        <is>
          <t>NORRTÄLJE</t>
        </is>
      </c>
      <c r="G434" t="n">
        <v>3.7</v>
      </c>
      <c r="H434" t="n">
        <v>0</v>
      </c>
      <c r="I434" t="n">
        <v>0</v>
      </c>
      <c r="J434" t="n">
        <v>0</v>
      </c>
      <c r="K434" t="n">
        <v>0</v>
      </c>
      <c r="L434" t="n">
        <v>0</v>
      </c>
      <c r="M434" t="n">
        <v>0</v>
      </c>
      <c r="N434" t="n">
        <v>0</v>
      </c>
      <c r="O434" t="n">
        <v>0</v>
      </c>
      <c r="P434" t="n">
        <v>0</v>
      </c>
      <c r="Q434" t="n">
        <v>0</v>
      </c>
      <c r="R434" s="2" t="inlineStr"/>
    </row>
    <row r="435" ht="15" customHeight="1">
      <c r="A435" t="inlineStr">
        <is>
          <t>A 48071-2020</t>
        </is>
      </c>
      <c r="B435" s="1" t="n">
        <v>44100</v>
      </c>
      <c r="C435" s="1" t="n">
        <v>45658</v>
      </c>
      <c r="D435" t="inlineStr">
        <is>
          <t>STOCKHOLMS LÄN</t>
        </is>
      </c>
      <c r="E435" t="inlineStr">
        <is>
          <t>NORRTÄLJE</t>
        </is>
      </c>
      <c r="G435" t="n">
        <v>6.8</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45658</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48522-2020</t>
        </is>
      </c>
      <c r="B437" s="1" t="n">
        <v>44103</v>
      </c>
      <c r="C437" s="1" t="n">
        <v>45658</v>
      </c>
      <c r="D437" t="inlineStr">
        <is>
          <t>STOCKHOLMS LÄN</t>
        </is>
      </c>
      <c r="E437" t="inlineStr">
        <is>
          <t>NORRTÄLJE</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49334-2020</t>
        </is>
      </c>
      <c r="B438" s="1" t="n">
        <v>44105</v>
      </c>
      <c r="C438" s="1" t="n">
        <v>45658</v>
      </c>
      <c r="D438" t="inlineStr">
        <is>
          <t>STOCKHOLMS LÄN</t>
        </is>
      </c>
      <c r="E438" t="inlineStr">
        <is>
          <t>NORRTÄLJE</t>
        </is>
      </c>
      <c r="G438" t="n">
        <v>1.5</v>
      </c>
      <c r="H438" t="n">
        <v>0</v>
      </c>
      <c r="I438" t="n">
        <v>0</v>
      </c>
      <c r="J438" t="n">
        <v>0</v>
      </c>
      <c r="K438" t="n">
        <v>0</v>
      </c>
      <c r="L438" t="n">
        <v>0</v>
      </c>
      <c r="M438" t="n">
        <v>0</v>
      </c>
      <c r="N438" t="n">
        <v>0</v>
      </c>
      <c r="O438" t="n">
        <v>0</v>
      </c>
      <c r="P438" t="n">
        <v>0</v>
      </c>
      <c r="Q438" t="n">
        <v>0</v>
      </c>
      <c r="R438" s="2" t="inlineStr"/>
    </row>
    <row r="439" ht="15" customHeight="1">
      <c r="A439" t="inlineStr">
        <is>
          <t>A 49327-2020</t>
        </is>
      </c>
      <c r="B439" s="1" t="n">
        <v>44105</v>
      </c>
      <c r="C439" s="1" t="n">
        <v>45658</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45658</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50497-2020</t>
        </is>
      </c>
      <c r="B441" s="1" t="n">
        <v>44110</v>
      </c>
      <c r="C441" s="1" t="n">
        <v>45658</v>
      </c>
      <c r="D441" t="inlineStr">
        <is>
          <t>STOCKHOLMS LÄN</t>
        </is>
      </c>
      <c r="E441" t="inlineStr">
        <is>
          <t>NORRTÄLJE</t>
        </is>
      </c>
      <c r="F441" t="inlineStr">
        <is>
          <t>Holmen skog AB</t>
        </is>
      </c>
      <c r="G441" t="n">
        <v>4.3</v>
      </c>
      <c r="H441" t="n">
        <v>0</v>
      </c>
      <c r="I441" t="n">
        <v>0</v>
      </c>
      <c r="J441" t="n">
        <v>0</v>
      </c>
      <c r="K441" t="n">
        <v>0</v>
      </c>
      <c r="L441" t="n">
        <v>0</v>
      </c>
      <c r="M441" t="n">
        <v>0</v>
      </c>
      <c r="N441" t="n">
        <v>0</v>
      </c>
      <c r="O441" t="n">
        <v>0</v>
      </c>
      <c r="P441" t="n">
        <v>0</v>
      </c>
      <c r="Q441" t="n">
        <v>0</v>
      </c>
      <c r="R441" s="2" t="inlineStr"/>
    </row>
    <row r="442" ht="15" customHeight="1">
      <c r="A442" t="inlineStr">
        <is>
          <t>A 50738-2020</t>
        </is>
      </c>
      <c r="B442" s="1" t="n">
        <v>44111</v>
      </c>
      <c r="C442" s="1" t="n">
        <v>45658</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50746-2020</t>
        </is>
      </c>
      <c r="B443" s="1" t="n">
        <v>44111</v>
      </c>
      <c r="C443" s="1" t="n">
        <v>45658</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50742-2020</t>
        </is>
      </c>
      <c r="B444" s="1" t="n">
        <v>44111</v>
      </c>
      <c r="C444" s="1" t="n">
        <v>45658</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51720-2020</t>
        </is>
      </c>
      <c r="B445" s="1" t="n">
        <v>44113</v>
      </c>
      <c r="C445" s="1" t="n">
        <v>45658</v>
      </c>
      <c r="D445" t="inlineStr">
        <is>
          <t>STOCKHOLMS LÄN</t>
        </is>
      </c>
      <c r="E445" t="inlineStr">
        <is>
          <t>NORRTÄLJE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51787-2020</t>
        </is>
      </c>
      <c r="B446" s="1" t="n">
        <v>44116</v>
      </c>
      <c r="C446" s="1" t="n">
        <v>45658</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51798-2020</t>
        </is>
      </c>
      <c r="B447" s="1" t="n">
        <v>44116</v>
      </c>
      <c r="C447" s="1" t="n">
        <v>45658</v>
      </c>
      <c r="D447" t="inlineStr">
        <is>
          <t>STOCKHOLMS LÄN</t>
        </is>
      </c>
      <c r="E447" t="inlineStr">
        <is>
          <t>NORRTÄLJE</t>
        </is>
      </c>
      <c r="G447" t="n">
        <v>4.3</v>
      </c>
      <c r="H447" t="n">
        <v>0</v>
      </c>
      <c r="I447" t="n">
        <v>0</v>
      </c>
      <c r="J447" t="n">
        <v>0</v>
      </c>
      <c r="K447" t="n">
        <v>0</v>
      </c>
      <c r="L447" t="n">
        <v>0</v>
      </c>
      <c r="M447" t="n">
        <v>0</v>
      </c>
      <c r="N447" t="n">
        <v>0</v>
      </c>
      <c r="O447" t="n">
        <v>0</v>
      </c>
      <c r="P447" t="n">
        <v>0</v>
      </c>
      <c r="Q447" t="n">
        <v>0</v>
      </c>
      <c r="R447" s="2" t="inlineStr"/>
    </row>
    <row r="448" ht="15" customHeight="1">
      <c r="A448" t="inlineStr">
        <is>
          <t>A 53768-2020</t>
        </is>
      </c>
      <c r="B448" s="1" t="n">
        <v>44123</v>
      </c>
      <c r="C448" s="1" t="n">
        <v>45658</v>
      </c>
      <c r="D448" t="inlineStr">
        <is>
          <t>STOCKHOLMS LÄN</t>
        </is>
      </c>
      <c r="E448" t="inlineStr">
        <is>
          <t>NORRTÄLJE</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53652-2020</t>
        </is>
      </c>
      <c r="B449" s="1" t="n">
        <v>44124</v>
      </c>
      <c r="C449" s="1" t="n">
        <v>45658</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53690-2020</t>
        </is>
      </c>
      <c r="B450" s="1" t="n">
        <v>44124</v>
      </c>
      <c r="C450" s="1" t="n">
        <v>45658</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53607-2020</t>
        </is>
      </c>
      <c r="B451" s="1" t="n">
        <v>44124</v>
      </c>
      <c r="C451" s="1" t="n">
        <v>45658</v>
      </c>
      <c r="D451" t="inlineStr">
        <is>
          <t>STOCKHOLMS LÄN</t>
        </is>
      </c>
      <c r="E451" t="inlineStr">
        <is>
          <t>NORRTÄLJE</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55089-2020</t>
        </is>
      </c>
      <c r="B452" s="1" t="n">
        <v>44130</v>
      </c>
      <c r="C452" s="1" t="n">
        <v>45658</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55895-2020</t>
        </is>
      </c>
      <c r="B453" s="1" t="n">
        <v>44132</v>
      </c>
      <c r="C453" s="1" t="n">
        <v>45658</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55890-2020</t>
        </is>
      </c>
      <c r="B454" s="1" t="n">
        <v>44132</v>
      </c>
      <c r="C454" s="1" t="n">
        <v>45658</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55982-2020</t>
        </is>
      </c>
      <c r="B455" s="1" t="n">
        <v>44132</v>
      </c>
      <c r="C455" s="1" t="n">
        <v>45658</v>
      </c>
      <c r="D455" t="inlineStr">
        <is>
          <t>STOCKHOLMS LÄN</t>
        </is>
      </c>
      <c r="E455" t="inlineStr">
        <is>
          <t>NORRTÄLJE</t>
        </is>
      </c>
      <c r="G455" t="n">
        <v>11.3</v>
      </c>
      <c r="H455" t="n">
        <v>0</v>
      </c>
      <c r="I455" t="n">
        <v>0</v>
      </c>
      <c r="J455" t="n">
        <v>0</v>
      </c>
      <c r="K455" t="n">
        <v>0</v>
      </c>
      <c r="L455" t="n">
        <v>0</v>
      </c>
      <c r="M455" t="n">
        <v>0</v>
      </c>
      <c r="N455" t="n">
        <v>0</v>
      </c>
      <c r="O455" t="n">
        <v>0</v>
      </c>
      <c r="P455" t="n">
        <v>0</v>
      </c>
      <c r="Q455" t="n">
        <v>0</v>
      </c>
      <c r="R455" s="2" t="inlineStr"/>
    </row>
    <row r="456" ht="15" customHeight="1">
      <c r="A456" t="inlineStr">
        <is>
          <t>A 56166-2020</t>
        </is>
      </c>
      <c r="B456" s="1" t="n">
        <v>44133</v>
      </c>
      <c r="C456" s="1" t="n">
        <v>45658</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56323-2020</t>
        </is>
      </c>
      <c r="B457" s="1" t="n">
        <v>44134</v>
      </c>
      <c r="C457" s="1" t="n">
        <v>45658</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57216-2020</t>
        </is>
      </c>
      <c r="B458" s="1" t="n">
        <v>44139</v>
      </c>
      <c r="C458" s="1" t="n">
        <v>45658</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57957-2020</t>
        </is>
      </c>
      <c r="B459" s="1" t="n">
        <v>44143</v>
      </c>
      <c r="C459" s="1" t="n">
        <v>45658</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57987-2020</t>
        </is>
      </c>
      <c r="B460" s="1" t="n">
        <v>44143</v>
      </c>
      <c r="C460" s="1" t="n">
        <v>45658</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58493-2020</t>
        </is>
      </c>
      <c r="B461" s="1" t="n">
        <v>44145</v>
      </c>
      <c r="C461" s="1" t="n">
        <v>45658</v>
      </c>
      <c r="D461" t="inlineStr">
        <is>
          <t>STOCKHOLMS LÄN</t>
        </is>
      </c>
      <c r="E461" t="inlineStr">
        <is>
          <t>NORRTÄLJE</t>
        </is>
      </c>
      <c r="G461" t="n">
        <v>2.8</v>
      </c>
      <c r="H461" t="n">
        <v>0</v>
      </c>
      <c r="I461" t="n">
        <v>0</v>
      </c>
      <c r="J461" t="n">
        <v>0</v>
      </c>
      <c r="K461" t="n">
        <v>0</v>
      </c>
      <c r="L461" t="n">
        <v>0</v>
      </c>
      <c r="M461" t="n">
        <v>0</v>
      </c>
      <c r="N461" t="n">
        <v>0</v>
      </c>
      <c r="O461" t="n">
        <v>0</v>
      </c>
      <c r="P461" t="n">
        <v>0</v>
      </c>
      <c r="Q461" t="n">
        <v>0</v>
      </c>
      <c r="R461" s="2" t="inlineStr"/>
    </row>
    <row r="462" ht="15" customHeight="1">
      <c r="A462" t="inlineStr">
        <is>
          <t>A 58661-2020</t>
        </is>
      </c>
      <c r="B462" s="1" t="n">
        <v>44145</v>
      </c>
      <c r="C462" s="1" t="n">
        <v>45658</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58665-2020</t>
        </is>
      </c>
      <c r="B463" s="1" t="n">
        <v>44145</v>
      </c>
      <c r="C463" s="1" t="n">
        <v>45658</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58888-2020</t>
        </is>
      </c>
      <c r="B464" s="1" t="n">
        <v>44146</v>
      </c>
      <c r="C464" s="1" t="n">
        <v>45658</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60321-2020</t>
        </is>
      </c>
      <c r="B465" s="1" t="n">
        <v>44152</v>
      </c>
      <c r="C465" s="1" t="n">
        <v>45658</v>
      </c>
      <c r="D465" t="inlineStr">
        <is>
          <t>STOCKHOLMS LÄN</t>
        </is>
      </c>
      <c r="E465" t="inlineStr">
        <is>
          <t>NORRTÄLJE</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60542-2020</t>
        </is>
      </c>
      <c r="B466" s="1" t="n">
        <v>44153</v>
      </c>
      <c r="C466" s="1" t="n">
        <v>45658</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60977-2020</t>
        </is>
      </c>
      <c r="B467" s="1" t="n">
        <v>44154</v>
      </c>
      <c r="C467" s="1" t="n">
        <v>45658</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60891-2020</t>
        </is>
      </c>
      <c r="B468" s="1" t="n">
        <v>44154</v>
      </c>
      <c r="C468" s="1" t="n">
        <v>45658</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60961-2020</t>
        </is>
      </c>
      <c r="B469" s="1" t="n">
        <v>44154</v>
      </c>
      <c r="C469" s="1" t="n">
        <v>45658</v>
      </c>
      <c r="D469" t="inlineStr">
        <is>
          <t>STOCKHOLMS LÄN</t>
        </is>
      </c>
      <c r="E469" t="inlineStr">
        <is>
          <t>NORRTÄLJE</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61195-2020</t>
        </is>
      </c>
      <c r="B470" s="1" t="n">
        <v>44155</v>
      </c>
      <c r="C470" s="1" t="n">
        <v>45658</v>
      </c>
      <c r="D470" t="inlineStr">
        <is>
          <t>STOCKHOLMS LÄN</t>
        </is>
      </c>
      <c r="E470" t="inlineStr">
        <is>
          <t>NORRTÄLJE</t>
        </is>
      </c>
      <c r="G470" t="n">
        <v>7.8</v>
      </c>
      <c r="H470" t="n">
        <v>0</v>
      </c>
      <c r="I470" t="n">
        <v>0</v>
      </c>
      <c r="J470" t="n">
        <v>0</v>
      </c>
      <c r="K470" t="n">
        <v>0</v>
      </c>
      <c r="L470" t="n">
        <v>0</v>
      </c>
      <c r="M470" t="n">
        <v>0</v>
      </c>
      <c r="N470" t="n">
        <v>0</v>
      </c>
      <c r="O470" t="n">
        <v>0</v>
      </c>
      <c r="P470" t="n">
        <v>0</v>
      </c>
      <c r="Q470" t="n">
        <v>0</v>
      </c>
      <c r="R470" s="2" t="inlineStr"/>
    </row>
    <row r="471" ht="15" customHeight="1">
      <c r="A471" t="inlineStr">
        <is>
          <t>A 61221-2020</t>
        </is>
      </c>
      <c r="B471" s="1" t="n">
        <v>44155</v>
      </c>
      <c r="C471" s="1" t="n">
        <v>45658</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61363-2020</t>
        </is>
      </c>
      <c r="B472" s="1" t="n">
        <v>44155</v>
      </c>
      <c r="C472" s="1" t="n">
        <v>45658</v>
      </c>
      <c r="D472" t="inlineStr">
        <is>
          <t>STOCKHOLMS LÄN</t>
        </is>
      </c>
      <c r="E472" t="inlineStr">
        <is>
          <t>NORRTÄLJE</t>
        </is>
      </c>
      <c r="G472" t="n">
        <v>2.3</v>
      </c>
      <c r="H472" t="n">
        <v>0</v>
      </c>
      <c r="I472" t="n">
        <v>0</v>
      </c>
      <c r="J472" t="n">
        <v>0</v>
      </c>
      <c r="K472" t="n">
        <v>0</v>
      </c>
      <c r="L472" t="n">
        <v>0</v>
      </c>
      <c r="M472" t="n">
        <v>0</v>
      </c>
      <c r="N472" t="n">
        <v>0</v>
      </c>
      <c r="O472" t="n">
        <v>0</v>
      </c>
      <c r="P472" t="n">
        <v>0</v>
      </c>
      <c r="Q472" t="n">
        <v>0</v>
      </c>
      <c r="R472" s="2" t="inlineStr"/>
    </row>
    <row r="473" ht="15" customHeight="1">
      <c r="A473" t="inlineStr">
        <is>
          <t>A 61469-2020</t>
        </is>
      </c>
      <c r="B473" s="1" t="n">
        <v>44155</v>
      </c>
      <c r="C473" s="1" t="n">
        <v>45658</v>
      </c>
      <c r="D473" t="inlineStr">
        <is>
          <t>STOCKHOLMS LÄN</t>
        </is>
      </c>
      <c r="E473" t="inlineStr">
        <is>
          <t>NORRTÄLJE</t>
        </is>
      </c>
      <c r="F473" t="inlineStr">
        <is>
          <t>Övriga Aktiebolag</t>
        </is>
      </c>
      <c r="G473" t="n">
        <v>2.6</v>
      </c>
      <c r="H473" t="n">
        <v>0</v>
      </c>
      <c r="I473" t="n">
        <v>0</v>
      </c>
      <c r="J473" t="n">
        <v>0</v>
      </c>
      <c r="K473" t="n">
        <v>0</v>
      </c>
      <c r="L473" t="n">
        <v>0</v>
      </c>
      <c r="M473" t="n">
        <v>0</v>
      </c>
      <c r="N473" t="n">
        <v>0</v>
      </c>
      <c r="O473" t="n">
        <v>0</v>
      </c>
      <c r="P473" t="n">
        <v>0</v>
      </c>
      <c r="Q473" t="n">
        <v>0</v>
      </c>
      <c r="R473" s="2" t="inlineStr"/>
    </row>
    <row r="474" ht="15" customHeight="1">
      <c r="A474" t="inlineStr">
        <is>
          <t>A 61192-2020</t>
        </is>
      </c>
      <c r="B474" s="1" t="n">
        <v>44155</v>
      </c>
      <c r="C474" s="1" t="n">
        <v>45658</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62460-2020</t>
        </is>
      </c>
      <c r="B475" s="1" t="n">
        <v>44160</v>
      </c>
      <c r="C475" s="1" t="n">
        <v>45658</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62854-2020</t>
        </is>
      </c>
      <c r="B476" s="1" t="n">
        <v>44161</v>
      </c>
      <c r="C476" s="1" t="n">
        <v>45658</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63824-2020</t>
        </is>
      </c>
      <c r="B477" s="1" t="n">
        <v>44162</v>
      </c>
      <c r="C477" s="1" t="n">
        <v>45658</v>
      </c>
      <c r="D477" t="inlineStr">
        <is>
          <t>STOCKHOLMS LÄN</t>
        </is>
      </c>
      <c r="E477" t="inlineStr">
        <is>
          <t>NORRTÄLJE</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66372-2020</t>
        </is>
      </c>
      <c r="B478" s="1" t="n">
        <v>44176</v>
      </c>
      <c r="C478" s="1" t="n">
        <v>45658</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66907-2020</t>
        </is>
      </c>
      <c r="B479" s="1" t="n">
        <v>44176</v>
      </c>
      <c r="C479" s="1" t="n">
        <v>45658</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67393-2020</t>
        </is>
      </c>
      <c r="B480" s="1" t="n">
        <v>44181</v>
      </c>
      <c r="C480" s="1" t="n">
        <v>45658</v>
      </c>
      <c r="D480" t="inlineStr">
        <is>
          <t>STOCKHOLMS LÄN</t>
        </is>
      </c>
      <c r="E480" t="inlineStr">
        <is>
          <t>NORRTÄLJE</t>
        </is>
      </c>
      <c r="G480" t="n">
        <v>5.5</v>
      </c>
      <c r="H480" t="n">
        <v>0</v>
      </c>
      <c r="I480" t="n">
        <v>0</v>
      </c>
      <c r="J480" t="n">
        <v>0</v>
      </c>
      <c r="K480" t="n">
        <v>0</v>
      </c>
      <c r="L480" t="n">
        <v>0</v>
      </c>
      <c r="M480" t="n">
        <v>0</v>
      </c>
      <c r="N480" t="n">
        <v>0</v>
      </c>
      <c r="O480" t="n">
        <v>0</v>
      </c>
      <c r="P480" t="n">
        <v>0</v>
      </c>
      <c r="Q480" t="n">
        <v>0</v>
      </c>
      <c r="R480" s="2" t="inlineStr"/>
    </row>
    <row r="481" ht="15" customHeight="1">
      <c r="A481" t="inlineStr">
        <is>
          <t>A 68081-2020</t>
        </is>
      </c>
      <c r="B481" s="1" t="n">
        <v>44183</v>
      </c>
      <c r="C481" s="1" t="n">
        <v>45658</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367-2021</t>
        </is>
      </c>
      <c r="B482" s="1" t="n">
        <v>44201</v>
      </c>
      <c r="C482" s="1" t="n">
        <v>45658</v>
      </c>
      <c r="D482" t="inlineStr">
        <is>
          <t>STOCKHOLMS LÄN</t>
        </is>
      </c>
      <c r="E482" t="inlineStr">
        <is>
          <t>NORRTÄLJE</t>
        </is>
      </c>
      <c r="G482" t="n">
        <v>0.1</v>
      </c>
      <c r="H482" t="n">
        <v>0</v>
      </c>
      <c r="I482" t="n">
        <v>0</v>
      </c>
      <c r="J482" t="n">
        <v>0</v>
      </c>
      <c r="K482" t="n">
        <v>0</v>
      </c>
      <c r="L482" t="n">
        <v>0</v>
      </c>
      <c r="M482" t="n">
        <v>0</v>
      </c>
      <c r="N482" t="n">
        <v>0</v>
      </c>
      <c r="O482" t="n">
        <v>0</v>
      </c>
      <c r="P482" t="n">
        <v>0</v>
      </c>
      <c r="Q482" t="n">
        <v>0</v>
      </c>
      <c r="R482" s="2" t="inlineStr"/>
    </row>
    <row r="483" ht="15" customHeight="1">
      <c r="A483" t="inlineStr">
        <is>
          <t>A 348-2021</t>
        </is>
      </c>
      <c r="B483" s="1" t="n">
        <v>44201</v>
      </c>
      <c r="C483" s="1" t="n">
        <v>45658</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1637-2021</t>
        </is>
      </c>
      <c r="B484" s="1" t="n">
        <v>44209</v>
      </c>
      <c r="C484" s="1" t="n">
        <v>45658</v>
      </c>
      <c r="D484" t="inlineStr">
        <is>
          <t>STOCKHOLMS LÄN</t>
        </is>
      </c>
      <c r="E484" t="inlineStr">
        <is>
          <t>NORRTÄLJE</t>
        </is>
      </c>
      <c r="G484" t="n">
        <v>1.6</v>
      </c>
      <c r="H484" t="n">
        <v>0</v>
      </c>
      <c r="I484" t="n">
        <v>0</v>
      </c>
      <c r="J484" t="n">
        <v>0</v>
      </c>
      <c r="K484" t="n">
        <v>0</v>
      </c>
      <c r="L484" t="n">
        <v>0</v>
      </c>
      <c r="M484" t="n">
        <v>0</v>
      </c>
      <c r="N484" t="n">
        <v>0</v>
      </c>
      <c r="O484" t="n">
        <v>0</v>
      </c>
      <c r="P484" t="n">
        <v>0</v>
      </c>
      <c r="Q484" t="n">
        <v>0</v>
      </c>
      <c r="R484" s="2" t="inlineStr"/>
    </row>
    <row r="485" ht="15" customHeight="1">
      <c r="A485" t="inlineStr">
        <is>
          <t>A 1970-2021</t>
        </is>
      </c>
      <c r="B485" s="1" t="n">
        <v>44210</v>
      </c>
      <c r="C485" s="1" t="n">
        <v>45658</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45658</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2976-2021</t>
        </is>
      </c>
      <c r="B487" s="1" t="n">
        <v>44216</v>
      </c>
      <c r="C487" s="1" t="n">
        <v>45658</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3143-2021</t>
        </is>
      </c>
      <c r="B488" s="1" t="n">
        <v>44217</v>
      </c>
      <c r="C488" s="1" t="n">
        <v>45658</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3386-2021</t>
        </is>
      </c>
      <c r="B489" s="1" t="n">
        <v>44218</v>
      </c>
      <c r="C489" s="1" t="n">
        <v>45658</v>
      </c>
      <c r="D489" t="inlineStr">
        <is>
          <t>STOCKHOLMS LÄN</t>
        </is>
      </c>
      <c r="E489" t="inlineStr">
        <is>
          <t>NORRTÄLJE</t>
        </is>
      </c>
      <c r="G489" t="n">
        <v>8</v>
      </c>
      <c r="H489" t="n">
        <v>0</v>
      </c>
      <c r="I489" t="n">
        <v>0</v>
      </c>
      <c r="J489" t="n">
        <v>0</v>
      </c>
      <c r="K489" t="n">
        <v>0</v>
      </c>
      <c r="L489" t="n">
        <v>0</v>
      </c>
      <c r="M489" t="n">
        <v>0</v>
      </c>
      <c r="N489" t="n">
        <v>0</v>
      </c>
      <c r="O489" t="n">
        <v>0</v>
      </c>
      <c r="P489" t="n">
        <v>0</v>
      </c>
      <c r="Q489" t="n">
        <v>0</v>
      </c>
      <c r="R489" s="2" t="inlineStr"/>
    </row>
    <row r="490" ht="15" customHeight="1">
      <c r="A490" t="inlineStr">
        <is>
          <t>A 4634-2021</t>
        </is>
      </c>
      <c r="B490" s="1" t="n">
        <v>44224</v>
      </c>
      <c r="C490" s="1" t="n">
        <v>45658</v>
      </c>
      <c r="D490" t="inlineStr">
        <is>
          <t>STOCKHOLMS LÄN</t>
        </is>
      </c>
      <c r="E490" t="inlineStr">
        <is>
          <t>NORRTÄLJE</t>
        </is>
      </c>
      <c r="G490" t="n">
        <v>3.7</v>
      </c>
      <c r="H490" t="n">
        <v>0</v>
      </c>
      <c r="I490" t="n">
        <v>0</v>
      </c>
      <c r="J490" t="n">
        <v>0</v>
      </c>
      <c r="K490" t="n">
        <v>0</v>
      </c>
      <c r="L490" t="n">
        <v>0</v>
      </c>
      <c r="M490" t="n">
        <v>0</v>
      </c>
      <c r="N490" t="n">
        <v>0</v>
      </c>
      <c r="O490" t="n">
        <v>0</v>
      </c>
      <c r="P490" t="n">
        <v>0</v>
      </c>
      <c r="Q490" t="n">
        <v>0</v>
      </c>
      <c r="R490" s="2" t="inlineStr"/>
    </row>
    <row r="491" ht="15" customHeight="1">
      <c r="A491" t="inlineStr">
        <is>
          <t>A 4632-2021</t>
        </is>
      </c>
      <c r="B491" s="1" t="n">
        <v>44224</v>
      </c>
      <c r="C491" s="1" t="n">
        <v>45658</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5037-2021</t>
        </is>
      </c>
      <c r="B492" s="1" t="n">
        <v>44228</v>
      </c>
      <c r="C492" s="1" t="n">
        <v>45658</v>
      </c>
      <c r="D492" t="inlineStr">
        <is>
          <t>STOCKHOLMS LÄN</t>
        </is>
      </c>
      <c r="E492" t="inlineStr">
        <is>
          <t>NORRTÄLJE</t>
        </is>
      </c>
      <c r="F492" t="inlineStr">
        <is>
          <t>Holmen skog AB</t>
        </is>
      </c>
      <c r="G492" t="n">
        <v>3.8</v>
      </c>
      <c r="H492" t="n">
        <v>0</v>
      </c>
      <c r="I492" t="n">
        <v>0</v>
      </c>
      <c r="J492" t="n">
        <v>0</v>
      </c>
      <c r="K492" t="n">
        <v>0</v>
      </c>
      <c r="L492" t="n">
        <v>0</v>
      </c>
      <c r="M492" t="n">
        <v>0</v>
      </c>
      <c r="N492" t="n">
        <v>0</v>
      </c>
      <c r="O492" t="n">
        <v>0</v>
      </c>
      <c r="P492" t="n">
        <v>0</v>
      </c>
      <c r="Q492" t="n">
        <v>0</v>
      </c>
      <c r="R492" s="2" t="inlineStr"/>
    </row>
    <row r="493" ht="15" customHeight="1">
      <c r="A493" t="inlineStr">
        <is>
          <t>A 5562-2021</t>
        </is>
      </c>
      <c r="B493" s="1" t="n">
        <v>44230</v>
      </c>
      <c r="C493" s="1" t="n">
        <v>45658</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5566-2021</t>
        </is>
      </c>
      <c r="B494" s="1" t="n">
        <v>44230</v>
      </c>
      <c r="C494" s="1" t="n">
        <v>45658</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5950-2021</t>
        </is>
      </c>
      <c r="B495" s="1" t="n">
        <v>44231</v>
      </c>
      <c r="C495" s="1" t="n">
        <v>45658</v>
      </c>
      <c r="D495" t="inlineStr">
        <is>
          <t>STOCKHOLMS LÄN</t>
        </is>
      </c>
      <c r="E495" t="inlineStr">
        <is>
          <t>NORRTÄLJE</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6049-2021</t>
        </is>
      </c>
      <c r="B496" s="1" t="n">
        <v>44231</v>
      </c>
      <c r="C496" s="1" t="n">
        <v>45658</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7903-2021</t>
        </is>
      </c>
      <c r="B497" s="1" t="n">
        <v>44243</v>
      </c>
      <c r="C497" s="1" t="n">
        <v>45658</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7999-2021</t>
        </is>
      </c>
      <c r="B498" s="1" t="n">
        <v>44243</v>
      </c>
      <c r="C498" s="1" t="n">
        <v>45658</v>
      </c>
      <c r="D498" t="inlineStr">
        <is>
          <t>STOCKHOLMS LÄN</t>
        </is>
      </c>
      <c r="E498" t="inlineStr">
        <is>
          <t>NORRTÄLJE</t>
        </is>
      </c>
      <c r="G498" t="n">
        <v>6.8</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45658</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9467-2021</t>
        </is>
      </c>
      <c r="B500" s="1" t="n">
        <v>44251</v>
      </c>
      <c r="C500" s="1" t="n">
        <v>45658</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9469-2021</t>
        </is>
      </c>
      <c r="B501" s="1" t="n">
        <v>44251</v>
      </c>
      <c r="C501" s="1" t="n">
        <v>45658</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9446-2021</t>
        </is>
      </c>
      <c r="B502" s="1" t="n">
        <v>44251</v>
      </c>
      <c r="C502" s="1" t="n">
        <v>45658</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9719-2021</t>
        </is>
      </c>
      <c r="B503" s="1" t="n">
        <v>44252</v>
      </c>
      <c r="C503" s="1" t="n">
        <v>45658</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9703-2021</t>
        </is>
      </c>
      <c r="B504" s="1" t="n">
        <v>44252</v>
      </c>
      <c r="C504" s="1" t="n">
        <v>45658</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10687-2021</t>
        </is>
      </c>
      <c r="B505" s="1" t="n">
        <v>44258</v>
      </c>
      <c r="C505" s="1" t="n">
        <v>45658</v>
      </c>
      <c r="D505" t="inlineStr">
        <is>
          <t>STOCKHOLMS LÄN</t>
        </is>
      </c>
      <c r="E505" t="inlineStr">
        <is>
          <t>NORRTÄLJE</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10684-2021</t>
        </is>
      </c>
      <c r="B506" s="1" t="n">
        <v>44258</v>
      </c>
      <c r="C506" s="1" t="n">
        <v>45658</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11122-2021</t>
        </is>
      </c>
      <c r="B507" s="1" t="n">
        <v>44260</v>
      </c>
      <c r="C507" s="1" t="n">
        <v>45658</v>
      </c>
      <c r="D507" t="inlineStr">
        <is>
          <t>STOCKHOLMS LÄN</t>
        </is>
      </c>
      <c r="E507" t="inlineStr">
        <is>
          <t>NORRTÄLJE</t>
        </is>
      </c>
      <c r="F507" t="inlineStr">
        <is>
          <t>Holmen skog AB</t>
        </is>
      </c>
      <c r="G507" t="n">
        <v>2.1</v>
      </c>
      <c r="H507" t="n">
        <v>0</v>
      </c>
      <c r="I507" t="n">
        <v>0</v>
      </c>
      <c r="J507" t="n">
        <v>0</v>
      </c>
      <c r="K507" t="n">
        <v>0</v>
      </c>
      <c r="L507" t="n">
        <v>0</v>
      </c>
      <c r="M507" t="n">
        <v>0</v>
      </c>
      <c r="N507" t="n">
        <v>0</v>
      </c>
      <c r="O507" t="n">
        <v>0</v>
      </c>
      <c r="P507" t="n">
        <v>0</v>
      </c>
      <c r="Q507" t="n">
        <v>0</v>
      </c>
      <c r="R507" s="2" t="inlineStr"/>
    </row>
    <row r="508" ht="15" customHeight="1">
      <c r="A508" t="inlineStr">
        <is>
          <t>A 11438-2021</t>
        </is>
      </c>
      <c r="B508" s="1" t="n">
        <v>44263</v>
      </c>
      <c r="C508" s="1" t="n">
        <v>45658</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11988-2021</t>
        </is>
      </c>
      <c r="B509" s="1" t="n">
        <v>44266</v>
      </c>
      <c r="C509" s="1" t="n">
        <v>45658</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12031-2021</t>
        </is>
      </c>
      <c r="B510" s="1" t="n">
        <v>44266</v>
      </c>
      <c r="C510" s="1" t="n">
        <v>45658</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12111-2021</t>
        </is>
      </c>
      <c r="B511" s="1" t="n">
        <v>44266</v>
      </c>
      <c r="C511" s="1" t="n">
        <v>45658</v>
      </c>
      <c r="D511" t="inlineStr">
        <is>
          <t>STOCKHOLMS LÄN</t>
        </is>
      </c>
      <c r="E511" t="inlineStr">
        <is>
          <t>NORRTÄLJE</t>
        </is>
      </c>
      <c r="G511" t="n">
        <v>5.5</v>
      </c>
      <c r="H511" t="n">
        <v>0</v>
      </c>
      <c r="I511" t="n">
        <v>0</v>
      </c>
      <c r="J511" t="n">
        <v>0</v>
      </c>
      <c r="K511" t="n">
        <v>0</v>
      </c>
      <c r="L511" t="n">
        <v>0</v>
      </c>
      <c r="M511" t="n">
        <v>0</v>
      </c>
      <c r="N511" t="n">
        <v>0</v>
      </c>
      <c r="O511" t="n">
        <v>0</v>
      </c>
      <c r="P511" t="n">
        <v>0</v>
      </c>
      <c r="Q511" t="n">
        <v>0</v>
      </c>
      <c r="R511" s="2" t="inlineStr"/>
    </row>
    <row r="512" ht="15" customHeight="1">
      <c r="A512" t="inlineStr">
        <is>
          <t>A 12132-2021</t>
        </is>
      </c>
      <c r="B512" s="1" t="n">
        <v>44266</v>
      </c>
      <c r="C512" s="1" t="n">
        <v>45658</v>
      </c>
      <c r="D512" t="inlineStr">
        <is>
          <t>STOCKHOLMS LÄN</t>
        </is>
      </c>
      <c r="E512" t="inlineStr">
        <is>
          <t>NORRTÄLJE</t>
        </is>
      </c>
      <c r="G512" t="n">
        <v>4</v>
      </c>
      <c r="H512" t="n">
        <v>0</v>
      </c>
      <c r="I512" t="n">
        <v>0</v>
      </c>
      <c r="J512" t="n">
        <v>0</v>
      </c>
      <c r="K512" t="n">
        <v>0</v>
      </c>
      <c r="L512" t="n">
        <v>0</v>
      </c>
      <c r="M512" t="n">
        <v>0</v>
      </c>
      <c r="N512" t="n">
        <v>0</v>
      </c>
      <c r="O512" t="n">
        <v>0</v>
      </c>
      <c r="P512" t="n">
        <v>0</v>
      </c>
      <c r="Q512" t="n">
        <v>0</v>
      </c>
      <c r="R512" s="2" t="inlineStr"/>
    </row>
    <row r="513" ht="15" customHeight="1">
      <c r="A513" t="inlineStr">
        <is>
          <t>A 12564-2021</t>
        </is>
      </c>
      <c r="B513" s="1" t="n">
        <v>44270</v>
      </c>
      <c r="C513" s="1" t="n">
        <v>45658</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12779-2021</t>
        </is>
      </c>
      <c r="B514" s="1" t="n">
        <v>44270</v>
      </c>
      <c r="C514" s="1" t="n">
        <v>45658</v>
      </c>
      <c r="D514" t="inlineStr">
        <is>
          <t>STOCKHOLMS LÄN</t>
        </is>
      </c>
      <c r="E514" t="inlineStr">
        <is>
          <t>NORRTÄLJE</t>
        </is>
      </c>
      <c r="G514" t="n">
        <v>10.8</v>
      </c>
      <c r="H514" t="n">
        <v>0</v>
      </c>
      <c r="I514" t="n">
        <v>0</v>
      </c>
      <c r="J514" t="n">
        <v>0</v>
      </c>
      <c r="K514" t="n">
        <v>0</v>
      </c>
      <c r="L514" t="n">
        <v>0</v>
      </c>
      <c r="M514" t="n">
        <v>0</v>
      </c>
      <c r="N514" t="n">
        <v>0</v>
      </c>
      <c r="O514" t="n">
        <v>0</v>
      </c>
      <c r="P514" t="n">
        <v>0</v>
      </c>
      <c r="Q514" t="n">
        <v>0</v>
      </c>
      <c r="R514" s="2" t="inlineStr"/>
    </row>
    <row r="515" ht="15" customHeight="1">
      <c r="A515" t="inlineStr">
        <is>
          <t>A 12782-2021</t>
        </is>
      </c>
      <c r="B515" s="1" t="n">
        <v>44270</v>
      </c>
      <c r="C515" s="1" t="n">
        <v>45658</v>
      </c>
      <c r="D515" t="inlineStr">
        <is>
          <t>STOCKHOLMS LÄN</t>
        </is>
      </c>
      <c r="E515" t="inlineStr">
        <is>
          <t>NORRTÄLJE</t>
        </is>
      </c>
      <c r="G515" t="n">
        <v>3.8</v>
      </c>
      <c r="H515" t="n">
        <v>0</v>
      </c>
      <c r="I515" t="n">
        <v>0</v>
      </c>
      <c r="J515" t="n">
        <v>0</v>
      </c>
      <c r="K515" t="n">
        <v>0</v>
      </c>
      <c r="L515" t="n">
        <v>0</v>
      </c>
      <c r="M515" t="n">
        <v>0</v>
      </c>
      <c r="N515" t="n">
        <v>0</v>
      </c>
      <c r="O515" t="n">
        <v>0</v>
      </c>
      <c r="P515" t="n">
        <v>0</v>
      </c>
      <c r="Q515" t="n">
        <v>0</v>
      </c>
      <c r="R515" s="2" t="inlineStr"/>
    </row>
    <row r="516" ht="15" customHeight="1">
      <c r="A516" t="inlineStr">
        <is>
          <t>A 13051-2021</t>
        </is>
      </c>
      <c r="B516" s="1" t="n">
        <v>44272</v>
      </c>
      <c r="C516" s="1" t="n">
        <v>45658</v>
      </c>
      <c r="D516" t="inlineStr">
        <is>
          <t>STOCKHOLMS LÄN</t>
        </is>
      </c>
      <c r="E516" t="inlineStr">
        <is>
          <t>NORRTÄLJE</t>
        </is>
      </c>
      <c r="G516" t="n">
        <v>9.1</v>
      </c>
      <c r="H516" t="n">
        <v>0</v>
      </c>
      <c r="I516" t="n">
        <v>0</v>
      </c>
      <c r="J516" t="n">
        <v>0</v>
      </c>
      <c r="K516" t="n">
        <v>0</v>
      </c>
      <c r="L516" t="n">
        <v>0</v>
      </c>
      <c r="M516" t="n">
        <v>0</v>
      </c>
      <c r="N516" t="n">
        <v>0</v>
      </c>
      <c r="O516" t="n">
        <v>0</v>
      </c>
      <c r="P516" t="n">
        <v>0</v>
      </c>
      <c r="Q516" t="n">
        <v>0</v>
      </c>
      <c r="R516" s="2" t="inlineStr"/>
    </row>
    <row r="517" ht="15" customHeight="1">
      <c r="A517" t="inlineStr">
        <is>
          <t>A 13148-2021</t>
        </is>
      </c>
      <c r="B517" s="1" t="n">
        <v>44272</v>
      </c>
      <c r="C517" s="1" t="n">
        <v>45658</v>
      </c>
      <c r="D517" t="inlineStr">
        <is>
          <t>STOCKHOLMS LÄN</t>
        </is>
      </c>
      <c r="E517" t="inlineStr">
        <is>
          <t>NORRTÄLJE</t>
        </is>
      </c>
      <c r="G517" t="n">
        <v>12.4</v>
      </c>
      <c r="H517" t="n">
        <v>0</v>
      </c>
      <c r="I517" t="n">
        <v>0</v>
      </c>
      <c r="J517" t="n">
        <v>0</v>
      </c>
      <c r="K517" t="n">
        <v>0</v>
      </c>
      <c r="L517" t="n">
        <v>0</v>
      </c>
      <c r="M517" t="n">
        <v>0</v>
      </c>
      <c r="N517" t="n">
        <v>0</v>
      </c>
      <c r="O517" t="n">
        <v>0</v>
      </c>
      <c r="P517" t="n">
        <v>0</v>
      </c>
      <c r="Q517" t="n">
        <v>0</v>
      </c>
      <c r="R517" s="2" t="inlineStr"/>
    </row>
    <row r="518" ht="15" customHeight="1">
      <c r="A518" t="inlineStr">
        <is>
          <t>A 13736-2021</t>
        </is>
      </c>
      <c r="B518" s="1" t="n">
        <v>44274</v>
      </c>
      <c r="C518" s="1" t="n">
        <v>45658</v>
      </c>
      <c r="D518" t="inlineStr">
        <is>
          <t>STOCKHOLMS LÄN</t>
        </is>
      </c>
      <c r="E518" t="inlineStr">
        <is>
          <t>NORRTÄLJE</t>
        </is>
      </c>
      <c r="F518" t="inlineStr">
        <is>
          <t>Holmen skog AB</t>
        </is>
      </c>
      <c r="G518" t="n">
        <v>3.5</v>
      </c>
      <c r="H518" t="n">
        <v>0</v>
      </c>
      <c r="I518" t="n">
        <v>0</v>
      </c>
      <c r="J518" t="n">
        <v>0</v>
      </c>
      <c r="K518" t="n">
        <v>0</v>
      </c>
      <c r="L518" t="n">
        <v>0</v>
      </c>
      <c r="M518" t="n">
        <v>0</v>
      </c>
      <c r="N518" t="n">
        <v>0</v>
      </c>
      <c r="O518" t="n">
        <v>0</v>
      </c>
      <c r="P518" t="n">
        <v>0</v>
      </c>
      <c r="Q518" t="n">
        <v>0</v>
      </c>
      <c r="R518" s="2" t="inlineStr"/>
    </row>
    <row r="519" ht="15" customHeight="1">
      <c r="A519" t="inlineStr">
        <is>
          <t>A 13752-2021</t>
        </is>
      </c>
      <c r="B519" s="1" t="n">
        <v>44274</v>
      </c>
      <c r="C519" s="1" t="n">
        <v>45658</v>
      </c>
      <c r="D519" t="inlineStr">
        <is>
          <t>STOCKHOLMS LÄN</t>
        </is>
      </c>
      <c r="E519" t="inlineStr">
        <is>
          <t>NORRTÄLJE</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14381-2021</t>
        </is>
      </c>
      <c r="B520" s="1" t="n">
        <v>44279</v>
      </c>
      <c r="C520" s="1" t="n">
        <v>45658</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14922-2021</t>
        </is>
      </c>
      <c r="B521" s="1" t="n">
        <v>44281</v>
      </c>
      <c r="C521" s="1" t="n">
        <v>45658</v>
      </c>
      <c r="D521" t="inlineStr">
        <is>
          <t>STOCKHOLMS LÄN</t>
        </is>
      </c>
      <c r="E521" t="inlineStr">
        <is>
          <t>NORRTÄLJE</t>
        </is>
      </c>
      <c r="G521" t="n">
        <v>4.8</v>
      </c>
      <c r="H521" t="n">
        <v>0</v>
      </c>
      <c r="I521" t="n">
        <v>0</v>
      </c>
      <c r="J521" t="n">
        <v>0</v>
      </c>
      <c r="K521" t="n">
        <v>0</v>
      </c>
      <c r="L521" t="n">
        <v>0</v>
      </c>
      <c r="M521" t="n">
        <v>0</v>
      </c>
      <c r="N521" t="n">
        <v>0</v>
      </c>
      <c r="O521" t="n">
        <v>0</v>
      </c>
      <c r="P521" t="n">
        <v>0</v>
      </c>
      <c r="Q521" t="n">
        <v>0</v>
      </c>
      <c r="R521" s="2" t="inlineStr"/>
    </row>
    <row r="522" ht="15" customHeight="1">
      <c r="A522" t="inlineStr">
        <is>
          <t>A 14933-2021</t>
        </is>
      </c>
      <c r="B522" s="1" t="n">
        <v>44281</v>
      </c>
      <c r="C522" s="1" t="n">
        <v>45658</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15289-2021</t>
        </is>
      </c>
      <c r="B523" s="1" t="n">
        <v>44284</v>
      </c>
      <c r="C523" s="1" t="n">
        <v>45658</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15441-2021</t>
        </is>
      </c>
      <c r="B524" s="1" t="n">
        <v>44284</v>
      </c>
      <c r="C524" s="1" t="n">
        <v>45658</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15552-2021</t>
        </is>
      </c>
      <c r="B525" s="1" t="n">
        <v>44285</v>
      </c>
      <c r="C525" s="1" t="n">
        <v>45658</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45658</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17460-2021</t>
        </is>
      </c>
      <c r="B527" s="1" t="n">
        <v>44299</v>
      </c>
      <c r="C527" s="1" t="n">
        <v>45658</v>
      </c>
      <c r="D527" t="inlineStr">
        <is>
          <t>STOCKHOLMS LÄN</t>
        </is>
      </c>
      <c r="E527" t="inlineStr">
        <is>
          <t>NORRTÄLJE</t>
        </is>
      </c>
      <c r="G527" t="n">
        <v>3.2</v>
      </c>
      <c r="H527" t="n">
        <v>0</v>
      </c>
      <c r="I527" t="n">
        <v>0</v>
      </c>
      <c r="J527" t="n">
        <v>0</v>
      </c>
      <c r="K527" t="n">
        <v>0</v>
      </c>
      <c r="L527" t="n">
        <v>0</v>
      </c>
      <c r="M527" t="n">
        <v>0</v>
      </c>
      <c r="N527" t="n">
        <v>0</v>
      </c>
      <c r="O527" t="n">
        <v>0</v>
      </c>
      <c r="P527" t="n">
        <v>0</v>
      </c>
      <c r="Q527" t="n">
        <v>0</v>
      </c>
      <c r="R527" s="2" t="inlineStr"/>
    </row>
    <row r="528" ht="15" customHeight="1">
      <c r="A528" t="inlineStr">
        <is>
          <t>A 17703-2021</t>
        </is>
      </c>
      <c r="B528" s="1" t="n">
        <v>44300</v>
      </c>
      <c r="C528" s="1" t="n">
        <v>45658</v>
      </c>
      <c r="D528" t="inlineStr">
        <is>
          <t>STOCKHOLMS LÄN</t>
        </is>
      </c>
      <c r="E528" t="inlineStr">
        <is>
          <t>NORRTÄLJE</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18580-2021</t>
        </is>
      </c>
      <c r="B529" s="1" t="n">
        <v>44306</v>
      </c>
      <c r="C529" s="1" t="n">
        <v>45658</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18609-2021</t>
        </is>
      </c>
      <c r="B530" s="1" t="n">
        <v>44306</v>
      </c>
      <c r="C530" s="1" t="n">
        <v>45658</v>
      </c>
      <c r="D530" t="inlineStr">
        <is>
          <t>STOCKHOLMS LÄN</t>
        </is>
      </c>
      <c r="E530" t="inlineStr">
        <is>
          <t>NORRTÄLJE</t>
        </is>
      </c>
      <c r="G530" t="n">
        <v>9.5</v>
      </c>
      <c r="H530" t="n">
        <v>0</v>
      </c>
      <c r="I530" t="n">
        <v>0</v>
      </c>
      <c r="J530" t="n">
        <v>0</v>
      </c>
      <c r="K530" t="n">
        <v>0</v>
      </c>
      <c r="L530" t="n">
        <v>0</v>
      </c>
      <c r="M530" t="n">
        <v>0</v>
      </c>
      <c r="N530" t="n">
        <v>0</v>
      </c>
      <c r="O530" t="n">
        <v>0</v>
      </c>
      <c r="P530" t="n">
        <v>0</v>
      </c>
      <c r="Q530" t="n">
        <v>0</v>
      </c>
      <c r="R530" s="2" t="inlineStr"/>
    </row>
    <row r="531" ht="15" customHeight="1">
      <c r="A531" t="inlineStr">
        <is>
          <t>A 18539-2021</t>
        </is>
      </c>
      <c r="B531" s="1" t="n">
        <v>44306</v>
      </c>
      <c r="C531" s="1" t="n">
        <v>45658</v>
      </c>
      <c r="D531" t="inlineStr">
        <is>
          <t>STOCKHOLMS LÄN</t>
        </is>
      </c>
      <c r="E531" t="inlineStr">
        <is>
          <t>NORRTÄLJE</t>
        </is>
      </c>
      <c r="F531" t="inlineStr">
        <is>
          <t>Holmen skog AB</t>
        </is>
      </c>
      <c r="G531" t="n">
        <v>5.5</v>
      </c>
      <c r="H531" t="n">
        <v>0</v>
      </c>
      <c r="I531" t="n">
        <v>0</v>
      </c>
      <c r="J531" t="n">
        <v>0</v>
      </c>
      <c r="K531" t="n">
        <v>0</v>
      </c>
      <c r="L531" t="n">
        <v>0</v>
      </c>
      <c r="M531" t="n">
        <v>0</v>
      </c>
      <c r="N531" t="n">
        <v>0</v>
      </c>
      <c r="O531" t="n">
        <v>0</v>
      </c>
      <c r="P531" t="n">
        <v>0</v>
      </c>
      <c r="Q531" t="n">
        <v>0</v>
      </c>
      <c r="R531" s="2" t="inlineStr"/>
    </row>
    <row r="532" ht="15" customHeight="1">
      <c r="A532" t="inlineStr">
        <is>
          <t>A 18570-2021</t>
        </is>
      </c>
      <c r="B532" s="1" t="n">
        <v>44306</v>
      </c>
      <c r="C532" s="1" t="n">
        <v>45658</v>
      </c>
      <c r="D532" t="inlineStr">
        <is>
          <t>STOCKHOLMS LÄN</t>
        </is>
      </c>
      <c r="E532" t="inlineStr">
        <is>
          <t>NORRTÄLJE</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19283-2021</t>
        </is>
      </c>
      <c r="B533" s="1" t="n">
        <v>44309</v>
      </c>
      <c r="C533" s="1" t="n">
        <v>45658</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19400-2021</t>
        </is>
      </c>
      <c r="B534" s="1" t="n">
        <v>44309</v>
      </c>
      <c r="C534" s="1" t="n">
        <v>45658</v>
      </c>
      <c r="D534" t="inlineStr">
        <is>
          <t>STOCKHOLMS LÄN</t>
        </is>
      </c>
      <c r="E534" t="inlineStr">
        <is>
          <t>NORRTÄLJE</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19307-2021</t>
        </is>
      </c>
      <c r="B535" s="1" t="n">
        <v>44309</v>
      </c>
      <c r="C535" s="1" t="n">
        <v>45658</v>
      </c>
      <c r="D535" t="inlineStr">
        <is>
          <t>STOCKHOLMS LÄN</t>
        </is>
      </c>
      <c r="E535" t="inlineStr">
        <is>
          <t>NORRTÄLJE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19398-2021</t>
        </is>
      </c>
      <c r="B536" s="1" t="n">
        <v>44309</v>
      </c>
      <c r="C536" s="1" t="n">
        <v>45658</v>
      </c>
      <c r="D536" t="inlineStr">
        <is>
          <t>STOCKHOLMS LÄN</t>
        </is>
      </c>
      <c r="E536" t="inlineStr">
        <is>
          <t>NORRTÄLJE</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45658</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20473-2021</t>
        </is>
      </c>
      <c r="B538" s="1" t="n">
        <v>44315</v>
      </c>
      <c r="C538" s="1" t="n">
        <v>45658</v>
      </c>
      <c r="D538" t="inlineStr">
        <is>
          <t>STOCKHOLMS LÄN</t>
        </is>
      </c>
      <c r="E538" t="inlineStr">
        <is>
          <t>NORRTÄLJE</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21291-2021</t>
        </is>
      </c>
      <c r="B539" s="1" t="n">
        <v>44319</v>
      </c>
      <c r="C539" s="1" t="n">
        <v>45658</v>
      </c>
      <c r="D539" t="inlineStr">
        <is>
          <t>STOCKHOLMS LÄN</t>
        </is>
      </c>
      <c r="E539" t="inlineStr">
        <is>
          <t>NORRTÄLJE</t>
        </is>
      </c>
      <c r="G539" t="n">
        <v>12.7</v>
      </c>
      <c r="H539" t="n">
        <v>0</v>
      </c>
      <c r="I539" t="n">
        <v>0</v>
      </c>
      <c r="J539" t="n">
        <v>0</v>
      </c>
      <c r="K539" t="n">
        <v>0</v>
      </c>
      <c r="L539" t="n">
        <v>0</v>
      </c>
      <c r="M539" t="n">
        <v>0</v>
      </c>
      <c r="N539" t="n">
        <v>0</v>
      </c>
      <c r="O539" t="n">
        <v>0</v>
      </c>
      <c r="P539" t="n">
        <v>0</v>
      </c>
      <c r="Q539" t="n">
        <v>0</v>
      </c>
      <c r="R539" s="2" t="inlineStr"/>
    </row>
    <row r="540" ht="15" customHeight="1">
      <c r="A540" t="inlineStr">
        <is>
          <t>A 21529-2021</t>
        </is>
      </c>
      <c r="B540" s="1" t="n">
        <v>44321</v>
      </c>
      <c r="C540" s="1" t="n">
        <v>45658</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22832-2021</t>
        </is>
      </c>
      <c r="B541" s="1" t="n">
        <v>44325</v>
      </c>
      <c r="C541" s="1" t="n">
        <v>45658</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22816-2021</t>
        </is>
      </c>
      <c r="B542" s="1" t="n">
        <v>44325</v>
      </c>
      <c r="C542" s="1" t="n">
        <v>45658</v>
      </c>
      <c r="D542" t="inlineStr">
        <is>
          <t>STOCKHOLMS LÄN</t>
        </is>
      </c>
      <c r="E542" t="inlineStr">
        <is>
          <t>NORRTÄLJE</t>
        </is>
      </c>
      <c r="G542" t="n">
        <v>4.5</v>
      </c>
      <c r="H542" t="n">
        <v>0</v>
      </c>
      <c r="I542" t="n">
        <v>0</v>
      </c>
      <c r="J542" t="n">
        <v>0</v>
      </c>
      <c r="K542" t="n">
        <v>0</v>
      </c>
      <c r="L542" t="n">
        <v>0</v>
      </c>
      <c r="M542" t="n">
        <v>0</v>
      </c>
      <c r="N542" t="n">
        <v>0</v>
      </c>
      <c r="O542" t="n">
        <v>0</v>
      </c>
      <c r="P542" t="n">
        <v>0</v>
      </c>
      <c r="Q542" t="n">
        <v>0</v>
      </c>
      <c r="R542" s="2" t="inlineStr"/>
    </row>
    <row r="543" ht="15" customHeight="1">
      <c r="A543" t="inlineStr">
        <is>
          <t>A 22369-2021</t>
        </is>
      </c>
      <c r="B543" s="1" t="n">
        <v>44326</v>
      </c>
      <c r="C543" s="1" t="n">
        <v>45658</v>
      </c>
      <c r="D543" t="inlineStr">
        <is>
          <t>STOCKHOLMS LÄN</t>
        </is>
      </c>
      <c r="E543" t="inlineStr">
        <is>
          <t>NORRTÄLJE</t>
        </is>
      </c>
      <c r="F543" t="inlineStr">
        <is>
          <t>Holmen skog AB</t>
        </is>
      </c>
      <c r="G543" t="n">
        <v>3.4</v>
      </c>
      <c r="H543" t="n">
        <v>0</v>
      </c>
      <c r="I543" t="n">
        <v>0</v>
      </c>
      <c r="J543" t="n">
        <v>0</v>
      </c>
      <c r="K543" t="n">
        <v>0</v>
      </c>
      <c r="L543" t="n">
        <v>0</v>
      </c>
      <c r="M543" t="n">
        <v>0</v>
      </c>
      <c r="N543" t="n">
        <v>0</v>
      </c>
      <c r="O543" t="n">
        <v>0</v>
      </c>
      <c r="P543" t="n">
        <v>0</v>
      </c>
      <c r="Q543" t="n">
        <v>0</v>
      </c>
      <c r="R543" s="2" t="inlineStr"/>
    </row>
    <row r="544" ht="15" customHeight="1">
      <c r="A544" t="inlineStr">
        <is>
          <t>A 22421-2021</t>
        </is>
      </c>
      <c r="B544" s="1" t="n">
        <v>44326</v>
      </c>
      <c r="C544" s="1" t="n">
        <v>45658</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22412-2021</t>
        </is>
      </c>
      <c r="B545" s="1" t="n">
        <v>44326</v>
      </c>
      <c r="C545" s="1" t="n">
        <v>45658</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45658</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23096-2021</t>
        </is>
      </c>
      <c r="B547" s="1" t="n">
        <v>44330</v>
      </c>
      <c r="C547" s="1" t="n">
        <v>45658</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45658</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23453-2021</t>
        </is>
      </c>
      <c r="B549" s="1" t="n">
        <v>44333</v>
      </c>
      <c r="C549" s="1" t="n">
        <v>45658</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24082-2021</t>
        </is>
      </c>
      <c r="B550" s="1" t="n">
        <v>44336</v>
      </c>
      <c r="C550" s="1" t="n">
        <v>45658</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25463-2021</t>
        </is>
      </c>
      <c r="B551" s="1" t="n">
        <v>44342</v>
      </c>
      <c r="C551" s="1" t="n">
        <v>45658</v>
      </c>
      <c r="D551" t="inlineStr">
        <is>
          <t>STOCKHOLMS LÄN</t>
        </is>
      </c>
      <c r="E551" t="inlineStr">
        <is>
          <t>NORRTÄLJE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27217-2021</t>
        </is>
      </c>
      <c r="B552" s="1" t="n">
        <v>44350</v>
      </c>
      <c r="C552" s="1" t="n">
        <v>45658</v>
      </c>
      <c r="D552" t="inlineStr">
        <is>
          <t>STOCKHOLMS LÄN</t>
        </is>
      </c>
      <c r="E552" t="inlineStr">
        <is>
          <t>NORRTÄLJE</t>
        </is>
      </c>
      <c r="G552" t="n">
        <v>5.5</v>
      </c>
      <c r="H552" t="n">
        <v>0</v>
      </c>
      <c r="I552" t="n">
        <v>0</v>
      </c>
      <c r="J552" t="n">
        <v>0</v>
      </c>
      <c r="K552" t="n">
        <v>0</v>
      </c>
      <c r="L552" t="n">
        <v>0</v>
      </c>
      <c r="M552" t="n">
        <v>0</v>
      </c>
      <c r="N552" t="n">
        <v>0</v>
      </c>
      <c r="O552" t="n">
        <v>0</v>
      </c>
      <c r="P552" t="n">
        <v>0</v>
      </c>
      <c r="Q552" t="n">
        <v>0</v>
      </c>
      <c r="R552" s="2" t="inlineStr"/>
    </row>
    <row r="553" ht="15" customHeight="1">
      <c r="A553" t="inlineStr">
        <is>
          <t>A 27214-2021</t>
        </is>
      </c>
      <c r="B553" s="1" t="n">
        <v>44350</v>
      </c>
      <c r="C553" s="1" t="n">
        <v>45658</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29357-2021</t>
        </is>
      </c>
      <c r="B554" s="1" t="n">
        <v>44361</v>
      </c>
      <c r="C554" s="1" t="n">
        <v>45658</v>
      </c>
      <c r="D554" t="inlineStr">
        <is>
          <t>STOCKHOLMS LÄN</t>
        </is>
      </c>
      <c r="E554" t="inlineStr">
        <is>
          <t>NORRTÄLJE</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29680-2021</t>
        </is>
      </c>
      <c r="B555" s="1" t="n">
        <v>44362</v>
      </c>
      <c r="C555" s="1" t="n">
        <v>45658</v>
      </c>
      <c r="D555" t="inlineStr">
        <is>
          <t>STOCKHOLMS LÄN</t>
        </is>
      </c>
      <c r="E555" t="inlineStr">
        <is>
          <t>NORRTÄLJE</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29684-2021</t>
        </is>
      </c>
      <c r="B556" s="1" t="n">
        <v>44362</v>
      </c>
      <c r="C556" s="1" t="n">
        <v>45658</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30129-2021</t>
        </is>
      </c>
      <c r="B557" s="1" t="n">
        <v>44363</v>
      </c>
      <c r="C557" s="1" t="n">
        <v>45658</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31688-2021</t>
        </is>
      </c>
      <c r="B558" s="1" t="n">
        <v>44369</v>
      </c>
      <c r="C558" s="1" t="n">
        <v>45658</v>
      </c>
      <c r="D558" t="inlineStr">
        <is>
          <t>STOCKHOLMS LÄN</t>
        </is>
      </c>
      <c r="E558" t="inlineStr">
        <is>
          <t>NORRTÄLJE</t>
        </is>
      </c>
      <c r="G558" t="n">
        <v>2.9</v>
      </c>
      <c r="H558" t="n">
        <v>0</v>
      </c>
      <c r="I558" t="n">
        <v>0</v>
      </c>
      <c r="J558" t="n">
        <v>0</v>
      </c>
      <c r="K558" t="n">
        <v>0</v>
      </c>
      <c r="L558" t="n">
        <v>0</v>
      </c>
      <c r="M558" t="n">
        <v>0</v>
      </c>
      <c r="N558" t="n">
        <v>0</v>
      </c>
      <c r="O558" t="n">
        <v>0</v>
      </c>
      <c r="P558" t="n">
        <v>0</v>
      </c>
      <c r="Q558" t="n">
        <v>0</v>
      </c>
      <c r="R558" s="2" t="inlineStr"/>
    </row>
    <row r="559" ht="15" customHeight="1">
      <c r="A559" t="inlineStr">
        <is>
          <t>A 32002-2021</t>
        </is>
      </c>
      <c r="B559" s="1" t="n">
        <v>44370</v>
      </c>
      <c r="C559" s="1" t="n">
        <v>45658</v>
      </c>
      <c r="D559" t="inlineStr">
        <is>
          <t>STOCKHOLMS LÄN</t>
        </is>
      </c>
      <c r="E559" t="inlineStr">
        <is>
          <t>NORRTÄLJE</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32051-2021</t>
        </is>
      </c>
      <c r="B560" s="1" t="n">
        <v>44370</v>
      </c>
      <c r="C560" s="1" t="n">
        <v>45658</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32055-2021</t>
        </is>
      </c>
      <c r="B561" s="1" t="n">
        <v>44370</v>
      </c>
      <c r="C561" s="1" t="n">
        <v>45658</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45658</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32857-2021</t>
        </is>
      </c>
      <c r="B563" s="1" t="n">
        <v>44375</v>
      </c>
      <c r="C563" s="1" t="n">
        <v>45658</v>
      </c>
      <c r="D563" t="inlineStr">
        <is>
          <t>STOCKHOLMS LÄN</t>
        </is>
      </c>
      <c r="E563" t="inlineStr">
        <is>
          <t>NORRTÄLJE</t>
        </is>
      </c>
      <c r="G563" t="n">
        <v>2.9</v>
      </c>
      <c r="H563" t="n">
        <v>0</v>
      </c>
      <c r="I563" t="n">
        <v>0</v>
      </c>
      <c r="J563" t="n">
        <v>0</v>
      </c>
      <c r="K563" t="n">
        <v>0</v>
      </c>
      <c r="L563" t="n">
        <v>0</v>
      </c>
      <c r="M563" t="n">
        <v>0</v>
      </c>
      <c r="N563" t="n">
        <v>0</v>
      </c>
      <c r="O563" t="n">
        <v>0</v>
      </c>
      <c r="P563" t="n">
        <v>0</v>
      </c>
      <c r="Q563" t="n">
        <v>0</v>
      </c>
      <c r="R563" s="2" t="inlineStr"/>
    </row>
    <row r="564" ht="15" customHeight="1">
      <c r="A564" t="inlineStr">
        <is>
          <t>A 33053-2021</t>
        </is>
      </c>
      <c r="B564" s="1" t="n">
        <v>44376</v>
      </c>
      <c r="C564" s="1" t="n">
        <v>45658</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33046-2021</t>
        </is>
      </c>
      <c r="B565" s="1" t="n">
        <v>44376</v>
      </c>
      <c r="C565" s="1" t="n">
        <v>45658</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33040-2021</t>
        </is>
      </c>
      <c r="B566" s="1" t="n">
        <v>44376</v>
      </c>
      <c r="C566" s="1" t="n">
        <v>45658</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34520-2021</t>
        </is>
      </c>
      <c r="B567" s="1" t="n">
        <v>44379</v>
      </c>
      <c r="C567" s="1" t="n">
        <v>45658</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34432-2021</t>
        </is>
      </c>
      <c r="B568" s="1" t="n">
        <v>44380</v>
      </c>
      <c r="C568" s="1" t="n">
        <v>45658</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45658</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34436-2021</t>
        </is>
      </c>
      <c r="B570" s="1" t="n">
        <v>44380</v>
      </c>
      <c r="C570" s="1" t="n">
        <v>45658</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34731-2021</t>
        </is>
      </c>
      <c r="B571" s="1" t="n">
        <v>44382</v>
      </c>
      <c r="C571" s="1" t="n">
        <v>45658</v>
      </c>
      <c r="D571" t="inlineStr">
        <is>
          <t>STOCKHOLMS LÄN</t>
        </is>
      </c>
      <c r="E571" t="inlineStr">
        <is>
          <t>NORRTÄLJE</t>
        </is>
      </c>
      <c r="G571" t="n">
        <v>0.2</v>
      </c>
      <c r="H571" t="n">
        <v>0</v>
      </c>
      <c r="I571" t="n">
        <v>0</v>
      </c>
      <c r="J571" t="n">
        <v>0</v>
      </c>
      <c r="K571" t="n">
        <v>0</v>
      </c>
      <c r="L571" t="n">
        <v>0</v>
      </c>
      <c r="M571" t="n">
        <v>0</v>
      </c>
      <c r="N571" t="n">
        <v>0</v>
      </c>
      <c r="O571" t="n">
        <v>0</v>
      </c>
      <c r="P571" t="n">
        <v>0</v>
      </c>
      <c r="Q571" t="n">
        <v>0</v>
      </c>
      <c r="R571" s="2" t="inlineStr"/>
    </row>
    <row r="572" ht="15" customHeight="1">
      <c r="A572" t="inlineStr">
        <is>
          <t>A 34792-2021</t>
        </is>
      </c>
      <c r="B572" s="1" t="n">
        <v>44383</v>
      </c>
      <c r="C572" s="1" t="n">
        <v>45658</v>
      </c>
      <c r="D572" t="inlineStr">
        <is>
          <t>STOCKHOLMS LÄN</t>
        </is>
      </c>
      <c r="E572" t="inlineStr">
        <is>
          <t>NORRTÄLJE</t>
        </is>
      </c>
      <c r="G572" t="n">
        <v>4.4</v>
      </c>
      <c r="H572" t="n">
        <v>0</v>
      </c>
      <c r="I572" t="n">
        <v>0</v>
      </c>
      <c r="J572" t="n">
        <v>0</v>
      </c>
      <c r="K572" t="n">
        <v>0</v>
      </c>
      <c r="L572" t="n">
        <v>0</v>
      </c>
      <c r="M572" t="n">
        <v>0</v>
      </c>
      <c r="N572" t="n">
        <v>0</v>
      </c>
      <c r="O572" t="n">
        <v>0</v>
      </c>
      <c r="P572" t="n">
        <v>0</v>
      </c>
      <c r="Q572" t="n">
        <v>0</v>
      </c>
      <c r="R572" s="2" t="inlineStr"/>
    </row>
    <row r="573" ht="15" customHeight="1">
      <c r="A573" t="inlineStr">
        <is>
          <t>A 36246-2021</t>
        </is>
      </c>
      <c r="B573" s="1" t="n">
        <v>44390</v>
      </c>
      <c r="C573" s="1" t="n">
        <v>45658</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36565-2021</t>
        </is>
      </c>
      <c r="B574" s="1" t="n">
        <v>44391</v>
      </c>
      <c r="C574" s="1" t="n">
        <v>45658</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37085-2021</t>
        </is>
      </c>
      <c r="B575" s="1" t="n">
        <v>44395</v>
      </c>
      <c r="C575" s="1" t="n">
        <v>45658</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37344-2021</t>
        </is>
      </c>
      <c r="B576" s="1" t="n">
        <v>44397</v>
      </c>
      <c r="C576" s="1" t="n">
        <v>45658</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37415-2021</t>
        </is>
      </c>
      <c r="B577" s="1" t="n">
        <v>44397</v>
      </c>
      <c r="C577" s="1" t="n">
        <v>45658</v>
      </c>
      <c r="D577" t="inlineStr">
        <is>
          <t>STOCKHOLMS LÄN</t>
        </is>
      </c>
      <c r="E577" t="inlineStr">
        <is>
          <t>NORRTÄLJE</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37444-2021</t>
        </is>
      </c>
      <c r="B578" s="1" t="n">
        <v>44398</v>
      </c>
      <c r="C578" s="1" t="n">
        <v>45658</v>
      </c>
      <c r="D578" t="inlineStr">
        <is>
          <t>STOCKHOLMS LÄN</t>
        </is>
      </c>
      <c r="E578" t="inlineStr">
        <is>
          <t>NORRTÄLJE</t>
        </is>
      </c>
      <c r="F578" t="inlineStr">
        <is>
          <t>Holmen skog AB</t>
        </is>
      </c>
      <c r="G578" t="n">
        <v>3.2</v>
      </c>
      <c r="H578" t="n">
        <v>0</v>
      </c>
      <c r="I578" t="n">
        <v>0</v>
      </c>
      <c r="J578" t="n">
        <v>0</v>
      </c>
      <c r="K578" t="n">
        <v>0</v>
      </c>
      <c r="L578" t="n">
        <v>0</v>
      </c>
      <c r="M578" t="n">
        <v>0</v>
      </c>
      <c r="N578" t="n">
        <v>0</v>
      </c>
      <c r="O578" t="n">
        <v>0</v>
      </c>
      <c r="P578" t="n">
        <v>0</v>
      </c>
      <c r="Q578" t="n">
        <v>0</v>
      </c>
      <c r="R578" s="2" t="inlineStr"/>
    </row>
    <row r="579" ht="15" customHeight="1">
      <c r="A579" t="inlineStr">
        <is>
          <t>A 37462-2021</t>
        </is>
      </c>
      <c r="B579" s="1" t="n">
        <v>44398</v>
      </c>
      <c r="C579" s="1" t="n">
        <v>45658</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37530-2021</t>
        </is>
      </c>
      <c r="B580" s="1" t="n">
        <v>44399</v>
      </c>
      <c r="C580" s="1" t="n">
        <v>45658</v>
      </c>
      <c r="D580" t="inlineStr">
        <is>
          <t>STOCKHOLMS LÄN</t>
        </is>
      </c>
      <c r="E580" t="inlineStr">
        <is>
          <t>NORRTÄLJE</t>
        </is>
      </c>
      <c r="F580" t="inlineStr">
        <is>
          <t>Holmen skog AB</t>
        </is>
      </c>
      <c r="G580" t="n">
        <v>2.8</v>
      </c>
      <c r="H580" t="n">
        <v>0</v>
      </c>
      <c r="I580" t="n">
        <v>0</v>
      </c>
      <c r="J580" t="n">
        <v>0</v>
      </c>
      <c r="K580" t="n">
        <v>0</v>
      </c>
      <c r="L580" t="n">
        <v>0</v>
      </c>
      <c r="M580" t="n">
        <v>0</v>
      </c>
      <c r="N580" t="n">
        <v>0</v>
      </c>
      <c r="O580" t="n">
        <v>0</v>
      </c>
      <c r="P580" t="n">
        <v>0</v>
      </c>
      <c r="Q580" t="n">
        <v>0</v>
      </c>
      <c r="R580" s="2" t="inlineStr"/>
    </row>
    <row r="581" ht="15" customHeight="1">
      <c r="A581" t="inlineStr">
        <is>
          <t>A 37522-2021</t>
        </is>
      </c>
      <c r="B581" s="1" t="n">
        <v>44399</v>
      </c>
      <c r="C581" s="1" t="n">
        <v>45658</v>
      </c>
      <c r="D581" t="inlineStr">
        <is>
          <t>STOCKHOLMS LÄN</t>
        </is>
      </c>
      <c r="E581" t="inlineStr">
        <is>
          <t>NORRTÄLJE</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37525-2021</t>
        </is>
      </c>
      <c r="B582" s="1" t="n">
        <v>44399</v>
      </c>
      <c r="C582" s="1" t="n">
        <v>45658</v>
      </c>
      <c r="D582" t="inlineStr">
        <is>
          <t>STOCKHOLMS LÄN</t>
        </is>
      </c>
      <c r="E582" t="inlineStr">
        <is>
          <t>NORRTÄLJE</t>
        </is>
      </c>
      <c r="F582" t="inlineStr">
        <is>
          <t>Holmen skog AB</t>
        </is>
      </c>
      <c r="G582" t="n">
        <v>2.5</v>
      </c>
      <c r="H582" t="n">
        <v>0</v>
      </c>
      <c r="I582" t="n">
        <v>0</v>
      </c>
      <c r="J582" t="n">
        <v>0</v>
      </c>
      <c r="K582" t="n">
        <v>0</v>
      </c>
      <c r="L582" t="n">
        <v>0</v>
      </c>
      <c r="M582" t="n">
        <v>0</v>
      </c>
      <c r="N582" t="n">
        <v>0</v>
      </c>
      <c r="O582" t="n">
        <v>0</v>
      </c>
      <c r="P582" t="n">
        <v>0</v>
      </c>
      <c r="Q582" t="n">
        <v>0</v>
      </c>
      <c r="R582" s="2" t="inlineStr"/>
    </row>
    <row r="583" ht="15" customHeight="1">
      <c r="A583" t="inlineStr">
        <is>
          <t>A 37712-2021</t>
        </is>
      </c>
      <c r="B583" s="1" t="n">
        <v>44400</v>
      </c>
      <c r="C583" s="1" t="n">
        <v>45658</v>
      </c>
      <c r="D583" t="inlineStr">
        <is>
          <t>STOCKHOLMS LÄN</t>
        </is>
      </c>
      <c r="E583" t="inlineStr">
        <is>
          <t>NORRTÄLJE</t>
        </is>
      </c>
      <c r="G583" t="n">
        <v>22.9</v>
      </c>
      <c r="H583" t="n">
        <v>0</v>
      </c>
      <c r="I583" t="n">
        <v>0</v>
      </c>
      <c r="J583" t="n">
        <v>0</v>
      </c>
      <c r="K583" t="n">
        <v>0</v>
      </c>
      <c r="L583" t="n">
        <v>0</v>
      </c>
      <c r="M583" t="n">
        <v>0</v>
      </c>
      <c r="N583" t="n">
        <v>0</v>
      </c>
      <c r="O583" t="n">
        <v>0</v>
      </c>
      <c r="P583" t="n">
        <v>0</v>
      </c>
      <c r="Q583" t="n">
        <v>0</v>
      </c>
      <c r="R583" s="2" t="inlineStr"/>
    </row>
    <row r="584" ht="15" customHeight="1">
      <c r="A584" t="inlineStr">
        <is>
          <t>A 37859-2021</t>
        </is>
      </c>
      <c r="B584" s="1" t="n">
        <v>44403</v>
      </c>
      <c r="C584" s="1" t="n">
        <v>45658</v>
      </c>
      <c r="D584" t="inlineStr">
        <is>
          <t>STOCKHOLMS LÄN</t>
        </is>
      </c>
      <c r="E584" t="inlineStr">
        <is>
          <t>NORRTÄLJE</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39157-2021</t>
        </is>
      </c>
      <c r="B585" s="1" t="n">
        <v>44412</v>
      </c>
      <c r="C585" s="1" t="n">
        <v>45658</v>
      </c>
      <c r="D585" t="inlineStr">
        <is>
          <t>STOCKHOLMS LÄN</t>
        </is>
      </c>
      <c r="E585" t="inlineStr">
        <is>
          <t>NORRTÄLJE</t>
        </is>
      </c>
      <c r="G585" t="n">
        <v>3.1</v>
      </c>
      <c r="H585" t="n">
        <v>0</v>
      </c>
      <c r="I585" t="n">
        <v>0</v>
      </c>
      <c r="J585" t="n">
        <v>0</v>
      </c>
      <c r="K585" t="n">
        <v>0</v>
      </c>
      <c r="L585" t="n">
        <v>0</v>
      </c>
      <c r="M585" t="n">
        <v>0</v>
      </c>
      <c r="N585" t="n">
        <v>0</v>
      </c>
      <c r="O585" t="n">
        <v>0</v>
      </c>
      <c r="P585" t="n">
        <v>0</v>
      </c>
      <c r="Q585" t="n">
        <v>0</v>
      </c>
      <c r="R585" s="2" t="inlineStr"/>
    </row>
    <row r="586" ht="15" customHeight="1">
      <c r="A586" t="inlineStr">
        <is>
          <t>A 39496-2021</t>
        </is>
      </c>
      <c r="B586" s="1" t="n">
        <v>44414</v>
      </c>
      <c r="C586" s="1" t="n">
        <v>45658</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v>
      </c>
      <c r="C587" s="1" t="n">
        <v>45658</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40425-2021</t>
        </is>
      </c>
      <c r="B588" s="1" t="n">
        <v>44419</v>
      </c>
      <c r="C588" s="1" t="n">
        <v>45658</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40542-2021</t>
        </is>
      </c>
      <c r="B589" s="1" t="n">
        <v>44420</v>
      </c>
      <c r="C589" s="1" t="n">
        <v>45658</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40546-2021</t>
        </is>
      </c>
      <c r="B590" s="1" t="n">
        <v>44420</v>
      </c>
      <c r="C590" s="1" t="n">
        <v>45658</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41595-2021</t>
        </is>
      </c>
      <c r="B591" s="1" t="n">
        <v>44425</v>
      </c>
      <c r="C591" s="1" t="n">
        <v>45658</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41823-2021</t>
        </is>
      </c>
      <c r="B592" s="1" t="n">
        <v>44425</v>
      </c>
      <c r="C592" s="1" t="n">
        <v>45658</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41822-2021</t>
        </is>
      </c>
      <c r="B593" s="1" t="n">
        <v>44425</v>
      </c>
      <c r="C593" s="1" t="n">
        <v>45658</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42396-2021</t>
        </is>
      </c>
      <c r="B594" s="1" t="n">
        <v>44427</v>
      </c>
      <c r="C594" s="1" t="n">
        <v>45658</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43478-2021</t>
        </is>
      </c>
      <c r="B595" s="1" t="n">
        <v>44432</v>
      </c>
      <c r="C595" s="1" t="n">
        <v>45658</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44274-2021</t>
        </is>
      </c>
      <c r="B596" s="1" t="n">
        <v>44435</v>
      </c>
      <c r="C596" s="1" t="n">
        <v>45658</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47344-2021</t>
        </is>
      </c>
      <c r="B597" s="1" t="n">
        <v>44447</v>
      </c>
      <c r="C597" s="1" t="n">
        <v>45658</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47349-2021</t>
        </is>
      </c>
      <c r="B598" s="1" t="n">
        <v>44447</v>
      </c>
      <c r="C598" s="1" t="n">
        <v>45658</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47691-2021</t>
        </is>
      </c>
      <c r="B599" s="1" t="n">
        <v>44448</v>
      </c>
      <c r="C599" s="1" t="n">
        <v>45658</v>
      </c>
      <c r="D599" t="inlineStr">
        <is>
          <t>STOCKHOLMS LÄN</t>
        </is>
      </c>
      <c r="E599" t="inlineStr">
        <is>
          <t>NORRTÄLJE</t>
        </is>
      </c>
      <c r="G599" t="n">
        <v>2.8</v>
      </c>
      <c r="H599" t="n">
        <v>0</v>
      </c>
      <c r="I599" t="n">
        <v>0</v>
      </c>
      <c r="J599" t="n">
        <v>0</v>
      </c>
      <c r="K599" t="n">
        <v>0</v>
      </c>
      <c r="L599" t="n">
        <v>0</v>
      </c>
      <c r="M599" t="n">
        <v>0</v>
      </c>
      <c r="N599" t="n">
        <v>0</v>
      </c>
      <c r="O599" t="n">
        <v>0</v>
      </c>
      <c r="P599" t="n">
        <v>0</v>
      </c>
      <c r="Q599" t="n">
        <v>0</v>
      </c>
      <c r="R599" s="2" t="inlineStr"/>
    </row>
    <row r="600" ht="15" customHeight="1">
      <c r="A600" t="inlineStr">
        <is>
          <t>A 48384-2021</t>
        </is>
      </c>
      <c r="B600" s="1" t="n">
        <v>44451</v>
      </c>
      <c r="C600" s="1" t="n">
        <v>45658</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48798-2021</t>
        </is>
      </c>
      <c r="B601" s="1" t="n">
        <v>44452</v>
      </c>
      <c r="C601" s="1" t="n">
        <v>45658</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48932-2021</t>
        </is>
      </c>
      <c r="B602" s="1" t="n">
        <v>44453</v>
      </c>
      <c r="C602" s="1" t="n">
        <v>45658</v>
      </c>
      <c r="D602" t="inlineStr">
        <is>
          <t>STOCKHOLMS LÄN</t>
        </is>
      </c>
      <c r="E602" t="inlineStr">
        <is>
          <t>NORRTÄLJE</t>
        </is>
      </c>
      <c r="G602" t="n">
        <v>11.2</v>
      </c>
      <c r="H602" t="n">
        <v>0</v>
      </c>
      <c r="I602" t="n">
        <v>0</v>
      </c>
      <c r="J602" t="n">
        <v>0</v>
      </c>
      <c r="K602" t="n">
        <v>0</v>
      </c>
      <c r="L602" t="n">
        <v>0</v>
      </c>
      <c r="M602" t="n">
        <v>0</v>
      </c>
      <c r="N602" t="n">
        <v>0</v>
      </c>
      <c r="O602" t="n">
        <v>0</v>
      </c>
      <c r="P602" t="n">
        <v>0</v>
      </c>
      <c r="Q602" t="n">
        <v>0</v>
      </c>
      <c r="R602" s="2" t="inlineStr"/>
    </row>
    <row r="603" ht="15" customHeight="1">
      <c r="A603" t="inlineStr">
        <is>
          <t>A 49113-2021</t>
        </is>
      </c>
      <c r="B603" s="1" t="n">
        <v>44453</v>
      </c>
      <c r="C603" s="1" t="n">
        <v>45658</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50038-2021</t>
        </is>
      </c>
      <c r="B604" s="1" t="n">
        <v>44456</v>
      </c>
      <c r="C604" s="1" t="n">
        <v>45658</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50108-2021</t>
        </is>
      </c>
      <c r="B605" s="1" t="n">
        <v>44456</v>
      </c>
      <c r="C605" s="1" t="n">
        <v>45658</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50252-2021</t>
        </is>
      </c>
      <c r="B606" s="1" t="n">
        <v>44458</v>
      </c>
      <c r="C606" s="1" t="n">
        <v>45658</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50602-2021</t>
        </is>
      </c>
      <c r="B607" s="1" t="n">
        <v>44459</v>
      </c>
      <c r="C607" s="1" t="n">
        <v>45658</v>
      </c>
      <c r="D607" t="inlineStr">
        <is>
          <t>STOCKHOLMS LÄN</t>
        </is>
      </c>
      <c r="E607" t="inlineStr">
        <is>
          <t>NORRTÄLJE</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51279-2021</t>
        </is>
      </c>
      <c r="B608" s="1" t="n">
        <v>44461</v>
      </c>
      <c r="C608" s="1" t="n">
        <v>45658</v>
      </c>
      <c r="D608" t="inlineStr">
        <is>
          <t>STOCKHOLMS LÄN</t>
        </is>
      </c>
      <c r="E608" t="inlineStr">
        <is>
          <t>NORRTÄLJE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51315-2021</t>
        </is>
      </c>
      <c r="B609" s="1" t="n">
        <v>44461</v>
      </c>
      <c r="C609" s="1" t="n">
        <v>45658</v>
      </c>
      <c r="D609" t="inlineStr">
        <is>
          <t>STOCKHOLMS LÄN</t>
        </is>
      </c>
      <c r="E609" t="inlineStr">
        <is>
          <t>NORRTÄLJE</t>
        </is>
      </c>
      <c r="F609" t="inlineStr">
        <is>
          <t>Holmen skog AB</t>
        </is>
      </c>
      <c r="G609" t="n">
        <v>2.2</v>
      </c>
      <c r="H609" t="n">
        <v>0</v>
      </c>
      <c r="I609" t="n">
        <v>0</v>
      </c>
      <c r="J609" t="n">
        <v>0</v>
      </c>
      <c r="K609" t="n">
        <v>0</v>
      </c>
      <c r="L609" t="n">
        <v>0</v>
      </c>
      <c r="M609" t="n">
        <v>0</v>
      </c>
      <c r="N609" t="n">
        <v>0</v>
      </c>
      <c r="O609" t="n">
        <v>0</v>
      </c>
      <c r="P609" t="n">
        <v>0</v>
      </c>
      <c r="Q609" t="n">
        <v>0</v>
      </c>
      <c r="R609" s="2" t="inlineStr"/>
    </row>
    <row r="610" ht="15" customHeight="1">
      <c r="A610" t="inlineStr">
        <is>
          <t>A 52090-2021</t>
        </is>
      </c>
      <c r="B610" s="1" t="n">
        <v>44463</v>
      </c>
      <c r="C610" s="1" t="n">
        <v>45658</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52449-2021</t>
        </is>
      </c>
      <c r="B611" s="1" t="n">
        <v>44466</v>
      </c>
      <c r="C611" s="1" t="n">
        <v>45658</v>
      </c>
      <c r="D611" t="inlineStr">
        <is>
          <t>STOCKHOLMS LÄN</t>
        </is>
      </c>
      <c r="E611" t="inlineStr">
        <is>
          <t>NORRTÄLJE</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54276-2021</t>
        </is>
      </c>
      <c r="B612" s="1" t="n">
        <v>44470</v>
      </c>
      <c r="C612" s="1" t="n">
        <v>45658</v>
      </c>
      <c r="D612" t="inlineStr">
        <is>
          <t>STOCKHOLMS LÄN</t>
        </is>
      </c>
      <c r="E612" t="inlineStr">
        <is>
          <t>NORRTÄLJE</t>
        </is>
      </c>
      <c r="G612" t="n">
        <v>7.3</v>
      </c>
      <c r="H612" t="n">
        <v>0</v>
      </c>
      <c r="I612" t="n">
        <v>0</v>
      </c>
      <c r="J612" t="n">
        <v>0</v>
      </c>
      <c r="K612" t="n">
        <v>0</v>
      </c>
      <c r="L612" t="n">
        <v>0</v>
      </c>
      <c r="M612" t="n">
        <v>0</v>
      </c>
      <c r="N612" t="n">
        <v>0</v>
      </c>
      <c r="O612" t="n">
        <v>0</v>
      </c>
      <c r="P612" t="n">
        <v>0</v>
      </c>
      <c r="Q612" t="n">
        <v>0</v>
      </c>
      <c r="R612" s="2" t="inlineStr"/>
    </row>
    <row r="613" ht="15" customHeight="1">
      <c r="A613" t="inlineStr">
        <is>
          <t>A 54273-2021</t>
        </is>
      </c>
      <c r="B613" s="1" t="n">
        <v>44470</v>
      </c>
      <c r="C613" s="1" t="n">
        <v>45658</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54272-2021</t>
        </is>
      </c>
      <c r="B614" s="1" t="n">
        <v>44470</v>
      </c>
      <c r="C614" s="1" t="n">
        <v>45658</v>
      </c>
      <c r="D614" t="inlineStr">
        <is>
          <t>STOCKHOLMS LÄN</t>
        </is>
      </c>
      <c r="E614" t="inlineStr">
        <is>
          <t>NORRTÄLJE</t>
        </is>
      </c>
      <c r="G614" t="n">
        <v>5.8</v>
      </c>
      <c r="H614" t="n">
        <v>0</v>
      </c>
      <c r="I614" t="n">
        <v>0</v>
      </c>
      <c r="J614" t="n">
        <v>0</v>
      </c>
      <c r="K614" t="n">
        <v>0</v>
      </c>
      <c r="L614" t="n">
        <v>0</v>
      </c>
      <c r="M614" t="n">
        <v>0</v>
      </c>
      <c r="N614" t="n">
        <v>0</v>
      </c>
      <c r="O614" t="n">
        <v>0</v>
      </c>
      <c r="P614" t="n">
        <v>0</v>
      </c>
      <c r="Q614" t="n">
        <v>0</v>
      </c>
      <c r="R614" s="2" t="inlineStr"/>
    </row>
    <row r="615" ht="15" customHeight="1">
      <c r="A615" t="inlineStr">
        <is>
          <t>A 54396-2021</t>
        </is>
      </c>
      <c r="B615" s="1" t="n">
        <v>44472</v>
      </c>
      <c r="C615" s="1" t="n">
        <v>45658</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55058-2021</t>
        </is>
      </c>
      <c r="B616" s="1" t="n">
        <v>44474</v>
      </c>
      <c r="C616" s="1" t="n">
        <v>45658</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56219-2021</t>
        </is>
      </c>
      <c r="B617" s="1" t="n">
        <v>44477</v>
      </c>
      <c r="C617" s="1" t="n">
        <v>45658</v>
      </c>
      <c r="D617" t="inlineStr">
        <is>
          <t>STOCKHOLMS LÄN</t>
        </is>
      </c>
      <c r="E617" t="inlineStr">
        <is>
          <t>NORRTÄLJE</t>
        </is>
      </c>
      <c r="F617" t="inlineStr">
        <is>
          <t>Kommuner</t>
        </is>
      </c>
      <c r="G617" t="n">
        <v>2.3</v>
      </c>
      <c r="H617" t="n">
        <v>0</v>
      </c>
      <c r="I617" t="n">
        <v>0</v>
      </c>
      <c r="J617" t="n">
        <v>0</v>
      </c>
      <c r="K617" t="n">
        <v>0</v>
      </c>
      <c r="L617" t="n">
        <v>0</v>
      </c>
      <c r="M617" t="n">
        <v>0</v>
      </c>
      <c r="N617" t="n">
        <v>0</v>
      </c>
      <c r="O617" t="n">
        <v>0</v>
      </c>
      <c r="P617" t="n">
        <v>0</v>
      </c>
      <c r="Q617" t="n">
        <v>0</v>
      </c>
      <c r="R617" s="2" t="inlineStr"/>
    </row>
    <row r="618" ht="15" customHeight="1">
      <c r="A618" t="inlineStr">
        <is>
          <t>A 56225-2021</t>
        </is>
      </c>
      <c r="B618" s="1" t="n">
        <v>44478</v>
      </c>
      <c r="C618" s="1" t="n">
        <v>45658</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56878-2021</t>
        </is>
      </c>
      <c r="B619" s="1" t="n">
        <v>44481</v>
      </c>
      <c r="C619" s="1" t="n">
        <v>45658</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57442-2021</t>
        </is>
      </c>
      <c r="B620" s="1" t="n">
        <v>44483</v>
      </c>
      <c r="C620" s="1" t="n">
        <v>45658</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57507-2021</t>
        </is>
      </c>
      <c r="B621" s="1" t="n">
        <v>44483</v>
      </c>
      <c r="C621" s="1" t="n">
        <v>45658</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58989-2021</t>
        </is>
      </c>
      <c r="B622" s="1" t="n">
        <v>44490</v>
      </c>
      <c r="C622" s="1" t="n">
        <v>45658</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58990-2021</t>
        </is>
      </c>
      <c r="B623" s="1" t="n">
        <v>44490</v>
      </c>
      <c r="C623" s="1" t="n">
        <v>45658</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60217-2021</t>
        </is>
      </c>
      <c r="B624" s="1" t="n">
        <v>44495</v>
      </c>
      <c r="C624" s="1" t="n">
        <v>45658</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60184-2021</t>
        </is>
      </c>
      <c r="B625" s="1" t="n">
        <v>44495</v>
      </c>
      <c r="C625" s="1" t="n">
        <v>45658</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60186-2021</t>
        </is>
      </c>
      <c r="B626" s="1" t="n">
        <v>44495</v>
      </c>
      <c r="C626" s="1" t="n">
        <v>45658</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60209-2021</t>
        </is>
      </c>
      <c r="B627" s="1" t="n">
        <v>44495</v>
      </c>
      <c r="C627" s="1" t="n">
        <v>45658</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60671-2021</t>
        </is>
      </c>
      <c r="B628" s="1" t="n">
        <v>44496</v>
      </c>
      <c r="C628" s="1" t="n">
        <v>45658</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60733-2021</t>
        </is>
      </c>
      <c r="B629" s="1" t="n">
        <v>44496</v>
      </c>
      <c r="C629" s="1" t="n">
        <v>45658</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60813-2021</t>
        </is>
      </c>
      <c r="B630" s="1" t="n">
        <v>44496</v>
      </c>
      <c r="C630" s="1" t="n">
        <v>45658</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60822-2021</t>
        </is>
      </c>
      <c r="B631" s="1" t="n">
        <v>44496</v>
      </c>
      <c r="C631" s="1" t="n">
        <v>45658</v>
      </c>
      <c r="D631" t="inlineStr">
        <is>
          <t>STOCKHOLMS LÄN</t>
        </is>
      </c>
      <c r="E631" t="inlineStr">
        <is>
          <t>NORRTÄLJE</t>
        </is>
      </c>
      <c r="G631" t="n">
        <v>7.6</v>
      </c>
      <c r="H631" t="n">
        <v>0</v>
      </c>
      <c r="I631" t="n">
        <v>0</v>
      </c>
      <c r="J631" t="n">
        <v>0</v>
      </c>
      <c r="K631" t="n">
        <v>0</v>
      </c>
      <c r="L631" t="n">
        <v>0</v>
      </c>
      <c r="M631" t="n">
        <v>0</v>
      </c>
      <c r="N631" t="n">
        <v>0</v>
      </c>
      <c r="O631" t="n">
        <v>0</v>
      </c>
      <c r="P631" t="n">
        <v>0</v>
      </c>
      <c r="Q631" t="n">
        <v>0</v>
      </c>
      <c r="R631" s="2" t="inlineStr"/>
    </row>
    <row r="632" ht="15" customHeight="1">
      <c r="A632" t="inlineStr">
        <is>
          <t>A 62030-2021</t>
        </is>
      </c>
      <c r="B632" s="1" t="n">
        <v>44502</v>
      </c>
      <c r="C632" s="1" t="n">
        <v>45658</v>
      </c>
      <c r="D632" t="inlineStr">
        <is>
          <t>STOCKHOLMS LÄN</t>
        </is>
      </c>
      <c r="E632" t="inlineStr">
        <is>
          <t>NORRTÄLJE</t>
        </is>
      </c>
      <c r="G632" t="n">
        <v>4.7</v>
      </c>
      <c r="H632" t="n">
        <v>0</v>
      </c>
      <c r="I632" t="n">
        <v>0</v>
      </c>
      <c r="J632" t="n">
        <v>0</v>
      </c>
      <c r="K632" t="n">
        <v>0</v>
      </c>
      <c r="L632" t="n">
        <v>0</v>
      </c>
      <c r="M632" t="n">
        <v>0</v>
      </c>
      <c r="N632" t="n">
        <v>0</v>
      </c>
      <c r="O632" t="n">
        <v>0</v>
      </c>
      <c r="P632" t="n">
        <v>0</v>
      </c>
      <c r="Q632" t="n">
        <v>0</v>
      </c>
      <c r="R632" s="2" t="inlineStr"/>
    </row>
    <row r="633" ht="15" customHeight="1">
      <c r="A633" t="inlineStr">
        <is>
          <t>A 63530-2021</t>
        </is>
      </c>
      <c r="B633" s="1" t="n">
        <v>44508</v>
      </c>
      <c r="C633" s="1" t="n">
        <v>45658</v>
      </c>
      <c r="D633" t="inlineStr">
        <is>
          <t>STOCKHOLMS LÄN</t>
        </is>
      </c>
      <c r="E633" t="inlineStr">
        <is>
          <t>NORRTÄLJE</t>
        </is>
      </c>
      <c r="G633" t="n">
        <v>8.9</v>
      </c>
      <c r="H633" t="n">
        <v>0</v>
      </c>
      <c r="I633" t="n">
        <v>0</v>
      </c>
      <c r="J633" t="n">
        <v>0</v>
      </c>
      <c r="K633" t="n">
        <v>0</v>
      </c>
      <c r="L633" t="n">
        <v>0</v>
      </c>
      <c r="M633" t="n">
        <v>0</v>
      </c>
      <c r="N633" t="n">
        <v>0</v>
      </c>
      <c r="O633" t="n">
        <v>0</v>
      </c>
      <c r="P633" t="n">
        <v>0</v>
      </c>
      <c r="Q633" t="n">
        <v>0</v>
      </c>
      <c r="R633" s="2" t="inlineStr"/>
    </row>
    <row r="634" ht="15" customHeight="1">
      <c r="A634" t="inlineStr">
        <is>
          <t>A 64137-2021</t>
        </is>
      </c>
      <c r="B634" s="1" t="n">
        <v>44510</v>
      </c>
      <c r="C634" s="1" t="n">
        <v>45658</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64212-2021</t>
        </is>
      </c>
      <c r="B635" s="1" t="n">
        <v>44510</v>
      </c>
      <c r="C635" s="1" t="n">
        <v>45658</v>
      </c>
      <c r="D635" t="inlineStr">
        <is>
          <t>STOCKHOLMS LÄN</t>
        </is>
      </c>
      <c r="E635" t="inlineStr">
        <is>
          <t>NORRTÄLJE</t>
        </is>
      </c>
      <c r="G635" t="n">
        <v>28.7</v>
      </c>
      <c r="H635" t="n">
        <v>0</v>
      </c>
      <c r="I635" t="n">
        <v>0</v>
      </c>
      <c r="J635" t="n">
        <v>0</v>
      </c>
      <c r="K635" t="n">
        <v>0</v>
      </c>
      <c r="L635" t="n">
        <v>0</v>
      </c>
      <c r="M635" t="n">
        <v>0</v>
      </c>
      <c r="N635" t="n">
        <v>0</v>
      </c>
      <c r="O635" t="n">
        <v>0</v>
      </c>
      <c r="P635" t="n">
        <v>0</v>
      </c>
      <c r="Q635" t="n">
        <v>0</v>
      </c>
      <c r="R635" s="2" t="inlineStr"/>
    </row>
    <row r="636" ht="15" customHeight="1">
      <c r="A636" t="inlineStr">
        <is>
          <t>A 64074-2021</t>
        </is>
      </c>
      <c r="B636" s="1" t="n">
        <v>44510</v>
      </c>
      <c r="C636" s="1" t="n">
        <v>45658</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64145-2021</t>
        </is>
      </c>
      <c r="B637" s="1" t="n">
        <v>44510</v>
      </c>
      <c r="C637" s="1" t="n">
        <v>45658</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v>
      </c>
      <c r="C638" s="1" t="n">
        <v>45658</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64599-2021</t>
        </is>
      </c>
      <c r="B639" s="1" t="n">
        <v>44511</v>
      </c>
      <c r="C639" s="1" t="n">
        <v>45658</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45658</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64915-2021</t>
        </is>
      </c>
      <c r="B641" s="1" t="n">
        <v>44512</v>
      </c>
      <c r="C641" s="1" t="n">
        <v>45658</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65359-2021</t>
        </is>
      </c>
      <c r="B642" s="1" t="n">
        <v>44515</v>
      </c>
      <c r="C642" s="1" t="n">
        <v>45658</v>
      </c>
      <c r="D642" t="inlineStr">
        <is>
          <t>STOCKHOLMS LÄN</t>
        </is>
      </c>
      <c r="E642" t="inlineStr">
        <is>
          <t>NORRTÄLJE</t>
        </is>
      </c>
      <c r="F642" t="inlineStr">
        <is>
          <t>Kyrkan</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65499-2021</t>
        </is>
      </c>
      <c r="B643" s="1" t="n">
        <v>44516</v>
      </c>
      <c r="C643" s="1" t="n">
        <v>45658</v>
      </c>
      <c r="D643" t="inlineStr">
        <is>
          <t>STOCKHOLMS LÄN</t>
        </is>
      </c>
      <c r="E643" t="inlineStr">
        <is>
          <t>NORRTÄLJE</t>
        </is>
      </c>
      <c r="F643" t="inlineStr">
        <is>
          <t>Kommuner</t>
        </is>
      </c>
      <c r="G643" t="n">
        <v>5.2</v>
      </c>
      <c r="H643" t="n">
        <v>0</v>
      </c>
      <c r="I643" t="n">
        <v>0</v>
      </c>
      <c r="J643" t="n">
        <v>0</v>
      </c>
      <c r="K643" t="n">
        <v>0</v>
      </c>
      <c r="L643" t="n">
        <v>0</v>
      </c>
      <c r="M643" t="n">
        <v>0</v>
      </c>
      <c r="N643" t="n">
        <v>0</v>
      </c>
      <c r="O643" t="n">
        <v>0</v>
      </c>
      <c r="P643" t="n">
        <v>0</v>
      </c>
      <c r="Q643" t="n">
        <v>0</v>
      </c>
      <c r="R643" s="2" t="inlineStr"/>
    </row>
    <row r="644" ht="15" customHeight="1">
      <c r="A644" t="inlineStr">
        <is>
          <t>A 65513-2021</t>
        </is>
      </c>
      <c r="B644" s="1" t="n">
        <v>44516</v>
      </c>
      <c r="C644" s="1" t="n">
        <v>45658</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65511-2021</t>
        </is>
      </c>
      <c r="B645" s="1" t="n">
        <v>44516</v>
      </c>
      <c r="C645" s="1" t="n">
        <v>45658</v>
      </c>
      <c r="D645" t="inlineStr">
        <is>
          <t>STOCKHOLMS LÄN</t>
        </is>
      </c>
      <c r="E645" t="inlineStr">
        <is>
          <t>NORRTÄLJE</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65501-2021</t>
        </is>
      </c>
      <c r="B646" s="1" t="n">
        <v>44516</v>
      </c>
      <c r="C646" s="1" t="n">
        <v>45658</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65509-2021</t>
        </is>
      </c>
      <c r="B647" s="1" t="n">
        <v>44516</v>
      </c>
      <c r="C647" s="1" t="n">
        <v>45658</v>
      </c>
      <c r="D647" t="inlineStr">
        <is>
          <t>STOCKHOLMS LÄN</t>
        </is>
      </c>
      <c r="E647" t="inlineStr">
        <is>
          <t>NORRTÄLJE</t>
        </is>
      </c>
      <c r="F647" t="inlineStr">
        <is>
          <t>Kommuner</t>
        </is>
      </c>
      <c r="G647" t="n">
        <v>1</v>
      </c>
      <c r="H647" t="n">
        <v>0</v>
      </c>
      <c r="I647" t="n">
        <v>0</v>
      </c>
      <c r="J647" t="n">
        <v>0</v>
      </c>
      <c r="K647" t="n">
        <v>0</v>
      </c>
      <c r="L647" t="n">
        <v>0</v>
      </c>
      <c r="M647" t="n">
        <v>0</v>
      </c>
      <c r="N647" t="n">
        <v>0</v>
      </c>
      <c r="O647" t="n">
        <v>0</v>
      </c>
      <c r="P647" t="n">
        <v>0</v>
      </c>
      <c r="Q647" t="n">
        <v>0</v>
      </c>
      <c r="R647" s="2" t="inlineStr"/>
    </row>
    <row r="648" ht="15" customHeight="1">
      <c r="A648" t="inlineStr">
        <is>
          <t>A 65611-2021</t>
        </is>
      </c>
      <c r="B648" s="1" t="n">
        <v>44516</v>
      </c>
      <c r="C648" s="1" t="n">
        <v>45658</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65737-2021</t>
        </is>
      </c>
      <c r="B649" s="1" t="n">
        <v>44516</v>
      </c>
      <c r="C649" s="1" t="n">
        <v>45658</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66450-2021</t>
        </is>
      </c>
      <c r="B650" s="1" t="n">
        <v>44518</v>
      </c>
      <c r="C650" s="1" t="n">
        <v>45658</v>
      </c>
      <c r="D650" t="inlineStr">
        <is>
          <t>STOCKHOLMS LÄN</t>
        </is>
      </c>
      <c r="E650" t="inlineStr">
        <is>
          <t>NORRTÄLJE</t>
        </is>
      </c>
      <c r="G650" t="n">
        <v>9.1</v>
      </c>
      <c r="H650" t="n">
        <v>0</v>
      </c>
      <c r="I650" t="n">
        <v>0</v>
      </c>
      <c r="J650" t="n">
        <v>0</v>
      </c>
      <c r="K650" t="n">
        <v>0</v>
      </c>
      <c r="L650" t="n">
        <v>0</v>
      </c>
      <c r="M650" t="n">
        <v>0</v>
      </c>
      <c r="N650" t="n">
        <v>0</v>
      </c>
      <c r="O650" t="n">
        <v>0</v>
      </c>
      <c r="P650" t="n">
        <v>0</v>
      </c>
      <c r="Q650" t="n">
        <v>0</v>
      </c>
      <c r="R650" s="2" t="inlineStr"/>
    </row>
    <row r="651" ht="15" customHeight="1">
      <c r="A651" t="inlineStr">
        <is>
          <t>A 66608-2021</t>
        </is>
      </c>
      <c r="B651" s="1" t="n">
        <v>44519</v>
      </c>
      <c r="C651" s="1" t="n">
        <v>45658</v>
      </c>
      <c r="D651" t="inlineStr">
        <is>
          <t>STOCKHOLMS LÄN</t>
        </is>
      </c>
      <c r="E651" t="inlineStr">
        <is>
          <t>NORRTÄLJE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66592-2021</t>
        </is>
      </c>
      <c r="B652" s="1" t="n">
        <v>44519</v>
      </c>
      <c r="C652" s="1" t="n">
        <v>45658</v>
      </c>
      <c r="D652" t="inlineStr">
        <is>
          <t>STOCKHOLMS LÄN</t>
        </is>
      </c>
      <c r="E652" t="inlineStr">
        <is>
          <t>NORRTÄLJE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66769-2021</t>
        </is>
      </c>
      <c r="B653" s="1" t="n">
        <v>44521</v>
      </c>
      <c r="C653" s="1" t="n">
        <v>45658</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67285-2021</t>
        </is>
      </c>
      <c r="B654" s="1" t="n">
        <v>44523</v>
      </c>
      <c r="C654" s="1" t="n">
        <v>45658</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67525-2021</t>
        </is>
      </c>
      <c r="B655" s="1" t="n">
        <v>44524</v>
      </c>
      <c r="C655" s="1" t="n">
        <v>45658</v>
      </c>
      <c r="D655" t="inlineStr">
        <is>
          <t>STOCKHOLMS LÄN</t>
        </is>
      </c>
      <c r="E655" t="inlineStr">
        <is>
          <t>NORRTÄLJE</t>
        </is>
      </c>
      <c r="G655" t="n">
        <v>0.8</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45658</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67921-2021</t>
        </is>
      </c>
      <c r="B657" s="1" t="n">
        <v>44525</v>
      </c>
      <c r="C657" s="1" t="n">
        <v>45658</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67990-2021</t>
        </is>
      </c>
      <c r="B658" s="1" t="n">
        <v>44525</v>
      </c>
      <c r="C658" s="1" t="n">
        <v>45658</v>
      </c>
      <c r="D658" t="inlineStr">
        <is>
          <t>STOCKHOLMS LÄN</t>
        </is>
      </c>
      <c r="E658" t="inlineStr">
        <is>
          <t>NORRTÄLJE</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67992-2021</t>
        </is>
      </c>
      <c r="B659" s="1" t="n">
        <v>44525</v>
      </c>
      <c r="C659" s="1" t="n">
        <v>45658</v>
      </c>
      <c r="D659" t="inlineStr">
        <is>
          <t>STOCKHOLMS LÄN</t>
        </is>
      </c>
      <c r="E659" t="inlineStr">
        <is>
          <t>NORRTÄLJE</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67993-2021</t>
        </is>
      </c>
      <c r="B660" s="1" t="n">
        <v>44525</v>
      </c>
      <c r="C660" s="1" t="n">
        <v>45658</v>
      </c>
      <c r="D660" t="inlineStr">
        <is>
          <t>STOCKHOLMS LÄN</t>
        </is>
      </c>
      <c r="E660" t="inlineStr">
        <is>
          <t>NORRTÄLJE</t>
        </is>
      </c>
      <c r="F660" t="inlineStr">
        <is>
          <t>Sveaskog</t>
        </is>
      </c>
      <c r="G660" t="n">
        <v>3.4</v>
      </c>
      <c r="H660" t="n">
        <v>0</v>
      </c>
      <c r="I660" t="n">
        <v>0</v>
      </c>
      <c r="J660" t="n">
        <v>0</v>
      </c>
      <c r="K660" t="n">
        <v>0</v>
      </c>
      <c r="L660" t="n">
        <v>0</v>
      </c>
      <c r="M660" t="n">
        <v>0</v>
      </c>
      <c r="N660" t="n">
        <v>0</v>
      </c>
      <c r="O660" t="n">
        <v>0</v>
      </c>
      <c r="P660" t="n">
        <v>0</v>
      </c>
      <c r="Q660" t="n">
        <v>0</v>
      </c>
      <c r="R660" s="2" t="inlineStr"/>
    </row>
    <row r="661" ht="15" customHeight="1">
      <c r="A661" t="inlineStr">
        <is>
          <t>A 68273-2021</t>
        </is>
      </c>
      <c r="B661" s="1" t="n">
        <v>44526</v>
      </c>
      <c r="C661" s="1" t="n">
        <v>45658</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68361-2021</t>
        </is>
      </c>
      <c r="B662" s="1" t="n">
        <v>44528</v>
      </c>
      <c r="C662" s="1" t="n">
        <v>45658</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69034-2021</t>
        </is>
      </c>
      <c r="B663" s="1" t="n">
        <v>44529</v>
      </c>
      <c r="C663" s="1" t="n">
        <v>45658</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69539-2021</t>
        </is>
      </c>
      <c r="B664" s="1" t="n">
        <v>44531</v>
      </c>
      <c r="C664" s="1" t="n">
        <v>45658</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69723-2021</t>
        </is>
      </c>
      <c r="B665" s="1" t="n">
        <v>44532</v>
      </c>
      <c r="C665" s="1" t="n">
        <v>45658</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69816-2021</t>
        </is>
      </c>
      <c r="B666" s="1" t="n">
        <v>44532</v>
      </c>
      <c r="C666" s="1" t="n">
        <v>45658</v>
      </c>
      <c r="D666" t="inlineStr">
        <is>
          <t>STOCKHOLMS LÄN</t>
        </is>
      </c>
      <c r="E666" t="inlineStr">
        <is>
          <t>NORRTÄLJE</t>
        </is>
      </c>
      <c r="G666" t="n">
        <v>4.9</v>
      </c>
      <c r="H666" t="n">
        <v>0</v>
      </c>
      <c r="I666" t="n">
        <v>0</v>
      </c>
      <c r="J666" t="n">
        <v>0</v>
      </c>
      <c r="K666" t="n">
        <v>0</v>
      </c>
      <c r="L666" t="n">
        <v>0</v>
      </c>
      <c r="M666" t="n">
        <v>0</v>
      </c>
      <c r="N666" t="n">
        <v>0</v>
      </c>
      <c r="O666" t="n">
        <v>0</v>
      </c>
      <c r="P666" t="n">
        <v>0</v>
      </c>
      <c r="Q666" t="n">
        <v>0</v>
      </c>
      <c r="R666" s="2" t="inlineStr"/>
    </row>
    <row r="667" ht="15" customHeight="1">
      <c r="A667" t="inlineStr">
        <is>
          <t>A 70170-2021</t>
        </is>
      </c>
      <c r="B667" s="1" t="n">
        <v>44533</v>
      </c>
      <c r="C667" s="1" t="n">
        <v>45658</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69988-2021</t>
        </is>
      </c>
      <c r="B668" s="1" t="n">
        <v>44533</v>
      </c>
      <c r="C668" s="1" t="n">
        <v>45658</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70469-2021</t>
        </is>
      </c>
      <c r="B669" s="1" t="n">
        <v>44536</v>
      </c>
      <c r="C669" s="1" t="n">
        <v>45658</v>
      </c>
      <c r="D669" t="inlineStr">
        <is>
          <t>STOCKHOLMS LÄN</t>
        </is>
      </c>
      <c r="E669" t="inlineStr">
        <is>
          <t>NORRTÄLJE</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71325-2021</t>
        </is>
      </c>
      <c r="B670" s="1" t="n">
        <v>44539</v>
      </c>
      <c r="C670" s="1" t="n">
        <v>45658</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71552-2021</t>
        </is>
      </c>
      <c r="B671" s="1" t="n">
        <v>44540</v>
      </c>
      <c r="C671" s="1" t="n">
        <v>45658</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71479-2021</t>
        </is>
      </c>
      <c r="B672" s="1" t="n">
        <v>44540</v>
      </c>
      <c r="C672" s="1" t="n">
        <v>45658</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71543-2021</t>
        </is>
      </c>
      <c r="B673" s="1" t="n">
        <v>44540</v>
      </c>
      <c r="C673" s="1" t="n">
        <v>45658</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71873-2021</t>
        </is>
      </c>
      <c r="B674" s="1" t="n">
        <v>44543</v>
      </c>
      <c r="C674" s="1" t="n">
        <v>45658</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71876-2021</t>
        </is>
      </c>
      <c r="B675" s="1" t="n">
        <v>44543</v>
      </c>
      <c r="C675" s="1" t="n">
        <v>45658</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71880-2021</t>
        </is>
      </c>
      <c r="B676" s="1" t="n">
        <v>44543</v>
      </c>
      <c r="C676" s="1" t="n">
        <v>45658</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71871-2021</t>
        </is>
      </c>
      <c r="B677" s="1" t="n">
        <v>44543</v>
      </c>
      <c r="C677" s="1" t="n">
        <v>45658</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71878-2021</t>
        </is>
      </c>
      <c r="B678" s="1" t="n">
        <v>44543</v>
      </c>
      <c r="C678" s="1" t="n">
        <v>45658</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72085-2021</t>
        </is>
      </c>
      <c r="B679" s="1" t="n">
        <v>44544</v>
      </c>
      <c r="C679" s="1" t="n">
        <v>45658</v>
      </c>
      <c r="D679" t="inlineStr">
        <is>
          <t>STOCKHOLMS LÄN</t>
        </is>
      </c>
      <c r="E679" t="inlineStr">
        <is>
          <t>NORRTÄLJE</t>
        </is>
      </c>
      <c r="G679" t="n">
        <v>4.9</v>
      </c>
      <c r="H679" t="n">
        <v>0</v>
      </c>
      <c r="I679" t="n">
        <v>0</v>
      </c>
      <c r="J679" t="n">
        <v>0</v>
      </c>
      <c r="K679" t="n">
        <v>0</v>
      </c>
      <c r="L679" t="n">
        <v>0</v>
      </c>
      <c r="M679" t="n">
        <v>0</v>
      </c>
      <c r="N679" t="n">
        <v>0</v>
      </c>
      <c r="O679" t="n">
        <v>0</v>
      </c>
      <c r="P679" t="n">
        <v>0</v>
      </c>
      <c r="Q679" t="n">
        <v>0</v>
      </c>
      <c r="R679" s="2" t="inlineStr"/>
    </row>
    <row r="680" ht="15" customHeight="1">
      <c r="A680" t="inlineStr">
        <is>
          <t>A 72202-2021</t>
        </is>
      </c>
      <c r="B680" s="1" t="n">
        <v>44544</v>
      </c>
      <c r="C680" s="1" t="n">
        <v>45658</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72308-2021</t>
        </is>
      </c>
      <c r="B681" s="1" t="n">
        <v>44545</v>
      </c>
      <c r="C681" s="1" t="n">
        <v>45658</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72343-2021</t>
        </is>
      </c>
      <c r="B682" s="1" t="n">
        <v>44545</v>
      </c>
      <c r="C682" s="1" t="n">
        <v>45658</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72357-2021</t>
        </is>
      </c>
      <c r="B683" s="1" t="n">
        <v>44545</v>
      </c>
      <c r="C683" s="1" t="n">
        <v>45658</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72355-2021</t>
        </is>
      </c>
      <c r="B684" s="1" t="n">
        <v>44545</v>
      </c>
      <c r="C684" s="1" t="n">
        <v>45658</v>
      </c>
      <c r="D684" t="inlineStr">
        <is>
          <t>STOCKHOLMS LÄN</t>
        </is>
      </c>
      <c r="E684" t="inlineStr">
        <is>
          <t>NORRTÄLJE</t>
        </is>
      </c>
      <c r="G684" t="n">
        <v>3.6</v>
      </c>
      <c r="H684" t="n">
        <v>0</v>
      </c>
      <c r="I684" t="n">
        <v>0</v>
      </c>
      <c r="J684" t="n">
        <v>0</v>
      </c>
      <c r="K684" t="n">
        <v>0</v>
      </c>
      <c r="L684" t="n">
        <v>0</v>
      </c>
      <c r="M684" t="n">
        <v>0</v>
      </c>
      <c r="N684" t="n">
        <v>0</v>
      </c>
      <c r="O684" t="n">
        <v>0</v>
      </c>
      <c r="P684" t="n">
        <v>0</v>
      </c>
      <c r="Q684" t="n">
        <v>0</v>
      </c>
      <c r="R684" s="2" t="inlineStr"/>
    </row>
    <row r="685" ht="15" customHeight="1">
      <c r="A685" t="inlineStr">
        <is>
          <t>A 72353-2021</t>
        </is>
      </c>
      <c r="B685" s="1" t="n">
        <v>44545</v>
      </c>
      <c r="C685" s="1" t="n">
        <v>45658</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72747-2021</t>
        </is>
      </c>
      <c r="B686" s="1" t="n">
        <v>44546</v>
      </c>
      <c r="C686" s="1" t="n">
        <v>45658</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72704-2021</t>
        </is>
      </c>
      <c r="B687" s="1" t="n">
        <v>44546</v>
      </c>
      <c r="C687" s="1" t="n">
        <v>45658</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72890-2021</t>
        </is>
      </c>
      <c r="B688" s="1" t="n">
        <v>44547</v>
      </c>
      <c r="C688" s="1" t="n">
        <v>45658</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73311-2021</t>
        </is>
      </c>
      <c r="B689" s="1" t="n">
        <v>44549</v>
      </c>
      <c r="C689" s="1" t="n">
        <v>45658</v>
      </c>
      <c r="D689" t="inlineStr">
        <is>
          <t>STOCKHOLMS LÄN</t>
        </is>
      </c>
      <c r="E689" t="inlineStr">
        <is>
          <t>NORRTÄLJE</t>
        </is>
      </c>
      <c r="G689" t="n">
        <v>5.2</v>
      </c>
      <c r="H689" t="n">
        <v>0</v>
      </c>
      <c r="I689" t="n">
        <v>0</v>
      </c>
      <c r="J689" t="n">
        <v>0</v>
      </c>
      <c r="K689" t="n">
        <v>0</v>
      </c>
      <c r="L689" t="n">
        <v>0</v>
      </c>
      <c r="M689" t="n">
        <v>0</v>
      </c>
      <c r="N689" t="n">
        <v>0</v>
      </c>
      <c r="O689" t="n">
        <v>0</v>
      </c>
      <c r="P689" t="n">
        <v>0</v>
      </c>
      <c r="Q689" t="n">
        <v>0</v>
      </c>
      <c r="R689" s="2" t="inlineStr"/>
    </row>
    <row r="690" ht="15" customHeight="1">
      <c r="A690" t="inlineStr">
        <is>
          <t>A 73307-2021</t>
        </is>
      </c>
      <c r="B690" s="1" t="n">
        <v>44549</v>
      </c>
      <c r="C690" s="1" t="n">
        <v>45658</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73271-2021</t>
        </is>
      </c>
      <c r="B691" s="1" t="n">
        <v>44550</v>
      </c>
      <c r="C691" s="1" t="n">
        <v>45658</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73504-2021</t>
        </is>
      </c>
      <c r="B692" s="1" t="n">
        <v>44551</v>
      </c>
      <c r="C692" s="1" t="n">
        <v>45658</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73855-2021</t>
        </is>
      </c>
      <c r="B693" s="1" t="n">
        <v>44552</v>
      </c>
      <c r="C693" s="1" t="n">
        <v>45658</v>
      </c>
      <c r="D693" t="inlineStr">
        <is>
          <t>STOCKHOLMS LÄN</t>
        </is>
      </c>
      <c r="E693" t="inlineStr">
        <is>
          <t>NORRTÄLJE</t>
        </is>
      </c>
      <c r="F693" t="inlineStr">
        <is>
          <t>Övriga Aktiebolag</t>
        </is>
      </c>
      <c r="G693" t="n">
        <v>4</v>
      </c>
      <c r="H693" t="n">
        <v>0</v>
      </c>
      <c r="I693" t="n">
        <v>0</v>
      </c>
      <c r="J693" t="n">
        <v>0</v>
      </c>
      <c r="K693" t="n">
        <v>0</v>
      </c>
      <c r="L693" t="n">
        <v>0</v>
      </c>
      <c r="M693" t="n">
        <v>0</v>
      </c>
      <c r="N693" t="n">
        <v>0</v>
      </c>
      <c r="O693" t="n">
        <v>0</v>
      </c>
      <c r="P693" t="n">
        <v>0</v>
      </c>
      <c r="Q693" t="n">
        <v>0</v>
      </c>
      <c r="R693" s="2" t="inlineStr"/>
    </row>
    <row r="694" ht="15" customHeight="1">
      <c r="A694" t="inlineStr">
        <is>
          <t>A 73992-2021</t>
        </is>
      </c>
      <c r="B694" s="1" t="n">
        <v>44556</v>
      </c>
      <c r="C694" s="1" t="n">
        <v>45658</v>
      </c>
      <c r="D694" t="inlineStr">
        <is>
          <t>STOCKHOLMS LÄN</t>
        </is>
      </c>
      <c r="E694" t="inlineStr">
        <is>
          <t>NORRTÄLJE</t>
        </is>
      </c>
      <c r="G694" t="n">
        <v>12.5</v>
      </c>
      <c r="H694" t="n">
        <v>0</v>
      </c>
      <c r="I694" t="n">
        <v>0</v>
      </c>
      <c r="J694" t="n">
        <v>0</v>
      </c>
      <c r="K694" t="n">
        <v>0</v>
      </c>
      <c r="L694" t="n">
        <v>0</v>
      </c>
      <c r="M694" t="n">
        <v>0</v>
      </c>
      <c r="N694" t="n">
        <v>0</v>
      </c>
      <c r="O694" t="n">
        <v>0</v>
      </c>
      <c r="P694" t="n">
        <v>0</v>
      </c>
      <c r="Q694" t="n">
        <v>0</v>
      </c>
      <c r="R694" s="2" t="inlineStr"/>
    </row>
    <row r="695" ht="15" customHeight="1">
      <c r="A695" t="inlineStr">
        <is>
          <t>A 73993-2021</t>
        </is>
      </c>
      <c r="B695" s="1" t="n">
        <v>44556</v>
      </c>
      <c r="C695" s="1" t="n">
        <v>45658</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74468-2021</t>
        </is>
      </c>
      <c r="B696" s="1" t="n">
        <v>44560</v>
      </c>
      <c r="C696" s="1" t="n">
        <v>45658</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185-2022</t>
        </is>
      </c>
      <c r="B697" s="1" t="n">
        <v>44564</v>
      </c>
      <c r="C697" s="1" t="n">
        <v>45658</v>
      </c>
      <c r="D697" t="inlineStr">
        <is>
          <t>STOCKHOLMS LÄN</t>
        </is>
      </c>
      <c r="E697" t="inlineStr">
        <is>
          <t>NORRTÄLJE</t>
        </is>
      </c>
      <c r="G697" t="n">
        <v>3.8</v>
      </c>
      <c r="H697" t="n">
        <v>0</v>
      </c>
      <c r="I697" t="n">
        <v>0</v>
      </c>
      <c r="J697" t="n">
        <v>0</v>
      </c>
      <c r="K697" t="n">
        <v>0</v>
      </c>
      <c r="L697" t="n">
        <v>0</v>
      </c>
      <c r="M697" t="n">
        <v>0</v>
      </c>
      <c r="N697" t="n">
        <v>0</v>
      </c>
      <c r="O697" t="n">
        <v>0</v>
      </c>
      <c r="P697" t="n">
        <v>0</v>
      </c>
      <c r="Q697" t="n">
        <v>0</v>
      </c>
      <c r="R697" s="2" t="inlineStr"/>
    </row>
    <row r="698" ht="15" customHeight="1">
      <c r="A698" t="inlineStr">
        <is>
          <t>A 190-2022</t>
        </is>
      </c>
      <c r="B698" s="1" t="n">
        <v>44564</v>
      </c>
      <c r="C698" s="1" t="n">
        <v>45658</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187-2022</t>
        </is>
      </c>
      <c r="B699" s="1" t="n">
        <v>44564</v>
      </c>
      <c r="C699" s="1" t="n">
        <v>45658</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77-2022</t>
        </is>
      </c>
      <c r="B700" s="1" t="n">
        <v>44564</v>
      </c>
      <c r="C700" s="1" t="n">
        <v>45658</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459-2022</t>
        </is>
      </c>
      <c r="B701" s="1" t="n">
        <v>44565</v>
      </c>
      <c r="C701" s="1" t="n">
        <v>45658</v>
      </c>
      <c r="D701" t="inlineStr">
        <is>
          <t>STOCKHOLMS LÄN</t>
        </is>
      </c>
      <c r="E701" t="inlineStr">
        <is>
          <t>NORRTÄLJE</t>
        </is>
      </c>
      <c r="F701" t="inlineStr">
        <is>
          <t>Övriga Aktiebolag</t>
        </is>
      </c>
      <c r="G701" t="n">
        <v>17.3</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45658</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45658</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45658</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45658</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45658</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45658</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45658</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45658</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45658</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45658</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45658</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45658</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45658</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45658</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45658</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45658</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45658</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45658</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45658</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45658</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45658</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45658</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45658</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45658</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45658</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45658</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45658</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45658</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45658</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45658</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45658</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45658</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45658</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45658</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45658</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45658</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45658</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45658</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45658</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45658</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45658</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45658</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45658</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45658</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45658</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45658</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45658</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45658</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45658</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45658</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45658</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45658</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45658</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45658</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45658</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45658</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45658</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45658</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45658</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45658</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45658</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45658</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45658</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45658</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45658</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45658</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45658</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45658</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45658</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45658</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45658</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45658</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45658</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45658</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45658</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45658</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45658</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45658</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45658</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45658</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45658</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45658</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45658</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45658</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45658</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45658</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45658</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45658</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45658</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45658</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45658</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45658</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45658</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45658</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45658</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45658</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45658</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45658</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45658</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45658</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45658</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45658</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45658</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45658</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45658</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45658</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45658</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45658</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45658</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45658</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45658</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45658</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45658</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45658</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45658</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45658</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45658</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45658</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45658</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45658</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45658</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45658</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45658</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45658</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45658</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45658</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45658</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45658</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45658</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45658</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45658</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45658</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45658</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45658</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45658</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45658</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45658</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45658</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45658</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45658</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45658</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45658</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45658</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45658</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45658</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45658</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45658</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45658</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45658</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45658</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45658</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45658</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45658</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45658</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45658</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45658</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45658</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45658</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45658</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45658</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45658</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45658</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45658</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45658</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45658</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45658</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45658</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45658</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45658</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45658</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45658</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45658</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45658</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45658</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45658</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45658</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45658</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45658</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45658</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45658</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45658</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45658</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45658</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45658</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45658</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45658</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45658</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45658</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45658</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45658</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45658</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45658</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45658</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45658</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45658</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45658</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45658</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45658</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45658</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45658</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45658</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45658</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45658</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45658</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45658</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45658</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45658</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45658</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45658</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45658</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45658</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45658</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45658</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45658</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45658</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45658</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45658</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45658</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45658</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45658</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45658</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45658</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45658</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45658</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45658</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45658</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45658</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45658</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45658</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45658</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45658</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45658</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45658</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45658</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45658</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45658</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45658</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45658</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45658</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45658</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45658</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45658</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45658</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45658</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45658</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45658</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45658</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45658</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45658</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45658</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45658</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45658</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45658</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45658</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45658</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45658</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45658</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45658</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45658</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45658</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45658</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45658</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45658</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45658</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45658</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45658</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45658</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45658</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45658</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45658</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45658</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45658</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45658</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45658</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45658</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45658</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45658</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45658</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45658</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45658</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45658</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45658</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45658</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45658</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45658</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45658</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45658</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45658</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45658</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45658</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45658</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45658</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45658</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45658</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45658</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45658</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45658</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45658</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45658</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45658</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45658</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45658</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45658</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45658</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45658</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45658</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45658</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45658</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45658</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45658</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45658</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45658</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45658</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45658</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45658</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45658</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45658</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45658</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45658</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45658</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45658</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45658</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45658</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45658</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45658</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45658</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45658</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45658</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45658</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45658</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45658</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45658</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45658</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45658</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45658</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45658</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45658</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45658</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45658</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45658</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45658</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45658</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45658</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45658</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45658</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45658</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45658</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45658</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45658</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45658</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45658</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45658</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45658</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45658</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45658</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45658</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45658</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45658</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45658</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45658</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45658</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45658</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45658</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45658</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45658</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45658</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45658</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45658</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45658</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45658</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45658</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45658</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45658</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45658</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45658</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45658</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45658</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45658</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45658</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45658</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45658</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45658</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45658</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45658</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45658</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45658</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45658</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45658</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45658</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45658</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45658</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45658</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45658</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45658</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45658</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45658</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45658</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45658</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45658</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45658</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45658</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45658</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45658</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45658</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45658</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45658</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45658</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45658</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45658</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45658</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45658</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45658</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45658</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45658</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45658</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45658</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45658</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45658</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45658</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45658</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45658</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45658</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45658</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45658</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45658</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45658</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45658</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45658</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45658</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45658</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45658</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45658</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45658</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45658</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45658</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45658</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45658</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45658</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45658</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45658</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45658</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45658</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45658</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45658</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45658</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45658</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45658</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45658</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45658</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45658</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45658</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45658</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45658</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45658</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45658</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45658</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45658</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45658</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45658</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45658</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45658</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45658</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45658</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45658</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45658</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45658</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45658</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45658</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45658</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45658</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45658</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45658</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45658</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45658</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45658</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45658</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45658</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45658</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45658</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45658</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45658</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45658</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45658</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45658</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45658</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45658</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45658</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45658</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45658</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45658</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45658</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45658</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45658</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45658</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45658</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45658</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45658</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45658</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45658</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45658</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45658</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45658</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45658</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45658</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45658</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45658</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45658</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45658</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45658</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45658</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45658</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45658</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45658</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45658</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45658</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45658</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45658</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45658</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45658</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45658</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45658</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45658</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45658</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45658</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45658</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45658</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45658</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45658</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45658</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45658</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45658</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45658</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45658</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45658</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45658</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45658</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45658</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45658</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45658</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45658</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45658</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45658</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45658</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45658</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45658</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45658</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45658</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45658</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45658</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45658</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45658</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45658</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45658</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45658</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45658</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45658</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45658</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45658</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45658</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45658</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45658</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45658</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45658</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45658</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45658</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45658</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45658</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45658</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45658</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45658</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45658</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45658</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45658</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45658</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45658</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45658</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45658</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45658</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45658</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45658</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45658</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45658</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45658</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45658</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45658</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45658</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45658</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45658</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45658</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45658</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45658</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45658</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45658</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45658</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45658</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45658</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45658</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45658</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45658</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45658</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45658</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45658</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45658</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45658</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45658</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45658</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45658</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45658</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45658</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45658</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45658</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45658</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45658</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45658</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45658</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45658</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45658</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45658</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45658</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45658</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45658</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45658</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45658</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45658</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45658</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45658</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45658</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45658</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45658</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45658</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45658</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45658</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45658</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45658</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45658</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45658</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45658</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45658</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45658</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45658</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45658</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45658</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45658</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45658</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45658</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45658</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45658</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45658</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45658</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45658</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45658</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45658</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45658</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45658</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45658</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45658</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45658</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45658</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45658</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45658</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45658</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45658</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45658</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45658</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45658</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45658</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45658</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45658</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45658</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45658</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45658</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45658</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45658</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45658</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45658</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45658</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45658</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45658</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45658</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45658</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45658</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45658</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45658</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45658</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45658</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45658</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45658</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45658</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45658</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45658</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45658</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45658</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45658</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45658</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45658</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45658</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45658</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45658</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45658</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45658</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45658</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45658</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45658</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45658</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45658</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45658</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45658</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45658</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45658</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45658</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45658</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45658</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45658</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45658</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45658</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45658</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45658</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45658</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45658</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45658</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45658</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45658</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45658</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45658</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45658</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45658</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45658</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45658</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45658</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45658</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45658</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45658</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45658</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45658</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45658</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45658</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45658</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45658</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45658</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45658</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45658</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45658</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45658</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45658</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45658</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45658</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45658</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45658</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45658</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45658</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45658</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45658</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45658</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45658</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45658</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45658</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45658</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45658</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45658</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45658</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45658</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45658</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45658</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45658</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45658</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45658</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45658</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45658</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45658</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45658</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45658</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45658</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45658</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45658</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45658</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45658</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45658</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45658</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45658</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45658</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45658</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45658</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45658</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45658</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45658</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45658</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45658</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45658</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45658</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45658</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45658</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45658</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45658</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45658</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45658</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45658</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45658</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45658</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45658</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45658</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45658</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45658</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45658</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45658</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45658</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45658</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45658</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45658</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45658</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45658</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45658</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45658</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45658</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45658</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45658</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45658</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45658</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45658</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45658</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45658</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45658</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45658</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45658</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45658</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45658</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45658</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45658</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45658</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45658</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45658</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45658</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45658</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45658</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45658</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45658</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45658</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45658</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45658</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45658</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45658</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45658</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45658</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45658</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45658</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45658</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45658</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45658</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45658</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45658</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45658</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45658</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45658</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45658</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45658</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45658</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45658</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45658</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45658</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45658</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45658</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45658</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45658</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45658</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45658</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45658</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45658</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45658</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45658</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45658</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45658</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45658</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45658</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45658</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45658</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45658</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45658</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45658</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45658</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45658</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45658</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45658</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45658</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45658</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45658</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45658</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45658</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45658</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45658</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45658</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45658</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45658</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45658</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45658</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45658</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45658</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45658</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45658</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45658</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45658</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45658</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45658</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45658</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45658</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45658</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45658</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45658</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45658</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45658</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45658</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45658</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45658</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45658</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45658</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45658</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45658</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45658</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45658</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45658</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45658</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45658</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45658</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45658</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45658</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45658</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45658</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45658</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45658</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45658</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45658</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45658</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45658</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45658</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45658</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45658</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45658</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45658</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45658</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45658</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45658</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45658</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45658</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45658</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45658</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45658</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45658</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45658</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45658</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45658</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45658</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45658</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45658</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45658</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45658</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45658</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45658</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45658</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45658</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45658</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45658</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45658</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45658</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45658</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45658</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45658</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45658</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45658</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45658</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45658</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45658</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45658</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45658</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45658</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45658</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45658</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45658</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45658</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45658</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45658</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45658</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45658</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45658</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45658</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45658</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45658</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45658</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45658</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45658</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45658</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45658</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45658</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45658</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45658</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45658</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45658</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45658</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45658</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45658</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45658</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45658</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45658</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45658</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45658</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45658</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45658</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45658</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45658</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45658</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45658</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45658</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45658</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45658</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45658</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45658</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45658</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45658</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45658</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45658</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45658</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45658</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45658</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45658</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45658</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45658</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45658</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45658</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45658</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45658</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45658</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45658</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45658</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45658</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45658</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45658</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45658</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45658</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45658</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45658</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45658</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45658</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45658</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45658</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45658</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45658</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45658</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45658</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45658</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45658</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45658</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45658</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45658</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45658</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45658</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45658</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45658</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45658</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45658</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45658</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45658</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45658</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45658</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45658</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45658</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45658</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45658</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45658</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45658</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45658</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45658</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45658</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45658</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45658</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45658</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45658</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45658</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45658</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45658</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45658</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45658</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45658</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45658</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45658</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45658</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45658</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45658</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45658</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45658</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45658</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45658</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45658</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45658</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45658</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45658</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45658</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45658</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45658</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45658</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45658</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45658</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45658</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45658</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45658</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45658</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45658</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45658</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45658</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45658</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45658</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45658</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45658</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45658</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45658</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45658</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45658</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45658</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45658</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45658</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45658</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45658</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45658</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45658</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45658</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45658</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45658</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45658</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45658</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45658</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45658</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45658</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45658</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45658</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45658</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45658</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45658</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58041-2024</t>
        </is>
      </c>
      <c r="B1835" s="1" t="n">
        <v>45631</v>
      </c>
      <c r="C1835" s="1" t="n">
        <v>45658</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58040-2024</t>
        </is>
      </c>
      <c r="B1836" s="1" t="n">
        <v>45631</v>
      </c>
      <c r="C1836" s="1" t="n">
        <v>45658</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45658</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45658</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58853-2024</t>
        </is>
      </c>
      <c r="B1839" s="1" t="n">
        <v>45636</v>
      </c>
      <c r="C1839" s="1" t="n">
        <v>45658</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45658</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45658</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45658</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45658</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45658</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45658</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45658</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59874-2024</t>
        </is>
      </c>
      <c r="B1847" s="1" t="n">
        <v>45640</v>
      </c>
      <c r="C1847" s="1" t="n">
        <v>45658</v>
      </c>
      <c r="D1847" t="inlineStr">
        <is>
          <t>STOCKHOLMS LÄN</t>
        </is>
      </c>
      <c r="E1847" t="inlineStr">
        <is>
          <t>NORRTÄLJE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59878-2024</t>
        </is>
      </c>
      <c r="B1848" s="1" t="n">
        <v>45640</v>
      </c>
      <c r="C1848" s="1" t="n">
        <v>45658</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59873-2024</t>
        </is>
      </c>
      <c r="B1849" s="1" t="n">
        <v>45640</v>
      </c>
      <c r="C1849" s="1" t="n">
        <v>45658</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59877-2024</t>
        </is>
      </c>
      <c r="B1850" s="1" t="n">
        <v>45640</v>
      </c>
      <c r="C1850" s="1" t="n">
        <v>45658</v>
      </c>
      <c r="D1850" t="inlineStr">
        <is>
          <t>STOCKHOLMS LÄN</t>
        </is>
      </c>
      <c r="E1850" t="inlineStr">
        <is>
          <t>NORRTÄLJE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59876-2024</t>
        </is>
      </c>
      <c r="B1851" s="1" t="n">
        <v>45640</v>
      </c>
      <c r="C1851" s="1" t="n">
        <v>45658</v>
      </c>
      <c r="D1851" t="inlineStr">
        <is>
          <t>STOCKHOLMS LÄN</t>
        </is>
      </c>
      <c r="E1851" t="inlineStr">
        <is>
          <t>NORRTÄLJE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59875-2024</t>
        </is>
      </c>
      <c r="B1852" s="1" t="n">
        <v>45640</v>
      </c>
      <c r="C1852" s="1" t="n">
        <v>45658</v>
      </c>
      <c r="D1852" t="inlineStr">
        <is>
          <t>STOCKHOLMS LÄN</t>
        </is>
      </c>
      <c r="E1852" t="inlineStr">
        <is>
          <t>NORRTÄLJE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60166-2024</t>
        </is>
      </c>
      <c r="B1853" s="1" t="n">
        <v>45642</v>
      </c>
      <c r="C1853" s="1" t="n">
        <v>45658</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45658</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45658</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45658</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45658</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45658</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62129-2024</t>
        </is>
      </c>
      <c r="B1859" s="1" t="n">
        <v>45646</v>
      </c>
      <c r="C1859" s="1" t="n">
        <v>45658</v>
      </c>
      <c r="D1859" t="inlineStr">
        <is>
          <t>STOCKHOLMS LÄN</t>
        </is>
      </c>
      <c r="E1859" t="inlineStr">
        <is>
          <t>NORRTÄLJE</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61516-2024</t>
        </is>
      </c>
      <c r="B1860" s="1" t="n">
        <v>45646</v>
      </c>
      <c r="C1860" s="1" t="n">
        <v>45658</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c r="A1861" t="inlineStr">
        <is>
          <t>A 62168-2024</t>
        </is>
      </c>
      <c r="B1861" s="1" t="n">
        <v>45657</v>
      </c>
      <c r="C1861" s="1" t="n">
        <v>45658</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2025-01-01T19:38:16Z</dcterms:created>
  <dcterms:modified xmlns:dcterms="http://purl.org/dc/terms/" xmlns:xsi="http://www.w3.org/2001/XMLSchema-instance" xsi:type="dcterms:W3CDTF">2025-01-01T19:38:18Z</dcterms:modified>
</cp:coreProperties>
</file>