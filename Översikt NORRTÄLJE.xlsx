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46100</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46100</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46100</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46100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46100</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46100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46100</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46100</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46100</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46100</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46100</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46100</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46100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46100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47951-2025</t>
        </is>
      </c>
      <c r="B28" s="1" t="n">
        <v>45932.58491898148</v>
      </c>
      <c r="C28" s="1" t="n">
        <v>46100</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46100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46100</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46100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46100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46100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46100</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46100</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46100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46100</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3444-2023</t>
        </is>
      </c>
      <c r="B40" s="1" t="n">
        <v>44949</v>
      </c>
      <c r="C40" s="1" t="n">
        <v>46100</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46100</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46100</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21922-2023</t>
        </is>
      </c>
      <c r="B43" s="1" t="n">
        <v>45068</v>
      </c>
      <c r="C43" s="1" t="n">
        <v>46100</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56791-2025</t>
        </is>
      </c>
      <c r="B44" s="1" t="n">
        <v>45978</v>
      </c>
      <c r="C44" s="1" t="n">
        <v>46100</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22071-2022</t>
        </is>
      </c>
      <c r="B45" s="1" t="n">
        <v>44711</v>
      </c>
      <c r="C45" s="1" t="n">
        <v>46100</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21730-2025</t>
        </is>
      </c>
      <c r="B46" s="1" t="n">
        <v>45783.58123842593</v>
      </c>
      <c r="C46" s="1" t="n">
        <v>46100</v>
      </c>
      <c r="D46" t="inlineStr">
        <is>
          <t>STOCKHOLMS LÄN</t>
        </is>
      </c>
      <c r="E46" t="inlineStr">
        <is>
          <t>NORRTÄLJE</t>
        </is>
      </c>
      <c r="G46" t="n">
        <v>4.2</v>
      </c>
      <c r="H46" t="n">
        <v>2</v>
      </c>
      <c r="I46" t="n">
        <v>2</v>
      </c>
      <c r="J46" t="n">
        <v>0</v>
      </c>
      <c r="K46" t="n">
        <v>0</v>
      </c>
      <c r="L46" t="n">
        <v>0</v>
      </c>
      <c r="M46" t="n">
        <v>0</v>
      </c>
      <c r="N46" t="n">
        <v>0</v>
      </c>
      <c r="O46" t="n">
        <v>0</v>
      </c>
      <c r="P46" t="n">
        <v>0</v>
      </c>
      <c r="Q46" t="n">
        <v>4</v>
      </c>
      <c r="R46" s="2" t="inlineStr">
        <is>
          <t>Blåmossa
Brandticka
Blåsippa
Revlummer</t>
        </is>
      </c>
      <c r="S46">
        <f>HYPERLINK("https://klasma.github.io/Logging_0188/artfynd/A 21730-2025 artfynd.xlsx", "A 21730-2025")</f>
        <v/>
      </c>
      <c r="T46">
        <f>HYPERLINK("https://klasma.github.io/Logging_0188/kartor/A 21730-2025 karta.png", "A 21730-2025")</f>
        <v/>
      </c>
      <c r="V46">
        <f>HYPERLINK("https://klasma.github.io/Logging_0188/klagomål/A 21730-2025 FSC-klagomål.docx", "A 21730-2025")</f>
        <v/>
      </c>
      <c r="W46">
        <f>HYPERLINK("https://klasma.github.io/Logging_0188/klagomålsmail/A 21730-2025 FSC-klagomål mail.docx", "A 21730-2025")</f>
        <v/>
      </c>
      <c r="X46">
        <f>HYPERLINK("https://klasma.github.io/Logging_0188/tillsyn/A 21730-2025 tillsynsbegäran.docx", "A 21730-2025")</f>
        <v/>
      </c>
      <c r="Y46">
        <f>HYPERLINK("https://klasma.github.io/Logging_0188/tillsynsmail/A 21730-2025 tillsynsbegäran mail.docx", "A 21730-2025")</f>
        <v/>
      </c>
    </row>
    <row r="47" ht="15" customHeight="1">
      <c r="A47" t="inlineStr">
        <is>
          <t>A 41276-2025</t>
        </is>
      </c>
      <c r="B47" s="1" t="n">
        <v>45898.62723379629</v>
      </c>
      <c r="C47" s="1" t="n">
        <v>46100</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72305-2021</t>
        </is>
      </c>
      <c r="B48" s="1" t="n">
        <v>44545</v>
      </c>
      <c r="C48" s="1" t="n">
        <v>46100</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24052-2021</t>
        </is>
      </c>
      <c r="B49" s="1" t="n">
        <v>44336</v>
      </c>
      <c r="C49" s="1" t="n">
        <v>46100</v>
      </c>
      <c r="D49" t="inlineStr">
        <is>
          <t>STOCKHOLMS LÄN</t>
        </is>
      </c>
      <c r="E49" t="inlineStr">
        <is>
          <t>NORRTÄLJE</t>
        </is>
      </c>
      <c r="G49" t="n">
        <v>8.6</v>
      </c>
      <c r="H49" t="n">
        <v>4</v>
      </c>
      <c r="I49" t="n">
        <v>0</v>
      </c>
      <c r="J49" t="n">
        <v>2</v>
      </c>
      <c r="K49" t="n">
        <v>0</v>
      </c>
      <c r="L49" t="n">
        <v>0</v>
      </c>
      <c r="M49" t="n">
        <v>0</v>
      </c>
      <c r="N49" t="n">
        <v>0</v>
      </c>
      <c r="O49" t="n">
        <v>2</v>
      </c>
      <c r="P49" t="n">
        <v>0</v>
      </c>
      <c r="Q49" t="n">
        <v>4</v>
      </c>
      <c r="R49" s="2" t="inlineStr">
        <is>
          <t>Brunlångöra
Nordfladdermus
Dvärgpipistrell
Större brunfladdermus</t>
        </is>
      </c>
      <c r="S49">
        <f>HYPERLINK("https://klasma.github.io/Logging_0188/artfynd/A 24052-2021 artfynd.xlsx", "A 24052-2021")</f>
        <v/>
      </c>
      <c r="T49">
        <f>HYPERLINK("https://klasma.github.io/Logging_0188/kartor/A 24052-2021 karta.png", "A 24052-2021")</f>
        <v/>
      </c>
      <c r="V49">
        <f>HYPERLINK("https://klasma.github.io/Logging_0188/klagomål/A 24052-2021 FSC-klagomål.docx", "A 24052-2021")</f>
        <v/>
      </c>
      <c r="W49">
        <f>HYPERLINK("https://klasma.github.io/Logging_0188/klagomålsmail/A 24052-2021 FSC-klagomål mail.docx", "A 24052-2021")</f>
        <v/>
      </c>
      <c r="X49">
        <f>HYPERLINK("https://klasma.github.io/Logging_0188/tillsyn/A 24052-2021 tillsynsbegäran.docx", "A 24052-2021")</f>
        <v/>
      </c>
      <c r="Y49">
        <f>HYPERLINK("https://klasma.github.io/Logging_0188/tillsynsmail/A 24052-2021 tillsynsbegäran mail.docx", "A 24052-2021")</f>
        <v/>
      </c>
    </row>
    <row r="50" ht="15" customHeight="1">
      <c r="A50" t="inlineStr">
        <is>
          <t>A 10876-2025</t>
        </is>
      </c>
      <c r="B50" s="1" t="n">
        <v>45722</v>
      </c>
      <c r="C50" s="1" t="n">
        <v>46100</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25687-2025</t>
        </is>
      </c>
      <c r="B51" s="1" t="n">
        <v>45800</v>
      </c>
      <c r="C51" s="1" t="n">
        <v>46100</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47212-2025</t>
        </is>
      </c>
      <c r="B52" s="1" t="n">
        <v>45930</v>
      </c>
      <c r="C52" s="1" t="n">
        <v>46100</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46100</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44709-2022</t>
        </is>
      </c>
      <c r="B54" s="1" t="n">
        <v>44839</v>
      </c>
      <c r="C54" s="1" t="n">
        <v>46100</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17673-2021</t>
        </is>
      </c>
      <c r="B55" s="1" t="n">
        <v>44300</v>
      </c>
      <c r="C55" s="1" t="n">
        <v>46100</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46100</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14560-2021</t>
        </is>
      </c>
      <c r="B57" s="1" t="n">
        <v>44279</v>
      </c>
      <c r="C57" s="1" t="n">
        <v>46100</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28836-2022</t>
        </is>
      </c>
      <c r="B58" s="1" t="n">
        <v>44749</v>
      </c>
      <c r="C58" s="1" t="n">
        <v>46100</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46100</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27870-2022</t>
        </is>
      </c>
      <c r="B60" s="1" t="n">
        <v>44743.64592592593</v>
      </c>
      <c r="C60" s="1" t="n">
        <v>46100</v>
      </c>
      <c r="D60" t="inlineStr">
        <is>
          <t>STOCKHOLMS LÄN</t>
        </is>
      </c>
      <c r="E60" t="inlineStr">
        <is>
          <t>NORRTÄLJE</t>
        </is>
      </c>
      <c r="F60" t="inlineStr">
        <is>
          <t>Holmen skog AB</t>
        </is>
      </c>
      <c r="G60" t="n">
        <v>1.8</v>
      </c>
      <c r="H60" t="n">
        <v>3</v>
      </c>
      <c r="I60" t="n">
        <v>0</v>
      </c>
      <c r="J60" t="n">
        <v>1</v>
      </c>
      <c r="K60" t="n">
        <v>0</v>
      </c>
      <c r="L60" t="n">
        <v>0</v>
      </c>
      <c r="M60" t="n">
        <v>0</v>
      </c>
      <c r="N60" t="n">
        <v>0</v>
      </c>
      <c r="O60" t="n">
        <v>1</v>
      </c>
      <c r="P60" t="n">
        <v>0</v>
      </c>
      <c r="Q60" t="n">
        <v>3</v>
      </c>
      <c r="R60" s="2" t="inlineStr">
        <is>
          <t>Nordfladdermus
Dvärgpipistrell
Större brunfladdermus</t>
        </is>
      </c>
      <c r="S60">
        <f>HYPERLINK("https://klasma.github.io/Logging_0188/artfynd/A 27870-2022 artfynd.xlsx", "A 27870-2022")</f>
        <v/>
      </c>
      <c r="T60">
        <f>HYPERLINK("https://klasma.github.io/Logging_0188/kartor/A 27870-2022 karta.png", "A 27870-2022")</f>
        <v/>
      </c>
      <c r="V60">
        <f>HYPERLINK("https://klasma.github.io/Logging_0188/klagomål/A 27870-2022 FSC-klagomål.docx", "A 27870-2022")</f>
        <v/>
      </c>
      <c r="W60">
        <f>HYPERLINK("https://klasma.github.io/Logging_0188/klagomålsmail/A 27870-2022 FSC-klagomål mail.docx", "A 27870-2022")</f>
        <v/>
      </c>
      <c r="X60">
        <f>HYPERLINK("https://klasma.github.io/Logging_0188/tillsyn/A 27870-2022 tillsynsbegäran.docx", "A 27870-2022")</f>
        <v/>
      </c>
      <c r="Y60">
        <f>HYPERLINK("https://klasma.github.io/Logging_0188/tillsynsmail/A 27870-2022 tillsynsbegäran mail.docx", "A 27870-2022")</f>
        <v/>
      </c>
    </row>
    <row r="61" ht="15" customHeight="1">
      <c r="A61" t="inlineStr">
        <is>
          <t>A 50618-2022</t>
        </is>
      </c>
      <c r="B61" s="1" t="n">
        <v>44866</v>
      </c>
      <c r="C61" s="1" t="n">
        <v>46100</v>
      </c>
      <c r="D61" t="inlineStr">
        <is>
          <t>STOCKHOLMS LÄN</t>
        </is>
      </c>
      <c r="E61" t="inlineStr">
        <is>
          <t>NORRTÄLJE</t>
        </is>
      </c>
      <c r="G61" t="n">
        <v>7.8</v>
      </c>
      <c r="H61" t="n">
        <v>2</v>
      </c>
      <c r="I61" t="n">
        <v>2</v>
      </c>
      <c r="J61" t="n">
        <v>0</v>
      </c>
      <c r="K61" t="n">
        <v>0</v>
      </c>
      <c r="L61" t="n">
        <v>0</v>
      </c>
      <c r="M61" t="n">
        <v>0</v>
      </c>
      <c r="N61" t="n">
        <v>0</v>
      </c>
      <c r="O61" t="n">
        <v>0</v>
      </c>
      <c r="P61" t="n">
        <v>0</v>
      </c>
      <c r="Q61" t="n">
        <v>3</v>
      </c>
      <c r="R61" s="2" t="inlineStr">
        <is>
          <t>Skogsknipprot
Vårärt
Blåsippa</t>
        </is>
      </c>
      <c r="S61">
        <f>HYPERLINK("https://klasma.github.io/Logging_0188/artfynd/A 50618-2022 artfynd.xlsx", "A 50618-2022")</f>
        <v/>
      </c>
      <c r="T61">
        <f>HYPERLINK("https://klasma.github.io/Logging_0188/kartor/A 50618-2022 karta.png", "A 50618-2022")</f>
        <v/>
      </c>
      <c r="V61">
        <f>HYPERLINK("https://klasma.github.io/Logging_0188/klagomål/A 50618-2022 FSC-klagomål.docx", "A 50618-2022")</f>
        <v/>
      </c>
      <c r="W61">
        <f>HYPERLINK("https://klasma.github.io/Logging_0188/klagomålsmail/A 50618-2022 FSC-klagomål mail.docx", "A 50618-2022")</f>
        <v/>
      </c>
      <c r="X61">
        <f>HYPERLINK("https://klasma.github.io/Logging_0188/tillsyn/A 50618-2022 tillsynsbegäran.docx", "A 50618-2022")</f>
        <v/>
      </c>
      <c r="Y61">
        <f>HYPERLINK("https://klasma.github.io/Logging_0188/tillsynsmail/A 50618-2022 tillsynsbegäran mail.docx", "A 50618-2022")</f>
        <v/>
      </c>
    </row>
    <row r="62" ht="15" customHeight="1">
      <c r="A62" t="inlineStr">
        <is>
          <t>A 2851-2023</t>
        </is>
      </c>
      <c r="B62" s="1" t="n">
        <v>44945</v>
      </c>
      <c r="C62" s="1" t="n">
        <v>46100</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54110-2024</t>
        </is>
      </c>
      <c r="B63" s="1" t="n">
        <v>45616.54866898148</v>
      </c>
      <c r="C63" s="1" t="n">
        <v>46100</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46100</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46100</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52726-2025</t>
        </is>
      </c>
      <c r="B66" s="1" t="n">
        <v>45957.34722222222</v>
      </c>
      <c r="C66" s="1" t="n">
        <v>46100</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34524-2025</t>
        </is>
      </c>
      <c r="B67" s="1" t="n">
        <v>45847.47685185185</v>
      </c>
      <c r="C67" s="1" t="n">
        <v>46100</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20185-2022</t>
        </is>
      </c>
      <c r="B68" s="1" t="n">
        <v>44698</v>
      </c>
      <c r="C68" s="1" t="n">
        <v>46100</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46100</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46100</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46100</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46100</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17952-2022</t>
        </is>
      </c>
      <c r="B73" s="1" t="n">
        <v>44683</v>
      </c>
      <c r="C73" s="1" t="n">
        <v>46100</v>
      </c>
      <c r="D73" t="inlineStr">
        <is>
          <t>STOCKHOLMS LÄN</t>
        </is>
      </c>
      <c r="E73" t="inlineStr">
        <is>
          <t>NORRTÄLJE</t>
        </is>
      </c>
      <c r="G73" t="n">
        <v>51.1</v>
      </c>
      <c r="H73" t="n">
        <v>1</v>
      </c>
      <c r="I73" t="n">
        <v>0</v>
      </c>
      <c r="J73" t="n">
        <v>0</v>
      </c>
      <c r="K73" t="n">
        <v>1</v>
      </c>
      <c r="L73" t="n">
        <v>0</v>
      </c>
      <c r="M73" t="n">
        <v>0</v>
      </c>
      <c r="N73" t="n">
        <v>0</v>
      </c>
      <c r="O73" t="n">
        <v>1</v>
      </c>
      <c r="P73" t="n">
        <v>1</v>
      </c>
      <c r="Q73" t="n">
        <v>2</v>
      </c>
      <c r="R73" s="2" t="inlineStr">
        <is>
          <t>Kattunvisslare
Revlummer</t>
        </is>
      </c>
      <c r="S73">
        <f>HYPERLINK("https://klasma.github.io/Logging_0188/artfynd/A 17952-2022 artfynd.xlsx", "A 17952-2022")</f>
        <v/>
      </c>
      <c r="T73">
        <f>HYPERLINK("https://klasma.github.io/Logging_0188/kartor/A 17952-2022 karta.png", "A 17952-2022")</f>
        <v/>
      </c>
      <c r="V73">
        <f>HYPERLINK("https://klasma.github.io/Logging_0188/klagomål/A 17952-2022 FSC-klagomål.docx", "A 17952-2022")</f>
        <v/>
      </c>
      <c r="W73">
        <f>HYPERLINK("https://klasma.github.io/Logging_0188/klagomålsmail/A 17952-2022 FSC-klagomål mail.docx", "A 17952-2022")</f>
        <v/>
      </c>
      <c r="X73">
        <f>HYPERLINK("https://klasma.github.io/Logging_0188/tillsyn/A 17952-2022 tillsynsbegäran.docx", "A 17952-2022")</f>
        <v/>
      </c>
      <c r="Y73">
        <f>HYPERLINK("https://klasma.github.io/Logging_0188/tillsynsmail/A 17952-2022 tillsynsbegäran mail.docx", "A 17952-2022")</f>
        <v/>
      </c>
    </row>
    <row r="74" ht="15" customHeight="1">
      <c r="A74" t="inlineStr">
        <is>
          <t>A 51980-2022</t>
        </is>
      </c>
      <c r="B74" s="1" t="n">
        <v>44872</v>
      </c>
      <c r="C74" s="1" t="n">
        <v>46100</v>
      </c>
      <c r="D74" t="inlineStr">
        <is>
          <t>STOCKHOLMS LÄN</t>
        </is>
      </c>
      <c r="E74" t="inlineStr">
        <is>
          <t>NORRTÄLJE</t>
        </is>
      </c>
      <c r="G74" t="n">
        <v>7.9</v>
      </c>
      <c r="H74" t="n">
        <v>1</v>
      </c>
      <c r="I74" t="n">
        <v>2</v>
      </c>
      <c r="J74" t="n">
        <v>0</v>
      </c>
      <c r="K74" t="n">
        <v>0</v>
      </c>
      <c r="L74" t="n">
        <v>0</v>
      </c>
      <c r="M74" t="n">
        <v>0</v>
      </c>
      <c r="N74" t="n">
        <v>0</v>
      </c>
      <c r="O74" t="n">
        <v>0</v>
      </c>
      <c r="P74" t="n">
        <v>0</v>
      </c>
      <c r="Q74" t="n">
        <v>2</v>
      </c>
      <c r="R74" s="2" t="inlineStr">
        <is>
          <t>Rödgul trumpetsvamp
Skogsknipprot</t>
        </is>
      </c>
      <c r="S74">
        <f>HYPERLINK("https://klasma.github.io/Logging_0188/artfynd/A 51980-2022 artfynd.xlsx", "A 51980-2022")</f>
        <v/>
      </c>
      <c r="T74">
        <f>HYPERLINK("https://klasma.github.io/Logging_0188/kartor/A 51980-2022 karta.png", "A 51980-2022")</f>
        <v/>
      </c>
      <c r="V74">
        <f>HYPERLINK("https://klasma.github.io/Logging_0188/klagomål/A 51980-2022 FSC-klagomål.docx", "A 51980-2022")</f>
        <v/>
      </c>
      <c r="W74">
        <f>HYPERLINK("https://klasma.github.io/Logging_0188/klagomålsmail/A 51980-2022 FSC-klagomål mail.docx", "A 51980-2022")</f>
        <v/>
      </c>
      <c r="X74">
        <f>HYPERLINK("https://klasma.github.io/Logging_0188/tillsyn/A 51980-2022 tillsynsbegäran.docx", "A 51980-2022")</f>
        <v/>
      </c>
      <c r="Y74">
        <f>HYPERLINK("https://klasma.github.io/Logging_0188/tillsynsmail/A 51980-2022 tillsynsbegäran mail.docx", "A 51980-2022")</f>
        <v/>
      </c>
    </row>
    <row r="75" ht="15" customHeight="1">
      <c r="A75" t="inlineStr">
        <is>
          <t>A 30693-2022</t>
        </is>
      </c>
      <c r="B75" s="1" t="n">
        <v>44763</v>
      </c>
      <c r="C75" s="1" t="n">
        <v>46100</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51220-2023</t>
        </is>
      </c>
      <c r="B76" s="1" t="n">
        <v>45219</v>
      </c>
      <c r="C76" s="1" t="n">
        <v>46100</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11031-2025</t>
        </is>
      </c>
      <c r="B77" s="1" t="n">
        <v>45723</v>
      </c>
      <c r="C77" s="1" t="n">
        <v>46100</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52124-2022</t>
        </is>
      </c>
      <c r="B78" s="1" t="n">
        <v>44868</v>
      </c>
      <c r="C78" s="1" t="n">
        <v>46100</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46100</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22190-2024</t>
        </is>
      </c>
      <c r="B80" s="1" t="n">
        <v>45446.35888888889</v>
      </c>
      <c r="C80" s="1" t="n">
        <v>46100</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16260-2022</t>
        </is>
      </c>
      <c r="B81" s="1" t="n">
        <v>44670</v>
      </c>
      <c r="C81" s="1" t="n">
        <v>46100</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50697-2025</t>
        </is>
      </c>
      <c r="B82" s="1" t="n">
        <v>45945.90854166666</v>
      </c>
      <c r="C82" s="1" t="n">
        <v>46100</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52360-2024</t>
        </is>
      </c>
      <c r="B83" s="1" t="n">
        <v>45609.37094907407</v>
      </c>
      <c r="C83" s="1" t="n">
        <v>46100</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33548-2025</t>
        </is>
      </c>
      <c r="B84" s="1" t="n">
        <v>45841.5721875</v>
      </c>
      <c r="C84" s="1" t="n">
        <v>46100</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46100</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1547-2022</t>
        </is>
      </c>
      <c r="B86" s="1" t="n">
        <v>44573</v>
      </c>
      <c r="C86" s="1" t="n">
        <v>46100</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46100</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46100</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46100</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24330-2023</t>
        </is>
      </c>
      <c r="B90" s="1" t="n">
        <v>45081</v>
      </c>
      <c r="C90" s="1" t="n">
        <v>46100</v>
      </c>
      <c r="D90" t="inlineStr">
        <is>
          <t>STOCKHOLMS LÄN</t>
        </is>
      </c>
      <c r="E90" t="inlineStr">
        <is>
          <t>NORRTÄLJE</t>
        </is>
      </c>
      <c r="G90" t="n">
        <v>5</v>
      </c>
      <c r="H90" t="n">
        <v>1</v>
      </c>
      <c r="I90" t="n">
        <v>0</v>
      </c>
      <c r="J90" t="n">
        <v>1</v>
      </c>
      <c r="K90" t="n">
        <v>0</v>
      </c>
      <c r="L90" t="n">
        <v>0</v>
      </c>
      <c r="M90" t="n">
        <v>0</v>
      </c>
      <c r="N90" t="n">
        <v>0</v>
      </c>
      <c r="O90" t="n">
        <v>1</v>
      </c>
      <c r="P90" t="n">
        <v>0</v>
      </c>
      <c r="Q90" t="n">
        <v>1</v>
      </c>
      <c r="R90" s="2" t="inlineStr">
        <is>
          <t>Mindre hackspett</t>
        </is>
      </c>
      <c r="S90">
        <f>HYPERLINK("https://klasma.github.io/Logging_0188/artfynd/A 24330-2023 artfynd.xlsx", "A 24330-2023")</f>
        <v/>
      </c>
      <c r="T90">
        <f>HYPERLINK("https://klasma.github.io/Logging_0188/kartor/A 24330-2023 karta.png", "A 24330-2023")</f>
        <v/>
      </c>
      <c r="V90">
        <f>HYPERLINK("https://klasma.github.io/Logging_0188/klagomål/A 24330-2023 FSC-klagomål.docx", "A 24330-2023")</f>
        <v/>
      </c>
      <c r="W90">
        <f>HYPERLINK("https://klasma.github.io/Logging_0188/klagomålsmail/A 24330-2023 FSC-klagomål mail.docx", "A 24330-2023")</f>
        <v/>
      </c>
      <c r="X90">
        <f>HYPERLINK("https://klasma.github.io/Logging_0188/tillsyn/A 24330-2023 tillsynsbegäran.docx", "A 24330-2023")</f>
        <v/>
      </c>
      <c r="Y90">
        <f>HYPERLINK("https://klasma.github.io/Logging_0188/tillsynsmail/A 24330-2023 tillsynsbegäran mail.docx", "A 24330-2023")</f>
        <v/>
      </c>
      <c r="Z90">
        <f>HYPERLINK("https://klasma.github.io/Logging_0188/fåglar/A 24330-2023 prioriterade fågelarter.docx", "A 24330-2023")</f>
        <v/>
      </c>
    </row>
    <row r="91" ht="15" customHeight="1">
      <c r="A91" t="inlineStr">
        <is>
          <t>A 21744-2023</t>
        </is>
      </c>
      <c r="B91" s="1" t="n">
        <v>45065</v>
      </c>
      <c r="C91" s="1" t="n">
        <v>46100</v>
      </c>
      <c r="D91" t="inlineStr">
        <is>
          <t>STOCKHOLMS LÄN</t>
        </is>
      </c>
      <c r="E91" t="inlineStr">
        <is>
          <t>NORRTÄLJE</t>
        </is>
      </c>
      <c r="F91" t="inlineStr">
        <is>
          <t>Holmen skog AB</t>
        </is>
      </c>
      <c r="G91" t="n">
        <v>4.2</v>
      </c>
      <c r="H91" t="n">
        <v>0</v>
      </c>
      <c r="I91" t="n">
        <v>1</v>
      </c>
      <c r="J91" t="n">
        <v>0</v>
      </c>
      <c r="K91" t="n">
        <v>0</v>
      </c>
      <c r="L91" t="n">
        <v>0</v>
      </c>
      <c r="M91" t="n">
        <v>0</v>
      </c>
      <c r="N91" t="n">
        <v>0</v>
      </c>
      <c r="O91" t="n">
        <v>0</v>
      </c>
      <c r="P91" t="n">
        <v>0</v>
      </c>
      <c r="Q91" t="n">
        <v>1</v>
      </c>
      <c r="R91" s="2" t="inlineStr">
        <is>
          <t>Korallblylav</t>
        </is>
      </c>
      <c r="S91">
        <f>HYPERLINK("https://klasma.github.io/Logging_0188/artfynd/A 21744-2023 artfynd.xlsx", "A 21744-2023")</f>
        <v/>
      </c>
      <c r="T91">
        <f>HYPERLINK("https://klasma.github.io/Logging_0188/kartor/A 21744-2023 karta.png", "A 21744-2023")</f>
        <v/>
      </c>
      <c r="V91">
        <f>HYPERLINK("https://klasma.github.io/Logging_0188/klagomål/A 21744-2023 FSC-klagomål.docx", "A 21744-2023")</f>
        <v/>
      </c>
      <c r="W91">
        <f>HYPERLINK("https://klasma.github.io/Logging_0188/klagomålsmail/A 21744-2023 FSC-klagomål mail.docx", "A 21744-2023")</f>
        <v/>
      </c>
      <c r="X91">
        <f>HYPERLINK("https://klasma.github.io/Logging_0188/tillsyn/A 21744-2023 tillsynsbegäran.docx", "A 21744-2023")</f>
        <v/>
      </c>
      <c r="Y91">
        <f>HYPERLINK("https://klasma.github.io/Logging_0188/tillsynsmail/A 21744-2023 tillsynsbegäran mail.docx", "A 21744-2023")</f>
        <v/>
      </c>
    </row>
    <row r="92" ht="15" customHeight="1">
      <c r="A92" t="inlineStr">
        <is>
          <t>A 33477-2022</t>
        </is>
      </c>
      <c r="B92" s="1" t="n">
        <v>44788.70217592592</v>
      </c>
      <c r="C92" s="1" t="n">
        <v>46100</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46100</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52611-2024</t>
        </is>
      </c>
      <c r="B94" s="1" t="n">
        <v>45609.83747685186</v>
      </c>
      <c r="C94" s="1" t="n">
        <v>46100</v>
      </c>
      <c r="D94" t="inlineStr">
        <is>
          <t>STOCKHOLMS LÄN</t>
        </is>
      </c>
      <c r="E94" t="inlineStr">
        <is>
          <t>NORRTÄLJE</t>
        </is>
      </c>
      <c r="G94" t="n">
        <v>10.6</v>
      </c>
      <c r="H94" t="n">
        <v>1</v>
      </c>
      <c r="I94" t="n">
        <v>0</v>
      </c>
      <c r="J94" t="n">
        <v>0</v>
      </c>
      <c r="K94" t="n">
        <v>0</v>
      </c>
      <c r="L94" t="n">
        <v>0</v>
      </c>
      <c r="M94" t="n">
        <v>0</v>
      </c>
      <c r="N94" t="n">
        <v>0</v>
      </c>
      <c r="O94" t="n">
        <v>0</v>
      </c>
      <c r="P94" t="n">
        <v>0</v>
      </c>
      <c r="Q94" t="n">
        <v>1</v>
      </c>
      <c r="R94" s="2" t="inlineStr">
        <is>
          <t>Blåsippa</t>
        </is>
      </c>
      <c r="S94">
        <f>HYPERLINK("https://klasma.github.io/Logging_0188/artfynd/A 52611-2024 artfynd.xlsx", "A 52611-2024")</f>
        <v/>
      </c>
      <c r="T94">
        <f>HYPERLINK("https://klasma.github.io/Logging_0188/kartor/A 52611-2024 karta.png", "A 52611-2024")</f>
        <v/>
      </c>
      <c r="V94">
        <f>HYPERLINK("https://klasma.github.io/Logging_0188/klagomål/A 52611-2024 FSC-klagomål.docx", "A 52611-2024")</f>
        <v/>
      </c>
      <c r="W94">
        <f>HYPERLINK("https://klasma.github.io/Logging_0188/klagomålsmail/A 52611-2024 FSC-klagomål mail.docx", "A 52611-2024")</f>
        <v/>
      </c>
      <c r="X94">
        <f>HYPERLINK("https://klasma.github.io/Logging_0188/tillsyn/A 52611-2024 tillsynsbegäran.docx", "A 52611-2024")</f>
        <v/>
      </c>
      <c r="Y94">
        <f>HYPERLINK("https://klasma.github.io/Logging_0188/tillsynsmail/A 52611-2024 tillsynsbegäran mail.docx", "A 52611-2024")</f>
        <v/>
      </c>
    </row>
    <row r="95" ht="15" customHeight="1">
      <c r="A95" t="inlineStr">
        <is>
          <t>A 23146-2024</t>
        </is>
      </c>
      <c r="B95" s="1" t="n">
        <v>45450.63958333333</v>
      </c>
      <c r="C95" s="1" t="n">
        <v>46100</v>
      </c>
      <c r="D95" t="inlineStr">
        <is>
          <t>STOCKHOLMS LÄN</t>
        </is>
      </c>
      <c r="E95" t="inlineStr">
        <is>
          <t>NORRTÄLJE</t>
        </is>
      </c>
      <c r="F95" t="inlineStr">
        <is>
          <t>Kommuner</t>
        </is>
      </c>
      <c r="G95" t="n">
        <v>6</v>
      </c>
      <c r="H95" t="n">
        <v>0</v>
      </c>
      <c r="I95" t="n">
        <v>0</v>
      </c>
      <c r="J95" t="n">
        <v>1</v>
      </c>
      <c r="K95" t="n">
        <v>0</v>
      </c>
      <c r="L95" t="n">
        <v>0</v>
      </c>
      <c r="M95" t="n">
        <v>0</v>
      </c>
      <c r="N95" t="n">
        <v>0</v>
      </c>
      <c r="O95" t="n">
        <v>1</v>
      </c>
      <c r="P95" t="n">
        <v>0</v>
      </c>
      <c r="Q95" t="n">
        <v>1</v>
      </c>
      <c r="R95" s="2" t="inlineStr">
        <is>
          <t>Motaggsvamp</t>
        </is>
      </c>
      <c r="S95">
        <f>HYPERLINK("https://klasma.github.io/Logging_0188/artfynd/A 23146-2024 artfynd.xlsx", "A 23146-2024")</f>
        <v/>
      </c>
      <c r="T95">
        <f>HYPERLINK("https://klasma.github.io/Logging_0188/kartor/A 23146-2024 karta.png", "A 23146-2024")</f>
        <v/>
      </c>
      <c r="V95">
        <f>HYPERLINK("https://klasma.github.io/Logging_0188/klagomål/A 23146-2024 FSC-klagomål.docx", "A 23146-2024")</f>
        <v/>
      </c>
      <c r="W95">
        <f>HYPERLINK("https://klasma.github.io/Logging_0188/klagomålsmail/A 23146-2024 FSC-klagomål mail.docx", "A 23146-2024")</f>
        <v/>
      </c>
      <c r="X95">
        <f>HYPERLINK("https://klasma.github.io/Logging_0188/tillsyn/A 23146-2024 tillsynsbegäran.docx", "A 23146-2024")</f>
        <v/>
      </c>
      <c r="Y95">
        <f>HYPERLINK("https://klasma.github.io/Logging_0188/tillsynsmail/A 23146-2024 tillsynsbegäran mail.docx", "A 23146-2024")</f>
        <v/>
      </c>
    </row>
    <row r="96" ht="15" customHeight="1">
      <c r="A96" t="inlineStr">
        <is>
          <t>A 27538-2024</t>
        </is>
      </c>
      <c r="B96" s="1" t="n">
        <v>45474</v>
      </c>
      <c r="C96" s="1" t="n">
        <v>46100</v>
      </c>
      <c r="D96" t="inlineStr">
        <is>
          <t>STOCKHOLMS LÄN</t>
        </is>
      </c>
      <c r="E96" t="inlineStr">
        <is>
          <t>NORRTÄLJE</t>
        </is>
      </c>
      <c r="G96" t="n">
        <v>1.5</v>
      </c>
      <c r="H96" t="n">
        <v>1</v>
      </c>
      <c r="I96" t="n">
        <v>1</v>
      </c>
      <c r="J96" t="n">
        <v>0</v>
      </c>
      <c r="K96" t="n">
        <v>0</v>
      </c>
      <c r="L96" t="n">
        <v>0</v>
      </c>
      <c r="M96" t="n">
        <v>0</v>
      </c>
      <c r="N96" t="n">
        <v>0</v>
      </c>
      <c r="O96" t="n">
        <v>0</v>
      </c>
      <c r="P96" t="n">
        <v>0</v>
      </c>
      <c r="Q96" t="n">
        <v>1</v>
      </c>
      <c r="R96" s="2" t="inlineStr">
        <is>
          <t>Skogsknipprot</t>
        </is>
      </c>
      <c r="S96">
        <f>HYPERLINK("https://klasma.github.io/Logging_0188/artfynd/A 27538-2024 artfynd.xlsx", "A 27538-2024")</f>
        <v/>
      </c>
      <c r="T96">
        <f>HYPERLINK("https://klasma.github.io/Logging_0188/kartor/A 27538-2024 karta.png", "A 27538-2024")</f>
        <v/>
      </c>
      <c r="V96">
        <f>HYPERLINK("https://klasma.github.io/Logging_0188/klagomål/A 27538-2024 FSC-klagomål.docx", "A 27538-2024")</f>
        <v/>
      </c>
      <c r="W96">
        <f>HYPERLINK("https://klasma.github.io/Logging_0188/klagomålsmail/A 27538-2024 FSC-klagomål mail.docx", "A 27538-2024")</f>
        <v/>
      </c>
      <c r="X96">
        <f>HYPERLINK("https://klasma.github.io/Logging_0188/tillsyn/A 27538-2024 tillsynsbegäran.docx", "A 27538-2024")</f>
        <v/>
      </c>
      <c r="Y96">
        <f>HYPERLINK("https://klasma.github.io/Logging_0188/tillsynsmail/A 27538-2024 tillsynsbegäran mail.docx", "A 27538-2024")</f>
        <v/>
      </c>
    </row>
    <row r="97" ht="15" customHeight="1">
      <c r="A97" t="inlineStr">
        <is>
          <t>A 48131-2023</t>
        </is>
      </c>
      <c r="B97" s="1" t="n">
        <v>45205</v>
      </c>
      <c r="C97" s="1" t="n">
        <v>46100</v>
      </c>
      <c r="D97" t="inlineStr">
        <is>
          <t>STOCKHOLMS LÄN</t>
        </is>
      </c>
      <c r="E97" t="inlineStr">
        <is>
          <t>NORRTÄLJE</t>
        </is>
      </c>
      <c r="G97" t="n">
        <v>2.3</v>
      </c>
      <c r="H97" t="n">
        <v>0</v>
      </c>
      <c r="I97" t="n">
        <v>0</v>
      </c>
      <c r="J97" t="n">
        <v>1</v>
      </c>
      <c r="K97" t="n">
        <v>0</v>
      </c>
      <c r="L97" t="n">
        <v>0</v>
      </c>
      <c r="M97" t="n">
        <v>0</v>
      </c>
      <c r="N97" t="n">
        <v>0</v>
      </c>
      <c r="O97" t="n">
        <v>1</v>
      </c>
      <c r="P97" t="n">
        <v>0</v>
      </c>
      <c r="Q97" t="n">
        <v>1</v>
      </c>
      <c r="R97" s="2" t="inlineStr">
        <is>
          <t>Slåtterfibbla</t>
        </is>
      </c>
      <c r="S97">
        <f>HYPERLINK("https://klasma.github.io/Logging_0188/artfynd/A 48131-2023 artfynd.xlsx", "A 48131-2023")</f>
        <v/>
      </c>
      <c r="T97">
        <f>HYPERLINK("https://klasma.github.io/Logging_0188/kartor/A 48131-2023 karta.png", "A 48131-2023")</f>
        <v/>
      </c>
      <c r="V97">
        <f>HYPERLINK("https://klasma.github.io/Logging_0188/klagomål/A 48131-2023 FSC-klagomål.docx", "A 48131-2023")</f>
        <v/>
      </c>
      <c r="W97">
        <f>HYPERLINK("https://klasma.github.io/Logging_0188/klagomålsmail/A 48131-2023 FSC-klagomål mail.docx", "A 48131-2023")</f>
        <v/>
      </c>
      <c r="X97">
        <f>HYPERLINK("https://klasma.github.io/Logging_0188/tillsyn/A 48131-2023 tillsynsbegäran.docx", "A 48131-2023")</f>
        <v/>
      </c>
      <c r="Y97">
        <f>HYPERLINK("https://klasma.github.io/Logging_0188/tillsynsmail/A 48131-2023 tillsynsbegäran mail.docx", "A 48131-2023")</f>
        <v/>
      </c>
    </row>
    <row r="98" ht="15" customHeight="1">
      <c r="A98" t="inlineStr">
        <is>
          <t>A 4595-2023</t>
        </is>
      </c>
      <c r="B98" s="1" t="n">
        <v>44956</v>
      </c>
      <c r="C98" s="1" t="n">
        <v>46100</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24535-2023</t>
        </is>
      </c>
      <c r="B99" s="1" t="n">
        <v>45082</v>
      </c>
      <c r="C99" s="1" t="n">
        <v>46100</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21150-2022</t>
        </is>
      </c>
      <c r="B100" s="1" t="n">
        <v>44704</v>
      </c>
      <c r="C100" s="1" t="n">
        <v>46100</v>
      </c>
      <c r="D100" t="inlineStr">
        <is>
          <t>STOCKHOLMS LÄN</t>
        </is>
      </c>
      <c r="E100" t="inlineStr">
        <is>
          <t>NORRTÄLJE</t>
        </is>
      </c>
      <c r="G100" t="n">
        <v>12.5</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21150-2022 artfynd.xlsx", "A 21150-2022")</f>
        <v/>
      </c>
      <c r="T100">
        <f>HYPERLINK("https://klasma.github.io/Logging_0188/kartor/A 21150-2022 karta.png", "A 21150-2022")</f>
        <v/>
      </c>
      <c r="V100">
        <f>HYPERLINK("https://klasma.github.io/Logging_0188/klagomål/A 21150-2022 FSC-klagomål.docx", "A 21150-2022")</f>
        <v/>
      </c>
      <c r="W100">
        <f>HYPERLINK("https://klasma.github.io/Logging_0188/klagomålsmail/A 21150-2022 FSC-klagomål mail.docx", "A 21150-2022")</f>
        <v/>
      </c>
      <c r="X100">
        <f>HYPERLINK("https://klasma.github.io/Logging_0188/tillsyn/A 21150-2022 tillsynsbegäran.docx", "A 21150-2022")</f>
        <v/>
      </c>
      <c r="Y100">
        <f>HYPERLINK("https://klasma.github.io/Logging_0188/tillsynsmail/A 21150-2022 tillsynsbegäran mail.docx", "A 21150-2022")</f>
        <v/>
      </c>
    </row>
    <row r="101" ht="15" customHeight="1">
      <c r="A101" t="inlineStr">
        <is>
          <t>A 26635-2023</t>
        </is>
      </c>
      <c r="B101" s="1" t="n">
        <v>45092</v>
      </c>
      <c r="C101" s="1" t="n">
        <v>46100</v>
      </c>
      <c r="D101" t="inlineStr">
        <is>
          <t>STOCKHOLMS LÄN</t>
        </is>
      </c>
      <c r="E101" t="inlineStr">
        <is>
          <t>NORRTÄLJE</t>
        </is>
      </c>
      <c r="G101" t="n">
        <v>3.1</v>
      </c>
      <c r="H101" t="n">
        <v>1</v>
      </c>
      <c r="I101" t="n">
        <v>0</v>
      </c>
      <c r="J101" t="n">
        <v>0</v>
      </c>
      <c r="K101" t="n">
        <v>0</v>
      </c>
      <c r="L101" t="n">
        <v>0</v>
      </c>
      <c r="M101" t="n">
        <v>0</v>
      </c>
      <c r="N101" t="n">
        <v>0</v>
      </c>
      <c r="O101" t="n">
        <v>0</v>
      </c>
      <c r="P101" t="n">
        <v>0</v>
      </c>
      <c r="Q101" t="n">
        <v>1</v>
      </c>
      <c r="R101" s="2" t="inlineStr">
        <is>
          <t>Fläcknycklar</t>
        </is>
      </c>
      <c r="S101">
        <f>HYPERLINK("https://klasma.github.io/Logging_0188/artfynd/A 26635-2023 artfynd.xlsx", "A 26635-2023")</f>
        <v/>
      </c>
      <c r="T101">
        <f>HYPERLINK("https://klasma.github.io/Logging_0188/kartor/A 26635-2023 karta.png", "A 26635-2023")</f>
        <v/>
      </c>
      <c r="V101">
        <f>HYPERLINK("https://klasma.github.io/Logging_0188/klagomål/A 26635-2023 FSC-klagomål.docx", "A 26635-2023")</f>
        <v/>
      </c>
      <c r="W101">
        <f>HYPERLINK("https://klasma.github.io/Logging_0188/klagomålsmail/A 26635-2023 FSC-klagomål mail.docx", "A 26635-2023")</f>
        <v/>
      </c>
      <c r="X101">
        <f>HYPERLINK("https://klasma.github.io/Logging_0188/tillsyn/A 26635-2023 tillsynsbegäran.docx", "A 26635-2023")</f>
        <v/>
      </c>
      <c r="Y101">
        <f>HYPERLINK("https://klasma.github.io/Logging_0188/tillsynsmail/A 26635-2023 tillsynsbegäran mail.docx", "A 26635-2023")</f>
        <v/>
      </c>
    </row>
    <row r="102" ht="15" customHeight="1">
      <c r="A102" t="inlineStr">
        <is>
          <t>A 4532-2025</t>
        </is>
      </c>
      <c r="B102" s="1" t="n">
        <v>45687.34177083334</v>
      </c>
      <c r="C102" s="1" t="n">
        <v>46100</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58888-2021</t>
        </is>
      </c>
      <c r="B103" s="1" t="n">
        <v>44489</v>
      </c>
      <c r="C103" s="1" t="n">
        <v>46100</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35691-2023</t>
        </is>
      </c>
      <c r="B104" s="1" t="n">
        <v>45147.65222222222</v>
      </c>
      <c r="C104" s="1" t="n">
        <v>46100</v>
      </c>
      <c r="D104" t="inlineStr">
        <is>
          <t>STOCKHOLMS LÄN</t>
        </is>
      </c>
      <c r="E104" t="inlineStr">
        <is>
          <t>NORRTÄLJE</t>
        </is>
      </c>
      <c r="G104" t="n">
        <v>2.3</v>
      </c>
      <c r="H104" t="n">
        <v>1</v>
      </c>
      <c r="I104" t="n">
        <v>0</v>
      </c>
      <c r="J104" t="n">
        <v>0</v>
      </c>
      <c r="K104" t="n">
        <v>0</v>
      </c>
      <c r="L104" t="n">
        <v>0</v>
      </c>
      <c r="M104" t="n">
        <v>0</v>
      </c>
      <c r="N104" t="n">
        <v>0</v>
      </c>
      <c r="O104" t="n">
        <v>0</v>
      </c>
      <c r="P104" t="n">
        <v>0</v>
      </c>
      <c r="Q104" t="n">
        <v>1</v>
      </c>
      <c r="R104" s="2" t="inlineStr">
        <is>
          <t>Kungsfågel</t>
        </is>
      </c>
      <c r="S104">
        <f>HYPERLINK("https://klasma.github.io/Logging_0188/artfynd/A 35691-2023 artfynd.xlsx", "A 35691-2023")</f>
        <v/>
      </c>
      <c r="T104">
        <f>HYPERLINK("https://klasma.github.io/Logging_0188/kartor/A 35691-2023 karta.png", "A 35691-2023")</f>
        <v/>
      </c>
      <c r="V104">
        <f>HYPERLINK("https://klasma.github.io/Logging_0188/klagomål/A 35691-2023 FSC-klagomål.docx", "A 35691-2023")</f>
        <v/>
      </c>
      <c r="W104">
        <f>HYPERLINK("https://klasma.github.io/Logging_0188/klagomålsmail/A 35691-2023 FSC-klagomål mail.docx", "A 35691-2023")</f>
        <v/>
      </c>
      <c r="X104">
        <f>HYPERLINK("https://klasma.github.io/Logging_0188/tillsyn/A 35691-2023 tillsynsbegäran.docx", "A 35691-2023")</f>
        <v/>
      </c>
      <c r="Y104">
        <f>HYPERLINK("https://klasma.github.io/Logging_0188/tillsynsmail/A 35691-2023 tillsynsbegäran mail.docx", "A 35691-2023")</f>
        <v/>
      </c>
      <c r="Z104">
        <f>HYPERLINK("https://klasma.github.io/Logging_0188/fåglar/A 35691-2023 prioriterade fågelarter.docx", "A 35691-2023")</f>
        <v/>
      </c>
    </row>
    <row r="105" ht="15" customHeight="1">
      <c r="A105" t="inlineStr">
        <is>
          <t>A 35693-2023</t>
        </is>
      </c>
      <c r="B105" s="1" t="n">
        <v>45147.65311342593</v>
      </c>
      <c r="C105" s="1" t="n">
        <v>46100</v>
      </c>
      <c r="D105" t="inlineStr">
        <is>
          <t>STOCKHOLMS LÄN</t>
        </is>
      </c>
      <c r="E105" t="inlineStr">
        <is>
          <t>NORRTÄLJE</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HYPERLINK("https://klasma.github.io/Logging_0188/artfynd/A 35693-2023 artfynd.xlsx", "A 35693-2023")</f>
        <v/>
      </c>
      <c r="T105">
        <f>HYPERLINK("https://klasma.github.io/Logging_0188/kartor/A 35693-2023 karta.png", "A 35693-2023")</f>
        <v/>
      </c>
      <c r="V105">
        <f>HYPERLINK("https://klasma.github.io/Logging_0188/klagomål/A 35693-2023 FSC-klagomål.docx", "A 35693-2023")</f>
        <v/>
      </c>
      <c r="W105">
        <f>HYPERLINK("https://klasma.github.io/Logging_0188/klagomålsmail/A 35693-2023 FSC-klagomål mail.docx", "A 35693-2023")</f>
        <v/>
      </c>
      <c r="X105">
        <f>HYPERLINK("https://klasma.github.io/Logging_0188/tillsyn/A 35693-2023 tillsynsbegäran.docx", "A 35693-2023")</f>
        <v/>
      </c>
      <c r="Y105">
        <f>HYPERLINK("https://klasma.github.io/Logging_0188/tillsynsmail/A 35693-2023 tillsynsbegäran mail.docx", "A 35693-2023")</f>
        <v/>
      </c>
    </row>
    <row r="106" ht="15" customHeight="1">
      <c r="A106" t="inlineStr">
        <is>
          <t>A 40861-2025</t>
        </is>
      </c>
      <c r="B106" s="1" t="n">
        <v>45897.56356481482</v>
      </c>
      <c r="C106" s="1" t="n">
        <v>46100</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13271-2025</t>
        </is>
      </c>
      <c r="B107" s="1" t="n">
        <v>45735.54510416667</v>
      </c>
      <c r="C107" s="1" t="n">
        <v>46100</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47898-2022</t>
        </is>
      </c>
      <c r="B108" s="1" t="n">
        <v>44855</v>
      </c>
      <c r="C108" s="1" t="n">
        <v>46100</v>
      </c>
      <c r="D108" t="inlineStr">
        <is>
          <t>STOCKHOLMS LÄN</t>
        </is>
      </c>
      <c r="E108" t="inlineStr">
        <is>
          <t>NORRTÄLJE</t>
        </is>
      </c>
      <c r="G108" t="n">
        <v>6.7</v>
      </c>
      <c r="H108" t="n">
        <v>1</v>
      </c>
      <c r="I108" t="n">
        <v>1</v>
      </c>
      <c r="J108" t="n">
        <v>0</v>
      </c>
      <c r="K108" t="n">
        <v>0</v>
      </c>
      <c r="L108" t="n">
        <v>0</v>
      </c>
      <c r="M108" t="n">
        <v>0</v>
      </c>
      <c r="N108" t="n">
        <v>0</v>
      </c>
      <c r="O108" t="n">
        <v>0</v>
      </c>
      <c r="P108" t="n">
        <v>0</v>
      </c>
      <c r="Q108" t="n">
        <v>1</v>
      </c>
      <c r="R108" s="2" t="inlineStr">
        <is>
          <t>Guckusko</t>
        </is>
      </c>
      <c r="S108">
        <f>HYPERLINK("https://klasma.github.io/Logging_0188/artfynd/A 47898-2022 artfynd.xlsx", "A 47898-2022")</f>
        <v/>
      </c>
      <c r="T108">
        <f>HYPERLINK("https://klasma.github.io/Logging_0188/kartor/A 47898-2022 karta.png", "A 47898-2022")</f>
        <v/>
      </c>
      <c r="V108">
        <f>HYPERLINK("https://klasma.github.io/Logging_0188/klagomål/A 47898-2022 FSC-klagomål.docx", "A 47898-2022")</f>
        <v/>
      </c>
      <c r="W108">
        <f>HYPERLINK("https://klasma.github.io/Logging_0188/klagomålsmail/A 47898-2022 FSC-klagomål mail.docx", "A 47898-2022")</f>
        <v/>
      </c>
      <c r="X108">
        <f>HYPERLINK("https://klasma.github.io/Logging_0188/tillsyn/A 47898-2022 tillsynsbegäran.docx", "A 47898-2022")</f>
        <v/>
      </c>
      <c r="Y108">
        <f>HYPERLINK("https://klasma.github.io/Logging_0188/tillsynsmail/A 47898-2022 tillsynsbegäran mail.docx", "A 47898-2022")</f>
        <v/>
      </c>
    </row>
    <row r="109" ht="15" customHeight="1">
      <c r="A109" t="inlineStr">
        <is>
          <t>A 9955-2022</t>
        </is>
      </c>
      <c r="B109" s="1" t="n">
        <v>44620</v>
      </c>
      <c r="C109" s="1" t="n">
        <v>46100</v>
      </c>
      <c r="D109" t="inlineStr">
        <is>
          <t>STOCKHOLMS LÄN</t>
        </is>
      </c>
      <c r="E109" t="inlineStr">
        <is>
          <t>NORRTÄLJE</t>
        </is>
      </c>
      <c r="G109" t="n">
        <v>7.8</v>
      </c>
      <c r="H109" t="n">
        <v>1</v>
      </c>
      <c r="I109" t="n">
        <v>0</v>
      </c>
      <c r="J109" t="n">
        <v>0</v>
      </c>
      <c r="K109" t="n">
        <v>0</v>
      </c>
      <c r="L109" t="n">
        <v>0</v>
      </c>
      <c r="M109" t="n">
        <v>0</v>
      </c>
      <c r="N109" t="n">
        <v>0</v>
      </c>
      <c r="O109" t="n">
        <v>0</v>
      </c>
      <c r="P109" t="n">
        <v>0</v>
      </c>
      <c r="Q109" t="n">
        <v>1</v>
      </c>
      <c r="R109" s="2" t="inlineStr">
        <is>
          <t>Åkergroda</t>
        </is>
      </c>
      <c r="S109">
        <f>HYPERLINK("https://klasma.github.io/Logging_0188/artfynd/A 9955-2022 artfynd.xlsx", "A 9955-2022")</f>
        <v/>
      </c>
      <c r="T109">
        <f>HYPERLINK("https://klasma.github.io/Logging_0188/kartor/A 9955-2022 karta.png", "A 9955-2022")</f>
        <v/>
      </c>
      <c r="V109">
        <f>HYPERLINK("https://klasma.github.io/Logging_0188/klagomål/A 9955-2022 FSC-klagomål.docx", "A 9955-2022")</f>
        <v/>
      </c>
      <c r="W109">
        <f>HYPERLINK("https://klasma.github.io/Logging_0188/klagomålsmail/A 9955-2022 FSC-klagomål mail.docx", "A 9955-2022")</f>
        <v/>
      </c>
      <c r="X109">
        <f>HYPERLINK("https://klasma.github.io/Logging_0188/tillsyn/A 9955-2022 tillsynsbegäran.docx", "A 9955-2022")</f>
        <v/>
      </c>
      <c r="Y109">
        <f>HYPERLINK("https://klasma.github.io/Logging_0188/tillsynsmail/A 9955-2022 tillsynsbegäran mail.docx", "A 9955-2022")</f>
        <v/>
      </c>
    </row>
    <row r="110" ht="15" customHeight="1">
      <c r="A110" t="inlineStr">
        <is>
          <t>A 50854-2022</t>
        </is>
      </c>
      <c r="B110" s="1" t="n">
        <v>44863</v>
      </c>
      <c r="C110" s="1" t="n">
        <v>46100</v>
      </c>
      <c r="D110" t="inlineStr">
        <is>
          <t>STOCKHOLMS LÄN</t>
        </is>
      </c>
      <c r="E110" t="inlineStr">
        <is>
          <t>NORRTÄLJE</t>
        </is>
      </c>
      <c r="G110" t="n">
        <v>2.9</v>
      </c>
      <c r="H110" t="n">
        <v>0</v>
      </c>
      <c r="I110" t="n">
        <v>1</v>
      </c>
      <c r="J110" t="n">
        <v>0</v>
      </c>
      <c r="K110" t="n">
        <v>0</v>
      </c>
      <c r="L110" t="n">
        <v>0</v>
      </c>
      <c r="M110" t="n">
        <v>0</v>
      </c>
      <c r="N110" t="n">
        <v>0</v>
      </c>
      <c r="O110" t="n">
        <v>0</v>
      </c>
      <c r="P110" t="n">
        <v>0</v>
      </c>
      <c r="Q110" t="n">
        <v>1</v>
      </c>
      <c r="R110" s="2" t="inlineStr">
        <is>
          <t>Tibast</t>
        </is>
      </c>
      <c r="S110">
        <f>HYPERLINK("https://klasma.github.io/Logging_0188/artfynd/A 50854-2022 artfynd.xlsx", "A 50854-2022")</f>
        <v/>
      </c>
      <c r="T110">
        <f>HYPERLINK("https://klasma.github.io/Logging_0188/kartor/A 50854-2022 karta.png", "A 50854-2022")</f>
        <v/>
      </c>
      <c r="V110">
        <f>HYPERLINK("https://klasma.github.io/Logging_0188/klagomål/A 50854-2022 FSC-klagomål.docx", "A 50854-2022")</f>
        <v/>
      </c>
      <c r="W110">
        <f>HYPERLINK("https://klasma.github.io/Logging_0188/klagomålsmail/A 50854-2022 FSC-klagomål mail.docx", "A 50854-2022")</f>
        <v/>
      </c>
      <c r="X110">
        <f>HYPERLINK("https://klasma.github.io/Logging_0188/tillsyn/A 50854-2022 tillsynsbegäran.docx", "A 50854-2022")</f>
        <v/>
      </c>
      <c r="Y110">
        <f>HYPERLINK("https://klasma.github.io/Logging_0188/tillsynsmail/A 50854-2022 tillsynsbegäran mail.docx", "A 50854-2022")</f>
        <v/>
      </c>
    </row>
    <row r="111" ht="15" customHeight="1">
      <c r="A111" t="inlineStr">
        <is>
          <t>A 23905-2025</t>
        </is>
      </c>
      <c r="B111" s="1" t="n">
        <v>45794.63298611111</v>
      </c>
      <c r="C111" s="1" t="n">
        <v>46100</v>
      </c>
      <c r="D111" t="inlineStr">
        <is>
          <t>STOCKHOLMS LÄN</t>
        </is>
      </c>
      <c r="E111" t="inlineStr">
        <is>
          <t>NORRTÄLJE</t>
        </is>
      </c>
      <c r="G111" t="n">
        <v>8.4</v>
      </c>
      <c r="H111" t="n">
        <v>1</v>
      </c>
      <c r="I111" t="n">
        <v>0</v>
      </c>
      <c r="J111" t="n">
        <v>0</v>
      </c>
      <c r="K111" t="n">
        <v>0</v>
      </c>
      <c r="L111" t="n">
        <v>0</v>
      </c>
      <c r="M111" t="n">
        <v>0</v>
      </c>
      <c r="N111" t="n">
        <v>0</v>
      </c>
      <c r="O111" t="n">
        <v>0</v>
      </c>
      <c r="P111" t="n">
        <v>0</v>
      </c>
      <c r="Q111" t="n">
        <v>1</v>
      </c>
      <c r="R111" s="2" t="inlineStr">
        <is>
          <t>Blåsippa</t>
        </is>
      </c>
      <c r="S111">
        <f>HYPERLINK("https://klasma.github.io/Logging_0188/artfynd/A 23905-2025 artfynd.xlsx", "A 23905-2025")</f>
        <v/>
      </c>
      <c r="T111">
        <f>HYPERLINK("https://klasma.github.io/Logging_0188/kartor/A 23905-2025 karta.png", "A 23905-2025")</f>
        <v/>
      </c>
      <c r="V111">
        <f>HYPERLINK("https://klasma.github.io/Logging_0188/klagomål/A 23905-2025 FSC-klagomål.docx", "A 23905-2025")</f>
        <v/>
      </c>
      <c r="W111">
        <f>HYPERLINK("https://klasma.github.io/Logging_0188/klagomålsmail/A 23905-2025 FSC-klagomål mail.docx", "A 23905-2025")</f>
        <v/>
      </c>
      <c r="X111">
        <f>HYPERLINK("https://klasma.github.io/Logging_0188/tillsyn/A 23905-2025 tillsynsbegäran.docx", "A 23905-2025")</f>
        <v/>
      </c>
      <c r="Y111">
        <f>HYPERLINK("https://klasma.github.io/Logging_0188/tillsynsmail/A 23905-2025 tillsynsbegäran mail.docx", "A 23905-2025")</f>
        <v/>
      </c>
    </row>
    <row r="112" ht="15" customHeight="1">
      <c r="A112" t="inlineStr">
        <is>
          <t>A 14365-2025</t>
        </is>
      </c>
      <c r="B112" s="1" t="n">
        <v>45741.38688657407</v>
      </c>
      <c r="C112" s="1" t="n">
        <v>46100</v>
      </c>
      <c r="D112" t="inlineStr">
        <is>
          <t>STOCKHOLMS LÄN</t>
        </is>
      </c>
      <c r="E112" t="inlineStr">
        <is>
          <t>NORRTÄLJE</t>
        </is>
      </c>
      <c r="G112" t="n">
        <v>2.4</v>
      </c>
      <c r="H112" t="n">
        <v>0</v>
      </c>
      <c r="I112" t="n">
        <v>0</v>
      </c>
      <c r="J112" t="n">
        <v>1</v>
      </c>
      <c r="K112" t="n">
        <v>0</v>
      </c>
      <c r="L112" t="n">
        <v>0</v>
      </c>
      <c r="M112" t="n">
        <v>0</v>
      </c>
      <c r="N112" t="n">
        <v>0</v>
      </c>
      <c r="O112" t="n">
        <v>1</v>
      </c>
      <c r="P112" t="n">
        <v>0</v>
      </c>
      <c r="Q112" t="n">
        <v>1</v>
      </c>
      <c r="R112" s="2" t="inlineStr">
        <is>
          <t>Granticka</t>
        </is>
      </c>
      <c r="S112">
        <f>HYPERLINK("https://klasma.github.io/Logging_0188/artfynd/A 14365-2025 artfynd.xlsx", "A 14365-2025")</f>
        <v/>
      </c>
      <c r="T112">
        <f>HYPERLINK("https://klasma.github.io/Logging_0188/kartor/A 14365-2025 karta.png", "A 14365-2025")</f>
        <v/>
      </c>
      <c r="V112">
        <f>HYPERLINK("https://klasma.github.io/Logging_0188/klagomål/A 14365-2025 FSC-klagomål.docx", "A 14365-2025")</f>
        <v/>
      </c>
      <c r="W112">
        <f>HYPERLINK("https://klasma.github.io/Logging_0188/klagomålsmail/A 14365-2025 FSC-klagomål mail.docx", "A 14365-2025")</f>
        <v/>
      </c>
      <c r="X112">
        <f>HYPERLINK("https://klasma.github.io/Logging_0188/tillsyn/A 14365-2025 tillsynsbegäran.docx", "A 14365-2025")</f>
        <v/>
      </c>
      <c r="Y112">
        <f>HYPERLINK("https://klasma.github.io/Logging_0188/tillsynsmail/A 14365-2025 tillsynsbegäran mail.docx", "A 14365-2025")</f>
        <v/>
      </c>
    </row>
    <row r="113" ht="15" customHeight="1">
      <c r="A113" t="inlineStr">
        <is>
          <t>A 32111-2022</t>
        </is>
      </c>
      <c r="B113" s="1" t="n">
        <v>44778.92797453704</v>
      </c>
      <c r="C113" s="1" t="n">
        <v>46100</v>
      </c>
      <c r="D113" t="inlineStr">
        <is>
          <t>STOCKHOLMS LÄN</t>
        </is>
      </c>
      <c r="E113" t="inlineStr">
        <is>
          <t>NORRTÄLJE</t>
        </is>
      </c>
      <c r="G113" t="n">
        <v>3.1</v>
      </c>
      <c r="H113" t="n">
        <v>0</v>
      </c>
      <c r="I113" t="n">
        <v>0</v>
      </c>
      <c r="J113" t="n">
        <v>1</v>
      </c>
      <c r="K113" t="n">
        <v>0</v>
      </c>
      <c r="L113" t="n">
        <v>0</v>
      </c>
      <c r="M113" t="n">
        <v>0</v>
      </c>
      <c r="N113" t="n">
        <v>0</v>
      </c>
      <c r="O113" t="n">
        <v>1</v>
      </c>
      <c r="P113" t="n">
        <v>0</v>
      </c>
      <c r="Q113" t="n">
        <v>1</v>
      </c>
      <c r="R113" s="2" t="inlineStr">
        <is>
          <t>Orange taggsvamp</t>
        </is>
      </c>
      <c r="S113">
        <f>HYPERLINK("https://klasma.github.io/Logging_0188/artfynd/A 32111-2022 artfynd.xlsx", "A 32111-2022")</f>
        <v/>
      </c>
      <c r="T113">
        <f>HYPERLINK("https://klasma.github.io/Logging_0188/kartor/A 32111-2022 karta.png", "A 32111-2022")</f>
        <v/>
      </c>
      <c r="V113">
        <f>HYPERLINK("https://klasma.github.io/Logging_0188/klagomål/A 32111-2022 FSC-klagomål.docx", "A 32111-2022")</f>
        <v/>
      </c>
      <c r="W113">
        <f>HYPERLINK("https://klasma.github.io/Logging_0188/klagomålsmail/A 32111-2022 FSC-klagomål mail.docx", "A 32111-2022")</f>
        <v/>
      </c>
      <c r="X113">
        <f>HYPERLINK("https://klasma.github.io/Logging_0188/tillsyn/A 32111-2022 tillsynsbegäran.docx", "A 32111-2022")</f>
        <v/>
      </c>
      <c r="Y113">
        <f>HYPERLINK("https://klasma.github.io/Logging_0188/tillsynsmail/A 32111-2022 tillsynsbegäran mail.docx", "A 32111-2022")</f>
        <v/>
      </c>
    </row>
    <row r="114" ht="15" customHeight="1">
      <c r="A114" t="inlineStr">
        <is>
          <t>A 25669-2025</t>
        </is>
      </c>
      <c r="B114" s="1" t="n">
        <v>45803.62766203703</v>
      </c>
      <c r="C114" s="1" t="n">
        <v>46100</v>
      </c>
      <c r="D114" t="inlineStr">
        <is>
          <t>STOCKHOLMS LÄN</t>
        </is>
      </c>
      <c r="E114" t="inlineStr">
        <is>
          <t>NORRTÄLJE</t>
        </is>
      </c>
      <c r="F114" t="inlineStr">
        <is>
          <t>Holmen skog AB</t>
        </is>
      </c>
      <c r="G114" t="n">
        <v>3.1</v>
      </c>
      <c r="H114" t="n">
        <v>1</v>
      </c>
      <c r="I114" t="n">
        <v>0</v>
      </c>
      <c r="J114" t="n">
        <v>0</v>
      </c>
      <c r="K114" t="n">
        <v>0</v>
      </c>
      <c r="L114" t="n">
        <v>0</v>
      </c>
      <c r="M114" t="n">
        <v>0</v>
      </c>
      <c r="N114" t="n">
        <v>0</v>
      </c>
      <c r="O114" t="n">
        <v>0</v>
      </c>
      <c r="P114" t="n">
        <v>0</v>
      </c>
      <c r="Q114" t="n">
        <v>1</v>
      </c>
      <c r="R114" s="2" t="inlineStr">
        <is>
          <t>Tjäder</t>
        </is>
      </c>
      <c r="S114">
        <f>HYPERLINK("https://klasma.github.io/Logging_0188/artfynd/A 25669-2025 artfynd.xlsx", "A 25669-2025")</f>
        <v/>
      </c>
      <c r="T114">
        <f>HYPERLINK("https://klasma.github.io/Logging_0188/kartor/A 25669-2025 karta.png", "A 25669-2025")</f>
        <v/>
      </c>
      <c r="V114">
        <f>HYPERLINK("https://klasma.github.io/Logging_0188/klagomål/A 25669-2025 FSC-klagomål.docx", "A 25669-2025")</f>
        <v/>
      </c>
      <c r="W114">
        <f>HYPERLINK("https://klasma.github.io/Logging_0188/klagomålsmail/A 25669-2025 FSC-klagomål mail.docx", "A 25669-2025")</f>
        <v/>
      </c>
      <c r="X114">
        <f>HYPERLINK("https://klasma.github.io/Logging_0188/tillsyn/A 25669-2025 tillsynsbegäran.docx", "A 25669-2025")</f>
        <v/>
      </c>
      <c r="Y114">
        <f>HYPERLINK("https://klasma.github.io/Logging_0188/tillsynsmail/A 25669-2025 tillsynsbegäran mail.docx", "A 25669-2025")</f>
        <v/>
      </c>
      <c r="Z114">
        <f>HYPERLINK("https://klasma.github.io/Logging_0188/fåglar/A 25669-2025 prioriterade fågelarter.docx", "A 25669-2025")</f>
        <v/>
      </c>
    </row>
    <row r="115" ht="15" customHeight="1">
      <c r="A115" t="inlineStr">
        <is>
          <t>A 35764-2024</t>
        </is>
      </c>
      <c r="B115" s="1" t="n">
        <v>45532</v>
      </c>
      <c r="C115" s="1" t="n">
        <v>46100</v>
      </c>
      <c r="D115" t="inlineStr">
        <is>
          <t>STOCKHOLMS LÄN</t>
        </is>
      </c>
      <c r="E115" t="inlineStr">
        <is>
          <t>NORRTÄLJE</t>
        </is>
      </c>
      <c r="G115" t="n">
        <v>14.2</v>
      </c>
      <c r="H115" t="n">
        <v>1</v>
      </c>
      <c r="I115" t="n">
        <v>0</v>
      </c>
      <c r="J115" t="n">
        <v>0</v>
      </c>
      <c r="K115" t="n">
        <v>1</v>
      </c>
      <c r="L115" t="n">
        <v>0</v>
      </c>
      <c r="M115" t="n">
        <v>0</v>
      </c>
      <c r="N115" t="n">
        <v>0</v>
      </c>
      <c r="O115" t="n">
        <v>1</v>
      </c>
      <c r="P115" t="n">
        <v>1</v>
      </c>
      <c r="Q115" t="n">
        <v>1</v>
      </c>
      <c r="R115" s="2" t="inlineStr">
        <is>
          <t>Knärot</t>
        </is>
      </c>
      <c r="S115">
        <f>HYPERLINK("https://klasma.github.io/Logging_0188/artfynd/A 35764-2024 artfynd.xlsx", "A 35764-2024")</f>
        <v/>
      </c>
      <c r="T115">
        <f>HYPERLINK("https://klasma.github.io/Logging_0188/kartor/A 35764-2024 karta.png", "A 35764-2024")</f>
        <v/>
      </c>
      <c r="U115">
        <f>HYPERLINK("https://klasma.github.io/Logging_0188/knärot/A 35764-2024 karta knärot.png", "A 35764-2024")</f>
        <v/>
      </c>
      <c r="V115">
        <f>HYPERLINK("https://klasma.github.io/Logging_0188/klagomål/A 35764-2024 FSC-klagomål.docx", "A 35764-2024")</f>
        <v/>
      </c>
      <c r="W115">
        <f>HYPERLINK("https://klasma.github.io/Logging_0188/klagomålsmail/A 35764-2024 FSC-klagomål mail.docx", "A 35764-2024")</f>
        <v/>
      </c>
      <c r="X115">
        <f>HYPERLINK("https://klasma.github.io/Logging_0188/tillsyn/A 35764-2024 tillsynsbegäran.docx", "A 35764-2024")</f>
        <v/>
      </c>
      <c r="Y115">
        <f>HYPERLINK("https://klasma.github.io/Logging_0188/tillsynsmail/A 35764-2024 tillsynsbegäran mail.docx", "A 35764-2024")</f>
        <v/>
      </c>
    </row>
    <row r="116" ht="15" customHeight="1">
      <c r="A116" t="inlineStr">
        <is>
          <t>A 25725-2025</t>
        </is>
      </c>
      <c r="B116" s="1" t="n">
        <v>45800</v>
      </c>
      <c r="C116" s="1" t="n">
        <v>46100</v>
      </c>
      <c r="D116" t="inlineStr">
        <is>
          <t>STOCKHOLMS LÄN</t>
        </is>
      </c>
      <c r="E116" t="inlineStr">
        <is>
          <t>NORRTÄLJE</t>
        </is>
      </c>
      <c r="G116" t="n">
        <v>5.2</v>
      </c>
      <c r="H116" t="n">
        <v>0</v>
      </c>
      <c r="I116" t="n">
        <v>0</v>
      </c>
      <c r="J116" t="n">
        <v>1</v>
      </c>
      <c r="K116" t="n">
        <v>0</v>
      </c>
      <c r="L116" t="n">
        <v>0</v>
      </c>
      <c r="M116" t="n">
        <v>0</v>
      </c>
      <c r="N116" t="n">
        <v>0</v>
      </c>
      <c r="O116" t="n">
        <v>1</v>
      </c>
      <c r="P116" t="n">
        <v>0</v>
      </c>
      <c r="Q116" t="n">
        <v>1</v>
      </c>
      <c r="R116" s="2" t="inlineStr">
        <is>
          <t>Tallticka</t>
        </is>
      </c>
      <c r="S116">
        <f>HYPERLINK("https://klasma.github.io/Logging_0188/artfynd/A 25725-2025 artfynd.xlsx", "A 25725-2025")</f>
        <v/>
      </c>
      <c r="T116">
        <f>HYPERLINK("https://klasma.github.io/Logging_0188/kartor/A 25725-2025 karta.png", "A 25725-2025")</f>
        <v/>
      </c>
      <c r="V116">
        <f>HYPERLINK("https://klasma.github.io/Logging_0188/klagomål/A 25725-2025 FSC-klagomål.docx", "A 25725-2025")</f>
        <v/>
      </c>
      <c r="W116">
        <f>HYPERLINK("https://klasma.github.io/Logging_0188/klagomålsmail/A 25725-2025 FSC-klagomål mail.docx", "A 25725-2025")</f>
        <v/>
      </c>
      <c r="X116">
        <f>HYPERLINK("https://klasma.github.io/Logging_0188/tillsyn/A 25725-2025 tillsynsbegäran.docx", "A 25725-2025")</f>
        <v/>
      </c>
      <c r="Y116">
        <f>HYPERLINK("https://klasma.github.io/Logging_0188/tillsynsmail/A 25725-2025 tillsynsbegäran mail.docx", "A 25725-2025")</f>
        <v/>
      </c>
    </row>
    <row r="117" ht="15" customHeight="1">
      <c r="A117" t="inlineStr">
        <is>
          <t>A 42313-2025</t>
        </is>
      </c>
      <c r="B117" s="1" t="n">
        <v>45904.6575</v>
      </c>
      <c r="C117" s="1" t="n">
        <v>46100</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26120-2024</t>
        </is>
      </c>
      <c r="B118" s="1" t="n">
        <v>45468.45995370371</v>
      </c>
      <c r="C118" s="1" t="n">
        <v>46100</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4385-2023</t>
        </is>
      </c>
      <c r="B119" s="1" t="n">
        <v>44955.71322916666</v>
      </c>
      <c r="C119" s="1" t="n">
        <v>46100</v>
      </c>
      <c r="D119" t="inlineStr">
        <is>
          <t>STOCKHOLMS LÄN</t>
        </is>
      </c>
      <c r="E119" t="inlineStr">
        <is>
          <t>NORRTÄLJE</t>
        </is>
      </c>
      <c r="G119" t="n">
        <v>7.8</v>
      </c>
      <c r="H119" t="n">
        <v>1</v>
      </c>
      <c r="I119" t="n">
        <v>1</v>
      </c>
      <c r="J119" t="n">
        <v>0</v>
      </c>
      <c r="K119" t="n">
        <v>0</v>
      </c>
      <c r="L119" t="n">
        <v>0</v>
      </c>
      <c r="M119" t="n">
        <v>0</v>
      </c>
      <c r="N119" t="n">
        <v>0</v>
      </c>
      <c r="O119" t="n">
        <v>0</v>
      </c>
      <c r="P119" t="n">
        <v>0</v>
      </c>
      <c r="Q119" t="n">
        <v>1</v>
      </c>
      <c r="R119" s="2" t="inlineStr">
        <is>
          <t>Skogsknipprot</t>
        </is>
      </c>
      <c r="S119">
        <f>HYPERLINK("https://klasma.github.io/Logging_0188/artfynd/A 4385-2023 artfynd.xlsx", "A 4385-2023")</f>
        <v/>
      </c>
      <c r="T119">
        <f>HYPERLINK("https://klasma.github.io/Logging_0188/kartor/A 4385-2023 karta.png", "A 4385-2023")</f>
        <v/>
      </c>
      <c r="V119">
        <f>HYPERLINK("https://klasma.github.io/Logging_0188/klagomål/A 4385-2023 FSC-klagomål.docx", "A 4385-2023")</f>
        <v/>
      </c>
      <c r="W119">
        <f>HYPERLINK("https://klasma.github.io/Logging_0188/klagomålsmail/A 4385-2023 FSC-klagomål mail.docx", "A 4385-2023")</f>
        <v/>
      </c>
      <c r="X119">
        <f>HYPERLINK("https://klasma.github.io/Logging_0188/tillsyn/A 4385-2023 tillsynsbegäran.docx", "A 4385-2023")</f>
        <v/>
      </c>
      <c r="Y119">
        <f>HYPERLINK("https://klasma.github.io/Logging_0188/tillsynsmail/A 4385-2023 tillsynsbegäran mail.docx", "A 4385-2023")</f>
        <v/>
      </c>
    </row>
    <row r="120" ht="15" customHeight="1">
      <c r="A120" t="inlineStr">
        <is>
          <t>A 25709-2025</t>
        </is>
      </c>
      <c r="B120" s="1" t="n">
        <v>45800</v>
      </c>
      <c r="C120" s="1" t="n">
        <v>46100</v>
      </c>
      <c r="D120" t="inlineStr">
        <is>
          <t>STOCKHOLMS LÄN</t>
        </is>
      </c>
      <c r="E120" t="inlineStr">
        <is>
          <t>NORRTÄLJE</t>
        </is>
      </c>
      <c r="G120" t="n">
        <v>4.6</v>
      </c>
      <c r="H120" t="n">
        <v>0</v>
      </c>
      <c r="I120" t="n">
        <v>0</v>
      </c>
      <c r="J120" t="n">
        <v>1</v>
      </c>
      <c r="K120" t="n">
        <v>0</v>
      </c>
      <c r="L120" t="n">
        <v>0</v>
      </c>
      <c r="M120" t="n">
        <v>0</v>
      </c>
      <c r="N120" t="n">
        <v>0</v>
      </c>
      <c r="O120" t="n">
        <v>1</v>
      </c>
      <c r="P120" t="n">
        <v>0</v>
      </c>
      <c r="Q120" t="n">
        <v>1</v>
      </c>
      <c r="R120" s="2" t="inlineStr">
        <is>
          <t>Ullticka</t>
        </is>
      </c>
      <c r="S120">
        <f>HYPERLINK("https://klasma.github.io/Logging_0188/artfynd/A 25709-2025 artfynd.xlsx", "A 25709-2025")</f>
        <v/>
      </c>
      <c r="T120">
        <f>HYPERLINK("https://klasma.github.io/Logging_0188/kartor/A 25709-2025 karta.png", "A 25709-2025")</f>
        <v/>
      </c>
      <c r="V120">
        <f>HYPERLINK("https://klasma.github.io/Logging_0188/klagomål/A 25709-2025 FSC-klagomål.docx", "A 25709-2025")</f>
        <v/>
      </c>
      <c r="W120">
        <f>HYPERLINK("https://klasma.github.io/Logging_0188/klagomålsmail/A 25709-2025 FSC-klagomål mail.docx", "A 25709-2025")</f>
        <v/>
      </c>
      <c r="X120">
        <f>HYPERLINK("https://klasma.github.io/Logging_0188/tillsyn/A 25709-2025 tillsynsbegäran.docx", "A 25709-2025")</f>
        <v/>
      </c>
      <c r="Y120">
        <f>HYPERLINK("https://klasma.github.io/Logging_0188/tillsynsmail/A 25709-2025 tillsynsbegäran mail.docx", "A 25709-2025")</f>
        <v/>
      </c>
    </row>
    <row r="121" ht="15" customHeight="1">
      <c r="A121" t="inlineStr">
        <is>
          <t>A 13291-2025</t>
        </is>
      </c>
      <c r="B121" s="1" t="n">
        <v>45735</v>
      </c>
      <c r="C121" s="1" t="n">
        <v>46100</v>
      </c>
      <c r="D121" t="inlineStr">
        <is>
          <t>STOCKHOLMS LÄN</t>
        </is>
      </c>
      <c r="E121" t="inlineStr">
        <is>
          <t>NORRTÄLJE</t>
        </is>
      </c>
      <c r="G121" t="n">
        <v>3.8</v>
      </c>
      <c r="H121" t="n">
        <v>1</v>
      </c>
      <c r="I121" t="n">
        <v>0</v>
      </c>
      <c r="J121" t="n">
        <v>0</v>
      </c>
      <c r="K121" t="n">
        <v>0</v>
      </c>
      <c r="L121" t="n">
        <v>0</v>
      </c>
      <c r="M121" t="n">
        <v>0</v>
      </c>
      <c r="N121" t="n">
        <v>0</v>
      </c>
      <c r="O121" t="n">
        <v>0</v>
      </c>
      <c r="P121" t="n">
        <v>0</v>
      </c>
      <c r="Q121" t="n">
        <v>1</v>
      </c>
      <c r="R121" s="2" t="inlineStr">
        <is>
          <t>Blåsippa</t>
        </is>
      </c>
      <c r="S121">
        <f>HYPERLINK("https://klasma.github.io/Logging_0188/artfynd/A 13291-2025 artfynd.xlsx", "A 13291-2025")</f>
        <v/>
      </c>
      <c r="T121">
        <f>HYPERLINK("https://klasma.github.io/Logging_0188/kartor/A 13291-2025 karta.png", "A 13291-2025")</f>
        <v/>
      </c>
      <c r="V121">
        <f>HYPERLINK("https://klasma.github.io/Logging_0188/klagomål/A 13291-2025 FSC-klagomål.docx", "A 13291-2025")</f>
        <v/>
      </c>
      <c r="W121">
        <f>HYPERLINK("https://klasma.github.io/Logging_0188/klagomålsmail/A 13291-2025 FSC-klagomål mail.docx", "A 13291-2025")</f>
        <v/>
      </c>
      <c r="X121">
        <f>HYPERLINK("https://klasma.github.io/Logging_0188/tillsyn/A 13291-2025 tillsynsbegäran.docx", "A 13291-2025")</f>
        <v/>
      </c>
      <c r="Y121">
        <f>HYPERLINK("https://klasma.github.io/Logging_0188/tillsynsmail/A 13291-2025 tillsynsbegäran mail.docx", "A 13291-2025")</f>
        <v/>
      </c>
    </row>
    <row r="122" ht="15" customHeight="1">
      <c r="A122" t="inlineStr">
        <is>
          <t>A 4860-2022</t>
        </is>
      </c>
      <c r="B122" s="1" t="n">
        <v>44592</v>
      </c>
      <c r="C122" s="1" t="n">
        <v>46100</v>
      </c>
      <c r="D122" t="inlineStr">
        <is>
          <t>STOCKHOLMS LÄN</t>
        </is>
      </c>
      <c r="E122" t="inlineStr">
        <is>
          <t>NORRTÄLJE</t>
        </is>
      </c>
      <c r="G122" t="n">
        <v>22.3</v>
      </c>
      <c r="H122" t="n">
        <v>0</v>
      </c>
      <c r="I122" t="n">
        <v>0</v>
      </c>
      <c r="J122" t="n">
        <v>1</v>
      </c>
      <c r="K122" t="n">
        <v>0</v>
      </c>
      <c r="L122" t="n">
        <v>0</v>
      </c>
      <c r="M122" t="n">
        <v>0</v>
      </c>
      <c r="N122" t="n">
        <v>0</v>
      </c>
      <c r="O122" t="n">
        <v>1</v>
      </c>
      <c r="P122" t="n">
        <v>0</v>
      </c>
      <c r="Q122" t="n">
        <v>1</v>
      </c>
      <c r="R122" s="2" t="inlineStr">
        <is>
          <t>Igelkott</t>
        </is>
      </c>
      <c r="S122">
        <f>HYPERLINK("https://klasma.github.io/Logging_0188/artfynd/A 4860-2022 artfynd.xlsx", "A 4860-2022")</f>
        <v/>
      </c>
      <c r="T122">
        <f>HYPERLINK("https://klasma.github.io/Logging_0188/kartor/A 4860-2022 karta.png", "A 4860-2022")</f>
        <v/>
      </c>
      <c r="V122">
        <f>HYPERLINK("https://klasma.github.io/Logging_0188/klagomål/A 4860-2022 FSC-klagomål.docx", "A 4860-2022")</f>
        <v/>
      </c>
      <c r="W122">
        <f>HYPERLINK("https://klasma.github.io/Logging_0188/klagomålsmail/A 4860-2022 FSC-klagomål mail.docx", "A 4860-2022")</f>
        <v/>
      </c>
      <c r="X122">
        <f>HYPERLINK("https://klasma.github.io/Logging_0188/tillsyn/A 4860-2022 tillsynsbegäran.docx", "A 4860-2022")</f>
        <v/>
      </c>
      <c r="Y122">
        <f>HYPERLINK("https://klasma.github.io/Logging_0188/tillsynsmail/A 4860-2022 tillsynsbegäran mail.docx", "A 4860-2022")</f>
        <v/>
      </c>
    </row>
    <row r="123" ht="15" customHeight="1">
      <c r="A123" t="inlineStr">
        <is>
          <t>A 35649-2023</t>
        </is>
      </c>
      <c r="B123" s="1" t="n">
        <v>45146</v>
      </c>
      <c r="C123" s="1" t="n">
        <v>46100</v>
      </c>
      <c r="D123" t="inlineStr">
        <is>
          <t>STOCKHOLMS LÄN</t>
        </is>
      </c>
      <c r="E123" t="inlineStr">
        <is>
          <t>NORRTÄLJE</t>
        </is>
      </c>
      <c r="G123" t="n">
        <v>25.1</v>
      </c>
      <c r="H123" t="n">
        <v>0</v>
      </c>
      <c r="I123" t="n">
        <v>0</v>
      </c>
      <c r="J123" t="n">
        <v>1</v>
      </c>
      <c r="K123" t="n">
        <v>0</v>
      </c>
      <c r="L123" t="n">
        <v>0</v>
      </c>
      <c r="M123" t="n">
        <v>0</v>
      </c>
      <c r="N123" t="n">
        <v>0</v>
      </c>
      <c r="O123" t="n">
        <v>1</v>
      </c>
      <c r="P123" t="n">
        <v>0</v>
      </c>
      <c r="Q123" t="n">
        <v>1</v>
      </c>
      <c r="R123" s="2" t="inlineStr">
        <is>
          <t>Månlåsbräken</t>
        </is>
      </c>
      <c r="S123">
        <f>HYPERLINK("https://klasma.github.io/Logging_0188/artfynd/A 35649-2023 artfynd.xlsx", "A 35649-2023")</f>
        <v/>
      </c>
      <c r="T123">
        <f>HYPERLINK("https://klasma.github.io/Logging_0188/kartor/A 35649-2023 karta.png", "A 35649-2023")</f>
        <v/>
      </c>
      <c r="V123">
        <f>HYPERLINK("https://klasma.github.io/Logging_0188/klagomål/A 35649-2023 FSC-klagomål.docx", "A 35649-2023")</f>
        <v/>
      </c>
      <c r="W123">
        <f>HYPERLINK("https://klasma.github.io/Logging_0188/klagomålsmail/A 35649-2023 FSC-klagomål mail.docx", "A 35649-2023")</f>
        <v/>
      </c>
      <c r="X123">
        <f>HYPERLINK("https://klasma.github.io/Logging_0188/tillsyn/A 35649-2023 tillsynsbegäran.docx", "A 35649-2023")</f>
        <v/>
      </c>
      <c r="Y123">
        <f>HYPERLINK("https://klasma.github.io/Logging_0188/tillsynsmail/A 35649-2023 tillsynsbegäran mail.docx", "A 35649-2023")</f>
        <v/>
      </c>
    </row>
    <row r="124" ht="15" customHeight="1">
      <c r="A124" t="inlineStr">
        <is>
          <t>A 19829-2022</t>
        </is>
      </c>
      <c r="B124" s="1" t="n">
        <v>44695.43527777777</v>
      </c>
      <c r="C124" s="1" t="n">
        <v>46100</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64456-2023</t>
        </is>
      </c>
      <c r="B125" s="1" t="n">
        <v>45280</v>
      </c>
      <c r="C125" s="1" t="n">
        <v>46100</v>
      </c>
      <c r="D125" t="inlineStr">
        <is>
          <t>STOCKHOLMS LÄN</t>
        </is>
      </c>
      <c r="E125" t="inlineStr">
        <is>
          <t>NORRTÄLJE</t>
        </is>
      </c>
      <c r="G125" t="n">
        <v>2.5</v>
      </c>
      <c r="H125" t="n">
        <v>0</v>
      </c>
      <c r="I125" t="n">
        <v>1</v>
      </c>
      <c r="J125" t="n">
        <v>0</v>
      </c>
      <c r="K125" t="n">
        <v>0</v>
      </c>
      <c r="L125" t="n">
        <v>0</v>
      </c>
      <c r="M125" t="n">
        <v>0</v>
      </c>
      <c r="N125" t="n">
        <v>0</v>
      </c>
      <c r="O125" t="n">
        <v>0</v>
      </c>
      <c r="P125" t="n">
        <v>0</v>
      </c>
      <c r="Q125" t="n">
        <v>1</v>
      </c>
      <c r="R125" s="2" t="inlineStr">
        <is>
          <t>Rödgul trumpetsvamp</t>
        </is>
      </c>
      <c r="S125">
        <f>HYPERLINK("https://klasma.github.io/Logging_0188/artfynd/A 64456-2023 artfynd.xlsx", "A 64456-2023")</f>
        <v/>
      </c>
      <c r="T125">
        <f>HYPERLINK("https://klasma.github.io/Logging_0188/kartor/A 64456-2023 karta.png", "A 64456-2023")</f>
        <v/>
      </c>
      <c r="V125">
        <f>HYPERLINK("https://klasma.github.io/Logging_0188/klagomål/A 64456-2023 FSC-klagomål.docx", "A 64456-2023")</f>
        <v/>
      </c>
      <c r="W125">
        <f>HYPERLINK("https://klasma.github.io/Logging_0188/klagomålsmail/A 64456-2023 FSC-klagomål mail.docx", "A 64456-2023")</f>
        <v/>
      </c>
      <c r="X125">
        <f>HYPERLINK("https://klasma.github.io/Logging_0188/tillsyn/A 64456-2023 tillsynsbegäran.docx", "A 64456-2023")</f>
        <v/>
      </c>
      <c r="Y125">
        <f>HYPERLINK("https://klasma.github.io/Logging_0188/tillsynsmail/A 64456-2023 tillsynsbegäran mail.docx", "A 64456-2023")</f>
        <v/>
      </c>
    </row>
    <row r="126" ht="15" customHeight="1">
      <c r="A126" t="inlineStr">
        <is>
          <t>A 6381-2023</t>
        </is>
      </c>
      <c r="B126" s="1" t="n">
        <v>44965</v>
      </c>
      <c r="C126" s="1" t="n">
        <v>46100</v>
      </c>
      <c r="D126" t="inlineStr">
        <is>
          <t>STOCKHOLMS LÄN</t>
        </is>
      </c>
      <c r="E126" t="inlineStr">
        <is>
          <t>NORRTÄLJE</t>
        </is>
      </c>
      <c r="G126" t="n">
        <v>3.5</v>
      </c>
      <c r="H126" t="n">
        <v>1</v>
      </c>
      <c r="I126" t="n">
        <v>1</v>
      </c>
      <c r="J126" t="n">
        <v>0</v>
      </c>
      <c r="K126" t="n">
        <v>0</v>
      </c>
      <c r="L126" t="n">
        <v>0</v>
      </c>
      <c r="M126" t="n">
        <v>0</v>
      </c>
      <c r="N126" t="n">
        <v>0</v>
      </c>
      <c r="O126" t="n">
        <v>0</v>
      </c>
      <c r="P126" t="n">
        <v>0</v>
      </c>
      <c r="Q126" t="n">
        <v>1</v>
      </c>
      <c r="R126" s="2" t="inlineStr">
        <is>
          <t>Guckusko</t>
        </is>
      </c>
      <c r="S126">
        <f>HYPERLINK("https://klasma.github.io/Logging_0188/artfynd/A 6381-2023 artfynd.xlsx", "A 6381-2023")</f>
        <v/>
      </c>
      <c r="T126">
        <f>HYPERLINK("https://klasma.github.io/Logging_0188/kartor/A 6381-2023 karta.png", "A 6381-2023")</f>
        <v/>
      </c>
      <c r="V126">
        <f>HYPERLINK("https://klasma.github.io/Logging_0188/klagomål/A 6381-2023 FSC-klagomål.docx", "A 6381-2023")</f>
        <v/>
      </c>
      <c r="W126">
        <f>HYPERLINK("https://klasma.github.io/Logging_0188/klagomålsmail/A 6381-2023 FSC-klagomål mail.docx", "A 6381-2023")</f>
        <v/>
      </c>
      <c r="X126">
        <f>HYPERLINK("https://klasma.github.io/Logging_0188/tillsyn/A 6381-2023 tillsynsbegäran.docx", "A 6381-2023")</f>
        <v/>
      </c>
      <c r="Y126">
        <f>HYPERLINK("https://klasma.github.io/Logging_0188/tillsynsmail/A 6381-2023 tillsynsbegäran mail.docx", "A 6381-2023")</f>
        <v/>
      </c>
    </row>
    <row r="127" ht="15" customHeight="1">
      <c r="A127" t="inlineStr">
        <is>
          <t>A 28816-2023</t>
        </is>
      </c>
      <c r="B127" s="1" t="n">
        <v>45104</v>
      </c>
      <c r="C127" s="1" t="n">
        <v>46100</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29946-2025</t>
        </is>
      </c>
      <c r="B128" s="1" t="n">
        <v>45826.46392361111</v>
      </c>
      <c r="C128" s="1" t="n">
        <v>46100</v>
      </c>
      <c r="D128" t="inlineStr">
        <is>
          <t>STOCKHOLMS LÄN</t>
        </is>
      </c>
      <c r="E128" t="inlineStr">
        <is>
          <t>NORRTÄLJE</t>
        </is>
      </c>
      <c r="F128" t="inlineStr">
        <is>
          <t>Holmen skog AB</t>
        </is>
      </c>
      <c r="G128" t="n">
        <v>3.6</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29946-2025 artfynd.xlsx", "A 29946-2025")</f>
        <v/>
      </c>
      <c r="T128">
        <f>HYPERLINK("https://klasma.github.io/Logging_0188/kartor/A 29946-2025 karta.png", "A 29946-2025")</f>
        <v/>
      </c>
      <c r="V128">
        <f>HYPERLINK("https://klasma.github.io/Logging_0188/klagomål/A 29946-2025 FSC-klagomål.docx", "A 29946-2025")</f>
        <v/>
      </c>
      <c r="W128">
        <f>HYPERLINK("https://klasma.github.io/Logging_0188/klagomålsmail/A 29946-2025 FSC-klagomål mail.docx", "A 29946-2025")</f>
        <v/>
      </c>
      <c r="X128">
        <f>HYPERLINK("https://klasma.github.io/Logging_0188/tillsyn/A 29946-2025 tillsynsbegäran.docx", "A 29946-2025")</f>
        <v/>
      </c>
      <c r="Y128">
        <f>HYPERLINK("https://klasma.github.io/Logging_0188/tillsynsmail/A 29946-2025 tillsynsbegäran mail.docx", "A 29946-2025")</f>
        <v/>
      </c>
    </row>
    <row r="129" ht="15" customHeight="1">
      <c r="A129" t="inlineStr">
        <is>
          <t>A 39158-2025</t>
        </is>
      </c>
      <c r="B129" s="1" t="n">
        <v>45888</v>
      </c>
      <c r="C129" s="1" t="n">
        <v>46100</v>
      </c>
      <c r="D129" t="inlineStr">
        <is>
          <t>STOCKHOLMS LÄN</t>
        </is>
      </c>
      <c r="E129" t="inlineStr">
        <is>
          <t>NORRTÄLJE</t>
        </is>
      </c>
      <c r="G129" t="n">
        <v>1.5</v>
      </c>
      <c r="H129" t="n">
        <v>1</v>
      </c>
      <c r="I129" t="n">
        <v>0</v>
      </c>
      <c r="J129" t="n">
        <v>0</v>
      </c>
      <c r="K129" t="n">
        <v>0</v>
      </c>
      <c r="L129" t="n">
        <v>0</v>
      </c>
      <c r="M129" t="n">
        <v>0</v>
      </c>
      <c r="N129" t="n">
        <v>0</v>
      </c>
      <c r="O129" t="n">
        <v>0</v>
      </c>
      <c r="P129" t="n">
        <v>0</v>
      </c>
      <c r="Q129" t="n">
        <v>1</v>
      </c>
      <c r="R129" s="2" t="inlineStr">
        <is>
          <t>Blåsippa</t>
        </is>
      </c>
      <c r="S129">
        <f>HYPERLINK("https://klasma.github.io/Logging_0188/artfynd/A 39158-2025 artfynd.xlsx", "A 39158-2025")</f>
        <v/>
      </c>
      <c r="T129">
        <f>HYPERLINK("https://klasma.github.io/Logging_0188/kartor/A 39158-2025 karta.png", "A 39158-2025")</f>
        <v/>
      </c>
      <c r="V129">
        <f>HYPERLINK("https://klasma.github.io/Logging_0188/klagomål/A 39158-2025 FSC-klagomål.docx", "A 39158-2025")</f>
        <v/>
      </c>
      <c r="W129">
        <f>HYPERLINK("https://klasma.github.io/Logging_0188/klagomålsmail/A 39158-2025 FSC-klagomål mail.docx", "A 39158-2025")</f>
        <v/>
      </c>
      <c r="X129">
        <f>HYPERLINK("https://klasma.github.io/Logging_0188/tillsyn/A 39158-2025 tillsynsbegäran.docx", "A 39158-2025")</f>
        <v/>
      </c>
      <c r="Y129">
        <f>HYPERLINK("https://klasma.github.io/Logging_0188/tillsynsmail/A 39158-2025 tillsynsbegäran mail.docx", "A 39158-2025")</f>
        <v/>
      </c>
    </row>
    <row r="130" ht="15" customHeight="1">
      <c r="A130" t="inlineStr">
        <is>
          <t>A 52775-2025</t>
        </is>
      </c>
      <c r="B130" s="1" t="n">
        <v>45957.41608796296</v>
      </c>
      <c r="C130" s="1" t="n">
        <v>46100</v>
      </c>
      <c r="D130" t="inlineStr">
        <is>
          <t>STOCKHOLMS LÄN</t>
        </is>
      </c>
      <c r="E130" t="inlineStr">
        <is>
          <t>NORRTÄLJE</t>
        </is>
      </c>
      <c r="F130" t="inlineStr">
        <is>
          <t>Sveaskog</t>
        </is>
      </c>
      <c r="G130" t="n">
        <v>5.6</v>
      </c>
      <c r="H130" t="n">
        <v>0</v>
      </c>
      <c r="I130" t="n">
        <v>0</v>
      </c>
      <c r="J130" t="n">
        <v>1</v>
      </c>
      <c r="K130" t="n">
        <v>0</v>
      </c>
      <c r="L130" t="n">
        <v>0</v>
      </c>
      <c r="M130" t="n">
        <v>0</v>
      </c>
      <c r="N130" t="n">
        <v>0</v>
      </c>
      <c r="O130" t="n">
        <v>1</v>
      </c>
      <c r="P130" t="n">
        <v>0</v>
      </c>
      <c r="Q130" t="n">
        <v>1</v>
      </c>
      <c r="R130" s="2" t="inlineStr">
        <is>
          <t>Vedtrappmossa</t>
        </is>
      </c>
      <c r="S130">
        <f>HYPERLINK("https://klasma.github.io/Logging_0188/artfynd/A 52775-2025 artfynd.xlsx", "A 52775-2025")</f>
        <v/>
      </c>
      <c r="T130">
        <f>HYPERLINK("https://klasma.github.io/Logging_0188/kartor/A 52775-2025 karta.png", "A 52775-2025")</f>
        <v/>
      </c>
      <c r="V130">
        <f>HYPERLINK("https://klasma.github.io/Logging_0188/klagomål/A 52775-2025 FSC-klagomål.docx", "A 52775-2025")</f>
        <v/>
      </c>
      <c r="W130">
        <f>HYPERLINK("https://klasma.github.io/Logging_0188/klagomålsmail/A 52775-2025 FSC-klagomål mail.docx", "A 52775-2025")</f>
        <v/>
      </c>
      <c r="X130">
        <f>HYPERLINK("https://klasma.github.io/Logging_0188/tillsyn/A 52775-2025 tillsynsbegäran.docx", "A 52775-2025")</f>
        <v/>
      </c>
      <c r="Y130">
        <f>HYPERLINK("https://klasma.github.io/Logging_0188/tillsynsmail/A 52775-2025 tillsynsbegäran mail.docx", "A 52775-2025")</f>
        <v/>
      </c>
    </row>
    <row r="131" ht="15" customHeight="1">
      <c r="A131" t="inlineStr">
        <is>
          <t>A 33546-2025</t>
        </is>
      </c>
      <c r="B131" s="1" t="n">
        <v>45841.56996527778</v>
      </c>
      <c r="C131" s="1" t="n">
        <v>46100</v>
      </c>
      <c r="D131" t="inlineStr">
        <is>
          <t>STOCKHOLMS LÄN</t>
        </is>
      </c>
      <c r="E131" t="inlineStr">
        <is>
          <t>NORRTÄLJE</t>
        </is>
      </c>
      <c r="G131" t="n">
        <v>7.2</v>
      </c>
      <c r="H131" t="n">
        <v>1</v>
      </c>
      <c r="I131" t="n">
        <v>1</v>
      </c>
      <c r="J131" t="n">
        <v>0</v>
      </c>
      <c r="K131" t="n">
        <v>0</v>
      </c>
      <c r="L131" t="n">
        <v>0</v>
      </c>
      <c r="M131" t="n">
        <v>0</v>
      </c>
      <c r="N131" t="n">
        <v>0</v>
      </c>
      <c r="O131" t="n">
        <v>0</v>
      </c>
      <c r="P131" t="n">
        <v>0</v>
      </c>
      <c r="Q131" t="n">
        <v>1</v>
      </c>
      <c r="R131" s="2" t="inlineStr">
        <is>
          <t>Nästrot</t>
        </is>
      </c>
      <c r="S131">
        <f>HYPERLINK("https://klasma.github.io/Logging_0188/artfynd/A 33546-2025 artfynd.xlsx", "A 33546-2025")</f>
        <v/>
      </c>
      <c r="T131">
        <f>HYPERLINK("https://klasma.github.io/Logging_0188/kartor/A 33546-2025 karta.png", "A 33546-2025")</f>
        <v/>
      </c>
      <c r="V131">
        <f>HYPERLINK("https://klasma.github.io/Logging_0188/klagomål/A 33546-2025 FSC-klagomål.docx", "A 33546-2025")</f>
        <v/>
      </c>
      <c r="W131">
        <f>HYPERLINK("https://klasma.github.io/Logging_0188/klagomålsmail/A 33546-2025 FSC-klagomål mail.docx", "A 33546-2025")</f>
        <v/>
      </c>
      <c r="X131">
        <f>HYPERLINK("https://klasma.github.io/Logging_0188/tillsyn/A 33546-2025 tillsynsbegäran.docx", "A 33546-2025")</f>
        <v/>
      </c>
      <c r="Y131">
        <f>HYPERLINK("https://klasma.github.io/Logging_0188/tillsynsmail/A 33546-2025 tillsynsbegäran mail.docx", "A 33546-2025")</f>
        <v/>
      </c>
    </row>
    <row r="132" ht="15" customHeight="1">
      <c r="A132" t="inlineStr">
        <is>
          <t>A 53716-2025</t>
        </is>
      </c>
      <c r="B132" s="1" t="n">
        <v>45960.61782407408</v>
      </c>
      <c r="C132" s="1" t="n">
        <v>46100</v>
      </c>
      <c r="D132" t="inlineStr">
        <is>
          <t>STOCKHOLMS LÄN</t>
        </is>
      </c>
      <c r="E132" t="inlineStr">
        <is>
          <t>NORRTÄLJE</t>
        </is>
      </c>
      <c r="G132" t="n">
        <v>3.4</v>
      </c>
      <c r="H132" t="n">
        <v>0</v>
      </c>
      <c r="I132" t="n">
        <v>0</v>
      </c>
      <c r="J132" t="n">
        <v>0</v>
      </c>
      <c r="K132" t="n">
        <v>0</v>
      </c>
      <c r="L132" t="n">
        <v>1</v>
      </c>
      <c r="M132" t="n">
        <v>0</v>
      </c>
      <c r="N132" t="n">
        <v>0</v>
      </c>
      <c r="O132" t="n">
        <v>1</v>
      </c>
      <c r="P132" t="n">
        <v>1</v>
      </c>
      <c r="Q132" t="n">
        <v>1</v>
      </c>
      <c r="R132" s="2" t="inlineStr">
        <is>
          <t>Fältgentiana</t>
        </is>
      </c>
      <c r="S132">
        <f>HYPERLINK("https://klasma.github.io/Logging_0188/artfynd/A 53716-2025 artfynd.xlsx", "A 53716-2025")</f>
        <v/>
      </c>
      <c r="T132">
        <f>HYPERLINK("https://klasma.github.io/Logging_0188/kartor/A 53716-2025 karta.png", "A 53716-2025")</f>
        <v/>
      </c>
      <c r="V132">
        <f>HYPERLINK("https://klasma.github.io/Logging_0188/klagomål/A 53716-2025 FSC-klagomål.docx", "A 53716-2025")</f>
        <v/>
      </c>
      <c r="W132">
        <f>HYPERLINK("https://klasma.github.io/Logging_0188/klagomålsmail/A 53716-2025 FSC-klagomål mail.docx", "A 53716-2025")</f>
        <v/>
      </c>
      <c r="X132">
        <f>HYPERLINK("https://klasma.github.io/Logging_0188/tillsyn/A 53716-2025 tillsynsbegäran.docx", "A 53716-2025")</f>
        <v/>
      </c>
      <c r="Y132">
        <f>HYPERLINK("https://klasma.github.io/Logging_0188/tillsynsmail/A 53716-2025 tillsynsbegäran mail.docx", "A 53716-2025")</f>
        <v/>
      </c>
    </row>
    <row r="133" ht="15" customHeight="1">
      <c r="A133" t="inlineStr">
        <is>
          <t>A 52508-2023</t>
        </is>
      </c>
      <c r="B133" s="1" t="n">
        <v>45225</v>
      </c>
      <c r="C133" s="1" t="n">
        <v>46100</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16870-2025</t>
        </is>
      </c>
      <c r="B134" s="1" t="n">
        <v>45754</v>
      </c>
      <c r="C134" s="1" t="n">
        <v>46100</v>
      </c>
      <c r="D134" t="inlineStr">
        <is>
          <t>STOCKHOLMS LÄN</t>
        </is>
      </c>
      <c r="E134" t="inlineStr">
        <is>
          <t>NORRTÄLJE</t>
        </is>
      </c>
      <c r="G134" t="n">
        <v>24.6</v>
      </c>
      <c r="H134" t="n">
        <v>1</v>
      </c>
      <c r="I134" t="n">
        <v>0</v>
      </c>
      <c r="J134" t="n">
        <v>0</v>
      </c>
      <c r="K134" t="n">
        <v>0</v>
      </c>
      <c r="L134" t="n">
        <v>0</v>
      </c>
      <c r="M134" t="n">
        <v>0</v>
      </c>
      <c r="N134" t="n">
        <v>0</v>
      </c>
      <c r="O134" t="n">
        <v>0</v>
      </c>
      <c r="P134" t="n">
        <v>0</v>
      </c>
      <c r="Q134" t="n">
        <v>1</v>
      </c>
      <c r="R134" s="2" t="inlineStr">
        <is>
          <t>Vanlig groda</t>
        </is>
      </c>
      <c r="S134">
        <f>HYPERLINK("https://klasma.github.io/Logging_0188/artfynd/A 16870-2025 artfynd.xlsx", "A 16870-2025")</f>
        <v/>
      </c>
      <c r="T134">
        <f>HYPERLINK("https://klasma.github.io/Logging_0188/kartor/A 16870-2025 karta.png", "A 16870-2025")</f>
        <v/>
      </c>
      <c r="V134">
        <f>HYPERLINK("https://klasma.github.io/Logging_0188/klagomål/A 16870-2025 FSC-klagomål.docx", "A 16870-2025")</f>
        <v/>
      </c>
      <c r="W134">
        <f>HYPERLINK("https://klasma.github.io/Logging_0188/klagomålsmail/A 16870-2025 FSC-klagomål mail.docx", "A 16870-2025")</f>
        <v/>
      </c>
      <c r="X134">
        <f>HYPERLINK("https://klasma.github.io/Logging_0188/tillsyn/A 16870-2025 tillsynsbegäran.docx", "A 16870-2025")</f>
        <v/>
      </c>
      <c r="Y134">
        <f>HYPERLINK("https://klasma.github.io/Logging_0188/tillsynsmail/A 16870-2025 tillsynsbegäran mail.docx", "A 16870-2025")</f>
        <v/>
      </c>
    </row>
    <row r="135" ht="15" customHeight="1">
      <c r="A135" t="inlineStr">
        <is>
          <t>A 8371-2025</t>
        </is>
      </c>
      <c r="B135" s="1" t="n">
        <v>45708</v>
      </c>
      <c r="C135" s="1" t="n">
        <v>46100</v>
      </c>
      <c r="D135" t="inlineStr">
        <is>
          <t>STOCKHOLMS LÄN</t>
        </is>
      </c>
      <c r="E135" t="inlineStr">
        <is>
          <t>NORRTÄLJE</t>
        </is>
      </c>
      <c r="F135" t="inlineStr">
        <is>
          <t>Övriga Aktiebolag</t>
        </is>
      </c>
      <c r="G135" t="n">
        <v>2.9</v>
      </c>
      <c r="H135" t="n">
        <v>1</v>
      </c>
      <c r="I135" t="n">
        <v>0</v>
      </c>
      <c r="J135" t="n">
        <v>1</v>
      </c>
      <c r="K135" t="n">
        <v>0</v>
      </c>
      <c r="L135" t="n">
        <v>0</v>
      </c>
      <c r="M135" t="n">
        <v>0</v>
      </c>
      <c r="N135" t="n">
        <v>0</v>
      </c>
      <c r="O135" t="n">
        <v>1</v>
      </c>
      <c r="P135" t="n">
        <v>0</v>
      </c>
      <c r="Q135" t="n">
        <v>1</v>
      </c>
      <c r="R135" s="2" t="inlineStr">
        <is>
          <t>Spillkråka</t>
        </is>
      </c>
      <c r="S135">
        <f>HYPERLINK("https://klasma.github.io/Logging_0188/artfynd/A 8371-2025 artfynd.xlsx", "A 8371-2025")</f>
        <v/>
      </c>
      <c r="T135">
        <f>HYPERLINK("https://klasma.github.io/Logging_0188/kartor/A 8371-2025 karta.png", "A 8371-2025")</f>
        <v/>
      </c>
      <c r="V135">
        <f>HYPERLINK("https://klasma.github.io/Logging_0188/klagomål/A 8371-2025 FSC-klagomål.docx", "A 8371-2025")</f>
        <v/>
      </c>
      <c r="W135">
        <f>HYPERLINK("https://klasma.github.io/Logging_0188/klagomålsmail/A 8371-2025 FSC-klagomål mail.docx", "A 8371-2025")</f>
        <v/>
      </c>
      <c r="X135">
        <f>HYPERLINK("https://klasma.github.io/Logging_0188/tillsyn/A 8371-2025 tillsynsbegäran.docx", "A 8371-2025")</f>
        <v/>
      </c>
      <c r="Y135">
        <f>HYPERLINK("https://klasma.github.io/Logging_0188/tillsynsmail/A 8371-2025 tillsynsbegäran mail.docx", "A 8371-2025")</f>
        <v/>
      </c>
      <c r="Z135">
        <f>HYPERLINK("https://klasma.github.io/Logging_0188/fåglar/A 8371-2025 prioriterade fågelarter.docx", "A 8371-2025")</f>
        <v/>
      </c>
    </row>
    <row r="136" ht="15" customHeight="1">
      <c r="A136" t="inlineStr">
        <is>
          <t>A 59682-2025</t>
        </is>
      </c>
      <c r="B136" s="1" t="n">
        <v>45992.47116898148</v>
      </c>
      <c r="C136" s="1" t="n">
        <v>46100</v>
      </c>
      <c r="D136" t="inlineStr">
        <is>
          <t>STOCKHOLMS LÄN</t>
        </is>
      </c>
      <c r="E136" t="inlineStr">
        <is>
          <t>NORRTÄLJE</t>
        </is>
      </c>
      <c r="G136" t="n">
        <v>1.6</v>
      </c>
      <c r="H136" t="n">
        <v>0</v>
      </c>
      <c r="I136" t="n">
        <v>1</v>
      </c>
      <c r="J136" t="n">
        <v>0</v>
      </c>
      <c r="K136" t="n">
        <v>0</v>
      </c>
      <c r="L136" t="n">
        <v>0</v>
      </c>
      <c r="M136" t="n">
        <v>0</v>
      </c>
      <c r="N136" t="n">
        <v>0</v>
      </c>
      <c r="O136" t="n">
        <v>0</v>
      </c>
      <c r="P136" t="n">
        <v>0</v>
      </c>
      <c r="Q136" t="n">
        <v>1</v>
      </c>
      <c r="R136" s="2" t="inlineStr">
        <is>
          <t>Grönpyrola</t>
        </is>
      </c>
      <c r="S136">
        <f>HYPERLINK("https://klasma.github.io/Logging_0188/artfynd/A 59682-2025 artfynd.xlsx", "A 59682-2025")</f>
        <v/>
      </c>
      <c r="T136">
        <f>HYPERLINK("https://klasma.github.io/Logging_0188/kartor/A 59682-2025 karta.png", "A 59682-2025")</f>
        <v/>
      </c>
      <c r="V136">
        <f>HYPERLINK("https://klasma.github.io/Logging_0188/klagomål/A 59682-2025 FSC-klagomål.docx", "A 59682-2025")</f>
        <v/>
      </c>
      <c r="W136">
        <f>HYPERLINK("https://klasma.github.io/Logging_0188/klagomålsmail/A 59682-2025 FSC-klagomål mail.docx", "A 59682-2025")</f>
        <v/>
      </c>
      <c r="X136">
        <f>HYPERLINK("https://klasma.github.io/Logging_0188/tillsyn/A 59682-2025 tillsynsbegäran.docx", "A 59682-2025")</f>
        <v/>
      </c>
      <c r="Y136">
        <f>HYPERLINK("https://klasma.github.io/Logging_0188/tillsynsmail/A 59682-2025 tillsynsbegäran mail.docx", "A 59682-2025")</f>
        <v/>
      </c>
    </row>
    <row r="137" ht="15" customHeight="1">
      <c r="A137" t="inlineStr">
        <is>
          <t>A 27827-2022</t>
        </is>
      </c>
      <c r="B137" s="1" t="n">
        <v>44743.59504629629</v>
      </c>
      <c r="C137" s="1" t="n">
        <v>46100</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62715-2025</t>
        </is>
      </c>
      <c r="B138" s="1" t="n">
        <v>46008.52034722222</v>
      </c>
      <c r="C138" s="1" t="n">
        <v>46100</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46100</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7734-2026</t>
        </is>
      </c>
      <c r="B140" s="1" t="n">
        <v>46062.52902777777</v>
      </c>
      <c r="C140" s="1" t="n">
        <v>46100</v>
      </c>
      <c r="D140" t="inlineStr">
        <is>
          <t>STOCKHOLMS LÄN</t>
        </is>
      </c>
      <c r="E140" t="inlineStr">
        <is>
          <t>NORRTÄLJE</t>
        </is>
      </c>
      <c r="G140" t="n">
        <v>6.6</v>
      </c>
      <c r="H140" t="n">
        <v>0</v>
      </c>
      <c r="I140" t="n">
        <v>1</v>
      </c>
      <c r="J140" t="n">
        <v>0</v>
      </c>
      <c r="K140" t="n">
        <v>0</v>
      </c>
      <c r="L140" t="n">
        <v>0</v>
      </c>
      <c r="M140" t="n">
        <v>0</v>
      </c>
      <c r="N140" t="n">
        <v>0</v>
      </c>
      <c r="O140" t="n">
        <v>0</v>
      </c>
      <c r="P140" t="n">
        <v>0</v>
      </c>
      <c r="Q140" t="n">
        <v>1</v>
      </c>
      <c r="R140" s="2" t="inlineStr">
        <is>
          <t>Kastanjefjällskivling</t>
        </is>
      </c>
      <c r="S140">
        <f>HYPERLINK("https://klasma.github.io/Logging_0188/artfynd/A 7734-2026 artfynd.xlsx", "A 7734-2026")</f>
        <v/>
      </c>
      <c r="T140">
        <f>HYPERLINK("https://klasma.github.io/Logging_0188/kartor/A 7734-2026 karta.png", "A 7734-2026")</f>
        <v/>
      </c>
      <c r="V140">
        <f>HYPERLINK("https://klasma.github.io/Logging_0188/klagomål/A 7734-2026 FSC-klagomål.docx", "A 7734-2026")</f>
        <v/>
      </c>
      <c r="W140">
        <f>HYPERLINK("https://klasma.github.io/Logging_0188/klagomålsmail/A 7734-2026 FSC-klagomål mail.docx", "A 7734-2026")</f>
        <v/>
      </c>
      <c r="X140">
        <f>HYPERLINK("https://klasma.github.io/Logging_0188/tillsyn/A 7734-2026 tillsynsbegäran.docx", "A 7734-2026")</f>
        <v/>
      </c>
      <c r="Y140">
        <f>HYPERLINK("https://klasma.github.io/Logging_0188/tillsynsmail/A 7734-2026 tillsynsbegäran mail.docx", "A 7734-2026")</f>
        <v/>
      </c>
    </row>
    <row r="141" ht="15" customHeight="1">
      <c r="A141" t="inlineStr">
        <is>
          <t>A 364-2026</t>
        </is>
      </c>
      <c r="B141" s="1" t="n">
        <v>46027.67134259259</v>
      </c>
      <c r="C141" s="1" t="n">
        <v>46100</v>
      </c>
      <c r="D141" t="inlineStr">
        <is>
          <t>STOCKHOLMS LÄN</t>
        </is>
      </c>
      <c r="E141" t="inlineStr">
        <is>
          <t>NORRTÄLJE</t>
        </is>
      </c>
      <c r="F141" t="inlineStr">
        <is>
          <t>Holmen skog AB</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364-2026 artfynd.xlsx", "A 364-2026")</f>
        <v/>
      </c>
      <c r="T141">
        <f>HYPERLINK("https://klasma.github.io/Logging_0188/kartor/A 364-2026 karta.png", "A 364-2026")</f>
        <v/>
      </c>
      <c r="V141">
        <f>HYPERLINK("https://klasma.github.io/Logging_0188/klagomål/A 364-2026 FSC-klagomål.docx", "A 364-2026")</f>
        <v/>
      </c>
      <c r="W141">
        <f>HYPERLINK("https://klasma.github.io/Logging_0188/klagomålsmail/A 364-2026 FSC-klagomål mail.docx", "A 364-2026")</f>
        <v/>
      </c>
      <c r="X141">
        <f>HYPERLINK("https://klasma.github.io/Logging_0188/tillsyn/A 364-2026 tillsynsbegäran.docx", "A 364-2026")</f>
        <v/>
      </c>
      <c r="Y141">
        <f>HYPERLINK("https://klasma.github.io/Logging_0188/tillsynsmail/A 364-2026 tillsynsbegäran mail.docx", "A 364-2026")</f>
        <v/>
      </c>
    </row>
    <row r="142" ht="15" customHeight="1">
      <c r="A142" t="inlineStr">
        <is>
          <t>A 18580-2021</t>
        </is>
      </c>
      <c r="B142" s="1" t="n">
        <v>44306</v>
      </c>
      <c r="C142" s="1" t="n">
        <v>46100</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46100</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46100</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46100</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46100</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46100</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46100</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46100</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46100</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46100</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46100</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46100</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46100</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74468-2021</t>
        </is>
      </c>
      <c r="B155" s="1" t="n">
        <v>44560</v>
      </c>
      <c r="C155" s="1" t="n">
        <v>46100</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46100</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46100</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54272-2021</t>
        </is>
      </c>
      <c r="B158" s="1" t="n">
        <v>44470.72148148148</v>
      </c>
      <c r="C158" s="1" t="n">
        <v>46100</v>
      </c>
      <c r="D158" t="inlineStr">
        <is>
          <t>STOCKHOLMS LÄN</t>
        </is>
      </c>
      <c r="E158" t="inlineStr">
        <is>
          <t>NORRTÄLJE</t>
        </is>
      </c>
      <c r="G158" t="n">
        <v>5.8</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46100</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46100</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46100</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46100</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46100</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46100</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46100</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46100</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46100</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46100</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46100</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46100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46100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46100</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46100</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46100</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12816-2022</t>
        </is>
      </c>
      <c r="B175" s="1" t="n">
        <v>44642</v>
      </c>
      <c r="C175" s="1" t="n">
        <v>46100</v>
      </c>
      <c r="D175" t="inlineStr">
        <is>
          <t>STOCKHOLMS LÄN</t>
        </is>
      </c>
      <c r="E175" t="inlineStr">
        <is>
          <t>NORRTÄLJE</t>
        </is>
      </c>
      <c r="G175" t="n">
        <v>4.4</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46100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46100</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46100</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46100</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46100</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46100</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46100</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46100</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46100</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46100</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46100</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46100</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46100</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46100</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46100</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46100</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46100</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46100</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46100</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46100</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46100</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46100</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46100</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46100</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46100</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46100</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46100</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46100</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46100</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46100</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46100</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46100</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46100</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46100</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46100</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46100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46100</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46100</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46100</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46100</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46100</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46100</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46100</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46100</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46100</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46100</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46100</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14543-2022</t>
        </is>
      </c>
      <c r="B226" s="1" t="n">
        <v>44655.45373842592</v>
      </c>
      <c r="C226" s="1" t="n">
        <v>46100</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27217-2021</t>
        </is>
      </c>
      <c r="B227" s="1" t="n">
        <v>44350</v>
      </c>
      <c r="C227" s="1" t="n">
        <v>46100</v>
      </c>
      <c r="D227" t="inlineStr">
        <is>
          <t>STOCKHOLMS LÄN</t>
        </is>
      </c>
      <c r="E227" t="inlineStr">
        <is>
          <t>NORRTÄLJE</t>
        </is>
      </c>
      <c r="G227" t="n">
        <v>5.5</v>
      </c>
      <c r="H227" t="n">
        <v>0</v>
      </c>
      <c r="I227" t="n">
        <v>0</v>
      </c>
      <c r="J227" t="n">
        <v>0</v>
      </c>
      <c r="K227" t="n">
        <v>0</v>
      </c>
      <c r="L227" t="n">
        <v>0</v>
      </c>
      <c r="M227" t="n">
        <v>0</v>
      </c>
      <c r="N227" t="n">
        <v>0</v>
      </c>
      <c r="O227" t="n">
        <v>0</v>
      </c>
      <c r="P227" t="n">
        <v>0</v>
      </c>
      <c r="Q227" t="n">
        <v>0</v>
      </c>
      <c r="R227" s="2" t="inlineStr"/>
    </row>
    <row r="228" ht="15" customHeight="1">
      <c r="A228" t="inlineStr">
        <is>
          <t>A 62030-2021</t>
        </is>
      </c>
      <c r="B228" s="1" t="n">
        <v>44502</v>
      </c>
      <c r="C228" s="1" t="n">
        <v>46100</v>
      </c>
      <c r="D228" t="inlineStr">
        <is>
          <t>STOCKHOLMS LÄN</t>
        </is>
      </c>
      <c r="E228" t="inlineStr">
        <is>
          <t>NORRTÄLJE</t>
        </is>
      </c>
      <c r="G228" t="n">
        <v>4.7</v>
      </c>
      <c r="H228" t="n">
        <v>0</v>
      </c>
      <c r="I228" t="n">
        <v>0</v>
      </c>
      <c r="J228" t="n">
        <v>0</v>
      </c>
      <c r="K228" t="n">
        <v>0</v>
      </c>
      <c r="L228" t="n">
        <v>0</v>
      </c>
      <c r="M228" t="n">
        <v>0</v>
      </c>
      <c r="N228" t="n">
        <v>0</v>
      </c>
      <c r="O228" t="n">
        <v>0</v>
      </c>
      <c r="P228" t="n">
        <v>0</v>
      </c>
      <c r="Q228" t="n">
        <v>0</v>
      </c>
      <c r="R228" s="2" t="inlineStr"/>
    </row>
    <row r="229" ht="15" customHeight="1">
      <c r="A229" t="inlineStr">
        <is>
          <t>A 12875-2022</t>
        </is>
      </c>
      <c r="B229" s="1" t="n">
        <v>44642.55565972222</v>
      </c>
      <c r="C229" s="1" t="n">
        <v>46100</v>
      </c>
      <c r="D229" t="inlineStr">
        <is>
          <t>STOCKHOLMS LÄN</t>
        </is>
      </c>
      <c r="E229" t="inlineStr">
        <is>
          <t>NORRTÄLJE</t>
        </is>
      </c>
      <c r="G229" t="n">
        <v>1.6</v>
      </c>
      <c r="H229" t="n">
        <v>0</v>
      </c>
      <c r="I229" t="n">
        <v>0</v>
      </c>
      <c r="J229" t="n">
        <v>0</v>
      </c>
      <c r="K229" t="n">
        <v>0</v>
      </c>
      <c r="L229" t="n">
        <v>0</v>
      </c>
      <c r="M229" t="n">
        <v>0</v>
      </c>
      <c r="N229" t="n">
        <v>0</v>
      </c>
      <c r="O229" t="n">
        <v>0</v>
      </c>
      <c r="P229" t="n">
        <v>0</v>
      </c>
      <c r="Q229" t="n">
        <v>0</v>
      </c>
      <c r="R229" s="2" t="inlineStr"/>
    </row>
    <row r="230" ht="15" customHeight="1">
      <c r="A230" t="inlineStr">
        <is>
          <t>A 16117-2022</t>
        </is>
      </c>
      <c r="B230" s="1" t="n">
        <v>44665.65474537037</v>
      </c>
      <c r="C230" s="1" t="n">
        <v>46100</v>
      </c>
      <c r="D230" t="inlineStr">
        <is>
          <t>STOCKHOLMS LÄN</t>
        </is>
      </c>
      <c r="E230" t="inlineStr">
        <is>
          <t>NORRTÄLJE</t>
        </is>
      </c>
      <c r="G230" t="n">
        <v>8.1</v>
      </c>
      <c r="H230" t="n">
        <v>0</v>
      </c>
      <c r="I230" t="n">
        <v>0</v>
      </c>
      <c r="J230" t="n">
        <v>0</v>
      </c>
      <c r="K230" t="n">
        <v>0</v>
      </c>
      <c r="L230" t="n">
        <v>0</v>
      </c>
      <c r="M230" t="n">
        <v>0</v>
      </c>
      <c r="N230" t="n">
        <v>0</v>
      </c>
      <c r="O230" t="n">
        <v>0</v>
      </c>
      <c r="P230" t="n">
        <v>0</v>
      </c>
      <c r="Q230" t="n">
        <v>0</v>
      </c>
      <c r="R230" s="2" t="inlineStr"/>
    </row>
    <row r="231" ht="15" customHeight="1">
      <c r="A231" t="inlineStr">
        <is>
          <t>A 16132-2022</t>
        </is>
      </c>
      <c r="B231" s="1" t="n">
        <v>44665.78351851852</v>
      </c>
      <c r="C231" s="1" t="n">
        <v>46100</v>
      </c>
      <c r="D231" t="inlineStr">
        <is>
          <t>STOCKHOLMS LÄN</t>
        </is>
      </c>
      <c r="E231" t="inlineStr">
        <is>
          <t>NORRTÄLJE</t>
        </is>
      </c>
      <c r="G231" t="n">
        <v>4.4</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46100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46100</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46100</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70170-2021</t>
        </is>
      </c>
      <c r="B235" s="1" t="n">
        <v>44533</v>
      </c>
      <c r="C235" s="1" t="n">
        <v>46100</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5513-2022</t>
        </is>
      </c>
      <c r="B236" s="1" t="n">
        <v>44595</v>
      </c>
      <c r="C236" s="1" t="n">
        <v>46100</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25463-2021</t>
        </is>
      </c>
      <c r="B237" s="1" t="n">
        <v>44342</v>
      </c>
      <c r="C237" s="1" t="n">
        <v>46100</v>
      </c>
      <c r="D237" t="inlineStr">
        <is>
          <t>STOCKHOLMS LÄN</t>
        </is>
      </c>
      <c r="E237" t="inlineStr">
        <is>
          <t>NORRTÄLJE</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23453-2021</t>
        </is>
      </c>
      <c r="B238" s="1" t="n">
        <v>44333</v>
      </c>
      <c r="C238" s="1" t="n">
        <v>46100</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46100</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21102-2022</t>
        </is>
      </c>
      <c r="B240" s="1" t="n">
        <v>44704</v>
      </c>
      <c r="C240" s="1" t="n">
        <v>46100</v>
      </c>
      <c r="D240" t="inlineStr">
        <is>
          <t>STOCKHOLMS LÄN</t>
        </is>
      </c>
      <c r="E240" t="inlineStr">
        <is>
          <t>NORRTÄLJE</t>
        </is>
      </c>
      <c r="G240" t="n">
        <v>0.2</v>
      </c>
      <c r="H240" t="n">
        <v>0</v>
      </c>
      <c r="I240" t="n">
        <v>0</v>
      </c>
      <c r="J240" t="n">
        <v>0</v>
      </c>
      <c r="K240" t="n">
        <v>0</v>
      </c>
      <c r="L240" t="n">
        <v>0</v>
      </c>
      <c r="M240" t="n">
        <v>0</v>
      </c>
      <c r="N240" t="n">
        <v>0</v>
      </c>
      <c r="O240" t="n">
        <v>0</v>
      </c>
      <c r="P240" t="n">
        <v>0</v>
      </c>
      <c r="Q240" t="n">
        <v>0</v>
      </c>
      <c r="R240" s="2" t="inlineStr"/>
    </row>
    <row r="241" ht="15" customHeight="1">
      <c r="A241" t="inlineStr">
        <is>
          <t>A 71880-2021</t>
        </is>
      </c>
      <c r="B241" s="1" t="n">
        <v>44543</v>
      </c>
      <c r="C241" s="1" t="n">
        <v>46100</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28042-2022</t>
        </is>
      </c>
      <c r="B242" s="1" t="n">
        <v>44744</v>
      </c>
      <c r="C242" s="1" t="n">
        <v>46100</v>
      </c>
      <c r="D242" t="inlineStr">
        <is>
          <t>STOCKHOLMS LÄN</t>
        </is>
      </c>
      <c r="E242" t="inlineStr">
        <is>
          <t>NORRTÄLJE</t>
        </is>
      </c>
      <c r="G242" t="n">
        <v>0.2</v>
      </c>
      <c r="H242" t="n">
        <v>0</v>
      </c>
      <c r="I242" t="n">
        <v>0</v>
      </c>
      <c r="J242" t="n">
        <v>0</v>
      </c>
      <c r="K242" t="n">
        <v>0</v>
      </c>
      <c r="L242" t="n">
        <v>0</v>
      </c>
      <c r="M242" t="n">
        <v>0</v>
      </c>
      <c r="N242" t="n">
        <v>0</v>
      </c>
      <c r="O242" t="n">
        <v>0</v>
      </c>
      <c r="P242" t="n">
        <v>0</v>
      </c>
      <c r="Q242" t="n">
        <v>0</v>
      </c>
      <c r="R242" s="2" t="inlineStr"/>
    </row>
    <row r="243" ht="15" customHeight="1">
      <c r="A243" t="inlineStr">
        <is>
          <t>A 17772-2022</t>
        </is>
      </c>
      <c r="B243" s="1" t="n">
        <v>44682.76528935185</v>
      </c>
      <c r="C243" s="1" t="n">
        <v>46100</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67285-2021</t>
        </is>
      </c>
      <c r="B244" s="1" t="n">
        <v>44523.61635416667</v>
      </c>
      <c r="C244" s="1" t="n">
        <v>46100</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5611-2022</t>
        </is>
      </c>
      <c r="B245" s="1" t="n">
        <v>44595</v>
      </c>
      <c r="C245" s="1" t="n">
        <v>46100</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32055-2021</t>
        </is>
      </c>
      <c r="B246" s="1" t="n">
        <v>44370.72197916666</v>
      </c>
      <c r="C246" s="1" t="n">
        <v>46100</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24101-2022</t>
        </is>
      </c>
      <c r="B247" s="1" t="n">
        <v>44725</v>
      </c>
      <c r="C247" s="1" t="n">
        <v>46100</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52449-2021</t>
        </is>
      </c>
      <c r="B248" s="1" t="n">
        <v>44466.37496527778</v>
      </c>
      <c r="C248" s="1" t="n">
        <v>46100</v>
      </c>
      <c r="D248" t="inlineStr">
        <is>
          <t>STOCKHOLMS LÄN</t>
        </is>
      </c>
      <c r="E248" t="inlineStr">
        <is>
          <t>NORRTÄLJE</t>
        </is>
      </c>
      <c r="F248" t="inlineStr">
        <is>
          <t>Holmen skog AB</t>
        </is>
      </c>
      <c r="G248" t="n">
        <v>1.8</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46100</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46100</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46100</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33046-2021</t>
        </is>
      </c>
      <c r="B252" s="1" t="n">
        <v>44376</v>
      </c>
      <c r="C252" s="1" t="n">
        <v>46100</v>
      </c>
      <c r="D252" t="inlineStr">
        <is>
          <t>STOCKHOLMS LÄN</t>
        </is>
      </c>
      <c r="E252" t="inlineStr">
        <is>
          <t>NORRTÄLJE</t>
        </is>
      </c>
      <c r="G252" t="n">
        <v>2.1</v>
      </c>
      <c r="H252" t="n">
        <v>0</v>
      </c>
      <c r="I252" t="n">
        <v>0</v>
      </c>
      <c r="J252" t="n">
        <v>0</v>
      </c>
      <c r="K252" t="n">
        <v>0</v>
      </c>
      <c r="L252" t="n">
        <v>0</v>
      </c>
      <c r="M252" t="n">
        <v>0</v>
      </c>
      <c r="N252" t="n">
        <v>0</v>
      </c>
      <c r="O252" t="n">
        <v>0</v>
      </c>
      <c r="P252" t="n">
        <v>0</v>
      </c>
      <c r="Q252" t="n">
        <v>0</v>
      </c>
      <c r="R252" s="2" t="inlineStr"/>
    </row>
    <row r="253" ht="15" customHeight="1">
      <c r="A253" t="inlineStr">
        <is>
          <t>A 38721-2022</t>
        </is>
      </c>
      <c r="B253" s="1" t="n">
        <v>44815</v>
      </c>
      <c r="C253" s="1" t="n">
        <v>46100</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46100</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60184-2021</t>
        </is>
      </c>
      <c r="B255" s="1" t="n">
        <v>44495</v>
      </c>
      <c r="C255" s="1" t="n">
        <v>46100</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26328-2022</t>
        </is>
      </c>
      <c r="B256" s="1" t="n">
        <v>44735</v>
      </c>
      <c r="C256" s="1" t="n">
        <v>46100</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12355-2022</t>
        </is>
      </c>
      <c r="B257" s="1" t="n">
        <v>44637</v>
      </c>
      <c r="C257" s="1" t="n">
        <v>46100</v>
      </c>
      <c r="D257" t="inlineStr">
        <is>
          <t>STOCKHOLMS LÄN</t>
        </is>
      </c>
      <c r="E257" t="inlineStr">
        <is>
          <t>NORRTÄLJE</t>
        </is>
      </c>
      <c r="G257" t="n">
        <v>10.4</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46100</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27828-2022</t>
        </is>
      </c>
      <c r="B259" s="1" t="n">
        <v>44743.59765046297</v>
      </c>
      <c r="C259" s="1" t="n">
        <v>46100</v>
      </c>
      <c r="D259" t="inlineStr">
        <is>
          <t>STOCKHOLMS LÄN</t>
        </is>
      </c>
      <c r="E259" t="inlineStr">
        <is>
          <t>NORRTÄLJE</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16229-2022</t>
        </is>
      </c>
      <c r="B260" s="1" t="n">
        <v>44670.4190162037</v>
      </c>
      <c r="C260" s="1" t="n">
        <v>46100</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46100</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15441-2021</t>
        </is>
      </c>
      <c r="B262" s="1" t="n">
        <v>44284</v>
      </c>
      <c r="C262" s="1" t="n">
        <v>46100</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33226-2024</t>
        </is>
      </c>
      <c r="B263" s="1" t="n">
        <v>45518</v>
      </c>
      <c r="C263" s="1" t="n">
        <v>46100</v>
      </c>
      <c r="D263" t="inlineStr">
        <is>
          <t>STOCKHOLMS LÄN</t>
        </is>
      </c>
      <c r="E263" t="inlineStr">
        <is>
          <t>NORRTÄLJE</t>
        </is>
      </c>
      <c r="G263" t="n">
        <v>13.8</v>
      </c>
      <c r="H263" t="n">
        <v>0</v>
      </c>
      <c r="I263" t="n">
        <v>0</v>
      </c>
      <c r="J263" t="n">
        <v>0</v>
      </c>
      <c r="K263" t="n">
        <v>0</v>
      </c>
      <c r="L263" t="n">
        <v>0</v>
      </c>
      <c r="M263" t="n">
        <v>0</v>
      </c>
      <c r="N263" t="n">
        <v>0</v>
      </c>
      <c r="O263" t="n">
        <v>0</v>
      </c>
      <c r="P263" t="n">
        <v>0</v>
      </c>
      <c r="Q263" t="n">
        <v>0</v>
      </c>
      <c r="R263" s="2" t="inlineStr"/>
    </row>
    <row r="264" ht="15" customHeight="1">
      <c r="A264" t="inlineStr">
        <is>
          <t>A 22008-2024</t>
        </is>
      </c>
      <c r="B264" s="1" t="n">
        <v>45443</v>
      </c>
      <c r="C264" s="1" t="n">
        <v>46100</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46100</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41822-2021</t>
        </is>
      </c>
      <c r="B266" s="1" t="n">
        <v>44425</v>
      </c>
      <c r="C266" s="1" t="n">
        <v>46100</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41823-2021</t>
        </is>
      </c>
      <c r="B267" s="1" t="n">
        <v>44425</v>
      </c>
      <c r="C267" s="1" t="n">
        <v>46100</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67598-2021</t>
        </is>
      </c>
      <c r="B268" s="1" t="n">
        <v>44524</v>
      </c>
      <c r="C268" s="1" t="n">
        <v>46100</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34520-2021</t>
        </is>
      </c>
      <c r="B269" s="1" t="n">
        <v>44379</v>
      </c>
      <c r="C269" s="1" t="n">
        <v>46100</v>
      </c>
      <c r="D269" t="inlineStr">
        <is>
          <t>STOCKHOLMS LÄN</t>
        </is>
      </c>
      <c r="E269" t="inlineStr">
        <is>
          <t>NORRTÄLJE</t>
        </is>
      </c>
      <c r="G269" t="n">
        <v>1.7</v>
      </c>
      <c r="H269" t="n">
        <v>0</v>
      </c>
      <c r="I269" t="n">
        <v>0</v>
      </c>
      <c r="J269" t="n">
        <v>0</v>
      </c>
      <c r="K269" t="n">
        <v>0</v>
      </c>
      <c r="L269" t="n">
        <v>0</v>
      </c>
      <c r="M269" t="n">
        <v>0</v>
      </c>
      <c r="N269" t="n">
        <v>0</v>
      </c>
      <c r="O269" t="n">
        <v>0</v>
      </c>
      <c r="P269" t="n">
        <v>0</v>
      </c>
      <c r="Q269" t="n">
        <v>0</v>
      </c>
      <c r="R269" s="2" t="inlineStr"/>
    </row>
    <row r="270" ht="15" customHeight="1">
      <c r="A270" t="inlineStr">
        <is>
          <t>A 55243-2023</t>
        </is>
      </c>
      <c r="B270" s="1" t="n">
        <v>45237</v>
      </c>
      <c r="C270" s="1" t="n">
        <v>46100</v>
      </c>
      <c r="D270" t="inlineStr">
        <is>
          <t>STOCKHOLMS LÄN</t>
        </is>
      </c>
      <c r="E270" t="inlineStr">
        <is>
          <t>NORRTÄLJE</t>
        </is>
      </c>
      <c r="G270" t="n">
        <v>6.5</v>
      </c>
      <c r="H270" t="n">
        <v>0</v>
      </c>
      <c r="I270" t="n">
        <v>0</v>
      </c>
      <c r="J270" t="n">
        <v>0</v>
      </c>
      <c r="K270" t="n">
        <v>0</v>
      </c>
      <c r="L270" t="n">
        <v>0</v>
      </c>
      <c r="M270" t="n">
        <v>0</v>
      </c>
      <c r="N270" t="n">
        <v>0</v>
      </c>
      <c r="O270" t="n">
        <v>0</v>
      </c>
      <c r="P270" t="n">
        <v>0</v>
      </c>
      <c r="Q270" t="n">
        <v>0</v>
      </c>
      <c r="R270" s="2" t="inlineStr"/>
    </row>
    <row r="271" ht="15" customHeight="1">
      <c r="A271" t="inlineStr">
        <is>
          <t>A 52139-2022</t>
        </is>
      </c>
      <c r="B271" s="1" t="n">
        <v>44868</v>
      </c>
      <c r="C271" s="1" t="n">
        <v>46100</v>
      </c>
      <c r="D271" t="inlineStr">
        <is>
          <t>STOCKHOLMS LÄN</t>
        </is>
      </c>
      <c r="E271" t="inlineStr">
        <is>
          <t>NORRTÄLJE</t>
        </is>
      </c>
      <c r="G271" t="n">
        <v>3.2</v>
      </c>
      <c r="H271" t="n">
        <v>0</v>
      </c>
      <c r="I271" t="n">
        <v>0</v>
      </c>
      <c r="J271" t="n">
        <v>0</v>
      </c>
      <c r="K271" t="n">
        <v>0</v>
      </c>
      <c r="L271" t="n">
        <v>0</v>
      </c>
      <c r="M271" t="n">
        <v>0</v>
      </c>
      <c r="N271" t="n">
        <v>0</v>
      </c>
      <c r="O271" t="n">
        <v>0</v>
      </c>
      <c r="P271" t="n">
        <v>0</v>
      </c>
      <c r="Q271" t="n">
        <v>0</v>
      </c>
      <c r="R271" s="2" t="inlineStr"/>
      <c r="U271">
        <f>HYPERLINK("https://klasma.github.io/Logging_0188/knärot/A 52139-2022 karta knärot.png", "A 52139-2022")</f>
        <v/>
      </c>
      <c r="V271">
        <f>HYPERLINK("https://klasma.github.io/Logging_0188/klagomål/A 52139-2022 FSC-klagomål.docx", "A 52139-2022")</f>
        <v/>
      </c>
      <c r="W271">
        <f>HYPERLINK("https://klasma.github.io/Logging_0188/klagomålsmail/A 52139-2022 FSC-klagomål mail.docx", "A 52139-2022")</f>
        <v/>
      </c>
      <c r="X271">
        <f>HYPERLINK("https://klasma.github.io/Logging_0188/tillsyn/A 52139-2022 tillsynsbegäran.docx", "A 52139-2022")</f>
        <v/>
      </c>
      <c r="Y271">
        <f>HYPERLINK("https://klasma.github.io/Logging_0188/tillsynsmail/A 52139-2022 tillsynsbegäran mail.docx", "A 52139-2022")</f>
        <v/>
      </c>
    </row>
    <row r="272" ht="15" customHeight="1">
      <c r="A272" t="inlineStr">
        <is>
          <t>A 52260-2022</t>
        </is>
      </c>
      <c r="B272" s="1" t="n">
        <v>44869</v>
      </c>
      <c r="C272" s="1" t="n">
        <v>46100</v>
      </c>
      <c r="D272" t="inlineStr">
        <is>
          <t>STOCKHOLMS LÄN</t>
        </is>
      </c>
      <c r="E272" t="inlineStr">
        <is>
          <t>NORRTÄLJE</t>
        </is>
      </c>
      <c r="G272" t="n">
        <v>3.1</v>
      </c>
      <c r="H272" t="n">
        <v>0</v>
      </c>
      <c r="I272" t="n">
        <v>0</v>
      </c>
      <c r="J272" t="n">
        <v>0</v>
      </c>
      <c r="K272" t="n">
        <v>0</v>
      </c>
      <c r="L272" t="n">
        <v>0</v>
      </c>
      <c r="M272" t="n">
        <v>0</v>
      </c>
      <c r="N272" t="n">
        <v>0</v>
      </c>
      <c r="O272" t="n">
        <v>0</v>
      </c>
      <c r="P272" t="n">
        <v>0</v>
      </c>
      <c r="Q272" t="n">
        <v>0</v>
      </c>
      <c r="R272" s="2" t="inlineStr"/>
    </row>
    <row r="273" ht="15" customHeight="1">
      <c r="A273" t="inlineStr">
        <is>
          <t>A 25557-2023</t>
        </is>
      </c>
      <c r="B273" s="1" t="n">
        <v>45089</v>
      </c>
      <c r="C273" s="1" t="n">
        <v>46100</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27715-2022</t>
        </is>
      </c>
      <c r="B274" s="1" t="n">
        <v>44743.47407407407</v>
      </c>
      <c r="C274" s="1" t="n">
        <v>46100</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17673-2021</t>
        </is>
      </c>
      <c r="B275" s="1" t="n">
        <v>44300</v>
      </c>
      <c r="C275" s="1" t="n">
        <v>46100</v>
      </c>
      <c r="D275" t="inlineStr">
        <is>
          <t>STOCKHOLMS LÄN</t>
        </is>
      </c>
      <c r="E275" t="inlineStr">
        <is>
          <t>NORRTÄLJE</t>
        </is>
      </c>
      <c r="G275" t="n">
        <v>1.1</v>
      </c>
      <c r="H275" t="n">
        <v>0</v>
      </c>
      <c r="I275" t="n">
        <v>0</v>
      </c>
      <c r="J275" t="n">
        <v>0</v>
      </c>
      <c r="K275" t="n">
        <v>0</v>
      </c>
      <c r="L275" t="n">
        <v>0</v>
      </c>
      <c r="M275" t="n">
        <v>0</v>
      </c>
      <c r="N275" t="n">
        <v>0</v>
      </c>
      <c r="O275" t="n">
        <v>0</v>
      </c>
      <c r="P275" t="n">
        <v>0</v>
      </c>
      <c r="Q275" t="n">
        <v>0</v>
      </c>
      <c r="R275" s="2" t="inlineStr"/>
      <c r="T275">
        <f>HYPERLINK("https://klasma.github.io/Logging_0188/kartor/A 17673-2021 karta.png", "A 17673-2021")</f>
        <v/>
      </c>
      <c r="V275">
        <f>HYPERLINK("https://klasma.github.io/Logging_0188/klagomål/A 17673-2021 FSC-klagomål.docx", "A 17673-2021")</f>
        <v/>
      </c>
      <c r="W275">
        <f>HYPERLINK("https://klasma.github.io/Logging_0188/klagomålsmail/A 17673-2021 FSC-klagomål mail.docx", "A 17673-2021")</f>
        <v/>
      </c>
      <c r="X275">
        <f>HYPERLINK("https://klasma.github.io/Logging_0188/tillsyn/A 17673-2021 tillsynsbegäran.docx", "A 17673-2021")</f>
        <v/>
      </c>
      <c r="Y275">
        <f>HYPERLINK("https://klasma.github.io/Logging_0188/tillsynsmail/A 17673-2021 tillsynsbegäran mail.docx", "A 17673-2021")</f>
        <v/>
      </c>
      <c r="Z275">
        <f>HYPERLINK("https://klasma.github.io/Logging_0188/fåglar/A 17673-2021 prioriterade fågelarter.docx", "A 17673-2021")</f>
        <v/>
      </c>
    </row>
    <row r="276" ht="15" customHeight="1">
      <c r="A276" t="inlineStr">
        <is>
          <t>A 1968-2022</t>
        </is>
      </c>
      <c r="B276" s="1" t="n">
        <v>44575.52831018518</v>
      </c>
      <c r="C276" s="1" t="n">
        <v>46100</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55696-2022</t>
        </is>
      </c>
      <c r="B277" s="1" t="n">
        <v>44888</v>
      </c>
      <c r="C277" s="1" t="n">
        <v>46100</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55018-2024</t>
        </is>
      </c>
      <c r="B278" s="1" t="n">
        <v>45621.35712962963</v>
      </c>
      <c r="C278" s="1" t="n">
        <v>46100</v>
      </c>
      <c r="D278" t="inlineStr">
        <is>
          <t>STOCKHOLMS LÄN</t>
        </is>
      </c>
      <c r="E278" t="inlineStr">
        <is>
          <t>NORRTÄLJE</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22412-2021</t>
        </is>
      </c>
      <c r="B279" s="1" t="n">
        <v>44326.61967592593</v>
      </c>
      <c r="C279" s="1" t="n">
        <v>46100</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50136-2023</t>
        </is>
      </c>
      <c r="B280" s="1" t="n">
        <v>45215</v>
      </c>
      <c r="C280" s="1" t="n">
        <v>46100</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25656-2023</t>
        </is>
      </c>
      <c r="B281" s="1" t="n">
        <v>45089</v>
      </c>
      <c r="C281" s="1" t="n">
        <v>46100</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6003-2025</t>
        </is>
      </c>
      <c r="B282" s="1" t="n">
        <v>45695.57881944445</v>
      </c>
      <c r="C282" s="1" t="n">
        <v>46100</v>
      </c>
      <c r="D282" t="inlineStr">
        <is>
          <t>STOCKHOLMS LÄN</t>
        </is>
      </c>
      <c r="E282" t="inlineStr">
        <is>
          <t>NORRTÄLJE</t>
        </is>
      </c>
      <c r="F282" t="inlineStr">
        <is>
          <t>Holmen skog AB</t>
        </is>
      </c>
      <c r="G282" t="n">
        <v>2.3</v>
      </c>
      <c r="H282" t="n">
        <v>0</v>
      </c>
      <c r="I282" t="n">
        <v>0</v>
      </c>
      <c r="J282" t="n">
        <v>0</v>
      </c>
      <c r="K282" t="n">
        <v>0</v>
      </c>
      <c r="L282" t="n">
        <v>0</v>
      </c>
      <c r="M282" t="n">
        <v>0</v>
      </c>
      <c r="N282" t="n">
        <v>0</v>
      </c>
      <c r="O282" t="n">
        <v>0</v>
      </c>
      <c r="P282" t="n">
        <v>0</v>
      </c>
      <c r="Q282" t="n">
        <v>0</v>
      </c>
      <c r="R282" s="2" t="inlineStr"/>
    </row>
    <row r="283" ht="15" customHeight="1">
      <c r="A283" t="inlineStr">
        <is>
          <t>A 13053-2022</t>
        </is>
      </c>
      <c r="B283" s="1" t="n">
        <v>44643</v>
      </c>
      <c r="C283" s="1" t="n">
        <v>46100</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15915-2023</t>
        </is>
      </c>
      <c r="B284" s="1" t="n">
        <v>45022</v>
      </c>
      <c r="C284" s="1" t="n">
        <v>46100</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20295-2022</t>
        </is>
      </c>
      <c r="B285" s="1" t="n">
        <v>44698</v>
      </c>
      <c r="C285" s="1" t="n">
        <v>46100</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37415-2021</t>
        </is>
      </c>
      <c r="B286" s="1" t="n">
        <v>44397</v>
      </c>
      <c r="C286" s="1" t="n">
        <v>46100</v>
      </c>
      <c r="D286" t="inlineStr">
        <is>
          <t>STOCKHOLMS LÄN</t>
        </is>
      </c>
      <c r="E286" t="inlineStr">
        <is>
          <t>NORRTÄLJE</t>
        </is>
      </c>
      <c r="F286" t="inlineStr">
        <is>
          <t>Övriga Aktiebolag</t>
        </is>
      </c>
      <c r="G286" t="n">
        <v>3</v>
      </c>
      <c r="H286" t="n">
        <v>0</v>
      </c>
      <c r="I286" t="n">
        <v>0</v>
      </c>
      <c r="J286" t="n">
        <v>0</v>
      </c>
      <c r="K286" t="n">
        <v>0</v>
      </c>
      <c r="L286" t="n">
        <v>0</v>
      </c>
      <c r="M286" t="n">
        <v>0</v>
      </c>
      <c r="N286" t="n">
        <v>0</v>
      </c>
      <c r="O286" t="n">
        <v>0</v>
      </c>
      <c r="P286" t="n">
        <v>0</v>
      </c>
      <c r="Q286" t="n">
        <v>0</v>
      </c>
      <c r="R286" s="2" t="inlineStr"/>
    </row>
    <row r="287" ht="15" customHeight="1">
      <c r="A287" t="inlineStr">
        <is>
          <t>A 11902-2024</t>
        </is>
      </c>
      <c r="B287" s="1" t="n">
        <v>45376.55704861111</v>
      </c>
      <c r="C287" s="1" t="n">
        <v>46100</v>
      </c>
      <c r="D287" t="inlineStr">
        <is>
          <t>STOCKHOLMS LÄN</t>
        </is>
      </c>
      <c r="E287" t="inlineStr">
        <is>
          <t>NORRTÄLJE</t>
        </is>
      </c>
      <c r="G287" t="n">
        <v>2.5</v>
      </c>
      <c r="H287" t="n">
        <v>0</v>
      </c>
      <c r="I287" t="n">
        <v>0</v>
      </c>
      <c r="J287" t="n">
        <v>0</v>
      </c>
      <c r="K287" t="n">
        <v>0</v>
      </c>
      <c r="L287" t="n">
        <v>0</v>
      </c>
      <c r="M287" t="n">
        <v>0</v>
      </c>
      <c r="N287" t="n">
        <v>0</v>
      </c>
      <c r="O287" t="n">
        <v>0</v>
      </c>
      <c r="P287" t="n">
        <v>0</v>
      </c>
      <c r="Q287" t="n">
        <v>0</v>
      </c>
      <c r="R287" s="2" t="inlineStr"/>
    </row>
    <row r="288" ht="15" customHeight="1">
      <c r="A288" t="inlineStr">
        <is>
          <t>A 1229-2022</t>
        </is>
      </c>
      <c r="B288" s="1" t="n">
        <v>44572</v>
      </c>
      <c r="C288" s="1" t="n">
        <v>46100</v>
      </c>
      <c r="D288" t="inlineStr">
        <is>
          <t>STOCKHOLMS LÄN</t>
        </is>
      </c>
      <c r="E288" t="inlineStr">
        <is>
          <t>NORRTÄLJE</t>
        </is>
      </c>
      <c r="G288" t="n">
        <v>11.5</v>
      </c>
      <c r="H288" t="n">
        <v>0</v>
      </c>
      <c r="I288" t="n">
        <v>0</v>
      </c>
      <c r="J288" t="n">
        <v>0</v>
      </c>
      <c r="K288" t="n">
        <v>0</v>
      </c>
      <c r="L288" t="n">
        <v>0</v>
      </c>
      <c r="M288" t="n">
        <v>0</v>
      </c>
      <c r="N288" t="n">
        <v>0</v>
      </c>
      <c r="O288" t="n">
        <v>0</v>
      </c>
      <c r="P288" t="n">
        <v>0</v>
      </c>
      <c r="Q288" t="n">
        <v>0</v>
      </c>
      <c r="R288" s="2" t="inlineStr"/>
    </row>
    <row r="289" ht="15" customHeight="1">
      <c r="A289" t="inlineStr">
        <is>
          <t>A 38049-2023</t>
        </is>
      </c>
      <c r="B289" s="1" t="n">
        <v>45159</v>
      </c>
      <c r="C289" s="1" t="n">
        <v>46100</v>
      </c>
      <c r="D289" t="inlineStr">
        <is>
          <t>STOCKHOLMS LÄN</t>
        </is>
      </c>
      <c r="E289" t="inlineStr">
        <is>
          <t>NORRTÄLJE</t>
        </is>
      </c>
      <c r="G289" t="n">
        <v>3.6</v>
      </c>
      <c r="H289" t="n">
        <v>0</v>
      </c>
      <c r="I289" t="n">
        <v>0</v>
      </c>
      <c r="J289" t="n">
        <v>0</v>
      </c>
      <c r="K289" t="n">
        <v>0</v>
      </c>
      <c r="L289" t="n">
        <v>0</v>
      </c>
      <c r="M289" t="n">
        <v>0</v>
      </c>
      <c r="N289" t="n">
        <v>0</v>
      </c>
      <c r="O289" t="n">
        <v>0</v>
      </c>
      <c r="P289" t="n">
        <v>0</v>
      </c>
      <c r="Q289" t="n">
        <v>0</v>
      </c>
      <c r="R289" s="2" t="inlineStr"/>
    </row>
    <row r="290" ht="15" customHeight="1">
      <c r="A290" t="inlineStr">
        <is>
          <t>A 59535-2024</t>
        </is>
      </c>
      <c r="B290" s="1" t="n">
        <v>45638.59979166667</v>
      </c>
      <c r="C290" s="1" t="n">
        <v>46100</v>
      </c>
      <c r="D290" t="inlineStr">
        <is>
          <t>STOCKHOLMS LÄN</t>
        </is>
      </c>
      <c r="E290" t="inlineStr">
        <is>
          <t>NORRTÄLJE</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14051-2022</t>
        </is>
      </c>
      <c r="B291" s="1" t="n">
        <v>44650.92714120371</v>
      </c>
      <c r="C291" s="1" t="n">
        <v>46100</v>
      </c>
      <c r="D291" t="inlineStr">
        <is>
          <t>STOCKHOLMS LÄN</t>
        </is>
      </c>
      <c r="E291" t="inlineStr">
        <is>
          <t>NORRTÄLJE</t>
        </is>
      </c>
      <c r="G291" t="n">
        <v>2.3</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46100</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48716-2023</t>
        </is>
      </c>
      <c r="B293" s="1" t="n">
        <v>45208.69671296296</v>
      </c>
      <c r="C293" s="1" t="n">
        <v>46100</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5027-2025</t>
        </is>
      </c>
      <c r="B294" s="1" t="n">
        <v>45691.41101851852</v>
      </c>
      <c r="C294" s="1" t="n">
        <v>46100</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24167-2022</t>
        </is>
      </c>
      <c r="B295" s="1" t="n">
        <v>44725.49491898148</v>
      </c>
      <c r="C295" s="1" t="n">
        <v>46100</v>
      </c>
      <c r="D295" t="inlineStr">
        <is>
          <t>STOCKHOLMS LÄN</t>
        </is>
      </c>
      <c r="E295" t="inlineStr">
        <is>
          <t>NORRTÄLJE</t>
        </is>
      </c>
      <c r="G295" t="n">
        <v>3.4</v>
      </c>
      <c r="H295" t="n">
        <v>0</v>
      </c>
      <c r="I295" t="n">
        <v>0</v>
      </c>
      <c r="J295" t="n">
        <v>0</v>
      </c>
      <c r="K295" t="n">
        <v>0</v>
      </c>
      <c r="L295" t="n">
        <v>0</v>
      </c>
      <c r="M295" t="n">
        <v>0</v>
      </c>
      <c r="N295" t="n">
        <v>0</v>
      </c>
      <c r="O295" t="n">
        <v>0</v>
      </c>
      <c r="P295" t="n">
        <v>0</v>
      </c>
      <c r="Q295" t="n">
        <v>0</v>
      </c>
      <c r="R295" s="2" t="inlineStr"/>
    </row>
    <row r="296" ht="15" customHeight="1">
      <c r="A296" t="inlineStr">
        <is>
          <t>A 42396-2021</t>
        </is>
      </c>
      <c r="B296" s="1" t="n">
        <v>44427</v>
      </c>
      <c r="C296" s="1" t="n">
        <v>46100</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4183-2025</t>
        </is>
      </c>
      <c r="B297" s="1" t="n">
        <v>45685.44592592592</v>
      </c>
      <c r="C297" s="1" t="n">
        <v>46100</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46100</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9480-2025</t>
        </is>
      </c>
      <c r="B299" s="1" t="n">
        <v>45715</v>
      </c>
      <c r="C299" s="1" t="n">
        <v>46100</v>
      </c>
      <c r="D299" t="inlineStr">
        <is>
          <t>STOCKHOLMS LÄN</t>
        </is>
      </c>
      <c r="E299" t="inlineStr">
        <is>
          <t>NORRTÄLJE</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2732-2022</t>
        </is>
      </c>
      <c r="B300" s="1" t="n">
        <v>44580</v>
      </c>
      <c r="C300" s="1" t="n">
        <v>46100</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30286-2022</t>
        </is>
      </c>
      <c r="B301" s="1" t="n">
        <v>44760</v>
      </c>
      <c r="C301" s="1" t="n">
        <v>46100</v>
      </c>
      <c r="D301" t="inlineStr">
        <is>
          <t>STOCKHOLMS LÄN</t>
        </is>
      </c>
      <c r="E301" t="inlineStr">
        <is>
          <t>NORRTÄLJE</t>
        </is>
      </c>
      <c r="G301" t="n">
        <v>0.3</v>
      </c>
      <c r="H301" t="n">
        <v>0</v>
      </c>
      <c r="I301" t="n">
        <v>0</v>
      </c>
      <c r="J301" t="n">
        <v>0</v>
      </c>
      <c r="K301" t="n">
        <v>0</v>
      </c>
      <c r="L301" t="n">
        <v>0</v>
      </c>
      <c r="M301" t="n">
        <v>0</v>
      </c>
      <c r="N301" t="n">
        <v>0</v>
      </c>
      <c r="O301" t="n">
        <v>0</v>
      </c>
      <c r="P301" t="n">
        <v>0</v>
      </c>
      <c r="Q301" t="n">
        <v>0</v>
      </c>
      <c r="R301" s="2" t="inlineStr"/>
    </row>
    <row r="302" ht="15" customHeight="1">
      <c r="A302" t="inlineStr">
        <is>
          <t>A 16119-2022</t>
        </is>
      </c>
      <c r="B302" s="1" t="n">
        <v>44665.66407407408</v>
      </c>
      <c r="C302" s="1" t="n">
        <v>46100</v>
      </c>
      <c r="D302" t="inlineStr">
        <is>
          <t>STOCKHOLMS LÄN</t>
        </is>
      </c>
      <c r="E302" t="inlineStr">
        <is>
          <t>NORRTÄLJE</t>
        </is>
      </c>
      <c r="G302" t="n">
        <v>3.9</v>
      </c>
      <c r="H302" t="n">
        <v>0</v>
      </c>
      <c r="I302" t="n">
        <v>0</v>
      </c>
      <c r="J302" t="n">
        <v>0</v>
      </c>
      <c r="K302" t="n">
        <v>0</v>
      </c>
      <c r="L302" t="n">
        <v>0</v>
      </c>
      <c r="M302" t="n">
        <v>0</v>
      </c>
      <c r="N302" t="n">
        <v>0</v>
      </c>
      <c r="O302" t="n">
        <v>0</v>
      </c>
      <c r="P302" t="n">
        <v>0</v>
      </c>
      <c r="Q302" t="n">
        <v>0</v>
      </c>
      <c r="R302" s="2" t="inlineStr"/>
    </row>
    <row r="303" ht="15" customHeight="1">
      <c r="A303" t="inlineStr">
        <is>
          <t>A 8160-2022</t>
        </is>
      </c>
      <c r="B303" s="1" t="n">
        <v>44609</v>
      </c>
      <c r="C303" s="1" t="n">
        <v>46100</v>
      </c>
      <c r="D303" t="inlineStr">
        <is>
          <t>STOCKHOLMS LÄN</t>
        </is>
      </c>
      <c r="E303" t="inlineStr">
        <is>
          <t>NORRTÄLJE</t>
        </is>
      </c>
      <c r="G303" t="n">
        <v>3.9</v>
      </c>
      <c r="H303" t="n">
        <v>0</v>
      </c>
      <c r="I303" t="n">
        <v>0</v>
      </c>
      <c r="J303" t="n">
        <v>0</v>
      </c>
      <c r="K303" t="n">
        <v>0</v>
      </c>
      <c r="L303" t="n">
        <v>0</v>
      </c>
      <c r="M303" t="n">
        <v>0</v>
      </c>
      <c r="N303" t="n">
        <v>0</v>
      </c>
      <c r="O303" t="n">
        <v>0</v>
      </c>
      <c r="P303" t="n">
        <v>0</v>
      </c>
      <c r="Q303" t="n">
        <v>0</v>
      </c>
      <c r="R303" s="2" t="inlineStr"/>
    </row>
    <row r="304" ht="15" customHeight="1">
      <c r="A304" t="inlineStr">
        <is>
          <t>A 31924-2022</t>
        </is>
      </c>
      <c r="B304" s="1" t="n">
        <v>44777</v>
      </c>
      <c r="C304" s="1" t="n">
        <v>46100</v>
      </c>
      <c r="D304" t="inlineStr">
        <is>
          <t>STOCKHOLMS LÄN</t>
        </is>
      </c>
      <c r="E304" t="inlineStr">
        <is>
          <t>NORRTÄLJE</t>
        </is>
      </c>
      <c r="G304" t="n">
        <v>0.7</v>
      </c>
      <c r="H304" t="n">
        <v>0</v>
      </c>
      <c r="I304" t="n">
        <v>0</v>
      </c>
      <c r="J304" t="n">
        <v>0</v>
      </c>
      <c r="K304" t="n">
        <v>0</v>
      </c>
      <c r="L304" t="n">
        <v>0</v>
      </c>
      <c r="M304" t="n">
        <v>0</v>
      </c>
      <c r="N304" t="n">
        <v>0</v>
      </c>
      <c r="O304" t="n">
        <v>0</v>
      </c>
      <c r="P304" t="n">
        <v>0</v>
      </c>
      <c r="Q304" t="n">
        <v>0</v>
      </c>
      <c r="R304" s="2" t="inlineStr"/>
    </row>
    <row r="305" ht="15" customHeight="1">
      <c r="A305" t="inlineStr">
        <is>
          <t>A 24522-2023</t>
        </is>
      </c>
      <c r="B305" s="1" t="n">
        <v>45082.69179398148</v>
      </c>
      <c r="C305" s="1" t="n">
        <v>46100</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25625-2023</t>
        </is>
      </c>
      <c r="B306" s="1" t="n">
        <v>45089</v>
      </c>
      <c r="C306" s="1" t="n">
        <v>46100</v>
      </c>
      <c r="D306" t="inlineStr">
        <is>
          <t>STOCKHOLMS LÄN</t>
        </is>
      </c>
      <c r="E306" t="inlineStr">
        <is>
          <t>NORRTÄLJE</t>
        </is>
      </c>
      <c r="G306" t="n">
        <v>5.5</v>
      </c>
      <c r="H306" t="n">
        <v>0</v>
      </c>
      <c r="I306" t="n">
        <v>0</v>
      </c>
      <c r="J306" t="n">
        <v>0</v>
      </c>
      <c r="K306" t="n">
        <v>0</v>
      </c>
      <c r="L306" t="n">
        <v>0</v>
      </c>
      <c r="M306" t="n">
        <v>0</v>
      </c>
      <c r="N306" t="n">
        <v>0</v>
      </c>
      <c r="O306" t="n">
        <v>0</v>
      </c>
      <c r="P306" t="n">
        <v>0</v>
      </c>
      <c r="Q306" t="n">
        <v>0</v>
      </c>
      <c r="R306" s="2" t="inlineStr"/>
    </row>
    <row r="307" ht="15" customHeight="1">
      <c r="A307" t="inlineStr">
        <is>
          <t>A 39319-2022</t>
        </is>
      </c>
      <c r="B307" s="1" t="n">
        <v>44817.70516203704</v>
      </c>
      <c r="C307" s="1" t="n">
        <v>46100</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37147-2023</t>
        </is>
      </c>
      <c r="B308" s="1" t="n">
        <v>45155</v>
      </c>
      <c r="C308" s="1" t="n">
        <v>46100</v>
      </c>
      <c r="D308" t="inlineStr">
        <is>
          <t>STOCKHOLMS LÄN</t>
        </is>
      </c>
      <c r="E308" t="inlineStr">
        <is>
          <t>NORRTÄLJE</t>
        </is>
      </c>
      <c r="G308" t="n">
        <v>8</v>
      </c>
      <c r="H308" t="n">
        <v>0</v>
      </c>
      <c r="I308" t="n">
        <v>0</v>
      </c>
      <c r="J308" t="n">
        <v>0</v>
      </c>
      <c r="K308" t="n">
        <v>0</v>
      </c>
      <c r="L308" t="n">
        <v>0</v>
      </c>
      <c r="M308" t="n">
        <v>0</v>
      </c>
      <c r="N308" t="n">
        <v>0</v>
      </c>
      <c r="O308" t="n">
        <v>0</v>
      </c>
      <c r="P308" t="n">
        <v>0</v>
      </c>
      <c r="Q308" t="n">
        <v>0</v>
      </c>
      <c r="R308" s="2" t="inlineStr"/>
    </row>
    <row r="309" ht="15" customHeight="1">
      <c r="A309" t="inlineStr">
        <is>
          <t>A 7186-2024</t>
        </is>
      </c>
      <c r="B309" s="1" t="n">
        <v>45344</v>
      </c>
      <c r="C309" s="1" t="n">
        <v>46100</v>
      </c>
      <c r="D309" t="inlineStr">
        <is>
          <t>STOCKHOLMS LÄN</t>
        </is>
      </c>
      <c r="E309" t="inlineStr">
        <is>
          <t>NORRTÄLJE</t>
        </is>
      </c>
      <c r="G309" t="n">
        <v>4.9</v>
      </c>
      <c r="H309" t="n">
        <v>0</v>
      </c>
      <c r="I309" t="n">
        <v>0</v>
      </c>
      <c r="J309" t="n">
        <v>0</v>
      </c>
      <c r="K309" t="n">
        <v>0</v>
      </c>
      <c r="L309" t="n">
        <v>0</v>
      </c>
      <c r="M309" t="n">
        <v>0</v>
      </c>
      <c r="N309" t="n">
        <v>0</v>
      </c>
      <c r="O309" t="n">
        <v>0</v>
      </c>
      <c r="P309" t="n">
        <v>0</v>
      </c>
      <c r="Q309" t="n">
        <v>0</v>
      </c>
      <c r="R309" s="2" t="inlineStr"/>
    </row>
    <row r="310" ht="15" customHeight="1">
      <c r="A310" t="inlineStr">
        <is>
          <t>A 56219-2021</t>
        </is>
      </c>
      <c r="B310" s="1" t="n">
        <v>44477</v>
      </c>
      <c r="C310" s="1" t="n">
        <v>46100</v>
      </c>
      <c r="D310" t="inlineStr">
        <is>
          <t>STOCKHOLMS LÄN</t>
        </is>
      </c>
      <c r="E310" t="inlineStr">
        <is>
          <t>NORRTÄLJE</t>
        </is>
      </c>
      <c r="F310" t="inlineStr">
        <is>
          <t>Kommuner</t>
        </is>
      </c>
      <c r="G310" t="n">
        <v>2.3</v>
      </c>
      <c r="H310" t="n">
        <v>0</v>
      </c>
      <c r="I310" t="n">
        <v>0</v>
      </c>
      <c r="J310" t="n">
        <v>0</v>
      </c>
      <c r="K310" t="n">
        <v>0</v>
      </c>
      <c r="L310" t="n">
        <v>0</v>
      </c>
      <c r="M310" t="n">
        <v>0</v>
      </c>
      <c r="N310" t="n">
        <v>0</v>
      </c>
      <c r="O310" t="n">
        <v>0</v>
      </c>
      <c r="P310" t="n">
        <v>0</v>
      </c>
      <c r="Q310" t="n">
        <v>0</v>
      </c>
      <c r="R310" s="2" t="inlineStr"/>
    </row>
    <row r="311" ht="15" customHeight="1">
      <c r="A311" t="inlineStr">
        <is>
          <t>A 12270-2022</t>
        </is>
      </c>
      <c r="B311" s="1" t="n">
        <v>44637</v>
      </c>
      <c r="C311" s="1" t="n">
        <v>46100</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57602-2024</t>
        </is>
      </c>
      <c r="B312" s="1" t="n">
        <v>45630.52866898148</v>
      </c>
      <c r="C312" s="1" t="n">
        <v>46100</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64600-2021</t>
        </is>
      </c>
      <c r="B313" s="1" t="n">
        <v>44511.70518518519</v>
      </c>
      <c r="C313" s="1" t="n">
        <v>46100</v>
      </c>
      <c r="D313" t="inlineStr">
        <is>
          <t>STOCKHOLMS LÄN</t>
        </is>
      </c>
      <c r="E313" t="inlineStr">
        <is>
          <t>NORRTÄLJE</t>
        </is>
      </c>
      <c r="G313" t="n">
        <v>6.2</v>
      </c>
      <c r="H313" t="n">
        <v>0</v>
      </c>
      <c r="I313" t="n">
        <v>0</v>
      </c>
      <c r="J313" t="n">
        <v>0</v>
      </c>
      <c r="K313" t="n">
        <v>0</v>
      </c>
      <c r="L313" t="n">
        <v>0</v>
      </c>
      <c r="M313" t="n">
        <v>0</v>
      </c>
      <c r="N313" t="n">
        <v>0</v>
      </c>
      <c r="O313" t="n">
        <v>0</v>
      </c>
      <c r="P313" t="n">
        <v>0</v>
      </c>
      <c r="Q313" t="n">
        <v>0</v>
      </c>
      <c r="R313" s="2" t="inlineStr"/>
    </row>
    <row r="314" ht="15" customHeight="1">
      <c r="A314" t="inlineStr">
        <is>
          <t>A 50602-2021</t>
        </is>
      </c>
      <c r="B314" s="1" t="n">
        <v>44459</v>
      </c>
      <c r="C314" s="1" t="n">
        <v>46100</v>
      </c>
      <c r="D314" t="inlineStr">
        <is>
          <t>STOCKHOLMS LÄN</t>
        </is>
      </c>
      <c r="E314" t="inlineStr">
        <is>
          <t>NORRTÄLJE</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26365-2024</t>
        </is>
      </c>
      <c r="B315" s="1" t="n">
        <v>45469</v>
      </c>
      <c r="C315" s="1" t="n">
        <v>46100</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58530-2024</t>
        </is>
      </c>
      <c r="B316" s="1" t="n">
        <v>45635.44788194444</v>
      </c>
      <c r="C316" s="1" t="n">
        <v>46100</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22421-2021</t>
        </is>
      </c>
      <c r="B317" s="1" t="n">
        <v>44326</v>
      </c>
      <c r="C317" s="1" t="n">
        <v>46100</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12268-2022</t>
        </is>
      </c>
      <c r="B318" s="1" t="n">
        <v>44637</v>
      </c>
      <c r="C318" s="1" t="n">
        <v>46100</v>
      </c>
      <c r="D318" t="inlineStr">
        <is>
          <t>STOCKHOLMS LÄN</t>
        </is>
      </c>
      <c r="E318" t="inlineStr">
        <is>
          <t>NORRTÄLJE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15226-2022</t>
        </is>
      </c>
      <c r="B319" s="1" t="n">
        <v>44658</v>
      </c>
      <c r="C319" s="1" t="n">
        <v>46100</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3300-2022</t>
        </is>
      </c>
      <c r="B320" s="1" t="n">
        <v>44584.91538194445</v>
      </c>
      <c r="C320" s="1" t="n">
        <v>46100</v>
      </c>
      <c r="D320" t="inlineStr">
        <is>
          <t>STOCKHOLMS LÄN</t>
        </is>
      </c>
      <c r="E320" t="inlineStr">
        <is>
          <t>NORRTÄLJE</t>
        </is>
      </c>
      <c r="G320" t="n">
        <v>0.4</v>
      </c>
      <c r="H320" t="n">
        <v>0</v>
      </c>
      <c r="I320" t="n">
        <v>0</v>
      </c>
      <c r="J320" t="n">
        <v>0</v>
      </c>
      <c r="K320" t="n">
        <v>0</v>
      </c>
      <c r="L320" t="n">
        <v>0</v>
      </c>
      <c r="M320" t="n">
        <v>0</v>
      </c>
      <c r="N320" t="n">
        <v>0</v>
      </c>
      <c r="O320" t="n">
        <v>0</v>
      </c>
      <c r="P320" t="n">
        <v>0</v>
      </c>
      <c r="Q320" t="n">
        <v>0</v>
      </c>
      <c r="R320" s="2" t="inlineStr"/>
    </row>
    <row r="321" ht="15" customHeight="1">
      <c r="A321" t="inlineStr">
        <is>
          <t>A 17388-2022</t>
        </is>
      </c>
      <c r="B321" s="1" t="n">
        <v>44678</v>
      </c>
      <c r="C321" s="1" t="n">
        <v>46100</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40761-2024</t>
        </is>
      </c>
      <c r="B322" s="1" t="n">
        <v>45558.46283564815</v>
      </c>
      <c r="C322" s="1" t="n">
        <v>46100</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17771-2022</t>
        </is>
      </c>
      <c r="B323" s="1" t="n">
        <v>44682.75924768519</v>
      </c>
      <c r="C323" s="1" t="n">
        <v>46100</v>
      </c>
      <c r="D323" t="inlineStr">
        <is>
          <t>STOCKHOLMS LÄN</t>
        </is>
      </c>
      <c r="E323" t="inlineStr">
        <is>
          <t>NORRTÄLJE</t>
        </is>
      </c>
      <c r="G323" t="n">
        <v>13.3</v>
      </c>
      <c r="H323" t="n">
        <v>0</v>
      </c>
      <c r="I323" t="n">
        <v>0</v>
      </c>
      <c r="J323" t="n">
        <v>0</v>
      </c>
      <c r="K323" t="n">
        <v>0</v>
      </c>
      <c r="L323" t="n">
        <v>0</v>
      </c>
      <c r="M323" t="n">
        <v>0</v>
      </c>
      <c r="N323" t="n">
        <v>0</v>
      </c>
      <c r="O323" t="n">
        <v>0</v>
      </c>
      <c r="P323" t="n">
        <v>0</v>
      </c>
      <c r="Q323" t="n">
        <v>0</v>
      </c>
      <c r="R323" s="2" t="inlineStr"/>
    </row>
    <row r="324" ht="15" customHeight="1">
      <c r="A324" t="inlineStr">
        <is>
          <t>A 17773-2022</t>
        </is>
      </c>
      <c r="B324" s="1" t="n">
        <v>44682.77616898148</v>
      </c>
      <c r="C324" s="1" t="n">
        <v>46100</v>
      </c>
      <c r="D324" t="inlineStr">
        <is>
          <t>STOCKHOLMS LÄN</t>
        </is>
      </c>
      <c r="E324" t="inlineStr">
        <is>
          <t>NORRTÄLJE</t>
        </is>
      </c>
      <c r="G324" t="n">
        <v>10.8</v>
      </c>
      <c r="H324" t="n">
        <v>0</v>
      </c>
      <c r="I324" t="n">
        <v>0</v>
      </c>
      <c r="J324" t="n">
        <v>0</v>
      </c>
      <c r="K324" t="n">
        <v>0</v>
      </c>
      <c r="L324" t="n">
        <v>0</v>
      </c>
      <c r="M324" t="n">
        <v>0</v>
      </c>
      <c r="N324" t="n">
        <v>0</v>
      </c>
      <c r="O324" t="n">
        <v>0</v>
      </c>
      <c r="P324" t="n">
        <v>0</v>
      </c>
      <c r="Q324" t="n">
        <v>0</v>
      </c>
      <c r="R324" s="2" t="inlineStr"/>
    </row>
    <row r="325" ht="15" customHeight="1">
      <c r="A325" t="inlineStr">
        <is>
          <t>A 10521-2022</t>
        </is>
      </c>
      <c r="B325" s="1" t="n">
        <v>44623</v>
      </c>
      <c r="C325" s="1" t="n">
        <v>46100</v>
      </c>
      <c r="D325" t="inlineStr">
        <is>
          <t>STOCKHOLMS LÄN</t>
        </is>
      </c>
      <c r="E325" t="inlineStr">
        <is>
          <t>NORRTÄLJE</t>
        </is>
      </c>
      <c r="G325" t="n">
        <v>2.9</v>
      </c>
      <c r="H325" t="n">
        <v>0</v>
      </c>
      <c r="I325" t="n">
        <v>0</v>
      </c>
      <c r="J325" t="n">
        <v>0</v>
      </c>
      <c r="K325" t="n">
        <v>0</v>
      </c>
      <c r="L325" t="n">
        <v>0</v>
      </c>
      <c r="M325" t="n">
        <v>0</v>
      </c>
      <c r="N325" t="n">
        <v>0</v>
      </c>
      <c r="O325" t="n">
        <v>0</v>
      </c>
      <c r="P325" t="n">
        <v>0</v>
      </c>
      <c r="Q325" t="n">
        <v>0</v>
      </c>
      <c r="R325" s="2" t="inlineStr"/>
    </row>
    <row r="326" ht="15" customHeight="1">
      <c r="A326" t="inlineStr">
        <is>
          <t>A 20015-2023</t>
        </is>
      </c>
      <c r="B326" s="1" t="n">
        <v>45054</v>
      </c>
      <c r="C326" s="1" t="n">
        <v>46100</v>
      </c>
      <c r="D326" t="inlineStr">
        <is>
          <t>STOCKHOLMS LÄN</t>
        </is>
      </c>
      <c r="E326" t="inlineStr">
        <is>
          <t>NORRTÄLJE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3273-2025</t>
        </is>
      </c>
      <c r="B327" s="1" t="n">
        <v>45679</v>
      </c>
      <c r="C327" s="1" t="n">
        <v>46100</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26640-2023</t>
        </is>
      </c>
      <c r="B328" s="1" t="n">
        <v>45092</v>
      </c>
      <c r="C328" s="1" t="n">
        <v>46100</v>
      </c>
      <c r="D328" t="inlineStr">
        <is>
          <t>STOCKHOLMS LÄN</t>
        </is>
      </c>
      <c r="E328" t="inlineStr">
        <is>
          <t>NORRTÄLJE</t>
        </is>
      </c>
      <c r="G328" t="n">
        <v>5.7</v>
      </c>
      <c r="H328" t="n">
        <v>0</v>
      </c>
      <c r="I328" t="n">
        <v>0</v>
      </c>
      <c r="J328" t="n">
        <v>0</v>
      </c>
      <c r="K328" t="n">
        <v>0</v>
      </c>
      <c r="L328" t="n">
        <v>0</v>
      </c>
      <c r="M328" t="n">
        <v>0</v>
      </c>
      <c r="N328" t="n">
        <v>0</v>
      </c>
      <c r="O328" t="n">
        <v>0</v>
      </c>
      <c r="P328" t="n">
        <v>0</v>
      </c>
      <c r="Q328" t="n">
        <v>0</v>
      </c>
      <c r="R328" s="2" t="inlineStr"/>
    </row>
    <row r="329" ht="15" customHeight="1">
      <c r="A329" t="inlineStr">
        <is>
          <t>A 24245-2024</t>
        </is>
      </c>
      <c r="B329" s="1" t="n">
        <v>45457</v>
      </c>
      <c r="C329" s="1" t="n">
        <v>46100</v>
      </c>
      <c r="D329" t="inlineStr">
        <is>
          <t>STOCKHOLMS LÄN</t>
        </is>
      </c>
      <c r="E329" t="inlineStr">
        <is>
          <t>NORRTÄLJE</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22816-2021</t>
        </is>
      </c>
      <c r="B330" s="1" t="n">
        <v>44325</v>
      </c>
      <c r="C330" s="1" t="n">
        <v>46100</v>
      </c>
      <c r="D330" t="inlineStr">
        <is>
          <t>STOCKHOLMS LÄN</t>
        </is>
      </c>
      <c r="E330" t="inlineStr">
        <is>
          <t>NORRTÄLJE</t>
        </is>
      </c>
      <c r="G330" t="n">
        <v>4.5</v>
      </c>
      <c r="H330" t="n">
        <v>0</v>
      </c>
      <c r="I330" t="n">
        <v>0</v>
      </c>
      <c r="J330" t="n">
        <v>0</v>
      </c>
      <c r="K330" t="n">
        <v>0</v>
      </c>
      <c r="L330" t="n">
        <v>0</v>
      </c>
      <c r="M330" t="n">
        <v>0</v>
      </c>
      <c r="N330" t="n">
        <v>0</v>
      </c>
      <c r="O330" t="n">
        <v>0</v>
      </c>
      <c r="P330" t="n">
        <v>0</v>
      </c>
      <c r="Q330" t="n">
        <v>0</v>
      </c>
      <c r="R330" s="2" t="inlineStr"/>
    </row>
    <row r="331" ht="15" customHeight="1">
      <c r="A331" t="inlineStr">
        <is>
          <t>A 31827-2023</t>
        </is>
      </c>
      <c r="B331" s="1" t="n">
        <v>45118</v>
      </c>
      <c r="C331" s="1" t="n">
        <v>46100</v>
      </c>
      <c r="D331" t="inlineStr">
        <is>
          <t>STOCKHOLMS LÄN</t>
        </is>
      </c>
      <c r="E331" t="inlineStr">
        <is>
          <t>NORRTÄLJE</t>
        </is>
      </c>
      <c r="F331" t="inlineStr">
        <is>
          <t>Kyrkan</t>
        </is>
      </c>
      <c r="G331" t="n">
        <v>4.9</v>
      </c>
      <c r="H331" t="n">
        <v>0</v>
      </c>
      <c r="I331" t="n">
        <v>0</v>
      </c>
      <c r="J331" t="n">
        <v>0</v>
      </c>
      <c r="K331" t="n">
        <v>0</v>
      </c>
      <c r="L331" t="n">
        <v>0</v>
      </c>
      <c r="M331" t="n">
        <v>0</v>
      </c>
      <c r="N331" t="n">
        <v>0</v>
      </c>
      <c r="O331" t="n">
        <v>0</v>
      </c>
      <c r="P331" t="n">
        <v>0</v>
      </c>
      <c r="Q331" t="n">
        <v>0</v>
      </c>
      <c r="R331" s="2" t="inlineStr"/>
    </row>
    <row r="332" ht="15" customHeight="1">
      <c r="A332" t="inlineStr">
        <is>
          <t>A 58993-2022</t>
        </is>
      </c>
      <c r="B332" s="1" t="n">
        <v>44903</v>
      </c>
      <c r="C332" s="1" t="n">
        <v>46100</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21291-2021</t>
        </is>
      </c>
      <c r="B333" s="1" t="n">
        <v>44319</v>
      </c>
      <c r="C333" s="1" t="n">
        <v>46100</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28900-2022</t>
        </is>
      </c>
      <c r="B334" s="1" t="n">
        <v>44749.55258101852</v>
      </c>
      <c r="C334" s="1" t="n">
        <v>46100</v>
      </c>
      <c r="D334" t="inlineStr">
        <is>
          <t>STOCKHOLMS LÄN</t>
        </is>
      </c>
      <c r="E334" t="inlineStr">
        <is>
          <t>NORRTÄLJE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17574-2025</t>
        </is>
      </c>
      <c r="B335" s="1" t="n">
        <v>45757.65178240741</v>
      </c>
      <c r="C335" s="1" t="n">
        <v>46100</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15256-2023</t>
        </is>
      </c>
      <c r="B336" s="1" t="n">
        <v>45019.3959837963</v>
      </c>
      <c r="C336" s="1" t="n">
        <v>46100</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20428-2024</t>
        </is>
      </c>
      <c r="B337" s="1" t="n">
        <v>45435</v>
      </c>
      <c r="C337" s="1" t="n">
        <v>46100</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67921-2021</t>
        </is>
      </c>
      <c r="B338" s="1" t="n">
        <v>44525</v>
      </c>
      <c r="C338" s="1" t="n">
        <v>46100</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65499-2021</t>
        </is>
      </c>
      <c r="B339" s="1" t="n">
        <v>44516</v>
      </c>
      <c r="C339" s="1" t="n">
        <v>46100</v>
      </c>
      <c r="D339" t="inlineStr">
        <is>
          <t>STOCKHOLMS LÄN</t>
        </is>
      </c>
      <c r="E339" t="inlineStr">
        <is>
          <t>NORRTÄLJE</t>
        </is>
      </c>
      <c r="F339" t="inlineStr">
        <is>
          <t>Kommuner</t>
        </is>
      </c>
      <c r="G339" t="n">
        <v>5.2</v>
      </c>
      <c r="H339" t="n">
        <v>0</v>
      </c>
      <c r="I339" t="n">
        <v>0</v>
      </c>
      <c r="J339" t="n">
        <v>0</v>
      </c>
      <c r="K339" t="n">
        <v>0</v>
      </c>
      <c r="L339" t="n">
        <v>0</v>
      </c>
      <c r="M339" t="n">
        <v>0</v>
      </c>
      <c r="N339" t="n">
        <v>0</v>
      </c>
      <c r="O339" t="n">
        <v>0</v>
      </c>
      <c r="P339" t="n">
        <v>0</v>
      </c>
      <c r="Q339" t="n">
        <v>0</v>
      </c>
      <c r="R339" s="2" t="inlineStr"/>
    </row>
    <row r="340" ht="15" customHeight="1">
      <c r="A340" t="inlineStr">
        <is>
          <t>A 58297-2023</t>
        </is>
      </c>
      <c r="B340" s="1" t="n">
        <v>45245</v>
      </c>
      <c r="C340" s="1" t="n">
        <v>46100</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13172-2025</t>
        </is>
      </c>
      <c r="B341" s="1" t="n">
        <v>45735.36873842592</v>
      </c>
      <c r="C341" s="1" t="n">
        <v>46100</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20304-2023</t>
        </is>
      </c>
      <c r="B342" s="1" t="n">
        <v>45056</v>
      </c>
      <c r="C342" s="1" t="n">
        <v>46100</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12299-2025</t>
        </is>
      </c>
      <c r="B343" s="1" t="n">
        <v>45729.71065972222</v>
      </c>
      <c r="C343" s="1" t="n">
        <v>46100</v>
      </c>
      <c r="D343" t="inlineStr">
        <is>
          <t>STOCKHOLMS LÄN</t>
        </is>
      </c>
      <c r="E343" t="inlineStr">
        <is>
          <t>NORRTÄLJE</t>
        </is>
      </c>
      <c r="F343" t="inlineStr">
        <is>
          <t>Holmen skog AB</t>
        </is>
      </c>
      <c r="G343" t="n">
        <v>6.9</v>
      </c>
      <c r="H343" t="n">
        <v>0</v>
      </c>
      <c r="I343" t="n">
        <v>0</v>
      </c>
      <c r="J343" t="n">
        <v>0</v>
      </c>
      <c r="K343" t="n">
        <v>0</v>
      </c>
      <c r="L343" t="n">
        <v>0</v>
      </c>
      <c r="M343" t="n">
        <v>0</v>
      </c>
      <c r="N343" t="n">
        <v>0</v>
      </c>
      <c r="O343" t="n">
        <v>0</v>
      </c>
      <c r="P343" t="n">
        <v>0</v>
      </c>
      <c r="Q343" t="n">
        <v>0</v>
      </c>
      <c r="R343" s="2" t="inlineStr"/>
    </row>
    <row r="344" ht="15" customHeight="1">
      <c r="A344" t="inlineStr">
        <is>
          <t>A 22157-2023</t>
        </is>
      </c>
      <c r="B344" s="1" t="n">
        <v>45069</v>
      </c>
      <c r="C344" s="1" t="n">
        <v>46100</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c r="U344">
        <f>HYPERLINK("https://klasma.github.io/Logging_0188/knärot/A 22157-2023 karta knärot.png", "A 22157-2023")</f>
        <v/>
      </c>
      <c r="V344">
        <f>HYPERLINK("https://klasma.github.io/Logging_0188/klagomål/A 22157-2023 FSC-klagomål.docx", "A 22157-2023")</f>
        <v/>
      </c>
      <c r="W344">
        <f>HYPERLINK("https://klasma.github.io/Logging_0188/klagomålsmail/A 22157-2023 FSC-klagomål mail.docx", "A 22157-2023")</f>
        <v/>
      </c>
      <c r="X344">
        <f>HYPERLINK("https://klasma.github.io/Logging_0188/tillsyn/A 22157-2023 tillsynsbegäran.docx", "A 22157-2023")</f>
        <v/>
      </c>
      <c r="Y344">
        <f>HYPERLINK("https://klasma.github.io/Logging_0188/tillsynsmail/A 22157-2023 tillsynsbegäran mail.docx", "A 22157-2023")</f>
        <v/>
      </c>
    </row>
    <row r="345" ht="15" customHeight="1">
      <c r="A345" t="inlineStr">
        <is>
          <t>A 4553-2023</t>
        </is>
      </c>
      <c r="B345" s="1" t="n">
        <v>44956.65920138889</v>
      </c>
      <c r="C345" s="1" t="n">
        <v>46100</v>
      </c>
      <c r="D345" t="inlineStr">
        <is>
          <t>STOCKHOLMS LÄN</t>
        </is>
      </c>
      <c r="E345" t="inlineStr">
        <is>
          <t>NORRTÄLJE</t>
        </is>
      </c>
      <c r="G345" t="n">
        <v>7.5</v>
      </c>
      <c r="H345" t="n">
        <v>0</v>
      </c>
      <c r="I345" t="n">
        <v>0</v>
      </c>
      <c r="J345" t="n">
        <v>0</v>
      </c>
      <c r="K345" t="n">
        <v>0</v>
      </c>
      <c r="L345" t="n">
        <v>0</v>
      </c>
      <c r="M345" t="n">
        <v>0</v>
      </c>
      <c r="N345" t="n">
        <v>0</v>
      </c>
      <c r="O345" t="n">
        <v>0</v>
      </c>
      <c r="P345" t="n">
        <v>0</v>
      </c>
      <c r="Q345" t="n">
        <v>0</v>
      </c>
      <c r="R345" s="2" t="inlineStr"/>
    </row>
    <row r="346" ht="15" customHeight="1">
      <c r="A346" t="inlineStr">
        <is>
          <t>A 4593-2023</t>
        </is>
      </c>
      <c r="B346" s="1" t="n">
        <v>44956</v>
      </c>
      <c r="C346" s="1" t="n">
        <v>46100</v>
      </c>
      <c r="D346" t="inlineStr">
        <is>
          <t>STOCKHOLMS LÄN</t>
        </is>
      </c>
      <c r="E346" t="inlineStr">
        <is>
          <t>NORRTÄLJE</t>
        </is>
      </c>
      <c r="G346" t="n">
        <v>0.4</v>
      </c>
      <c r="H346" t="n">
        <v>0</v>
      </c>
      <c r="I346" t="n">
        <v>0</v>
      </c>
      <c r="J346" t="n">
        <v>0</v>
      </c>
      <c r="K346" t="n">
        <v>0</v>
      </c>
      <c r="L346" t="n">
        <v>0</v>
      </c>
      <c r="M346" t="n">
        <v>0</v>
      </c>
      <c r="N346" t="n">
        <v>0</v>
      </c>
      <c r="O346" t="n">
        <v>0</v>
      </c>
      <c r="P346" t="n">
        <v>0</v>
      </c>
      <c r="Q346" t="n">
        <v>0</v>
      </c>
      <c r="R346" s="2" t="inlineStr"/>
    </row>
    <row r="347" ht="15" customHeight="1">
      <c r="A347" t="inlineStr">
        <is>
          <t>A 13171-2025</t>
        </is>
      </c>
      <c r="B347" s="1" t="n">
        <v>45735.36594907408</v>
      </c>
      <c r="C347" s="1" t="n">
        <v>46100</v>
      </c>
      <c r="D347" t="inlineStr">
        <is>
          <t>STOCKHOLMS LÄN</t>
        </is>
      </c>
      <c r="E347" t="inlineStr">
        <is>
          <t>NORRTÄLJE</t>
        </is>
      </c>
      <c r="G347" t="n">
        <v>5.1</v>
      </c>
      <c r="H347" t="n">
        <v>0</v>
      </c>
      <c r="I347" t="n">
        <v>0</v>
      </c>
      <c r="J347" t="n">
        <v>0</v>
      </c>
      <c r="K347" t="n">
        <v>0</v>
      </c>
      <c r="L347" t="n">
        <v>0</v>
      </c>
      <c r="M347" t="n">
        <v>0</v>
      </c>
      <c r="N347" t="n">
        <v>0</v>
      </c>
      <c r="O347" t="n">
        <v>0</v>
      </c>
      <c r="P347" t="n">
        <v>0</v>
      </c>
      <c r="Q347" t="n">
        <v>0</v>
      </c>
      <c r="R347" s="2" t="inlineStr"/>
    </row>
    <row r="348" ht="15" customHeight="1">
      <c r="A348" t="inlineStr">
        <is>
          <t>A 11929-2024</t>
        </is>
      </c>
      <c r="B348" s="1" t="n">
        <v>45376.64532407407</v>
      </c>
      <c r="C348" s="1" t="n">
        <v>46100</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64145-2021</t>
        </is>
      </c>
      <c r="B349" s="1" t="n">
        <v>44510</v>
      </c>
      <c r="C349" s="1" t="n">
        <v>46100</v>
      </c>
      <c r="D349" t="inlineStr">
        <is>
          <t>STOCKHOLMS LÄN</t>
        </is>
      </c>
      <c r="E349" t="inlineStr">
        <is>
          <t>NORRTÄLJE</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1740-2023</t>
        </is>
      </c>
      <c r="B350" s="1" t="n">
        <v>44938</v>
      </c>
      <c r="C350" s="1" t="n">
        <v>46100</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4596-2023</t>
        </is>
      </c>
      <c r="B351" s="1" t="n">
        <v>44956</v>
      </c>
      <c r="C351" s="1" t="n">
        <v>46100</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51978-2023</t>
        </is>
      </c>
      <c r="B352" s="1" t="n">
        <v>45223</v>
      </c>
      <c r="C352" s="1" t="n">
        <v>46100</v>
      </c>
      <c r="D352" t="inlineStr">
        <is>
          <t>STOCKHOLMS LÄN</t>
        </is>
      </c>
      <c r="E352" t="inlineStr">
        <is>
          <t>NORRTÄLJE</t>
        </is>
      </c>
      <c r="G352" t="n">
        <v>1.9</v>
      </c>
      <c r="H352" t="n">
        <v>0</v>
      </c>
      <c r="I352" t="n">
        <v>0</v>
      </c>
      <c r="J352" t="n">
        <v>0</v>
      </c>
      <c r="K352" t="n">
        <v>0</v>
      </c>
      <c r="L352" t="n">
        <v>0</v>
      </c>
      <c r="M352" t="n">
        <v>0</v>
      </c>
      <c r="N352" t="n">
        <v>0</v>
      </c>
      <c r="O352" t="n">
        <v>0</v>
      </c>
      <c r="P352" t="n">
        <v>0</v>
      </c>
      <c r="Q352" t="n">
        <v>0</v>
      </c>
      <c r="R352" s="2" t="inlineStr"/>
    </row>
    <row r="353" ht="15" customHeight="1">
      <c r="A353" t="inlineStr">
        <is>
          <t>A 18092-2022</t>
        </is>
      </c>
      <c r="B353" s="1" t="n">
        <v>44684</v>
      </c>
      <c r="C353" s="1" t="n">
        <v>46100</v>
      </c>
      <c r="D353" t="inlineStr">
        <is>
          <t>STOCKHOLMS LÄN</t>
        </is>
      </c>
      <c r="E353" t="inlineStr">
        <is>
          <t>NORRTÄLJE</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59310-2023</t>
        </is>
      </c>
      <c r="B354" s="1" t="n">
        <v>45253.61146990741</v>
      </c>
      <c r="C354" s="1" t="n">
        <v>46100</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10676-2025</t>
        </is>
      </c>
      <c r="B355" s="1" t="n">
        <v>45721.88684027778</v>
      </c>
      <c r="C355" s="1" t="n">
        <v>46100</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9329-2023</t>
        </is>
      </c>
      <c r="B356" s="1" t="n">
        <v>44980</v>
      </c>
      <c r="C356" s="1" t="n">
        <v>46100</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20852-2023</t>
        </is>
      </c>
      <c r="B357" s="1" t="n">
        <v>45058.78607638889</v>
      </c>
      <c r="C357" s="1" t="n">
        <v>46100</v>
      </c>
      <c r="D357" t="inlineStr">
        <is>
          <t>STOCKHOLMS LÄN</t>
        </is>
      </c>
      <c r="E357" t="inlineStr">
        <is>
          <t>NORRTÄLJE</t>
        </is>
      </c>
      <c r="G357" t="n">
        <v>3.5</v>
      </c>
      <c r="H357" t="n">
        <v>0</v>
      </c>
      <c r="I357" t="n">
        <v>0</v>
      </c>
      <c r="J357" t="n">
        <v>0</v>
      </c>
      <c r="K357" t="n">
        <v>0</v>
      </c>
      <c r="L357" t="n">
        <v>0</v>
      </c>
      <c r="M357" t="n">
        <v>0</v>
      </c>
      <c r="N357" t="n">
        <v>0</v>
      </c>
      <c r="O357" t="n">
        <v>0</v>
      </c>
      <c r="P357" t="n">
        <v>0</v>
      </c>
      <c r="Q357" t="n">
        <v>0</v>
      </c>
      <c r="R357" s="2" t="inlineStr"/>
    </row>
    <row r="358" ht="15" customHeight="1">
      <c r="A358" t="inlineStr">
        <is>
          <t>A 59878-2024</t>
        </is>
      </c>
      <c r="B358" s="1" t="n">
        <v>45640.60240740741</v>
      </c>
      <c r="C358" s="1" t="n">
        <v>46100</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22456-2023</t>
        </is>
      </c>
      <c r="B359" s="1" t="n">
        <v>45070</v>
      </c>
      <c r="C359" s="1" t="n">
        <v>46100</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41335-2023</t>
        </is>
      </c>
      <c r="B360" s="1" t="n">
        <v>45174.68702546296</v>
      </c>
      <c r="C360" s="1" t="n">
        <v>46100</v>
      </c>
      <c r="D360" t="inlineStr">
        <is>
          <t>STOCKHOLMS LÄN</t>
        </is>
      </c>
      <c r="E360" t="inlineStr">
        <is>
          <t>NORRTÄLJE</t>
        </is>
      </c>
      <c r="F360" t="inlineStr">
        <is>
          <t>Holmen skog AB</t>
        </is>
      </c>
      <c r="G360" t="n">
        <v>4.4</v>
      </c>
      <c r="H360" t="n">
        <v>0</v>
      </c>
      <c r="I360" t="n">
        <v>0</v>
      </c>
      <c r="J360" t="n">
        <v>0</v>
      </c>
      <c r="K360" t="n">
        <v>0</v>
      </c>
      <c r="L360" t="n">
        <v>0</v>
      </c>
      <c r="M360" t="n">
        <v>0</v>
      </c>
      <c r="N360" t="n">
        <v>0</v>
      </c>
      <c r="O360" t="n">
        <v>0</v>
      </c>
      <c r="P360" t="n">
        <v>0</v>
      </c>
      <c r="Q360" t="n">
        <v>0</v>
      </c>
      <c r="R360" s="2" t="inlineStr"/>
    </row>
    <row r="361" ht="15" customHeight="1">
      <c r="A361" t="inlineStr">
        <is>
          <t>A 8296-2023</t>
        </is>
      </c>
      <c r="B361" s="1" t="n">
        <v>44974</v>
      </c>
      <c r="C361" s="1" t="n">
        <v>46100</v>
      </c>
      <c r="D361" t="inlineStr">
        <is>
          <t>STOCKHOLMS LÄN</t>
        </is>
      </c>
      <c r="E361" t="inlineStr">
        <is>
          <t>NORRTÄLJE</t>
        </is>
      </c>
      <c r="G361" t="n">
        <v>3.8</v>
      </c>
      <c r="H361" t="n">
        <v>0</v>
      </c>
      <c r="I361" t="n">
        <v>0</v>
      </c>
      <c r="J361" t="n">
        <v>0</v>
      </c>
      <c r="K361" t="n">
        <v>0</v>
      </c>
      <c r="L361" t="n">
        <v>0</v>
      </c>
      <c r="M361" t="n">
        <v>0</v>
      </c>
      <c r="N361" t="n">
        <v>0</v>
      </c>
      <c r="O361" t="n">
        <v>0</v>
      </c>
      <c r="P361" t="n">
        <v>0</v>
      </c>
      <c r="Q361" t="n">
        <v>0</v>
      </c>
      <c r="R361" s="2" t="inlineStr"/>
    </row>
    <row r="362" ht="15" customHeight="1">
      <c r="A362" t="inlineStr">
        <is>
          <t>A 17785-2024</t>
        </is>
      </c>
      <c r="B362" s="1" t="n">
        <v>45418.6968287037</v>
      </c>
      <c r="C362" s="1" t="n">
        <v>46100</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33040-2021</t>
        </is>
      </c>
      <c r="B363" s="1" t="n">
        <v>44376.50728009259</v>
      </c>
      <c r="C363" s="1" t="n">
        <v>46100</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33053-2021</t>
        </is>
      </c>
      <c r="B364" s="1" t="n">
        <v>44376</v>
      </c>
      <c r="C364" s="1" t="n">
        <v>46100</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24575-2024</t>
        </is>
      </c>
      <c r="B365" s="1" t="n">
        <v>45460.45523148148</v>
      </c>
      <c r="C365" s="1" t="n">
        <v>46100</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64899-2023</t>
        </is>
      </c>
      <c r="B366" s="1" t="n">
        <v>45282</v>
      </c>
      <c r="C366" s="1" t="n">
        <v>46100</v>
      </c>
      <c r="D366" t="inlineStr">
        <is>
          <t>STOCKHOLMS LÄN</t>
        </is>
      </c>
      <c r="E366" t="inlineStr">
        <is>
          <t>NORRTÄLJE</t>
        </is>
      </c>
      <c r="G366" t="n">
        <v>6.3</v>
      </c>
      <c r="H366" t="n">
        <v>0</v>
      </c>
      <c r="I366" t="n">
        <v>0</v>
      </c>
      <c r="J366" t="n">
        <v>0</v>
      </c>
      <c r="K366" t="n">
        <v>0</v>
      </c>
      <c r="L366" t="n">
        <v>0</v>
      </c>
      <c r="M366" t="n">
        <v>0</v>
      </c>
      <c r="N366" t="n">
        <v>0</v>
      </c>
      <c r="O366" t="n">
        <v>0</v>
      </c>
      <c r="P366" t="n">
        <v>0</v>
      </c>
      <c r="Q366" t="n">
        <v>0</v>
      </c>
      <c r="R366" s="2" t="inlineStr"/>
    </row>
    <row r="367" ht="15" customHeight="1">
      <c r="A367" t="inlineStr">
        <is>
          <t>A 52593-2024</t>
        </is>
      </c>
      <c r="B367" s="1" t="n">
        <v>45609.70778935185</v>
      </c>
      <c r="C367" s="1" t="n">
        <v>46100</v>
      </c>
      <c r="D367" t="inlineStr">
        <is>
          <t>STOCKHOLMS LÄN</t>
        </is>
      </c>
      <c r="E367" t="inlineStr">
        <is>
          <t>NORRTÄLJE</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52617-2024</t>
        </is>
      </c>
      <c r="B368" s="1" t="n">
        <v>45609.85146990741</v>
      </c>
      <c r="C368" s="1" t="n">
        <v>46100</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6678-2025</t>
        </is>
      </c>
      <c r="B369" s="1" t="n">
        <v>45700</v>
      </c>
      <c r="C369" s="1" t="n">
        <v>46100</v>
      </c>
      <c r="D369" t="inlineStr">
        <is>
          <t>STOCKHOLMS LÄN</t>
        </is>
      </c>
      <c r="E369" t="inlineStr">
        <is>
          <t>NORRTÄLJE</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43150-2023</t>
        </is>
      </c>
      <c r="B370" s="1" t="n">
        <v>45183</v>
      </c>
      <c r="C370" s="1" t="n">
        <v>46100</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54259-2023</t>
        </is>
      </c>
      <c r="B371" s="1" t="n">
        <v>45232</v>
      </c>
      <c r="C371" s="1" t="n">
        <v>46100</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60822-2023</t>
        </is>
      </c>
      <c r="B372" s="1" t="n">
        <v>45259</v>
      </c>
      <c r="C372" s="1" t="n">
        <v>46100</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22816-2021</t>
        </is>
      </c>
      <c r="B373" s="1" t="n">
        <v>44325</v>
      </c>
      <c r="C373" s="1" t="n">
        <v>46100</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59904-2023</t>
        </is>
      </c>
      <c r="B374" s="1" t="n">
        <v>45257</v>
      </c>
      <c r="C374" s="1" t="n">
        <v>46100</v>
      </c>
      <c r="D374" t="inlineStr">
        <is>
          <t>STOCKHOLMS LÄN</t>
        </is>
      </c>
      <c r="E374" t="inlineStr">
        <is>
          <t>NORRTÄLJE</t>
        </is>
      </c>
      <c r="G374" t="n">
        <v>17.4</v>
      </c>
      <c r="H374" t="n">
        <v>0</v>
      </c>
      <c r="I374" t="n">
        <v>0</v>
      </c>
      <c r="J374" t="n">
        <v>0</v>
      </c>
      <c r="K374" t="n">
        <v>0</v>
      </c>
      <c r="L374" t="n">
        <v>0</v>
      </c>
      <c r="M374" t="n">
        <v>0</v>
      </c>
      <c r="N374" t="n">
        <v>0</v>
      </c>
      <c r="O374" t="n">
        <v>0</v>
      </c>
      <c r="P374" t="n">
        <v>0</v>
      </c>
      <c r="Q374" t="n">
        <v>0</v>
      </c>
      <c r="R374" s="2" t="inlineStr"/>
    </row>
    <row r="375" ht="15" customHeight="1">
      <c r="A375" t="inlineStr">
        <is>
          <t>A 9914-2023</t>
        </is>
      </c>
      <c r="B375" s="1" t="n">
        <v>44985</v>
      </c>
      <c r="C375" s="1" t="n">
        <v>46100</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11062-2024</t>
        </is>
      </c>
      <c r="B376" s="1" t="n">
        <v>45370</v>
      </c>
      <c r="C376" s="1" t="n">
        <v>46100</v>
      </c>
      <c r="D376" t="inlineStr">
        <is>
          <t>STOCKHOLMS LÄN</t>
        </is>
      </c>
      <c r="E376" t="inlineStr">
        <is>
          <t>NORRTÄLJE</t>
        </is>
      </c>
      <c r="G376" t="n">
        <v>3.2</v>
      </c>
      <c r="H376" t="n">
        <v>0</v>
      </c>
      <c r="I376" t="n">
        <v>0</v>
      </c>
      <c r="J376" t="n">
        <v>0</v>
      </c>
      <c r="K376" t="n">
        <v>0</v>
      </c>
      <c r="L376" t="n">
        <v>0</v>
      </c>
      <c r="M376" t="n">
        <v>0</v>
      </c>
      <c r="N376" t="n">
        <v>0</v>
      </c>
      <c r="O376" t="n">
        <v>0</v>
      </c>
      <c r="P376" t="n">
        <v>0</v>
      </c>
      <c r="Q376" t="n">
        <v>0</v>
      </c>
      <c r="R376" s="2" t="inlineStr"/>
    </row>
    <row r="377" ht="15" customHeight="1">
      <c r="A377" t="inlineStr">
        <is>
          <t>A 19982-2022</t>
        </is>
      </c>
      <c r="B377" s="1" t="n">
        <v>44697</v>
      </c>
      <c r="C377" s="1" t="n">
        <v>46100</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33569-2023</t>
        </is>
      </c>
      <c r="B378" s="1" t="n">
        <v>45131.666875</v>
      </c>
      <c r="C378" s="1" t="n">
        <v>46100</v>
      </c>
      <c r="D378" t="inlineStr">
        <is>
          <t>STOCKHOLMS LÄN</t>
        </is>
      </c>
      <c r="E378" t="inlineStr">
        <is>
          <t>NORRTÄLJE</t>
        </is>
      </c>
      <c r="G378" t="n">
        <v>2.3</v>
      </c>
      <c r="H378" t="n">
        <v>0</v>
      </c>
      <c r="I378" t="n">
        <v>0</v>
      </c>
      <c r="J378" t="n">
        <v>0</v>
      </c>
      <c r="K378" t="n">
        <v>0</v>
      </c>
      <c r="L378" t="n">
        <v>0</v>
      </c>
      <c r="M378" t="n">
        <v>0</v>
      </c>
      <c r="N378" t="n">
        <v>0</v>
      </c>
      <c r="O378" t="n">
        <v>0</v>
      </c>
      <c r="P378" t="n">
        <v>0</v>
      </c>
      <c r="Q378" t="n">
        <v>0</v>
      </c>
      <c r="R378" s="2" t="inlineStr"/>
    </row>
    <row r="379" ht="15" customHeight="1">
      <c r="A379" t="inlineStr">
        <is>
          <t>A 42075-2023</t>
        </is>
      </c>
      <c r="B379" s="1" t="n">
        <v>45177</v>
      </c>
      <c r="C379" s="1" t="n">
        <v>46100</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38720-2025</t>
        </is>
      </c>
      <c r="B380" s="1" t="n">
        <v>45886</v>
      </c>
      <c r="C380" s="1" t="n">
        <v>46100</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27381-2024</t>
        </is>
      </c>
      <c r="B381" s="1" t="n">
        <v>45473.94501157408</v>
      </c>
      <c r="C381" s="1" t="n">
        <v>46100</v>
      </c>
      <c r="D381" t="inlineStr">
        <is>
          <t>STOCKHOLMS LÄN</t>
        </is>
      </c>
      <c r="E381" t="inlineStr">
        <is>
          <t>NORRTÄLJE</t>
        </is>
      </c>
      <c r="G381" t="n">
        <v>4.5</v>
      </c>
      <c r="H381" t="n">
        <v>0</v>
      </c>
      <c r="I381" t="n">
        <v>0</v>
      </c>
      <c r="J381" t="n">
        <v>0</v>
      </c>
      <c r="K381" t="n">
        <v>0</v>
      </c>
      <c r="L381" t="n">
        <v>0</v>
      </c>
      <c r="M381" t="n">
        <v>0</v>
      </c>
      <c r="N381" t="n">
        <v>0</v>
      </c>
      <c r="O381" t="n">
        <v>0</v>
      </c>
      <c r="P381" t="n">
        <v>0</v>
      </c>
      <c r="Q381" t="n">
        <v>0</v>
      </c>
      <c r="R381" s="2" t="inlineStr"/>
    </row>
    <row r="382" ht="15" customHeight="1">
      <c r="A382" t="inlineStr">
        <is>
          <t>A 15905-2023</t>
        </is>
      </c>
      <c r="B382" s="1" t="n">
        <v>45022</v>
      </c>
      <c r="C382" s="1" t="n">
        <v>46100</v>
      </c>
      <c r="D382" t="inlineStr">
        <is>
          <t>STOCKHOLMS LÄN</t>
        </is>
      </c>
      <c r="E382" t="inlineStr">
        <is>
          <t>NORRTÄLJE</t>
        </is>
      </c>
      <c r="G382" t="n">
        <v>3.2</v>
      </c>
      <c r="H382" t="n">
        <v>0</v>
      </c>
      <c r="I382" t="n">
        <v>0</v>
      </c>
      <c r="J382" t="n">
        <v>0</v>
      </c>
      <c r="K382" t="n">
        <v>0</v>
      </c>
      <c r="L382" t="n">
        <v>0</v>
      </c>
      <c r="M382" t="n">
        <v>0</v>
      </c>
      <c r="N382" t="n">
        <v>0</v>
      </c>
      <c r="O382" t="n">
        <v>0</v>
      </c>
      <c r="P382" t="n">
        <v>0</v>
      </c>
      <c r="Q382" t="n">
        <v>0</v>
      </c>
      <c r="R382" s="2" t="inlineStr"/>
    </row>
    <row r="383" ht="15" customHeight="1">
      <c r="A383" t="inlineStr">
        <is>
          <t>A 50108-2021</t>
        </is>
      </c>
      <c r="B383" s="1" t="n">
        <v>44456</v>
      </c>
      <c r="C383" s="1" t="n">
        <v>46100</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15956-2023</t>
        </is>
      </c>
      <c r="B384" s="1" t="n">
        <v>45022.61003472222</v>
      </c>
      <c r="C384" s="1" t="n">
        <v>46100</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23265-2023</t>
        </is>
      </c>
      <c r="B385" s="1" t="n">
        <v>45075.90703703704</v>
      </c>
      <c r="C385" s="1" t="n">
        <v>46100</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26117-2024</t>
        </is>
      </c>
      <c r="B386" s="1" t="n">
        <v>45468.45877314815</v>
      </c>
      <c r="C386" s="1" t="n">
        <v>46100</v>
      </c>
      <c r="D386" t="inlineStr">
        <is>
          <t>STOCKHOLMS LÄN</t>
        </is>
      </c>
      <c r="E386" t="inlineStr">
        <is>
          <t>NORRTÄLJE</t>
        </is>
      </c>
      <c r="G386" t="n">
        <v>2.4</v>
      </c>
      <c r="H386" t="n">
        <v>0</v>
      </c>
      <c r="I386" t="n">
        <v>0</v>
      </c>
      <c r="J386" t="n">
        <v>0</v>
      </c>
      <c r="K386" t="n">
        <v>0</v>
      </c>
      <c r="L386" t="n">
        <v>0</v>
      </c>
      <c r="M386" t="n">
        <v>0</v>
      </c>
      <c r="N386" t="n">
        <v>0</v>
      </c>
      <c r="O386" t="n">
        <v>0</v>
      </c>
      <c r="P386" t="n">
        <v>0</v>
      </c>
      <c r="Q386" t="n">
        <v>0</v>
      </c>
      <c r="R386" s="2" t="inlineStr"/>
    </row>
    <row r="387" ht="15" customHeight="1">
      <c r="A387" t="inlineStr">
        <is>
          <t>A 47626-2022</t>
        </is>
      </c>
      <c r="B387" s="1" t="n">
        <v>44854</v>
      </c>
      <c r="C387" s="1" t="n">
        <v>46100</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50355-2024</t>
        </is>
      </c>
      <c r="B388" s="1" t="n">
        <v>45600.86128472222</v>
      </c>
      <c r="C388" s="1" t="n">
        <v>46100</v>
      </c>
      <c r="D388" t="inlineStr">
        <is>
          <t>STOCKHOLMS LÄN</t>
        </is>
      </c>
      <c r="E388" t="inlineStr">
        <is>
          <t>NORRTÄLJE</t>
        </is>
      </c>
      <c r="F388" t="inlineStr">
        <is>
          <t>Kommuner</t>
        </is>
      </c>
      <c r="G388" t="n">
        <v>1</v>
      </c>
      <c r="H388" t="n">
        <v>0</v>
      </c>
      <c r="I388" t="n">
        <v>0</v>
      </c>
      <c r="J388" t="n">
        <v>0</v>
      </c>
      <c r="K388" t="n">
        <v>0</v>
      </c>
      <c r="L388" t="n">
        <v>0</v>
      </c>
      <c r="M388" t="n">
        <v>0</v>
      </c>
      <c r="N388" t="n">
        <v>0</v>
      </c>
      <c r="O388" t="n">
        <v>0</v>
      </c>
      <c r="P388" t="n">
        <v>0</v>
      </c>
      <c r="Q388" t="n">
        <v>0</v>
      </c>
      <c r="R388" s="2" t="inlineStr"/>
    </row>
    <row r="389" ht="15" customHeight="1">
      <c r="A389" t="inlineStr">
        <is>
          <t>A 62206-2022</t>
        </is>
      </c>
      <c r="B389" s="1" t="n">
        <v>44922</v>
      </c>
      <c r="C389" s="1" t="n">
        <v>46100</v>
      </c>
      <c r="D389" t="inlineStr">
        <is>
          <t>STOCKHOLMS LÄN</t>
        </is>
      </c>
      <c r="E389" t="inlineStr">
        <is>
          <t>NORRTÄLJE</t>
        </is>
      </c>
      <c r="G389" t="n">
        <v>2.9</v>
      </c>
      <c r="H389" t="n">
        <v>0</v>
      </c>
      <c r="I389" t="n">
        <v>0</v>
      </c>
      <c r="J389" t="n">
        <v>0</v>
      </c>
      <c r="K389" t="n">
        <v>0</v>
      </c>
      <c r="L389" t="n">
        <v>0</v>
      </c>
      <c r="M389" t="n">
        <v>0</v>
      </c>
      <c r="N389" t="n">
        <v>0</v>
      </c>
      <c r="O389" t="n">
        <v>0</v>
      </c>
      <c r="P389" t="n">
        <v>0</v>
      </c>
      <c r="Q389" t="n">
        <v>0</v>
      </c>
      <c r="R389" s="2" t="inlineStr"/>
    </row>
    <row r="390" ht="15" customHeight="1">
      <c r="A390" t="inlineStr">
        <is>
          <t>A 20618-2022</t>
        </is>
      </c>
      <c r="B390" s="1" t="n">
        <v>44700.50659722222</v>
      </c>
      <c r="C390" s="1" t="n">
        <v>46100</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40192-2023</t>
        </is>
      </c>
      <c r="B391" s="1" t="n">
        <v>45169</v>
      </c>
      <c r="C391" s="1" t="n">
        <v>46100</v>
      </c>
      <c r="D391" t="inlineStr">
        <is>
          <t>STOCKHOLMS LÄN</t>
        </is>
      </c>
      <c r="E391" t="inlineStr">
        <is>
          <t>NORRTÄLJE</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44917-2022</t>
        </is>
      </c>
      <c r="B392" s="1" t="n">
        <v>44841.52804398148</v>
      </c>
      <c r="C392" s="1" t="n">
        <v>46100</v>
      </c>
      <c r="D392" t="inlineStr">
        <is>
          <t>STOCKHOLMS LÄN</t>
        </is>
      </c>
      <c r="E392" t="inlineStr">
        <is>
          <t>NORRTÄLJE</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11900-2022</t>
        </is>
      </c>
      <c r="B393" s="1" t="n">
        <v>44635</v>
      </c>
      <c r="C393" s="1" t="n">
        <v>46100</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55058-2021</t>
        </is>
      </c>
      <c r="B394" s="1" t="n">
        <v>44474.62141203704</v>
      </c>
      <c r="C394" s="1" t="n">
        <v>46100</v>
      </c>
      <c r="D394" t="inlineStr">
        <is>
          <t>STOCKHOLMS LÄN</t>
        </is>
      </c>
      <c r="E394" t="inlineStr">
        <is>
          <t>NORRTÄLJE</t>
        </is>
      </c>
      <c r="G394" t="n">
        <v>1.9</v>
      </c>
      <c r="H394" t="n">
        <v>0</v>
      </c>
      <c r="I394" t="n">
        <v>0</v>
      </c>
      <c r="J394" t="n">
        <v>0</v>
      </c>
      <c r="K394" t="n">
        <v>0</v>
      </c>
      <c r="L394" t="n">
        <v>0</v>
      </c>
      <c r="M394" t="n">
        <v>0</v>
      </c>
      <c r="N394" t="n">
        <v>0</v>
      </c>
      <c r="O394" t="n">
        <v>0</v>
      </c>
      <c r="P394" t="n">
        <v>0</v>
      </c>
      <c r="Q394" t="n">
        <v>0</v>
      </c>
      <c r="R394" s="2" t="inlineStr"/>
    </row>
    <row r="395" ht="15" customHeight="1">
      <c r="A395" t="inlineStr">
        <is>
          <t>A 10973-2025</t>
        </is>
      </c>
      <c r="B395" s="1" t="n">
        <v>45723</v>
      </c>
      <c r="C395" s="1" t="n">
        <v>46100</v>
      </c>
      <c r="D395" t="inlineStr">
        <is>
          <t>STOCKHOLMS LÄN</t>
        </is>
      </c>
      <c r="E395" t="inlineStr">
        <is>
          <t>NORRTÄLJE</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20336-2024</t>
        </is>
      </c>
      <c r="B396" s="1" t="n">
        <v>45435.43123842592</v>
      </c>
      <c r="C396" s="1" t="n">
        <v>46100</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27885-2022</t>
        </is>
      </c>
      <c r="B397" s="1" t="n">
        <v>44743.67418981482</v>
      </c>
      <c r="C397" s="1" t="n">
        <v>46100</v>
      </c>
      <c r="D397" t="inlineStr">
        <is>
          <t>STOCKHOLMS LÄN</t>
        </is>
      </c>
      <c r="E397" t="inlineStr">
        <is>
          <t>NORRTÄLJE</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1847-2023</t>
        </is>
      </c>
      <c r="B398" s="1" t="n">
        <v>44938</v>
      </c>
      <c r="C398" s="1" t="n">
        <v>46100</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55012-2024</t>
        </is>
      </c>
      <c r="B399" s="1" t="n">
        <v>45621.34813657407</v>
      </c>
      <c r="C399" s="1" t="n">
        <v>46100</v>
      </c>
      <c r="D399" t="inlineStr">
        <is>
          <t>STOCKHOLMS LÄN</t>
        </is>
      </c>
      <c r="E399" t="inlineStr">
        <is>
          <t>NORRTÄLJE</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38593-2025</t>
        </is>
      </c>
      <c r="B400" s="1" t="n">
        <v>45884.48696759259</v>
      </c>
      <c r="C400" s="1" t="n">
        <v>46100</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7413-2024</t>
        </is>
      </c>
      <c r="B401" s="1" t="n">
        <v>45345.6059837963</v>
      </c>
      <c r="C401" s="1" t="n">
        <v>46100</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12251-2025</t>
        </is>
      </c>
      <c r="B402" s="1" t="n">
        <v>45729.60859953704</v>
      </c>
      <c r="C402" s="1" t="n">
        <v>46100</v>
      </c>
      <c r="D402" t="inlineStr">
        <is>
          <t>STOCKHOLMS LÄN</t>
        </is>
      </c>
      <c r="E402" t="inlineStr">
        <is>
          <t>NORRTÄLJE</t>
        </is>
      </c>
      <c r="F402" t="inlineStr">
        <is>
          <t>Holmen skog AB</t>
        </is>
      </c>
      <c r="G402" t="n">
        <v>5.9</v>
      </c>
      <c r="H402" t="n">
        <v>0</v>
      </c>
      <c r="I402" t="n">
        <v>0</v>
      </c>
      <c r="J402" t="n">
        <v>0</v>
      </c>
      <c r="K402" t="n">
        <v>0</v>
      </c>
      <c r="L402" t="n">
        <v>0</v>
      </c>
      <c r="M402" t="n">
        <v>0</v>
      </c>
      <c r="N402" t="n">
        <v>0</v>
      </c>
      <c r="O402" t="n">
        <v>0</v>
      </c>
      <c r="P402" t="n">
        <v>0</v>
      </c>
      <c r="Q402" t="n">
        <v>0</v>
      </c>
      <c r="R402" s="2" t="inlineStr"/>
    </row>
    <row r="403" ht="15" customHeight="1">
      <c r="A403" t="inlineStr">
        <is>
          <t>A 58863-2024</t>
        </is>
      </c>
      <c r="B403" s="1" t="n">
        <v>45636.41572916666</v>
      </c>
      <c r="C403" s="1" t="n">
        <v>46100</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59721-2024</t>
        </is>
      </c>
      <c r="B404" s="1" t="n">
        <v>45639.47385416667</v>
      </c>
      <c r="C404" s="1" t="n">
        <v>46100</v>
      </c>
      <c r="D404" t="inlineStr">
        <is>
          <t>STOCKHOLMS LÄN</t>
        </is>
      </c>
      <c r="E404" t="inlineStr">
        <is>
          <t>NORRTÄLJE</t>
        </is>
      </c>
      <c r="G404" t="n">
        <v>4.6</v>
      </c>
      <c r="H404" t="n">
        <v>0</v>
      </c>
      <c r="I404" t="n">
        <v>0</v>
      </c>
      <c r="J404" t="n">
        <v>0</v>
      </c>
      <c r="K404" t="n">
        <v>0</v>
      </c>
      <c r="L404" t="n">
        <v>0</v>
      </c>
      <c r="M404" t="n">
        <v>0</v>
      </c>
      <c r="N404" t="n">
        <v>0</v>
      </c>
      <c r="O404" t="n">
        <v>0</v>
      </c>
      <c r="P404" t="n">
        <v>0</v>
      </c>
      <c r="Q404" t="n">
        <v>0</v>
      </c>
      <c r="R404" s="2" t="inlineStr"/>
    </row>
    <row r="405" ht="15" customHeight="1">
      <c r="A405" t="inlineStr">
        <is>
          <t>A 50154-2024</t>
        </is>
      </c>
      <c r="B405" s="1" t="n">
        <v>45600.4558912037</v>
      </c>
      <c r="C405" s="1" t="n">
        <v>46100</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60224-2023</t>
        </is>
      </c>
      <c r="B406" s="1" t="n">
        <v>45257</v>
      </c>
      <c r="C406" s="1" t="n">
        <v>46100</v>
      </c>
      <c r="D406" t="inlineStr">
        <is>
          <t>STOCKHOLMS LÄN</t>
        </is>
      </c>
      <c r="E406" t="inlineStr">
        <is>
          <t>NORRTÄLJE</t>
        </is>
      </c>
      <c r="G406" t="n">
        <v>8.1</v>
      </c>
      <c r="H406" t="n">
        <v>0</v>
      </c>
      <c r="I406" t="n">
        <v>0</v>
      </c>
      <c r="J406" t="n">
        <v>0</v>
      </c>
      <c r="K406" t="n">
        <v>0</v>
      </c>
      <c r="L406" t="n">
        <v>0</v>
      </c>
      <c r="M406" t="n">
        <v>0</v>
      </c>
      <c r="N406" t="n">
        <v>0</v>
      </c>
      <c r="O406" t="n">
        <v>0</v>
      </c>
      <c r="P406" t="n">
        <v>0</v>
      </c>
      <c r="Q406" t="n">
        <v>0</v>
      </c>
      <c r="R406" s="2" t="inlineStr"/>
    </row>
    <row r="407" ht="15" customHeight="1">
      <c r="A407" t="inlineStr">
        <is>
          <t>A 11900-2024</t>
        </is>
      </c>
      <c r="B407" s="1" t="n">
        <v>45376.55484953704</v>
      </c>
      <c r="C407" s="1" t="n">
        <v>46100</v>
      </c>
      <c r="D407" t="inlineStr">
        <is>
          <t>STOCKHOLMS LÄN</t>
        </is>
      </c>
      <c r="E407" t="inlineStr">
        <is>
          <t>NORRTÄLJE</t>
        </is>
      </c>
      <c r="G407" t="n">
        <v>4.2</v>
      </c>
      <c r="H407" t="n">
        <v>0</v>
      </c>
      <c r="I407" t="n">
        <v>0</v>
      </c>
      <c r="J407" t="n">
        <v>0</v>
      </c>
      <c r="K407" t="n">
        <v>0</v>
      </c>
      <c r="L407" t="n">
        <v>0</v>
      </c>
      <c r="M407" t="n">
        <v>0</v>
      </c>
      <c r="N407" t="n">
        <v>0</v>
      </c>
      <c r="O407" t="n">
        <v>0</v>
      </c>
      <c r="P407" t="n">
        <v>0</v>
      </c>
      <c r="Q407" t="n">
        <v>0</v>
      </c>
      <c r="R407" s="2" t="inlineStr"/>
    </row>
    <row r="408" ht="15" customHeight="1">
      <c r="A408" t="inlineStr">
        <is>
          <t>A 5158-2024</t>
        </is>
      </c>
      <c r="B408" s="1" t="n">
        <v>45330.50098379629</v>
      </c>
      <c r="C408" s="1" t="n">
        <v>46100</v>
      </c>
      <c r="D408" t="inlineStr">
        <is>
          <t>STOCKHOLMS LÄN</t>
        </is>
      </c>
      <c r="E408" t="inlineStr">
        <is>
          <t>NORRTÄLJE</t>
        </is>
      </c>
      <c r="G408" t="n">
        <v>0.8</v>
      </c>
      <c r="H408" t="n">
        <v>0</v>
      </c>
      <c r="I408" t="n">
        <v>0</v>
      </c>
      <c r="J408" t="n">
        <v>0</v>
      </c>
      <c r="K408" t="n">
        <v>0</v>
      </c>
      <c r="L408" t="n">
        <v>0</v>
      </c>
      <c r="M408" t="n">
        <v>0</v>
      </c>
      <c r="N408" t="n">
        <v>0</v>
      </c>
      <c r="O408" t="n">
        <v>0</v>
      </c>
      <c r="P408" t="n">
        <v>0</v>
      </c>
      <c r="Q408" t="n">
        <v>0</v>
      </c>
      <c r="R408" s="2" t="inlineStr"/>
    </row>
    <row r="409" ht="15" customHeight="1">
      <c r="A409" t="inlineStr">
        <is>
          <t>A 37010-2022</t>
        </is>
      </c>
      <c r="B409" s="1" t="n">
        <v>44806.41576388889</v>
      </c>
      <c r="C409" s="1" t="n">
        <v>46100</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951-2023</t>
        </is>
      </c>
      <c r="B410" s="1" t="n">
        <v>44934</v>
      </c>
      <c r="C410" s="1" t="n">
        <v>46100</v>
      </c>
      <c r="D410" t="inlineStr">
        <is>
          <t>STOCKHOLMS LÄN</t>
        </is>
      </c>
      <c r="E410" t="inlineStr">
        <is>
          <t>NORRTÄLJE</t>
        </is>
      </c>
      <c r="G410" t="n">
        <v>3.7</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46100</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9130-2025</t>
        </is>
      </c>
      <c r="B412" s="1" t="n">
        <v>45713.92623842593</v>
      </c>
      <c r="C412" s="1" t="n">
        <v>46100</v>
      </c>
      <c r="D412" t="inlineStr">
        <is>
          <t>STOCKHOLMS LÄN</t>
        </is>
      </c>
      <c r="E412" t="inlineStr">
        <is>
          <t>NORRTÄLJE</t>
        </is>
      </c>
      <c r="G412" t="n">
        <v>16</v>
      </c>
      <c r="H412" t="n">
        <v>0</v>
      </c>
      <c r="I412" t="n">
        <v>0</v>
      </c>
      <c r="J412" t="n">
        <v>0</v>
      </c>
      <c r="K412" t="n">
        <v>0</v>
      </c>
      <c r="L412" t="n">
        <v>0</v>
      </c>
      <c r="M412" t="n">
        <v>0</v>
      </c>
      <c r="N412" t="n">
        <v>0</v>
      </c>
      <c r="O412" t="n">
        <v>0</v>
      </c>
      <c r="P412" t="n">
        <v>0</v>
      </c>
      <c r="Q412" t="n">
        <v>0</v>
      </c>
      <c r="R412" s="2" t="inlineStr"/>
    </row>
    <row r="413" ht="15" customHeight="1">
      <c r="A413" t="inlineStr">
        <is>
          <t>A 5423-2023</t>
        </is>
      </c>
      <c r="B413" s="1" t="n">
        <v>44959.74533564815</v>
      </c>
      <c r="C413" s="1" t="n">
        <v>46100</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50182-2024</t>
        </is>
      </c>
      <c r="B414" s="1" t="n">
        <v>45600.47275462963</v>
      </c>
      <c r="C414" s="1" t="n">
        <v>46100</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17551-2025</t>
        </is>
      </c>
      <c r="B415" s="1" t="n">
        <v>45757.61421296297</v>
      </c>
      <c r="C415" s="1" t="n">
        <v>46100</v>
      </c>
      <c r="D415" t="inlineStr">
        <is>
          <t>STOCKHOLMS LÄN</t>
        </is>
      </c>
      <c r="E415" t="inlineStr">
        <is>
          <t>NORRTÄLJE</t>
        </is>
      </c>
      <c r="G415" t="n">
        <v>2.8</v>
      </c>
      <c r="H415" t="n">
        <v>0</v>
      </c>
      <c r="I415" t="n">
        <v>0</v>
      </c>
      <c r="J415" t="n">
        <v>0</v>
      </c>
      <c r="K415" t="n">
        <v>0</v>
      </c>
      <c r="L415" t="n">
        <v>0</v>
      </c>
      <c r="M415" t="n">
        <v>0</v>
      </c>
      <c r="N415" t="n">
        <v>0</v>
      </c>
      <c r="O415" t="n">
        <v>0</v>
      </c>
      <c r="P415" t="n">
        <v>0</v>
      </c>
      <c r="Q415" t="n">
        <v>0</v>
      </c>
      <c r="R415" s="2" t="inlineStr"/>
    </row>
    <row r="416" ht="15" customHeight="1">
      <c r="A416" t="inlineStr">
        <is>
          <t>A 12629-2024</t>
        </is>
      </c>
      <c r="B416" s="1" t="n">
        <v>45383</v>
      </c>
      <c r="C416" s="1" t="n">
        <v>46100</v>
      </c>
      <c r="D416" t="inlineStr">
        <is>
          <t>STOCKHOLMS LÄN</t>
        </is>
      </c>
      <c r="E416" t="inlineStr">
        <is>
          <t>NORRTÄLJE</t>
        </is>
      </c>
      <c r="G416" t="n">
        <v>2.6</v>
      </c>
      <c r="H416" t="n">
        <v>0</v>
      </c>
      <c r="I416" t="n">
        <v>0</v>
      </c>
      <c r="J416" t="n">
        <v>0</v>
      </c>
      <c r="K416" t="n">
        <v>0</v>
      </c>
      <c r="L416" t="n">
        <v>0</v>
      </c>
      <c r="M416" t="n">
        <v>0</v>
      </c>
      <c r="N416" t="n">
        <v>0</v>
      </c>
      <c r="O416" t="n">
        <v>0</v>
      </c>
      <c r="P416" t="n">
        <v>0</v>
      </c>
      <c r="Q416" t="n">
        <v>0</v>
      </c>
      <c r="R416" s="2" t="inlineStr"/>
    </row>
    <row r="417" ht="15" customHeight="1">
      <c r="A417" t="inlineStr">
        <is>
          <t>A 23749-2024</t>
        </is>
      </c>
      <c r="B417" s="1" t="n">
        <v>45455.33037037037</v>
      </c>
      <c r="C417" s="1" t="n">
        <v>46100</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55010-2024</t>
        </is>
      </c>
      <c r="B418" s="1" t="n">
        <v>45621.34425925926</v>
      </c>
      <c r="C418" s="1" t="n">
        <v>46100</v>
      </c>
      <c r="D418" t="inlineStr">
        <is>
          <t>STOCKHOLMS LÄN</t>
        </is>
      </c>
      <c r="E418" t="inlineStr">
        <is>
          <t>NORRTÄLJE</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31105-2022</t>
        </is>
      </c>
      <c r="B419" s="1" t="n">
        <v>44769.66039351852</v>
      </c>
      <c r="C419" s="1" t="n">
        <v>46100</v>
      </c>
      <c r="D419" t="inlineStr">
        <is>
          <t>STOCKHOLMS LÄN</t>
        </is>
      </c>
      <c r="E419" t="inlineStr">
        <is>
          <t>NORRTÄLJE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58277-2023</t>
        </is>
      </c>
      <c r="B420" s="1" t="n">
        <v>45245</v>
      </c>
      <c r="C420" s="1" t="n">
        <v>46100</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35708-2022</t>
        </is>
      </c>
      <c r="B421" s="1" t="n">
        <v>44799.65013888889</v>
      </c>
      <c r="C421" s="1" t="n">
        <v>46100</v>
      </c>
      <c r="D421" t="inlineStr">
        <is>
          <t>STOCKHOLMS LÄN</t>
        </is>
      </c>
      <c r="E421" t="inlineStr">
        <is>
          <t>NORRTÄLJE</t>
        </is>
      </c>
      <c r="G421" t="n">
        <v>1.5</v>
      </c>
      <c r="H421" t="n">
        <v>0</v>
      </c>
      <c r="I421" t="n">
        <v>0</v>
      </c>
      <c r="J421" t="n">
        <v>0</v>
      </c>
      <c r="K421" t="n">
        <v>0</v>
      </c>
      <c r="L421" t="n">
        <v>0</v>
      </c>
      <c r="M421" t="n">
        <v>0</v>
      </c>
      <c r="N421" t="n">
        <v>0</v>
      </c>
      <c r="O421" t="n">
        <v>0</v>
      </c>
      <c r="P421" t="n">
        <v>0</v>
      </c>
      <c r="Q421" t="n">
        <v>0</v>
      </c>
      <c r="R421" s="2" t="inlineStr"/>
    </row>
    <row r="422" ht="15" customHeight="1">
      <c r="A422" t="inlineStr">
        <is>
          <t>A 32705-2022</t>
        </is>
      </c>
      <c r="B422" s="1" t="n">
        <v>44783</v>
      </c>
      <c r="C422" s="1" t="n">
        <v>46100</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47481-2024</t>
        </is>
      </c>
      <c r="B423" s="1" t="n">
        <v>45587</v>
      </c>
      <c r="C423" s="1" t="n">
        <v>46100</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57037-2022</t>
        </is>
      </c>
      <c r="B424" s="1" t="n">
        <v>44895</v>
      </c>
      <c r="C424" s="1" t="n">
        <v>46100</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45220-2024</t>
        </is>
      </c>
      <c r="B425" s="1" t="n">
        <v>45575</v>
      </c>
      <c r="C425" s="1" t="n">
        <v>46100</v>
      </c>
      <c r="D425" t="inlineStr">
        <is>
          <t>STOCKHOLMS LÄN</t>
        </is>
      </c>
      <c r="E425" t="inlineStr">
        <is>
          <t>NORRTÄLJE</t>
        </is>
      </c>
      <c r="G425" t="n">
        <v>4.3</v>
      </c>
      <c r="H425" t="n">
        <v>0</v>
      </c>
      <c r="I425" t="n">
        <v>0</v>
      </c>
      <c r="J425" t="n">
        <v>0</v>
      </c>
      <c r="K425" t="n">
        <v>0</v>
      </c>
      <c r="L425" t="n">
        <v>0</v>
      </c>
      <c r="M425" t="n">
        <v>0</v>
      </c>
      <c r="N425" t="n">
        <v>0</v>
      </c>
      <c r="O425" t="n">
        <v>0</v>
      </c>
      <c r="P425" t="n">
        <v>0</v>
      </c>
      <c r="Q425" t="n">
        <v>0</v>
      </c>
      <c r="R425" s="2" t="inlineStr"/>
    </row>
    <row r="426" ht="15" customHeight="1">
      <c r="A426" t="inlineStr">
        <is>
          <t>A 21731-2023</t>
        </is>
      </c>
      <c r="B426" s="1" t="n">
        <v>45063</v>
      </c>
      <c r="C426" s="1" t="n">
        <v>46100</v>
      </c>
      <c r="D426" t="inlineStr">
        <is>
          <t>STOCKHOLMS LÄN</t>
        </is>
      </c>
      <c r="E426" t="inlineStr">
        <is>
          <t>NORRTÄLJE</t>
        </is>
      </c>
      <c r="G426" t="n">
        <v>2.3</v>
      </c>
      <c r="H426" t="n">
        <v>0</v>
      </c>
      <c r="I426" t="n">
        <v>0</v>
      </c>
      <c r="J426" t="n">
        <v>0</v>
      </c>
      <c r="K426" t="n">
        <v>0</v>
      </c>
      <c r="L426" t="n">
        <v>0</v>
      </c>
      <c r="M426" t="n">
        <v>0</v>
      </c>
      <c r="N426" t="n">
        <v>0</v>
      </c>
      <c r="O426" t="n">
        <v>0</v>
      </c>
      <c r="P426" t="n">
        <v>0</v>
      </c>
      <c r="Q426" t="n">
        <v>0</v>
      </c>
      <c r="R426" s="2" t="inlineStr"/>
    </row>
    <row r="427" ht="15" customHeight="1">
      <c r="A427" t="inlineStr">
        <is>
          <t>A 11940-2023</t>
        </is>
      </c>
      <c r="B427" s="1" t="n">
        <v>44995</v>
      </c>
      <c r="C427" s="1" t="n">
        <v>46100</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23266-2023</t>
        </is>
      </c>
      <c r="B428" s="1" t="n">
        <v>45075.90817129629</v>
      </c>
      <c r="C428" s="1" t="n">
        <v>46100</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27677-2025</t>
        </is>
      </c>
      <c r="B429" s="1" t="n">
        <v>45813.63650462963</v>
      </c>
      <c r="C429" s="1" t="n">
        <v>46100</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30620-2022</t>
        </is>
      </c>
      <c r="B430" s="1" t="n">
        <v>44763.40914351852</v>
      </c>
      <c r="C430" s="1" t="n">
        <v>46100</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50113-2024</t>
        </is>
      </c>
      <c r="B431" s="1" t="n">
        <v>45600.411875</v>
      </c>
      <c r="C431" s="1" t="n">
        <v>46100</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28365-2022</t>
        </is>
      </c>
      <c r="B432" s="1" t="n">
        <v>44747</v>
      </c>
      <c r="C432" s="1" t="n">
        <v>46100</v>
      </c>
      <c r="D432" t="inlineStr">
        <is>
          <t>STOCKHOLMS LÄN</t>
        </is>
      </c>
      <c r="E432" t="inlineStr">
        <is>
          <t>NORRTÄLJE</t>
        </is>
      </c>
      <c r="G432" t="n">
        <v>5.1</v>
      </c>
      <c r="H432" t="n">
        <v>0</v>
      </c>
      <c r="I432" t="n">
        <v>0</v>
      </c>
      <c r="J432" t="n">
        <v>0</v>
      </c>
      <c r="K432" t="n">
        <v>0</v>
      </c>
      <c r="L432" t="n">
        <v>0</v>
      </c>
      <c r="M432" t="n">
        <v>0</v>
      </c>
      <c r="N432" t="n">
        <v>0</v>
      </c>
      <c r="O432" t="n">
        <v>0</v>
      </c>
      <c r="P432" t="n">
        <v>0</v>
      </c>
      <c r="Q432" t="n">
        <v>0</v>
      </c>
      <c r="R432" s="2" t="inlineStr"/>
    </row>
    <row r="433" ht="15" customHeight="1">
      <c r="A433" t="inlineStr">
        <is>
          <t>A 39152-2025</t>
        </is>
      </c>
      <c r="B433" s="1" t="n">
        <v>45888</v>
      </c>
      <c r="C433" s="1" t="n">
        <v>46100</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2281-2024</t>
        </is>
      </c>
      <c r="B434" s="1" t="n">
        <v>45310.40628472222</v>
      </c>
      <c r="C434" s="1" t="n">
        <v>46100</v>
      </c>
      <c r="D434" t="inlineStr">
        <is>
          <t>STOCKHOLMS LÄN</t>
        </is>
      </c>
      <c r="E434" t="inlineStr">
        <is>
          <t>NORRTÄLJE</t>
        </is>
      </c>
      <c r="G434" t="n">
        <v>2.7</v>
      </c>
      <c r="H434" t="n">
        <v>0</v>
      </c>
      <c r="I434" t="n">
        <v>0</v>
      </c>
      <c r="J434" t="n">
        <v>0</v>
      </c>
      <c r="K434" t="n">
        <v>0</v>
      </c>
      <c r="L434" t="n">
        <v>0</v>
      </c>
      <c r="M434" t="n">
        <v>0</v>
      </c>
      <c r="N434" t="n">
        <v>0</v>
      </c>
      <c r="O434" t="n">
        <v>0</v>
      </c>
      <c r="P434" t="n">
        <v>0</v>
      </c>
      <c r="Q434" t="n">
        <v>0</v>
      </c>
      <c r="R434" s="2" t="inlineStr"/>
    </row>
    <row r="435" ht="15" customHeight="1">
      <c r="A435" t="inlineStr">
        <is>
          <t>A 42955-2022</t>
        </is>
      </c>
      <c r="B435" s="1" t="n">
        <v>44833.40876157407</v>
      </c>
      <c r="C435" s="1" t="n">
        <v>46100</v>
      </c>
      <c r="D435" t="inlineStr">
        <is>
          <t>STOCKHOLMS LÄN</t>
        </is>
      </c>
      <c r="E435" t="inlineStr">
        <is>
          <t>NORRTÄLJE</t>
        </is>
      </c>
      <c r="G435" t="n">
        <v>13.1</v>
      </c>
      <c r="H435" t="n">
        <v>0</v>
      </c>
      <c r="I435" t="n">
        <v>0</v>
      </c>
      <c r="J435" t="n">
        <v>0</v>
      </c>
      <c r="K435" t="n">
        <v>0</v>
      </c>
      <c r="L435" t="n">
        <v>0</v>
      </c>
      <c r="M435" t="n">
        <v>0</v>
      </c>
      <c r="N435" t="n">
        <v>0</v>
      </c>
      <c r="O435" t="n">
        <v>0</v>
      </c>
      <c r="P435" t="n">
        <v>0</v>
      </c>
      <c r="Q435" t="n">
        <v>0</v>
      </c>
      <c r="R435" s="2" t="inlineStr"/>
    </row>
    <row r="436" ht="15" customHeight="1">
      <c r="A436" t="inlineStr">
        <is>
          <t>A 60525-2022</t>
        </is>
      </c>
      <c r="B436" s="1" t="n">
        <v>44904</v>
      </c>
      <c r="C436" s="1" t="n">
        <v>46100</v>
      </c>
      <c r="D436" t="inlineStr">
        <is>
          <t>STOCKHOLMS LÄN</t>
        </is>
      </c>
      <c r="E436" t="inlineStr">
        <is>
          <t>NORRTÄLJE</t>
        </is>
      </c>
      <c r="G436" t="n">
        <v>13.4</v>
      </c>
      <c r="H436" t="n">
        <v>0</v>
      </c>
      <c r="I436" t="n">
        <v>0</v>
      </c>
      <c r="J436" t="n">
        <v>0</v>
      </c>
      <c r="K436" t="n">
        <v>0</v>
      </c>
      <c r="L436" t="n">
        <v>0</v>
      </c>
      <c r="M436" t="n">
        <v>0</v>
      </c>
      <c r="N436" t="n">
        <v>0</v>
      </c>
      <c r="O436" t="n">
        <v>0</v>
      </c>
      <c r="P436" t="n">
        <v>0</v>
      </c>
      <c r="Q436" t="n">
        <v>0</v>
      </c>
      <c r="R436" s="2" t="inlineStr"/>
    </row>
    <row r="437" ht="15" customHeight="1">
      <c r="A437" t="inlineStr">
        <is>
          <t>A 1283-2025</t>
        </is>
      </c>
      <c r="B437" s="1" t="n">
        <v>45667.49878472222</v>
      </c>
      <c r="C437" s="1" t="n">
        <v>46100</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47521-2024</t>
        </is>
      </c>
      <c r="B438" s="1" t="n">
        <v>45587.62565972222</v>
      </c>
      <c r="C438" s="1" t="n">
        <v>46100</v>
      </c>
      <c r="D438" t="inlineStr">
        <is>
          <t>STOCKHOLMS LÄN</t>
        </is>
      </c>
      <c r="E438" t="inlineStr">
        <is>
          <t>NORRTÄLJE</t>
        </is>
      </c>
      <c r="G438" t="n">
        <v>4.7</v>
      </c>
      <c r="H438" t="n">
        <v>0</v>
      </c>
      <c r="I438" t="n">
        <v>0</v>
      </c>
      <c r="J438" t="n">
        <v>0</v>
      </c>
      <c r="K438" t="n">
        <v>0</v>
      </c>
      <c r="L438" t="n">
        <v>0</v>
      </c>
      <c r="M438" t="n">
        <v>0</v>
      </c>
      <c r="N438" t="n">
        <v>0</v>
      </c>
      <c r="O438" t="n">
        <v>0</v>
      </c>
      <c r="P438" t="n">
        <v>0</v>
      </c>
      <c r="Q438" t="n">
        <v>0</v>
      </c>
      <c r="R438" s="2" t="inlineStr"/>
    </row>
    <row r="439" ht="15" customHeight="1">
      <c r="A439" t="inlineStr">
        <is>
          <t>A 58260-2023</t>
        </is>
      </c>
      <c r="B439" s="1" t="n">
        <v>45245</v>
      </c>
      <c r="C439" s="1" t="n">
        <v>46100</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58261-2023</t>
        </is>
      </c>
      <c r="B440" s="1" t="n">
        <v>45245</v>
      </c>
      <c r="C440" s="1" t="n">
        <v>46100</v>
      </c>
      <c r="D440" t="inlineStr">
        <is>
          <t>STOCKHOLMS LÄN</t>
        </is>
      </c>
      <c r="E440" t="inlineStr">
        <is>
          <t>NORRTÄLJE</t>
        </is>
      </c>
      <c r="G440" t="n">
        <v>53.5</v>
      </c>
      <c r="H440" t="n">
        <v>0</v>
      </c>
      <c r="I440" t="n">
        <v>0</v>
      </c>
      <c r="J440" t="n">
        <v>0</v>
      </c>
      <c r="K440" t="n">
        <v>0</v>
      </c>
      <c r="L440" t="n">
        <v>0</v>
      </c>
      <c r="M440" t="n">
        <v>0</v>
      </c>
      <c r="N440" t="n">
        <v>0</v>
      </c>
      <c r="O440" t="n">
        <v>0</v>
      </c>
      <c r="P440" t="n">
        <v>0</v>
      </c>
      <c r="Q440" t="n">
        <v>0</v>
      </c>
      <c r="R440" s="2" t="inlineStr"/>
    </row>
    <row r="441" ht="15" customHeight="1">
      <c r="A441" t="inlineStr">
        <is>
          <t>A 39213-2022</t>
        </is>
      </c>
      <c r="B441" s="1" t="n">
        <v>44817.56120370371</v>
      </c>
      <c r="C441" s="1" t="n">
        <v>46100</v>
      </c>
      <c r="D441" t="inlineStr">
        <is>
          <t>STOCKHOLMS LÄN</t>
        </is>
      </c>
      <c r="E441" t="inlineStr">
        <is>
          <t>NORRTÄLJE</t>
        </is>
      </c>
      <c r="G441" t="n">
        <v>3.4</v>
      </c>
      <c r="H441" t="n">
        <v>0</v>
      </c>
      <c r="I441" t="n">
        <v>0</v>
      </c>
      <c r="J441" t="n">
        <v>0</v>
      </c>
      <c r="K441" t="n">
        <v>0</v>
      </c>
      <c r="L441" t="n">
        <v>0</v>
      </c>
      <c r="M441" t="n">
        <v>0</v>
      </c>
      <c r="N441" t="n">
        <v>0</v>
      </c>
      <c r="O441" t="n">
        <v>0</v>
      </c>
      <c r="P441" t="n">
        <v>0</v>
      </c>
      <c r="Q441" t="n">
        <v>0</v>
      </c>
      <c r="R441" s="2" t="inlineStr"/>
    </row>
    <row r="442" ht="15" customHeight="1">
      <c r="A442" t="inlineStr">
        <is>
          <t>A 41976-2024</t>
        </is>
      </c>
      <c r="B442" s="1" t="n">
        <v>45561.62141203704</v>
      </c>
      <c r="C442" s="1" t="n">
        <v>46100</v>
      </c>
      <c r="D442" t="inlineStr">
        <is>
          <t>STOCKHOLMS LÄN</t>
        </is>
      </c>
      <c r="E442" t="inlineStr">
        <is>
          <t>NORRTÄLJE</t>
        </is>
      </c>
      <c r="G442" t="n">
        <v>2.5</v>
      </c>
      <c r="H442" t="n">
        <v>0</v>
      </c>
      <c r="I442" t="n">
        <v>0</v>
      </c>
      <c r="J442" t="n">
        <v>0</v>
      </c>
      <c r="K442" t="n">
        <v>0</v>
      </c>
      <c r="L442" t="n">
        <v>0</v>
      </c>
      <c r="M442" t="n">
        <v>0</v>
      </c>
      <c r="N442" t="n">
        <v>0</v>
      </c>
      <c r="O442" t="n">
        <v>0</v>
      </c>
      <c r="P442" t="n">
        <v>0</v>
      </c>
      <c r="Q442" t="n">
        <v>0</v>
      </c>
      <c r="R442" s="2" t="inlineStr"/>
    </row>
    <row r="443" ht="15" customHeight="1">
      <c r="A443" t="inlineStr">
        <is>
          <t>A 51325-2023</t>
        </is>
      </c>
      <c r="B443" s="1" t="n">
        <v>45219</v>
      </c>
      <c r="C443" s="1" t="n">
        <v>46100</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59534-2024</t>
        </is>
      </c>
      <c r="B444" s="1" t="n">
        <v>45638.5987037037</v>
      </c>
      <c r="C444" s="1" t="n">
        <v>46100</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31107-2022</t>
        </is>
      </c>
      <c r="B445" s="1" t="n">
        <v>44769.66864583334</v>
      </c>
      <c r="C445" s="1" t="n">
        <v>46100</v>
      </c>
      <c r="D445" t="inlineStr">
        <is>
          <t>STOCKHOLMS LÄN</t>
        </is>
      </c>
      <c r="E445" t="inlineStr">
        <is>
          <t>NORRTÄLJE</t>
        </is>
      </c>
      <c r="G445" t="n">
        <v>3.8</v>
      </c>
      <c r="H445" t="n">
        <v>0</v>
      </c>
      <c r="I445" t="n">
        <v>0</v>
      </c>
      <c r="J445" t="n">
        <v>0</v>
      </c>
      <c r="K445" t="n">
        <v>0</v>
      </c>
      <c r="L445" t="n">
        <v>0</v>
      </c>
      <c r="M445" t="n">
        <v>0</v>
      </c>
      <c r="N445" t="n">
        <v>0</v>
      </c>
      <c r="O445" t="n">
        <v>0</v>
      </c>
      <c r="P445" t="n">
        <v>0</v>
      </c>
      <c r="Q445" t="n">
        <v>0</v>
      </c>
      <c r="R445" s="2" t="inlineStr"/>
    </row>
    <row r="446" ht="15" customHeight="1">
      <c r="A446" t="inlineStr">
        <is>
          <t>A 13767-2025</t>
        </is>
      </c>
      <c r="B446" s="1" t="n">
        <v>45737.43347222222</v>
      </c>
      <c r="C446" s="1" t="n">
        <v>46100</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13860-2023</t>
        </is>
      </c>
      <c r="B447" s="1" t="n">
        <v>45007</v>
      </c>
      <c r="C447" s="1" t="n">
        <v>46100</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6855-2025</t>
        </is>
      </c>
      <c r="B448" s="1" t="n">
        <v>45700</v>
      </c>
      <c r="C448" s="1" t="n">
        <v>46100</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20013-2025</t>
        </is>
      </c>
      <c r="B449" s="1" t="n">
        <v>45772.30436342592</v>
      </c>
      <c r="C449" s="1" t="n">
        <v>46100</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53362-2023</t>
        </is>
      </c>
      <c r="B450" s="1" t="n">
        <v>45223</v>
      </c>
      <c r="C450" s="1" t="n">
        <v>46100</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15422-2024</t>
        </is>
      </c>
      <c r="B451" s="1" t="n">
        <v>45401.3653125</v>
      </c>
      <c r="C451" s="1" t="n">
        <v>46100</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13314-2025</t>
        </is>
      </c>
      <c r="B452" s="1" t="n">
        <v>45735.59287037037</v>
      </c>
      <c r="C452" s="1" t="n">
        <v>46100</v>
      </c>
      <c r="D452" t="inlineStr">
        <is>
          <t>STOCKHOLMS LÄN</t>
        </is>
      </c>
      <c r="E452" t="inlineStr">
        <is>
          <t>NORRTÄLJE</t>
        </is>
      </c>
      <c r="G452" t="n">
        <v>2.4</v>
      </c>
      <c r="H452" t="n">
        <v>0</v>
      </c>
      <c r="I452" t="n">
        <v>0</v>
      </c>
      <c r="J452" t="n">
        <v>0</v>
      </c>
      <c r="K452" t="n">
        <v>0</v>
      </c>
      <c r="L452" t="n">
        <v>0</v>
      </c>
      <c r="M452" t="n">
        <v>0</v>
      </c>
      <c r="N452" t="n">
        <v>0</v>
      </c>
      <c r="O452" t="n">
        <v>0</v>
      </c>
      <c r="P452" t="n">
        <v>0</v>
      </c>
      <c r="Q452" t="n">
        <v>0</v>
      </c>
      <c r="R452" s="2" t="inlineStr"/>
    </row>
    <row r="453" ht="15" customHeight="1">
      <c r="A453" t="inlineStr">
        <is>
          <t>A 30508-2023</t>
        </is>
      </c>
      <c r="B453" s="1" t="n">
        <v>45111</v>
      </c>
      <c r="C453" s="1" t="n">
        <v>46100</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29266-2022</t>
        </is>
      </c>
      <c r="B454" s="1" t="n">
        <v>44750.66068287037</v>
      </c>
      <c r="C454" s="1" t="n">
        <v>46100</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29278-2022</t>
        </is>
      </c>
      <c r="B455" s="1" t="n">
        <v>44750</v>
      </c>
      <c r="C455" s="1" t="n">
        <v>46100</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37273-2024</t>
        </is>
      </c>
      <c r="B456" s="1" t="n">
        <v>45540</v>
      </c>
      <c r="C456" s="1" t="n">
        <v>46100</v>
      </c>
      <c r="D456" t="inlineStr">
        <is>
          <t>STOCKHOLMS LÄN</t>
        </is>
      </c>
      <c r="E456" t="inlineStr">
        <is>
          <t>NORRTÄLJE</t>
        </is>
      </c>
      <c r="F456" t="inlineStr">
        <is>
          <t>Sveaskog</t>
        </is>
      </c>
      <c r="G456" t="n">
        <v>12.5</v>
      </c>
      <c r="H456" t="n">
        <v>0</v>
      </c>
      <c r="I456" t="n">
        <v>0</v>
      </c>
      <c r="J456" t="n">
        <v>0</v>
      </c>
      <c r="K456" t="n">
        <v>0</v>
      </c>
      <c r="L456" t="n">
        <v>0</v>
      </c>
      <c r="M456" t="n">
        <v>0</v>
      </c>
      <c r="N456" t="n">
        <v>0</v>
      </c>
      <c r="O456" t="n">
        <v>0</v>
      </c>
      <c r="P456" t="n">
        <v>0</v>
      </c>
      <c r="Q456" t="n">
        <v>0</v>
      </c>
      <c r="R456" s="2" t="inlineStr"/>
    </row>
    <row r="457" ht="15" customHeight="1">
      <c r="A457" t="inlineStr">
        <is>
          <t>A 12908-2025</t>
        </is>
      </c>
      <c r="B457" s="1" t="n">
        <v>45733.82105324074</v>
      </c>
      <c r="C457" s="1" t="n">
        <v>46100</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34432-2021</t>
        </is>
      </c>
      <c r="B458" s="1" t="n">
        <v>44380.77346064815</v>
      </c>
      <c r="C458" s="1" t="n">
        <v>46100</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16008-2025</t>
        </is>
      </c>
      <c r="B459" s="1" t="n">
        <v>45749</v>
      </c>
      <c r="C459" s="1" t="n">
        <v>46100</v>
      </c>
      <c r="D459" t="inlineStr">
        <is>
          <t>STOCKHOLMS LÄN</t>
        </is>
      </c>
      <c r="E459" t="inlineStr">
        <is>
          <t>NORRTÄLJE</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21158-2022</t>
        </is>
      </c>
      <c r="B460" s="1" t="n">
        <v>44704</v>
      </c>
      <c r="C460" s="1" t="n">
        <v>46100</v>
      </c>
      <c r="D460" t="inlineStr">
        <is>
          <t>STOCKHOLMS LÄN</t>
        </is>
      </c>
      <c r="E460" t="inlineStr">
        <is>
          <t>NORRTÄLJE</t>
        </is>
      </c>
      <c r="G460" t="n">
        <v>17.8</v>
      </c>
      <c r="H460" t="n">
        <v>0</v>
      </c>
      <c r="I460" t="n">
        <v>0</v>
      </c>
      <c r="J460" t="n">
        <v>0</v>
      </c>
      <c r="K460" t="n">
        <v>0</v>
      </c>
      <c r="L460" t="n">
        <v>0</v>
      </c>
      <c r="M460" t="n">
        <v>0</v>
      </c>
      <c r="N460" t="n">
        <v>0</v>
      </c>
      <c r="O460" t="n">
        <v>0</v>
      </c>
      <c r="P460" t="n">
        <v>0</v>
      </c>
      <c r="Q460" t="n">
        <v>0</v>
      </c>
      <c r="R460" s="2" t="inlineStr"/>
    </row>
    <row r="461" ht="15" customHeight="1">
      <c r="A461" t="inlineStr">
        <is>
          <t>A 23060-2023</t>
        </is>
      </c>
      <c r="B461" s="1" t="n">
        <v>45075</v>
      </c>
      <c r="C461" s="1" t="n">
        <v>46100</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39149-2025</t>
        </is>
      </c>
      <c r="B462" s="1" t="n">
        <v>45888.60714120371</v>
      </c>
      <c r="C462" s="1" t="n">
        <v>46100</v>
      </c>
      <c r="D462" t="inlineStr">
        <is>
          <t>STOCKHOLMS LÄN</t>
        </is>
      </c>
      <c r="E462" t="inlineStr">
        <is>
          <t>NORRTÄLJE</t>
        </is>
      </c>
      <c r="G462" t="n">
        <v>3.5</v>
      </c>
      <c r="H462" t="n">
        <v>0</v>
      </c>
      <c r="I462" t="n">
        <v>0</v>
      </c>
      <c r="J462" t="n">
        <v>0</v>
      </c>
      <c r="K462" t="n">
        <v>0</v>
      </c>
      <c r="L462" t="n">
        <v>0</v>
      </c>
      <c r="M462" t="n">
        <v>0</v>
      </c>
      <c r="N462" t="n">
        <v>0</v>
      </c>
      <c r="O462" t="n">
        <v>0</v>
      </c>
      <c r="P462" t="n">
        <v>0</v>
      </c>
      <c r="Q462" t="n">
        <v>0</v>
      </c>
      <c r="R462" s="2" t="inlineStr"/>
    </row>
    <row r="463" ht="15" customHeight="1">
      <c r="A463" t="inlineStr">
        <is>
          <t>A 32101-2022</t>
        </is>
      </c>
      <c r="B463" s="1" t="n">
        <v>44778.69210648148</v>
      </c>
      <c r="C463" s="1" t="n">
        <v>46100</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23150-2024</t>
        </is>
      </c>
      <c r="B464" s="1" t="n">
        <v>45450.64643518518</v>
      </c>
      <c r="C464" s="1" t="n">
        <v>46100</v>
      </c>
      <c r="D464" t="inlineStr">
        <is>
          <t>STOCKHOLMS LÄN</t>
        </is>
      </c>
      <c r="E464" t="inlineStr">
        <is>
          <t>NORRTÄLJE</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23149-2024</t>
        </is>
      </c>
      <c r="B465" s="1" t="n">
        <v>45450.64208333333</v>
      </c>
      <c r="C465" s="1" t="n">
        <v>46100</v>
      </c>
      <c r="D465" t="inlineStr">
        <is>
          <t>STOCKHOLMS LÄN</t>
        </is>
      </c>
      <c r="E465" t="inlineStr">
        <is>
          <t>NORRTÄLJE</t>
        </is>
      </c>
      <c r="F465" t="inlineStr">
        <is>
          <t>Kommuner</t>
        </is>
      </c>
      <c r="G465" t="n">
        <v>1.3</v>
      </c>
      <c r="H465" t="n">
        <v>0</v>
      </c>
      <c r="I465" t="n">
        <v>0</v>
      </c>
      <c r="J465" t="n">
        <v>0</v>
      </c>
      <c r="K465" t="n">
        <v>0</v>
      </c>
      <c r="L465" t="n">
        <v>0</v>
      </c>
      <c r="M465" t="n">
        <v>0</v>
      </c>
      <c r="N465" t="n">
        <v>0</v>
      </c>
      <c r="O465" t="n">
        <v>0</v>
      </c>
      <c r="P465" t="n">
        <v>0</v>
      </c>
      <c r="Q465" t="n">
        <v>0</v>
      </c>
      <c r="R465" s="2" t="inlineStr"/>
    </row>
    <row r="466" ht="15" customHeight="1">
      <c r="A466" t="inlineStr">
        <is>
          <t>A 23151-2024</t>
        </is>
      </c>
      <c r="B466" s="1" t="n">
        <v>45450</v>
      </c>
      <c r="C466" s="1" t="n">
        <v>46100</v>
      </c>
      <c r="D466" t="inlineStr">
        <is>
          <t>STOCKHOLMS LÄN</t>
        </is>
      </c>
      <c r="E466" t="inlineStr">
        <is>
          <t>NORRTÄLJE</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24933-2023</t>
        </is>
      </c>
      <c r="B467" s="1" t="n">
        <v>45085.5309375</v>
      </c>
      <c r="C467" s="1" t="n">
        <v>46100</v>
      </c>
      <c r="D467" t="inlineStr">
        <is>
          <t>STOCKHOLMS LÄN</t>
        </is>
      </c>
      <c r="E467" t="inlineStr">
        <is>
          <t>NORRTÄLJE</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32103-2022</t>
        </is>
      </c>
      <c r="B468" s="1" t="n">
        <v>44778</v>
      </c>
      <c r="C468" s="1" t="n">
        <v>46100</v>
      </c>
      <c r="D468" t="inlineStr">
        <is>
          <t>STOCKHOLMS LÄN</t>
        </is>
      </c>
      <c r="E468" t="inlineStr">
        <is>
          <t>NORRTÄLJE</t>
        </is>
      </c>
      <c r="G468" t="n">
        <v>3.4</v>
      </c>
      <c r="H468" t="n">
        <v>0</v>
      </c>
      <c r="I468" t="n">
        <v>0</v>
      </c>
      <c r="J468" t="n">
        <v>0</v>
      </c>
      <c r="K468" t="n">
        <v>0</v>
      </c>
      <c r="L468" t="n">
        <v>0</v>
      </c>
      <c r="M468" t="n">
        <v>0</v>
      </c>
      <c r="N468" t="n">
        <v>0</v>
      </c>
      <c r="O468" t="n">
        <v>0</v>
      </c>
      <c r="P468" t="n">
        <v>0</v>
      </c>
      <c r="Q468" t="n">
        <v>0</v>
      </c>
      <c r="R468" s="2" t="inlineStr"/>
    </row>
    <row r="469" ht="15" customHeight="1">
      <c r="A469" t="inlineStr">
        <is>
          <t>A 6401-2024</t>
        </is>
      </c>
      <c r="B469" s="1" t="n">
        <v>45338</v>
      </c>
      <c r="C469" s="1" t="n">
        <v>46100</v>
      </c>
      <c r="D469" t="inlineStr">
        <is>
          <t>STOCKHOLMS LÄN</t>
        </is>
      </c>
      <c r="E469" t="inlineStr">
        <is>
          <t>NORRTÄLJE</t>
        </is>
      </c>
      <c r="G469" t="n">
        <v>2.2</v>
      </c>
      <c r="H469" t="n">
        <v>0</v>
      </c>
      <c r="I469" t="n">
        <v>0</v>
      </c>
      <c r="J469" t="n">
        <v>0</v>
      </c>
      <c r="K469" t="n">
        <v>0</v>
      </c>
      <c r="L469" t="n">
        <v>0</v>
      </c>
      <c r="M469" t="n">
        <v>0</v>
      </c>
      <c r="N469" t="n">
        <v>0</v>
      </c>
      <c r="O469" t="n">
        <v>0</v>
      </c>
      <c r="P469" t="n">
        <v>0</v>
      </c>
      <c r="Q469" t="n">
        <v>0</v>
      </c>
      <c r="R469" s="2" t="inlineStr"/>
    </row>
    <row r="470" ht="15" customHeight="1">
      <c r="A470" t="inlineStr">
        <is>
          <t>A 56631-2024</t>
        </is>
      </c>
      <c r="B470" s="1" t="n">
        <v>45625</v>
      </c>
      <c r="C470" s="1" t="n">
        <v>46100</v>
      </c>
      <c r="D470" t="inlineStr">
        <is>
          <t>STOCKHOLMS LÄN</t>
        </is>
      </c>
      <c r="E470" t="inlineStr">
        <is>
          <t>NORRTÄLJE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52001-2023</t>
        </is>
      </c>
      <c r="B471" s="1" t="n">
        <v>45223</v>
      </c>
      <c r="C471" s="1" t="n">
        <v>46100</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59504-2023</t>
        </is>
      </c>
      <c r="B472" s="1" t="n">
        <v>45254</v>
      </c>
      <c r="C472" s="1" t="n">
        <v>46100</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652-2025</t>
        </is>
      </c>
      <c r="B473" s="1" t="n">
        <v>45664</v>
      </c>
      <c r="C473" s="1" t="n">
        <v>46100</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60185-2024</t>
        </is>
      </c>
      <c r="B474" s="1" t="n">
        <v>45642.64634259259</v>
      </c>
      <c r="C474" s="1" t="n">
        <v>46100</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39692-2025</t>
        </is>
      </c>
      <c r="B475" s="1" t="n">
        <v>45890.68083333333</v>
      </c>
      <c r="C475" s="1" t="n">
        <v>46100</v>
      </c>
      <c r="D475" t="inlineStr">
        <is>
          <t>STOCKHOLMS LÄN</t>
        </is>
      </c>
      <c r="E475" t="inlineStr">
        <is>
          <t>NORRTÄLJE</t>
        </is>
      </c>
      <c r="G475" t="n">
        <v>10.5</v>
      </c>
      <c r="H475" t="n">
        <v>0</v>
      </c>
      <c r="I475" t="n">
        <v>0</v>
      </c>
      <c r="J475" t="n">
        <v>0</v>
      </c>
      <c r="K475" t="n">
        <v>0</v>
      </c>
      <c r="L475" t="n">
        <v>0</v>
      </c>
      <c r="M475" t="n">
        <v>0</v>
      </c>
      <c r="N475" t="n">
        <v>0</v>
      </c>
      <c r="O475" t="n">
        <v>0</v>
      </c>
      <c r="P475" t="n">
        <v>0</v>
      </c>
      <c r="Q475" t="n">
        <v>0</v>
      </c>
      <c r="R475" s="2" t="inlineStr"/>
    </row>
    <row r="476" ht="15" customHeight="1">
      <c r="A476" t="inlineStr">
        <is>
          <t>A 48686-2023</t>
        </is>
      </c>
      <c r="B476" s="1" t="n">
        <v>45208</v>
      </c>
      <c r="C476" s="1" t="n">
        <v>46100</v>
      </c>
      <c r="D476" t="inlineStr">
        <is>
          <t>STOCKHOLMS LÄN</t>
        </is>
      </c>
      <c r="E476" t="inlineStr">
        <is>
          <t>NORRTÄLJE</t>
        </is>
      </c>
      <c r="G476" t="n">
        <v>6</v>
      </c>
      <c r="H476" t="n">
        <v>0</v>
      </c>
      <c r="I476" t="n">
        <v>0</v>
      </c>
      <c r="J476" t="n">
        <v>0</v>
      </c>
      <c r="K476" t="n">
        <v>0</v>
      </c>
      <c r="L476" t="n">
        <v>0</v>
      </c>
      <c r="M476" t="n">
        <v>0</v>
      </c>
      <c r="N476" t="n">
        <v>0</v>
      </c>
      <c r="O476" t="n">
        <v>0</v>
      </c>
      <c r="P476" t="n">
        <v>0</v>
      </c>
      <c r="Q476" t="n">
        <v>0</v>
      </c>
      <c r="R476" s="2" t="inlineStr"/>
    </row>
    <row r="477" ht="15" customHeight="1">
      <c r="A477" t="inlineStr">
        <is>
          <t>A 48691-2023</t>
        </is>
      </c>
      <c r="B477" s="1" t="n">
        <v>45208</v>
      </c>
      <c r="C477" s="1" t="n">
        <v>46100</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35639-2025</t>
        </is>
      </c>
      <c r="B478" s="1" t="n">
        <v>45859</v>
      </c>
      <c r="C478" s="1" t="n">
        <v>46100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52321-2024</t>
        </is>
      </c>
      <c r="B479" s="1" t="n">
        <v>45608</v>
      </c>
      <c r="C479" s="1" t="n">
        <v>46100</v>
      </c>
      <c r="D479" t="inlineStr">
        <is>
          <t>STOCKHOLMS LÄN</t>
        </is>
      </c>
      <c r="E479" t="inlineStr">
        <is>
          <t>NORRTÄLJE</t>
        </is>
      </c>
      <c r="G479" t="n">
        <v>18.1</v>
      </c>
      <c r="H479" t="n">
        <v>0</v>
      </c>
      <c r="I479" t="n">
        <v>0</v>
      </c>
      <c r="J479" t="n">
        <v>0</v>
      </c>
      <c r="K479" t="n">
        <v>0</v>
      </c>
      <c r="L479" t="n">
        <v>0</v>
      </c>
      <c r="M479" t="n">
        <v>0</v>
      </c>
      <c r="N479" t="n">
        <v>0</v>
      </c>
      <c r="O479" t="n">
        <v>0</v>
      </c>
      <c r="P479" t="n">
        <v>0</v>
      </c>
      <c r="Q479" t="n">
        <v>0</v>
      </c>
      <c r="R479" s="2" t="inlineStr"/>
    </row>
    <row r="480" ht="15" customHeight="1">
      <c r="A480" t="inlineStr">
        <is>
          <t>A 48151-2024</t>
        </is>
      </c>
      <c r="B480" s="1" t="n">
        <v>45589.68289351852</v>
      </c>
      <c r="C480" s="1" t="n">
        <v>46100</v>
      </c>
      <c r="D480" t="inlineStr">
        <is>
          <t>STOCKHOLMS LÄN</t>
        </is>
      </c>
      <c r="E480" t="inlineStr">
        <is>
          <t>NORRTÄLJE</t>
        </is>
      </c>
      <c r="G480" t="n">
        <v>1.6</v>
      </c>
      <c r="H480" t="n">
        <v>0</v>
      </c>
      <c r="I480" t="n">
        <v>0</v>
      </c>
      <c r="J480" t="n">
        <v>0</v>
      </c>
      <c r="K480" t="n">
        <v>0</v>
      </c>
      <c r="L480" t="n">
        <v>0</v>
      </c>
      <c r="M480" t="n">
        <v>0</v>
      </c>
      <c r="N480" t="n">
        <v>0</v>
      </c>
      <c r="O480" t="n">
        <v>0</v>
      </c>
      <c r="P480" t="n">
        <v>0</v>
      </c>
      <c r="Q480" t="n">
        <v>0</v>
      </c>
      <c r="R480" s="2" t="inlineStr"/>
    </row>
    <row r="481" ht="15" customHeight="1">
      <c r="A481" t="inlineStr">
        <is>
          <t>A 21726-2022</t>
        </is>
      </c>
      <c r="B481" s="1" t="n">
        <v>44708</v>
      </c>
      <c r="C481" s="1" t="n">
        <v>46100</v>
      </c>
      <c r="D481" t="inlineStr">
        <is>
          <t>STOCKHOLMS LÄN</t>
        </is>
      </c>
      <c r="E481" t="inlineStr">
        <is>
          <t>NORRTÄLJE</t>
        </is>
      </c>
      <c r="G481" t="n">
        <v>0.2</v>
      </c>
      <c r="H481" t="n">
        <v>0</v>
      </c>
      <c r="I481" t="n">
        <v>0</v>
      </c>
      <c r="J481" t="n">
        <v>0</v>
      </c>
      <c r="K481" t="n">
        <v>0</v>
      </c>
      <c r="L481" t="n">
        <v>0</v>
      </c>
      <c r="M481" t="n">
        <v>0</v>
      </c>
      <c r="N481" t="n">
        <v>0</v>
      </c>
      <c r="O481" t="n">
        <v>0</v>
      </c>
      <c r="P481" t="n">
        <v>0</v>
      </c>
      <c r="Q481" t="n">
        <v>0</v>
      </c>
      <c r="R481" s="2" t="inlineStr"/>
    </row>
    <row r="482" ht="15" customHeight="1">
      <c r="A482" t="inlineStr">
        <is>
          <t>A 21739-2022</t>
        </is>
      </c>
      <c r="B482" s="1" t="n">
        <v>44708.36708333333</v>
      </c>
      <c r="C482" s="1" t="n">
        <v>46100</v>
      </c>
      <c r="D482" t="inlineStr">
        <is>
          <t>STOCKHOLMS LÄN</t>
        </is>
      </c>
      <c r="E482" t="inlineStr">
        <is>
          <t>NORRTÄLJE</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35636-2025</t>
        </is>
      </c>
      <c r="B483" s="1" t="n">
        <v>45859</v>
      </c>
      <c r="C483" s="1" t="n">
        <v>46100</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35210-2023</t>
        </is>
      </c>
      <c r="B484" s="1" t="n">
        <v>45145.63584490741</v>
      </c>
      <c r="C484" s="1" t="n">
        <v>46100</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59767-2022</t>
        </is>
      </c>
      <c r="B485" s="1" t="n">
        <v>44900</v>
      </c>
      <c r="C485" s="1" t="n">
        <v>46100</v>
      </c>
      <c r="D485" t="inlineStr">
        <is>
          <t>STOCKHOLMS LÄN</t>
        </is>
      </c>
      <c r="E485" t="inlineStr">
        <is>
          <t>NORRTÄLJE</t>
        </is>
      </c>
      <c r="G485" t="n">
        <v>2.2</v>
      </c>
      <c r="H485" t="n">
        <v>0</v>
      </c>
      <c r="I485" t="n">
        <v>0</v>
      </c>
      <c r="J485" t="n">
        <v>0</v>
      </c>
      <c r="K485" t="n">
        <v>0</v>
      </c>
      <c r="L485" t="n">
        <v>0</v>
      </c>
      <c r="M485" t="n">
        <v>0</v>
      </c>
      <c r="N485" t="n">
        <v>0</v>
      </c>
      <c r="O485" t="n">
        <v>0</v>
      </c>
      <c r="P485" t="n">
        <v>0</v>
      </c>
      <c r="Q485" t="n">
        <v>0</v>
      </c>
      <c r="R485" s="2" t="inlineStr"/>
    </row>
    <row r="486" ht="15" customHeight="1">
      <c r="A486" t="inlineStr">
        <is>
          <t>A 5389-2025</t>
        </is>
      </c>
      <c r="B486" s="1" t="n">
        <v>45692</v>
      </c>
      <c r="C486" s="1" t="n">
        <v>46100</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5823-2023</t>
        </is>
      </c>
      <c r="B487" s="1" t="n">
        <v>44963</v>
      </c>
      <c r="C487" s="1" t="n">
        <v>46100</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19915-2024</t>
        </is>
      </c>
      <c r="B488" s="1" t="n">
        <v>45433.58431712963</v>
      </c>
      <c r="C488" s="1" t="n">
        <v>46100</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15217-2023</t>
        </is>
      </c>
      <c r="B489" s="1" t="n">
        <v>45019.28847222222</v>
      </c>
      <c r="C489" s="1" t="n">
        <v>46100</v>
      </c>
      <c r="D489" t="inlineStr">
        <is>
          <t>STOCKHOLMS LÄN</t>
        </is>
      </c>
      <c r="E489" t="inlineStr">
        <is>
          <t>NORRTÄLJE</t>
        </is>
      </c>
      <c r="G489" t="n">
        <v>3.6</v>
      </c>
      <c r="H489" t="n">
        <v>0</v>
      </c>
      <c r="I489" t="n">
        <v>0</v>
      </c>
      <c r="J489" t="n">
        <v>0</v>
      </c>
      <c r="K489" t="n">
        <v>0</v>
      </c>
      <c r="L489" t="n">
        <v>0</v>
      </c>
      <c r="M489" t="n">
        <v>0</v>
      </c>
      <c r="N489" t="n">
        <v>0</v>
      </c>
      <c r="O489" t="n">
        <v>0</v>
      </c>
      <c r="P489" t="n">
        <v>0</v>
      </c>
      <c r="Q489" t="n">
        <v>0</v>
      </c>
      <c r="R489" s="2" t="inlineStr"/>
    </row>
    <row r="490" ht="15" customHeight="1">
      <c r="A490" t="inlineStr">
        <is>
          <t>A 20370-2025</t>
        </is>
      </c>
      <c r="B490" s="1" t="n">
        <v>45775.41451388889</v>
      </c>
      <c r="C490" s="1" t="n">
        <v>46100</v>
      </c>
      <c r="D490" t="inlineStr">
        <is>
          <t>STOCKHOLMS LÄN</t>
        </is>
      </c>
      <c r="E490" t="inlineStr">
        <is>
          <t>NORRTÄLJE</t>
        </is>
      </c>
      <c r="G490" t="n">
        <v>2.9</v>
      </c>
      <c r="H490" t="n">
        <v>0</v>
      </c>
      <c r="I490" t="n">
        <v>0</v>
      </c>
      <c r="J490" t="n">
        <v>0</v>
      </c>
      <c r="K490" t="n">
        <v>0</v>
      </c>
      <c r="L490" t="n">
        <v>0</v>
      </c>
      <c r="M490" t="n">
        <v>0</v>
      </c>
      <c r="N490" t="n">
        <v>0</v>
      </c>
      <c r="O490" t="n">
        <v>0</v>
      </c>
      <c r="P490" t="n">
        <v>0</v>
      </c>
      <c r="Q490" t="n">
        <v>0</v>
      </c>
      <c r="R490" s="2" t="inlineStr"/>
    </row>
    <row r="491" ht="15" customHeight="1">
      <c r="A491" t="inlineStr">
        <is>
          <t>A 19580-2022</t>
        </is>
      </c>
      <c r="B491" s="1" t="n">
        <v>44693</v>
      </c>
      <c r="C491" s="1" t="n">
        <v>46100</v>
      </c>
      <c r="D491" t="inlineStr">
        <is>
          <t>STOCKHOLMS LÄN</t>
        </is>
      </c>
      <c r="E491" t="inlineStr">
        <is>
          <t>NORRTÄLJE</t>
        </is>
      </c>
      <c r="G491" t="n">
        <v>0.4</v>
      </c>
      <c r="H491" t="n">
        <v>0</v>
      </c>
      <c r="I491" t="n">
        <v>0</v>
      </c>
      <c r="J491" t="n">
        <v>0</v>
      </c>
      <c r="K491" t="n">
        <v>0</v>
      </c>
      <c r="L491" t="n">
        <v>0</v>
      </c>
      <c r="M491" t="n">
        <v>0</v>
      </c>
      <c r="N491" t="n">
        <v>0</v>
      </c>
      <c r="O491" t="n">
        <v>0</v>
      </c>
      <c r="P491" t="n">
        <v>0</v>
      </c>
      <c r="Q491" t="n">
        <v>0</v>
      </c>
      <c r="R491" s="2" t="inlineStr"/>
    </row>
    <row r="492" ht="15" customHeight="1">
      <c r="A492" t="inlineStr">
        <is>
          <t>A 40172-2025</t>
        </is>
      </c>
      <c r="B492" s="1" t="n">
        <v>45894.6353125</v>
      </c>
      <c r="C492" s="1" t="n">
        <v>46100</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40033-2025</t>
        </is>
      </c>
      <c r="B493" s="1" t="n">
        <v>45893</v>
      </c>
      <c r="C493" s="1" t="n">
        <v>46100</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50143-2023</t>
        </is>
      </c>
      <c r="B494" s="1" t="n">
        <v>45215</v>
      </c>
      <c r="C494" s="1" t="n">
        <v>46100</v>
      </c>
      <c r="D494" t="inlineStr">
        <is>
          <t>STOCKHOLMS LÄN</t>
        </is>
      </c>
      <c r="E494" t="inlineStr">
        <is>
          <t>NORRTÄLJE</t>
        </is>
      </c>
      <c r="G494" t="n">
        <v>10.3</v>
      </c>
      <c r="H494" t="n">
        <v>0</v>
      </c>
      <c r="I494" t="n">
        <v>0</v>
      </c>
      <c r="J494" t="n">
        <v>0</v>
      </c>
      <c r="K494" t="n">
        <v>0</v>
      </c>
      <c r="L494" t="n">
        <v>0</v>
      </c>
      <c r="M494" t="n">
        <v>0</v>
      </c>
      <c r="N494" t="n">
        <v>0</v>
      </c>
      <c r="O494" t="n">
        <v>0</v>
      </c>
      <c r="P494" t="n">
        <v>0</v>
      </c>
      <c r="Q494" t="n">
        <v>0</v>
      </c>
      <c r="R494" s="2" t="inlineStr"/>
    </row>
    <row r="495" ht="15" customHeight="1">
      <c r="A495" t="inlineStr">
        <is>
          <t>A 40032-2025</t>
        </is>
      </c>
      <c r="B495" s="1" t="n">
        <v>45893</v>
      </c>
      <c r="C495" s="1" t="n">
        <v>46100</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40292-2025</t>
        </is>
      </c>
      <c r="B496" s="1" t="n">
        <v>45895.3867824074</v>
      </c>
      <c r="C496" s="1" t="n">
        <v>46100</v>
      </c>
      <c r="D496" t="inlineStr">
        <is>
          <t>STOCKHOLMS LÄN</t>
        </is>
      </c>
      <c r="E496" t="inlineStr">
        <is>
          <t>NORRTÄLJE</t>
        </is>
      </c>
      <c r="G496" t="n">
        <v>3.5</v>
      </c>
      <c r="H496" t="n">
        <v>0</v>
      </c>
      <c r="I496" t="n">
        <v>0</v>
      </c>
      <c r="J496" t="n">
        <v>0</v>
      </c>
      <c r="K496" t="n">
        <v>0</v>
      </c>
      <c r="L496" t="n">
        <v>0</v>
      </c>
      <c r="M496" t="n">
        <v>0</v>
      </c>
      <c r="N496" t="n">
        <v>0</v>
      </c>
      <c r="O496" t="n">
        <v>0</v>
      </c>
      <c r="P496" t="n">
        <v>0</v>
      </c>
      <c r="Q496" t="n">
        <v>0</v>
      </c>
      <c r="R496" s="2" t="inlineStr"/>
    </row>
    <row r="497" ht="15" customHeight="1">
      <c r="A497" t="inlineStr">
        <is>
          <t>A 40294-2025</t>
        </is>
      </c>
      <c r="B497" s="1" t="n">
        <v>45895.38778935185</v>
      </c>
      <c r="C497" s="1" t="n">
        <v>46100</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29176-2024</t>
        </is>
      </c>
      <c r="B498" s="1" t="n">
        <v>45482.53388888889</v>
      </c>
      <c r="C498" s="1" t="n">
        <v>46100</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40228-2025</t>
        </is>
      </c>
      <c r="B499" s="1" t="n">
        <v>45894.70854166667</v>
      </c>
      <c r="C499" s="1" t="n">
        <v>46100</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36430-2024</t>
        </is>
      </c>
      <c r="B500" s="1" t="n">
        <v>45536</v>
      </c>
      <c r="C500" s="1" t="n">
        <v>46100</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11499-2023</t>
        </is>
      </c>
      <c r="B501" s="1" t="n">
        <v>44993.66707175926</v>
      </c>
      <c r="C501" s="1" t="n">
        <v>46100</v>
      </c>
      <c r="D501" t="inlineStr">
        <is>
          <t>STOCKHOLMS LÄN</t>
        </is>
      </c>
      <c r="E501" t="inlineStr">
        <is>
          <t>NORRTÄLJE</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51312-2023</t>
        </is>
      </c>
      <c r="B502" s="1" t="n">
        <v>45219.56697916667</v>
      </c>
      <c r="C502" s="1" t="n">
        <v>46100</v>
      </c>
      <c r="D502" t="inlineStr">
        <is>
          <t>STOCKHOLMS LÄN</t>
        </is>
      </c>
      <c r="E502" t="inlineStr">
        <is>
          <t>NORRTÄLJE</t>
        </is>
      </c>
      <c r="G502" t="n">
        <v>1.9</v>
      </c>
      <c r="H502" t="n">
        <v>0</v>
      </c>
      <c r="I502" t="n">
        <v>0</v>
      </c>
      <c r="J502" t="n">
        <v>0</v>
      </c>
      <c r="K502" t="n">
        <v>0</v>
      </c>
      <c r="L502" t="n">
        <v>0</v>
      </c>
      <c r="M502" t="n">
        <v>0</v>
      </c>
      <c r="N502" t="n">
        <v>0</v>
      </c>
      <c r="O502" t="n">
        <v>0</v>
      </c>
      <c r="P502" t="n">
        <v>0</v>
      </c>
      <c r="Q502" t="n">
        <v>0</v>
      </c>
      <c r="R502" s="2" t="inlineStr"/>
    </row>
    <row r="503" ht="15" customHeight="1">
      <c r="A503" t="inlineStr">
        <is>
          <t>A 35640-2024</t>
        </is>
      </c>
      <c r="B503" s="1" t="n">
        <v>45531</v>
      </c>
      <c r="C503" s="1" t="n">
        <v>46100</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576-2023</t>
        </is>
      </c>
      <c r="B504" s="1" t="n">
        <v>44925</v>
      </c>
      <c r="C504" s="1" t="n">
        <v>46100</v>
      </c>
      <c r="D504" t="inlineStr">
        <is>
          <t>STOCKHOLMS LÄN</t>
        </is>
      </c>
      <c r="E504" t="inlineStr">
        <is>
          <t>NORRTÄLJE</t>
        </is>
      </c>
      <c r="G504" t="n">
        <v>7.2</v>
      </c>
      <c r="H504" t="n">
        <v>0</v>
      </c>
      <c r="I504" t="n">
        <v>0</v>
      </c>
      <c r="J504" t="n">
        <v>0</v>
      </c>
      <c r="K504" t="n">
        <v>0</v>
      </c>
      <c r="L504" t="n">
        <v>0</v>
      </c>
      <c r="M504" t="n">
        <v>0</v>
      </c>
      <c r="N504" t="n">
        <v>0</v>
      </c>
      <c r="O504" t="n">
        <v>0</v>
      </c>
      <c r="P504" t="n">
        <v>0</v>
      </c>
      <c r="Q504" t="n">
        <v>0</v>
      </c>
      <c r="R504" s="2" t="inlineStr"/>
    </row>
    <row r="505" ht="15" customHeight="1">
      <c r="A505" t="inlineStr">
        <is>
          <t>A 30731-2023</t>
        </is>
      </c>
      <c r="B505" s="1" t="n">
        <v>45112</v>
      </c>
      <c r="C505" s="1" t="n">
        <v>46100</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10678-2025</t>
        </is>
      </c>
      <c r="B506" s="1" t="n">
        <v>45721.89123842592</v>
      </c>
      <c r="C506" s="1" t="n">
        <v>46100</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4580-2025</t>
        </is>
      </c>
      <c r="B507" s="1" t="n">
        <v>45687.5038425926</v>
      </c>
      <c r="C507" s="1" t="n">
        <v>46100</v>
      </c>
      <c r="D507" t="inlineStr">
        <is>
          <t>STOCKHOLMS LÄN</t>
        </is>
      </c>
      <c r="E507" t="inlineStr">
        <is>
          <t>NORRTÄLJE</t>
        </is>
      </c>
      <c r="F507" t="inlineStr">
        <is>
          <t>Holmen skog AB</t>
        </is>
      </c>
      <c r="G507" t="n">
        <v>4.8</v>
      </c>
      <c r="H507" t="n">
        <v>0</v>
      </c>
      <c r="I507" t="n">
        <v>0</v>
      </c>
      <c r="J507" t="n">
        <v>0</v>
      </c>
      <c r="K507" t="n">
        <v>0</v>
      </c>
      <c r="L507" t="n">
        <v>0</v>
      </c>
      <c r="M507" t="n">
        <v>0</v>
      </c>
      <c r="N507" t="n">
        <v>0</v>
      </c>
      <c r="O507" t="n">
        <v>0</v>
      </c>
      <c r="P507" t="n">
        <v>0</v>
      </c>
      <c r="Q507" t="n">
        <v>0</v>
      </c>
      <c r="R507" s="2" t="inlineStr"/>
    </row>
    <row r="508" ht="15" customHeight="1">
      <c r="A508" t="inlineStr">
        <is>
          <t>A 31936-2022</t>
        </is>
      </c>
      <c r="B508" s="1" t="n">
        <v>44777</v>
      </c>
      <c r="C508" s="1" t="n">
        <v>46100</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43212-2022</t>
        </is>
      </c>
      <c r="B509" s="1" t="n">
        <v>44834.38636574074</v>
      </c>
      <c r="C509" s="1" t="n">
        <v>46100</v>
      </c>
      <c r="D509" t="inlineStr">
        <is>
          <t>STOCKHOLMS LÄN</t>
        </is>
      </c>
      <c r="E509" t="inlineStr">
        <is>
          <t>NORRTÄLJE</t>
        </is>
      </c>
      <c r="G509" t="n">
        <v>1.3</v>
      </c>
      <c r="H509" t="n">
        <v>0</v>
      </c>
      <c r="I509" t="n">
        <v>0</v>
      </c>
      <c r="J509" t="n">
        <v>0</v>
      </c>
      <c r="K509" t="n">
        <v>0</v>
      </c>
      <c r="L509" t="n">
        <v>0</v>
      </c>
      <c r="M509" t="n">
        <v>0</v>
      </c>
      <c r="N509" t="n">
        <v>0</v>
      </c>
      <c r="O509" t="n">
        <v>0</v>
      </c>
      <c r="P509" t="n">
        <v>0</v>
      </c>
      <c r="Q509" t="n">
        <v>0</v>
      </c>
      <c r="R509" s="2" t="inlineStr"/>
    </row>
    <row r="510" ht="15" customHeight="1">
      <c r="A510" t="inlineStr">
        <is>
          <t>A 31057-2022</t>
        </is>
      </c>
      <c r="B510" s="1" t="n">
        <v>44769</v>
      </c>
      <c r="C510" s="1" t="n">
        <v>46100</v>
      </c>
      <c r="D510" t="inlineStr">
        <is>
          <t>STOCKHOLMS LÄN</t>
        </is>
      </c>
      <c r="E510" t="inlineStr">
        <is>
          <t>NORRTÄLJE</t>
        </is>
      </c>
      <c r="G510" t="n">
        <v>6.5</v>
      </c>
      <c r="H510" t="n">
        <v>0</v>
      </c>
      <c r="I510" t="n">
        <v>0</v>
      </c>
      <c r="J510" t="n">
        <v>0</v>
      </c>
      <c r="K510" t="n">
        <v>0</v>
      </c>
      <c r="L510" t="n">
        <v>0</v>
      </c>
      <c r="M510" t="n">
        <v>0</v>
      </c>
      <c r="N510" t="n">
        <v>0</v>
      </c>
      <c r="O510" t="n">
        <v>0</v>
      </c>
      <c r="P510" t="n">
        <v>0</v>
      </c>
      <c r="Q510" t="n">
        <v>0</v>
      </c>
      <c r="R510" s="2" t="inlineStr"/>
    </row>
    <row r="511" ht="15" customHeight="1">
      <c r="A511" t="inlineStr">
        <is>
          <t>A 51653-2022</t>
        </is>
      </c>
      <c r="B511" s="1" t="n">
        <v>44867</v>
      </c>
      <c r="C511" s="1" t="n">
        <v>46100</v>
      </c>
      <c r="D511" t="inlineStr">
        <is>
          <t>STOCKHOLMS LÄN</t>
        </is>
      </c>
      <c r="E511" t="inlineStr">
        <is>
          <t>NORRTÄLJE</t>
        </is>
      </c>
      <c r="G511" t="n">
        <v>6.6</v>
      </c>
      <c r="H511" t="n">
        <v>0</v>
      </c>
      <c r="I511" t="n">
        <v>0</v>
      </c>
      <c r="J511" t="n">
        <v>0</v>
      </c>
      <c r="K511" t="n">
        <v>0</v>
      </c>
      <c r="L511" t="n">
        <v>0</v>
      </c>
      <c r="M511" t="n">
        <v>0</v>
      </c>
      <c r="N511" t="n">
        <v>0</v>
      </c>
      <c r="O511" t="n">
        <v>0</v>
      </c>
      <c r="P511" t="n">
        <v>0</v>
      </c>
      <c r="Q511" t="n">
        <v>0</v>
      </c>
      <c r="R511" s="2" t="inlineStr"/>
    </row>
    <row r="512" ht="15" customHeight="1">
      <c r="A512" t="inlineStr">
        <is>
          <t>A 40230-2025</t>
        </is>
      </c>
      <c r="B512" s="1" t="n">
        <v>45894.71101851852</v>
      </c>
      <c r="C512" s="1" t="n">
        <v>46100</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59873-2024</t>
        </is>
      </c>
      <c r="B513" s="1" t="n">
        <v>45640.57305555556</v>
      </c>
      <c r="C513" s="1" t="n">
        <v>46100</v>
      </c>
      <c r="D513" t="inlineStr">
        <is>
          <t>STOCKHOLMS LÄN</t>
        </is>
      </c>
      <c r="E513" t="inlineStr">
        <is>
          <t>NORRTÄLJE</t>
        </is>
      </c>
      <c r="G513" t="n">
        <v>3.3</v>
      </c>
      <c r="H513" t="n">
        <v>0</v>
      </c>
      <c r="I513" t="n">
        <v>0</v>
      </c>
      <c r="J513" t="n">
        <v>0</v>
      </c>
      <c r="K513" t="n">
        <v>0</v>
      </c>
      <c r="L513" t="n">
        <v>0</v>
      </c>
      <c r="M513" t="n">
        <v>0</v>
      </c>
      <c r="N513" t="n">
        <v>0</v>
      </c>
      <c r="O513" t="n">
        <v>0</v>
      </c>
      <c r="P513" t="n">
        <v>0</v>
      </c>
      <c r="Q513" t="n">
        <v>0</v>
      </c>
      <c r="R513" s="2" t="inlineStr"/>
    </row>
    <row r="514" ht="15" customHeight="1">
      <c r="A514" t="inlineStr">
        <is>
          <t>A 40217-2025</t>
        </is>
      </c>
      <c r="B514" s="1" t="n">
        <v>45894.68864583333</v>
      </c>
      <c r="C514" s="1" t="n">
        <v>46100</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31140-2023</t>
        </is>
      </c>
      <c r="B515" s="1" t="n">
        <v>45113</v>
      </c>
      <c r="C515" s="1" t="n">
        <v>46100</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31149-2023</t>
        </is>
      </c>
      <c r="B516" s="1" t="n">
        <v>45113</v>
      </c>
      <c r="C516" s="1" t="n">
        <v>46100</v>
      </c>
      <c r="D516" t="inlineStr">
        <is>
          <t>STOCKHOLMS LÄN</t>
        </is>
      </c>
      <c r="E516" t="inlineStr">
        <is>
          <t>NORRTÄLJE</t>
        </is>
      </c>
      <c r="G516" t="n">
        <v>7.1</v>
      </c>
      <c r="H516" t="n">
        <v>0</v>
      </c>
      <c r="I516" t="n">
        <v>0</v>
      </c>
      <c r="J516" t="n">
        <v>0</v>
      </c>
      <c r="K516" t="n">
        <v>0</v>
      </c>
      <c r="L516" t="n">
        <v>0</v>
      </c>
      <c r="M516" t="n">
        <v>0</v>
      </c>
      <c r="N516" t="n">
        <v>0</v>
      </c>
      <c r="O516" t="n">
        <v>0</v>
      </c>
      <c r="P516" t="n">
        <v>0</v>
      </c>
      <c r="Q516" t="n">
        <v>0</v>
      </c>
      <c r="R516" s="2" t="inlineStr"/>
    </row>
    <row r="517" ht="15" customHeight="1">
      <c r="A517" t="inlineStr">
        <is>
          <t>A 4322-2023</t>
        </is>
      </c>
      <c r="B517" s="1" t="n">
        <v>44953.69298611111</v>
      </c>
      <c r="C517" s="1" t="n">
        <v>46100</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35916-2024</t>
        </is>
      </c>
      <c r="B518" s="1" t="n">
        <v>45533</v>
      </c>
      <c r="C518" s="1" t="n">
        <v>46100</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10098-2022</t>
        </is>
      </c>
      <c r="B519" s="1" t="n">
        <v>44621</v>
      </c>
      <c r="C519" s="1" t="n">
        <v>46100</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40097-2025</t>
        </is>
      </c>
      <c r="B520" s="1" t="n">
        <v>45894.48322916667</v>
      </c>
      <c r="C520" s="1" t="n">
        <v>46100</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4658-2024</t>
        </is>
      </c>
      <c r="B521" s="1" t="n">
        <v>45328.46336805556</v>
      </c>
      <c r="C521" s="1" t="n">
        <v>46100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19131-2025</t>
        </is>
      </c>
      <c r="B522" s="1" t="n">
        <v>45769</v>
      </c>
      <c r="C522" s="1" t="n">
        <v>46100</v>
      </c>
      <c r="D522" t="inlineStr">
        <is>
          <t>STOCKHOLMS LÄN</t>
        </is>
      </c>
      <c r="E522" t="inlineStr">
        <is>
          <t>NORRTÄLJE</t>
        </is>
      </c>
      <c r="G522" t="n">
        <v>1.6</v>
      </c>
      <c r="H522" t="n">
        <v>0</v>
      </c>
      <c r="I522" t="n">
        <v>0</v>
      </c>
      <c r="J522" t="n">
        <v>0</v>
      </c>
      <c r="K522" t="n">
        <v>0</v>
      </c>
      <c r="L522" t="n">
        <v>0</v>
      </c>
      <c r="M522" t="n">
        <v>0</v>
      </c>
      <c r="N522" t="n">
        <v>0</v>
      </c>
      <c r="O522" t="n">
        <v>0</v>
      </c>
      <c r="P522" t="n">
        <v>0</v>
      </c>
      <c r="Q522" t="n">
        <v>0</v>
      </c>
      <c r="R522" s="2" t="inlineStr"/>
    </row>
    <row r="523" ht="15" customHeight="1">
      <c r="A523" t="inlineStr">
        <is>
          <t>A 63161-2023</t>
        </is>
      </c>
      <c r="B523" s="1" t="n">
        <v>45273</v>
      </c>
      <c r="C523" s="1" t="n">
        <v>46100</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40829-2025</t>
        </is>
      </c>
      <c r="B524" s="1" t="n">
        <v>45897.50802083333</v>
      </c>
      <c r="C524" s="1" t="n">
        <v>46100</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40837-2025</t>
        </is>
      </c>
      <c r="B525" s="1" t="n">
        <v>45897.51328703704</v>
      </c>
      <c r="C525" s="1" t="n">
        <v>46100</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38990-2022</t>
        </is>
      </c>
      <c r="B526" s="1" t="n">
        <v>44816</v>
      </c>
      <c r="C526" s="1" t="n">
        <v>46100</v>
      </c>
      <c r="D526" t="inlineStr">
        <is>
          <t>STOCKHOLMS LÄN</t>
        </is>
      </c>
      <c r="E526" t="inlineStr">
        <is>
          <t>NORRTÄLJE</t>
        </is>
      </c>
      <c r="G526" t="n">
        <v>5.7</v>
      </c>
      <c r="H526" t="n">
        <v>0</v>
      </c>
      <c r="I526" t="n">
        <v>0</v>
      </c>
      <c r="J526" t="n">
        <v>0</v>
      </c>
      <c r="K526" t="n">
        <v>0</v>
      </c>
      <c r="L526" t="n">
        <v>0</v>
      </c>
      <c r="M526" t="n">
        <v>0</v>
      </c>
      <c r="N526" t="n">
        <v>0</v>
      </c>
      <c r="O526" t="n">
        <v>0</v>
      </c>
      <c r="P526" t="n">
        <v>0</v>
      </c>
      <c r="Q526" t="n">
        <v>0</v>
      </c>
      <c r="R526" s="2" t="inlineStr"/>
    </row>
    <row r="527" ht="15" customHeight="1">
      <c r="A527" t="inlineStr">
        <is>
          <t>A 7796-2025</t>
        </is>
      </c>
      <c r="B527" s="1" t="n">
        <v>45706.60130787037</v>
      </c>
      <c r="C527" s="1" t="n">
        <v>46100</v>
      </c>
      <c r="D527" t="inlineStr">
        <is>
          <t>STOCKHOLMS LÄN</t>
        </is>
      </c>
      <c r="E527" t="inlineStr">
        <is>
          <t>NORRTÄLJE</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15552-2021</t>
        </is>
      </c>
      <c r="B528" s="1" t="n">
        <v>44285</v>
      </c>
      <c r="C528" s="1" t="n">
        <v>46100</v>
      </c>
      <c r="D528" t="inlineStr">
        <is>
          <t>STOCKHOLMS LÄN</t>
        </is>
      </c>
      <c r="E528" t="inlineStr">
        <is>
          <t>NORRTÄLJE</t>
        </is>
      </c>
      <c r="G528" t="n">
        <v>10</v>
      </c>
      <c r="H528" t="n">
        <v>0</v>
      </c>
      <c r="I528" t="n">
        <v>0</v>
      </c>
      <c r="J528" t="n">
        <v>0</v>
      </c>
      <c r="K528" t="n">
        <v>0</v>
      </c>
      <c r="L528" t="n">
        <v>0</v>
      </c>
      <c r="M528" t="n">
        <v>0</v>
      </c>
      <c r="N528" t="n">
        <v>0</v>
      </c>
      <c r="O528" t="n">
        <v>0</v>
      </c>
      <c r="P528" t="n">
        <v>0</v>
      </c>
      <c r="Q528" t="n">
        <v>0</v>
      </c>
      <c r="R528" s="2" t="inlineStr"/>
    </row>
    <row r="529" ht="15" customHeight="1">
      <c r="A529" t="inlineStr">
        <is>
          <t>A 58040-2024</t>
        </is>
      </c>
      <c r="B529" s="1" t="n">
        <v>45631.73952546297</v>
      </c>
      <c r="C529" s="1" t="n">
        <v>46100</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58041-2024</t>
        </is>
      </c>
      <c r="B530" s="1" t="n">
        <v>45631.74673611111</v>
      </c>
      <c r="C530" s="1" t="n">
        <v>46100</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17956-2025</t>
        </is>
      </c>
      <c r="B531" s="1" t="n">
        <v>45760.91174768518</v>
      </c>
      <c r="C531" s="1" t="n">
        <v>46100</v>
      </c>
      <c r="D531" t="inlineStr">
        <is>
          <t>STOCKHOLMS LÄN</t>
        </is>
      </c>
      <c r="E531" t="inlineStr">
        <is>
          <t>NORRTÄLJE</t>
        </is>
      </c>
      <c r="G531" t="n">
        <v>4.3</v>
      </c>
      <c r="H531" t="n">
        <v>0</v>
      </c>
      <c r="I531" t="n">
        <v>0</v>
      </c>
      <c r="J531" t="n">
        <v>0</v>
      </c>
      <c r="K531" t="n">
        <v>0</v>
      </c>
      <c r="L531" t="n">
        <v>0</v>
      </c>
      <c r="M531" t="n">
        <v>0</v>
      </c>
      <c r="N531" t="n">
        <v>0</v>
      </c>
      <c r="O531" t="n">
        <v>0</v>
      </c>
      <c r="P531" t="n">
        <v>0</v>
      </c>
      <c r="Q531" t="n">
        <v>0</v>
      </c>
      <c r="R531" s="2" t="inlineStr"/>
    </row>
    <row r="532" ht="15" customHeight="1">
      <c r="A532" t="inlineStr">
        <is>
          <t>A 30268-2024</t>
        </is>
      </c>
      <c r="B532" s="1" t="n">
        <v>45490.60572916667</v>
      </c>
      <c r="C532" s="1" t="n">
        <v>46100</v>
      </c>
      <c r="D532" t="inlineStr">
        <is>
          <t>STOCKHOLMS LÄN</t>
        </is>
      </c>
      <c r="E532" t="inlineStr">
        <is>
          <t>NORRTÄLJE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875-2023</t>
        </is>
      </c>
      <c r="B533" s="1" t="n">
        <v>44931.65626157408</v>
      </c>
      <c r="C533" s="1" t="n">
        <v>46100</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12407-2025</t>
        </is>
      </c>
      <c r="B534" s="1" t="n">
        <v>45730.42851851852</v>
      </c>
      <c r="C534" s="1" t="n">
        <v>46100</v>
      </c>
      <c r="D534" t="inlineStr">
        <is>
          <t>STOCKHOLMS LÄN</t>
        </is>
      </c>
      <c r="E534" t="inlineStr">
        <is>
          <t>NORRTÄLJE</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31236-2022</t>
        </is>
      </c>
      <c r="B535" s="1" t="n">
        <v>44771</v>
      </c>
      <c r="C535" s="1" t="n">
        <v>46100</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8315-2025</t>
        </is>
      </c>
      <c r="B536" s="1" t="n">
        <v>45708.61761574074</v>
      </c>
      <c r="C536" s="1" t="n">
        <v>46100</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31281-2022</t>
        </is>
      </c>
      <c r="B537" s="1" t="n">
        <v>44771</v>
      </c>
      <c r="C537" s="1" t="n">
        <v>46100</v>
      </c>
      <c r="D537" t="inlineStr">
        <is>
          <t>STOCKHOLMS LÄN</t>
        </is>
      </c>
      <c r="E537" t="inlineStr">
        <is>
          <t>NORRTÄLJE</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19025-2025</t>
        </is>
      </c>
      <c r="B538" s="1" t="n">
        <v>45764.6359837963</v>
      </c>
      <c r="C538" s="1" t="n">
        <v>46100</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40529-2025</t>
        </is>
      </c>
      <c r="B539" s="1" t="n">
        <v>45896.38466435186</v>
      </c>
      <c r="C539" s="1" t="n">
        <v>46100</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7571-2024</t>
        </is>
      </c>
      <c r="B540" s="1" t="n">
        <v>45348.46300925926</v>
      </c>
      <c r="C540" s="1" t="n">
        <v>46100</v>
      </c>
      <c r="D540" t="inlineStr">
        <is>
          <t>STOCKHOLMS LÄN</t>
        </is>
      </c>
      <c r="E540" t="inlineStr">
        <is>
          <t>NORRTÄLJE</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54276-2021</t>
        </is>
      </c>
      <c r="B541" s="1" t="n">
        <v>44470</v>
      </c>
      <c r="C541" s="1" t="n">
        <v>46100</v>
      </c>
      <c r="D541" t="inlineStr">
        <is>
          <t>STOCKHOLMS LÄN</t>
        </is>
      </c>
      <c r="E541" t="inlineStr">
        <is>
          <t>NORRTÄLJE</t>
        </is>
      </c>
      <c r="G541" t="n">
        <v>7.3</v>
      </c>
      <c r="H541" t="n">
        <v>0</v>
      </c>
      <c r="I541" t="n">
        <v>0</v>
      </c>
      <c r="J541" t="n">
        <v>0</v>
      </c>
      <c r="K541" t="n">
        <v>0</v>
      </c>
      <c r="L541" t="n">
        <v>0</v>
      </c>
      <c r="M541" t="n">
        <v>0</v>
      </c>
      <c r="N541" t="n">
        <v>0</v>
      </c>
      <c r="O541" t="n">
        <v>0</v>
      </c>
      <c r="P541" t="n">
        <v>0</v>
      </c>
      <c r="Q541" t="n">
        <v>0</v>
      </c>
      <c r="R541" s="2" t="inlineStr"/>
    </row>
    <row r="542" ht="15" customHeight="1">
      <c r="A542" t="inlineStr">
        <is>
          <t>A 4316-2023</t>
        </is>
      </c>
      <c r="B542" s="1" t="n">
        <v>44953.67443287037</v>
      </c>
      <c r="C542" s="1" t="n">
        <v>46100</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40831-2025</t>
        </is>
      </c>
      <c r="B543" s="1" t="n">
        <v>45897.51077546296</v>
      </c>
      <c r="C543" s="1" t="n">
        <v>46100</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41587-2023</t>
        </is>
      </c>
      <c r="B544" s="1" t="n">
        <v>45175</v>
      </c>
      <c r="C544" s="1" t="n">
        <v>46100</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11849-2025</t>
        </is>
      </c>
      <c r="B545" s="1" t="n">
        <v>45728.38409722222</v>
      </c>
      <c r="C545" s="1" t="n">
        <v>46100</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18665-2022</t>
        </is>
      </c>
      <c r="B546" s="1" t="n">
        <v>44687</v>
      </c>
      <c r="C546" s="1" t="n">
        <v>46100</v>
      </c>
      <c r="D546" t="inlineStr">
        <is>
          <t>STOCKHOLMS LÄN</t>
        </is>
      </c>
      <c r="E546" t="inlineStr">
        <is>
          <t>NORRTÄLJE</t>
        </is>
      </c>
      <c r="F546" t="inlineStr">
        <is>
          <t>Kyrkan</t>
        </is>
      </c>
      <c r="G546" t="n">
        <v>1.1</v>
      </c>
      <c r="H546" t="n">
        <v>0</v>
      </c>
      <c r="I546" t="n">
        <v>0</v>
      </c>
      <c r="J546" t="n">
        <v>0</v>
      </c>
      <c r="K546" t="n">
        <v>0</v>
      </c>
      <c r="L546" t="n">
        <v>0</v>
      </c>
      <c r="M546" t="n">
        <v>0</v>
      </c>
      <c r="N546" t="n">
        <v>0</v>
      </c>
      <c r="O546" t="n">
        <v>0</v>
      </c>
      <c r="P546" t="n">
        <v>0</v>
      </c>
      <c r="Q546" t="n">
        <v>0</v>
      </c>
      <c r="R546" s="2" t="inlineStr"/>
    </row>
    <row r="547" ht="15" customHeight="1">
      <c r="A547" t="inlineStr">
        <is>
          <t>A 40425-2021</t>
        </is>
      </c>
      <c r="B547" s="1" t="n">
        <v>44419</v>
      </c>
      <c r="C547" s="1" t="n">
        <v>46100</v>
      </c>
      <c r="D547" t="inlineStr">
        <is>
          <t>STOCKHOLMS LÄN</t>
        </is>
      </c>
      <c r="E547" t="inlineStr">
        <is>
          <t>NORRTÄLJE</t>
        </is>
      </c>
      <c r="G547" t="n">
        <v>5</v>
      </c>
      <c r="H547" t="n">
        <v>0</v>
      </c>
      <c r="I547" t="n">
        <v>0</v>
      </c>
      <c r="J547" t="n">
        <v>0</v>
      </c>
      <c r="K547" t="n">
        <v>0</v>
      </c>
      <c r="L547" t="n">
        <v>0</v>
      </c>
      <c r="M547" t="n">
        <v>0</v>
      </c>
      <c r="N547" t="n">
        <v>0</v>
      </c>
      <c r="O547" t="n">
        <v>0</v>
      </c>
      <c r="P547" t="n">
        <v>0</v>
      </c>
      <c r="Q547" t="n">
        <v>0</v>
      </c>
      <c r="R547" s="2" t="inlineStr"/>
    </row>
    <row r="548" ht="15" customHeight="1">
      <c r="A548" t="inlineStr">
        <is>
          <t>A 58990-2021</t>
        </is>
      </c>
      <c r="B548" s="1" t="n">
        <v>44490.03621527777</v>
      </c>
      <c r="C548" s="1" t="n">
        <v>46100</v>
      </c>
      <c r="D548" t="inlineStr">
        <is>
          <t>STOCKHOLMS LÄN</t>
        </is>
      </c>
      <c r="E548" t="inlineStr">
        <is>
          <t>NORRTÄLJE</t>
        </is>
      </c>
      <c r="G548" t="n">
        <v>4.2</v>
      </c>
      <c r="H548" t="n">
        <v>0</v>
      </c>
      <c r="I548" t="n">
        <v>0</v>
      </c>
      <c r="J548" t="n">
        <v>0</v>
      </c>
      <c r="K548" t="n">
        <v>0</v>
      </c>
      <c r="L548" t="n">
        <v>0</v>
      </c>
      <c r="M548" t="n">
        <v>0</v>
      </c>
      <c r="N548" t="n">
        <v>0</v>
      </c>
      <c r="O548" t="n">
        <v>0</v>
      </c>
      <c r="P548" t="n">
        <v>0</v>
      </c>
      <c r="Q548" t="n">
        <v>0</v>
      </c>
      <c r="R548" s="2" t="inlineStr"/>
    </row>
    <row r="549" ht="15" customHeight="1">
      <c r="A549" t="inlineStr">
        <is>
          <t>A 17304-2024</t>
        </is>
      </c>
      <c r="B549" s="1" t="n">
        <v>45414</v>
      </c>
      <c r="C549" s="1" t="n">
        <v>46100</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11280-2023</t>
        </is>
      </c>
      <c r="B550" s="1" t="n">
        <v>44992</v>
      </c>
      <c r="C550" s="1" t="n">
        <v>46100</v>
      </c>
      <c r="D550" t="inlineStr">
        <is>
          <t>STOCKHOLMS LÄN</t>
        </is>
      </c>
      <c r="E550" t="inlineStr">
        <is>
          <t>NORRTÄLJE</t>
        </is>
      </c>
      <c r="G550" t="n">
        <v>0.8</v>
      </c>
      <c r="H550" t="n">
        <v>0</v>
      </c>
      <c r="I550" t="n">
        <v>0</v>
      </c>
      <c r="J550" t="n">
        <v>0</v>
      </c>
      <c r="K550" t="n">
        <v>0</v>
      </c>
      <c r="L550" t="n">
        <v>0</v>
      </c>
      <c r="M550" t="n">
        <v>0</v>
      </c>
      <c r="N550" t="n">
        <v>0</v>
      </c>
      <c r="O550" t="n">
        <v>0</v>
      </c>
      <c r="P550" t="n">
        <v>0</v>
      </c>
      <c r="Q550" t="n">
        <v>0</v>
      </c>
      <c r="R550" s="2" t="inlineStr"/>
    </row>
    <row r="551" ht="15" customHeight="1">
      <c r="A551" t="inlineStr">
        <is>
          <t>A 58302-2022</t>
        </is>
      </c>
      <c r="B551" s="1" t="n">
        <v>44901</v>
      </c>
      <c r="C551" s="1" t="n">
        <v>46100</v>
      </c>
      <c r="D551" t="inlineStr">
        <is>
          <t>STOCKHOLMS LÄN</t>
        </is>
      </c>
      <c r="E551" t="inlineStr">
        <is>
          <t>NORRTÄLJE</t>
        </is>
      </c>
      <c r="G551" t="n">
        <v>3.9</v>
      </c>
      <c r="H551" t="n">
        <v>0</v>
      </c>
      <c r="I551" t="n">
        <v>0</v>
      </c>
      <c r="J551" t="n">
        <v>0</v>
      </c>
      <c r="K551" t="n">
        <v>0</v>
      </c>
      <c r="L551" t="n">
        <v>0</v>
      </c>
      <c r="M551" t="n">
        <v>0</v>
      </c>
      <c r="N551" t="n">
        <v>0</v>
      </c>
      <c r="O551" t="n">
        <v>0</v>
      </c>
      <c r="P551" t="n">
        <v>0</v>
      </c>
      <c r="Q551" t="n">
        <v>0</v>
      </c>
      <c r="R551" s="2" t="inlineStr"/>
    </row>
    <row r="552" ht="15" customHeight="1">
      <c r="A552" t="inlineStr">
        <is>
          <t>A 26668-2024</t>
        </is>
      </c>
      <c r="B552" s="1" t="n">
        <v>45469</v>
      </c>
      <c r="C552" s="1" t="n">
        <v>46100</v>
      </c>
      <c r="D552" t="inlineStr">
        <is>
          <t>STOCKHOLMS LÄN</t>
        </is>
      </c>
      <c r="E552" t="inlineStr">
        <is>
          <t>NORRTÄLJE</t>
        </is>
      </c>
      <c r="G552" t="n">
        <v>4.8</v>
      </c>
      <c r="H552" t="n">
        <v>0</v>
      </c>
      <c r="I552" t="n">
        <v>0</v>
      </c>
      <c r="J552" t="n">
        <v>0</v>
      </c>
      <c r="K552" t="n">
        <v>0</v>
      </c>
      <c r="L552" t="n">
        <v>0</v>
      </c>
      <c r="M552" t="n">
        <v>0</v>
      </c>
      <c r="N552" t="n">
        <v>0</v>
      </c>
      <c r="O552" t="n">
        <v>0</v>
      </c>
      <c r="P552" t="n">
        <v>0</v>
      </c>
      <c r="Q552" t="n">
        <v>0</v>
      </c>
      <c r="R552" s="2" t="inlineStr"/>
    </row>
    <row r="553" ht="15" customHeight="1">
      <c r="A553" t="inlineStr">
        <is>
          <t>A 20790-2025</t>
        </is>
      </c>
      <c r="B553" s="1" t="n">
        <v>45776.62563657408</v>
      </c>
      <c r="C553" s="1" t="n">
        <v>46100</v>
      </c>
      <c r="D553" t="inlineStr">
        <is>
          <t>STOCKHOLMS LÄN</t>
        </is>
      </c>
      <c r="E553" t="inlineStr">
        <is>
          <t>NORRTÄLJE</t>
        </is>
      </c>
      <c r="G553" t="n">
        <v>1.3</v>
      </c>
      <c r="H553" t="n">
        <v>0</v>
      </c>
      <c r="I553" t="n">
        <v>0</v>
      </c>
      <c r="J553" t="n">
        <v>0</v>
      </c>
      <c r="K553" t="n">
        <v>0</v>
      </c>
      <c r="L553" t="n">
        <v>0</v>
      </c>
      <c r="M553" t="n">
        <v>0</v>
      </c>
      <c r="N553" t="n">
        <v>0</v>
      </c>
      <c r="O553" t="n">
        <v>0</v>
      </c>
      <c r="P553" t="n">
        <v>0</v>
      </c>
      <c r="Q553" t="n">
        <v>0</v>
      </c>
      <c r="R553" s="2" t="inlineStr"/>
    </row>
    <row r="554" ht="15" customHeight="1">
      <c r="A554" t="inlineStr">
        <is>
          <t>A 20699-2025</t>
        </is>
      </c>
      <c r="B554" s="1" t="n">
        <v>45776.47346064815</v>
      </c>
      <c r="C554" s="1" t="n">
        <v>46100</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38591-2023</t>
        </is>
      </c>
      <c r="B555" s="1" t="n">
        <v>45162</v>
      </c>
      <c r="C555" s="1" t="n">
        <v>46100</v>
      </c>
      <c r="D555" t="inlineStr">
        <is>
          <t>STOCKHOLMS LÄN</t>
        </is>
      </c>
      <c r="E555" t="inlineStr">
        <is>
          <t>NORRTÄLJE</t>
        </is>
      </c>
      <c r="F555" t="inlineStr">
        <is>
          <t>Övriga Aktiebolag</t>
        </is>
      </c>
      <c r="G555" t="n">
        <v>3.1</v>
      </c>
      <c r="H555" t="n">
        <v>0</v>
      </c>
      <c r="I555" t="n">
        <v>0</v>
      </c>
      <c r="J555" t="n">
        <v>0</v>
      </c>
      <c r="K555" t="n">
        <v>0</v>
      </c>
      <c r="L555" t="n">
        <v>0</v>
      </c>
      <c r="M555" t="n">
        <v>0</v>
      </c>
      <c r="N555" t="n">
        <v>0</v>
      </c>
      <c r="O555" t="n">
        <v>0</v>
      </c>
      <c r="P555" t="n">
        <v>0</v>
      </c>
      <c r="Q555" t="n">
        <v>0</v>
      </c>
      <c r="R555" s="2" t="inlineStr"/>
    </row>
    <row r="556" ht="15" customHeight="1">
      <c r="A556" t="inlineStr">
        <is>
          <t>A 3152-2024</t>
        </is>
      </c>
      <c r="B556" s="1" t="n">
        <v>45316.60306712963</v>
      </c>
      <c r="C556" s="1" t="n">
        <v>46100</v>
      </c>
      <c r="D556" t="inlineStr">
        <is>
          <t>STOCKHOLMS LÄN</t>
        </is>
      </c>
      <c r="E556" t="inlineStr">
        <is>
          <t>NORRTÄLJE</t>
        </is>
      </c>
      <c r="G556" t="n">
        <v>7.9</v>
      </c>
      <c r="H556" t="n">
        <v>0</v>
      </c>
      <c r="I556" t="n">
        <v>0</v>
      </c>
      <c r="J556" t="n">
        <v>0</v>
      </c>
      <c r="K556" t="n">
        <v>0</v>
      </c>
      <c r="L556" t="n">
        <v>0</v>
      </c>
      <c r="M556" t="n">
        <v>0</v>
      </c>
      <c r="N556" t="n">
        <v>0</v>
      </c>
      <c r="O556" t="n">
        <v>0</v>
      </c>
      <c r="P556" t="n">
        <v>0</v>
      </c>
      <c r="Q556" t="n">
        <v>0</v>
      </c>
      <c r="R556" s="2" t="inlineStr"/>
    </row>
    <row r="557" ht="15" customHeight="1">
      <c r="A557" t="inlineStr">
        <is>
          <t>A 30338-2022</t>
        </is>
      </c>
      <c r="B557" s="1" t="n">
        <v>44760</v>
      </c>
      <c r="C557" s="1" t="n">
        <v>46100</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59326-2023</t>
        </is>
      </c>
      <c r="B558" s="1" t="n">
        <v>45253.63089120371</v>
      </c>
      <c r="C558" s="1" t="n">
        <v>46100</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44836-2023</t>
        </is>
      </c>
      <c r="B559" s="1" t="n">
        <v>45190.55609953704</v>
      </c>
      <c r="C559" s="1" t="n">
        <v>46100</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2888-2022</t>
        </is>
      </c>
      <c r="B560" s="1" t="n">
        <v>44581</v>
      </c>
      <c r="C560" s="1" t="n">
        <v>46100</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52686-2024</t>
        </is>
      </c>
      <c r="B561" s="1" t="n">
        <v>45610.39271990741</v>
      </c>
      <c r="C561" s="1" t="n">
        <v>46100</v>
      </c>
      <c r="D561" t="inlineStr">
        <is>
          <t>STOCKHOLMS LÄN</t>
        </is>
      </c>
      <c r="E561" t="inlineStr">
        <is>
          <t>NORRTÄLJE</t>
        </is>
      </c>
      <c r="G561" t="n">
        <v>5.7</v>
      </c>
      <c r="H561" t="n">
        <v>0</v>
      </c>
      <c r="I561" t="n">
        <v>0</v>
      </c>
      <c r="J561" t="n">
        <v>0</v>
      </c>
      <c r="K561" t="n">
        <v>0</v>
      </c>
      <c r="L561" t="n">
        <v>0</v>
      </c>
      <c r="M561" t="n">
        <v>0</v>
      </c>
      <c r="N561" t="n">
        <v>0</v>
      </c>
      <c r="O561" t="n">
        <v>0</v>
      </c>
      <c r="P561" t="n">
        <v>0</v>
      </c>
      <c r="Q561" t="n">
        <v>0</v>
      </c>
      <c r="R561" s="2" t="inlineStr"/>
    </row>
    <row r="562" ht="15" customHeight="1">
      <c r="A562" t="inlineStr">
        <is>
          <t>A 20779-2025</t>
        </is>
      </c>
      <c r="B562" s="1" t="n">
        <v>45776.59871527777</v>
      </c>
      <c r="C562" s="1" t="n">
        <v>46100</v>
      </c>
      <c r="D562" t="inlineStr">
        <is>
          <t>STOCKHOLMS LÄN</t>
        </is>
      </c>
      <c r="E562" t="inlineStr">
        <is>
          <t>NORRTÄLJE</t>
        </is>
      </c>
      <c r="G562" t="n">
        <v>6.9</v>
      </c>
      <c r="H562" t="n">
        <v>0</v>
      </c>
      <c r="I562" t="n">
        <v>0</v>
      </c>
      <c r="J562" t="n">
        <v>0</v>
      </c>
      <c r="K562" t="n">
        <v>0</v>
      </c>
      <c r="L562" t="n">
        <v>0</v>
      </c>
      <c r="M562" t="n">
        <v>0</v>
      </c>
      <c r="N562" t="n">
        <v>0</v>
      </c>
      <c r="O562" t="n">
        <v>0</v>
      </c>
      <c r="P562" t="n">
        <v>0</v>
      </c>
      <c r="Q562" t="n">
        <v>0</v>
      </c>
      <c r="R562" s="2" t="inlineStr"/>
    </row>
    <row r="563" ht="15" customHeight="1">
      <c r="A563" t="inlineStr">
        <is>
          <t>A 31926-2022</t>
        </is>
      </c>
      <c r="B563" s="1" t="n">
        <v>44777</v>
      </c>
      <c r="C563" s="1" t="n">
        <v>46100</v>
      </c>
      <c r="D563" t="inlineStr">
        <is>
          <t>STOCKHOLMS LÄN</t>
        </is>
      </c>
      <c r="E563" t="inlineStr">
        <is>
          <t>NORRTÄLJE</t>
        </is>
      </c>
      <c r="G563" t="n">
        <v>5.2</v>
      </c>
      <c r="H563" t="n">
        <v>0</v>
      </c>
      <c r="I563" t="n">
        <v>0</v>
      </c>
      <c r="J563" t="n">
        <v>0</v>
      </c>
      <c r="K563" t="n">
        <v>0</v>
      </c>
      <c r="L563" t="n">
        <v>0</v>
      </c>
      <c r="M563" t="n">
        <v>0</v>
      </c>
      <c r="N563" t="n">
        <v>0</v>
      </c>
      <c r="O563" t="n">
        <v>0</v>
      </c>
      <c r="P563" t="n">
        <v>0</v>
      </c>
      <c r="Q563" t="n">
        <v>0</v>
      </c>
      <c r="R563" s="2" t="inlineStr"/>
    </row>
    <row r="564" ht="15" customHeight="1">
      <c r="A564" t="inlineStr">
        <is>
          <t>A 20343-2024</t>
        </is>
      </c>
      <c r="B564" s="1" t="n">
        <v>45435.43466435185</v>
      </c>
      <c r="C564" s="1" t="n">
        <v>46100</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20345-2024</t>
        </is>
      </c>
      <c r="B565" s="1" t="n">
        <v>45435.43820601852</v>
      </c>
      <c r="C565" s="1" t="n">
        <v>46100</v>
      </c>
      <c r="D565" t="inlineStr">
        <is>
          <t>STOCKHOLMS LÄN</t>
        </is>
      </c>
      <c r="E565" t="inlineStr">
        <is>
          <t>NORRTÄLJE</t>
        </is>
      </c>
      <c r="G565" t="n">
        <v>3.8</v>
      </c>
      <c r="H565" t="n">
        <v>0</v>
      </c>
      <c r="I565" t="n">
        <v>0</v>
      </c>
      <c r="J565" t="n">
        <v>0</v>
      </c>
      <c r="K565" t="n">
        <v>0</v>
      </c>
      <c r="L565" t="n">
        <v>0</v>
      </c>
      <c r="M565" t="n">
        <v>0</v>
      </c>
      <c r="N565" t="n">
        <v>0</v>
      </c>
      <c r="O565" t="n">
        <v>0</v>
      </c>
      <c r="P565" t="n">
        <v>0</v>
      </c>
      <c r="Q565" t="n">
        <v>0</v>
      </c>
      <c r="R565" s="2" t="inlineStr"/>
    </row>
    <row r="566" ht="15" customHeight="1">
      <c r="A566" t="inlineStr">
        <is>
          <t>A 9765-2024</t>
        </is>
      </c>
      <c r="B566" s="1" t="n">
        <v>45362.62811342593</v>
      </c>
      <c r="C566" s="1" t="n">
        <v>46100</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59875-2024</t>
        </is>
      </c>
      <c r="B567" s="1" t="n">
        <v>45640.58716435185</v>
      </c>
      <c r="C567" s="1" t="n">
        <v>46100</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21480-2022</t>
        </is>
      </c>
      <c r="B568" s="1" t="n">
        <v>44704</v>
      </c>
      <c r="C568" s="1" t="n">
        <v>46100</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11041-2025</t>
        </is>
      </c>
      <c r="B569" s="1" t="n">
        <v>45723</v>
      </c>
      <c r="C569" s="1" t="n">
        <v>46100</v>
      </c>
      <c r="D569" t="inlineStr">
        <is>
          <t>STOCKHOLMS LÄN</t>
        </is>
      </c>
      <c r="E569" t="inlineStr">
        <is>
          <t>NORRTÄLJE</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11-2024</t>
        </is>
      </c>
      <c r="B570" s="1" t="n">
        <v>45293</v>
      </c>
      <c r="C570" s="1" t="n">
        <v>46100</v>
      </c>
      <c r="D570" t="inlineStr">
        <is>
          <t>STOCKHOLMS LÄN</t>
        </is>
      </c>
      <c r="E570" t="inlineStr">
        <is>
          <t>NORRTÄLJE</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14559-2024</t>
        </is>
      </c>
      <c r="B571" s="1" t="n">
        <v>45394.72869212963</v>
      </c>
      <c r="C571" s="1" t="n">
        <v>46100</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24024-2024</t>
        </is>
      </c>
      <c r="B572" s="1" t="n">
        <v>45456</v>
      </c>
      <c r="C572" s="1" t="n">
        <v>46100</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8433-2022</t>
        </is>
      </c>
      <c r="B573" s="1" t="n">
        <v>44611</v>
      </c>
      <c r="C573" s="1" t="n">
        <v>46100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28809-2023</t>
        </is>
      </c>
      <c r="B574" s="1" t="n">
        <v>45104</v>
      </c>
      <c r="C574" s="1" t="n">
        <v>46100</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28813-2023</t>
        </is>
      </c>
      <c r="B575" s="1" t="n">
        <v>45104</v>
      </c>
      <c r="C575" s="1" t="n">
        <v>46100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40656-2022</t>
        </is>
      </c>
      <c r="B576" s="1" t="n">
        <v>44824.36069444445</v>
      </c>
      <c r="C576" s="1" t="n">
        <v>46100</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21771-2025</t>
        </is>
      </c>
      <c r="B577" s="1" t="n">
        <v>45783</v>
      </c>
      <c r="C577" s="1" t="n">
        <v>46100</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25525-2022</t>
        </is>
      </c>
      <c r="B578" s="1" t="n">
        <v>44732</v>
      </c>
      <c r="C578" s="1" t="n">
        <v>46100</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60694-2024</t>
        </is>
      </c>
      <c r="B579" s="1" t="n">
        <v>45644.47878472223</v>
      </c>
      <c r="C579" s="1" t="n">
        <v>46100</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12302-2025</t>
        </is>
      </c>
      <c r="B580" s="1" t="n">
        <v>45729.72851851852</v>
      </c>
      <c r="C580" s="1" t="n">
        <v>46100</v>
      </c>
      <c r="D580" t="inlineStr">
        <is>
          <t>STOCKHOLMS LÄN</t>
        </is>
      </c>
      <c r="E580" t="inlineStr">
        <is>
          <t>NORRTÄLJE</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38889-2024</t>
        </is>
      </c>
      <c r="B581" s="1" t="n">
        <v>45547</v>
      </c>
      <c r="C581" s="1" t="n">
        <v>46100</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45451-2024</t>
        </is>
      </c>
      <c r="B582" s="1" t="n">
        <v>45576</v>
      </c>
      <c r="C582" s="1" t="n">
        <v>46100</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21778-2025</t>
        </is>
      </c>
      <c r="B583" s="1" t="n">
        <v>45783.66429398148</v>
      </c>
      <c r="C583" s="1" t="n">
        <v>46100</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19450-2025</t>
        </is>
      </c>
      <c r="B584" s="1" t="n">
        <v>45770</v>
      </c>
      <c r="C584" s="1" t="n">
        <v>46100</v>
      </c>
      <c r="D584" t="inlineStr">
        <is>
          <t>STOCKHOLMS LÄN</t>
        </is>
      </c>
      <c r="E584" t="inlineStr">
        <is>
          <t>NORRTÄLJE</t>
        </is>
      </c>
      <c r="G584" t="n">
        <v>5.3</v>
      </c>
      <c r="H584" t="n">
        <v>0</v>
      </c>
      <c r="I584" t="n">
        <v>0</v>
      </c>
      <c r="J584" t="n">
        <v>0</v>
      </c>
      <c r="K584" t="n">
        <v>0</v>
      </c>
      <c r="L584" t="n">
        <v>0</v>
      </c>
      <c r="M584" t="n">
        <v>0</v>
      </c>
      <c r="N584" t="n">
        <v>0</v>
      </c>
      <c r="O584" t="n">
        <v>0</v>
      </c>
      <c r="P584" t="n">
        <v>0</v>
      </c>
      <c r="Q584" t="n">
        <v>0</v>
      </c>
      <c r="R584" s="2" t="inlineStr"/>
    </row>
    <row r="585" ht="15" customHeight="1">
      <c r="A585" t="inlineStr">
        <is>
          <t>A 41158-2025</t>
        </is>
      </c>
      <c r="B585" s="1" t="n">
        <v>45898.5315625</v>
      </c>
      <c r="C585" s="1" t="n">
        <v>46100</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22202-2025</t>
        </is>
      </c>
      <c r="B586" s="1" t="n">
        <v>45785.65300925926</v>
      </c>
      <c r="C586" s="1" t="n">
        <v>46100</v>
      </c>
      <c r="D586" t="inlineStr">
        <is>
          <t>STOCKHOLMS LÄN</t>
        </is>
      </c>
      <c r="E586" t="inlineStr">
        <is>
          <t>NORRTÄLJE</t>
        </is>
      </c>
      <c r="G586" t="n">
        <v>10.2</v>
      </c>
      <c r="H586" t="n">
        <v>0</v>
      </c>
      <c r="I586" t="n">
        <v>0</v>
      </c>
      <c r="J586" t="n">
        <v>0</v>
      </c>
      <c r="K586" t="n">
        <v>0</v>
      </c>
      <c r="L586" t="n">
        <v>0</v>
      </c>
      <c r="M586" t="n">
        <v>0</v>
      </c>
      <c r="N586" t="n">
        <v>0</v>
      </c>
      <c r="O586" t="n">
        <v>0</v>
      </c>
      <c r="P586" t="n">
        <v>0</v>
      </c>
      <c r="Q586" t="n">
        <v>0</v>
      </c>
      <c r="R586" s="2" t="inlineStr"/>
    </row>
    <row r="587" ht="15" customHeight="1">
      <c r="A587" t="inlineStr">
        <is>
          <t>A 15733-2025</t>
        </is>
      </c>
      <c r="B587" s="1" t="n">
        <v>45748</v>
      </c>
      <c r="C587" s="1" t="n">
        <v>46100</v>
      </c>
      <c r="D587" t="inlineStr">
        <is>
          <t>STOCKHOLMS LÄN</t>
        </is>
      </c>
      <c r="E587" t="inlineStr">
        <is>
          <t>NORRTÄLJE</t>
        </is>
      </c>
      <c r="G587" t="n">
        <v>13.3</v>
      </c>
      <c r="H587" t="n">
        <v>0</v>
      </c>
      <c r="I587" t="n">
        <v>0</v>
      </c>
      <c r="J587" t="n">
        <v>0</v>
      </c>
      <c r="K587" t="n">
        <v>0</v>
      </c>
      <c r="L587" t="n">
        <v>0</v>
      </c>
      <c r="M587" t="n">
        <v>0</v>
      </c>
      <c r="N587" t="n">
        <v>0</v>
      </c>
      <c r="O587" t="n">
        <v>0</v>
      </c>
      <c r="P587" t="n">
        <v>0</v>
      </c>
      <c r="Q587" t="n">
        <v>0</v>
      </c>
      <c r="R587" s="2" t="inlineStr"/>
    </row>
    <row r="588" ht="15" customHeight="1">
      <c r="A588" t="inlineStr">
        <is>
          <t>A 26644-2024</t>
        </is>
      </c>
      <c r="B588" s="1" t="n">
        <v>45469</v>
      </c>
      <c r="C588" s="1" t="n">
        <v>46100</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33353-2023</t>
        </is>
      </c>
      <c r="B589" s="1" t="n">
        <v>45128</v>
      </c>
      <c r="C589" s="1" t="n">
        <v>46100</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16620-2024</t>
        </is>
      </c>
      <c r="B590" s="1" t="n">
        <v>45408.57707175926</v>
      </c>
      <c r="C590" s="1" t="n">
        <v>46100</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3966-2024</t>
        </is>
      </c>
      <c r="B591" s="1" t="n">
        <v>45322</v>
      </c>
      <c r="C591" s="1" t="n">
        <v>46100</v>
      </c>
      <c r="D591" t="inlineStr">
        <is>
          <t>STOCKHOLMS LÄN</t>
        </is>
      </c>
      <c r="E591" t="inlineStr">
        <is>
          <t>NORRTÄLJE</t>
        </is>
      </c>
      <c r="G591" t="n">
        <v>5.3</v>
      </c>
      <c r="H591" t="n">
        <v>0</v>
      </c>
      <c r="I591" t="n">
        <v>0</v>
      </c>
      <c r="J591" t="n">
        <v>0</v>
      </c>
      <c r="K591" t="n">
        <v>0</v>
      </c>
      <c r="L591" t="n">
        <v>0</v>
      </c>
      <c r="M591" t="n">
        <v>0</v>
      </c>
      <c r="N591" t="n">
        <v>0</v>
      </c>
      <c r="O591" t="n">
        <v>0</v>
      </c>
      <c r="P591" t="n">
        <v>0</v>
      </c>
      <c r="Q591" t="n">
        <v>0</v>
      </c>
      <c r="R591" s="2" t="inlineStr"/>
    </row>
    <row r="592" ht="15" customHeight="1">
      <c r="A592" t="inlineStr">
        <is>
          <t>A 22416-2025</t>
        </is>
      </c>
      <c r="B592" s="1" t="n">
        <v>45786.55645833333</v>
      </c>
      <c r="C592" s="1" t="n">
        <v>46100</v>
      </c>
      <c r="D592" t="inlineStr">
        <is>
          <t>STOCKHOLMS LÄN</t>
        </is>
      </c>
      <c r="E592" t="inlineStr">
        <is>
          <t>NORRTÄLJE</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2982-2023</t>
        </is>
      </c>
      <c r="B593" s="1" t="n">
        <v>44945.67409722223</v>
      </c>
      <c r="C593" s="1" t="n">
        <v>46100</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19058-2024</t>
        </is>
      </c>
      <c r="B594" s="1" t="n">
        <v>45427.89121527778</v>
      </c>
      <c r="C594" s="1" t="n">
        <v>46100</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12535-2025</t>
        </is>
      </c>
      <c r="B595" s="1" t="n">
        <v>45730.69502314815</v>
      </c>
      <c r="C595" s="1" t="n">
        <v>46100</v>
      </c>
      <c r="D595" t="inlineStr">
        <is>
          <t>STOCKHOLMS LÄN</t>
        </is>
      </c>
      <c r="E595" t="inlineStr">
        <is>
          <t>NORRTÄLJE</t>
        </is>
      </c>
      <c r="G595" t="n">
        <v>7.1</v>
      </c>
      <c r="H595" t="n">
        <v>0</v>
      </c>
      <c r="I595" t="n">
        <v>0</v>
      </c>
      <c r="J595" t="n">
        <v>0</v>
      </c>
      <c r="K595" t="n">
        <v>0</v>
      </c>
      <c r="L595" t="n">
        <v>0</v>
      </c>
      <c r="M595" t="n">
        <v>0</v>
      </c>
      <c r="N595" t="n">
        <v>0</v>
      </c>
      <c r="O595" t="n">
        <v>0</v>
      </c>
      <c r="P595" t="n">
        <v>0</v>
      </c>
      <c r="Q595" t="n">
        <v>0</v>
      </c>
      <c r="R595" s="2" t="inlineStr"/>
    </row>
    <row r="596" ht="15" customHeight="1">
      <c r="A596" t="inlineStr">
        <is>
          <t>A 41053-2025</t>
        </is>
      </c>
      <c r="B596" s="1" t="n">
        <v>45898.40480324074</v>
      </c>
      <c r="C596" s="1" t="n">
        <v>46100</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58785-2024</t>
        </is>
      </c>
      <c r="B597" s="1" t="n">
        <v>45635.88849537037</v>
      </c>
      <c r="C597" s="1" t="n">
        <v>46100</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37136-2023</t>
        </is>
      </c>
      <c r="B598" s="1" t="n">
        <v>45155</v>
      </c>
      <c r="C598" s="1" t="n">
        <v>46100</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18787-2022</t>
        </is>
      </c>
      <c r="B599" s="1" t="n">
        <v>44687</v>
      </c>
      <c r="C599" s="1" t="n">
        <v>46100</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13718-2022</t>
        </is>
      </c>
      <c r="B600" s="1" t="n">
        <v>44649</v>
      </c>
      <c r="C600" s="1" t="n">
        <v>46100</v>
      </c>
      <c r="D600" t="inlineStr">
        <is>
          <t>STOCKHOLMS LÄN</t>
        </is>
      </c>
      <c r="E600" t="inlineStr">
        <is>
          <t>NORRTÄLJE</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41275-2025</t>
        </is>
      </c>
      <c r="B601" s="1" t="n">
        <v>45898.62625</v>
      </c>
      <c r="C601" s="1" t="n">
        <v>46100</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41272-2025</t>
        </is>
      </c>
      <c r="B602" s="1" t="n">
        <v>45898.62373842593</v>
      </c>
      <c r="C602" s="1" t="n">
        <v>46100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2182-2022</t>
        </is>
      </c>
      <c r="B603" s="1" t="n">
        <v>44578</v>
      </c>
      <c r="C603" s="1" t="n">
        <v>46100</v>
      </c>
      <c r="D603" t="inlineStr">
        <is>
          <t>STOCKHOLMS LÄN</t>
        </is>
      </c>
      <c r="E603" t="inlineStr">
        <is>
          <t>NORRTÄLJE</t>
        </is>
      </c>
      <c r="G603" t="n">
        <v>7.2</v>
      </c>
      <c r="H603" t="n">
        <v>0</v>
      </c>
      <c r="I603" t="n">
        <v>0</v>
      </c>
      <c r="J603" t="n">
        <v>0</v>
      </c>
      <c r="K603" t="n">
        <v>0</v>
      </c>
      <c r="L603" t="n">
        <v>0</v>
      </c>
      <c r="M603" t="n">
        <v>0</v>
      </c>
      <c r="N603" t="n">
        <v>0</v>
      </c>
      <c r="O603" t="n">
        <v>0</v>
      </c>
      <c r="P603" t="n">
        <v>0</v>
      </c>
      <c r="Q603" t="n">
        <v>0</v>
      </c>
      <c r="R603" s="2" t="inlineStr"/>
    </row>
    <row r="604" ht="15" customHeight="1">
      <c r="A604" t="inlineStr">
        <is>
          <t>A 25621-2022</t>
        </is>
      </c>
      <c r="B604" s="1" t="n">
        <v>44732</v>
      </c>
      <c r="C604" s="1" t="n">
        <v>46100</v>
      </c>
      <c r="D604" t="inlineStr">
        <is>
          <t>STOCKHOLMS LÄN</t>
        </is>
      </c>
      <c r="E604" t="inlineStr">
        <is>
          <t>NORRTÄLJE</t>
        </is>
      </c>
      <c r="G604" t="n">
        <v>3.1</v>
      </c>
      <c r="H604" t="n">
        <v>0</v>
      </c>
      <c r="I604" t="n">
        <v>0</v>
      </c>
      <c r="J604" t="n">
        <v>0</v>
      </c>
      <c r="K604" t="n">
        <v>0</v>
      </c>
      <c r="L604" t="n">
        <v>0</v>
      </c>
      <c r="M604" t="n">
        <v>0</v>
      </c>
      <c r="N604" t="n">
        <v>0</v>
      </c>
      <c r="O604" t="n">
        <v>0</v>
      </c>
      <c r="P604" t="n">
        <v>0</v>
      </c>
      <c r="Q604" t="n">
        <v>0</v>
      </c>
      <c r="R604" s="2" t="inlineStr"/>
    </row>
    <row r="605" ht="15" customHeight="1">
      <c r="A605" t="inlineStr">
        <is>
          <t>A 13268-2025</t>
        </is>
      </c>
      <c r="B605" s="1" t="n">
        <v>45735</v>
      </c>
      <c r="C605" s="1" t="n">
        <v>46100</v>
      </c>
      <c r="D605" t="inlineStr">
        <is>
          <t>STOCKHOLMS LÄN</t>
        </is>
      </c>
      <c r="E605" t="inlineStr">
        <is>
          <t>NORRTÄLJE</t>
        </is>
      </c>
      <c r="G605" t="n">
        <v>11.4</v>
      </c>
      <c r="H605" t="n">
        <v>0</v>
      </c>
      <c r="I605" t="n">
        <v>0</v>
      </c>
      <c r="J605" t="n">
        <v>0</v>
      </c>
      <c r="K605" t="n">
        <v>0</v>
      </c>
      <c r="L605" t="n">
        <v>0</v>
      </c>
      <c r="M605" t="n">
        <v>0</v>
      </c>
      <c r="N605" t="n">
        <v>0</v>
      </c>
      <c r="O605" t="n">
        <v>0</v>
      </c>
      <c r="P605" t="n">
        <v>0</v>
      </c>
      <c r="Q605" t="n">
        <v>0</v>
      </c>
      <c r="R605" s="2" t="inlineStr"/>
    </row>
    <row r="606" ht="15" customHeight="1">
      <c r="A606" t="inlineStr">
        <is>
          <t>A 8414-2025</t>
        </is>
      </c>
      <c r="B606" s="1" t="n">
        <v>45709.39361111111</v>
      </c>
      <c r="C606" s="1" t="n">
        <v>46100</v>
      </c>
      <c r="D606" t="inlineStr">
        <is>
          <t>STOCKHOLMS LÄN</t>
        </is>
      </c>
      <c r="E606" t="inlineStr">
        <is>
          <t>NORRTÄLJE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36269-2022</t>
        </is>
      </c>
      <c r="B607" s="1" t="n">
        <v>44803</v>
      </c>
      <c r="C607" s="1" t="n">
        <v>46100</v>
      </c>
      <c r="D607" t="inlineStr">
        <is>
          <t>STOCKHOLMS LÄN</t>
        </is>
      </c>
      <c r="E607" t="inlineStr">
        <is>
          <t>NORRTÄLJE</t>
        </is>
      </c>
      <c r="G607" t="n">
        <v>2.3</v>
      </c>
      <c r="H607" t="n">
        <v>0</v>
      </c>
      <c r="I607" t="n">
        <v>0</v>
      </c>
      <c r="J607" t="n">
        <v>0</v>
      </c>
      <c r="K607" t="n">
        <v>0</v>
      </c>
      <c r="L607" t="n">
        <v>0</v>
      </c>
      <c r="M607" t="n">
        <v>0</v>
      </c>
      <c r="N607" t="n">
        <v>0</v>
      </c>
      <c r="O607" t="n">
        <v>0</v>
      </c>
      <c r="P607" t="n">
        <v>0</v>
      </c>
      <c r="Q607" t="n">
        <v>0</v>
      </c>
      <c r="R607" s="2" t="inlineStr"/>
    </row>
    <row r="608" ht="15" customHeight="1">
      <c r="A608" t="inlineStr">
        <is>
          <t>A 36308-2022</t>
        </is>
      </c>
      <c r="B608" s="1" t="n">
        <v>44803</v>
      </c>
      <c r="C608" s="1" t="n">
        <v>46100</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36625-2024</t>
        </is>
      </c>
      <c r="B609" s="1" t="n">
        <v>45537</v>
      </c>
      <c r="C609" s="1" t="n">
        <v>46100</v>
      </c>
      <c r="D609" t="inlineStr">
        <is>
          <t>STOCKHOLMS LÄN</t>
        </is>
      </c>
      <c r="E609" t="inlineStr">
        <is>
          <t>NORRTÄLJE</t>
        </is>
      </c>
      <c r="G609" t="n">
        <v>3.8</v>
      </c>
      <c r="H609" t="n">
        <v>0</v>
      </c>
      <c r="I609" t="n">
        <v>0</v>
      </c>
      <c r="J609" t="n">
        <v>0</v>
      </c>
      <c r="K609" t="n">
        <v>0</v>
      </c>
      <c r="L609" t="n">
        <v>0</v>
      </c>
      <c r="M609" t="n">
        <v>0</v>
      </c>
      <c r="N609" t="n">
        <v>0</v>
      </c>
      <c r="O609" t="n">
        <v>0</v>
      </c>
      <c r="P609" t="n">
        <v>0</v>
      </c>
      <c r="Q609" t="n">
        <v>0</v>
      </c>
      <c r="R609" s="2" t="inlineStr"/>
    </row>
    <row r="610" ht="15" customHeight="1">
      <c r="A610" t="inlineStr">
        <is>
          <t>A 23262-2023</t>
        </is>
      </c>
      <c r="B610" s="1" t="n">
        <v>45075.90270833333</v>
      </c>
      <c r="C610" s="1" t="n">
        <v>46100</v>
      </c>
      <c r="D610" t="inlineStr">
        <is>
          <t>STOCKHOLMS LÄN</t>
        </is>
      </c>
      <c r="E610" t="inlineStr">
        <is>
          <t>NORRTÄLJE</t>
        </is>
      </c>
      <c r="F610" t="inlineStr">
        <is>
          <t>Kommuner</t>
        </is>
      </c>
      <c r="G610" t="n">
        <v>1.9</v>
      </c>
      <c r="H610" t="n">
        <v>0</v>
      </c>
      <c r="I610" t="n">
        <v>0</v>
      </c>
      <c r="J610" t="n">
        <v>0</v>
      </c>
      <c r="K610" t="n">
        <v>0</v>
      </c>
      <c r="L610" t="n">
        <v>0</v>
      </c>
      <c r="M610" t="n">
        <v>0</v>
      </c>
      <c r="N610" t="n">
        <v>0</v>
      </c>
      <c r="O610" t="n">
        <v>0</v>
      </c>
      <c r="P610" t="n">
        <v>0</v>
      </c>
      <c r="Q610" t="n">
        <v>0</v>
      </c>
      <c r="R610" s="2" t="inlineStr"/>
    </row>
    <row r="611" ht="15" customHeight="1">
      <c r="A611" t="inlineStr">
        <is>
          <t>A 23268-2023</t>
        </is>
      </c>
      <c r="B611" s="1" t="n">
        <v>45075.91042824074</v>
      </c>
      <c r="C611" s="1" t="n">
        <v>46100</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23270-2023</t>
        </is>
      </c>
      <c r="B612" s="1" t="n">
        <v>45075.91265046296</v>
      </c>
      <c r="C612" s="1" t="n">
        <v>46100</v>
      </c>
      <c r="D612" t="inlineStr">
        <is>
          <t>STOCKHOLMS LÄN</t>
        </is>
      </c>
      <c r="E612" t="inlineStr">
        <is>
          <t>NORRTÄLJE</t>
        </is>
      </c>
      <c r="G612" t="n">
        <v>12.3</v>
      </c>
      <c r="H612" t="n">
        <v>0</v>
      </c>
      <c r="I612" t="n">
        <v>0</v>
      </c>
      <c r="J612" t="n">
        <v>0</v>
      </c>
      <c r="K612" t="n">
        <v>0</v>
      </c>
      <c r="L612" t="n">
        <v>0</v>
      </c>
      <c r="M612" t="n">
        <v>0</v>
      </c>
      <c r="N612" t="n">
        <v>0</v>
      </c>
      <c r="O612" t="n">
        <v>0</v>
      </c>
      <c r="P612" t="n">
        <v>0</v>
      </c>
      <c r="Q612" t="n">
        <v>0</v>
      </c>
      <c r="R612" s="2" t="inlineStr"/>
    </row>
    <row r="613" ht="15" customHeight="1">
      <c r="A613" t="inlineStr">
        <is>
          <t>A 23274-2023</t>
        </is>
      </c>
      <c r="B613" s="1" t="n">
        <v>45075.92153935185</v>
      </c>
      <c r="C613" s="1" t="n">
        <v>46100</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44891-2023</t>
        </is>
      </c>
      <c r="B614" s="1" t="n">
        <v>45187</v>
      </c>
      <c r="C614" s="1" t="n">
        <v>46100</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12902-2024</t>
        </is>
      </c>
      <c r="B615" s="1" t="n">
        <v>45385.38146990741</v>
      </c>
      <c r="C615" s="1" t="n">
        <v>46100</v>
      </c>
      <c r="D615" t="inlineStr">
        <is>
          <t>STOCKHOLMS LÄN</t>
        </is>
      </c>
      <c r="E615" t="inlineStr">
        <is>
          <t>NORRTÄLJE</t>
        </is>
      </c>
      <c r="G615" t="n">
        <v>3.7</v>
      </c>
      <c r="H615" t="n">
        <v>0</v>
      </c>
      <c r="I615" t="n">
        <v>0</v>
      </c>
      <c r="J615" t="n">
        <v>0</v>
      </c>
      <c r="K615" t="n">
        <v>0</v>
      </c>
      <c r="L615" t="n">
        <v>0</v>
      </c>
      <c r="M615" t="n">
        <v>0</v>
      </c>
      <c r="N615" t="n">
        <v>0</v>
      </c>
      <c r="O615" t="n">
        <v>0</v>
      </c>
      <c r="P615" t="n">
        <v>0</v>
      </c>
      <c r="Q615" t="n">
        <v>0</v>
      </c>
      <c r="R615" s="2" t="inlineStr"/>
    </row>
    <row r="616" ht="15" customHeight="1">
      <c r="A616" t="inlineStr">
        <is>
          <t>A 44032-2024</t>
        </is>
      </c>
      <c r="B616" s="1" t="n">
        <v>45572.57828703704</v>
      </c>
      <c r="C616" s="1" t="n">
        <v>46100</v>
      </c>
      <c r="D616" t="inlineStr">
        <is>
          <t>STOCKHOLMS LÄN</t>
        </is>
      </c>
      <c r="E616" t="inlineStr">
        <is>
          <t>NORRTÄLJE</t>
        </is>
      </c>
      <c r="G616" t="n">
        <v>8.6</v>
      </c>
      <c r="H616" t="n">
        <v>0</v>
      </c>
      <c r="I616" t="n">
        <v>0</v>
      </c>
      <c r="J616" t="n">
        <v>0</v>
      </c>
      <c r="K616" t="n">
        <v>0</v>
      </c>
      <c r="L616" t="n">
        <v>0</v>
      </c>
      <c r="M616" t="n">
        <v>0</v>
      </c>
      <c r="N616" t="n">
        <v>0</v>
      </c>
      <c r="O616" t="n">
        <v>0</v>
      </c>
      <c r="P616" t="n">
        <v>0</v>
      </c>
      <c r="Q616" t="n">
        <v>0</v>
      </c>
      <c r="R616" s="2" t="inlineStr"/>
    </row>
    <row r="617" ht="15" customHeight="1">
      <c r="A617" t="inlineStr">
        <is>
          <t>A 24563-2024</t>
        </is>
      </c>
      <c r="B617" s="1" t="n">
        <v>45460.44347222222</v>
      </c>
      <c r="C617" s="1" t="n">
        <v>46100</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39237-2024</t>
        </is>
      </c>
      <c r="B618" s="1" t="n">
        <v>45549</v>
      </c>
      <c r="C618" s="1" t="n">
        <v>46100</v>
      </c>
      <c r="D618" t="inlineStr">
        <is>
          <t>STOCKHOLMS LÄN</t>
        </is>
      </c>
      <c r="E618" t="inlineStr">
        <is>
          <t>NORRTÄLJE</t>
        </is>
      </c>
      <c r="G618" t="n">
        <v>13.3</v>
      </c>
      <c r="H618" t="n">
        <v>0</v>
      </c>
      <c r="I618" t="n">
        <v>0</v>
      </c>
      <c r="J618" t="n">
        <v>0</v>
      </c>
      <c r="K618" t="n">
        <v>0</v>
      </c>
      <c r="L618" t="n">
        <v>0</v>
      </c>
      <c r="M618" t="n">
        <v>0</v>
      </c>
      <c r="N618" t="n">
        <v>0</v>
      </c>
      <c r="O618" t="n">
        <v>0</v>
      </c>
      <c r="P618" t="n">
        <v>0</v>
      </c>
      <c r="Q618" t="n">
        <v>0</v>
      </c>
      <c r="R618" s="2" t="inlineStr"/>
    </row>
    <row r="619" ht="15" customHeight="1">
      <c r="A619" t="inlineStr">
        <is>
          <t>A 6919-2025</t>
        </is>
      </c>
      <c r="B619" s="1" t="n">
        <v>45701.44372685185</v>
      </c>
      <c r="C619" s="1" t="n">
        <v>46100</v>
      </c>
      <c r="D619" t="inlineStr">
        <is>
          <t>STOCKHOLMS LÄN</t>
        </is>
      </c>
      <c r="E619" t="inlineStr">
        <is>
          <t>NORRTÄLJE</t>
        </is>
      </c>
      <c r="G619" t="n">
        <v>3.5</v>
      </c>
      <c r="H619" t="n">
        <v>0</v>
      </c>
      <c r="I619" t="n">
        <v>0</v>
      </c>
      <c r="J619" t="n">
        <v>0</v>
      </c>
      <c r="K619" t="n">
        <v>0</v>
      </c>
      <c r="L619" t="n">
        <v>0</v>
      </c>
      <c r="M619" t="n">
        <v>0</v>
      </c>
      <c r="N619" t="n">
        <v>0</v>
      </c>
      <c r="O619" t="n">
        <v>0</v>
      </c>
      <c r="P619" t="n">
        <v>0</v>
      </c>
      <c r="Q619" t="n">
        <v>0</v>
      </c>
      <c r="R619" s="2" t="inlineStr"/>
    </row>
    <row r="620" ht="15" customHeight="1">
      <c r="A620" t="inlineStr">
        <is>
          <t>A 17843-2024</t>
        </is>
      </c>
      <c r="B620" s="1" t="n">
        <v>45418</v>
      </c>
      <c r="C620" s="1" t="n">
        <v>46100</v>
      </c>
      <c r="D620" t="inlineStr">
        <is>
          <t>STOCKHOLMS LÄN</t>
        </is>
      </c>
      <c r="E620" t="inlineStr">
        <is>
          <t>NORRTÄLJE</t>
        </is>
      </c>
      <c r="G620" t="n">
        <v>5.4</v>
      </c>
      <c r="H620" t="n">
        <v>0</v>
      </c>
      <c r="I620" t="n">
        <v>0</v>
      </c>
      <c r="J620" t="n">
        <v>0</v>
      </c>
      <c r="K620" t="n">
        <v>0</v>
      </c>
      <c r="L620" t="n">
        <v>0</v>
      </c>
      <c r="M620" t="n">
        <v>0</v>
      </c>
      <c r="N620" t="n">
        <v>0</v>
      </c>
      <c r="O620" t="n">
        <v>0</v>
      </c>
      <c r="P620" t="n">
        <v>0</v>
      </c>
      <c r="Q620" t="n">
        <v>0</v>
      </c>
      <c r="R620" s="2" t="inlineStr"/>
    </row>
    <row r="621" ht="15" customHeight="1">
      <c r="A621" t="inlineStr">
        <is>
          <t>A 45746-2024</t>
        </is>
      </c>
      <c r="B621" s="1" t="n">
        <v>45579</v>
      </c>
      <c r="C621" s="1" t="n">
        <v>46100</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8400-2024</t>
        </is>
      </c>
      <c r="B622" s="1" t="n">
        <v>45352.74090277778</v>
      </c>
      <c r="C622" s="1" t="n">
        <v>46100</v>
      </c>
      <c r="D622" t="inlineStr">
        <is>
          <t>STOCKHOLMS LÄN</t>
        </is>
      </c>
      <c r="E622" t="inlineStr">
        <is>
          <t>NORRTÄLJE</t>
        </is>
      </c>
      <c r="G622" t="n">
        <v>4.7</v>
      </c>
      <c r="H622" t="n">
        <v>0</v>
      </c>
      <c r="I622" t="n">
        <v>0</v>
      </c>
      <c r="J622" t="n">
        <v>0</v>
      </c>
      <c r="K622" t="n">
        <v>0</v>
      </c>
      <c r="L622" t="n">
        <v>0</v>
      </c>
      <c r="M622" t="n">
        <v>0</v>
      </c>
      <c r="N622" t="n">
        <v>0</v>
      </c>
      <c r="O622" t="n">
        <v>0</v>
      </c>
      <c r="P622" t="n">
        <v>0</v>
      </c>
      <c r="Q622" t="n">
        <v>0</v>
      </c>
      <c r="R622" s="2" t="inlineStr"/>
    </row>
    <row r="623" ht="15" customHeight="1">
      <c r="A623" t="inlineStr">
        <is>
          <t>A 32100-2022</t>
        </is>
      </c>
      <c r="B623" s="1" t="n">
        <v>44778</v>
      </c>
      <c r="C623" s="1" t="n">
        <v>46100</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11332-2025</t>
        </is>
      </c>
      <c r="B624" s="1" t="n">
        <v>45726.48152777777</v>
      </c>
      <c r="C624" s="1" t="n">
        <v>46100</v>
      </c>
      <c r="D624" t="inlineStr">
        <is>
          <t>STOCKHOLMS LÄN</t>
        </is>
      </c>
      <c r="E624" t="inlineStr">
        <is>
          <t>NORRTÄLJE</t>
        </is>
      </c>
      <c r="G624" t="n">
        <v>4.6</v>
      </c>
      <c r="H624" t="n">
        <v>0</v>
      </c>
      <c r="I624" t="n">
        <v>0</v>
      </c>
      <c r="J624" t="n">
        <v>0</v>
      </c>
      <c r="K624" t="n">
        <v>0</v>
      </c>
      <c r="L624" t="n">
        <v>0</v>
      </c>
      <c r="M624" t="n">
        <v>0</v>
      </c>
      <c r="N624" t="n">
        <v>0</v>
      </c>
      <c r="O624" t="n">
        <v>0</v>
      </c>
      <c r="P624" t="n">
        <v>0</v>
      </c>
      <c r="Q624" t="n">
        <v>0</v>
      </c>
      <c r="R624" s="2" t="inlineStr"/>
    </row>
    <row r="625" ht="15" customHeight="1">
      <c r="A625" t="inlineStr">
        <is>
          <t>A 37444-2021</t>
        </is>
      </c>
      <c r="B625" s="1" t="n">
        <v>44398</v>
      </c>
      <c r="C625" s="1" t="n">
        <v>46100</v>
      </c>
      <c r="D625" t="inlineStr">
        <is>
          <t>STOCKHOLMS LÄN</t>
        </is>
      </c>
      <c r="E625" t="inlineStr">
        <is>
          <t>NORRTÄLJE</t>
        </is>
      </c>
      <c r="F625" t="inlineStr">
        <is>
          <t>Holmen skog AB</t>
        </is>
      </c>
      <c r="G625" t="n">
        <v>3.2</v>
      </c>
      <c r="H625" t="n">
        <v>0</v>
      </c>
      <c r="I625" t="n">
        <v>0</v>
      </c>
      <c r="J625" t="n">
        <v>0</v>
      </c>
      <c r="K625" t="n">
        <v>0</v>
      </c>
      <c r="L625" t="n">
        <v>0</v>
      </c>
      <c r="M625" t="n">
        <v>0</v>
      </c>
      <c r="N625" t="n">
        <v>0</v>
      </c>
      <c r="O625" t="n">
        <v>0</v>
      </c>
      <c r="P625" t="n">
        <v>0</v>
      </c>
      <c r="Q625" t="n">
        <v>0</v>
      </c>
      <c r="R625" s="2" t="inlineStr"/>
    </row>
    <row r="626" ht="15" customHeight="1">
      <c r="A626" t="inlineStr">
        <is>
          <t>A 30886-2022</t>
        </is>
      </c>
      <c r="B626" s="1" t="n">
        <v>44767.60601851852</v>
      </c>
      <c r="C626" s="1" t="n">
        <v>46100</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26636-2023</t>
        </is>
      </c>
      <c r="B627" s="1" t="n">
        <v>45092</v>
      </c>
      <c r="C627" s="1" t="n">
        <v>46100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26637-2023</t>
        </is>
      </c>
      <c r="B628" s="1" t="n">
        <v>45092</v>
      </c>
      <c r="C628" s="1" t="n">
        <v>46100</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9654-2022</t>
        </is>
      </c>
      <c r="B629" s="1" t="n">
        <v>44617</v>
      </c>
      <c r="C629" s="1" t="n">
        <v>46100</v>
      </c>
      <c r="D629" t="inlineStr">
        <is>
          <t>STOCKHOLMS LÄN</t>
        </is>
      </c>
      <c r="E629" t="inlineStr">
        <is>
          <t>NORRTÄLJE</t>
        </is>
      </c>
      <c r="G629" t="n">
        <v>6.4</v>
      </c>
      <c r="H629" t="n">
        <v>0</v>
      </c>
      <c r="I629" t="n">
        <v>0</v>
      </c>
      <c r="J629" t="n">
        <v>0</v>
      </c>
      <c r="K629" t="n">
        <v>0</v>
      </c>
      <c r="L629" t="n">
        <v>0</v>
      </c>
      <c r="M629" t="n">
        <v>0</v>
      </c>
      <c r="N629" t="n">
        <v>0</v>
      </c>
      <c r="O629" t="n">
        <v>0</v>
      </c>
      <c r="P629" t="n">
        <v>0</v>
      </c>
      <c r="Q629" t="n">
        <v>0</v>
      </c>
      <c r="R629" s="2" t="inlineStr"/>
    </row>
    <row r="630" ht="15" customHeight="1">
      <c r="A630" t="inlineStr">
        <is>
          <t>A 72704-2021</t>
        </is>
      </c>
      <c r="B630" s="1" t="n">
        <v>44546</v>
      </c>
      <c r="C630" s="1" t="n">
        <v>46100</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41301-2025</t>
        </is>
      </c>
      <c r="B631" s="1" t="n">
        <v>45898.68826388889</v>
      </c>
      <c r="C631" s="1" t="n">
        <v>46100</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52743-2024</t>
        </is>
      </c>
      <c r="B632" s="1" t="n">
        <v>45610.47414351852</v>
      </c>
      <c r="C632" s="1" t="n">
        <v>46100</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16852-2024</t>
        </is>
      </c>
      <c r="B633" s="1" t="n">
        <v>45411.54768518519</v>
      </c>
      <c r="C633" s="1" t="n">
        <v>46100</v>
      </c>
      <c r="D633" t="inlineStr">
        <is>
          <t>STOCKHOLMS LÄN</t>
        </is>
      </c>
      <c r="E633" t="inlineStr">
        <is>
          <t>NORRTÄLJE</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1453-2025</t>
        </is>
      </c>
      <c r="B634" s="1" t="n">
        <v>45670.3079050926</v>
      </c>
      <c r="C634" s="1" t="n">
        <v>46100</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5804-2025</t>
        </is>
      </c>
      <c r="B635" s="1" t="n">
        <v>45694.68207175926</v>
      </c>
      <c r="C635" s="1" t="n">
        <v>46100</v>
      </c>
      <c r="D635" t="inlineStr">
        <is>
          <t>STOCKHOLMS LÄN</t>
        </is>
      </c>
      <c r="E635" t="inlineStr">
        <is>
          <t>NORRTÄLJE</t>
        </is>
      </c>
      <c r="F635" t="inlineStr">
        <is>
          <t>Holmen skog AB</t>
        </is>
      </c>
      <c r="G635" t="n">
        <v>2.6</v>
      </c>
      <c r="H635" t="n">
        <v>0</v>
      </c>
      <c r="I635" t="n">
        <v>0</v>
      </c>
      <c r="J635" t="n">
        <v>0</v>
      </c>
      <c r="K635" t="n">
        <v>0</v>
      </c>
      <c r="L635" t="n">
        <v>0</v>
      </c>
      <c r="M635" t="n">
        <v>0</v>
      </c>
      <c r="N635" t="n">
        <v>0</v>
      </c>
      <c r="O635" t="n">
        <v>0</v>
      </c>
      <c r="P635" t="n">
        <v>0</v>
      </c>
      <c r="Q635" t="n">
        <v>0</v>
      </c>
      <c r="R635" s="2" t="inlineStr"/>
    </row>
    <row r="636" ht="15" customHeight="1">
      <c r="A636" t="inlineStr">
        <is>
          <t>A 50907-2022</t>
        </is>
      </c>
      <c r="B636" s="1" t="n">
        <v>44867.62090277778</v>
      </c>
      <c r="C636" s="1" t="n">
        <v>46100</v>
      </c>
      <c r="D636" t="inlineStr">
        <is>
          <t>STOCKHOLMS LÄN</t>
        </is>
      </c>
      <c r="E636" t="inlineStr">
        <is>
          <t>NORRTÄLJE</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29003-2023</t>
        </is>
      </c>
      <c r="B637" s="1" t="n">
        <v>45104</v>
      </c>
      <c r="C637" s="1" t="n">
        <v>46100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33295-2023</t>
        </is>
      </c>
      <c r="B638" s="1" t="n">
        <v>45127.69371527778</v>
      </c>
      <c r="C638" s="1" t="n">
        <v>46100</v>
      </c>
      <c r="D638" t="inlineStr">
        <is>
          <t>STOCKHOLMS LÄN</t>
        </is>
      </c>
      <c r="E638" t="inlineStr">
        <is>
          <t>NORRTÄLJE</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14127-2025</t>
        </is>
      </c>
      <c r="B639" s="1" t="n">
        <v>45740.47055555556</v>
      </c>
      <c r="C639" s="1" t="n">
        <v>46100</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16980-2023</t>
        </is>
      </c>
      <c r="B640" s="1" t="n">
        <v>45033</v>
      </c>
      <c r="C640" s="1" t="n">
        <v>46100</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32595-2023</t>
        </is>
      </c>
      <c r="B641" s="1" t="n">
        <v>45121</v>
      </c>
      <c r="C641" s="1" t="n">
        <v>46100</v>
      </c>
      <c r="D641" t="inlineStr">
        <is>
          <t>STOCKHOLMS LÄN</t>
        </is>
      </c>
      <c r="E641" t="inlineStr">
        <is>
          <t>NORRTÄLJE</t>
        </is>
      </c>
      <c r="G641" t="n">
        <v>2.4</v>
      </c>
      <c r="H641" t="n">
        <v>0</v>
      </c>
      <c r="I641" t="n">
        <v>0</v>
      </c>
      <c r="J641" t="n">
        <v>0</v>
      </c>
      <c r="K641" t="n">
        <v>0</v>
      </c>
      <c r="L641" t="n">
        <v>0</v>
      </c>
      <c r="M641" t="n">
        <v>0</v>
      </c>
      <c r="N641" t="n">
        <v>0</v>
      </c>
      <c r="O641" t="n">
        <v>0</v>
      </c>
      <c r="P641" t="n">
        <v>0</v>
      </c>
      <c r="Q641" t="n">
        <v>0</v>
      </c>
      <c r="R641" s="2" t="inlineStr"/>
    </row>
    <row r="642" ht="15" customHeight="1">
      <c r="A642" t="inlineStr">
        <is>
          <t>A 55755-2023</t>
        </is>
      </c>
      <c r="B642" s="1" t="n">
        <v>45239</v>
      </c>
      <c r="C642" s="1" t="n">
        <v>46100</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41174-2025</t>
        </is>
      </c>
      <c r="B643" s="1" t="n">
        <v>45898.54921296296</v>
      </c>
      <c r="C643" s="1" t="n">
        <v>46100</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37550-2022</t>
        </is>
      </c>
      <c r="B644" s="1" t="n">
        <v>44809</v>
      </c>
      <c r="C644" s="1" t="n">
        <v>46100</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41030-2025</t>
        </is>
      </c>
      <c r="B645" s="1" t="n">
        <v>45898.37636574074</v>
      </c>
      <c r="C645" s="1" t="n">
        <v>46100</v>
      </c>
      <c r="D645" t="inlineStr">
        <is>
          <t>STOCKHOLMS LÄN</t>
        </is>
      </c>
      <c r="E645" t="inlineStr">
        <is>
          <t>NORRTÄLJE</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17348-2024</t>
        </is>
      </c>
      <c r="B646" s="1" t="n">
        <v>45414.58650462963</v>
      </c>
      <c r="C646" s="1" t="n">
        <v>46100</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48161-2022</t>
        </is>
      </c>
      <c r="B647" s="1" t="n">
        <v>44858</v>
      </c>
      <c r="C647" s="1" t="n">
        <v>46100</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48798-2021</t>
        </is>
      </c>
      <c r="B648" s="1" t="n">
        <v>44452</v>
      </c>
      <c r="C648" s="1" t="n">
        <v>46100</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54776-2023</t>
        </is>
      </c>
      <c r="B649" s="1" t="n">
        <v>45236.46369212963</v>
      </c>
      <c r="C649" s="1" t="n">
        <v>46100</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41036-2025</t>
        </is>
      </c>
      <c r="B650" s="1" t="n">
        <v>45898.38552083333</v>
      </c>
      <c r="C650" s="1" t="n">
        <v>46100</v>
      </c>
      <c r="D650" t="inlineStr">
        <is>
          <t>STOCKHOLMS LÄN</t>
        </is>
      </c>
      <c r="E650" t="inlineStr">
        <is>
          <t>NORRTÄLJE</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41106-2025</t>
        </is>
      </c>
      <c r="B651" s="1" t="n">
        <v>45898.45636574074</v>
      </c>
      <c r="C651" s="1" t="n">
        <v>46100</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13089-2022</t>
        </is>
      </c>
      <c r="B652" s="1" t="n">
        <v>44643</v>
      </c>
      <c r="C652" s="1" t="n">
        <v>46100</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57442-2021</t>
        </is>
      </c>
      <c r="B653" s="1" t="n">
        <v>44483</v>
      </c>
      <c r="C653" s="1" t="n">
        <v>46100</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62998-2023</t>
        </is>
      </c>
      <c r="B654" s="1" t="n">
        <v>45272.64479166667</v>
      </c>
      <c r="C654" s="1" t="n">
        <v>46100</v>
      </c>
      <c r="D654" t="inlineStr">
        <is>
          <t>STOCKHOLMS LÄN</t>
        </is>
      </c>
      <c r="E654" t="inlineStr">
        <is>
          <t>NORRTÄLJE</t>
        </is>
      </c>
      <c r="G654" t="n">
        <v>16.3</v>
      </c>
      <c r="H654" t="n">
        <v>0</v>
      </c>
      <c r="I654" t="n">
        <v>0</v>
      </c>
      <c r="J654" t="n">
        <v>0</v>
      </c>
      <c r="K654" t="n">
        <v>0</v>
      </c>
      <c r="L654" t="n">
        <v>0</v>
      </c>
      <c r="M654" t="n">
        <v>0</v>
      </c>
      <c r="N654" t="n">
        <v>0</v>
      </c>
      <c r="O654" t="n">
        <v>0</v>
      </c>
      <c r="P654" t="n">
        <v>0</v>
      </c>
      <c r="Q654" t="n">
        <v>0</v>
      </c>
      <c r="R654" s="2" t="inlineStr"/>
    </row>
    <row r="655" ht="15" customHeight="1">
      <c r="A655" t="inlineStr">
        <is>
          <t>A 63015-2023</t>
        </is>
      </c>
      <c r="B655" s="1" t="n">
        <v>45272</v>
      </c>
      <c r="C655" s="1" t="n">
        <v>46100</v>
      </c>
      <c r="D655" t="inlineStr">
        <is>
          <t>STOCKHOLMS LÄN</t>
        </is>
      </c>
      <c r="E655" t="inlineStr">
        <is>
          <t>NORRTÄLJE</t>
        </is>
      </c>
      <c r="G655" t="n">
        <v>13.1</v>
      </c>
      <c r="H655" t="n">
        <v>0</v>
      </c>
      <c r="I655" t="n">
        <v>0</v>
      </c>
      <c r="J655" t="n">
        <v>0</v>
      </c>
      <c r="K655" t="n">
        <v>0</v>
      </c>
      <c r="L655" t="n">
        <v>0</v>
      </c>
      <c r="M655" t="n">
        <v>0</v>
      </c>
      <c r="N655" t="n">
        <v>0</v>
      </c>
      <c r="O655" t="n">
        <v>0</v>
      </c>
      <c r="P655" t="n">
        <v>0</v>
      </c>
      <c r="Q655" t="n">
        <v>0</v>
      </c>
      <c r="R655" s="2" t="inlineStr"/>
    </row>
    <row r="656" ht="15" customHeight="1">
      <c r="A656" t="inlineStr">
        <is>
          <t>A 48145-2024</t>
        </is>
      </c>
      <c r="B656" s="1" t="n">
        <v>45589.6756712963</v>
      </c>
      <c r="C656" s="1" t="n">
        <v>46100</v>
      </c>
      <c r="D656" t="inlineStr">
        <is>
          <t>STOCKHOLMS LÄN</t>
        </is>
      </c>
      <c r="E656" t="inlineStr">
        <is>
          <t>NORRTÄLJE</t>
        </is>
      </c>
      <c r="G656" t="n">
        <v>3.4</v>
      </c>
      <c r="H656" t="n">
        <v>0</v>
      </c>
      <c r="I656" t="n">
        <v>0</v>
      </c>
      <c r="J656" t="n">
        <v>0</v>
      </c>
      <c r="K656" t="n">
        <v>0</v>
      </c>
      <c r="L656" t="n">
        <v>0</v>
      </c>
      <c r="M656" t="n">
        <v>0</v>
      </c>
      <c r="N656" t="n">
        <v>0</v>
      </c>
      <c r="O656" t="n">
        <v>0</v>
      </c>
      <c r="P656" t="n">
        <v>0</v>
      </c>
      <c r="Q656" t="n">
        <v>0</v>
      </c>
      <c r="R656" s="2" t="inlineStr"/>
    </row>
    <row r="657" ht="15" customHeight="1">
      <c r="A657" t="inlineStr">
        <is>
          <t>A 27831-2024</t>
        </is>
      </c>
      <c r="B657" s="1" t="n">
        <v>45475.61896990741</v>
      </c>
      <c r="C657" s="1" t="n">
        <v>46100</v>
      </c>
      <c r="D657" t="inlineStr">
        <is>
          <t>STOCKHOLMS LÄN</t>
        </is>
      </c>
      <c r="E657" t="inlineStr">
        <is>
          <t>NORRTÄLJE</t>
        </is>
      </c>
      <c r="G657" t="n">
        <v>3.8</v>
      </c>
      <c r="H657" t="n">
        <v>0</v>
      </c>
      <c r="I657" t="n">
        <v>0</v>
      </c>
      <c r="J657" t="n">
        <v>0</v>
      </c>
      <c r="K657" t="n">
        <v>0</v>
      </c>
      <c r="L657" t="n">
        <v>0</v>
      </c>
      <c r="M657" t="n">
        <v>0</v>
      </c>
      <c r="N657" t="n">
        <v>0</v>
      </c>
      <c r="O657" t="n">
        <v>0</v>
      </c>
      <c r="P657" t="n">
        <v>0</v>
      </c>
      <c r="Q657" t="n">
        <v>0</v>
      </c>
      <c r="R657" s="2" t="inlineStr"/>
    </row>
    <row r="658" ht="15" customHeight="1">
      <c r="A658" t="inlineStr">
        <is>
          <t>A 41110-2025</t>
        </is>
      </c>
      <c r="B658" s="1" t="n">
        <v>45898.45976851852</v>
      </c>
      <c r="C658" s="1" t="n">
        <v>46100</v>
      </c>
      <c r="D658" t="inlineStr">
        <is>
          <t>STOCKHOLMS LÄN</t>
        </is>
      </c>
      <c r="E658" t="inlineStr">
        <is>
          <t>NORRTÄLJE</t>
        </is>
      </c>
      <c r="F658" t="inlineStr">
        <is>
          <t>Holmen skog AB</t>
        </is>
      </c>
      <c r="G658" t="n">
        <v>6.7</v>
      </c>
      <c r="H658" t="n">
        <v>0</v>
      </c>
      <c r="I658" t="n">
        <v>0</v>
      </c>
      <c r="J658" t="n">
        <v>0</v>
      </c>
      <c r="K658" t="n">
        <v>0</v>
      </c>
      <c r="L658" t="n">
        <v>0</v>
      </c>
      <c r="M658" t="n">
        <v>0</v>
      </c>
      <c r="N658" t="n">
        <v>0</v>
      </c>
      <c r="O658" t="n">
        <v>0</v>
      </c>
      <c r="P658" t="n">
        <v>0</v>
      </c>
      <c r="Q658" t="n">
        <v>0</v>
      </c>
      <c r="R658" s="2" t="inlineStr"/>
    </row>
    <row r="659" ht="15" customHeight="1">
      <c r="A659" t="inlineStr">
        <is>
          <t>A 23998-2024</t>
        </is>
      </c>
      <c r="B659" s="1" t="n">
        <v>45456</v>
      </c>
      <c r="C659" s="1" t="n">
        <v>46100</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15447-2023</t>
        </is>
      </c>
      <c r="B660" s="1" t="n">
        <v>45020</v>
      </c>
      <c r="C660" s="1" t="n">
        <v>46100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55952-2024</t>
        </is>
      </c>
      <c r="B661" s="1" t="n">
        <v>45623.62563657408</v>
      </c>
      <c r="C661" s="1" t="n">
        <v>46100</v>
      </c>
      <c r="D661" t="inlineStr">
        <is>
          <t>STOCKHOLMS LÄN</t>
        </is>
      </c>
      <c r="E661" t="inlineStr">
        <is>
          <t>NORRTÄLJE</t>
        </is>
      </c>
      <c r="F661" t="inlineStr">
        <is>
          <t>Holmen skog AB</t>
        </is>
      </c>
      <c r="G661" t="n">
        <v>2.8</v>
      </c>
      <c r="H661" t="n">
        <v>0</v>
      </c>
      <c r="I661" t="n">
        <v>0</v>
      </c>
      <c r="J661" t="n">
        <v>0</v>
      </c>
      <c r="K661" t="n">
        <v>0</v>
      </c>
      <c r="L661" t="n">
        <v>0</v>
      </c>
      <c r="M661" t="n">
        <v>0</v>
      </c>
      <c r="N661" t="n">
        <v>0</v>
      </c>
      <c r="O661" t="n">
        <v>0</v>
      </c>
      <c r="P661" t="n">
        <v>0</v>
      </c>
      <c r="Q661" t="n">
        <v>0</v>
      </c>
      <c r="R661" s="2" t="inlineStr"/>
    </row>
    <row r="662" ht="15" customHeight="1">
      <c r="A662" t="inlineStr">
        <is>
          <t>A 8135-2025</t>
        </is>
      </c>
      <c r="B662" s="1" t="n">
        <v>45707.84997685185</v>
      </c>
      <c r="C662" s="1" t="n">
        <v>46100</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3383-2023</t>
        </is>
      </c>
      <c r="B663" s="1" t="n">
        <v>44949</v>
      </c>
      <c r="C663" s="1" t="n">
        <v>46100</v>
      </c>
      <c r="D663" t="inlineStr">
        <is>
          <t>STOCKHOLMS LÄN</t>
        </is>
      </c>
      <c r="E663" t="inlineStr">
        <is>
          <t>NORRTÄLJE</t>
        </is>
      </c>
      <c r="G663" t="n">
        <v>14.6</v>
      </c>
      <c r="H663" t="n">
        <v>0</v>
      </c>
      <c r="I663" t="n">
        <v>0</v>
      </c>
      <c r="J663" t="n">
        <v>0</v>
      </c>
      <c r="K663" t="n">
        <v>0</v>
      </c>
      <c r="L663" t="n">
        <v>0</v>
      </c>
      <c r="M663" t="n">
        <v>0</v>
      </c>
      <c r="N663" t="n">
        <v>0</v>
      </c>
      <c r="O663" t="n">
        <v>0</v>
      </c>
      <c r="P663" t="n">
        <v>0</v>
      </c>
      <c r="Q663" t="n">
        <v>0</v>
      </c>
      <c r="R663" s="2" t="inlineStr"/>
    </row>
    <row r="664" ht="15" customHeight="1">
      <c r="A664" t="inlineStr">
        <is>
          <t>A 33175-2024</t>
        </is>
      </c>
      <c r="B664" s="1" t="n">
        <v>45518</v>
      </c>
      <c r="C664" s="1" t="n">
        <v>46100</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41259-2025</t>
        </is>
      </c>
      <c r="B665" s="1" t="n">
        <v>45898.61054398148</v>
      </c>
      <c r="C665" s="1" t="n">
        <v>46100</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21803-2022</t>
        </is>
      </c>
      <c r="B666" s="1" t="n">
        <v>44708.67822916667</v>
      </c>
      <c r="C666" s="1" t="n">
        <v>46100</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20730-2024</t>
        </is>
      </c>
      <c r="B667" s="1" t="n">
        <v>45436</v>
      </c>
      <c r="C667" s="1" t="n">
        <v>46100</v>
      </c>
      <c r="D667" t="inlineStr">
        <is>
          <t>STOCKHOLMS LÄN</t>
        </is>
      </c>
      <c r="E667" t="inlineStr">
        <is>
          <t>NORRTÄLJE</t>
        </is>
      </c>
      <c r="G667" t="n">
        <v>7.3</v>
      </c>
      <c r="H667" t="n">
        <v>0</v>
      </c>
      <c r="I667" t="n">
        <v>0</v>
      </c>
      <c r="J667" t="n">
        <v>0</v>
      </c>
      <c r="K667" t="n">
        <v>0</v>
      </c>
      <c r="L667" t="n">
        <v>0</v>
      </c>
      <c r="M667" t="n">
        <v>0</v>
      </c>
      <c r="N667" t="n">
        <v>0</v>
      </c>
      <c r="O667" t="n">
        <v>0</v>
      </c>
      <c r="P667" t="n">
        <v>0</v>
      </c>
      <c r="Q667" t="n">
        <v>0</v>
      </c>
      <c r="R667" s="2" t="inlineStr"/>
    </row>
    <row r="668" ht="15" customHeight="1">
      <c r="A668" t="inlineStr">
        <is>
          <t>A 10511-2025</t>
        </is>
      </c>
      <c r="B668" s="1" t="n">
        <v>45721.40780092592</v>
      </c>
      <c r="C668" s="1" t="n">
        <v>46100</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21732-2023</t>
        </is>
      </c>
      <c r="B669" s="1" t="n">
        <v>45063</v>
      </c>
      <c r="C669" s="1" t="n">
        <v>46100</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23307-2024</t>
        </is>
      </c>
      <c r="B670" s="1" t="n">
        <v>45453</v>
      </c>
      <c r="C670" s="1" t="n">
        <v>46100</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54358-2022</t>
        </is>
      </c>
      <c r="B671" s="1" t="n">
        <v>44882</v>
      </c>
      <c r="C671" s="1" t="n">
        <v>46100</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12901-2024</t>
        </is>
      </c>
      <c r="B672" s="1" t="n">
        <v>45385.37922453704</v>
      </c>
      <c r="C672" s="1" t="n">
        <v>46100</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8950-2025</t>
        </is>
      </c>
      <c r="B673" s="1" t="n">
        <v>45713</v>
      </c>
      <c r="C673" s="1" t="n">
        <v>46100</v>
      </c>
      <c r="D673" t="inlineStr">
        <is>
          <t>STOCKHOLMS LÄN</t>
        </is>
      </c>
      <c r="E673" t="inlineStr">
        <is>
          <t>NORRTÄLJE</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23263-2023</t>
        </is>
      </c>
      <c r="B674" s="1" t="n">
        <v>45075</v>
      </c>
      <c r="C674" s="1" t="n">
        <v>46100</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23264-2023</t>
        </is>
      </c>
      <c r="B675" s="1" t="n">
        <v>45075</v>
      </c>
      <c r="C675" s="1" t="n">
        <v>46100</v>
      </c>
      <c r="D675" t="inlineStr">
        <is>
          <t>STOCKHOLMS LÄN</t>
        </is>
      </c>
      <c r="E675" t="inlineStr">
        <is>
          <t>NORRTÄLJE</t>
        </is>
      </c>
      <c r="G675" t="n">
        <v>2.9</v>
      </c>
      <c r="H675" t="n">
        <v>0</v>
      </c>
      <c r="I675" t="n">
        <v>0</v>
      </c>
      <c r="J675" t="n">
        <v>0</v>
      </c>
      <c r="K675" t="n">
        <v>0</v>
      </c>
      <c r="L675" t="n">
        <v>0</v>
      </c>
      <c r="M675" t="n">
        <v>0</v>
      </c>
      <c r="N675" t="n">
        <v>0</v>
      </c>
      <c r="O675" t="n">
        <v>0</v>
      </c>
      <c r="P675" t="n">
        <v>0</v>
      </c>
      <c r="Q675" t="n">
        <v>0</v>
      </c>
      <c r="R675" s="2" t="inlineStr"/>
    </row>
    <row r="676" ht="15" customHeight="1">
      <c r="A676" t="inlineStr">
        <is>
          <t>A 23267-2023</t>
        </is>
      </c>
      <c r="B676" s="1" t="n">
        <v>45075.90934027778</v>
      </c>
      <c r="C676" s="1" t="n">
        <v>46100</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23269-2023</t>
        </is>
      </c>
      <c r="B677" s="1" t="n">
        <v>45075.91148148148</v>
      </c>
      <c r="C677" s="1" t="n">
        <v>46100</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19911-2025</t>
        </is>
      </c>
      <c r="B678" s="1" t="n">
        <v>45771</v>
      </c>
      <c r="C678" s="1" t="n">
        <v>46100</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12301-2025</t>
        </is>
      </c>
      <c r="B679" s="1" t="n">
        <v>45729.7271875</v>
      </c>
      <c r="C679" s="1" t="n">
        <v>46100</v>
      </c>
      <c r="D679" t="inlineStr">
        <is>
          <t>STOCKHOLMS LÄN</t>
        </is>
      </c>
      <c r="E679" t="inlineStr">
        <is>
          <t>NORRTÄLJE</t>
        </is>
      </c>
      <c r="G679" t="n">
        <v>3.2</v>
      </c>
      <c r="H679" t="n">
        <v>0</v>
      </c>
      <c r="I679" t="n">
        <v>0</v>
      </c>
      <c r="J679" t="n">
        <v>0</v>
      </c>
      <c r="K679" t="n">
        <v>0</v>
      </c>
      <c r="L679" t="n">
        <v>0</v>
      </c>
      <c r="M679" t="n">
        <v>0</v>
      </c>
      <c r="N679" t="n">
        <v>0</v>
      </c>
      <c r="O679" t="n">
        <v>0</v>
      </c>
      <c r="P679" t="n">
        <v>0</v>
      </c>
      <c r="Q679" t="n">
        <v>0</v>
      </c>
      <c r="R679" s="2" t="inlineStr"/>
    </row>
    <row r="680" ht="15" customHeight="1">
      <c r="A680" t="inlineStr">
        <is>
          <t>A 5831-2022</t>
        </is>
      </c>
      <c r="B680" s="1" t="n">
        <v>44596</v>
      </c>
      <c r="C680" s="1" t="n">
        <v>46100</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5867-2022</t>
        </is>
      </c>
      <c r="B681" s="1" t="n">
        <v>44596.66335648148</v>
      </c>
      <c r="C681" s="1" t="n">
        <v>46100</v>
      </c>
      <c r="D681" t="inlineStr">
        <is>
          <t>STOCKHOLMS LÄN</t>
        </is>
      </c>
      <c r="E681" t="inlineStr">
        <is>
          <t>NORRTÄLJE</t>
        </is>
      </c>
      <c r="F681" t="inlineStr">
        <is>
          <t>Naturvårdsverket</t>
        </is>
      </c>
      <c r="G681" t="n">
        <v>1.6</v>
      </c>
      <c r="H681" t="n">
        <v>0</v>
      </c>
      <c r="I681" t="n">
        <v>0</v>
      </c>
      <c r="J681" t="n">
        <v>0</v>
      </c>
      <c r="K681" t="n">
        <v>0</v>
      </c>
      <c r="L681" t="n">
        <v>0</v>
      </c>
      <c r="M681" t="n">
        <v>0</v>
      </c>
      <c r="N681" t="n">
        <v>0</v>
      </c>
      <c r="O681" t="n">
        <v>0</v>
      </c>
      <c r="P681" t="n">
        <v>0</v>
      </c>
      <c r="Q681" t="n">
        <v>0</v>
      </c>
      <c r="R681" s="2" t="inlineStr"/>
    </row>
    <row r="682" ht="15" customHeight="1">
      <c r="A682" t="inlineStr">
        <is>
          <t>A 24351-2025</t>
        </is>
      </c>
      <c r="B682" s="1" t="n">
        <v>45797.58399305555</v>
      </c>
      <c r="C682" s="1" t="n">
        <v>46100</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13283-2025</t>
        </is>
      </c>
      <c r="B683" s="1" t="n">
        <v>45735</v>
      </c>
      <c r="C683" s="1" t="n">
        <v>46100</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20244-2025</t>
        </is>
      </c>
      <c r="B684" s="1" t="n">
        <v>45772.71221064815</v>
      </c>
      <c r="C684" s="1" t="n">
        <v>46100</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48633-2023</t>
        </is>
      </c>
      <c r="B685" s="1" t="n">
        <v>45208.58004629629</v>
      </c>
      <c r="C685" s="1" t="n">
        <v>46100</v>
      </c>
      <c r="D685" t="inlineStr">
        <is>
          <t>STOCKHOLMS LÄN</t>
        </is>
      </c>
      <c r="E685" t="inlineStr">
        <is>
          <t>NORRTÄLJE</t>
        </is>
      </c>
      <c r="G685" t="n">
        <v>3.3</v>
      </c>
      <c r="H685" t="n">
        <v>0</v>
      </c>
      <c r="I685" t="n">
        <v>0</v>
      </c>
      <c r="J685" t="n">
        <v>0</v>
      </c>
      <c r="K685" t="n">
        <v>0</v>
      </c>
      <c r="L685" t="n">
        <v>0</v>
      </c>
      <c r="M685" t="n">
        <v>0</v>
      </c>
      <c r="N685" t="n">
        <v>0</v>
      </c>
      <c r="O685" t="n">
        <v>0</v>
      </c>
      <c r="P685" t="n">
        <v>0</v>
      </c>
      <c r="Q685" t="n">
        <v>0</v>
      </c>
      <c r="R685" s="2" t="inlineStr"/>
    </row>
    <row r="686" ht="15" customHeight="1">
      <c r="A686" t="inlineStr">
        <is>
          <t>A 37085-2021</t>
        </is>
      </c>
      <c r="B686" s="1" t="n">
        <v>44395</v>
      </c>
      <c r="C686" s="1" t="n">
        <v>46100</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56428-2023</t>
        </is>
      </c>
      <c r="B687" s="1" t="n">
        <v>45243.45289351852</v>
      </c>
      <c r="C687" s="1" t="n">
        <v>46100</v>
      </c>
      <c r="D687" t="inlineStr">
        <is>
          <t>STOCKHOLMS LÄN</t>
        </is>
      </c>
      <c r="E687" t="inlineStr">
        <is>
          <t>NORRTÄLJE</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19057-2024</t>
        </is>
      </c>
      <c r="B688" s="1" t="n">
        <v>45427.88731481481</v>
      </c>
      <c r="C688" s="1" t="n">
        <v>46100</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39669-2024</t>
        </is>
      </c>
      <c r="B689" s="1" t="n">
        <v>45552.52827546297</v>
      </c>
      <c r="C689" s="1" t="n">
        <v>46100</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17556-2025</t>
        </is>
      </c>
      <c r="B690" s="1" t="n">
        <v>45757.62482638889</v>
      </c>
      <c r="C690" s="1" t="n">
        <v>46100</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24687-2025</t>
        </is>
      </c>
      <c r="B691" s="1" t="n">
        <v>45798.66767361111</v>
      </c>
      <c r="C691" s="1" t="n">
        <v>46100</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42094-2023</t>
        </is>
      </c>
      <c r="B692" s="1" t="n">
        <v>45177.61498842593</v>
      </c>
      <c r="C692" s="1" t="n">
        <v>46100</v>
      </c>
      <c r="D692" t="inlineStr">
        <is>
          <t>STOCKHOLMS LÄN</t>
        </is>
      </c>
      <c r="E692" t="inlineStr">
        <is>
          <t>NORRTÄLJE</t>
        </is>
      </c>
      <c r="G692" t="n">
        <v>0.3</v>
      </c>
      <c r="H692" t="n">
        <v>0</v>
      </c>
      <c r="I692" t="n">
        <v>0</v>
      </c>
      <c r="J692" t="n">
        <v>0</v>
      </c>
      <c r="K692" t="n">
        <v>0</v>
      </c>
      <c r="L692" t="n">
        <v>0</v>
      </c>
      <c r="M692" t="n">
        <v>0</v>
      </c>
      <c r="N692" t="n">
        <v>0</v>
      </c>
      <c r="O692" t="n">
        <v>0</v>
      </c>
      <c r="P692" t="n">
        <v>0</v>
      </c>
      <c r="Q692" t="n">
        <v>0</v>
      </c>
      <c r="R692" s="2" t="inlineStr"/>
    </row>
    <row r="693" ht="15" customHeight="1">
      <c r="A693" t="inlineStr">
        <is>
          <t>A 24638-2025</t>
        </is>
      </c>
      <c r="B693" s="1" t="n">
        <v>45798</v>
      </c>
      <c r="C693" s="1" t="n">
        <v>46100</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43170-2023</t>
        </is>
      </c>
      <c r="B694" s="1" t="n">
        <v>45183</v>
      </c>
      <c r="C694" s="1" t="n">
        <v>46100</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9-2024</t>
        </is>
      </c>
      <c r="B695" s="1" t="n">
        <v>45293</v>
      </c>
      <c r="C695" s="1" t="n">
        <v>46100</v>
      </c>
      <c r="D695" t="inlineStr">
        <is>
          <t>STOCKHOLMS LÄN</t>
        </is>
      </c>
      <c r="E695" t="inlineStr">
        <is>
          <t>NORRTÄLJE</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8370-2025</t>
        </is>
      </c>
      <c r="B696" s="1" t="n">
        <v>45708</v>
      </c>
      <c r="C696" s="1" t="n">
        <v>46100</v>
      </c>
      <c r="D696" t="inlineStr">
        <is>
          <t>STOCKHOLMS LÄN</t>
        </is>
      </c>
      <c r="E696" t="inlineStr">
        <is>
          <t>NORRTÄLJE</t>
        </is>
      </c>
      <c r="F696" t="inlineStr">
        <is>
          <t>Övriga Aktiebolag</t>
        </is>
      </c>
      <c r="G696" t="n">
        <v>5.6</v>
      </c>
      <c r="H696" t="n">
        <v>0</v>
      </c>
      <c r="I696" t="n">
        <v>0</v>
      </c>
      <c r="J696" t="n">
        <v>0</v>
      </c>
      <c r="K696" t="n">
        <v>0</v>
      </c>
      <c r="L696" t="n">
        <v>0</v>
      </c>
      <c r="M696" t="n">
        <v>0</v>
      </c>
      <c r="N696" t="n">
        <v>0</v>
      </c>
      <c r="O696" t="n">
        <v>0</v>
      </c>
      <c r="P696" t="n">
        <v>0</v>
      </c>
      <c r="Q696" t="n">
        <v>0</v>
      </c>
      <c r="R696" s="2" t="inlineStr"/>
    </row>
    <row r="697" ht="15" customHeight="1">
      <c r="A697" t="inlineStr">
        <is>
          <t>A 22832-2021</t>
        </is>
      </c>
      <c r="B697" s="1" t="n">
        <v>44325</v>
      </c>
      <c r="C697" s="1" t="n">
        <v>46100</v>
      </c>
      <c r="D697" t="inlineStr">
        <is>
          <t>STOCKHOLMS LÄN</t>
        </is>
      </c>
      <c r="E697" t="inlineStr">
        <is>
          <t>NORRTÄLJE</t>
        </is>
      </c>
      <c r="G697" t="n">
        <v>6.8</v>
      </c>
      <c r="H697" t="n">
        <v>0</v>
      </c>
      <c r="I697" t="n">
        <v>0</v>
      </c>
      <c r="J697" t="n">
        <v>0</v>
      </c>
      <c r="K697" t="n">
        <v>0</v>
      </c>
      <c r="L697" t="n">
        <v>0</v>
      </c>
      <c r="M697" t="n">
        <v>0</v>
      </c>
      <c r="N697" t="n">
        <v>0</v>
      </c>
      <c r="O697" t="n">
        <v>0</v>
      </c>
      <c r="P697" t="n">
        <v>0</v>
      </c>
      <c r="Q697" t="n">
        <v>0</v>
      </c>
      <c r="R697" s="2" t="inlineStr"/>
    </row>
    <row r="698" ht="15" customHeight="1">
      <c r="A698" t="inlineStr">
        <is>
          <t>A 3299-2022</t>
        </is>
      </c>
      <c r="B698" s="1" t="n">
        <v>44584.91001157407</v>
      </c>
      <c r="C698" s="1" t="n">
        <v>46100</v>
      </c>
      <c r="D698" t="inlineStr">
        <is>
          <t>STOCKHOLMS LÄN</t>
        </is>
      </c>
      <c r="E698" t="inlineStr">
        <is>
          <t>NORRTÄLJE</t>
        </is>
      </c>
      <c r="G698" t="n">
        <v>2.7</v>
      </c>
      <c r="H698" t="n">
        <v>0</v>
      </c>
      <c r="I698" t="n">
        <v>0</v>
      </c>
      <c r="J698" t="n">
        <v>0</v>
      </c>
      <c r="K698" t="n">
        <v>0</v>
      </c>
      <c r="L698" t="n">
        <v>0</v>
      </c>
      <c r="M698" t="n">
        <v>0</v>
      </c>
      <c r="N698" t="n">
        <v>0</v>
      </c>
      <c r="O698" t="n">
        <v>0</v>
      </c>
      <c r="P698" t="n">
        <v>0</v>
      </c>
      <c r="Q698" t="n">
        <v>0</v>
      </c>
      <c r="R698" s="2" t="inlineStr"/>
    </row>
    <row r="699" ht="15" customHeight="1">
      <c r="A699" t="inlineStr">
        <is>
          <t>A 28603-2024</t>
        </is>
      </c>
      <c r="B699" s="1" t="n">
        <v>45478.42887731481</v>
      </c>
      <c r="C699" s="1" t="n">
        <v>46100</v>
      </c>
      <c r="D699" t="inlineStr">
        <is>
          <t>STOCKHOLMS LÄN</t>
        </is>
      </c>
      <c r="E699" t="inlineStr">
        <is>
          <t>NORRTÄLJE</t>
        </is>
      </c>
      <c r="G699" t="n">
        <v>5.6</v>
      </c>
      <c r="H699" t="n">
        <v>0</v>
      </c>
      <c r="I699" t="n">
        <v>0</v>
      </c>
      <c r="J699" t="n">
        <v>0</v>
      </c>
      <c r="K699" t="n">
        <v>0</v>
      </c>
      <c r="L699" t="n">
        <v>0</v>
      </c>
      <c r="M699" t="n">
        <v>0</v>
      </c>
      <c r="N699" t="n">
        <v>0</v>
      </c>
      <c r="O699" t="n">
        <v>0</v>
      </c>
      <c r="P699" t="n">
        <v>0</v>
      </c>
      <c r="Q699" t="n">
        <v>0</v>
      </c>
      <c r="R699" s="2" t="inlineStr"/>
    </row>
    <row r="700" ht="15" customHeight="1">
      <c r="A700" t="inlineStr">
        <is>
          <t>A 16913-2025</t>
        </is>
      </c>
      <c r="B700" s="1" t="n">
        <v>45755.36583333334</v>
      </c>
      <c r="C700" s="1" t="n">
        <v>46100</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4035-2023</t>
        </is>
      </c>
      <c r="B701" s="1" t="n">
        <v>44952.57989583333</v>
      </c>
      <c r="C701" s="1" t="n">
        <v>46100</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12348-2025</t>
        </is>
      </c>
      <c r="B702" s="1" t="n">
        <v>45730.35026620371</v>
      </c>
      <c r="C702" s="1" t="n">
        <v>46100</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33793-2022</t>
        </is>
      </c>
      <c r="B703" s="1" t="n">
        <v>44790</v>
      </c>
      <c r="C703" s="1" t="n">
        <v>46100</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53600-2022</t>
        </is>
      </c>
      <c r="B704" s="1" t="n">
        <v>44879.70518518519</v>
      </c>
      <c r="C704" s="1" t="n">
        <v>46100</v>
      </c>
      <c r="D704" t="inlineStr">
        <is>
          <t>STOCKHOLMS LÄN</t>
        </is>
      </c>
      <c r="E704" t="inlineStr">
        <is>
          <t>NORRTÄLJE</t>
        </is>
      </c>
      <c r="G704" t="n">
        <v>4.3</v>
      </c>
      <c r="H704" t="n">
        <v>0</v>
      </c>
      <c r="I704" t="n">
        <v>0</v>
      </c>
      <c r="J704" t="n">
        <v>0</v>
      </c>
      <c r="K704" t="n">
        <v>0</v>
      </c>
      <c r="L704" t="n">
        <v>0</v>
      </c>
      <c r="M704" t="n">
        <v>0</v>
      </c>
      <c r="N704" t="n">
        <v>0</v>
      </c>
      <c r="O704" t="n">
        <v>0</v>
      </c>
      <c r="P704" t="n">
        <v>0</v>
      </c>
      <c r="Q704" t="n">
        <v>0</v>
      </c>
      <c r="R704" s="2" t="inlineStr"/>
    </row>
    <row r="705" ht="15" customHeight="1">
      <c r="A705" t="inlineStr">
        <is>
          <t>A 7697-2025</t>
        </is>
      </c>
      <c r="B705" s="1" t="n">
        <v>45706.40086805556</v>
      </c>
      <c r="C705" s="1" t="n">
        <v>46100</v>
      </c>
      <c r="D705" t="inlineStr">
        <is>
          <t>STOCKHOLMS LÄN</t>
        </is>
      </c>
      <c r="E705" t="inlineStr">
        <is>
          <t>NORRTÄLJE</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17545-2025</t>
        </is>
      </c>
      <c r="B706" s="1" t="n">
        <v>45757.60658564815</v>
      </c>
      <c r="C706" s="1" t="n">
        <v>46100</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30221-2024</t>
        </is>
      </c>
      <c r="B707" s="1" t="n">
        <v>45490.45342592592</v>
      </c>
      <c r="C707" s="1" t="n">
        <v>46100</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25094-2023</t>
        </is>
      </c>
      <c r="B708" s="1" t="n">
        <v>45086.3629050926</v>
      </c>
      <c r="C708" s="1" t="n">
        <v>46100</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36157-2024</t>
        </is>
      </c>
      <c r="B709" s="1" t="n">
        <v>45534.38240740741</v>
      </c>
      <c r="C709" s="1" t="n">
        <v>46100</v>
      </c>
      <c r="D709" t="inlineStr">
        <is>
          <t>STOCKHOLMS LÄN</t>
        </is>
      </c>
      <c r="E709" t="inlineStr">
        <is>
          <t>NORRTÄLJE</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24690-2025</t>
        </is>
      </c>
      <c r="B710" s="1" t="n">
        <v>45798.67082175926</v>
      </c>
      <c r="C710" s="1" t="n">
        <v>46100</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41966-2025</t>
        </is>
      </c>
      <c r="B711" s="1" t="n">
        <v>45903.47456018518</v>
      </c>
      <c r="C711" s="1" t="n">
        <v>46100</v>
      </c>
      <c r="D711" t="inlineStr">
        <is>
          <t>STOCKHOLMS LÄN</t>
        </is>
      </c>
      <c r="E711" t="inlineStr">
        <is>
          <t>NORRTÄLJE</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47259-2024</t>
        </is>
      </c>
      <c r="B712" s="1" t="n">
        <v>45586</v>
      </c>
      <c r="C712" s="1" t="n">
        <v>46100</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25702-2025</t>
        </is>
      </c>
      <c r="B713" s="1" t="n">
        <v>45800</v>
      </c>
      <c r="C713" s="1" t="n">
        <v>46100</v>
      </c>
      <c r="D713" t="inlineStr">
        <is>
          <t>STOCKHOLMS LÄN</t>
        </is>
      </c>
      <c r="E713" t="inlineStr">
        <is>
          <t>NORRTÄLJE</t>
        </is>
      </c>
      <c r="G713" t="n">
        <v>5.3</v>
      </c>
      <c r="H713" t="n">
        <v>0</v>
      </c>
      <c r="I713" t="n">
        <v>0</v>
      </c>
      <c r="J713" t="n">
        <v>0</v>
      </c>
      <c r="K713" t="n">
        <v>0</v>
      </c>
      <c r="L713" t="n">
        <v>0</v>
      </c>
      <c r="M713" t="n">
        <v>0</v>
      </c>
      <c r="N713" t="n">
        <v>0</v>
      </c>
      <c r="O713" t="n">
        <v>0</v>
      </c>
      <c r="P713" t="n">
        <v>0</v>
      </c>
      <c r="Q713" t="n">
        <v>0</v>
      </c>
      <c r="R713" s="2" t="inlineStr"/>
    </row>
    <row r="714" ht="15" customHeight="1">
      <c r="A714" t="inlineStr">
        <is>
          <t>A 42038-2025</t>
        </is>
      </c>
      <c r="B714" s="1" t="n">
        <v>45903.61431712963</v>
      </c>
      <c r="C714" s="1" t="n">
        <v>46100</v>
      </c>
      <c r="D714" t="inlineStr">
        <is>
          <t>STOCKHOLMS LÄN</t>
        </is>
      </c>
      <c r="E714" t="inlineStr">
        <is>
          <t>NORRTÄLJE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47694-2023</t>
        </is>
      </c>
      <c r="B715" s="1" t="n">
        <v>45203.63303240741</v>
      </c>
      <c r="C715" s="1" t="n">
        <v>46100</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13-2024</t>
        </is>
      </c>
      <c r="B716" s="1" t="n">
        <v>45293.37263888889</v>
      </c>
      <c r="C716" s="1" t="n">
        <v>46100</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19-2024</t>
        </is>
      </c>
      <c r="B717" s="1" t="n">
        <v>45293</v>
      </c>
      <c r="C717" s="1" t="n">
        <v>46100</v>
      </c>
      <c r="D717" t="inlineStr">
        <is>
          <t>STOCKHOLMS LÄN</t>
        </is>
      </c>
      <c r="E717" t="inlineStr">
        <is>
          <t>NORRTÄLJE</t>
        </is>
      </c>
      <c r="G717" t="n">
        <v>0.3</v>
      </c>
      <c r="H717" t="n">
        <v>0</v>
      </c>
      <c r="I717" t="n">
        <v>0</v>
      </c>
      <c r="J717" t="n">
        <v>0</v>
      </c>
      <c r="K717" t="n">
        <v>0</v>
      </c>
      <c r="L717" t="n">
        <v>0</v>
      </c>
      <c r="M717" t="n">
        <v>0</v>
      </c>
      <c r="N717" t="n">
        <v>0</v>
      </c>
      <c r="O717" t="n">
        <v>0</v>
      </c>
      <c r="P717" t="n">
        <v>0</v>
      </c>
      <c r="Q717" t="n">
        <v>0</v>
      </c>
      <c r="R717" s="2" t="inlineStr"/>
    </row>
    <row r="718" ht="15" customHeight="1">
      <c r="A718" t="inlineStr">
        <is>
          <t>A 31559-2022</t>
        </is>
      </c>
      <c r="B718" s="1" t="n">
        <v>44775</v>
      </c>
      <c r="C718" s="1" t="n">
        <v>46100</v>
      </c>
      <c r="D718" t="inlineStr">
        <is>
          <t>STOCKHOLMS LÄN</t>
        </is>
      </c>
      <c r="E718" t="inlineStr">
        <is>
          <t>NORRTÄLJE</t>
        </is>
      </c>
      <c r="G718" t="n">
        <v>5.6</v>
      </c>
      <c r="H718" t="n">
        <v>0</v>
      </c>
      <c r="I718" t="n">
        <v>0</v>
      </c>
      <c r="J718" t="n">
        <v>0</v>
      </c>
      <c r="K718" t="n">
        <v>0</v>
      </c>
      <c r="L718" t="n">
        <v>0</v>
      </c>
      <c r="M718" t="n">
        <v>0</v>
      </c>
      <c r="N718" t="n">
        <v>0</v>
      </c>
      <c r="O718" t="n">
        <v>0</v>
      </c>
      <c r="P718" t="n">
        <v>0</v>
      </c>
      <c r="Q718" t="n">
        <v>0</v>
      </c>
      <c r="R718" s="2" t="inlineStr"/>
    </row>
    <row r="719" ht="15" customHeight="1">
      <c r="A719" t="inlineStr">
        <is>
          <t>A 35532-2024</t>
        </is>
      </c>
      <c r="B719" s="1" t="n">
        <v>45531</v>
      </c>
      <c r="C719" s="1" t="n">
        <v>46100</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25712-2025</t>
        </is>
      </c>
      <c r="B720" s="1" t="n">
        <v>45803.69228009259</v>
      </c>
      <c r="C720" s="1" t="n">
        <v>46100</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1654-2025</t>
        </is>
      </c>
      <c r="B721" s="1" t="n">
        <v>45670.65921296296</v>
      </c>
      <c r="C721" s="1" t="n">
        <v>46100</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8419-2025</t>
        </is>
      </c>
      <c r="B722" s="1" t="n">
        <v>45709.40231481481</v>
      </c>
      <c r="C722" s="1" t="n">
        <v>46100</v>
      </c>
      <c r="D722" t="inlineStr">
        <is>
          <t>STOCKHOLMS LÄN</t>
        </is>
      </c>
      <c r="E722" t="inlineStr">
        <is>
          <t>NORRTÄLJE</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62644-2023</t>
        </is>
      </c>
      <c r="B723" s="1" t="n">
        <v>45271</v>
      </c>
      <c r="C723" s="1" t="n">
        <v>46100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41964-2025</t>
        </is>
      </c>
      <c r="B724" s="1" t="n">
        <v>45903.47270833333</v>
      </c>
      <c r="C724" s="1" t="n">
        <v>46100</v>
      </c>
      <c r="D724" t="inlineStr">
        <is>
          <t>STOCKHOLMS LÄN</t>
        </is>
      </c>
      <c r="E724" t="inlineStr">
        <is>
          <t>NORRTÄLJE</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25733-2025</t>
        </is>
      </c>
      <c r="B725" s="1" t="n">
        <v>45800</v>
      </c>
      <c r="C725" s="1" t="n">
        <v>46100</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39238-2024</t>
        </is>
      </c>
      <c r="B726" s="1" t="n">
        <v>45549</v>
      </c>
      <c r="C726" s="1" t="n">
        <v>46100</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35161-2022</t>
        </is>
      </c>
      <c r="B727" s="1" t="n">
        <v>44797</v>
      </c>
      <c r="C727" s="1" t="n">
        <v>46100</v>
      </c>
      <c r="D727" t="inlineStr">
        <is>
          <t>STOCKHOLMS LÄN</t>
        </is>
      </c>
      <c r="E727" t="inlineStr">
        <is>
          <t>NORRTÄLJE</t>
        </is>
      </c>
      <c r="G727" t="n">
        <v>6</v>
      </c>
      <c r="H727" t="n">
        <v>0</v>
      </c>
      <c r="I727" t="n">
        <v>0</v>
      </c>
      <c r="J727" t="n">
        <v>0</v>
      </c>
      <c r="K727" t="n">
        <v>0</v>
      </c>
      <c r="L727" t="n">
        <v>0</v>
      </c>
      <c r="M727" t="n">
        <v>0</v>
      </c>
      <c r="N727" t="n">
        <v>0</v>
      </c>
      <c r="O727" t="n">
        <v>0</v>
      </c>
      <c r="P727" t="n">
        <v>0</v>
      </c>
      <c r="Q727" t="n">
        <v>0</v>
      </c>
      <c r="R727" s="2" t="inlineStr"/>
    </row>
    <row r="728" ht="15" customHeight="1">
      <c r="A728" t="inlineStr">
        <is>
          <t>A 30699-2025</t>
        </is>
      </c>
      <c r="B728" s="1" t="n">
        <v>45831.54618055555</v>
      </c>
      <c r="C728" s="1" t="n">
        <v>46100</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11229-2022</t>
        </is>
      </c>
      <c r="B729" s="1" t="n">
        <v>44629</v>
      </c>
      <c r="C729" s="1" t="n">
        <v>46100</v>
      </c>
      <c r="D729" t="inlineStr">
        <is>
          <t>STOCKHOLMS LÄN</t>
        </is>
      </c>
      <c r="E729" t="inlineStr">
        <is>
          <t>NORRTÄLJE</t>
        </is>
      </c>
      <c r="F729" t="inlineStr">
        <is>
          <t>Övriga Aktiebolag</t>
        </is>
      </c>
      <c r="G729" t="n">
        <v>4.1</v>
      </c>
      <c r="H729" t="n">
        <v>0</v>
      </c>
      <c r="I729" t="n">
        <v>0</v>
      </c>
      <c r="J729" t="n">
        <v>0</v>
      </c>
      <c r="K729" t="n">
        <v>0</v>
      </c>
      <c r="L729" t="n">
        <v>0</v>
      </c>
      <c r="M729" t="n">
        <v>0</v>
      </c>
      <c r="N729" t="n">
        <v>0</v>
      </c>
      <c r="O729" t="n">
        <v>0</v>
      </c>
      <c r="P729" t="n">
        <v>0</v>
      </c>
      <c r="Q729" t="n">
        <v>0</v>
      </c>
      <c r="R729" s="2" t="inlineStr"/>
    </row>
    <row r="730" ht="15" customHeight="1">
      <c r="A730" t="inlineStr">
        <is>
          <t>A 25571-2025</t>
        </is>
      </c>
      <c r="B730" s="1" t="n">
        <v>45803.4675</v>
      </c>
      <c r="C730" s="1" t="n">
        <v>46100</v>
      </c>
      <c r="D730" t="inlineStr">
        <is>
          <t>STOCKHOLMS LÄN</t>
        </is>
      </c>
      <c r="E730" t="inlineStr">
        <is>
          <t>NORRTÄLJE</t>
        </is>
      </c>
      <c r="G730" t="n">
        <v>5.4</v>
      </c>
      <c r="H730" t="n">
        <v>0</v>
      </c>
      <c r="I730" t="n">
        <v>0</v>
      </c>
      <c r="J730" t="n">
        <v>0</v>
      </c>
      <c r="K730" t="n">
        <v>0</v>
      </c>
      <c r="L730" t="n">
        <v>0</v>
      </c>
      <c r="M730" t="n">
        <v>0</v>
      </c>
      <c r="N730" t="n">
        <v>0</v>
      </c>
      <c r="O730" t="n">
        <v>0</v>
      </c>
      <c r="P730" t="n">
        <v>0</v>
      </c>
      <c r="Q730" t="n">
        <v>0</v>
      </c>
      <c r="R730" s="2" t="inlineStr"/>
    </row>
    <row r="731" ht="15" customHeight="1">
      <c r="A731" t="inlineStr">
        <is>
          <t>A 25721-2025</t>
        </is>
      </c>
      <c r="B731" s="1" t="n">
        <v>45800</v>
      </c>
      <c r="C731" s="1" t="n">
        <v>46100</v>
      </c>
      <c r="D731" t="inlineStr">
        <is>
          <t>STOCKHOLMS LÄN</t>
        </is>
      </c>
      <c r="E731" t="inlineStr">
        <is>
          <t>NORRTÄLJE</t>
        </is>
      </c>
      <c r="G731" t="n">
        <v>6</v>
      </c>
      <c r="H731" t="n">
        <v>0</v>
      </c>
      <c r="I731" t="n">
        <v>0</v>
      </c>
      <c r="J731" t="n">
        <v>0</v>
      </c>
      <c r="K731" t="n">
        <v>0</v>
      </c>
      <c r="L731" t="n">
        <v>0</v>
      </c>
      <c r="M731" t="n">
        <v>0</v>
      </c>
      <c r="N731" t="n">
        <v>0</v>
      </c>
      <c r="O731" t="n">
        <v>0</v>
      </c>
      <c r="P731" t="n">
        <v>0</v>
      </c>
      <c r="Q731" t="n">
        <v>0</v>
      </c>
      <c r="R731" s="2" t="inlineStr"/>
    </row>
    <row r="732" ht="15" customHeight="1">
      <c r="A732" t="inlineStr">
        <is>
          <t>A 20011-2025</t>
        </is>
      </c>
      <c r="B732" s="1" t="n">
        <v>45772.29622685185</v>
      </c>
      <c r="C732" s="1" t="n">
        <v>46100</v>
      </c>
      <c r="D732" t="inlineStr">
        <is>
          <t>STOCKHOLMS LÄN</t>
        </is>
      </c>
      <c r="E732" t="inlineStr">
        <is>
          <t>NORRTÄLJE</t>
        </is>
      </c>
      <c r="G732" t="n">
        <v>3.5</v>
      </c>
      <c r="H732" t="n">
        <v>0</v>
      </c>
      <c r="I732" t="n">
        <v>0</v>
      </c>
      <c r="J732" t="n">
        <v>0</v>
      </c>
      <c r="K732" t="n">
        <v>0</v>
      </c>
      <c r="L732" t="n">
        <v>0</v>
      </c>
      <c r="M732" t="n">
        <v>0</v>
      </c>
      <c r="N732" t="n">
        <v>0</v>
      </c>
      <c r="O732" t="n">
        <v>0</v>
      </c>
      <c r="P732" t="n">
        <v>0</v>
      </c>
      <c r="Q732" t="n">
        <v>0</v>
      </c>
      <c r="R732" s="2" t="inlineStr"/>
    </row>
    <row r="733" ht="15" customHeight="1">
      <c r="A733" t="inlineStr">
        <is>
          <t>A 42856-2025</t>
        </is>
      </c>
      <c r="B733" s="1" t="n">
        <v>45908</v>
      </c>
      <c r="C733" s="1" t="n">
        <v>46100</v>
      </c>
      <c r="D733" t="inlineStr">
        <is>
          <t>STOCKHOLMS LÄN</t>
        </is>
      </c>
      <c r="E733" t="inlineStr">
        <is>
          <t>NORRTÄLJE</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25697-2025</t>
        </is>
      </c>
      <c r="B734" s="1" t="n">
        <v>45803.66587962963</v>
      </c>
      <c r="C734" s="1" t="n">
        <v>46100</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41218-2024</t>
        </is>
      </c>
      <c r="B735" s="1" t="n">
        <v>45559.54706018518</v>
      </c>
      <c r="C735" s="1" t="n">
        <v>46100</v>
      </c>
      <c r="D735" t="inlineStr">
        <is>
          <t>STOCKHOLMS LÄN</t>
        </is>
      </c>
      <c r="E735" t="inlineStr">
        <is>
          <t>NORRTÄLJE</t>
        </is>
      </c>
      <c r="G735" t="n">
        <v>6</v>
      </c>
      <c r="H735" t="n">
        <v>0</v>
      </c>
      <c r="I735" t="n">
        <v>0</v>
      </c>
      <c r="J735" t="n">
        <v>0</v>
      </c>
      <c r="K735" t="n">
        <v>0</v>
      </c>
      <c r="L735" t="n">
        <v>0</v>
      </c>
      <c r="M735" t="n">
        <v>0</v>
      </c>
      <c r="N735" t="n">
        <v>0</v>
      </c>
      <c r="O735" t="n">
        <v>0</v>
      </c>
      <c r="P735" t="n">
        <v>0</v>
      </c>
      <c r="Q735" t="n">
        <v>0</v>
      </c>
      <c r="R735" s="2" t="inlineStr"/>
    </row>
    <row r="736" ht="15" customHeight="1">
      <c r="A736" t="inlineStr">
        <is>
          <t>A 58989-2021</t>
        </is>
      </c>
      <c r="B736" s="1" t="n">
        <v>44490.02482638889</v>
      </c>
      <c r="C736" s="1" t="n">
        <v>46100</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46988-2024</t>
        </is>
      </c>
      <c r="B737" s="1" t="n">
        <v>45586</v>
      </c>
      <c r="C737" s="1" t="n">
        <v>46100</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21529-2021</t>
        </is>
      </c>
      <c r="B738" s="1" t="n">
        <v>44321</v>
      </c>
      <c r="C738" s="1" t="n">
        <v>46100</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13701-2022</t>
        </is>
      </c>
      <c r="B739" s="1" t="n">
        <v>44648</v>
      </c>
      <c r="C739" s="1" t="n">
        <v>46100</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57353-2024</t>
        </is>
      </c>
      <c r="B740" s="1" t="n">
        <v>45629.65143518519</v>
      </c>
      <c r="C740" s="1" t="n">
        <v>46100</v>
      </c>
      <c r="D740" t="inlineStr">
        <is>
          <t>STOCKHOLMS LÄN</t>
        </is>
      </c>
      <c r="E740" t="inlineStr">
        <is>
          <t>NORRTÄLJE</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48587-2023</t>
        </is>
      </c>
      <c r="B741" s="1" t="n">
        <v>45208</v>
      </c>
      <c r="C741" s="1" t="n">
        <v>46100</v>
      </c>
      <c r="D741" t="inlineStr">
        <is>
          <t>STOCKHOLMS LÄN</t>
        </is>
      </c>
      <c r="E741" t="inlineStr">
        <is>
          <t>NORRTÄLJE</t>
        </is>
      </c>
      <c r="G741" t="n">
        <v>7</v>
      </c>
      <c r="H741" t="n">
        <v>0</v>
      </c>
      <c r="I741" t="n">
        <v>0</v>
      </c>
      <c r="J741" t="n">
        <v>0</v>
      </c>
      <c r="K741" t="n">
        <v>0</v>
      </c>
      <c r="L741" t="n">
        <v>0</v>
      </c>
      <c r="M741" t="n">
        <v>0</v>
      </c>
      <c r="N741" t="n">
        <v>0</v>
      </c>
      <c r="O741" t="n">
        <v>0</v>
      </c>
      <c r="P741" t="n">
        <v>0</v>
      </c>
      <c r="Q741" t="n">
        <v>0</v>
      </c>
      <c r="R741" s="2" t="inlineStr"/>
    </row>
    <row r="742" ht="15" customHeight="1">
      <c r="A742" t="inlineStr">
        <is>
          <t>A 24835-2025</t>
        </is>
      </c>
      <c r="B742" s="1" t="n">
        <v>45799</v>
      </c>
      <c r="C742" s="1" t="n">
        <v>46100</v>
      </c>
      <c r="D742" t="inlineStr">
        <is>
          <t>STOCKHOLMS LÄN</t>
        </is>
      </c>
      <c r="E742" t="inlineStr">
        <is>
          <t>NORRTÄLJE</t>
        </is>
      </c>
      <c r="G742" t="n">
        <v>2.5</v>
      </c>
      <c r="H742" t="n">
        <v>0</v>
      </c>
      <c r="I742" t="n">
        <v>0</v>
      </c>
      <c r="J742" t="n">
        <v>0</v>
      </c>
      <c r="K742" t="n">
        <v>0</v>
      </c>
      <c r="L742" t="n">
        <v>0</v>
      </c>
      <c r="M742" t="n">
        <v>0</v>
      </c>
      <c r="N742" t="n">
        <v>0</v>
      </c>
      <c r="O742" t="n">
        <v>0</v>
      </c>
      <c r="P742" t="n">
        <v>0</v>
      </c>
      <c r="Q742" t="n">
        <v>0</v>
      </c>
      <c r="R742" s="2" t="inlineStr"/>
    </row>
    <row r="743" ht="15" customHeight="1">
      <c r="A743" t="inlineStr">
        <is>
          <t>A 38449-2022</t>
        </is>
      </c>
      <c r="B743" s="1" t="n">
        <v>44813</v>
      </c>
      <c r="C743" s="1" t="n">
        <v>46100</v>
      </c>
      <c r="D743" t="inlineStr">
        <is>
          <t>STOCKHOLMS LÄN</t>
        </is>
      </c>
      <c r="E743" t="inlineStr">
        <is>
          <t>NORRTÄLJE</t>
        </is>
      </c>
      <c r="G743" t="n">
        <v>4.2</v>
      </c>
      <c r="H743" t="n">
        <v>0</v>
      </c>
      <c r="I743" t="n">
        <v>0</v>
      </c>
      <c r="J743" t="n">
        <v>0</v>
      </c>
      <c r="K743" t="n">
        <v>0</v>
      </c>
      <c r="L743" t="n">
        <v>0</v>
      </c>
      <c r="M743" t="n">
        <v>0</v>
      </c>
      <c r="N743" t="n">
        <v>0</v>
      </c>
      <c r="O743" t="n">
        <v>0</v>
      </c>
      <c r="P743" t="n">
        <v>0</v>
      </c>
      <c r="Q743" t="n">
        <v>0</v>
      </c>
      <c r="R743" s="2" t="inlineStr"/>
    </row>
    <row r="744" ht="15" customHeight="1">
      <c r="A744" t="inlineStr">
        <is>
          <t>A 43169-2025</t>
        </is>
      </c>
      <c r="B744" s="1" t="n">
        <v>45910</v>
      </c>
      <c r="C744" s="1" t="n">
        <v>46100</v>
      </c>
      <c r="D744" t="inlineStr">
        <is>
          <t>STOCKHOLMS LÄN</t>
        </is>
      </c>
      <c r="E744" t="inlineStr">
        <is>
          <t>NORRTÄLJE</t>
        </is>
      </c>
      <c r="G744" t="n">
        <v>6.9</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46100</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4438-2023</t>
        </is>
      </c>
      <c r="B746" s="1" t="n">
        <v>44956</v>
      </c>
      <c r="C746" s="1" t="n">
        <v>46100</v>
      </c>
      <c r="D746" t="inlineStr">
        <is>
          <t>STOCKHOLMS LÄN</t>
        </is>
      </c>
      <c r="E746" t="inlineStr">
        <is>
          <t>NORRTÄLJE</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14132-2025</t>
        </is>
      </c>
      <c r="B747" s="1" t="n">
        <v>45740.47550925926</v>
      </c>
      <c r="C747" s="1" t="n">
        <v>46100</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14133-2025</t>
        </is>
      </c>
      <c r="B748" s="1" t="n">
        <v>45740.47724537037</v>
      </c>
      <c r="C748" s="1" t="n">
        <v>46100</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47758-2023</t>
        </is>
      </c>
      <c r="B749" s="1" t="n">
        <v>45203.83891203703</v>
      </c>
      <c r="C749" s="1" t="n">
        <v>46100</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8792-2025</t>
        </is>
      </c>
      <c r="B750" s="1" t="n">
        <v>45712</v>
      </c>
      <c r="C750" s="1" t="n">
        <v>46100</v>
      </c>
      <c r="D750" t="inlineStr">
        <is>
          <t>STOCKHOLMS LÄN</t>
        </is>
      </c>
      <c r="E750" t="inlineStr">
        <is>
          <t>NORRTÄLJE</t>
        </is>
      </c>
      <c r="F750" t="inlineStr">
        <is>
          <t>Övriga Aktiebolag</t>
        </is>
      </c>
      <c r="G750" t="n">
        <v>6.6</v>
      </c>
      <c r="H750" t="n">
        <v>0</v>
      </c>
      <c r="I750" t="n">
        <v>0</v>
      </c>
      <c r="J750" t="n">
        <v>0</v>
      </c>
      <c r="K750" t="n">
        <v>0</v>
      </c>
      <c r="L750" t="n">
        <v>0</v>
      </c>
      <c r="M750" t="n">
        <v>0</v>
      </c>
      <c r="N750" t="n">
        <v>0</v>
      </c>
      <c r="O750" t="n">
        <v>0</v>
      </c>
      <c r="P750" t="n">
        <v>0</v>
      </c>
      <c r="Q750" t="n">
        <v>0</v>
      </c>
      <c r="R750" s="2" t="inlineStr"/>
    </row>
    <row r="751" ht="15" customHeight="1">
      <c r="A751" t="inlineStr">
        <is>
          <t>A 24887-2023</t>
        </is>
      </c>
      <c r="B751" s="1" t="n">
        <v>45085</v>
      </c>
      <c r="C751" s="1" t="n">
        <v>46100</v>
      </c>
      <c r="D751" t="inlineStr">
        <is>
          <t>STOCKHOLMS LÄN</t>
        </is>
      </c>
      <c r="E751" t="inlineStr">
        <is>
          <t>NORRTÄLJE</t>
        </is>
      </c>
      <c r="G751" t="n">
        <v>13.9</v>
      </c>
      <c r="H751" t="n">
        <v>0</v>
      </c>
      <c r="I751" t="n">
        <v>0</v>
      </c>
      <c r="J751" t="n">
        <v>0</v>
      </c>
      <c r="K751" t="n">
        <v>0</v>
      </c>
      <c r="L751" t="n">
        <v>0</v>
      </c>
      <c r="M751" t="n">
        <v>0</v>
      </c>
      <c r="N751" t="n">
        <v>0</v>
      </c>
      <c r="O751" t="n">
        <v>0</v>
      </c>
      <c r="P751" t="n">
        <v>0</v>
      </c>
      <c r="Q751" t="n">
        <v>0</v>
      </c>
      <c r="R751" s="2" t="inlineStr"/>
    </row>
    <row r="752" ht="15" customHeight="1">
      <c r="A752" t="inlineStr">
        <is>
          <t>A 53561-2023</t>
        </is>
      </c>
      <c r="B752" s="1" t="n">
        <v>45224</v>
      </c>
      <c r="C752" s="1" t="n">
        <v>46100</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51061-2023</t>
        </is>
      </c>
      <c r="B753" s="1" t="n">
        <v>45218.65849537037</v>
      </c>
      <c r="C753" s="1" t="n">
        <v>46100</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38612-2022</t>
        </is>
      </c>
      <c r="B754" s="1" t="n">
        <v>44813</v>
      </c>
      <c r="C754" s="1" t="n">
        <v>46100</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4326-2023</t>
        </is>
      </c>
      <c r="B755" s="1" t="n">
        <v>44953.70481481482</v>
      </c>
      <c r="C755" s="1" t="n">
        <v>46100</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22697-2022</t>
        </is>
      </c>
      <c r="B756" s="1" t="n">
        <v>44714.56040509259</v>
      </c>
      <c r="C756" s="1" t="n">
        <v>46100</v>
      </c>
      <c r="D756" t="inlineStr">
        <is>
          <t>STOCKHOLMS LÄN</t>
        </is>
      </c>
      <c r="E756" t="inlineStr">
        <is>
          <t>NORRTÄLJE</t>
        </is>
      </c>
      <c r="G756" t="n">
        <v>5.6</v>
      </c>
      <c r="H756" t="n">
        <v>0</v>
      </c>
      <c r="I756" t="n">
        <v>0</v>
      </c>
      <c r="J756" t="n">
        <v>0</v>
      </c>
      <c r="K756" t="n">
        <v>0</v>
      </c>
      <c r="L756" t="n">
        <v>0</v>
      </c>
      <c r="M756" t="n">
        <v>0</v>
      </c>
      <c r="N756" t="n">
        <v>0</v>
      </c>
      <c r="O756" t="n">
        <v>0</v>
      </c>
      <c r="P756" t="n">
        <v>0</v>
      </c>
      <c r="Q756" t="n">
        <v>0</v>
      </c>
      <c r="R756" s="2" t="inlineStr"/>
    </row>
    <row r="757" ht="15" customHeight="1">
      <c r="A757" t="inlineStr">
        <is>
          <t>A 54504-2024</t>
        </is>
      </c>
      <c r="B757" s="1" t="n">
        <v>45617.58453703704</v>
      </c>
      <c r="C757" s="1" t="n">
        <v>46100</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45549-2022</t>
        </is>
      </c>
      <c r="B758" s="1" t="n">
        <v>44845.48064814815</v>
      </c>
      <c r="C758" s="1" t="n">
        <v>46100</v>
      </c>
      <c r="D758" t="inlineStr">
        <is>
          <t>STOCKHOLMS LÄN</t>
        </is>
      </c>
      <c r="E758" t="inlineStr">
        <is>
          <t>NORRTÄLJE</t>
        </is>
      </c>
      <c r="G758" t="n">
        <v>0.8</v>
      </c>
      <c r="H758" t="n">
        <v>0</v>
      </c>
      <c r="I758" t="n">
        <v>0</v>
      </c>
      <c r="J758" t="n">
        <v>0</v>
      </c>
      <c r="K758" t="n">
        <v>0</v>
      </c>
      <c r="L758" t="n">
        <v>0</v>
      </c>
      <c r="M758" t="n">
        <v>0</v>
      </c>
      <c r="N758" t="n">
        <v>0</v>
      </c>
      <c r="O758" t="n">
        <v>0</v>
      </c>
      <c r="P758" t="n">
        <v>0</v>
      </c>
      <c r="Q758" t="n">
        <v>0</v>
      </c>
      <c r="R758" s="2" t="inlineStr"/>
    </row>
    <row r="759" ht="15" customHeight="1">
      <c r="A759" t="inlineStr">
        <is>
          <t>A 54396-2021</t>
        </is>
      </c>
      <c r="B759" s="1" t="n">
        <v>44472</v>
      </c>
      <c r="C759" s="1" t="n">
        <v>46100</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24727-2023</t>
        </is>
      </c>
      <c r="B760" s="1" t="n">
        <v>45084.57695601852</v>
      </c>
      <c r="C760" s="1" t="n">
        <v>46100</v>
      </c>
      <c r="D760" t="inlineStr">
        <is>
          <t>STOCKHOLMS LÄN</t>
        </is>
      </c>
      <c r="E760" t="inlineStr">
        <is>
          <t>NORRTÄLJE</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30719-2025</t>
        </is>
      </c>
      <c r="B761" s="1" t="n">
        <v>45831</v>
      </c>
      <c r="C761" s="1" t="n">
        <v>46100</v>
      </c>
      <c r="D761" t="inlineStr">
        <is>
          <t>STOCKHOLMS LÄN</t>
        </is>
      </c>
      <c r="E761" t="inlineStr">
        <is>
          <t>NORRTÄLJE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26051-2025</t>
        </is>
      </c>
      <c r="B762" s="1" t="n">
        <v>45804.74479166666</v>
      </c>
      <c r="C762" s="1" t="n">
        <v>46100</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48722-2023</t>
        </is>
      </c>
      <c r="B763" s="1" t="n">
        <v>45208.70996527778</v>
      </c>
      <c r="C763" s="1" t="n">
        <v>46100</v>
      </c>
      <c r="D763" t="inlineStr">
        <is>
          <t>STOCKHOLMS LÄN</t>
        </is>
      </c>
      <c r="E763" t="inlineStr">
        <is>
          <t>NORRTÄLJE</t>
        </is>
      </c>
      <c r="G763" t="n">
        <v>0.3</v>
      </c>
      <c r="H763" t="n">
        <v>0</v>
      </c>
      <c r="I763" t="n">
        <v>0</v>
      </c>
      <c r="J763" t="n">
        <v>0</v>
      </c>
      <c r="K763" t="n">
        <v>0</v>
      </c>
      <c r="L763" t="n">
        <v>0</v>
      </c>
      <c r="M763" t="n">
        <v>0</v>
      </c>
      <c r="N763" t="n">
        <v>0</v>
      </c>
      <c r="O763" t="n">
        <v>0</v>
      </c>
      <c r="P763" t="n">
        <v>0</v>
      </c>
      <c r="Q763" t="n">
        <v>0</v>
      </c>
      <c r="R763" s="2" t="inlineStr"/>
    </row>
    <row r="764" ht="15" customHeight="1">
      <c r="A764" t="inlineStr">
        <is>
          <t>A 43269-2025</t>
        </is>
      </c>
      <c r="B764" s="1" t="n">
        <v>45910.5819212963</v>
      </c>
      <c r="C764" s="1" t="n">
        <v>46100</v>
      </c>
      <c r="D764" t="inlineStr">
        <is>
          <t>STOCKHOLMS LÄN</t>
        </is>
      </c>
      <c r="E764" t="inlineStr">
        <is>
          <t>NORRTÄLJE</t>
        </is>
      </c>
      <c r="G764" t="n">
        <v>3.7</v>
      </c>
      <c r="H764" t="n">
        <v>0</v>
      </c>
      <c r="I764" t="n">
        <v>0</v>
      </c>
      <c r="J764" t="n">
        <v>0</v>
      </c>
      <c r="K764" t="n">
        <v>0</v>
      </c>
      <c r="L764" t="n">
        <v>0</v>
      </c>
      <c r="M764" t="n">
        <v>0</v>
      </c>
      <c r="N764" t="n">
        <v>0</v>
      </c>
      <c r="O764" t="n">
        <v>0</v>
      </c>
      <c r="P764" t="n">
        <v>0</v>
      </c>
      <c r="Q764" t="n">
        <v>0</v>
      </c>
      <c r="R764" s="2" t="inlineStr"/>
    </row>
    <row r="765" ht="15" customHeight="1">
      <c r="A765" t="inlineStr">
        <is>
          <t>A 21745-2023</t>
        </is>
      </c>
      <c r="B765" s="1" t="n">
        <v>45065.55917824074</v>
      </c>
      <c r="C765" s="1" t="n">
        <v>46100</v>
      </c>
      <c r="D765" t="inlineStr">
        <is>
          <t>STOCKHOLMS LÄN</t>
        </is>
      </c>
      <c r="E765" t="inlineStr">
        <is>
          <t>NORRTÄLJE</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35235-2024</t>
        </is>
      </c>
      <c r="B766" s="1" t="n">
        <v>45530</v>
      </c>
      <c r="C766" s="1" t="n">
        <v>46100</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21894-2023</t>
        </is>
      </c>
      <c r="B767" s="1" t="n">
        <v>45068.51783564815</v>
      </c>
      <c r="C767" s="1" t="n">
        <v>46100</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1448-2023</t>
        </is>
      </c>
      <c r="B768" s="1" t="n">
        <v>44937</v>
      </c>
      <c r="C768" s="1" t="n">
        <v>46100</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13276-2022</t>
        </is>
      </c>
      <c r="B769" s="1" t="n">
        <v>44644</v>
      </c>
      <c r="C769" s="1" t="n">
        <v>46100</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8736-2024</t>
        </is>
      </c>
      <c r="B770" s="1" t="n">
        <v>45356.4722800926</v>
      </c>
      <c r="C770" s="1" t="n">
        <v>46100</v>
      </c>
      <c r="D770" t="inlineStr">
        <is>
          <t>STOCKHOLMS LÄN</t>
        </is>
      </c>
      <c r="E770" t="inlineStr">
        <is>
          <t>NORRTÄLJE</t>
        </is>
      </c>
      <c r="G770" t="n">
        <v>8.9</v>
      </c>
      <c r="H770" t="n">
        <v>0</v>
      </c>
      <c r="I770" t="n">
        <v>0</v>
      </c>
      <c r="J770" t="n">
        <v>0</v>
      </c>
      <c r="K770" t="n">
        <v>0</v>
      </c>
      <c r="L770" t="n">
        <v>0</v>
      </c>
      <c r="M770" t="n">
        <v>0</v>
      </c>
      <c r="N770" t="n">
        <v>0</v>
      </c>
      <c r="O770" t="n">
        <v>0</v>
      </c>
      <c r="P770" t="n">
        <v>0</v>
      </c>
      <c r="Q770" t="n">
        <v>0</v>
      </c>
      <c r="R770" s="2" t="inlineStr"/>
    </row>
    <row r="771" ht="15" customHeight="1">
      <c r="A771" t="inlineStr">
        <is>
          <t>A 28182-2022</t>
        </is>
      </c>
      <c r="B771" s="1" t="n">
        <v>44746.58530092592</v>
      </c>
      <c r="C771" s="1" t="n">
        <v>46100</v>
      </c>
      <c r="D771" t="inlineStr">
        <is>
          <t>STOCKHOLMS LÄN</t>
        </is>
      </c>
      <c r="E771" t="inlineStr">
        <is>
          <t>NORRTÄLJE</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33149-2022</t>
        </is>
      </c>
      <c r="B772" s="1" t="n">
        <v>44785</v>
      </c>
      <c r="C772" s="1" t="n">
        <v>46100</v>
      </c>
      <c r="D772" t="inlineStr">
        <is>
          <t>STOCKHOLMS LÄN</t>
        </is>
      </c>
      <c r="E772" t="inlineStr">
        <is>
          <t>NORRTÄLJE</t>
        </is>
      </c>
      <c r="F772" t="inlineStr">
        <is>
          <t>Holmen skog AB</t>
        </is>
      </c>
      <c r="G772" t="n">
        <v>4.4</v>
      </c>
      <c r="H772" t="n">
        <v>0</v>
      </c>
      <c r="I772" t="n">
        <v>0</v>
      </c>
      <c r="J772" t="n">
        <v>0</v>
      </c>
      <c r="K772" t="n">
        <v>0</v>
      </c>
      <c r="L772" t="n">
        <v>0</v>
      </c>
      <c r="M772" t="n">
        <v>0</v>
      </c>
      <c r="N772" t="n">
        <v>0</v>
      </c>
      <c r="O772" t="n">
        <v>0</v>
      </c>
      <c r="P772" t="n">
        <v>0</v>
      </c>
      <c r="Q772" t="n">
        <v>0</v>
      </c>
      <c r="R772" s="2" t="inlineStr"/>
    </row>
    <row r="773" ht="15" customHeight="1">
      <c r="A773" t="inlineStr">
        <is>
          <t>A 34461-2023</t>
        </is>
      </c>
      <c r="B773" s="1" t="n">
        <v>45139</v>
      </c>
      <c r="C773" s="1" t="n">
        <v>46100</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26708-2025</t>
        </is>
      </c>
      <c r="B774" s="1" t="n">
        <v>45810.45633101852</v>
      </c>
      <c r="C774" s="1" t="n">
        <v>46100</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26702-2025</t>
        </is>
      </c>
      <c r="B775" s="1" t="n">
        <v>45810.45236111111</v>
      </c>
      <c r="C775" s="1" t="n">
        <v>46100</v>
      </c>
      <c r="D775" t="inlineStr">
        <is>
          <t>STOCKHOLMS LÄN</t>
        </is>
      </c>
      <c r="E775" t="inlineStr">
        <is>
          <t>NORRTÄLJE</t>
        </is>
      </c>
      <c r="G775" t="n">
        <v>7.3</v>
      </c>
      <c r="H775" t="n">
        <v>0</v>
      </c>
      <c r="I775" t="n">
        <v>0</v>
      </c>
      <c r="J775" t="n">
        <v>0</v>
      </c>
      <c r="K775" t="n">
        <v>0</v>
      </c>
      <c r="L775" t="n">
        <v>0</v>
      </c>
      <c r="M775" t="n">
        <v>0</v>
      </c>
      <c r="N775" t="n">
        <v>0</v>
      </c>
      <c r="O775" t="n">
        <v>0</v>
      </c>
      <c r="P775" t="n">
        <v>0</v>
      </c>
      <c r="Q775" t="n">
        <v>0</v>
      </c>
      <c r="R775" s="2" t="inlineStr"/>
    </row>
    <row r="776" ht="15" customHeight="1">
      <c r="A776" t="inlineStr">
        <is>
          <t>A 51046-2023</t>
        </is>
      </c>
      <c r="B776" s="1" t="n">
        <v>45218</v>
      </c>
      <c r="C776" s="1" t="n">
        <v>46100</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23061-2025</t>
        </is>
      </c>
      <c r="B777" s="1" t="n">
        <v>45790.81410879629</v>
      </c>
      <c r="C777" s="1" t="n">
        <v>46100</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27040-2025</t>
        </is>
      </c>
      <c r="B778" s="1" t="n">
        <v>45811.60451388889</v>
      </c>
      <c r="C778" s="1" t="n">
        <v>46100</v>
      </c>
      <c r="D778" t="inlineStr">
        <is>
          <t>STOCKHOLMS LÄN</t>
        </is>
      </c>
      <c r="E778" t="inlineStr">
        <is>
          <t>NORRTÄLJE</t>
        </is>
      </c>
      <c r="G778" t="n">
        <v>4.3</v>
      </c>
      <c r="H778" t="n">
        <v>0</v>
      </c>
      <c r="I778" t="n">
        <v>0</v>
      </c>
      <c r="J778" t="n">
        <v>0</v>
      </c>
      <c r="K778" t="n">
        <v>0</v>
      </c>
      <c r="L778" t="n">
        <v>0</v>
      </c>
      <c r="M778" t="n">
        <v>0</v>
      </c>
      <c r="N778" t="n">
        <v>0</v>
      </c>
      <c r="O778" t="n">
        <v>0</v>
      </c>
      <c r="P778" t="n">
        <v>0</v>
      </c>
      <c r="Q778" t="n">
        <v>0</v>
      </c>
      <c r="R778" s="2" t="inlineStr"/>
    </row>
    <row r="779" ht="15" customHeight="1">
      <c r="A779" t="inlineStr">
        <is>
          <t>A 26747-2025</t>
        </is>
      </c>
      <c r="B779" s="1" t="n">
        <v>45810.5333912037</v>
      </c>
      <c r="C779" s="1" t="n">
        <v>46100</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43916-2025</t>
        </is>
      </c>
      <c r="B780" s="1" t="n">
        <v>45914.78884259259</v>
      </c>
      <c r="C780" s="1" t="n">
        <v>46100</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17382-2024</t>
        </is>
      </c>
      <c r="B781" s="1" t="n">
        <v>45414.65855324074</v>
      </c>
      <c r="C781" s="1" t="n">
        <v>46100</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6070-2022</t>
        </is>
      </c>
      <c r="B782" s="1" t="n">
        <v>44599.58428240741</v>
      </c>
      <c r="C782" s="1" t="n">
        <v>46100</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17039-2024</t>
        </is>
      </c>
      <c r="B783" s="1" t="n">
        <v>45412.4104050926</v>
      </c>
      <c r="C783" s="1" t="n">
        <v>46100</v>
      </c>
      <c r="D783" t="inlineStr">
        <is>
          <t>STOCKHOLMS LÄN</t>
        </is>
      </c>
      <c r="E783" t="inlineStr">
        <is>
          <t>NORRTÄLJE</t>
        </is>
      </c>
      <c r="G783" t="n">
        <v>5.9</v>
      </c>
      <c r="H783" t="n">
        <v>0</v>
      </c>
      <c r="I783" t="n">
        <v>0</v>
      </c>
      <c r="J783" t="n">
        <v>0</v>
      </c>
      <c r="K783" t="n">
        <v>0</v>
      </c>
      <c r="L783" t="n">
        <v>0</v>
      </c>
      <c r="M783" t="n">
        <v>0</v>
      </c>
      <c r="N783" t="n">
        <v>0</v>
      </c>
      <c r="O783" t="n">
        <v>0</v>
      </c>
      <c r="P783" t="n">
        <v>0</v>
      </c>
      <c r="Q783" t="n">
        <v>0</v>
      </c>
      <c r="R783" s="2" t="inlineStr"/>
    </row>
    <row r="784" ht="15" customHeight="1">
      <c r="A784" t="inlineStr">
        <is>
          <t>A 26675-2025</t>
        </is>
      </c>
      <c r="B784" s="1" t="n">
        <v>45810.42393518519</v>
      </c>
      <c r="C784" s="1" t="n">
        <v>46100</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48180-2023</t>
        </is>
      </c>
      <c r="B785" s="1" t="n">
        <v>45205</v>
      </c>
      <c r="C785" s="1" t="n">
        <v>46100</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35695-2023</t>
        </is>
      </c>
      <c r="B786" s="1" t="n">
        <v>45147.65407407407</v>
      </c>
      <c r="C786" s="1" t="n">
        <v>46100</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45173-2023</t>
        </is>
      </c>
      <c r="B787" s="1" t="n">
        <v>45191</v>
      </c>
      <c r="C787" s="1" t="n">
        <v>46100</v>
      </c>
      <c r="D787" t="inlineStr">
        <is>
          <t>STOCKHOLMS LÄN</t>
        </is>
      </c>
      <c r="E787" t="inlineStr">
        <is>
          <t>NORRTÄLJE</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6537-2024</t>
        </is>
      </c>
      <c r="B788" s="1" t="n">
        <v>45341.39853009259</v>
      </c>
      <c r="C788" s="1" t="n">
        <v>46100</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27554-2025</t>
        </is>
      </c>
      <c r="B789" s="1" t="n">
        <v>45813.4709375</v>
      </c>
      <c r="C789" s="1" t="n">
        <v>46100</v>
      </c>
      <c r="D789" t="inlineStr">
        <is>
          <t>STOCKHOLMS LÄN</t>
        </is>
      </c>
      <c r="E789" t="inlineStr">
        <is>
          <t>NORRTÄLJE</t>
        </is>
      </c>
      <c r="F789" t="inlineStr">
        <is>
          <t>Övriga Aktiebolag</t>
        </is>
      </c>
      <c r="G789" t="n">
        <v>2.5</v>
      </c>
      <c r="H789" t="n">
        <v>0</v>
      </c>
      <c r="I789" t="n">
        <v>0</v>
      </c>
      <c r="J789" t="n">
        <v>0</v>
      </c>
      <c r="K789" t="n">
        <v>0</v>
      </c>
      <c r="L789" t="n">
        <v>0</v>
      </c>
      <c r="M789" t="n">
        <v>0</v>
      </c>
      <c r="N789" t="n">
        <v>0</v>
      </c>
      <c r="O789" t="n">
        <v>0</v>
      </c>
      <c r="P789" t="n">
        <v>0</v>
      </c>
      <c r="Q789" t="n">
        <v>0</v>
      </c>
      <c r="R789" s="2" t="inlineStr"/>
    </row>
    <row r="790" ht="15" customHeight="1">
      <c r="A790" t="inlineStr">
        <is>
          <t>A 40175-2024</t>
        </is>
      </c>
      <c r="B790" s="1" t="n">
        <v>45554.55707175926</v>
      </c>
      <c r="C790" s="1" t="n">
        <v>46100</v>
      </c>
      <c r="D790" t="inlineStr">
        <is>
          <t>STOCKHOLMS LÄN</t>
        </is>
      </c>
      <c r="E790" t="inlineStr">
        <is>
          <t>NORRTÄLJE</t>
        </is>
      </c>
      <c r="G790" t="n">
        <v>7.7</v>
      </c>
      <c r="H790" t="n">
        <v>0</v>
      </c>
      <c r="I790" t="n">
        <v>0</v>
      </c>
      <c r="J790" t="n">
        <v>0</v>
      </c>
      <c r="K790" t="n">
        <v>0</v>
      </c>
      <c r="L790" t="n">
        <v>0</v>
      </c>
      <c r="M790" t="n">
        <v>0</v>
      </c>
      <c r="N790" t="n">
        <v>0</v>
      </c>
      <c r="O790" t="n">
        <v>0</v>
      </c>
      <c r="P790" t="n">
        <v>0</v>
      </c>
      <c r="Q790" t="n">
        <v>0</v>
      </c>
      <c r="R790" s="2" t="inlineStr"/>
    </row>
    <row r="791" ht="15" customHeight="1">
      <c r="A791" t="inlineStr">
        <is>
          <t>A 44354-2025</t>
        </is>
      </c>
      <c r="B791" s="1" t="n">
        <v>45916.44655092592</v>
      </c>
      <c r="C791" s="1" t="n">
        <v>46100</v>
      </c>
      <c r="D791" t="inlineStr">
        <is>
          <t>STOCKHOLMS LÄN</t>
        </is>
      </c>
      <c r="E791" t="inlineStr">
        <is>
          <t>NORRTÄLJE</t>
        </is>
      </c>
      <c r="G791" t="n">
        <v>2.3</v>
      </c>
      <c r="H791" t="n">
        <v>0</v>
      </c>
      <c r="I791" t="n">
        <v>0</v>
      </c>
      <c r="J791" t="n">
        <v>0</v>
      </c>
      <c r="K791" t="n">
        <v>0</v>
      </c>
      <c r="L791" t="n">
        <v>0</v>
      </c>
      <c r="M791" t="n">
        <v>0</v>
      </c>
      <c r="N791" t="n">
        <v>0</v>
      </c>
      <c r="O791" t="n">
        <v>0</v>
      </c>
      <c r="P791" t="n">
        <v>0</v>
      </c>
      <c r="Q791" t="n">
        <v>0</v>
      </c>
      <c r="R791" s="2" t="inlineStr"/>
    </row>
    <row r="792" ht="15" customHeight="1">
      <c r="A792" t="inlineStr">
        <is>
          <t>A 54558-2024</t>
        </is>
      </c>
      <c r="B792" s="1" t="n">
        <v>45617.62358796296</v>
      </c>
      <c r="C792" s="1" t="n">
        <v>46100</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23056-2023</t>
        </is>
      </c>
      <c r="B793" s="1" t="n">
        <v>45075</v>
      </c>
      <c r="C793" s="1" t="n">
        <v>46100</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47431-2023</t>
        </is>
      </c>
      <c r="B794" s="1" t="n">
        <v>45202</v>
      </c>
      <c r="C794" s="1" t="n">
        <v>46100</v>
      </c>
      <c r="D794" t="inlineStr">
        <is>
          <t>STOCKHOLMS LÄN</t>
        </is>
      </c>
      <c r="E794" t="inlineStr">
        <is>
          <t>NORRTÄLJE</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59499-2023</t>
        </is>
      </c>
      <c r="B795" s="1" t="n">
        <v>45254</v>
      </c>
      <c r="C795" s="1" t="n">
        <v>46100</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59468-2023</t>
        </is>
      </c>
      <c r="B796" s="1" t="n">
        <v>45254.41509259259</v>
      </c>
      <c r="C796" s="1" t="n">
        <v>46100</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27700-2025</t>
        </is>
      </c>
      <c r="B797" s="1" t="n">
        <v>45813.6799537037</v>
      </c>
      <c r="C797" s="1" t="n">
        <v>46100</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24705-2023</t>
        </is>
      </c>
      <c r="B798" s="1" t="n">
        <v>45084.54459490741</v>
      </c>
      <c r="C798" s="1" t="n">
        <v>46100</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27697-2025</t>
        </is>
      </c>
      <c r="B799" s="1" t="n">
        <v>45813.66961805556</v>
      </c>
      <c r="C799" s="1" t="n">
        <v>46100</v>
      </c>
      <c r="D799" t="inlineStr">
        <is>
          <t>STOCKHOLMS LÄN</t>
        </is>
      </c>
      <c r="E799" t="inlineStr">
        <is>
          <t>NORRTÄLJE</t>
        </is>
      </c>
      <c r="G799" t="n">
        <v>6.2</v>
      </c>
      <c r="H799" t="n">
        <v>0</v>
      </c>
      <c r="I799" t="n">
        <v>0</v>
      </c>
      <c r="J799" t="n">
        <v>0</v>
      </c>
      <c r="K799" t="n">
        <v>0</v>
      </c>
      <c r="L799" t="n">
        <v>0</v>
      </c>
      <c r="M799" t="n">
        <v>0</v>
      </c>
      <c r="N799" t="n">
        <v>0</v>
      </c>
      <c r="O799" t="n">
        <v>0</v>
      </c>
      <c r="P799" t="n">
        <v>0</v>
      </c>
      <c r="Q799" t="n">
        <v>0</v>
      </c>
      <c r="R799" s="2" t="inlineStr"/>
    </row>
    <row r="800" ht="15" customHeight="1">
      <c r="A800" t="inlineStr">
        <is>
          <t>A 44306-2025</t>
        </is>
      </c>
      <c r="B800" s="1" t="n">
        <v>45916.37736111111</v>
      </c>
      <c r="C800" s="1" t="n">
        <v>46100</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44343-2025</t>
        </is>
      </c>
      <c r="B801" s="1" t="n">
        <v>45916.43378472222</v>
      </c>
      <c r="C801" s="1" t="n">
        <v>46100</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44349-2025</t>
        </is>
      </c>
      <c r="B802" s="1" t="n">
        <v>45916.43929398148</v>
      </c>
      <c r="C802" s="1" t="n">
        <v>46100</v>
      </c>
      <c r="D802" t="inlineStr">
        <is>
          <t>STOCKHOLMS LÄN</t>
        </is>
      </c>
      <c r="E802" t="inlineStr">
        <is>
          <t>NORRTÄLJE</t>
        </is>
      </c>
      <c r="G802" t="n">
        <v>3.5</v>
      </c>
      <c r="H802" t="n">
        <v>0</v>
      </c>
      <c r="I802" t="n">
        <v>0</v>
      </c>
      <c r="J802" t="n">
        <v>0</v>
      </c>
      <c r="K802" t="n">
        <v>0</v>
      </c>
      <c r="L802" t="n">
        <v>0</v>
      </c>
      <c r="M802" t="n">
        <v>0</v>
      </c>
      <c r="N802" t="n">
        <v>0</v>
      </c>
      <c r="O802" t="n">
        <v>0</v>
      </c>
      <c r="P802" t="n">
        <v>0</v>
      </c>
      <c r="Q802" t="n">
        <v>0</v>
      </c>
      <c r="R802" s="2" t="inlineStr"/>
    </row>
    <row r="803" ht="15" customHeight="1">
      <c r="A803" t="inlineStr">
        <is>
          <t>A 12532-2025</t>
        </is>
      </c>
      <c r="B803" s="1" t="n">
        <v>45730.69143518519</v>
      </c>
      <c r="C803" s="1" t="n">
        <v>46100</v>
      </c>
      <c r="D803" t="inlineStr">
        <is>
          <t>STOCKHOLMS LÄN</t>
        </is>
      </c>
      <c r="E803" t="inlineStr">
        <is>
          <t>NORRTÄLJE</t>
        </is>
      </c>
      <c r="G803" t="n">
        <v>1</v>
      </c>
      <c r="H803" t="n">
        <v>0</v>
      </c>
      <c r="I803" t="n">
        <v>0</v>
      </c>
      <c r="J803" t="n">
        <v>0</v>
      </c>
      <c r="K803" t="n">
        <v>0</v>
      </c>
      <c r="L803" t="n">
        <v>0</v>
      </c>
      <c r="M803" t="n">
        <v>0</v>
      </c>
      <c r="N803" t="n">
        <v>0</v>
      </c>
      <c r="O803" t="n">
        <v>0</v>
      </c>
      <c r="P803" t="n">
        <v>0</v>
      </c>
      <c r="Q803" t="n">
        <v>0</v>
      </c>
      <c r="R803" s="2" t="inlineStr"/>
    </row>
    <row r="804" ht="15" customHeight="1">
      <c r="A804" t="inlineStr">
        <is>
          <t>A 27802-2025</t>
        </is>
      </c>
      <c r="B804" s="1" t="n">
        <v>45817.2565625</v>
      </c>
      <c r="C804" s="1" t="n">
        <v>46100</v>
      </c>
      <c r="D804" t="inlineStr">
        <is>
          <t>STOCKHOLMS LÄN</t>
        </is>
      </c>
      <c r="E804" t="inlineStr">
        <is>
          <t>NORRTÄLJE</t>
        </is>
      </c>
      <c r="G804" t="n">
        <v>3</v>
      </c>
      <c r="H804" t="n">
        <v>0</v>
      </c>
      <c r="I804" t="n">
        <v>0</v>
      </c>
      <c r="J804" t="n">
        <v>0</v>
      </c>
      <c r="K804" t="n">
        <v>0</v>
      </c>
      <c r="L804" t="n">
        <v>0</v>
      </c>
      <c r="M804" t="n">
        <v>0</v>
      </c>
      <c r="N804" t="n">
        <v>0</v>
      </c>
      <c r="O804" t="n">
        <v>0</v>
      </c>
      <c r="P804" t="n">
        <v>0</v>
      </c>
      <c r="Q804" t="n">
        <v>0</v>
      </c>
      <c r="R804" s="2" t="inlineStr"/>
    </row>
    <row r="805" ht="15" customHeight="1">
      <c r="A805" t="inlineStr">
        <is>
          <t>A 27806-2025</t>
        </is>
      </c>
      <c r="B805" s="1" t="n">
        <v>45817.30329861111</v>
      </c>
      <c r="C805" s="1" t="n">
        <v>46100</v>
      </c>
      <c r="D805" t="inlineStr">
        <is>
          <t>STOCKHOLMS LÄN</t>
        </is>
      </c>
      <c r="E805" t="inlineStr">
        <is>
          <t>NORRTÄLJE</t>
        </is>
      </c>
      <c r="G805" t="n">
        <v>3</v>
      </c>
      <c r="H805" t="n">
        <v>0</v>
      </c>
      <c r="I805" t="n">
        <v>0</v>
      </c>
      <c r="J805" t="n">
        <v>0</v>
      </c>
      <c r="K805" t="n">
        <v>0</v>
      </c>
      <c r="L805" t="n">
        <v>0</v>
      </c>
      <c r="M805" t="n">
        <v>0</v>
      </c>
      <c r="N805" t="n">
        <v>0</v>
      </c>
      <c r="O805" t="n">
        <v>0</v>
      </c>
      <c r="P805" t="n">
        <v>0</v>
      </c>
      <c r="Q805" t="n">
        <v>0</v>
      </c>
      <c r="R805" s="2" t="inlineStr"/>
    </row>
    <row r="806" ht="15" customHeight="1">
      <c r="A806" t="inlineStr">
        <is>
          <t>A 27808-2025</t>
        </is>
      </c>
      <c r="B806" s="1" t="n">
        <v>45817.31085648148</v>
      </c>
      <c r="C806" s="1" t="n">
        <v>46100</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5732-2023</t>
        </is>
      </c>
      <c r="B807" s="1" t="n">
        <v>44962</v>
      </c>
      <c r="C807" s="1" t="n">
        <v>46100</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21696-2024</t>
        </is>
      </c>
      <c r="B808" s="1" t="n">
        <v>45442.45686342593</v>
      </c>
      <c r="C808" s="1" t="n">
        <v>46100</v>
      </c>
      <c r="D808" t="inlineStr">
        <is>
          <t>STOCKHOLMS LÄN</t>
        </is>
      </c>
      <c r="E808" t="inlineStr">
        <is>
          <t>NORRTÄLJE</t>
        </is>
      </c>
      <c r="G808" t="n">
        <v>2.9</v>
      </c>
      <c r="H808" t="n">
        <v>0</v>
      </c>
      <c r="I808" t="n">
        <v>0</v>
      </c>
      <c r="J808" t="n">
        <v>0</v>
      </c>
      <c r="K808" t="n">
        <v>0</v>
      </c>
      <c r="L808" t="n">
        <v>0</v>
      </c>
      <c r="M808" t="n">
        <v>0</v>
      </c>
      <c r="N808" t="n">
        <v>0</v>
      </c>
      <c r="O808" t="n">
        <v>0</v>
      </c>
      <c r="P808" t="n">
        <v>0</v>
      </c>
      <c r="Q808" t="n">
        <v>0</v>
      </c>
      <c r="R808" s="2" t="inlineStr"/>
    </row>
    <row r="809" ht="15" customHeight="1">
      <c r="A809" t="inlineStr">
        <is>
          <t>A 27810-2025</t>
        </is>
      </c>
      <c r="B809" s="1" t="n">
        <v>45817.31708333334</v>
      </c>
      <c r="C809" s="1" t="n">
        <v>46100</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27811-2025</t>
        </is>
      </c>
      <c r="B810" s="1" t="n">
        <v>45817.31986111111</v>
      </c>
      <c r="C810" s="1" t="n">
        <v>46100</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27818-2025</t>
        </is>
      </c>
      <c r="B811" s="1" t="n">
        <v>45817.33503472222</v>
      </c>
      <c r="C811" s="1" t="n">
        <v>46100</v>
      </c>
      <c r="D811" t="inlineStr">
        <is>
          <t>STOCKHOLMS LÄN</t>
        </is>
      </c>
      <c r="E811" t="inlineStr">
        <is>
          <t>NORRTÄLJE</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44311-2025</t>
        </is>
      </c>
      <c r="B812" s="1" t="n">
        <v>45916.38394675926</v>
      </c>
      <c r="C812" s="1" t="n">
        <v>46100</v>
      </c>
      <c r="D812" t="inlineStr">
        <is>
          <t>STOCKHOLMS LÄN</t>
        </is>
      </c>
      <c r="E812" t="inlineStr">
        <is>
          <t>NORRTÄLJE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10653-2022</t>
        </is>
      </c>
      <c r="B813" s="1" t="n">
        <v>44624.59434027778</v>
      </c>
      <c r="C813" s="1" t="n">
        <v>46100</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44333-2025</t>
        </is>
      </c>
      <c r="B814" s="1" t="n">
        <v>45916.42293981482</v>
      </c>
      <c r="C814" s="1" t="n">
        <v>46100</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21729-2024</t>
        </is>
      </c>
      <c r="B815" s="1" t="n">
        <v>45442</v>
      </c>
      <c r="C815" s="1" t="n">
        <v>46100</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27801-2025</t>
        </is>
      </c>
      <c r="B816" s="1" t="n">
        <v>45817.25471064815</v>
      </c>
      <c r="C816" s="1" t="n">
        <v>46100</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67990-2021</t>
        </is>
      </c>
      <c r="B817" s="1" t="n">
        <v>44525</v>
      </c>
      <c r="C817" s="1" t="n">
        <v>46100</v>
      </c>
      <c r="D817" t="inlineStr">
        <is>
          <t>STOCKHOLMS LÄN</t>
        </is>
      </c>
      <c r="E817" t="inlineStr">
        <is>
          <t>NORRTÄLJE</t>
        </is>
      </c>
      <c r="F817" t="inlineStr">
        <is>
          <t>Sveaskog</t>
        </is>
      </c>
      <c r="G817" t="n">
        <v>7.8</v>
      </c>
      <c r="H817" t="n">
        <v>0</v>
      </c>
      <c r="I817" t="n">
        <v>0</v>
      </c>
      <c r="J817" t="n">
        <v>0</v>
      </c>
      <c r="K817" t="n">
        <v>0</v>
      </c>
      <c r="L817" t="n">
        <v>0</v>
      </c>
      <c r="M817" t="n">
        <v>0</v>
      </c>
      <c r="N817" t="n">
        <v>0</v>
      </c>
      <c r="O817" t="n">
        <v>0</v>
      </c>
      <c r="P817" t="n">
        <v>0</v>
      </c>
      <c r="Q817" t="n">
        <v>0</v>
      </c>
      <c r="R817" s="2" t="inlineStr"/>
    </row>
    <row r="818" ht="15" customHeight="1">
      <c r="A818" t="inlineStr">
        <is>
          <t>A 71552-2021</t>
        </is>
      </c>
      <c r="B818" s="1" t="n">
        <v>44540</v>
      </c>
      <c r="C818" s="1" t="n">
        <v>46100</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11854-2025</t>
        </is>
      </c>
      <c r="B819" s="1" t="n">
        <v>45728.38924768518</v>
      </c>
      <c r="C819" s="1" t="n">
        <v>46100</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27803-2025</t>
        </is>
      </c>
      <c r="B820" s="1" t="n">
        <v>45817.291875</v>
      </c>
      <c r="C820" s="1" t="n">
        <v>46100</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27813-2025</t>
        </is>
      </c>
      <c r="B821" s="1" t="n">
        <v>45817.32538194444</v>
      </c>
      <c r="C821" s="1" t="n">
        <v>46100</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73992-2021</t>
        </is>
      </c>
      <c r="B822" s="1" t="n">
        <v>44556</v>
      </c>
      <c r="C822" s="1" t="n">
        <v>46100</v>
      </c>
      <c r="D822" t="inlineStr">
        <is>
          <t>STOCKHOLMS LÄN</t>
        </is>
      </c>
      <c r="E822" t="inlineStr">
        <is>
          <t>NORRTÄLJE</t>
        </is>
      </c>
      <c r="G822" t="n">
        <v>12.5</v>
      </c>
      <c r="H822" t="n">
        <v>0</v>
      </c>
      <c r="I822" t="n">
        <v>0</v>
      </c>
      <c r="J822" t="n">
        <v>0</v>
      </c>
      <c r="K822" t="n">
        <v>0</v>
      </c>
      <c r="L822" t="n">
        <v>0</v>
      </c>
      <c r="M822" t="n">
        <v>0</v>
      </c>
      <c r="N822" t="n">
        <v>0</v>
      </c>
      <c r="O822" t="n">
        <v>0</v>
      </c>
      <c r="P822" t="n">
        <v>0</v>
      </c>
      <c r="Q822" t="n">
        <v>0</v>
      </c>
      <c r="R822" s="2" t="inlineStr"/>
    </row>
    <row r="823" ht="15" customHeight="1">
      <c r="A823" t="inlineStr">
        <is>
          <t>A 14762-2024</t>
        </is>
      </c>
      <c r="B823" s="1" t="n">
        <v>45397</v>
      </c>
      <c r="C823" s="1" t="n">
        <v>46100</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27821-2025</t>
        </is>
      </c>
      <c r="B824" s="1" t="n">
        <v>45817.34083333334</v>
      </c>
      <c r="C824" s="1" t="n">
        <v>46100</v>
      </c>
      <c r="D824" t="inlineStr">
        <is>
          <t>STOCKHOLMS LÄN</t>
        </is>
      </c>
      <c r="E824" t="inlineStr">
        <is>
          <t>NORRTÄLJE</t>
        </is>
      </c>
      <c r="G824" t="n">
        <v>3.2</v>
      </c>
      <c r="H824" t="n">
        <v>0</v>
      </c>
      <c r="I824" t="n">
        <v>0</v>
      </c>
      <c r="J824" t="n">
        <v>0</v>
      </c>
      <c r="K824" t="n">
        <v>0</v>
      </c>
      <c r="L824" t="n">
        <v>0</v>
      </c>
      <c r="M824" t="n">
        <v>0</v>
      </c>
      <c r="N824" t="n">
        <v>0</v>
      </c>
      <c r="O824" t="n">
        <v>0</v>
      </c>
      <c r="P824" t="n">
        <v>0</v>
      </c>
      <c r="Q824" t="n">
        <v>0</v>
      </c>
      <c r="R824" s="2" t="inlineStr"/>
    </row>
    <row r="825" ht="15" customHeight="1">
      <c r="A825" t="inlineStr">
        <is>
          <t>A 26113-2024</t>
        </is>
      </c>
      <c r="B825" s="1" t="n">
        <v>45468.45541666666</v>
      </c>
      <c r="C825" s="1" t="n">
        <v>46100</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26116-2024</t>
        </is>
      </c>
      <c r="B826" s="1" t="n">
        <v>45468.45747685185</v>
      </c>
      <c r="C826" s="1" t="n">
        <v>46100</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15528-2025</t>
        </is>
      </c>
      <c r="B827" s="1" t="n">
        <v>45747.63471064815</v>
      </c>
      <c r="C827" s="1" t="n">
        <v>46100</v>
      </c>
      <c r="D827" t="inlineStr">
        <is>
          <t>STOCKHOLMS LÄN</t>
        </is>
      </c>
      <c r="E827" t="inlineStr">
        <is>
          <t>NORRTÄLJE</t>
        </is>
      </c>
      <c r="G827" t="n">
        <v>10</v>
      </c>
      <c r="H827" t="n">
        <v>0</v>
      </c>
      <c r="I827" t="n">
        <v>0</v>
      </c>
      <c r="J827" t="n">
        <v>0</v>
      </c>
      <c r="K827" t="n">
        <v>0</v>
      </c>
      <c r="L827" t="n">
        <v>0</v>
      </c>
      <c r="M827" t="n">
        <v>0</v>
      </c>
      <c r="N827" t="n">
        <v>0</v>
      </c>
      <c r="O827" t="n">
        <v>0</v>
      </c>
      <c r="P827" t="n">
        <v>0</v>
      </c>
      <c r="Q827" t="n">
        <v>0</v>
      </c>
      <c r="R827" s="2" t="inlineStr"/>
    </row>
    <row r="828" ht="15" customHeight="1">
      <c r="A828" t="inlineStr">
        <is>
          <t>A 11901-2024</t>
        </is>
      </c>
      <c r="B828" s="1" t="n">
        <v>45376.55638888889</v>
      </c>
      <c r="C828" s="1" t="n">
        <v>46100</v>
      </c>
      <c r="D828" t="inlineStr">
        <is>
          <t>STOCKHOLMS LÄN</t>
        </is>
      </c>
      <c r="E828" t="inlineStr">
        <is>
          <t>NORRTÄLJE</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15978-2024</t>
        </is>
      </c>
      <c r="B829" s="1" t="n">
        <v>45405.57927083333</v>
      </c>
      <c r="C829" s="1" t="n">
        <v>46100</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11333-2025</t>
        </is>
      </c>
      <c r="B830" s="1" t="n">
        <v>45726.48377314815</v>
      </c>
      <c r="C830" s="1" t="n">
        <v>46100</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44937-2025</t>
        </is>
      </c>
      <c r="B831" s="1" t="n">
        <v>45918</v>
      </c>
      <c r="C831" s="1" t="n">
        <v>46100</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22359-2025</t>
        </is>
      </c>
      <c r="B832" s="1" t="n">
        <v>45786</v>
      </c>
      <c r="C832" s="1" t="n">
        <v>46100</v>
      </c>
      <c r="D832" t="inlineStr">
        <is>
          <t>STOCKHOLMS LÄN</t>
        </is>
      </c>
      <c r="E832" t="inlineStr">
        <is>
          <t>NORRTÄLJE</t>
        </is>
      </c>
      <c r="G832" t="n">
        <v>5</v>
      </c>
      <c r="H832" t="n">
        <v>0</v>
      </c>
      <c r="I832" t="n">
        <v>0</v>
      </c>
      <c r="J832" t="n">
        <v>0</v>
      </c>
      <c r="K832" t="n">
        <v>0</v>
      </c>
      <c r="L832" t="n">
        <v>0</v>
      </c>
      <c r="M832" t="n">
        <v>0</v>
      </c>
      <c r="N832" t="n">
        <v>0</v>
      </c>
      <c r="O832" t="n">
        <v>0</v>
      </c>
      <c r="P832" t="n">
        <v>0</v>
      </c>
      <c r="Q832" t="n">
        <v>0</v>
      </c>
      <c r="R832" s="2" t="inlineStr"/>
    </row>
    <row r="833" ht="15" customHeight="1">
      <c r="A833" t="inlineStr">
        <is>
          <t>A 45697-2025</t>
        </is>
      </c>
      <c r="B833" s="1" t="n">
        <v>45923.39877314815</v>
      </c>
      <c r="C833" s="1" t="n">
        <v>46100</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59712-2024</t>
        </is>
      </c>
      <c r="B834" s="1" t="n">
        <v>45639.45166666667</v>
      </c>
      <c r="C834" s="1" t="n">
        <v>46100</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46415-2025</t>
        </is>
      </c>
      <c r="B835" s="1" t="n">
        <v>45925.58636574074</v>
      </c>
      <c r="C835" s="1" t="n">
        <v>46100</v>
      </c>
      <c r="D835" t="inlineStr">
        <is>
          <t>STOCKHOLMS LÄN</t>
        </is>
      </c>
      <c r="E835" t="inlineStr">
        <is>
          <t>NORRTÄLJE</t>
        </is>
      </c>
      <c r="G835" t="n">
        <v>3.8</v>
      </c>
      <c r="H835" t="n">
        <v>0</v>
      </c>
      <c r="I835" t="n">
        <v>0</v>
      </c>
      <c r="J835" t="n">
        <v>0</v>
      </c>
      <c r="K835" t="n">
        <v>0</v>
      </c>
      <c r="L835" t="n">
        <v>0</v>
      </c>
      <c r="M835" t="n">
        <v>0</v>
      </c>
      <c r="N835" t="n">
        <v>0</v>
      </c>
      <c r="O835" t="n">
        <v>0</v>
      </c>
      <c r="P835" t="n">
        <v>0</v>
      </c>
      <c r="Q835" t="n">
        <v>0</v>
      </c>
      <c r="R835" s="2" t="inlineStr"/>
    </row>
    <row r="836" ht="15" customHeight="1">
      <c r="A836" t="inlineStr">
        <is>
          <t>A 34391-2023</t>
        </is>
      </c>
      <c r="B836" s="1" t="n">
        <v>45139.51457175926</v>
      </c>
      <c r="C836" s="1" t="n">
        <v>46100</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44075-2023</t>
        </is>
      </c>
      <c r="B837" s="1" t="n">
        <v>45188.41637731482</v>
      </c>
      <c r="C837" s="1" t="n">
        <v>46100</v>
      </c>
      <c r="D837" t="inlineStr">
        <is>
          <t>STOCKHOLMS LÄN</t>
        </is>
      </c>
      <c r="E837" t="inlineStr">
        <is>
          <t>NORRTÄLJE</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35127-2023</t>
        </is>
      </c>
      <c r="B838" s="1" t="n">
        <v>45145.51</v>
      </c>
      <c r="C838" s="1" t="n">
        <v>46100</v>
      </c>
      <c r="D838" t="inlineStr">
        <is>
          <t>STOCKHOLMS LÄN</t>
        </is>
      </c>
      <c r="E838" t="inlineStr">
        <is>
          <t>NORRTÄLJE</t>
        </is>
      </c>
      <c r="G838" t="n">
        <v>4.7</v>
      </c>
      <c r="H838" t="n">
        <v>0</v>
      </c>
      <c r="I838" t="n">
        <v>0</v>
      </c>
      <c r="J838" t="n">
        <v>0</v>
      </c>
      <c r="K838" t="n">
        <v>0</v>
      </c>
      <c r="L838" t="n">
        <v>0</v>
      </c>
      <c r="M838" t="n">
        <v>0</v>
      </c>
      <c r="N838" t="n">
        <v>0</v>
      </c>
      <c r="O838" t="n">
        <v>0</v>
      </c>
      <c r="P838" t="n">
        <v>0</v>
      </c>
      <c r="Q838" t="n">
        <v>0</v>
      </c>
      <c r="R838" s="2" t="inlineStr"/>
    </row>
    <row r="839" ht="15" customHeight="1">
      <c r="A839" t="inlineStr">
        <is>
          <t>A 46900-2025</t>
        </is>
      </c>
      <c r="B839" s="1" t="n">
        <v>45929.38712962963</v>
      </c>
      <c r="C839" s="1" t="n">
        <v>46100</v>
      </c>
      <c r="D839" t="inlineStr">
        <is>
          <t>STOCKHOLMS LÄN</t>
        </is>
      </c>
      <c r="E839" t="inlineStr">
        <is>
          <t>NORRTÄLJE</t>
        </is>
      </c>
      <c r="F839" t="inlineStr">
        <is>
          <t>Holmen skog AB</t>
        </is>
      </c>
      <c r="G839" t="n">
        <v>6.2</v>
      </c>
      <c r="H839" t="n">
        <v>0</v>
      </c>
      <c r="I839" t="n">
        <v>0</v>
      </c>
      <c r="J839" t="n">
        <v>0</v>
      </c>
      <c r="K839" t="n">
        <v>0</v>
      </c>
      <c r="L839" t="n">
        <v>0</v>
      </c>
      <c r="M839" t="n">
        <v>0</v>
      </c>
      <c r="N839" t="n">
        <v>0</v>
      </c>
      <c r="O839" t="n">
        <v>0</v>
      </c>
      <c r="P839" t="n">
        <v>0</v>
      </c>
      <c r="Q839" t="n">
        <v>0</v>
      </c>
      <c r="R839" s="2" t="inlineStr"/>
    </row>
    <row r="840" ht="15" customHeight="1">
      <c r="A840" t="inlineStr">
        <is>
          <t>A 67921-2021</t>
        </is>
      </c>
      <c r="B840" s="1" t="n">
        <v>44525</v>
      </c>
      <c r="C840" s="1" t="n">
        <v>46100</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25681-2024</t>
        </is>
      </c>
      <c r="B841" s="1" t="n">
        <v>45463.80486111111</v>
      </c>
      <c r="C841" s="1" t="n">
        <v>46100</v>
      </c>
      <c r="D841" t="inlineStr">
        <is>
          <t>STOCKHOLMS LÄN</t>
        </is>
      </c>
      <c r="E841" t="inlineStr">
        <is>
          <t>NORRTÄLJE</t>
        </is>
      </c>
      <c r="G841" t="n">
        <v>2.7</v>
      </c>
      <c r="H841" t="n">
        <v>0</v>
      </c>
      <c r="I841" t="n">
        <v>0</v>
      </c>
      <c r="J841" t="n">
        <v>0</v>
      </c>
      <c r="K841" t="n">
        <v>0</v>
      </c>
      <c r="L841" t="n">
        <v>0</v>
      </c>
      <c r="M841" t="n">
        <v>0</v>
      </c>
      <c r="N841" t="n">
        <v>0</v>
      </c>
      <c r="O841" t="n">
        <v>0</v>
      </c>
      <c r="P841" t="n">
        <v>0</v>
      </c>
      <c r="Q841" t="n">
        <v>0</v>
      </c>
      <c r="R841" s="2" t="inlineStr"/>
    </row>
    <row r="842" ht="15" customHeight="1">
      <c r="A842" t="inlineStr">
        <is>
          <t>A 35256-2025</t>
        </is>
      </c>
      <c r="B842" s="1" t="n">
        <v>45853</v>
      </c>
      <c r="C842" s="1" t="n">
        <v>46100</v>
      </c>
      <c r="D842" t="inlineStr">
        <is>
          <t>STOCKHOLMS LÄN</t>
        </is>
      </c>
      <c r="E842" t="inlineStr">
        <is>
          <t>NORRTÄLJE</t>
        </is>
      </c>
      <c r="G842" t="n">
        <v>6.4</v>
      </c>
      <c r="H842" t="n">
        <v>0</v>
      </c>
      <c r="I842" t="n">
        <v>0</v>
      </c>
      <c r="J842" t="n">
        <v>0</v>
      </c>
      <c r="K842" t="n">
        <v>0</v>
      </c>
      <c r="L842" t="n">
        <v>0</v>
      </c>
      <c r="M842" t="n">
        <v>0</v>
      </c>
      <c r="N842" t="n">
        <v>0</v>
      </c>
      <c r="O842" t="n">
        <v>0</v>
      </c>
      <c r="P842" t="n">
        <v>0</v>
      </c>
      <c r="Q842" t="n">
        <v>0</v>
      </c>
      <c r="R842" s="2" t="inlineStr"/>
    </row>
    <row r="843" ht="15" customHeight="1">
      <c r="A843" t="inlineStr">
        <is>
          <t>A 45255-2022</t>
        </is>
      </c>
      <c r="B843" s="1" t="n">
        <v>44840</v>
      </c>
      <c r="C843" s="1" t="n">
        <v>46100</v>
      </c>
      <c r="D843" t="inlineStr">
        <is>
          <t>STOCKHOLMS LÄN</t>
        </is>
      </c>
      <c r="E843" t="inlineStr">
        <is>
          <t>NORRTÄLJE</t>
        </is>
      </c>
      <c r="G843" t="n">
        <v>4.1</v>
      </c>
      <c r="H843" t="n">
        <v>0</v>
      </c>
      <c r="I843" t="n">
        <v>0</v>
      </c>
      <c r="J843" t="n">
        <v>0</v>
      </c>
      <c r="K843" t="n">
        <v>0</v>
      </c>
      <c r="L843" t="n">
        <v>0</v>
      </c>
      <c r="M843" t="n">
        <v>0</v>
      </c>
      <c r="N843" t="n">
        <v>0</v>
      </c>
      <c r="O843" t="n">
        <v>0</v>
      </c>
      <c r="P843" t="n">
        <v>0</v>
      </c>
      <c r="Q843" t="n">
        <v>0</v>
      </c>
      <c r="R843" s="2" t="inlineStr"/>
    </row>
    <row r="844" ht="15" customHeight="1">
      <c r="A844" t="inlineStr">
        <is>
          <t>A 59893-2022</t>
        </is>
      </c>
      <c r="B844" s="1" t="n">
        <v>44908.77368055555</v>
      </c>
      <c r="C844" s="1" t="n">
        <v>46100</v>
      </c>
      <c r="D844" t="inlineStr">
        <is>
          <t>STOCKHOLMS LÄN</t>
        </is>
      </c>
      <c r="E844" t="inlineStr">
        <is>
          <t>NORRTÄLJE</t>
        </is>
      </c>
      <c r="G844" t="n">
        <v>3</v>
      </c>
      <c r="H844" t="n">
        <v>0</v>
      </c>
      <c r="I844" t="n">
        <v>0</v>
      </c>
      <c r="J844" t="n">
        <v>0</v>
      </c>
      <c r="K844" t="n">
        <v>0</v>
      </c>
      <c r="L844" t="n">
        <v>0</v>
      </c>
      <c r="M844" t="n">
        <v>0</v>
      </c>
      <c r="N844" t="n">
        <v>0</v>
      </c>
      <c r="O844" t="n">
        <v>0</v>
      </c>
      <c r="P844" t="n">
        <v>0</v>
      </c>
      <c r="Q844" t="n">
        <v>0</v>
      </c>
      <c r="R844" s="2" t="inlineStr"/>
    </row>
    <row r="845" ht="15" customHeight="1">
      <c r="A845" t="inlineStr">
        <is>
          <t>A 58853-2024</t>
        </is>
      </c>
      <c r="B845" s="1" t="n">
        <v>45636.38974537037</v>
      </c>
      <c r="C845" s="1" t="n">
        <v>46100</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35438-2023</t>
        </is>
      </c>
      <c r="B846" s="1" t="n">
        <v>45146</v>
      </c>
      <c r="C846" s="1" t="n">
        <v>46100</v>
      </c>
      <c r="D846" t="inlineStr">
        <is>
          <t>STOCKHOLMS LÄN</t>
        </is>
      </c>
      <c r="E846" t="inlineStr">
        <is>
          <t>NORRTÄLJE</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39905-2023</t>
        </is>
      </c>
      <c r="B847" s="1" t="n">
        <v>45168.44489583333</v>
      </c>
      <c r="C847" s="1" t="n">
        <v>46100</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5645-2023</t>
        </is>
      </c>
      <c r="B848" s="1" t="n">
        <v>44960.60469907407</v>
      </c>
      <c r="C848" s="1" t="n">
        <v>46100</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68361-2021</t>
        </is>
      </c>
      <c r="B849" s="1" t="n">
        <v>44528.91494212963</v>
      </c>
      <c r="C849" s="1" t="n">
        <v>46100</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46100</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26115-2024</t>
        </is>
      </c>
      <c r="B851" s="1" t="n">
        <v>45468.45628472222</v>
      </c>
      <c r="C851" s="1" t="n">
        <v>46100</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29250-2025</t>
        </is>
      </c>
      <c r="B852" s="1" t="n">
        <v>45824.37275462963</v>
      </c>
      <c r="C852" s="1" t="n">
        <v>46100</v>
      </c>
      <c r="D852" t="inlineStr">
        <is>
          <t>STOCKHOLMS LÄN</t>
        </is>
      </c>
      <c r="E852" t="inlineStr">
        <is>
          <t>NORRTÄLJE</t>
        </is>
      </c>
      <c r="F852" t="inlineStr">
        <is>
          <t>Sveaskog</t>
        </is>
      </c>
      <c r="G852" t="n">
        <v>6.4</v>
      </c>
      <c r="H852" t="n">
        <v>0</v>
      </c>
      <c r="I852" t="n">
        <v>0</v>
      </c>
      <c r="J852" t="n">
        <v>0</v>
      </c>
      <c r="K852" t="n">
        <v>0</v>
      </c>
      <c r="L852" t="n">
        <v>0</v>
      </c>
      <c r="M852" t="n">
        <v>0</v>
      </c>
      <c r="N852" t="n">
        <v>0</v>
      </c>
      <c r="O852" t="n">
        <v>0</v>
      </c>
      <c r="P852" t="n">
        <v>0</v>
      </c>
      <c r="Q852" t="n">
        <v>0</v>
      </c>
      <c r="R852" s="2" t="inlineStr"/>
    </row>
    <row r="853" ht="15" customHeight="1">
      <c r="A853" t="inlineStr">
        <is>
          <t>A 60529-2023</t>
        </is>
      </c>
      <c r="B853" s="1" t="n">
        <v>45259</v>
      </c>
      <c r="C853" s="1" t="n">
        <v>46100</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19706-2023</t>
        </is>
      </c>
      <c r="B854" s="1" t="n">
        <v>45051.455</v>
      </c>
      <c r="C854" s="1" t="n">
        <v>46100</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19118-2022</t>
        </is>
      </c>
      <c r="B855" s="1" t="n">
        <v>44691.5652662037</v>
      </c>
      <c r="C855" s="1" t="n">
        <v>46100</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18539-2021</t>
        </is>
      </c>
      <c r="B856" s="1" t="n">
        <v>44306</v>
      </c>
      <c r="C856" s="1" t="n">
        <v>46100</v>
      </c>
      <c r="D856" t="inlineStr">
        <is>
          <t>STOCKHOLMS LÄN</t>
        </is>
      </c>
      <c r="E856" t="inlineStr">
        <is>
          <t>NORRTÄLJE</t>
        </is>
      </c>
      <c r="F856" t="inlineStr">
        <is>
          <t>Holmen skog AB</t>
        </is>
      </c>
      <c r="G856" t="n">
        <v>5.5</v>
      </c>
      <c r="H856" t="n">
        <v>0</v>
      </c>
      <c r="I856" t="n">
        <v>0</v>
      </c>
      <c r="J856" t="n">
        <v>0</v>
      </c>
      <c r="K856" t="n">
        <v>0</v>
      </c>
      <c r="L856" t="n">
        <v>0</v>
      </c>
      <c r="M856" t="n">
        <v>0</v>
      </c>
      <c r="N856" t="n">
        <v>0</v>
      </c>
      <c r="O856" t="n">
        <v>0</v>
      </c>
      <c r="P856" t="n">
        <v>0</v>
      </c>
      <c r="Q856" t="n">
        <v>0</v>
      </c>
      <c r="R856" s="2" t="inlineStr"/>
    </row>
    <row r="857" ht="15" customHeight="1">
      <c r="A857" t="inlineStr">
        <is>
          <t>A 17612-2022</t>
        </is>
      </c>
      <c r="B857" s="1" t="n">
        <v>44680</v>
      </c>
      <c r="C857" s="1" t="n">
        <v>46100</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16835-2022</t>
        </is>
      </c>
      <c r="B858" s="1" t="n">
        <v>44673</v>
      </c>
      <c r="C858" s="1" t="n">
        <v>46100</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62765-2022</t>
        </is>
      </c>
      <c r="B859" s="1" t="n">
        <v>44637</v>
      </c>
      <c r="C859" s="1" t="n">
        <v>46100</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58404-2023</t>
        </is>
      </c>
      <c r="B860" s="1" t="n">
        <v>45245</v>
      </c>
      <c r="C860" s="1" t="n">
        <v>46100</v>
      </c>
      <c r="D860" t="inlineStr">
        <is>
          <t>STOCKHOLMS LÄN</t>
        </is>
      </c>
      <c r="E860" t="inlineStr">
        <is>
          <t>NORRTÄLJE</t>
        </is>
      </c>
      <c r="G860" t="n">
        <v>53.5</v>
      </c>
      <c r="H860" t="n">
        <v>0</v>
      </c>
      <c r="I860" t="n">
        <v>0</v>
      </c>
      <c r="J860" t="n">
        <v>0</v>
      </c>
      <c r="K860" t="n">
        <v>0</v>
      </c>
      <c r="L860" t="n">
        <v>0</v>
      </c>
      <c r="M860" t="n">
        <v>0</v>
      </c>
      <c r="N860" t="n">
        <v>0</v>
      </c>
      <c r="O860" t="n">
        <v>0</v>
      </c>
      <c r="P860" t="n">
        <v>0</v>
      </c>
      <c r="Q860" t="n">
        <v>0</v>
      </c>
      <c r="R860" s="2" t="inlineStr"/>
    </row>
    <row r="861" ht="15" customHeight="1">
      <c r="A861" t="inlineStr">
        <is>
          <t>A 8739-2024</t>
        </is>
      </c>
      <c r="B861" s="1" t="n">
        <v>45356.47784722222</v>
      </c>
      <c r="C861" s="1" t="n">
        <v>46100</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38759-2022</t>
        </is>
      </c>
      <c r="B862" s="1" t="n">
        <v>44816</v>
      </c>
      <c r="C862" s="1" t="n">
        <v>46100</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8586-2023</t>
        </is>
      </c>
      <c r="B863" s="1" t="n">
        <v>44977</v>
      </c>
      <c r="C863" s="1" t="n">
        <v>46100</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32857-2021</t>
        </is>
      </c>
      <c r="B864" s="1" t="n">
        <v>44375</v>
      </c>
      <c r="C864" s="1" t="n">
        <v>46100</v>
      </c>
      <c r="D864" t="inlineStr">
        <is>
          <t>STOCKHOLMS LÄN</t>
        </is>
      </c>
      <c r="E864" t="inlineStr">
        <is>
          <t>NORRTÄLJE</t>
        </is>
      </c>
      <c r="G864" t="n">
        <v>2.9</v>
      </c>
      <c r="H864" t="n">
        <v>0</v>
      </c>
      <c r="I864" t="n">
        <v>0</v>
      </c>
      <c r="J864" t="n">
        <v>0</v>
      </c>
      <c r="K864" t="n">
        <v>0</v>
      </c>
      <c r="L864" t="n">
        <v>0</v>
      </c>
      <c r="M864" t="n">
        <v>0</v>
      </c>
      <c r="N864" t="n">
        <v>0</v>
      </c>
      <c r="O864" t="n">
        <v>0</v>
      </c>
      <c r="P864" t="n">
        <v>0</v>
      </c>
      <c r="Q864" t="n">
        <v>0</v>
      </c>
      <c r="R864" s="2" t="inlineStr"/>
    </row>
    <row r="865" ht="15" customHeight="1">
      <c r="A865" t="inlineStr">
        <is>
          <t>A 29714-2023</t>
        </is>
      </c>
      <c r="B865" s="1" t="n">
        <v>45107.42538194444</v>
      </c>
      <c r="C865" s="1" t="n">
        <v>46100</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23271-2023</t>
        </is>
      </c>
      <c r="B866" s="1" t="n">
        <v>45075.91362268518</v>
      </c>
      <c r="C866" s="1" t="n">
        <v>46100</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23273-2023</t>
        </is>
      </c>
      <c r="B867" s="1" t="n">
        <v>45075.91971064815</v>
      </c>
      <c r="C867" s="1" t="n">
        <v>46100</v>
      </c>
      <c r="D867" t="inlineStr">
        <is>
          <t>STOCKHOLMS LÄN</t>
        </is>
      </c>
      <c r="E867" t="inlineStr">
        <is>
          <t>NORRTÄLJE</t>
        </is>
      </c>
      <c r="G867" t="n">
        <v>7.5</v>
      </c>
      <c r="H867" t="n">
        <v>0</v>
      </c>
      <c r="I867" t="n">
        <v>0</v>
      </c>
      <c r="J867" t="n">
        <v>0</v>
      </c>
      <c r="K867" t="n">
        <v>0</v>
      </c>
      <c r="L867" t="n">
        <v>0</v>
      </c>
      <c r="M867" t="n">
        <v>0</v>
      </c>
      <c r="N867" t="n">
        <v>0</v>
      </c>
      <c r="O867" t="n">
        <v>0</v>
      </c>
      <c r="P867" t="n">
        <v>0</v>
      </c>
      <c r="Q867" t="n">
        <v>0</v>
      </c>
      <c r="R867" s="2" t="inlineStr"/>
    </row>
    <row r="868" ht="15" customHeight="1">
      <c r="A868" t="inlineStr">
        <is>
          <t>A 16202-2022</t>
        </is>
      </c>
      <c r="B868" s="1" t="n">
        <v>44670</v>
      </c>
      <c r="C868" s="1" t="n">
        <v>46100</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51122-2025</t>
        </is>
      </c>
      <c r="B869" s="1" t="n">
        <v>45947.53693287037</v>
      </c>
      <c r="C869" s="1" t="n">
        <v>46100</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51233-2025</t>
        </is>
      </c>
      <c r="B870" s="1" t="n">
        <v>45947.68232638889</v>
      </c>
      <c r="C870" s="1" t="n">
        <v>46100</v>
      </c>
      <c r="D870" t="inlineStr">
        <is>
          <t>STOCKHOLMS LÄN</t>
        </is>
      </c>
      <c r="E870" t="inlineStr">
        <is>
          <t>NORRTÄLJE</t>
        </is>
      </c>
      <c r="F870" t="inlineStr">
        <is>
          <t>Naturvårdsverket</t>
        </is>
      </c>
      <c r="G870" t="n">
        <v>8.1</v>
      </c>
      <c r="H870" t="n">
        <v>0</v>
      </c>
      <c r="I870" t="n">
        <v>0</v>
      </c>
      <c r="J870" t="n">
        <v>0</v>
      </c>
      <c r="K870" t="n">
        <v>0</v>
      </c>
      <c r="L870" t="n">
        <v>0</v>
      </c>
      <c r="M870" t="n">
        <v>0</v>
      </c>
      <c r="N870" t="n">
        <v>0</v>
      </c>
      <c r="O870" t="n">
        <v>0</v>
      </c>
      <c r="P870" t="n">
        <v>0</v>
      </c>
      <c r="Q870" t="n">
        <v>0</v>
      </c>
      <c r="R870" s="2" t="inlineStr"/>
    </row>
    <row r="871" ht="15" customHeight="1">
      <c r="A871" t="inlineStr">
        <is>
          <t>A 51236-2025</t>
        </is>
      </c>
      <c r="B871" s="1" t="n">
        <v>45947.69078703703</v>
      </c>
      <c r="C871" s="1" t="n">
        <v>46100</v>
      </c>
      <c r="D871" t="inlineStr">
        <is>
          <t>STOCKHOLMS LÄN</t>
        </is>
      </c>
      <c r="E871" t="inlineStr">
        <is>
          <t>NORRTÄLJE</t>
        </is>
      </c>
      <c r="F871" t="inlineStr">
        <is>
          <t>Naturvårdsverket</t>
        </is>
      </c>
      <c r="G871" t="n">
        <v>6.3</v>
      </c>
      <c r="H871" t="n">
        <v>0</v>
      </c>
      <c r="I871" t="n">
        <v>0</v>
      </c>
      <c r="J871" t="n">
        <v>0</v>
      </c>
      <c r="K871" t="n">
        <v>0</v>
      </c>
      <c r="L871" t="n">
        <v>0</v>
      </c>
      <c r="M871" t="n">
        <v>0</v>
      </c>
      <c r="N871" t="n">
        <v>0</v>
      </c>
      <c r="O871" t="n">
        <v>0</v>
      </c>
      <c r="P871" t="n">
        <v>0</v>
      </c>
      <c r="Q871" t="n">
        <v>0</v>
      </c>
      <c r="R871" s="2" t="inlineStr"/>
    </row>
    <row r="872" ht="15" customHeight="1">
      <c r="A872" t="inlineStr">
        <is>
          <t>A 51241-2025</t>
        </is>
      </c>
      <c r="B872" s="1" t="n">
        <v>45947.71726851852</v>
      </c>
      <c r="C872" s="1" t="n">
        <v>46100</v>
      </c>
      <c r="D872" t="inlineStr">
        <is>
          <t>STOCKHOLMS LÄN</t>
        </is>
      </c>
      <c r="E872" t="inlineStr">
        <is>
          <t>NORRTÄLJE</t>
        </is>
      </c>
      <c r="F872" t="inlineStr">
        <is>
          <t>Naturvårdsverket</t>
        </is>
      </c>
      <c r="G872" t="n">
        <v>6.4</v>
      </c>
      <c r="H872" t="n">
        <v>0</v>
      </c>
      <c r="I872" t="n">
        <v>0</v>
      </c>
      <c r="J872" t="n">
        <v>0</v>
      </c>
      <c r="K872" t="n">
        <v>0</v>
      </c>
      <c r="L872" t="n">
        <v>0</v>
      </c>
      <c r="M872" t="n">
        <v>0</v>
      </c>
      <c r="N872" t="n">
        <v>0</v>
      </c>
      <c r="O872" t="n">
        <v>0</v>
      </c>
      <c r="P872" t="n">
        <v>0</v>
      </c>
      <c r="Q872" t="n">
        <v>0</v>
      </c>
      <c r="R872" s="2" t="inlineStr"/>
    </row>
    <row r="873" ht="15" customHeight="1">
      <c r="A873" t="inlineStr">
        <is>
          <t>A 51240-2025</t>
        </is>
      </c>
      <c r="B873" s="1" t="n">
        <v>45947.70420138889</v>
      </c>
      <c r="C873" s="1" t="n">
        <v>46100</v>
      </c>
      <c r="D873" t="inlineStr">
        <is>
          <t>STOCKHOLMS LÄN</t>
        </is>
      </c>
      <c r="E873" t="inlineStr">
        <is>
          <t>NORRTÄLJE</t>
        </is>
      </c>
      <c r="F873" t="inlineStr">
        <is>
          <t>Naturvårdsverket</t>
        </is>
      </c>
      <c r="G873" t="n">
        <v>3</v>
      </c>
      <c r="H873" t="n">
        <v>0</v>
      </c>
      <c r="I873" t="n">
        <v>0</v>
      </c>
      <c r="J873" t="n">
        <v>0</v>
      </c>
      <c r="K873" t="n">
        <v>0</v>
      </c>
      <c r="L873" t="n">
        <v>0</v>
      </c>
      <c r="M873" t="n">
        <v>0</v>
      </c>
      <c r="N873" t="n">
        <v>0</v>
      </c>
      <c r="O873" t="n">
        <v>0</v>
      </c>
      <c r="P873" t="n">
        <v>0</v>
      </c>
      <c r="Q873" t="n">
        <v>0</v>
      </c>
      <c r="R873" s="2" t="inlineStr"/>
    </row>
    <row r="874" ht="15" customHeight="1">
      <c r="A874" t="inlineStr">
        <is>
          <t>A 30639-2025</t>
        </is>
      </c>
      <c r="B874" s="1" t="n">
        <v>45831.4844212963</v>
      </c>
      <c r="C874" s="1" t="n">
        <v>46100</v>
      </c>
      <c r="D874" t="inlineStr">
        <is>
          <t>STOCKHOLMS LÄN</t>
        </is>
      </c>
      <c r="E874" t="inlineStr">
        <is>
          <t>NORRTÄLJE</t>
        </is>
      </c>
      <c r="G874" t="n">
        <v>2</v>
      </c>
      <c r="H874" t="n">
        <v>0</v>
      </c>
      <c r="I874" t="n">
        <v>0</v>
      </c>
      <c r="J874" t="n">
        <v>0</v>
      </c>
      <c r="K874" t="n">
        <v>0</v>
      </c>
      <c r="L874" t="n">
        <v>0</v>
      </c>
      <c r="M874" t="n">
        <v>0</v>
      </c>
      <c r="N874" t="n">
        <v>0</v>
      </c>
      <c r="O874" t="n">
        <v>0</v>
      </c>
      <c r="P874" t="n">
        <v>0</v>
      </c>
      <c r="Q874" t="n">
        <v>0</v>
      </c>
      <c r="R874" s="2" t="inlineStr"/>
    </row>
    <row r="875" ht="15" customHeight="1">
      <c r="A875" t="inlineStr">
        <is>
          <t>A 30668-2025</t>
        </is>
      </c>
      <c r="B875" s="1" t="n">
        <v>45831.51659722222</v>
      </c>
      <c r="C875" s="1" t="n">
        <v>46100</v>
      </c>
      <c r="D875" t="inlineStr">
        <is>
          <t>STOCKHOLMS LÄN</t>
        </is>
      </c>
      <c r="E875" t="inlineStr">
        <is>
          <t>NORRTÄLJE</t>
        </is>
      </c>
      <c r="G875" t="n">
        <v>4.9</v>
      </c>
      <c r="H875" t="n">
        <v>0</v>
      </c>
      <c r="I875" t="n">
        <v>0</v>
      </c>
      <c r="J875" t="n">
        <v>0</v>
      </c>
      <c r="K875" t="n">
        <v>0</v>
      </c>
      <c r="L875" t="n">
        <v>0</v>
      </c>
      <c r="M875" t="n">
        <v>0</v>
      </c>
      <c r="N875" t="n">
        <v>0</v>
      </c>
      <c r="O875" t="n">
        <v>0</v>
      </c>
      <c r="P875" t="n">
        <v>0</v>
      </c>
      <c r="Q875" t="n">
        <v>0</v>
      </c>
      <c r="R875" s="2" t="inlineStr"/>
    </row>
    <row r="876" ht="15" customHeight="1">
      <c r="A876" t="inlineStr">
        <is>
          <t>A 51121-2025</t>
        </is>
      </c>
      <c r="B876" s="1" t="n">
        <v>45947.53293981482</v>
      </c>
      <c r="C876" s="1" t="n">
        <v>46100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59477-2025</t>
        </is>
      </c>
      <c r="B877" s="1" t="n">
        <v>45989.58679398148</v>
      </c>
      <c r="C877" s="1" t="n">
        <v>46100</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47498-2025</t>
        </is>
      </c>
      <c r="B878" s="1" t="n">
        <v>45930.8134375</v>
      </c>
      <c r="C878" s="1" t="n">
        <v>46100</v>
      </c>
      <c r="D878" t="inlineStr">
        <is>
          <t>STOCKHOLMS LÄN</t>
        </is>
      </c>
      <c r="E878" t="inlineStr">
        <is>
          <t>NORRTÄLJE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47460-2025</t>
        </is>
      </c>
      <c r="B879" s="1" t="n">
        <v>45930.66012731481</v>
      </c>
      <c r="C879" s="1" t="n">
        <v>46100</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47496-2025</t>
        </is>
      </c>
      <c r="B880" s="1" t="n">
        <v>45930.79252314815</v>
      </c>
      <c r="C880" s="1" t="n">
        <v>46100</v>
      </c>
      <c r="D880" t="inlineStr">
        <is>
          <t>STOCKHOLMS LÄN</t>
        </is>
      </c>
      <c r="E880" t="inlineStr">
        <is>
          <t>NORRTÄLJE</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47497-2025</t>
        </is>
      </c>
      <c r="B881" s="1" t="n">
        <v>45930.80217592593</v>
      </c>
      <c r="C881" s="1" t="n">
        <v>46100</v>
      </c>
      <c r="D881" t="inlineStr">
        <is>
          <t>STOCKHOLMS LÄN</t>
        </is>
      </c>
      <c r="E881" t="inlineStr">
        <is>
          <t>NORRTÄLJE</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51532-2025</t>
        </is>
      </c>
      <c r="B882" s="1" t="n">
        <v>45950.68297453703</v>
      </c>
      <c r="C882" s="1" t="n">
        <v>46100</v>
      </c>
      <c r="D882" t="inlineStr">
        <is>
          <t>STOCKHOLMS LÄN</t>
        </is>
      </c>
      <c r="E882" t="inlineStr">
        <is>
          <t>NORRTÄLJE</t>
        </is>
      </c>
      <c r="F882" t="inlineStr">
        <is>
          <t>Naturvårdsverket</t>
        </is>
      </c>
      <c r="G882" t="n">
        <v>17.3</v>
      </c>
      <c r="H882" t="n">
        <v>0</v>
      </c>
      <c r="I882" t="n">
        <v>0</v>
      </c>
      <c r="J882" t="n">
        <v>0</v>
      </c>
      <c r="K882" t="n">
        <v>0</v>
      </c>
      <c r="L882" t="n">
        <v>0</v>
      </c>
      <c r="M882" t="n">
        <v>0</v>
      </c>
      <c r="N882" t="n">
        <v>0</v>
      </c>
      <c r="O882" t="n">
        <v>0</v>
      </c>
      <c r="P882" t="n">
        <v>0</v>
      </c>
      <c r="Q882" t="n">
        <v>0</v>
      </c>
      <c r="R882" s="2" t="inlineStr"/>
    </row>
    <row r="883" ht="15" customHeight="1">
      <c r="A883" t="inlineStr">
        <is>
          <t>A 51789-2025</t>
        </is>
      </c>
      <c r="B883" s="1" t="n">
        <v>45951.68046296296</v>
      </c>
      <c r="C883" s="1" t="n">
        <v>46100</v>
      </c>
      <c r="D883" t="inlineStr">
        <is>
          <t>STOCKHOLMS LÄN</t>
        </is>
      </c>
      <c r="E883" t="inlineStr">
        <is>
          <t>NORRTÄLJE</t>
        </is>
      </c>
      <c r="F883" t="inlineStr">
        <is>
          <t>Naturvårdsverket</t>
        </is>
      </c>
      <c r="G883" t="n">
        <v>8.9</v>
      </c>
      <c r="H883" t="n">
        <v>0</v>
      </c>
      <c r="I883" t="n">
        <v>0</v>
      </c>
      <c r="J883" t="n">
        <v>0</v>
      </c>
      <c r="K883" t="n">
        <v>0</v>
      </c>
      <c r="L883" t="n">
        <v>0</v>
      </c>
      <c r="M883" t="n">
        <v>0</v>
      </c>
      <c r="N883" t="n">
        <v>0</v>
      </c>
      <c r="O883" t="n">
        <v>0</v>
      </c>
      <c r="P883" t="n">
        <v>0</v>
      </c>
      <c r="Q883" t="n">
        <v>0</v>
      </c>
      <c r="R883" s="2" t="inlineStr"/>
    </row>
    <row r="884" ht="15" customHeight="1">
      <c r="A884" t="inlineStr">
        <is>
          <t>A 48360-2025</t>
        </is>
      </c>
      <c r="B884" s="1" t="n">
        <v>45933.66253472222</v>
      </c>
      <c r="C884" s="1" t="n">
        <v>46100</v>
      </c>
      <c r="D884" t="inlineStr">
        <is>
          <t>STOCKHOLMS LÄN</t>
        </is>
      </c>
      <c r="E884" t="inlineStr">
        <is>
          <t>NORRTÄLJE</t>
        </is>
      </c>
      <c r="G884" t="n">
        <v>4.1</v>
      </c>
      <c r="H884" t="n">
        <v>0</v>
      </c>
      <c r="I884" t="n">
        <v>0</v>
      </c>
      <c r="J884" t="n">
        <v>0</v>
      </c>
      <c r="K884" t="n">
        <v>0</v>
      </c>
      <c r="L884" t="n">
        <v>0</v>
      </c>
      <c r="M884" t="n">
        <v>0</v>
      </c>
      <c r="N884" t="n">
        <v>0</v>
      </c>
      <c r="O884" t="n">
        <v>0</v>
      </c>
      <c r="P884" t="n">
        <v>0</v>
      </c>
      <c r="Q884" t="n">
        <v>0</v>
      </c>
      <c r="R884" s="2" t="inlineStr"/>
    </row>
    <row r="885" ht="15" customHeight="1">
      <c r="A885" t="inlineStr">
        <is>
          <t>A 48370-2025</t>
        </is>
      </c>
      <c r="B885" s="1" t="n">
        <v>45933.67854166667</v>
      </c>
      <c r="C885" s="1" t="n">
        <v>46100</v>
      </c>
      <c r="D885" t="inlineStr">
        <is>
          <t>STOCKHOLMS LÄN</t>
        </is>
      </c>
      <c r="E885" t="inlineStr">
        <is>
          <t>NORRTÄLJE</t>
        </is>
      </c>
      <c r="G885" t="n">
        <v>4.5</v>
      </c>
      <c r="H885" t="n">
        <v>0</v>
      </c>
      <c r="I885" t="n">
        <v>0</v>
      </c>
      <c r="J885" t="n">
        <v>0</v>
      </c>
      <c r="K885" t="n">
        <v>0</v>
      </c>
      <c r="L885" t="n">
        <v>0</v>
      </c>
      <c r="M885" t="n">
        <v>0</v>
      </c>
      <c r="N885" t="n">
        <v>0</v>
      </c>
      <c r="O885" t="n">
        <v>0</v>
      </c>
      <c r="P885" t="n">
        <v>0</v>
      </c>
      <c r="Q885" t="n">
        <v>0</v>
      </c>
      <c r="R885" s="2" t="inlineStr"/>
    </row>
    <row r="886" ht="15" customHeight="1">
      <c r="A886" t="inlineStr">
        <is>
          <t>A 48364-2025</t>
        </is>
      </c>
      <c r="B886" s="1" t="n">
        <v>45933.66796296297</v>
      </c>
      <c r="C886" s="1" t="n">
        <v>46100</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31170-2025</t>
        </is>
      </c>
      <c r="B887" s="1" t="n">
        <v>45832.66385416667</v>
      </c>
      <c r="C887" s="1" t="n">
        <v>46100</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7603-2025</t>
        </is>
      </c>
      <c r="B888" s="1" t="n">
        <v>45705.66126157407</v>
      </c>
      <c r="C888" s="1" t="n">
        <v>46100</v>
      </c>
      <c r="D888" t="inlineStr">
        <is>
          <t>STOCKHOLMS LÄN</t>
        </is>
      </c>
      <c r="E888" t="inlineStr">
        <is>
          <t>NORRTÄLJE</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31880-2025</t>
        </is>
      </c>
      <c r="B889" s="1" t="n">
        <v>45834.65538194445</v>
      </c>
      <c r="C889" s="1" t="n">
        <v>46100</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32122-2025</t>
        </is>
      </c>
      <c r="B890" s="1" t="n">
        <v>45835.4928125</v>
      </c>
      <c r="C890" s="1" t="n">
        <v>46100</v>
      </c>
      <c r="D890" t="inlineStr">
        <is>
          <t>STOCKHOLMS LÄN</t>
        </is>
      </c>
      <c r="E890" t="inlineStr">
        <is>
          <t>NORRTÄLJE</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30802-2022</t>
        </is>
      </c>
      <c r="B891" s="1" t="n">
        <v>44764</v>
      </c>
      <c r="C891" s="1" t="n">
        <v>46100</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48174-2025</t>
        </is>
      </c>
      <c r="B892" s="1" t="n">
        <v>45933.44230324074</v>
      </c>
      <c r="C892" s="1" t="n">
        <v>46100</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31868-2025</t>
        </is>
      </c>
      <c r="B893" s="1" t="n">
        <v>45834.6447337963</v>
      </c>
      <c r="C893" s="1" t="n">
        <v>46100</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6413-2025</t>
        </is>
      </c>
      <c r="B894" s="1" t="n">
        <v>45699.46283564815</v>
      </c>
      <c r="C894" s="1" t="n">
        <v>46100</v>
      </c>
      <c r="D894" t="inlineStr">
        <is>
          <t>STOCKHOLMS LÄN</t>
        </is>
      </c>
      <c r="E894" t="inlineStr">
        <is>
          <t>NORRTÄLJE</t>
        </is>
      </c>
      <c r="G894" t="n">
        <v>3.6</v>
      </c>
      <c r="H894" t="n">
        <v>0</v>
      </c>
      <c r="I894" t="n">
        <v>0</v>
      </c>
      <c r="J894" t="n">
        <v>0</v>
      </c>
      <c r="K894" t="n">
        <v>0</v>
      </c>
      <c r="L894" t="n">
        <v>0</v>
      </c>
      <c r="M894" t="n">
        <v>0</v>
      </c>
      <c r="N894" t="n">
        <v>0</v>
      </c>
      <c r="O894" t="n">
        <v>0</v>
      </c>
      <c r="P894" t="n">
        <v>0</v>
      </c>
      <c r="Q894" t="n">
        <v>0</v>
      </c>
      <c r="R894" s="2" t="inlineStr"/>
    </row>
    <row r="895" ht="15" customHeight="1">
      <c r="A895" t="inlineStr">
        <is>
          <t>A 48127-2025</t>
        </is>
      </c>
      <c r="B895" s="1" t="n">
        <v>45933.36621527778</v>
      </c>
      <c r="C895" s="1" t="n">
        <v>46100</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51960-2025</t>
        </is>
      </c>
      <c r="B896" s="1" t="n">
        <v>45952.54755787037</v>
      </c>
      <c r="C896" s="1" t="n">
        <v>46100</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48179-2025</t>
        </is>
      </c>
      <c r="B897" s="1" t="n">
        <v>45933.44907407407</v>
      </c>
      <c r="C897" s="1" t="n">
        <v>46100</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55369-2023</t>
        </is>
      </c>
      <c r="B898" s="1" t="n">
        <v>45238</v>
      </c>
      <c r="C898" s="1" t="n">
        <v>46100</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32016-2025</t>
        </is>
      </c>
      <c r="B899" s="1" t="n">
        <v>45835</v>
      </c>
      <c r="C899" s="1" t="n">
        <v>46100</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61113-2023</t>
        </is>
      </c>
      <c r="B900" s="1" t="n">
        <v>45261</v>
      </c>
      <c r="C900" s="1" t="n">
        <v>46100</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3283-2025</t>
        </is>
      </c>
      <c r="B901" s="1" t="n">
        <v>45679</v>
      </c>
      <c r="C901" s="1" t="n">
        <v>46100</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32283-2025</t>
        </is>
      </c>
      <c r="B902" s="1" t="n">
        <v>45835.68076388889</v>
      </c>
      <c r="C902" s="1" t="n">
        <v>46100</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51941-2025</t>
        </is>
      </c>
      <c r="B903" s="1" t="n">
        <v>45952.52261574074</v>
      </c>
      <c r="C903" s="1" t="n">
        <v>46100</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48718-2025</t>
        </is>
      </c>
      <c r="B904" s="1" t="n">
        <v>45936</v>
      </c>
      <c r="C904" s="1" t="n">
        <v>46100</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34295-2024</t>
        </is>
      </c>
      <c r="B905" s="1" t="n">
        <v>45524</v>
      </c>
      <c r="C905" s="1" t="n">
        <v>46100</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52061-2025</t>
        </is>
      </c>
      <c r="B906" s="1" t="n">
        <v>45952.63679398148</v>
      </c>
      <c r="C906" s="1" t="n">
        <v>46100</v>
      </c>
      <c r="D906" t="inlineStr">
        <is>
          <t>STOCKHOLMS LÄN</t>
        </is>
      </c>
      <c r="E906" t="inlineStr">
        <is>
          <t>NORRTÄLJE</t>
        </is>
      </c>
      <c r="G906" t="n">
        <v>9.5</v>
      </c>
      <c r="H906" t="n">
        <v>0</v>
      </c>
      <c r="I906" t="n">
        <v>0</v>
      </c>
      <c r="J906" t="n">
        <v>0</v>
      </c>
      <c r="K906" t="n">
        <v>0</v>
      </c>
      <c r="L906" t="n">
        <v>0</v>
      </c>
      <c r="M906" t="n">
        <v>0</v>
      </c>
      <c r="N906" t="n">
        <v>0</v>
      </c>
      <c r="O906" t="n">
        <v>0</v>
      </c>
      <c r="P906" t="n">
        <v>0</v>
      </c>
      <c r="Q906" t="n">
        <v>0</v>
      </c>
      <c r="R906" s="2" t="inlineStr"/>
    </row>
    <row r="907" ht="15" customHeight="1">
      <c r="A907" t="inlineStr">
        <is>
          <t>A 51945-2025</t>
        </is>
      </c>
      <c r="B907" s="1" t="n">
        <v>45952.52679398148</v>
      </c>
      <c r="C907" s="1" t="n">
        <v>46100</v>
      </c>
      <c r="D907" t="inlineStr">
        <is>
          <t>STOCKHOLMS LÄN</t>
        </is>
      </c>
      <c r="E907" t="inlineStr">
        <is>
          <t>NORRTÄLJE</t>
        </is>
      </c>
      <c r="G907" t="n">
        <v>7</v>
      </c>
      <c r="H907" t="n">
        <v>0</v>
      </c>
      <c r="I907" t="n">
        <v>0</v>
      </c>
      <c r="J907" t="n">
        <v>0</v>
      </c>
      <c r="K907" t="n">
        <v>0</v>
      </c>
      <c r="L907" t="n">
        <v>0</v>
      </c>
      <c r="M907" t="n">
        <v>0</v>
      </c>
      <c r="N907" t="n">
        <v>0</v>
      </c>
      <c r="O907" t="n">
        <v>0</v>
      </c>
      <c r="P907" t="n">
        <v>0</v>
      </c>
      <c r="Q907" t="n">
        <v>0</v>
      </c>
      <c r="R907" s="2" t="inlineStr"/>
    </row>
    <row r="908" ht="15" customHeight="1">
      <c r="A908" t="inlineStr">
        <is>
          <t>A 31874-2025</t>
        </is>
      </c>
      <c r="B908" s="1" t="n">
        <v>45834</v>
      </c>
      <c r="C908" s="1" t="n">
        <v>46100</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58311-2023</t>
        </is>
      </c>
      <c r="B909" s="1" t="n">
        <v>45245</v>
      </c>
      <c r="C909" s="1" t="n">
        <v>46100</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32094-2025</t>
        </is>
      </c>
      <c r="B910" s="1" t="n">
        <v>45835.46034722222</v>
      </c>
      <c r="C910" s="1" t="n">
        <v>46100</v>
      </c>
      <c r="D910" t="inlineStr">
        <is>
          <t>STOCKHOLMS LÄN</t>
        </is>
      </c>
      <c r="E910" t="inlineStr">
        <is>
          <t>NORRTÄLJE</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23692-2024</t>
        </is>
      </c>
      <c r="B911" s="1" t="n">
        <v>45454.65774305556</v>
      </c>
      <c r="C911" s="1" t="n">
        <v>46100</v>
      </c>
      <c r="D911" t="inlineStr">
        <is>
          <t>STOCKHOLMS LÄN</t>
        </is>
      </c>
      <c r="E911" t="inlineStr">
        <is>
          <t>NORRTÄLJE</t>
        </is>
      </c>
      <c r="G911" t="n">
        <v>3.7</v>
      </c>
      <c r="H911" t="n">
        <v>0</v>
      </c>
      <c r="I911" t="n">
        <v>0</v>
      </c>
      <c r="J911" t="n">
        <v>0</v>
      </c>
      <c r="K911" t="n">
        <v>0</v>
      </c>
      <c r="L911" t="n">
        <v>0</v>
      </c>
      <c r="M911" t="n">
        <v>0</v>
      </c>
      <c r="N911" t="n">
        <v>0</v>
      </c>
      <c r="O911" t="n">
        <v>0</v>
      </c>
      <c r="P911" t="n">
        <v>0</v>
      </c>
      <c r="Q911" t="n">
        <v>0</v>
      </c>
      <c r="R911" s="2" t="inlineStr"/>
    </row>
    <row r="912" ht="15" customHeight="1">
      <c r="A912" t="inlineStr">
        <is>
          <t>A 52251-2025</t>
        </is>
      </c>
      <c r="B912" s="1" t="n">
        <v>45953.49185185185</v>
      </c>
      <c r="C912" s="1" t="n">
        <v>46100</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52254-2025</t>
        </is>
      </c>
      <c r="B913" s="1" t="n">
        <v>45953.49519675926</v>
      </c>
      <c r="C913" s="1" t="n">
        <v>46100</v>
      </c>
      <c r="D913" t="inlineStr">
        <is>
          <t>STOCKHOLMS LÄN</t>
        </is>
      </c>
      <c r="E913" t="inlineStr">
        <is>
          <t>NORRTÄLJE</t>
        </is>
      </c>
      <c r="G913" t="n">
        <v>2.2</v>
      </c>
      <c r="H913" t="n">
        <v>0</v>
      </c>
      <c r="I913" t="n">
        <v>0</v>
      </c>
      <c r="J913" t="n">
        <v>0</v>
      </c>
      <c r="K913" t="n">
        <v>0</v>
      </c>
      <c r="L913" t="n">
        <v>0</v>
      </c>
      <c r="M913" t="n">
        <v>0</v>
      </c>
      <c r="N913" t="n">
        <v>0</v>
      </c>
      <c r="O913" t="n">
        <v>0</v>
      </c>
      <c r="P913" t="n">
        <v>0</v>
      </c>
      <c r="Q913" t="n">
        <v>0</v>
      </c>
      <c r="R913" s="2" t="inlineStr"/>
    </row>
    <row r="914" ht="15" customHeight="1">
      <c r="A914" t="inlineStr">
        <is>
          <t>A 52773-2025</t>
        </is>
      </c>
      <c r="B914" s="1" t="n">
        <v>45957.41457175926</v>
      </c>
      <c r="C914" s="1" t="n">
        <v>46100</v>
      </c>
      <c r="D914" t="inlineStr">
        <is>
          <t>STOCKHOLMS LÄN</t>
        </is>
      </c>
      <c r="E914" t="inlineStr">
        <is>
          <t>NORRTÄLJE</t>
        </is>
      </c>
      <c r="F914" t="inlineStr">
        <is>
          <t>Sveaskog</t>
        </is>
      </c>
      <c r="G914" t="n">
        <v>10.5</v>
      </c>
      <c r="H914" t="n">
        <v>0</v>
      </c>
      <c r="I914" t="n">
        <v>0</v>
      </c>
      <c r="J914" t="n">
        <v>0</v>
      </c>
      <c r="K914" t="n">
        <v>0</v>
      </c>
      <c r="L914" t="n">
        <v>0</v>
      </c>
      <c r="M914" t="n">
        <v>0</v>
      </c>
      <c r="N914" t="n">
        <v>0</v>
      </c>
      <c r="O914" t="n">
        <v>0</v>
      </c>
      <c r="P914" t="n">
        <v>0</v>
      </c>
      <c r="Q914" t="n">
        <v>0</v>
      </c>
      <c r="R914" s="2" t="inlineStr"/>
    </row>
    <row r="915" ht="15" customHeight="1">
      <c r="A915" t="inlineStr">
        <is>
          <t>A 20473-2021</t>
        </is>
      </c>
      <c r="B915" s="1" t="n">
        <v>44315</v>
      </c>
      <c r="C915" s="1" t="n">
        <v>46100</v>
      </c>
      <c r="D915" t="inlineStr">
        <is>
          <t>STOCKHOLMS LÄN</t>
        </is>
      </c>
      <c r="E915" t="inlineStr">
        <is>
          <t>NORRTÄLJE</t>
        </is>
      </c>
      <c r="F915" t="inlineStr">
        <is>
          <t>Övriga Aktiebolag</t>
        </is>
      </c>
      <c r="G915" t="n">
        <v>3.6</v>
      </c>
      <c r="H915" t="n">
        <v>0</v>
      </c>
      <c r="I915" t="n">
        <v>0</v>
      </c>
      <c r="J915" t="n">
        <v>0</v>
      </c>
      <c r="K915" t="n">
        <v>0</v>
      </c>
      <c r="L915" t="n">
        <v>0</v>
      </c>
      <c r="M915" t="n">
        <v>0</v>
      </c>
      <c r="N915" t="n">
        <v>0</v>
      </c>
      <c r="O915" t="n">
        <v>0</v>
      </c>
      <c r="P915" t="n">
        <v>0</v>
      </c>
      <c r="Q915" t="n">
        <v>0</v>
      </c>
      <c r="R915" s="2" t="inlineStr"/>
    </row>
    <row r="916" ht="15" customHeight="1">
      <c r="A916" t="inlineStr">
        <is>
          <t>A 52777-2025</t>
        </is>
      </c>
      <c r="B916" s="1" t="n">
        <v>45957.41832175926</v>
      </c>
      <c r="C916" s="1" t="n">
        <v>46100</v>
      </c>
      <c r="D916" t="inlineStr">
        <is>
          <t>STOCKHOLMS LÄN</t>
        </is>
      </c>
      <c r="E916" t="inlineStr">
        <is>
          <t>NORRTÄLJE</t>
        </is>
      </c>
      <c r="F916" t="inlineStr">
        <is>
          <t>Sveaskog</t>
        </is>
      </c>
      <c r="G916" t="n">
        <v>1.9</v>
      </c>
      <c r="H916" t="n">
        <v>0</v>
      </c>
      <c r="I916" t="n">
        <v>0</v>
      </c>
      <c r="J916" t="n">
        <v>0</v>
      </c>
      <c r="K916" t="n">
        <v>0</v>
      </c>
      <c r="L916" t="n">
        <v>0</v>
      </c>
      <c r="M916" t="n">
        <v>0</v>
      </c>
      <c r="N916" t="n">
        <v>0</v>
      </c>
      <c r="O916" t="n">
        <v>0</v>
      </c>
      <c r="P916" t="n">
        <v>0</v>
      </c>
      <c r="Q916" t="n">
        <v>0</v>
      </c>
      <c r="R916" s="2" t="inlineStr"/>
    </row>
    <row r="917" ht="15" customHeight="1">
      <c r="A917" t="inlineStr">
        <is>
          <t>A 32480-2025</t>
        </is>
      </c>
      <c r="B917" s="1" t="n">
        <v>45838.43261574074</v>
      </c>
      <c r="C917" s="1" t="n">
        <v>46100</v>
      </c>
      <c r="D917" t="inlineStr">
        <is>
          <t>STOCKHOLMS LÄN</t>
        </is>
      </c>
      <c r="E917" t="inlineStr">
        <is>
          <t>NORRTÄLJE</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52526-2025</t>
        </is>
      </c>
      <c r="B918" s="1" t="n">
        <v>45954.53061342592</v>
      </c>
      <c r="C918" s="1" t="n">
        <v>46100</v>
      </c>
      <c r="D918" t="inlineStr">
        <is>
          <t>STOCKHOLMS LÄN</t>
        </is>
      </c>
      <c r="E918" t="inlineStr">
        <is>
          <t>NORRTÄLJE</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53000-2025</t>
        </is>
      </c>
      <c r="B919" s="1" t="n">
        <v>45957.74357638889</v>
      </c>
      <c r="C919" s="1" t="n">
        <v>46100</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32872-2025</t>
        </is>
      </c>
      <c r="B920" s="1" t="n">
        <v>45839</v>
      </c>
      <c r="C920" s="1" t="n">
        <v>46100</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32903-2025</t>
        </is>
      </c>
      <c r="B921" s="1" t="n">
        <v>45839.62398148148</v>
      </c>
      <c r="C921" s="1" t="n">
        <v>46100</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32395-2025</t>
        </is>
      </c>
      <c r="B922" s="1" t="n">
        <v>45837.93730324074</v>
      </c>
      <c r="C922" s="1" t="n">
        <v>46100</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32396-2025</t>
        </is>
      </c>
      <c r="B923" s="1" t="n">
        <v>45837</v>
      </c>
      <c r="C923" s="1" t="n">
        <v>46100</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32397-2025</t>
        </is>
      </c>
      <c r="B924" s="1" t="n">
        <v>45837.94081018519</v>
      </c>
      <c r="C924" s="1" t="n">
        <v>46100</v>
      </c>
      <c r="D924" t="inlineStr">
        <is>
          <t>STOCKHOLMS LÄN</t>
        </is>
      </c>
      <c r="E924" t="inlineStr">
        <is>
          <t>NORRTÄLJE</t>
        </is>
      </c>
      <c r="G924" t="n">
        <v>5.9</v>
      </c>
      <c r="H924" t="n">
        <v>0</v>
      </c>
      <c r="I924" t="n">
        <v>0</v>
      </c>
      <c r="J924" t="n">
        <v>0</v>
      </c>
      <c r="K924" t="n">
        <v>0</v>
      </c>
      <c r="L924" t="n">
        <v>0</v>
      </c>
      <c r="M924" t="n">
        <v>0</v>
      </c>
      <c r="N924" t="n">
        <v>0</v>
      </c>
      <c r="O924" t="n">
        <v>0</v>
      </c>
      <c r="P924" t="n">
        <v>0</v>
      </c>
      <c r="Q924" t="n">
        <v>0</v>
      </c>
      <c r="R924" s="2" t="inlineStr"/>
    </row>
    <row r="925" ht="15" customHeight="1">
      <c r="A925" t="inlineStr">
        <is>
          <t>A 52703-2025</t>
        </is>
      </c>
      <c r="B925" s="1" t="n">
        <v>45956.88643518519</v>
      </c>
      <c r="C925" s="1" t="n">
        <v>46100</v>
      </c>
      <c r="D925" t="inlineStr">
        <is>
          <t>STOCKHOLMS LÄN</t>
        </is>
      </c>
      <c r="E925" t="inlineStr">
        <is>
          <t>NORRTÄLJE</t>
        </is>
      </c>
      <c r="G925" t="n">
        <v>4.7</v>
      </c>
      <c r="H925" t="n">
        <v>0</v>
      </c>
      <c r="I925" t="n">
        <v>0</v>
      </c>
      <c r="J925" t="n">
        <v>0</v>
      </c>
      <c r="K925" t="n">
        <v>0</v>
      </c>
      <c r="L925" t="n">
        <v>0</v>
      </c>
      <c r="M925" t="n">
        <v>0</v>
      </c>
      <c r="N925" t="n">
        <v>0</v>
      </c>
      <c r="O925" t="n">
        <v>0</v>
      </c>
      <c r="P925" t="n">
        <v>0</v>
      </c>
      <c r="Q925" t="n">
        <v>0</v>
      </c>
      <c r="R925" s="2" t="inlineStr"/>
    </row>
    <row r="926" ht="15" customHeight="1">
      <c r="A926" t="inlineStr">
        <is>
          <t>A 52729-2025</t>
        </is>
      </c>
      <c r="B926" s="1" t="n">
        <v>45957.3636574074</v>
      </c>
      <c r="C926" s="1" t="n">
        <v>46100</v>
      </c>
      <c r="D926" t="inlineStr">
        <is>
          <t>STOCKHOLMS LÄN</t>
        </is>
      </c>
      <c r="E926" t="inlineStr">
        <is>
          <t>NORRTÄLJE</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54273-2021</t>
        </is>
      </c>
      <c r="B927" s="1" t="n">
        <v>44470.72987268519</v>
      </c>
      <c r="C927" s="1" t="n">
        <v>46100</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48593-2025</t>
        </is>
      </c>
      <c r="B928" s="1" t="n">
        <v>45936.4627662037</v>
      </c>
      <c r="C928" s="1" t="n">
        <v>46100</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52734-2025</t>
        </is>
      </c>
      <c r="B929" s="1" t="n">
        <v>45957.3710300926</v>
      </c>
      <c r="C929" s="1" t="n">
        <v>46100</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52776-2025</t>
        </is>
      </c>
      <c r="B930" s="1" t="n">
        <v>45957.41724537037</v>
      </c>
      <c r="C930" s="1" t="n">
        <v>46100</v>
      </c>
      <c r="D930" t="inlineStr">
        <is>
          <t>STOCKHOLMS LÄN</t>
        </is>
      </c>
      <c r="E930" t="inlineStr">
        <is>
          <t>NORRTÄLJE</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52529-2025</t>
        </is>
      </c>
      <c r="B931" s="1" t="n">
        <v>45954.53229166667</v>
      </c>
      <c r="C931" s="1" t="n">
        <v>46100</v>
      </c>
      <c r="D931" t="inlineStr">
        <is>
          <t>STOCKHOLMS LÄN</t>
        </is>
      </c>
      <c r="E931" t="inlineStr">
        <is>
          <t>NORRTÄLJE</t>
        </is>
      </c>
      <c r="F931" t="inlineStr">
        <is>
          <t>Sveaskog</t>
        </is>
      </c>
      <c r="G931" t="n">
        <v>7.8</v>
      </c>
      <c r="H931" t="n">
        <v>0</v>
      </c>
      <c r="I931" t="n">
        <v>0</v>
      </c>
      <c r="J931" t="n">
        <v>0</v>
      </c>
      <c r="K931" t="n">
        <v>0</v>
      </c>
      <c r="L931" t="n">
        <v>0</v>
      </c>
      <c r="M931" t="n">
        <v>0</v>
      </c>
      <c r="N931" t="n">
        <v>0</v>
      </c>
      <c r="O931" t="n">
        <v>0</v>
      </c>
      <c r="P931" t="n">
        <v>0</v>
      </c>
      <c r="Q931" t="n">
        <v>0</v>
      </c>
      <c r="R931" s="2" t="inlineStr"/>
    </row>
    <row r="932" ht="15" customHeight="1">
      <c r="A932" t="inlineStr">
        <is>
          <t>A 52704-2025</t>
        </is>
      </c>
      <c r="B932" s="1" t="n">
        <v>45956.89097222222</v>
      </c>
      <c r="C932" s="1" t="n">
        <v>46100</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52553-2025</t>
        </is>
      </c>
      <c r="B933" s="1" t="n">
        <v>45954.5624537037</v>
      </c>
      <c r="C933" s="1" t="n">
        <v>46100</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7806-2025</t>
        </is>
      </c>
      <c r="B934" s="1" t="n">
        <v>45706.61178240741</v>
      </c>
      <c r="C934" s="1" t="n">
        <v>46100</v>
      </c>
      <c r="D934" t="inlineStr">
        <is>
          <t>STOCKHOLMS LÄN</t>
        </is>
      </c>
      <c r="E934" t="inlineStr">
        <is>
          <t>NORRTÄLJE</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48443-2025</t>
        </is>
      </c>
      <c r="B935" s="1" t="n">
        <v>45935.55326388889</v>
      </c>
      <c r="C935" s="1" t="n">
        <v>46100</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33702-2025</t>
        </is>
      </c>
      <c r="B936" s="1" t="n">
        <v>45841.74596064815</v>
      </c>
      <c r="C936" s="1" t="n">
        <v>46100</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53792-2023</t>
        </is>
      </c>
      <c r="B937" s="1" t="n">
        <v>45231.34144675926</v>
      </c>
      <c r="C937" s="1" t="n">
        <v>46100</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33211-2025</t>
        </is>
      </c>
      <c r="B938" s="1" t="n">
        <v>45840.62755787037</v>
      </c>
      <c r="C938" s="1" t="n">
        <v>46100</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21329-2022</t>
        </is>
      </c>
      <c r="B939" s="1" t="n">
        <v>44705.60626157407</v>
      </c>
      <c r="C939" s="1" t="n">
        <v>46100</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53299-2025</t>
        </is>
      </c>
      <c r="B940" s="1" t="n">
        <v>45959.31901620371</v>
      </c>
      <c r="C940" s="1" t="n">
        <v>46100</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33265-2025</t>
        </is>
      </c>
      <c r="B941" s="1" t="n">
        <v>45840.67829861111</v>
      </c>
      <c r="C941" s="1" t="n">
        <v>46100</v>
      </c>
      <c r="D941" t="inlineStr">
        <is>
          <t>STOCKHOLMS LÄN</t>
        </is>
      </c>
      <c r="E941" t="inlineStr">
        <is>
          <t>NORRTÄLJE</t>
        </is>
      </c>
      <c r="G941" t="n">
        <v>5.5</v>
      </c>
      <c r="H941" t="n">
        <v>0</v>
      </c>
      <c r="I941" t="n">
        <v>0</v>
      </c>
      <c r="J941" t="n">
        <v>0</v>
      </c>
      <c r="K941" t="n">
        <v>0</v>
      </c>
      <c r="L941" t="n">
        <v>0</v>
      </c>
      <c r="M941" t="n">
        <v>0</v>
      </c>
      <c r="N941" t="n">
        <v>0</v>
      </c>
      <c r="O941" t="n">
        <v>0</v>
      </c>
      <c r="P941" t="n">
        <v>0</v>
      </c>
      <c r="Q941" t="n">
        <v>0</v>
      </c>
      <c r="R941" s="2" t="inlineStr"/>
    </row>
    <row r="942" ht="15" customHeight="1">
      <c r="A942" t="inlineStr">
        <is>
          <t>A 53087-2025</t>
        </is>
      </c>
      <c r="B942" s="1" t="n">
        <v>45958.41065972222</v>
      </c>
      <c r="C942" s="1" t="n">
        <v>46100</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50569-2022</t>
        </is>
      </c>
      <c r="B943" s="1" t="n">
        <v>44866.63775462963</v>
      </c>
      <c r="C943" s="1" t="n">
        <v>46100</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53115-2025</t>
        </is>
      </c>
      <c r="B944" s="1" t="n">
        <v>45958.44614583333</v>
      </c>
      <c r="C944" s="1" t="n">
        <v>46100</v>
      </c>
      <c r="D944" t="inlineStr">
        <is>
          <t>STOCKHOLMS LÄN</t>
        </is>
      </c>
      <c r="E944" t="inlineStr">
        <is>
          <t>NORRTÄLJE</t>
        </is>
      </c>
      <c r="F944" t="inlineStr">
        <is>
          <t>Kyrkan</t>
        </is>
      </c>
      <c r="G944" t="n">
        <v>2.5</v>
      </c>
      <c r="H944" t="n">
        <v>0</v>
      </c>
      <c r="I944" t="n">
        <v>0</v>
      </c>
      <c r="J944" t="n">
        <v>0</v>
      </c>
      <c r="K944" t="n">
        <v>0</v>
      </c>
      <c r="L944" t="n">
        <v>0</v>
      </c>
      <c r="M944" t="n">
        <v>0</v>
      </c>
      <c r="N944" t="n">
        <v>0</v>
      </c>
      <c r="O944" t="n">
        <v>0</v>
      </c>
      <c r="P944" t="n">
        <v>0</v>
      </c>
      <c r="Q944" t="n">
        <v>0</v>
      </c>
      <c r="R944" s="2" t="inlineStr"/>
    </row>
    <row r="945" ht="15" customHeight="1">
      <c r="A945" t="inlineStr">
        <is>
          <t>A 24501-2023</t>
        </is>
      </c>
      <c r="B945" s="1" t="n">
        <v>45082</v>
      </c>
      <c r="C945" s="1" t="n">
        <v>46100</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24520-2023</t>
        </is>
      </c>
      <c r="B946" s="1" t="n">
        <v>45082.68922453704</v>
      </c>
      <c r="C946" s="1" t="n">
        <v>46100</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33552-2025</t>
        </is>
      </c>
      <c r="B947" s="1" t="n">
        <v>45841.5737962963</v>
      </c>
      <c r="C947" s="1" t="n">
        <v>46100</v>
      </c>
      <c r="D947" t="inlineStr">
        <is>
          <t>STOCKHOLMS LÄN</t>
        </is>
      </c>
      <c r="E947" t="inlineStr">
        <is>
          <t>NORRTÄLJE</t>
        </is>
      </c>
      <c r="G947" t="n">
        <v>8.9</v>
      </c>
      <c r="H947" t="n">
        <v>0</v>
      </c>
      <c r="I947" t="n">
        <v>0</v>
      </c>
      <c r="J947" t="n">
        <v>0</v>
      </c>
      <c r="K947" t="n">
        <v>0</v>
      </c>
      <c r="L947" t="n">
        <v>0</v>
      </c>
      <c r="M947" t="n">
        <v>0</v>
      </c>
      <c r="N947" t="n">
        <v>0</v>
      </c>
      <c r="O947" t="n">
        <v>0</v>
      </c>
      <c r="P947" t="n">
        <v>0</v>
      </c>
      <c r="Q947" t="n">
        <v>0</v>
      </c>
      <c r="R947" s="2" t="inlineStr"/>
    </row>
    <row r="948" ht="15" customHeight="1">
      <c r="A948" t="inlineStr">
        <is>
          <t>A 53629-2025</t>
        </is>
      </c>
      <c r="B948" s="1" t="n">
        <v>45960.49570601852</v>
      </c>
      <c r="C948" s="1" t="n">
        <v>46100</v>
      </c>
      <c r="D948" t="inlineStr">
        <is>
          <t>STOCKHOLMS LÄN</t>
        </is>
      </c>
      <c r="E948" t="inlineStr">
        <is>
          <t>NORRTÄLJE</t>
        </is>
      </c>
      <c r="F948" t="inlineStr">
        <is>
          <t>Naturvårdsverket</t>
        </is>
      </c>
      <c r="G948" t="n">
        <v>7.9</v>
      </c>
      <c r="H948" t="n">
        <v>0</v>
      </c>
      <c r="I948" t="n">
        <v>0</v>
      </c>
      <c r="J948" t="n">
        <v>0</v>
      </c>
      <c r="K948" t="n">
        <v>0</v>
      </c>
      <c r="L948" t="n">
        <v>0</v>
      </c>
      <c r="M948" t="n">
        <v>0</v>
      </c>
      <c r="N948" t="n">
        <v>0</v>
      </c>
      <c r="O948" t="n">
        <v>0</v>
      </c>
      <c r="P948" t="n">
        <v>0</v>
      </c>
      <c r="Q948" t="n">
        <v>0</v>
      </c>
      <c r="R948" s="2" t="inlineStr"/>
    </row>
    <row r="949" ht="15" customHeight="1">
      <c r="A949" t="inlineStr">
        <is>
          <t>A 33336-2025</t>
        </is>
      </c>
      <c r="B949" s="1" t="n">
        <v>45841.35611111111</v>
      </c>
      <c r="C949" s="1" t="n">
        <v>46100</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60654-2023</t>
        </is>
      </c>
      <c r="B950" s="1" t="n">
        <v>45260.43225694444</v>
      </c>
      <c r="C950" s="1" t="n">
        <v>46100</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60656-2023</t>
        </is>
      </c>
      <c r="B951" s="1" t="n">
        <v>45260.4333449074</v>
      </c>
      <c r="C951" s="1" t="n">
        <v>46100</v>
      </c>
      <c r="D951" t="inlineStr">
        <is>
          <t>STOCKHOLMS LÄN</t>
        </is>
      </c>
      <c r="E951" t="inlineStr">
        <is>
          <t>NORRTÄLJE</t>
        </is>
      </c>
      <c r="G951" t="n">
        <v>4.8</v>
      </c>
      <c r="H951" t="n">
        <v>0</v>
      </c>
      <c r="I951" t="n">
        <v>0</v>
      </c>
      <c r="J951" t="n">
        <v>0</v>
      </c>
      <c r="K951" t="n">
        <v>0</v>
      </c>
      <c r="L951" t="n">
        <v>0</v>
      </c>
      <c r="M951" t="n">
        <v>0</v>
      </c>
      <c r="N951" t="n">
        <v>0</v>
      </c>
      <c r="O951" t="n">
        <v>0</v>
      </c>
      <c r="P951" t="n">
        <v>0</v>
      </c>
      <c r="Q951" t="n">
        <v>0</v>
      </c>
      <c r="R951" s="2" t="inlineStr"/>
    </row>
    <row r="952" ht="15" customHeight="1">
      <c r="A952" t="inlineStr">
        <is>
          <t>A 33824-2025</t>
        </is>
      </c>
      <c r="B952" s="1" t="n">
        <v>45842.46885416667</v>
      </c>
      <c r="C952" s="1" t="n">
        <v>46100</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54496-2024</t>
        </is>
      </c>
      <c r="B953" s="1" t="n">
        <v>45617.57439814815</v>
      </c>
      <c r="C953" s="1" t="n">
        <v>46100</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53747-2025</t>
        </is>
      </c>
      <c r="B954" s="1" t="n">
        <v>45960.65415509259</v>
      </c>
      <c r="C954" s="1" t="n">
        <v>46100</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34006-2025</t>
        </is>
      </c>
      <c r="B955" s="1" t="n">
        <v>45844.62609953704</v>
      </c>
      <c r="C955" s="1" t="n">
        <v>46100</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34139-2025</t>
        </is>
      </c>
      <c r="B956" s="1" t="n">
        <v>45845</v>
      </c>
      <c r="C956" s="1" t="n">
        <v>46100</v>
      </c>
      <c r="D956" t="inlineStr">
        <is>
          <t>STOCKHOLMS LÄN</t>
        </is>
      </c>
      <c r="E956" t="inlineStr">
        <is>
          <t>NORRTÄLJE</t>
        </is>
      </c>
      <c r="G956" t="n">
        <v>5.5</v>
      </c>
      <c r="H956" t="n">
        <v>0</v>
      </c>
      <c r="I956" t="n">
        <v>0</v>
      </c>
      <c r="J956" t="n">
        <v>0</v>
      </c>
      <c r="K956" t="n">
        <v>0</v>
      </c>
      <c r="L956" t="n">
        <v>0</v>
      </c>
      <c r="M956" t="n">
        <v>0</v>
      </c>
      <c r="N956" t="n">
        <v>0</v>
      </c>
      <c r="O956" t="n">
        <v>0</v>
      </c>
      <c r="P956" t="n">
        <v>0</v>
      </c>
      <c r="Q956" t="n">
        <v>0</v>
      </c>
      <c r="R956" s="2" t="inlineStr"/>
    </row>
    <row r="957" ht="15" customHeight="1">
      <c r="A957" t="inlineStr">
        <is>
          <t>A 21386-2023</t>
        </is>
      </c>
      <c r="B957" s="1" t="n">
        <v>45063.35880787037</v>
      </c>
      <c r="C957" s="1" t="n">
        <v>46100</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34010-2025</t>
        </is>
      </c>
      <c r="B958" s="1" t="n">
        <v>45844.91234953704</v>
      </c>
      <c r="C958" s="1" t="n">
        <v>46100</v>
      </c>
      <c r="D958" t="inlineStr">
        <is>
          <t>STOCKHOLMS LÄN</t>
        </is>
      </c>
      <c r="E958" t="inlineStr">
        <is>
          <t>NORRTÄLJE</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10642-2025</t>
        </is>
      </c>
      <c r="B959" s="1" t="n">
        <v>45721.65858796296</v>
      </c>
      <c r="C959" s="1" t="n">
        <v>46100</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36689-2023</t>
        </is>
      </c>
      <c r="B960" s="1" t="n">
        <v>45152</v>
      </c>
      <c r="C960" s="1" t="n">
        <v>46100</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46073-2024</t>
        </is>
      </c>
      <c r="B961" s="1" t="n">
        <v>45581</v>
      </c>
      <c r="C961" s="1" t="n">
        <v>46100</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20144-2023</t>
        </is>
      </c>
      <c r="B962" s="1" t="n">
        <v>45055.43509259259</v>
      </c>
      <c r="C962" s="1" t="n">
        <v>46100</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53312-2024</t>
        </is>
      </c>
      <c r="B963" s="1" t="n">
        <v>45614.39627314815</v>
      </c>
      <c r="C963" s="1" t="n">
        <v>46100</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39202-2024</t>
        </is>
      </c>
      <c r="B964" s="1" t="n">
        <v>45548.72306712963</v>
      </c>
      <c r="C964" s="1" t="n">
        <v>46100</v>
      </c>
      <c r="D964" t="inlineStr">
        <is>
          <t>STOCKHOLMS LÄN</t>
        </is>
      </c>
      <c r="E964" t="inlineStr">
        <is>
          <t>NORRTÄLJE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22756-2022</t>
        </is>
      </c>
      <c r="B965" s="1" t="n">
        <v>44714.92253472222</v>
      </c>
      <c r="C965" s="1" t="n">
        <v>46100</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4581-2025</t>
        </is>
      </c>
      <c r="B966" s="1" t="n">
        <v>45687</v>
      </c>
      <c r="C966" s="1" t="n">
        <v>46100</v>
      </c>
      <c r="D966" t="inlineStr">
        <is>
          <t>STOCKHOLMS LÄN</t>
        </is>
      </c>
      <c r="E966" t="inlineStr">
        <is>
          <t>NORRTÄLJE</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60765-2023</t>
        </is>
      </c>
      <c r="B967" s="1" t="n">
        <v>45260</v>
      </c>
      <c r="C967" s="1" t="n">
        <v>46100</v>
      </c>
      <c r="D967" t="inlineStr">
        <is>
          <t>STOCKHOLMS LÄN</t>
        </is>
      </c>
      <c r="E967" t="inlineStr">
        <is>
          <t>NORRTÄLJE</t>
        </is>
      </c>
      <c r="G967" t="n">
        <v>3.7</v>
      </c>
      <c r="H967" t="n">
        <v>0</v>
      </c>
      <c r="I967" t="n">
        <v>0</v>
      </c>
      <c r="J967" t="n">
        <v>0</v>
      </c>
      <c r="K967" t="n">
        <v>0</v>
      </c>
      <c r="L967" t="n">
        <v>0</v>
      </c>
      <c r="M967" t="n">
        <v>0</v>
      </c>
      <c r="N967" t="n">
        <v>0</v>
      </c>
      <c r="O967" t="n">
        <v>0</v>
      </c>
      <c r="P967" t="n">
        <v>0</v>
      </c>
      <c r="Q967" t="n">
        <v>0</v>
      </c>
      <c r="R967" s="2" t="inlineStr"/>
    </row>
    <row r="968" ht="15" customHeight="1">
      <c r="A968" t="inlineStr">
        <is>
          <t>A 23801-2022</t>
        </is>
      </c>
      <c r="B968" s="1" t="n">
        <v>44722</v>
      </c>
      <c r="C968" s="1" t="n">
        <v>46100</v>
      </c>
      <c r="D968" t="inlineStr">
        <is>
          <t>STOCKHOLMS LÄN</t>
        </is>
      </c>
      <c r="E968" t="inlineStr">
        <is>
          <t>NORRTÄLJE</t>
        </is>
      </c>
      <c r="G968" t="n">
        <v>6.8</v>
      </c>
      <c r="H968" t="n">
        <v>0</v>
      </c>
      <c r="I968" t="n">
        <v>0</v>
      </c>
      <c r="J968" t="n">
        <v>0</v>
      </c>
      <c r="K968" t="n">
        <v>0</v>
      </c>
      <c r="L968" t="n">
        <v>0</v>
      </c>
      <c r="M968" t="n">
        <v>0</v>
      </c>
      <c r="N968" t="n">
        <v>0</v>
      </c>
      <c r="O968" t="n">
        <v>0</v>
      </c>
      <c r="P968" t="n">
        <v>0</v>
      </c>
      <c r="Q968" t="n">
        <v>0</v>
      </c>
      <c r="R968" s="2" t="inlineStr"/>
    </row>
    <row r="969" ht="15" customHeight="1">
      <c r="A969" t="inlineStr">
        <is>
          <t>A 59276-2023</t>
        </is>
      </c>
      <c r="B969" s="1" t="n">
        <v>45253.55641203704</v>
      </c>
      <c r="C969" s="1" t="n">
        <v>46100</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46914-2022</t>
        </is>
      </c>
      <c r="B970" s="1" t="n">
        <v>44851</v>
      </c>
      <c r="C970" s="1" t="n">
        <v>46100</v>
      </c>
      <c r="D970" t="inlineStr">
        <is>
          <t>STOCKHOLMS LÄN</t>
        </is>
      </c>
      <c r="E970" t="inlineStr">
        <is>
          <t>NORRTÄLJE</t>
        </is>
      </c>
      <c r="G970" t="n">
        <v>2.4</v>
      </c>
      <c r="H970" t="n">
        <v>0</v>
      </c>
      <c r="I970" t="n">
        <v>0</v>
      </c>
      <c r="J970" t="n">
        <v>0</v>
      </c>
      <c r="K970" t="n">
        <v>0</v>
      </c>
      <c r="L970" t="n">
        <v>0</v>
      </c>
      <c r="M970" t="n">
        <v>0</v>
      </c>
      <c r="N970" t="n">
        <v>0</v>
      </c>
      <c r="O970" t="n">
        <v>0</v>
      </c>
      <c r="P970" t="n">
        <v>0</v>
      </c>
      <c r="Q970" t="n">
        <v>0</v>
      </c>
      <c r="R970" s="2" t="inlineStr"/>
    </row>
    <row r="971" ht="15" customHeight="1">
      <c r="A971" t="inlineStr">
        <is>
          <t>A 18541-2023</t>
        </is>
      </c>
      <c r="B971" s="1" t="n">
        <v>45042.74291666667</v>
      </c>
      <c r="C971" s="1" t="n">
        <v>46100</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3509-2022</t>
        </is>
      </c>
      <c r="B972" s="1" t="n">
        <v>44585</v>
      </c>
      <c r="C972" s="1" t="n">
        <v>46100</v>
      </c>
      <c r="D972" t="inlineStr">
        <is>
          <t>STOCKHOLMS LÄN</t>
        </is>
      </c>
      <c r="E972" t="inlineStr">
        <is>
          <t>NORRTÄLJE</t>
        </is>
      </c>
      <c r="F972" t="inlineStr">
        <is>
          <t>Kommuner</t>
        </is>
      </c>
      <c r="G972" t="n">
        <v>0.8</v>
      </c>
      <c r="H972" t="n">
        <v>0</v>
      </c>
      <c r="I972" t="n">
        <v>0</v>
      </c>
      <c r="J972" t="n">
        <v>0</v>
      </c>
      <c r="K972" t="n">
        <v>0</v>
      </c>
      <c r="L972" t="n">
        <v>0</v>
      </c>
      <c r="M972" t="n">
        <v>0</v>
      </c>
      <c r="N972" t="n">
        <v>0</v>
      </c>
      <c r="O972" t="n">
        <v>0</v>
      </c>
      <c r="P972" t="n">
        <v>0</v>
      </c>
      <c r="Q972" t="n">
        <v>0</v>
      </c>
      <c r="R972" s="2" t="inlineStr"/>
    </row>
    <row r="973" ht="15" customHeight="1">
      <c r="A973" t="inlineStr">
        <is>
          <t>A 26407-2024</t>
        </is>
      </c>
      <c r="B973" s="1" t="n">
        <v>45469</v>
      </c>
      <c r="C973" s="1" t="n">
        <v>46100</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12890-2024</t>
        </is>
      </c>
      <c r="B974" s="1" t="n">
        <v>45385.36243055556</v>
      </c>
      <c r="C974" s="1" t="n">
        <v>46100</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54907-2025</t>
        </is>
      </c>
      <c r="B975" s="1" t="n">
        <v>45967.37137731481</v>
      </c>
      <c r="C975" s="1" t="n">
        <v>46100</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35110-2025</t>
        </is>
      </c>
      <c r="B976" s="1" t="n">
        <v>45852.58030092593</v>
      </c>
      <c r="C976" s="1" t="n">
        <v>46100</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47419-2023</t>
        </is>
      </c>
      <c r="B977" s="1" t="n">
        <v>45202.65660879629</v>
      </c>
      <c r="C977" s="1" t="n">
        <v>46100</v>
      </c>
      <c r="D977" t="inlineStr">
        <is>
          <t>STOCKHOLMS LÄN</t>
        </is>
      </c>
      <c r="E977" t="inlineStr">
        <is>
          <t>NORRTÄLJE</t>
        </is>
      </c>
      <c r="G977" t="n">
        <v>11.4</v>
      </c>
      <c r="H977" t="n">
        <v>0</v>
      </c>
      <c r="I977" t="n">
        <v>0</v>
      </c>
      <c r="J977" t="n">
        <v>0</v>
      </c>
      <c r="K977" t="n">
        <v>0</v>
      </c>
      <c r="L977" t="n">
        <v>0</v>
      </c>
      <c r="M977" t="n">
        <v>0</v>
      </c>
      <c r="N977" t="n">
        <v>0</v>
      </c>
      <c r="O977" t="n">
        <v>0</v>
      </c>
      <c r="P977" t="n">
        <v>0</v>
      </c>
      <c r="Q977" t="n">
        <v>0</v>
      </c>
      <c r="R977" s="2" t="inlineStr"/>
    </row>
    <row r="978" ht="15" customHeight="1">
      <c r="A978" t="inlineStr">
        <is>
          <t>A 23070-2023</t>
        </is>
      </c>
      <c r="B978" s="1" t="n">
        <v>45075</v>
      </c>
      <c r="C978" s="1" t="n">
        <v>46100</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35254-2025</t>
        </is>
      </c>
      <c r="B979" s="1" t="n">
        <v>45853</v>
      </c>
      <c r="C979" s="1" t="n">
        <v>46100</v>
      </c>
      <c r="D979" t="inlineStr">
        <is>
          <t>STOCKHOLMS LÄN</t>
        </is>
      </c>
      <c r="E979" t="inlineStr">
        <is>
          <t>NORRTÄLJE</t>
        </is>
      </c>
      <c r="G979" t="n">
        <v>6.5</v>
      </c>
      <c r="H979" t="n">
        <v>0</v>
      </c>
      <c r="I979" t="n">
        <v>0</v>
      </c>
      <c r="J979" t="n">
        <v>0</v>
      </c>
      <c r="K979" t="n">
        <v>0</v>
      </c>
      <c r="L979" t="n">
        <v>0</v>
      </c>
      <c r="M979" t="n">
        <v>0</v>
      </c>
      <c r="N979" t="n">
        <v>0</v>
      </c>
      <c r="O979" t="n">
        <v>0</v>
      </c>
      <c r="P979" t="n">
        <v>0</v>
      </c>
      <c r="Q979" t="n">
        <v>0</v>
      </c>
      <c r="R979" s="2" t="inlineStr"/>
    </row>
    <row r="980" ht="15" customHeight="1">
      <c r="A980" t="inlineStr">
        <is>
          <t>A 27824-2022</t>
        </is>
      </c>
      <c r="B980" s="1" t="n">
        <v>44743.59331018518</v>
      </c>
      <c r="C980" s="1" t="n">
        <v>46100</v>
      </c>
      <c r="D980" t="inlineStr">
        <is>
          <t>STOCKHOLMS LÄN</t>
        </is>
      </c>
      <c r="E980" t="inlineStr">
        <is>
          <t>NORRTÄLJE</t>
        </is>
      </c>
      <c r="F980" t="inlineStr">
        <is>
          <t>Kommuner</t>
        </is>
      </c>
      <c r="G980" t="n">
        <v>3.1</v>
      </c>
      <c r="H980" t="n">
        <v>0</v>
      </c>
      <c r="I980" t="n">
        <v>0</v>
      </c>
      <c r="J980" t="n">
        <v>0</v>
      </c>
      <c r="K980" t="n">
        <v>0</v>
      </c>
      <c r="L980" t="n">
        <v>0</v>
      </c>
      <c r="M980" t="n">
        <v>0</v>
      </c>
      <c r="N980" t="n">
        <v>0</v>
      </c>
      <c r="O980" t="n">
        <v>0</v>
      </c>
      <c r="P980" t="n">
        <v>0</v>
      </c>
      <c r="Q980" t="n">
        <v>0</v>
      </c>
      <c r="R980" s="2" t="inlineStr"/>
    </row>
    <row r="981" ht="15" customHeight="1">
      <c r="A981" t="inlineStr">
        <is>
          <t>A 55503-2025</t>
        </is>
      </c>
      <c r="B981" s="1" t="n">
        <v>45971</v>
      </c>
      <c r="C981" s="1" t="n">
        <v>46100</v>
      </c>
      <c r="D981" t="inlineStr">
        <is>
          <t>STOCKHOLMS LÄN</t>
        </is>
      </c>
      <c r="E981" t="inlineStr">
        <is>
          <t>NORRTÄLJE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25619-2022</t>
        </is>
      </c>
      <c r="B982" s="1" t="n">
        <v>44732</v>
      </c>
      <c r="C982" s="1" t="n">
        <v>46100</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35479-2025</t>
        </is>
      </c>
      <c r="B983" s="1" t="n">
        <v>45855.69387731481</v>
      </c>
      <c r="C983" s="1" t="n">
        <v>46100</v>
      </c>
      <c r="D983" t="inlineStr">
        <is>
          <t>STOCKHOLMS LÄN</t>
        </is>
      </c>
      <c r="E983" t="inlineStr">
        <is>
          <t>NORRTÄLJE</t>
        </is>
      </c>
      <c r="F983" t="inlineStr">
        <is>
          <t>Holmen skog AB</t>
        </is>
      </c>
      <c r="G983" t="n">
        <v>1.8</v>
      </c>
      <c r="H983" t="n">
        <v>0</v>
      </c>
      <c r="I983" t="n">
        <v>0</v>
      </c>
      <c r="J983" t="n">
        <v>0</v>
      </c>
      <c r="K983" t="n">
        <v>0</v>
      </c>
      <c r="L983" t="n">
        <v>0</v>
      </c>
      <c r="M983" t="n">
        <v>0</v>
      </c>
      <c r="N983" t="n">
        <v>0</v>
      </c>
      <c r="O983" t="n">
        <v>0</v>
      </c>
      <c r="P983" t="n">
        <v>0</v>
      </c>
      <c r="Q983" t="n">
        <v>0</v>
      </c>
      <c r="R983" s="2" t="inlineStr"/>
    </row>
    <row r="984" ht="15" customHeight="1">
      <c r="A984" t="inlineStr">
        <is>
          <t>A 35451-2025</t>
        </is>
      </c>
      <c r="B984" s="1" t="n">
        <v>45855.57033564815</v>
      </c>
      <c r="C984" s="1" t="n">
        <v>46100</v>
      </c>
      <c r="D984" t="inlineStr">
        <is>
          <t>STOCKHOLMS LÄN</t>
        </is>
      </c>
      <c r="E984" t="inlineStr">
        <is>
          <t>NORRTÄLJE</t>
        </is>
      </c>
      <c r="F984" t="inlineStr">
        <is>
          <t>Holmen skog AB</t>
        </is>
      </c>
      <c r="G984" t="n">
        <v>7.4</v>
      </c>
      <c r="H984" t="n">
        <v>0</v>
      </c>
      <c r="I984" t="n">
        <v>0</v>
      </c>
      <c r="J984" t="n">
        <v>0</v>
      </c>
      <c r="K984" t="n">
        <v>0</v>
      </c>
      <c r="L984" t="n">
        <v>0</v>
      </c>
      <c r="M984" t="n">
        <v>0</v>
      </c>
      <c r="N984" t="n">
        <v>0</v>
      </c>
      <c r="O984" t="n">
        <v>0</v>
      </c>
      <c r="P984" t="n">
        <v>0</v>
      </c>
      <c r="Q984" t="n">
        <v>0</v>
      </c>
      <c r="R984" s="2" t="inlineStr"/>
    </row>
    <row r="985" ht="15" customHeight="1">
      <c r="A985" t="inlineStr">
        <is>
          <t>A 35478-2025</t>
        </is>
      </c>
      <c r="B985" s="1" t="n">
        <v>45855.68413194444</v>
      </c>
      <c r="C985" s="1" t="n">
        <v>46100</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36246-2021</t>
        </is>
      </c>
      <c r="B986" s="1" t="n">
        <v>44390</v>
      </c>
      <c r="C986" s="1" t="n">
        <v>46100</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19952-2023</t>
        </is>
      </c>
      <c r="B987" s="1" t="n">
        <v>45054.54091435186</v>
      </c>
      <c r="C987" s="1" t="n">
        <v>46100</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19994-2023</t>
        </is>
      </c>
      <c r="B988" s="1" t="n">
        <v>45054</v>
      </c>
      <c r="C988" s="1" t="n">
        <v>46100</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14130-2025</t>
        </is>
      </c>
      <c r="B989" s="1" t="n">
        <v>45740.47288194444</v>
      </c>
      <c r="C989" s="1" t="n">
        <v>46100</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48780-2025</t>
        </is>
      </c>
      <c r="B990" s="1" t="n">
        <v>45937.30377314815</v>
      </c>
      <c r="C990" s="1" t="n">
        <v>46100</v>
      </c>
      <c r="D990" t="inlineStr">
        <is>
          <t>STOCKHOLMS LÄN</t>
        </is>
      </c>
      <c r="E990" t="inlineStr">
        <is>
          <t>NORRTÄLJE</t>
        </is>
      </c>
      <c r="G990" t="n">
        <v>7.7</v>
      </c>
      <c r="H990" t="n">
        <v>0</v>
      </c>
      <c r="I990" t="n">
        <v>0</v>
      </c>
      <c r="J990" t="n">
        <v>0</v>
      </c>
      <c r="K990" t="n">
        <v>0</v>
      </c>
      <c r="L990" t="n">
        <v>0</v>
      </c>
      <c r="M990" t="n">
        <v>0</v>
      </c>
      <c r="N990" t="n">
        <v>0</v>
      </c>
      <c r="O990" t="n">
        <v>0</v>
      </c>
      <c r="P990" t="n">
        <v>0</v>
      </c>
      <c r="Q990" t="n">
        <v>0</v>
      </c>
      <c r="R990" s="2" t="inlineStr"/>
    </row>
    <row r="991" ht="15" customHeight="1">
      <c r="A991" t="inlineStr">
        <is>
          <t>A 55599-2025</t>
        </is>
      </c>
      <c r="B991" s="1" t="n">
        <v>45971.76810185185</v>
      </c>
      <c r="C991" s="1" t="n">
        <v>46100</v>
      </c>
      <c r="D991" t="inlineStr">
        <is>
          <t>STOCKHOLMS LÄN</t>
        </is>
      </c>
      <c r="E991" t="inlineStr">
        <is>
          <t>NORRTÄLJE</t>
        </is>
      </c>
      <c r="F991" t="inlineStr">
        <is>
          <t>Holmen skog AB</t>
        </is>
      </c>
      <c r="G991" t="n">
        <v>6.4</v>
      </c>
      <c r="H991" t="n">
        <v>0</v>
      </c>
      <c r="I991" t="n">
        <v>0</v>
      </c>
      <c r="J991" t="n">
        <v>0</v>
      </c>
      <c r="K991" t="n">
        <v>0</v>
      </c>
      <c r="L991" t="n">
        <v>0</v>
      </c>
      <c r="M991" t="n">
        <v>0</v>
      </c>
      <c r="N991" t="n">
        <v>0</v>
      </c>
      <c r="O991" t="n">
        <v>0</v>
      </c>
      <c r="P991" t="n">
        <v>0</v>
      </c>
      <c r="Q991" t="n">
        <v>0</v>
      </c>
      <c r="R991" s="2" t="inlineStr"/>
    </row>
    <row r="992" ht="15" customHeight="1">
      <c r="A992" t="inlineStr">
        <is>
          <t>A 574-2023</t>
        </is>
      </c>
      <c r="B992" s="1" t="n">
        <v>44925</v>
      </c>
      <c r="C992" s="1" t="n">
        <v>46100</v>
      </c>
      <c r="D992" t="inlineStr">
        <is>
          <t>STOCKHOLMS LÄN</t>
        </is>
      </c>
      <c r="E992" t="inlineStr">
        <is>
          <t>NORRTÄLJE</t>
        </is>
      </c>
      <c r="G992" t="n">
        <v>5</v>
      </c>
      <c r="H992" t="n">
        <v>0</v>
      </c>
      <c r="I992" t="n">
        <v>0</v>
      </c>
      <c r="J992" t="n">
        <v>0</v>
      </c>
      <c r="K992" t="n">
        <v>0</v>
      </c>
      <c r="L992" t="n">
        <v>0</v>
      </c>
      <c r="M992" t="n">
        <v>0</v>
      </c>
      <c r="N992" t="n">
        <v>0</v>
      </c>
      <c r="O992" t="n">
        <v>0</v>
      </c>
      <c r="P992" t="n">
        <v>0</v>
      </c>
      <c r="Q992" t="n">
        <v>0</v>
      </c>
      <c r="R992" s="2" t="inlineStr"/>
    </row>
    <row r="993" ht="15" customHeight="1">
      <c r="A993" t="inlineStr">
        <is>
          <t>A 56114-2025</t>
        </is>
      </c>
      <c r="B993" s="1" t="n">
        <v>45973.74474537037</v>
      </c>
      <c r="C993" s="1" t="n">
        <v>46100</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30283-2022</t>
        </is>
      </c>
      <c r="B994" s="1" t="n">
        <v>44760</v>
      </c>
      <c r="C994" s="1" t="n">
        <v>46100</v>
      </c>
      <c r="D994" t="inlineStr">
        <is>
          <t>STOCKHOLMS LÄN</t>
        </is>
      </c>
      <c r="E994" t="inlineStr">
        <is>
          <t>NORRTÄLJE</t>
        </is>
      </c>
      <c r="G994" t="n">
        <v>6.2</v>
      </c>
      <c r="H994" t="n">
        <v>0</v>
      </c>
      <c r="I994" t="n">
        <v>0</v>
      </c>
      <c r="J994" t="n">
        <v>0</v>
      </c>
      <c r="K994" t="n">
        <v>0</v>
      </c>
      <c r="L994" t="n">
        <v>0</v>
      </c>
      <c r="M994" t="n">
        <v>0</v>
      </c>
      <c r="N994" t="n">
        <v>0</v>
      </c>
      <c r="O994" t="n">
        <v>0</v>
      </c>
      <c r="P994" t="n">
        <v>0</v>
      </c>
      <c r="Q994" t="n">
        <v>0</v>
      </c>
      <c r="R994" s="2" t="inlineStr"/>
    </row>
    <row r="995" ht="15" customHeight="1">
      <c r="A995" t="inlineStr">
        <is>
          <t>A 30290-2022</t>
        </is>
      </c>
      <c r="B995" s="1" t="n">
        <v>44760</v>
      </c>
      <c r="C995" s="1" t="n">
        <v>46100</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29684-2021</t>
        </is>
      </c>
      <c r="B996" s="1" t="n">
        <v>44362.37172453704</v>
      </c>
      <c r="C996" s="1" t="n">
        <v>46100</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60884-2024</t>
        </is>
      </c>
      <c r="B997" s="1" t="n">
        <v>45644.90815972222</v>
      </c>
      <c r="C997" s="1" t="n">
        <v>46100</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38610-2022</t>
        </is>
      </c>
      <c r="B998" s="1" t="n">
        <v>44813.59915509259</v>
      </c>
      <c r="C998" s="1" t="n">
        <v>46100</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10090-2022</t>
        </is>
      </c>
      <c r="B999" s="1" t="n">
        <v>44621</v>
      </c>
      <c r="C999" s="1" t="n">
        <v>46100</v>
      </c>
      <c r="D999" t="inlineStr">
        <is>
          <t>STOCKHOLMS LÄN</t>
        </is>
      </c>
      <c r="E999" t="inlineStr">
        <is>
          <t>NORRTÄLJE</t>
        </is>
      </c>
      <c r="G999" t="n">
        <v>5.2</v>
      </c>
      <c r="H999" t="n">
        <v>0</v>
      </c>
      <c r="I999" t="n">
        <v>0</v>
      </c>
      <c r="J999" t="n">
        <v>0</v>
      </c>
      <c r="K999" t="n">
        <v>0</v>
      </c>
      <c r="L999" t="n">
        <v>0</v>
      </c>
      <c r="M999" t="n">
        <v>0</v>
      </c>
      <c r="N999" t="n">
        <v>0</v>
      </c>
      <c r="O999" t="n">
        <v>0</v>
      </c>
      <c r="P999" t="n">
        <v>0</v>
      </c>
      <c r="Q999" t="n">
        <v>0</v>
      </c>
      <c r="R999" s="2" t="inlineStr"/>
    </row>
    <row r="1000" ht="15" customHeight="1">
      <c r="A1000" t="inlineStr">
        <is>
          <t>A 14724-2022</t>
        </is>
      </c>
      <c r="B1000" s="1" t="n">
        <v>44656</v>
      </c>
      <c r="C1000" s="1" t="n">
        <v>46100</v>
      </c>
      <c r="D1000" t="inlineStr">
        <is>
          <t>STOCKHOLMS LÄN</t>
        </is>
      </c>
      <c r="E1000" t="inlineStr">
        <is>
          <t>NORRTÄLJE</t>
        </is>
      </c>
      <c r="F1000" t="inlineStr">
        <is>
          <t>Sveaskog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18846-2022</t>
        </is>
      </c>
      <c r="B1001" s="1" t="n">
        <v>44690</v>
      </c>
      <c r="C1001" s="1" t="n">
        <v>46100</v>
      </c>
      <c r="D1001" t="inlineStr">
        <is>
          <t>STOCKHOLMS LÄN</t>
        </is>
      </c>
      <c r="E1001" t="inlineStr">
        <is>
          <t>NORRTÄLJE</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43300-2023</t>
        </is>
      </c>
      <c r="B1002" s="1" t="n">
        <v>45183</v>
      </c>
      <c r="C1002" s="1" t="n">
        <v>46100</v>
      </c>
      <c r="D1002" t="inlineStr">
        <is>
          <t>STOCKHOLMS LÄN</t>
        </is>
      </c>
      <c r="E1002" t="inlineStr">
        <is>
          <t>NORRTÄLJE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25654-2023</t>
        </is>
      </c>
      <c r="B1003" s="1" t="n">
        <v>45089</v>
      </c>
      <c r="C1003" s="1" t="n">
        <v>46100</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34444-2024</t>
        </is>
      </c>
      <c r="B1004" s="1" t="n">
        <v>45525</v>
      </c>
      <c r="C1004" s="1" t="n">
        <v>46100</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20698-2025</t>
        </is>
      </c>
      <c r="B1005" s="1" t="n">
        <v>45776.47122685185</v>
      </c>
      <c r="C1005" s="1" t="n">
        <v>46100</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23125-2022</t>
        </is>
      </c>
      <c r="B1006" s="1" t="n">
        <v>44719</v>
      </c>
      <c r="C1006" s="1" t="n">
        <v>46100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20121-2022</t>
        </is>
      </c>
      <c r="B1007" s="1" t="n">
        <v>44698</v>
      </c>
      <c r="C1007" s="1" t="n">
        <v>46100</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56207-2025</t>
        </is>
      </c>
      <c r="B1008" s="1" t="n">
        <v>45974.47329861111</v>
      </c>
      <c r="C1008" s="1" t="n">
        <v>46100</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33385-2024</t>
        </is>
      </c>
      <c r="B1009" s="1" t="n">
        <v>45519</v>
      </c>
      <c r="C1009" s="1" t="n">
        <v>46100</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41172-2023</t>
        </is>
      </c>
      <c r="B1010" s="1" t="n">
        <v>45170</v>
      </c>
      <c r="C1010" s="1" t="n">
        <v>46100</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49129-2025</t>
        </is>
      </c>
      <c r="B1011" s="1" t="n">
        <v>45937.89517361111</v>
      </c>
      <c r="C1011" s="1" t="n">
        <v>46100</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73307-2021</t>
        </is>
      </c>
      <c r="B1012" s="1" t="n">
        <v>44549</v>
      </c>
      <c r="C1012" s="1" t="n">
        <v>46100</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22232-2024</t>
        </is>
      </c>
      <c r="B1013" s="1" t="n">
        <v>45446.4287962963</v>
      </c>
      <c r="C1013" s="1" t="n">
        <v>46100</v>
      </c>
      <c r="D1013" t="inlineStr">
        <is>
          <t>STOCKHOLMS LÄN</t>
        </is>
      </c>
      <c r="E1013" t="inlineStr">
        <is>
          <t>NORRTÄLJE</t>
        </is>
      </c>
      <c r="G1013" t="n">
        <v>12.8</v>
      </c>
      <c r="H1013" t="n">
        <v>0</v>
      </c>
      <c r="I1013" t="n">
        <v>0</v>
      </c>
      <c r="J1013" t="n">
        <v>0</v>
      </c>
      <c r="K1013" t="n">
        <v>0</v>
      </c>
      <c r="L1013" t="n">
        <v>0</v>
      </c>
      <c r="M1013" t="n">
        <v>0</v>
      </c>
      <c r="N1013" t="n">
        <v>0</v>
      </c>
      <c r="O1013" t="n">
        <v>0</v>
      </c>
      <c r="P1013" t="n">
        <v>0</v>
      </c>
      <c r="Q1013" t="n">
        <v>0</v>
      </c>
      <c r="R1013" s="2" t="inlineStr"/>
    </row>
    <row r="1014" ht="15" customHeight="1">
      <c r="A1014" t="inlineStr">
        <is>
          <t>A 50534-2024</t>
        </is>
      </c>
      <c r="B1014" s="1" t="n">
        <v>45601.56726851852</v>
      </c>
      <c r="C1014" s="1" t="n">
        <v>46100</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36396-2025</t>
        </is>
      </c>
      <c r="B1015" s="1" t="n">
        <v>45868.62267361111</v>
      </c>
      <c r="C1015" s="1" t="n">
        <v>46100</v>
      </c>
      <c r="D1015" t="inlineStr">
        <is>
          <t>STOCKHOLMS LÄN</t>
        </is>
      </c>
      <c r="E1015" t="inlineStr">
        <is>
          <t>NORRTÄLJE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65499-2021</t>
        </is>
      </c>
      <c r="B1016" s="1" t="n">
        <v>44516</v>
      </c>
      <c r="C1016" s="1" t="n">
        <v>46100</v>
      </c>
      <c r="D1016" t="inlineStr">
        <is>
          <t>STOCKHOLMS LÄN</t>
        </is>
      </c>
      <c r="E1016" t="inlineStr">
        <is>
          <t>NORRTÄLJE</t>
        </is>
      </c>
      <c r="F1016" t="inlineStr">
        <is>
          <t>Kommuner</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65511-2021</t>
        </is>
      </c>
      <c r="B1017" s="1" t="n">
        <v>44516.40674768519</v>
      </c>
      <c r="C1017" s="1" t="n">
        <v>46100</v>
      </c>
      <c r="D1017" t="inlineStr">
        <is>
          <t>STOCKHOLMS LÄN</t>
        </is>
      </c>
      <c r="E1017" t="inlineStr">
        <is>
          <t>NORRTÄLJE</t>
        </is>
      </c>
      <c r="F1017" t="inlineStr">
        <is>
          <t>Kommuner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22833-2024</t>
        </is>
      </c>
      <c r="B1018" s="1" t="n">
        <v>45448.56746527777</v>
      </c>
      <c r="C1018" s="1" t="n">
        <v>46100</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32514-2022</t>
        </is>
      </c>
      <c r="B1019" s="1" t="n">
        <v>44782</v>
      </c>
      <c r="C1019" s="1" t="n">
        <v>46100</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29362-2022</t>
        </is>
      </c>
      <c r="B1020" s="1" t="n">
        <v>44753</v>
      </c>
      <c r="C1020" s="1" t="n">
        <v>46100</v>
      </c>
      <c r="D1020" t="inlineStr">
        <is>
          <t>STOCKHOLMS LÄN</t>
        </is>
      </c>
      <c r="E1020" t="inlineStr">
        <is>
          <t>NORRTÄLJE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46100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51315-2021</t>
        </is>
      </c>
      <c r="B1022" s="1" t="n">
        <v>44461</v>
      </c>
      <c r="C1022" s="1" t="n">
        <v>46100</v>
      </c>
      <c r="D1022" t="inlineStr">
        <is>
          <t>STOCKHOLMS LÄN</t>
        </is>
      </c>
      <c r="E1022" t="inlineStr">
        <is>
          <t>NORRTÄLJE</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14873-2025</t>
        </is>
      </c>
      <c r="B1023" s="1" t="n">
        <v>45743.44953703704</v>
      </c>
      <c r="C1023" s="1" t="n">
        <v>46100</v>
      </c>
      <c r="D1023" t="inlineStr">
        <is>
          <t>STOCKHOLMS LÄN</t>
        </is>
      </c>
      <c r="E1023" t="inlineStr">
        <is>
          <t>NORRTÄLJE</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34773-2022</t>
        </is>
      </c>
      <c r="B1024" s="1" t="n">
        <v>44795</v>
      </c>
      <c r="C1024" s="1" t="n">
        <v>46100</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33173-2024</t>
        </is>
      </c>
      <c r="B1025" s="1" t="n">
        <v>45518</v>
      </c>
      <c r="C1025" s="1" t="n">
        <v>46100</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58403-2025</t>
        </is>
      </c>
      <c r="B1026" s="1" t="n">
        <v>45985.56777777777</v>
      </c>
      <c r="C1026" s="1" t="n">
        <v>46100</v>
      </c>
      <c r="D1026" t="inlineStr">
        <is>
          <t>STOCKHOLMS LÄN</t>
        </is>
      </c>
      <c r="E1026" t="inlineStr">
        <is>
          <t>NORRTÄLJE</t>
        </is>
      </c>
      <c r="F1026" t="inlineStr">
        <is>
          <t>Naturvårdsverket</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58142-2025</t>
        </is>
      </c>
      <c r="B1027" s="1" t="n">
        <v>45982.63791666667</v>
      </c>
      <c r="C1027" s="1" t="n">
        <v>46100</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57953-2025</t>
        </is>
      </c>
      <c r="B1028" s="1" t="n">
        <v>45982.35016203704</v>
      </c>
      <c r="C1028" s="1" t="n">
        <v>46100</v>
      </c>
      <c r="D1028" t="inlineStr">
        <is>
          <t>STOCKHOLMS LÄN</t>
        </is>
      </c>
      <c r="E1028" t="inlineStr">
        <is>
          <t>NORRTÄLJE</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50097-2025</t>
        </is>
      </c>
      <c r="B1029" s="1" t="n">
        <v>45943.50207175926</v>
      </c>
      <c r="C1029" s="1" t="n">
        <v>46100</v>
      </c>
      <c r="D1029" t="inlineStr">
        <is>
          <t>STOCKHOLMS LÄN</t>
        </is>
      </c>
      <c r="E1029" t="inlineStr">
        <is>
          <t>NORRTÄLJE</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37261-2025</t>
        </is>
      </c>
      <c r="B1030" s="1" t="n">
        <v>45876.45253472222</v>
      </c>
      <c r="C1030" s="1" t="n">
        <v>46100</v>
      </c>
      <c r="D1030" t="inlineStr">
        <is>
          <t>STOCKHOLMS LÄN</t>
        </is>
      </c>
      <c r="E1030" t="inlineStr">
        <is>
          <t>NORRTÄLJE</t>
        </is>
      </c>
      <c r="F1030" t="inlineStr">
        <is>
          <t>Kommuner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49836-2025</t>
        </is>
      </c>
      <c r="B1031" s="1" t="n">
        <v>45940.46862268518</v>
      </c>
      <c r="C1031" s="1" t="n">
        <v>46100</v>
      </c>
      <c r="D1031" t="inlineStr">
        <is>
          <t>STOCKHOLMS LÄN</t>
        </is>
      </c>
      <c r="E1031" t="inlineStr">
        <is>
          <t>NORRTÄLJE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58939-2025</t>
        </is>
      </c>
      <c r="B1032" s="1" t="n">
        <v>45987.5681712963</v>
      </c>
      <c r="C1032" s="1" t="n">
        <v>46100</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37628-2025</t>
        </is>
      </c>
      <c r="B1033" s="1" t="n">
        <v>45880.46189814815</v>
      </c>
      <c r="C1033" s="1" t="n">
        <v>46100</v>
      </c>
      <c r="D1033" t="inlineStr">
        <is>
          <t>STOCKHOLMS LÄN</t>
        </is>
      </c>
      <c r="E1033" t="inlineStr">
        <is>
          <t>NORRTÄLJE</t>
        </is>
      </c>
      <c r="F1033" t="inlineStr">
        <is>
          <t>Sveaskog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29369-2024</t>
        </is>
      </c>
      <c r="B1034" s="1" t="n">
        <v>45483.57244212963</v>
      </c>
      <c r="C1034" s="1" t="n">
        <v>46100</v>
      </c>
      <c r="D1034" t="inlineStr">
        <is>
          <t>STOCKHOLMS LÄN</t>
        </is>
      </c>
      <c r="E1034" t="inlineStr">
        <is>
          <t>NORRTÄLJE</t>
        </is>
      </c>
      <c r="G1034" t="n">
        <v>15.9</v>
      </c>
      <c r="H1034" t="n">
        <v>0</v>
      </c>
      <c r="I1034" t="n">
        <v>0</v>
      </c>
      <c r="J1034" t="n">
        <v>0</v>
      </c>
      <c r="K1034" t="n">
        <v>0</v>
      </c>
      <c r="L1034" t="n">
        <v>0</v>
      </c>
      <c r="M1034" t="n">
        <v>0</v>
      </c>
      <c r="N1034" t="n">
        <v>0</v>
      </c>
      <c r="O1034" t="n">
        <v>0</v>
      </c>
      <c r="P1034" t="n">
        <v>0</v>
      </c>
      <c r="Q1034" t="n">
        <v>0</v>
      </c>
      <c r="R1034" s="2" t="inlineStr"/>
    </row>
    <row r="1035" ht="15" customHeight="1">
      <c r="A1035" t="inlineStr">
        <is>
          <t>A 37632-2025</t>
        </is>
      </c>
      <c r="B1035" s="1" t="n">
        <v>45880.46524305556</v>
      </c>
      <c r="C1035" s="1" t="n">
        <v>46100</v>
      </c>
      <c r="D1035" t="inlineStr">
        <is>
          <t>STOCKHOLMS LÄN</t>
        </is>
      </c>
      <c r="E1035" t="inlineStr">
        <is>
          <t>NORRTÄLJE</t>
        </is>
      </c>
      <c r="F1035" t="inlineStr">
        <is>
          <t>Sveaskog</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29841-2024</t>
        </is>
      </c>
      <c r="B1036" s="1" t="n">
        <v>45485.60261574074</v>
      </c>
      <c r="C1036" s="1" t="n">
        <v>46100</v>
      </c>
      <c r="D1036" t="inlineStr">
        <is>
          <t>STOCKHOLMS LÄN</t>
        </is>
      </c>
      <c r="E1036" t="inlineStr">
        <is>
          <t>NORRTÄLJE</t>
        </is>
      </c>
      <c r="G1036" t="n">
        <v>15.9</v>
      </c>
      <c r="H1036" t="n">
        <v>0</v>
      </c>
      <c r="I1036" t="n">
        <v>0</v>
      </c>
      <c r="J1036" t="n">
        <v>0</v>
      </c>
      <c r="K1036" t="n">
        <v>0</v>
      </c>
      <c r="L1036" t="n">
        <v>0</v>
      </c>
      <c r="M1036" t="n">
        <v>0</v>
      </c>
      <c r="N1036" t="n">
        <v>0</v>
      </c>
      <c r="O1036" t="n">
        <v>0</v>
      </c>
      <c r="P1036" t="n">
        <v>0</v>
      </c>
      <c r="Q1036" t="n">
        <v>0</v>
      </c>
      <c r="R1036" s="2" t="inlineStr"/>
    </row>
    <row r="1037" ht="15" customHeight="1">
      <c r="A1037" t="inlineStr">
        <is>
          <t>A 4484-2025</t>
        </is>
      </c>
      <c r="B1037" s="1" t="n">
        <v>45686.65545138889</v>
      </c>
      <c r="C1037" s="1" t="n">
        <v>46100</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20692-2025</t>
        </is>
      </c>
      <c r="B1038" s="1" t="n">
        <v>45776.46369212963</v>
      </c>
      <c r="C1038" s="1" t="n">
        <v>46100</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33878-2024</t>
        </is>
      </c>
      <c r="B1039" s="1" t="n">
        <v>45522.44414351852</v>
      </c>
      <c r="C1039" s="1" t="n">
        <v>46100</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37630-2025</t>
        </is>
      </c>
      <c r="B1040" s="1" t="n">
        <v>45880.46372685185</v>
      </c>
      <c r="C1040" s="1" t="n">
        <v>46100</v>
      </c>
      <c r="D1040" t="inlineStr">
        <is>
          <t>STOCKHOLMS LÄN</t>
        </is>
      </c>
      <c r="E1040" t="inlineStr">
        <is>
          <t>NORRTÄLJE</t>
        </is>
      </c>
      <c r="F1040" t="inlineStr">
        <is>
          <t>Sveaskog</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9246-2024</t>
        </is>
      </c>
      <c r="B1041" s="1" t="n">
        <v>45357</v>
      </c>
      <c r="C1041" s="1" t="n">
        <v>46100</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35698-2023</t>
        </is>
      </c>
      <c r="B1042" s="1" t="n">
        <v>45147</v>
      </c>
      <c r="C1042" s="1" t="n">
        <v>46100</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62398-2022</t>
        </is>
      </c>
      <c r="B1043" s="1" t="n">
        <v>44923.90159722222</v>
      </c>
      <c r="C1043" s="1" t="n">
        <v>46100</v>
      </c>
      <c r="D1043" t="inlineStr">
        <is>
          <t>STOCKHOLMS LÄN</t>
        </is>
      </c>
      <c r="E1043" t="inlineStr">
        <is>
          <t>NORRTÄLJE</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50327-2025</t>
        </is>
      </c>
      <c r="B1044" s="1" t="n">
        <v>45944.46387731482</v>
      </c>
      <c r="C1044" s="1" t="n">
        <v>46100</v>
      </c>
      <c r="D1044" t="inlineStr">
        <is>
          <t>STOCKHOLMS LÄN</t>
        </is>
      </c>
      <c r="E1044" t="inlineStr">
        <is>
          <t>NORRTÄLJE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46071-2024</t>
        </is>
      </c>
      <c r="B1045" s="1" t="n">
        <v>45581</v>
      </c>
      <c r="C1045" s="1" t="n">
        <v>46100</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49700-2023</t>
        </is>
      </c>
      <c r="B1046" s="1" t="n">
        <v>45212</v>
      </c>
      <c r="C1046" s="1" t="n">
        <v>46100</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32071-2023</t>
        </is>
      </c>
      <c r="B1047" s="1" t="n">
        <v>45119.57728009259</v>
      </c>
      <c r="C1047" s="1" t="n">
        <v>46100</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1425-2025</t>
        </is>
      </c>
      <c r="B1048" s="1" t="n">
        <v>45668.67446759259</v>
      </c>
      <c r="C1048" s="1" t="n">
        <v>46100</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17775-2022</t>
        </is>
      </c>
      <c r="B1049" s="1" t="n">
        <v>44682.78430555556</v>
      </c>
      <c r="C1049" s="1" t="n">
        <v>46100</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50563-2025</t>
        </is>
      </c>
      <c r="B1050" s="1" t="n">
        <v>45944</v>
      </c>
      <c r="C1050" s="1" t="n">
        <v>46100</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50333-2025</t>
        </is>
      </c>
      <c r="B1051" s="1" t="n">
        <v>45944.47178240741</v>
      </c>
      <c r="C1051" s="1" t="n">
        <v>46100</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13137-2024</t>
        </is>
      </c>
      <c r="B1052" s="1" t="n">
        <v>45386.34175925926</v>
      </c>
      <c r="C1052" s="1" t="n">
        <v>46100</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38720-2022</t>
        </is>
      </c>
      <c r="B1053" s="1" t="n">
        <v>44815.74539351852</v>
      </c>
      <c r="C1053" s="1" t="n">
        <v>46100</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10215-2023</t>
        </is>
      </c>
      <c r="B1054" s="1" t="n">
        <v>44986.5887962963</v>
      </c>
      <c r="C1054" s="1" t="n">
        <v>46100</v>
      </c>
      <c r="D1054" t="inlineStr">
        <is>
          <t>STOCKHOLMS LÄN</t>
        </is>
      </c>
      <c r="E1054" t="inlineStr">
        <is>
          <t>NORRTÄLJE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59041-2025</t>
        </is>
      </c>
      <c r="B1055" s="1" t="n">
        <v>45988</v>
      </c>
      <c r="C1055" s="1" t="n">
        <v>46100</v>
      </c>
      <c r="D1055" t="inlineStr">
        <is>
          <t>STOCKHOLMS LÄN</t>
        </is>
      </c>
      <c r="E1055" t="inlineStr">
        <is>
          <t>NORRTÄLJE</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24350-2025</t>
        </is>
      </c>
      <c r="B1056" s="1" t="n">
        <v>45797.58350694444</v>
      </c>
      <c r="C1056" s="1" t="n">
        <v>46100</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26703-2025</t>
        </is>
      </c>
      <c r="B1057" s="1" t="n">
        <v>45810.45263888889</v>
      </c>
      <c r="C1057" s="1" t="n">
        <v>46100</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59914-2025</t>
        </is>
      </c>
      <c r="B1058" s="1" t="n">
        <v>45993.37056712963</v>
      </c>
      <c r="C1058" s="1" t="n">
        <v>46100</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59672-2025</t>
        </is>
      </c>
      <c r="B1059" s="1" t="n">
        <v>45992.45884259259</v>
      </c>
      <c r="C1059" s="1" t="n">
        <v>46100</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25609-2023</t>
        </is>
      </c>
      <c r="B1060" s="1" t="n">
        <v>45089</v>
      </c>
      <c r="C1060" s="1" t="n">
        <v>46100</v>
      </c>
      <c r="D1060" t="inlineStr">
        <is>
          <t>STOCKHOLMS LÄN</t>
        </is>
      </c>
      <c r="E1060" t="inlineStr">
        <is>
          <t>NORRTÄLJE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57788-2025</t>
        </is>
      </c>
      <c r="B1061" s="1" t="n">
        <v>45981.5778125</v>
      </c>
      <c r="C1061" s="1" t="n">
        <v>46100</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59907-2025</t>
        </is>
      </c>
      <c r="B1062" s="1" t="n">
        <v>45993.35350694445</v>
      </c>
      <c r="C1062" s="1" t="n">
        <v>46100</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38153-2025</t>
        </is>
      </c>
      <c r="B1063" s="1" t="n">
        <v>45882.59722222222</v>
      </c>
      <c r="C1063" s="1" t="n">
        <v>46100</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20014-2025</t>
        </is>
      </c>
      <c r="B1064" s="1" t="n">
        <v>45772.3078125</v>
      </c>
      <c r="C1064" s="1" t="n">
        <v>46100</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20136-2025</t>
        </is>
      </c>
      <c r="B1065" s="1" t="n">
        <v>45772.51127314815</v>
      </c>
      <c r="C1065" s="1" t="n">
        <v>46100</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59924-2025</t>
        </is>
      </c>
      <c r="B1066" s="1" t="n">
        <v>45993.38928240741</v>
      </c>
      <c r="C1066" s="1" t="n">
        <v>46100</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60253-2025</t>
        </is>
      </c>
      <c r="B1067" s="1" t="n">
        <v>45994.59827546297</v>
      </c>
      <c r="C1067" s="1" t="n">
        <v>46100</v>
      </c>
      <c r="D1067" t="inlineStr">
        <is>
          <t>STOCKHOLMS LÄN</t>
        </is>
      </c>
      <c r="E1067" t="inlineStr">
        <is>
          <t>NORRTÄLJE</t>
        </is>
      </c>
      <c r="F1067" t="inlineStr">
        <is>
          <t>Holmen skog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60214-2025</t>
        </is>
      </c>
      <c r="B1068" s="1" t="n">
        <v>45994.53761574074</v>
      </c>
      <c r="C1068" s="1" t="n">
        <v>46100</v>
      </c>
      <c r="D1068" t="inlineStr">
        <is>
          <t>STOCKHOLMS LÄN</t>
        </is>
      </c>
      <c r="E1068" t="inlineStr">
        <is>
          <t>NORRTÄLJE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60223-2025</t>
        </is>
      </c>
      <c r="B1069" s="1" t="n">
        <v>45994.54497685185</v>
      </c>
      <c r="C1069" s="1" t="n">
        <v>46100</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2287-2024</t>
        </is>
      </c>
      <c r="B1070" s="1" t="n">
        <v>45310</v>
      </c>
      <c r="C1070" s="1" t="n">
        <v>46100</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13785-2024</t>
        </is>
      </c>
      <c r="B1071" s="1" t="n">
        <v>45391.3395949074</v>
      </c>
      <c r="C1071" s="1" t="n">
        <v>46100</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50469-2022</t>
        </is>
      </c>
      <c r="B1072" s="1" t="n">
        <v>44866.49827546296</v>
      </c>
      <c r="C1072" s="1" t="n">
        <v>46100</v>
      </c>
      <c r="D1072" t="inlineStr">
        <is>
          <t>STOCKHOLMS LÄN</t>
        </is>
      </c>
      <c r="E1072" t="inlineStr">
        <is>
          <t>NORRTÄLJE</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51116-2022</t>
        </is>
      </c>
      <c r="B1073" s="1" t="n">
        <v>44868.45741898148</v>
      </c>
      <c r="C1073" s="1" t="n">
        <v>46100</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60745-2025</t>
        </is>
      </c>
      <c r="B1074" s="1" t="n">
        <v>45999.37753472223</v>
      </c>
      <c r="C1074" s="1" t="n">
        <v>46100</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60649-2025</t>
        </is>
      </c>
      <c r="B1075" s="1" t="n">
        <v>45996.4560300926</v>
      </c>
      <c r="C1075" s="1" t="n">
        <v>46100</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60948-2025</t>
        </is>
      </c>
      <c r="B1076" s="1" t="n">
        <v>45999.650625</v>
      </c>
      <c r="C1076" s="1" t="n">
        <v>46100</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60217-2021</t>
        </is>
      </c>
      <c r="B1077" s="1" t="n">
        <v>44495.5893287037</v>
      </c>
      <c r="C1077" s="1" t="n">
        <v>46100</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5839-2023</t>
        </is>
      </c>
      <c r="B1078" s="1" t="n">
        <v>44963</v>
      </c>
      <c r="C1078" s="1" t="n">
        <v>46100</v>
      </c>
      <c r="D1078" t="inlineStr">
        <is>
          <t>STOCKHOLMS LÄN</t>
        </is>
      </c>
      <c r="E1078" t="inlineStr">
        <is>
          <t>NORRTÄLJE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60928-2025</t>
        </is>
      </c>
      <c r="B1079" s="1" t="n">
        <v>45999.633125</v>
      </c>
      <c r="C1079" s="1" t="n">
        <v>46100</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61160-2025</t>
        </is>
      </c>
      <c r="B1080" s="1" t="n">
        <v>46000.55262731481</v>
      </c>
      <c r="C1080" s="1" t="n">
        <v>46100</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38985-2022</t>
        </is>
      </c>
      <c r="B1081" s="1" t="n">
        <v>44816</v>
      </c>
      <c r="C1081" s="1" t="n">
        <v>46100</v>
      </c>
      <c r="D1081" t="inlineStr">
        <is>
          <t>STOCKHOLMS LÄN</t>
        </is>
      </c>
      <c r="E1081" t="inlineStr">
        <is>
          <t>NORRTÄLJE</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61419-2025</t>
        </is>
      </c>
      <c r="B1082" s="1" t="n">
        <v>46001.54137731482</v>
      </c>
      <c r="C1082" s="1" t="n">
        <v>46100</v>
      </c>
      <c r="D1082" t="inlineStr">
        <is>
          <t>STOCKHOLMS LÄN</t>
        </is>
      </c>
      <c r="E1082" t="inlineStr">
        <is>
          <t>NORRTÄLJE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61430-2025</t>
        </is>
      </c>
      <c r="B1083" s="1" t="n">
        <v>46001.55583333333</v>
      </c>
      <c r="C1083" s="1" t="n">
        <v>46100</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61452-2025</t>
        </is>
      </c>
      <c r="B1084" s="1" t="n">
        <v>46001.58043981482</v>
      </c>
      <c r="C1084" s="1" t="n">
        <v>46100</v>
      </c>
      <c r="D1084" t="inlineStr">
        <is>
          <t>STOCKHOLMS LÄN</t>
        </is>
      </c>
      <c r="E1084" t="inlineStr">
        <is>
          <t>NORRTÄLJE</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61289-2025</t>
        </is>
      </c>
      <c r="B1085" s="1" t="n">
        <v>46000.73659722223</v>
      </c>
      <c r="C1085" s="1" t="n">
        <v>46100</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61769-2025</t>
        </is>
      </c>
      <c r="B1086" s="1" t="n">
        <v>46002.64556712963</v>
      </c>
      <c r="C1086" s="1" t="n">
        <v>46100</v>
      </c>
      <c r="D1086" t="inlineStr">
        <is>
          <t>STOCKHOLMS LÄN</t>
        </is>
      </c>
      <c r="E1086" t="inlineStr">
        <is>
          <t>NORRTÄLJE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5665-2025</t>
        </is>
      </c>
      <c r="B1087" s="1" t="n">
        <v>45693</v>
      </c>
      <c r="C1087" s="1" t="n">
        <v>46100</v>
      </c>
      <c r="D1087" t="inlineStr">
        <is>
          <t>STOCKHOLMS LÄN</t>
        </is>
      </c>
      <c r="E1087" t="inlineStr">
        <is>
          <t>NORRTÄLJE</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3426-2025</t>
        </is>
      </c>
      <c r="B1088" s="1" t="n">
        <v>45680.42665509259</v>
      </c>
      <c r="C1088" s="1" t="n">
        <v>46100</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61764-2025</t>
        </is>
      </c>
      <c r="B1089" s="1" t="n">
        <v>46002.62763888889</v>
      </c>
      <c r="C1089" s="1" t="n">
        <v>46100</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33279-2025</t>
        </is>
      </c>
      <c r="B1090" s="1" t="n">
        <v>45840</v>
      </c>
      <c r="C1090" s="1" t="n">
        <v>46100</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53499-2025</t>
        </is>
      </c>
      <c r="B1091" s="1" t="n">
        <v>45960</v>
      </c>
      <c r="C1091" s="1" t="n">
        <v>46100</v>
      </c>
      <c r="D1091" t="inlineStr">
        <is>
          <t>STOCKHOLMS LÄN</t>
        </is>
      </c>
      <c r="E1091" t="inlineStr">
        <is>
          <t>NORRTÄLJE</t>
        </is>
      </c>
      <c r="G1091" t="n">
        <v>23.8</v>
      </c>
      <c r="H1091" t="n">
        <v>0</v>
      </c>
      <c r="I1091" t="n">
        <v>0</v>
      </c>
      <c r="J1091" t="n">
        <v>0</v>
      </c>
      <c r="K1091" t="n">
        <v>0</v>
      </c>
      <c r="L1091" t="n">
        <v>0</v>
      </c>
      <c r="M1091" t="n">
        <v>0</v>
      </c>
      <c r="N1091" t="n">
        <v>0</v>
      </c>
      <c r="O1091" t="n">
        <v>0</v>
      </c>
      <c r="P1091" t="n">
        <v>0</v>
      </c>
      <c r="Q1091" t="n">
        <v>0</v>
      </c>
      <c r="R1091" s="2" t="inlineStr"/>
    </row>
    <row r="1092" ht="15" customHeight="1">
      <c r="A1092" t="inlineStr">
        <is>
          <t>A 62708-2025</t>
        </is>
      </c>
      <c r="B1092" s="1" t="n">
        <v>46008.50986111111</v>
      </c>
      <c r="C1092" s="1" t="n">
        <v>46100</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34478-2025</t>
        </is>
      </c>
      <c r="B1093" s="1" t="n">
        <v>45847</v>
      </c>
      <c r="C1093" s="1" t="n">
        <v>46100</v>
      </c>
      <c r="D1093" t="inlineStr">
        <is>
          <t>STOCKHOLMS LÄN</t>
        </is>
      </c>
      <c r="E1093" t="inlineStr">
        <is>
          <t>NORRTÄLJE</t>
        </is>
      </c>
      <c r="F1093" t="inlineStr">
        <is>
          <t>Övriga Aktiebolag</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62681-2025</t>
        </is>
      </c>
      <c r="B1094" s="1" t="n">
        <v>46008.45534722223</v>
      </c>
      <c r="C1094" s="1" t="n">
        <v>46100</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62922-2025</t>
        </is>
      </c>
      <c r="B1095" s="1" t="n">
        <v>46009.38064814815</v>
      </c>
      <c r="C1095" s="1" t="n">
        <v>46100</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62689-2025</t>
        </is>
      </c>
      <c r="B1096" s="1" t="n">
        <v>46008.47171296296</v>
      </c>
      <c r="C1096" s="1" t="n">
        <v>46100</v>
      </c>
      <c r="D1096" t="inlineStr">
        <is>
          <t>STOCKHOLMS LÄN</t>
        </is>
      </c>
      <c r="E1096" t="inlineStr">
        <is>
          <t>NORRTÄLJE</t>
        </is>
      </c>
      <c r="F1096" t="inlineStr">
        <is>
          <t>Kyrkan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7308-2026</t>
        </is>
      </c>
      <c r="B1097" s="1" t="n">
        <v>46058.66025462963</v>
      </c>
      <c r="C1097" s="1" t="n">
        <v>46100</v>
      </c>
      <c r="D1097" t="inlineStr">
        <is>
          <t>STOCKHOLMS LÄN</t>
        </is>
      </c>
      <c r="E1097" t="inlineStr">
        <is>
          <t>NORRTÄLJE</t>
        </is>
      </c>
      <c r="F1097" t="inlineStr">
        <is>
          <t>Holmen skog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8091-2026</t>
        </is>
      </c>
      <c r="B1098" s="1" t="n">
        <v>46063.70944444444</v>
      </c>
      <c r="C1098" s="1" t="n">
        <v>46100</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7793-2026</t>
        </is>
      </c>
      <c r="B1099" s="1" t="n">
        <v>46062.59496527778</v>
      </c>
      <c r="C1099" s="1" t="n">
        <v>46100</v>
      </c>
      <c r="D1099" t="inlineStr">
        <is>
          <t>STOCKHOLMS LÄN</t>
        </is>
      </c>
      <c r="E1099" t="inlineStr">
        <is>
          <t>NORRTÄLJE</t>
        </is>
      </c>
      <c r="F1099" t="inlineStr">
        <is>
          <t>Holmen skog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7723-2026</t>
        </is>
      </c>
      <c r="B1100" s="1" t="n">
        <v>46062.49905092592</v>
      </c>
      <c r="C1100" s="1" t="n">
        <v>46100</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8096-2026</t>
        </is>
      </c>
      <c r="B1101" s="1" t="n">
        <v>46063.714375</v>
      </c>
      <c r="C1101" s="1" t="n">
        <v>46100</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8055-2026</t>
        </is>
      </c>
      <c r="B1102" s="1" t="n">
        <v>46063.62002314815</v>
      </c>
      <c r="C1102" s="1" t="n">
        <v>46100</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7729-2026</t>
        </is>
      </c>
      <c r="B1103" s="1" t="n">
        <v>46062.51100694444</v>
      </c>
      <c r="C1103" s="1" t="n">
        <v>46100</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8489-2026</t>
        </is>
      </c>
      <c r="B1104" s="1" t="n">
        <v>46065.48268518518</v>
      </c>
      <c r="C1104" s="1" t="n">
        <v>46100</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8410-2026</t>
        </is>
      </c>
      <c r="B1105" s="1" t="n">
        <v>46065.34261574074</v>
      </c>
      <c r="C1105" s="1" t="n">
        <v>46100</v>
      </c>
      <c r="D1105" t="inlineStr">
        <is>
          <t>STOCKHOLMS LÄN</t>
        </is>
      </c>
      <c r="E1105" t="inlineStr">
        <is>
          <t>NORRTÄLJE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8454-2026</t>
        </is>
      </c>
      <c r="B1106" s="1" t="n">
        <v>46065.42506944444</v>
      </c>
      <c r="C1106" s="1" t="n">
        <v>46100</v>
      </c>
      <c r="D1106" t="inlineStr">
        <is>
          <t>STOCKHOLMS LÄN</t>
        </is>
      </c>
      <c r="E1106" t="inlineStr">
        <is>
          <t>NORRTÄLJE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8465-2026</t>
        </is>
      </c>
      <c r="B1107" s="1" t="n">
        <v>46065.44141203703</v>
      </c>
      <c r="C1107" s="1" t="n">
        <v>46100</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197-2026</t>
        </is>
      </c>
      <c r="B1108" s="1" t="n">
        <v>46026</v>
      </c>
      <c r="C1108" s="1" t="n">
        <v>46100</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124-2026</t>
        </is>
      </c>
      <c r="B1109" s="1" t="n">
        <v>46024.58378472222</v>
      </c>
      <c r="C1109" s="1" t="n">
        <v>46100</v>
      </c>
      <c r="D1109" t="inlineStr">
        <is>
          <t>STOCKHOLMS LÄN</t>
        </is>
      </c>
      <c r="E1109" t="inlineStr">
        <is>
          <t>NORRTÄLJE</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9103-2026</t>
        </is>
      </c>
      <c r="B1110" s="1" t="n">
        <v>46069.65039351852</v>
      </c>
      <c r="C1110" s="1" t="n">
        <v>46100</v>
      </c>
      <c r="D1110" t="inlineStr">
        <is>
          <t>STOCKHOLMS LÄN</t>
        </is>
      </c>
      <c r="E1110" t="inlineStr">
        <is>
          <t>NORRTÄLJE</t>
        </is>
      </c>
      <c r="F1110" t="inlineStr">
        <is>
          <t>Holmen skog AB</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8962-2026</t>
        </is>
      </c>
      <c r="B1111" s="1" t="n">
        <v>46069.41644675926</v>
      </c>
      <c r="C1111" s="1" t="n">
        <v>46100</v>
      </c>
      <c r="D1111" t="inlineStr">
        <is>
          <t>STOCKHOLMS LÄN</t>
        </is>
      </c>
      <c r="E1111" t="inlineStr">
        <is>
          <t>NORRTÄLJE</t>
        </is>
      </c>
      <c r="F1111" t="inlineStr">
        <is>
          <t>Holmen skog AB</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8989-2026</t>
        </is>
      </c>
      <c r="B1112" s="1" t="n">
        <v>46069.45789351852</v>
      </c>
      <c r="C1112" s="1" t="n">
        <v>46100</v>
      </c>
      <c r="D1112" t="inlineStr">
        <is>
          <t>STOCKHOLMS LÄN</t>
        </is>
      </c>
      <c r="E1112" t="inlineStr">
        <is>
          <t>NORRTÄLJE</t>
        </is>
      </c>
      <c r="F1112" t="inlineStr">
        <is>
          <t>Holmen skog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8985-2026</t>
        </is>
      </c>
      <c r="B1113" s="1" t="n">
        <v>46069.45234953704</v>
      </c>
      <c r="C1113" s="1" t="n">
        <v>46100</v>
      </c>
      <c r="D1113" t="inlineStr">
        <is>
          <t>STOCKHOLMS LÄN</t>
        </is>
      </c>
      <c r="E1113" t="inlineStr">
        <is>
          <t>NORRTÄLJE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718-2026</t>
        </is>
      </c>
      <c r="B1114" s="1" t="n">
        <v>46029.63174768518</v>
      </c>
      <c r="C1114" s="1" t="n">
        <v>46100</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694-2026</t>
        </is>
      </c>
      <c r="B1115" s="1" t="n">
        <v>46029.61375</v>
      </c>
      <c r="C1115" s="1" t="n">
        <v>46100</v>
      </c>
      <c r="D1115" t="inlineStr">
        <is>
          <t>STOCKHOLMS LÄN</t>
        </is>
      </c>
      <c r="E1115" t="inlineStr">
        <is>
          <t>NORRTÄLJE</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693-2026</t>
        </is>
      </c>
      <c r="B1116" s="1" t="n">
        <v>46029.6133449074</v>
      </c>
      <c r="C1116" s="1" t="n">
        <v>46100</v>
      </c>
      <c r="D1116" t="inlineStr">
        <is>
          <t>STOCKHOLMS LÄN</t>
        </is>
      </c>
      <c r="E1116" t="inlineStr">
        <is>
          <t>NORRTÄLJE</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475-2026</t>
        </is>
      </c>
      <c r="B1117" s="1" t="n">
        <v>46029.39351851852</v>
      </c>
      <c r="C1117" s="1" t="n">
        <v>46100</v>
      </c>
      <c r="D1117" t="inlineStr">
        <is>
          <t>STOCKHOLMS LÄN</t>
        </is>
      </c>
      <c r="E1117" t="inlineStr">
        <is>
          <t>NORRTÄLJE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717-2026</t>
        </is>
      </c>
      <c r="B1118" s="1" t="n">
        <v>46029.63028935185</v>
      </c>
      <c r="C1118" s="1" t="n">
        <v>46100</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812-2026</t>
        </is>
      </c>
      <c r="B1119" s="1" t="n">
        <v>46030.33358796296</v>
      </c>
      <c r="C1119" s="1" t="n">
        <v>46100</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9720-2026</t>
        </is>
      </c>
      <c r="B1120" s="1" t="n">
        <v>46072.45061342593</v>
      </c>
      <c r="C1120" s="1" t="n">
        <v>46100</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10399-2026</t>
        </is>
      </c>
      <c r="B1121" s="1" t="n">
        <v>46077</v>
      </c>
      <c r="C1121" s="1" t="n">
        <v>46100</v>
      </c>
      <c r="D1121" t="inlineStr">
        <is>
          <t>STOCKHOLMS LÄN</t>
        </is>
      </c>
      <c r="E1121" t="inlineStr">
        <is>
          <t>NORRTÄLJE</t>
        </is>
      </c>
      <c r="F1121" t="inlineStr">
        <is>
          <t>Övriga Aktiebolag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1755-2026</t>
        </is>
      </c>
      <c r="B1122" s="1" t="n">
        <v>46034.66230324074</v>
      </c>
      <c r="C1122" s="1" t="n">
        <v>46100</v>
      </c>
      <c r="D1122" t="inlineStr">
        <is>
          <t>STOCKHOLMS LÄN</t>
        </is>
      </c>
      <c r="E1122" t="inlineStr">
        <is>
          <t>NORRTÄLJE</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1789-2026</t>
        </is>
      </c>
      <c r="B1123" s="1" t="n">
        <v>46034</v>
      </c>
      <c r="C1123" s="1" t="n">
        <v>46100</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10429-2026</t>
        </is>
      </c>
      <c r="B1124" s="1" t="n">
        <v>46077.3822337963</v>
      </c>
      <c r="C1124" s="1" t="n">
        <v>46100</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10444-2026</t>
        </is>
      </c>
      <c r="B1125" s="1" t="n">
        <v>46077.42230324074</v>
      </c>
      <c r="C1125" s="1" t="n">
        <v>46100</v>
      </c>
      <c r="D1125" t="inlineStr">
        <is>
          <t>STOCKHOLMS LÄN</t>
        </is>
      </c>
      <c r="E1125" t="inlineStr">
        <is>
          <t>NORRTÄLJE</t>
        </is>
      </c>
      <c r="F1125" t="inlineStr">
        <is>
          <t>Holmen skog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10586-2026</t>
        </is>
      </c>
      <c r="B1126" s="1" t="n">
        <v>46077.68192129629</v>
      </c>
      <c r="C1126" s="1" t="n">
        <v>46100</v>
      </c>
      <c r="D1126" t="inlineStr">
        <is>
          <t>STOCKHOLMS LÄN</t>
        </is>
      </c>
      <c r="E1126" t="inlineStr">
        <is>
          <t>NORRTÄLJE</t>
        </is>
      </c>
      <c r="F1126" t="inlineStr">
        <is>
          <t>Holmen skog AB</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10553-2026</t>
        </is>
      </c>
      <c r="B1127" s="1" t="n">
        <v>46077.62944444444</v>
      </c>
      <c r="C1127" s="1" t="n">
        <v>46100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2088-2026</t>
        </is>
      </c>
      <c r="B1128" s="1" t="n">
        <v>46036.35909722222</v>
      </c>
      <c r="C1128" s="1" t="n">
        <v>46100</v>
      </c>
      <c r="D1128" t="inlineStr">
        <is>
          <t>STOCKHOLMS LÄN</t>
        </is>
      </c>
      <c r="E1128" t="inlineStr">
        <is>
          <t>NORRTÄLJE</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7582-2026</t>
        </is>
      </c>
      <c r="B1129" s="1" t="n">
        <v>46061</v>
      </c>
      <c r="C1129" s="1" t="n">
        <v>46100</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2116-2026</t>
        </is>
      </c>
      <c r="B1130" s="1" t="n">
        <v>46036.38108796296</v>
      </c>
      <c r="C1130" s="1" t="n">
        <v>46100</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7532-2026</t>
        </is>
      </c>
      <c r="B1131" s="1" t="n">
        <v>46059</v>
      </c>
      <c r="C1131" s="1" t="n">
        <v>46100</v>
      </c>
      <c r="D1131" t="inlineStr">
        <is>
          <t>STOCKHOLMS LÄN</t>
        </is>
      </c>
      <c r="E1131" t="inlineStr">
        <is>
          <t>NORRTÄLJE</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10646-2026</t>
        </is>
      </c>
      <c r="B1132" s="1" t="n">
        <v>46078.34157407407</v>
      </c>
      <c r="C1132" s="1" t="n">
        <v>46100</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3549-2026</t>
        </is>
      </c>
      <c r="B1133" s="1" t="n">
        <v>46042</v>
      </c>
      <c r="C1133" s="1" t="n">
        <v>46100</v>
      </c>
      <c r="D1133" t="inlineStr">
        <is>
          <t>STOCKHOLMS LÄN</t>
        </is>
      </c>
      <c r="E1133" t="inlineStr">
        <is>
          <t>NORRTÄLJE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11648-2026</t>
        </is>
      </c>
      <c r="B1134" s="1" t="n">
        <v>46084.51575231482</v>
      </c>
      <c r="C1134" s="1" t="n">
        <v>46100</v>
      </c>
      <c r="D1134" t="inlineStr">
        <is>
          <t>STOCKHOLMS LÄN</t>
        </is>
      </c>
      <c r="E1134" t="inlineStr">
        <is>
          <t>NORRTÄLJE</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4227-2026</t>
        </is>
      </c>
      <c r="B1135" s="1" t="n">
        <v>46044</v>
      </c>
      <c r="C1135" s="1" t="n">
        <v>46100</v>
      </c>
      <c r="D1135" t="inlineStr">
        <is>
          <t>STOCKHOLMS LÄN</t>
        </is>
      </c>
      <c r="E1135" t="inlineStr">
        <is>
          <t>NORRTÄLJE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12234-2026</t>
        </is>
      </c>
      <c r="B1136" s="1" t="n">
        <v>46087.4091087963</v>
      </c>
      <c r="C1136" s="1" t="n">
        <v>46100</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4230-2026</t>
        </is>
      </c>
      <c r="B1137" s="1" t="n">
        <v>46044.89366898148</v>
      </c>
      <c r="C1137" s="1" t="n">
        <v>46100</v>
      </c>
      <c r="D1137" t="inlineStr">
        <is>
          <t>STOCKHOLMS LÄN</t>
        </is>
      </c>
      <c r="E1137" t="inlineStr">
        <is>
          <t>NORRTÄLJE</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4231-2026</t>
        </is>
      </c>
      <c r="B1138" s="1" t="n">
        <v>46044</v>
      </c>
      <c r="C1138" s="1" t="n">
        <v>46100</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4232-2026</t>
        </is>
      </c>
      <c r="B1139" s="1" t="n">
        <v>46044.89594907407</v>
      </c>
      <c r="C1139" s="1" t="n">
        <v>46100</v>
      </c>
      <c r="D1139" t="inlineStr">
        <is>
          <t>STOCKHOLMS LÄN</t>
        </is>
      </c>
      <c r="E1139" t="inlineStr">
        <is>
          <t>NORRTÄLJE</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3933-2026</t>
        </is>
      </c>
      <c r="B1140" s="1" t="n">
        <v>46043.79916666666</v>
      </c>
      <c r="C1140" s="1" t="n">
        <v>46100</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4235-2026</t>
        </is>
      </c>
      <c r="B1141" s="1" t="n">
        <v>46044</v>
      </c>
      <c r="C1141" s="1" t="n">
        <v>46100</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12718-2026</t>
        </is>
      </c>
      <c r="B1142" s="1" t="n">
        <v>46091.60412037037</v>
      </c>
      <c r="C1142" s="1" t="n">
        <v>46100</v>
      </c>
      <c r="D1142" t="inlineStr">
        <is>
          <t>STOCKHOLMS LÄN</t>
        </is>
      </c>
      <c r="E1142" t="inlineStr">
        <is>
          <t>NORRTÄLJE</t>
        </is>
      </c>
      <c r="F1142" t="inlineStr">
        <is>
          <t>Holmen skog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12703-2026</t>
        </is>
      </c>
      <c r="B1143" s="1" t="n">
        <v>46091.58175925926</v>
      </c>
      <c r="C1143" s="1" t="n">
        <v>46100</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4549-2026</t>
        </is>
      </c>
      <c r="B1144" s="1" t="n">
        <v>46047</v>
      </c>
      <c r="C1144" s="1" t="n">
        <v>46100</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4886-2026</t>
        </is>
      </c>
      <c r="B1145" s="1" t="n">
        <v>46048.66328703704</v>
      </c>
      <c r="C1145" s="1" t="n">
        <v>46100</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13109-2026</t>
        </is>
      </c>
      <c r="B1146" s="1" t="n">
        <v>46093.42730324074</v>
      </c>
      <c r="C1146" s="1" t="n">
        <v>46100</v>
      </c>
      <c r="D1146" t="inlineStr">
        <is>
          <t>STOCKHOLMS LÄN</t>
        </is>
      </c>
      <c r="E1146" t="inlineStr">
        <is>
          <t>NORRTÄLJE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13204-2026</t>
        </is>
      </c>
      <c r="B1147" s="1" t="n">
        <v>46093.60788194444</v>
      </c>
      <c r="C1147" s="1" t="n">
        <v>46100</v>
      </c>
      <c r="D1147" t="inlineStr">
        <is>
          <t>STOCKHOLMS LÄN</t>
        </is>
      </c>
      <c r="E1147" t="inlineStr">
        <is>
          <t>NORRTÄLJE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5226-2026</t>
        </is>
      </c>
      <c r="B1148" s="1" t="n">
        <v>46049.79961805556</v>
      </c>
      <c r="C1148" s="1" t="n">
        <v>46100</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13122-2026</t>
        </is>
      </c>
      <c r="B1149" s="1" t="n">
        <v>46093.45657407407</v>
      </c>
      <c r="C1149" s="1" t="n">
        <v>46100</v>
      </c>
      <c r="D1149" t="inlineStr">
        <is>
          <t>STOCKHOLMS LÄN</t>
        </is>
      </c>
      <c r="E1149" t="inlineStr">
        <is>
          <t>NORRTÄLJE</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5224-2026</t>
        </is>
      </c>
      <c r="B1150" s="1" t="n">
        <v>46049.79521990741</v>
      </c>
      <c r="C1150" s="1" t="n">
        <v>46100</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5227-2026</t>
        </is>
      </c>
      <c r="B1151" s="1" t="n">
        <v>46049.80460648148</v>
      </c>
      <c r="C1151" s="1" t="n">
        <v>46100</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5241-2026</t>
        </is>
      </c>
      <c r="B1152" s="1" t="n">
        <v>46049.86471064815</v>
      </c>
      <c r="C1152" s="1" t="n">
        <v>46100</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13544-2026</t>
        </is>
      </c>
      <c r="B1153" s="1" t="n">
        <v>46094.68538194444</v>
      </c>
      <c r="C1153" s="1" t="n">
        <v>46100</v>
      </c>
      <c r="D1153" t="inlineStr">
        <is>
          <t>STOCKHOLMS LÄN</t>
        </is>
      </c>
      <c r="E1153" t="inlineStr">
        <is>
          <t>NORRTÄLJE</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39610-2025</t>
        </is>
      </c>
      <c r="B1154" s="1" t="n">
        <v>45890</v>
      </c>
      <c r="C1154" s="1" t="n">
        <v>46100</v>
      </c>
      <c r="D1154" t="inlineStr">
        <is>
          <t>STOCKHOLMS LÄN</t>
        </is>
      </c>
      <c r="E1154" t="inlineStr">
        <is>
          <t>NORRTÄLJE</t>
        </is>
      </c>
      <c r="G1154" t="n">
        <v>28.6</v>
      </c>
      <c r="H1154" t="n">
        <v>0</v>
      </c>
      <c r="I1154" t="n">
        <v>0</v>
      </c>
      <c r="J1154" t="n">
        <v>0</v>
      </c>
      <c r="K1154" t="n">
        <v>0</v>
      </c>
      <c r="L1154" t="n">
        <v>0</v>
      </c>
      <c r="M1154" t="n">
        <v>0</v>
      </c>
      <c r="N1154" t="n">
        <v>0</v>
      </c>
      <c r="O1154" t="n">
        <v>0</v>
      </c>
      <c r="P1154" t="n">
        <v>0</v>
      </c>
      <c r="Q1154" t="n">
        <v>0</v>
      </c>
      <c r="R1154" s="2" t="inlineStr"/>
    </row>
    <row r="1155" ht="15" customHeight="1">
      <c r="A1155" t="inlineStr">
        <is>
          <t>A 13545-2026</t>
        </is>
      </c>
      <c r="B1155" s="1" t="n">
        <v>46094.6911574074</v>
      </c>
      <c r="C1155" s="1" t="n">
        <v>46100</v>
      </c>
      <c r="D1155" t="inlineStr">
        <is>
          <t>STOCKHOLMS LÄN</t>
        </is>
      </c>
      <c r="E1155" t="inlineStr">
        <is>
          <t>NORRTÄLJE</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5934-2026</t>
        </is>
      </c>
      <c r="B1156" s="1" t="n">
        <v>46052.47082175926</v>
      </c>
      <c r="C1156" s="1" t="n">
        <v>46100</v>
      </c>
      <c r="D1156" t="inlineStr">
        <is>
          <t>STOCKHOLMS LÄN</t>
        </is>
      </c>
      <c r="E1156" t="inlineStr">
        <is>
          <t>NORRTÄLJE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13546-2026</t>
        </is>
      </c>
      <c r="B1157" s="1" t="n">
        <v>46094.69196759259</v>
      </c>
      <c r="C1157" s="1" t="n">
        <v>46100</v>
      </c>
      <c r="D1157" t="inlineStr">
        <is>
          <t>STOCKHOLMS LÄN</t>
        </is>
      </c>
      <c r="E1157" t="inlineStr">
        <is>
          <t>NORRTÄLJE</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6724-2026</t>
        </is>
      </c>
      <c r="B1158" s="1" t="n">
        <v>46056.67717592593</v>
      </c>
      <c r="C1158" s="1" t="n">
        <v>46100</v>
      </c>
      <c r="D1158" t="inlineStr">
        <is>
          <t>STOCKHOLMS LÄN</t>
        </is>
      </c>
      <c r="E1158" t="inlineStr">
        <is>
          <t>NORRTÄLJE</t>
        </is>
      </c>
      <c r="F1158" t="inlineStr">
        <is>
          <t>Holmen skog AB</t>
        </is>
      </c>
      <c r="G1158" t="n">
        <v>16.2</v>
      </c>
      <c r="H1158" t="n">
        <v>0</v>
      </c>
      <c r="I1158" t="n">
        <v>0</v>
      </c>
      <c r="J1158" t="n">
        <v>0</v>
      </c>
      <c r="K1158" t="n">
        <v>0</v>
      </c>
      <c r="L1158" t="n">
        <v>0</v>
      </c>
      <c r="M1158" t="n">
        <v>0</v>
      </c>
      <c r="N1158" t="n">
        <v>0</v>
      </c>
      <c r="O1158" t="n">
        <v>0</v>
      </c>
      <c r="P1158" t="n">
        <v>0</v>
      </c>
      <c r="Q1158" t="n">
        <v>0</v>
      </c>
      <c r="R1158" s="2" t="inlineStr"/>
    </row>
    <row r="1159" ht="15" customHeight="1">
      <c r="A1159" t="inlineStr">
        <is>
          <t>A 6828-2026</t>
        </is>
      </c>
      <c r="B1159" s="1" t="n">
        <v>46057</v>
      </c>
      <c r="C1159" s="1" t="n">
        <v>46100</v>
      </c>
      <c r="D1159" t="inlineStr">
        <is>
          <t>STOCKHOLMS LÄN</t>
        </is>
      </c>
      <c r="E1159" t="inlineStr">
        <is>
          <t>NORRTÄLJE</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6838-2026</t>
        </is>
      </c>
      <c r="B1160" s="1" t="n">
        <v>46057.41151620371</v>
      </c>
      <c r="C1160" s="1" t="n">
        <v>46100</v>
      </c>
      <c r="D1160" t="inlineStr">
        <is>
          <t>STOCKHOLMS LÄN</t>
        </is>
      </c>
      <c r="E1160" t="inlineStr">
        <is>
          <t>NORRTÄLJE</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6874-2026</t>
        </is>
      </c>
      <c r="B1161" s="1" t="n">
        <v>46057.45295138889</v>
      </c>
      <c r="C1161" s="1" t="n">
        <v>46100</v>
      </c>
      <c r="D1161" t="inlineStr">
        <is>
          <t>STOCKHOLMS LÄN</t>
        </is>
      </c>
      <c r="E1161" t="inlineStr">
        <is>
          <t>NORRTÄLJE</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6532-2026</t>
        </is>
      </c>
      <c r="B1162" s="1" t="n">
        <v>46056.41300925926</v>
      </c>
      <c r="C1162" s="1" t="n">
        <v>46100</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c r="A1163" t="inlineStr">
        <is>
          <t>A 6701-2026</t>
        </is>
      </c>
      <c r="B1163" s="1" t="n">
        <v>46056</v>
      </c>
      <c r="C1163" s="1" t="n">
        <v>46100</v>
      </c>
      <c r="D1163" t="inlineStr">
        <is>
          <t>STOCKHOLMS LÄN</t>
        </is>
      </c>
      <c r="E1163" t="inlineStr">
        <is>
          <t>NORRTÄLJE</t>
        </is>
      </c>
      <c r="G1163" t="n">
        <v>0.8</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2026-03-19T11:31:55Z</dcterms:created>
  <dcterms:modified xmlns:dcterms="http://purl.org/dc/terms/" xmlns:xsi="http://www.w3.org/2001/XMLSchema-instance" xsi:type="dcterms:W3CDTF">2026-03-19T11:31:56Z</dcterms:modified>
</cp:coreProperties>
</file>