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45922</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45922</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45922</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45922</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45922</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45922</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45922</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45922</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45922</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45922</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45922</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11231-2021</t>
        </is>
      </c>
      <c r="B14" s="1" t="n">
        <v>44263</v>
      </c>
      <c r="C14" s="1" t="n">
        <v>45922</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45922</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20722-2024</t>
        </is>
      </c>
      <c r="B16" s="1" t="n">
        <v>45436</v>
      </c>
      <c r="C16" s="1" t="n">
        <v>45922</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73093-2021</t>
        </is>
      </c>
      <c r="B17" s="1" t="n">
        <v>44550</v>
      </c>
      <c r="C17" s="1" t="n">
        <v>45922</v>
      </c>
      <c r="D17" t="inlineStr">
        <is>
          <t>STOCKHOLMS LÄN</t>
        </is>
      </c>
      <c r="E17" t="inlineStr">
        <is>
          <t>NORRTÄLJE</t>
        </is>
      </c>
      <c r="G17" t="n">
        <v>5.1</v>
      </c>
      <c r="H17" t="n">
        <v>6</v>
      </c>
      <c r="I17" t="n">
        <v>6</v>
      </c>
      <c r="J17" t="n">
        <v>1</v>
      </c>
      <c r="K17" t="n">
        <v>0</v>
      </c>
      <c r="L17" t="n">
        <v>0</v>
      </c>
      <c r="M17" t="n">
        <v>0</v>
      </c>
      <c r="N17" t="n">
        <v>0</v>
      </c>
      <c r="O17" t="n">
        <v>1</v>
      </c>
      <c r="P17" t="n">
        <v>0</v>
      </c>
      <c r="Q17" t="n">
        <v>9</v>
      </c>
      <c r="R17" s="2" t="inlineStr">
        <is>
          <t>Rödvingetrast
Guckusko
Myskmadra
Nästrot
Skogsknipprot
Tibast
Vätteros
Nattviol
Blåsippa</t>
        </is>
      </c>
      <c r="S17">
        <f>HYPERLINK("https://klasma.github.io/Logging_0188/artfynd/A 73093-2021 artfynd.xlsx", "A 73093-2021")</f>
        <v/>
      </c>
      <c r="T17">
        <f>HYPERLINK("https://klasma.github.io/Logging_0188/kartor/A 73093-2021 karta.png", "A 73093-2021")</f>
        <v/>
      </c>
      <c r="V17">
        <f>HYPERLINK("https://klasma.github.io/Logging_0188/klagomål/A 73093-2021 FSC-klagomål.docx", "A 73093-2021")</f>
        <v/>
      </c>
      <c r="W17">
        <f>HYPERLINK("https://klasma.github.io/Logging_0188/klagomålsmail/A 73093-2021 FSC-klagomål mail.docx", "A 73093-2021")</f>
        <v/>
      </c>
      <c r="X17">
        <f>HYPERLINK("https://klasma.github.io/Logging_0188/tillsyn/A 73093-2021 tillsynsbegäran.docx", "A 73093-2021")</f>
        <v/>
      </c>
      <c r="Y17">
        <f>HYPERLINK("https://klasma.github.io/Logging_0188/tillsynsmail/A 73093-2021 tillsynsbegäran mail.docx", "A 73093-2021")</f>
        <v/>
      </c>
      <c r="Z17">
        <f>HYPERLINK("https://klasma.github.io/Logging_0188/fåglar/A 73093-2021 prioriterade fågelarter.docx", "A 73093-2021")</f>
        <v/>
      </c>
    </row>
    <row r="18" ht="15" customHeight="1">
      <c r="A18" t="inlineStr">
        <is>
          <t>A 47274-2024</t>
        </is>
      </c>
      <c r="B18" s="1" t="n">
        <v>45586.88145833334</v>
      </c>
      <c r="C18" s="1" t="n">
        <v>45922</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52815-2021</t>
        </is>
      </c>
      <c r="B19" s="1" t="n">
        <v>44467</v>
      </c>
      <c r="C19" s="1" t="n">
        <v>45922</v>
      </c>
      <c r="D19" t="inlineStr">
        <is>
          <t>STOCKHOLMS LÄN</t>
        </is>
      </c>
      <c r="E19" t="inlineStr">
        <is>
          <t>NORRTÄLJE</t>
        </is>
      </c>
      <c r="G19" t="n">
        <v>2.8</v>
      </c>
      <c r="H19" t="n">
        <v>0</v>
      </c>
      <c r="I19" t="n">
        <v>2</v>
      </c>
      <c r="J19" t="n">
        <v>2</v>
      </c>
      <c r="K19" t="n">
        <v>4</v>
      </c>
      <c r="L19" t="n">
        <v>1</v>
      </c>
      <c r="M19" t="n">
        <v>0</v>
      </c>
      <c r="N19" t="n">
        <v>0</v>
      </c>
      <c r="O19" t="n">
        <v>7</v>
      </c>
      <c r="P19" t="n">
        <v>5</v>
      </c>
      <c r="Q19" t="n">
        <v>9</v>
      </c>
      <c r="R19" s="2" t="inlineStr">
        <is>
          <t>Raggtaggsvamp
Gul lammticka
Koppartaggsvamp
Spricktaggsvamp
Svartfjällig musseron
Bittermusseron
Flattoppad klubbsvamp
Diskvaxskivling
Fjällig taggsvamp s.str.</t>
        </is>
      </c>
      <c r="S19">
        <f>HYPERLINK("https://klasma.github.io/Logging_0188/artfynd/A 52815-2021 artfynd.xlsx", "A 52815-2021")</f>
        <v/>
      </c>
      <c r="T19">
        <f>HYPERLINK("https://klasma.github.io/Logging_0188/kartor/A 52815-2021 karta.png", "A 52815-2021")</f>
        <v/>
      </c>
      <c r="V19">
        <f>HYPERLINK("https://klasma.github.io/Logging_0188/klagomål/A 52815-2021 FSC-klagomål.docx", "A 52815-2021")</f>
        <v/>
      </c>
      <c r="W19">
        <f>HYPERLINK("https://klasma.github.io/Logging_0188/klagomålsmail/A 52815-2021 FSC-klagomål mail.docx", "A 52815-2021")</f>
        <v/>
      </c>
      <c r="X19">
        <f>HYPERLINK("https://klasma.github.io/Logging_0188/tillsyn/A 52815-2021 tillsynsbegäran.docx", "A 52815-2021")</f>
        <v/>
      </c>
      <c r="Y19">
        <f>HYPERLINK("https://klasma.github.io/Logging_0188/tillsynsmail/A 52815-2021 tillsynsbegäran mail.docx", "A 52815-2021")</f>
        <v/>
      </c>
    </row>
    <row r="20" ht="15" customHeight="1">
      <c r="A20" t="inlineStr">
        <is>
          <t>A 50326-2024</t>
        </is>
      </c>
      <c r="B20" s="1" t="n">
        <v>45600</v>
      </c>
      <c r="C20" s="1" t="n">
        <v>45922</v>
      </c>
      <c r="D20" t="inlineStr">
        <is>
          <t>STOCKHOLMS LÄN</t>
        </is>
      </c>
      <c r="E20" t="inlineStr">
        <is>
          <t>NORRTÄLJE</t>
        </is>
      </c>
      <c r="G20" t="n">
        <v>23.9</v>
      </c>
      <c r="H20" t="n">
        <v>4</v>
      </c>
      <c r="I20" t="n">
        <v>5</v>
      </c>
      <c r="J20" t="n">
        <v>1</v>
      </c>
      <c r="K20" t="n">
        <v>0</v>
      </c>
      <c r="L20" t="n">
        <v>0</v>
      </c>
      <c r="M20" t="n">
        <v>0</v>
      </c>
      <c r="N20" t="n">
        <v>0</v>
      </c>
      <c r="O20" t="n">
        <v>1</v>
      </c>
      <c r="P20" t="n">
        <v>0</v>
      </c>
      <c r="Q20" t="n">
        <v>9</v>
      </c>
      <c r="R20" s="2" t="inlineStr">
        <is>
          <t>Sommarfibbla
Nästrot
Slät lönnlav
Svart trolldruva
Tibast
Vårärt
Fläcknycklar
Blåsippa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59582-2024</t>
        </is>
      </c>
      <c r="B21" s="1" t="n">
        <v>45638</v>
      </c>
      <c r="C21" s="1" t="n">
        <v>45922</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4705-2025</t>
        </is>
      </c>
      <c r="B22" s="1" t="n">
        <v>45688.38224537037</v>
      </c>
      <c r="C22" s="1" t="n">
        <v>45922</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45811-2022</t>
        </is>
      </c>
      <c r="B23" s="1" t="n">
        <v>44846</v>
      </c>
      <c r="C23" s="1" t="n">
        <v>45922</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45922</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47346-2021</t>
        </is>
      </c>
      <c r="B25" s="1" t="n">
        <v>44447</v>
      </c>
      <c r="C25" s="1" t="n">
        <v>45922</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13933-2022</t>
        </is>
      </c>
      <c r="B26" s="1" t="n">
        <v>44650</v>
      </c>
      <c r="C26" s="1" t="n">
        <v>45922</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45922</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34528-2025</t>
        </is>
      </c>
      <c r="B28" s="1" t="n">
        <v>45847.48436342592</v>
      </c>
      <c r="C28" s="1" t="n">
        <v>45922</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45922</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21922-2023</t>
        </is>
      </c>
      <c r="B30" s="1" t="n">
        <v>45068</v>
      </c>
      <c r="C30" s="1" t="n">
        <v>45922</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72111-2021</t>
        </is>
      </c>
      <c r="B31" s="1" t="n">
        <v>44544</v>
      </c>
      <c r="C31" s="1" t="n">
        <v>45922</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45922</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30687-2025</t>
        </is>
      </c>
      <c r="B33" s="1" t="n">
        <v>45831.53390046296</v>
      </c>
      <c r="C33" s="1" t="n">
        <v>45922</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22071-2022</t>
        </is>
      </c>
      <c r="B34" s="1" t="n">
        <v>44711</v>
      </c>
      <c r="C34" s="1" t="n">
        <v>45922</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72305-2021</t>
        </is>
      </c>
      <c r="B35" s="1" t="n">
        <v>44545</v>
      </c>
      <c r="C35" s="1" t="n">
        <v>45922</v>
      </c>
      <c r="D35" t="inlineStr">
        <is>
          <t>STOCKHOLMS LÄN</t>
        </is>
      </c>
      <c r="E35" t="inlineStr">
        <is>
          <t>NORRTÄLJE</t>
        </is>
      </c>
      <c r="G35" t="n">
        <v>1.5</v>
      </c>
      <c r="H35" t="n">
        <v>1</v>
      </c>
      <c r="I35" t="n">
        <v>3</v>
      </c>
      <c r="J35" t="n">
        <v>0</v>
      </c>
      <c r="K35" t="n">
        <v>0</v>
      </c>
      <c r="L35" t="n">
        <v>0</v>
      </c>
      <c r="M35" t="n">
        <v>0</v>
      </c>
      <c r="N35" t="n">
        <v>0</v>
      </c>
      <c r="O35" t="n">
        <v>0</v>
      </c>
      <c r="P35" t="n">
        <v>0</v>
      </c>
      <c r="Q35" t="n">
        <v>4</v>
      </c>
      <c r="R35" s="2" t="inlineStr">
        <is>
          <t>Svart trolldruva
Sårläka
Vårärt
Blåsippa</t>
        </is>
      </c>
      <c r="S35">
        <f>HYPERLINK("https://klasma.github.io/Logging_0188/artfynd/A 72305-2021 artfynd.xlsx", "A 72305-2021")</f>
        <v/>
      </c>
      <c r="T35">
        <f>HYPERLINK("https://klasma.github.io/Logging_0188/kartor/A 72305-2021 karta.png", "A 72305-2021")</f>
        <v/>
      </c>
      <c r="V35">
        <f>HYPERLINK("https://klasma.github.io/Logging_0188/klagomål/A 72305-2021 FSC-klagomål.docx", "A 72305-2021")</f>
        <v/>
      </c>
      <c r="W35">
        <f>HYPERLINK("https://klasma.github.io/Logging_0188/klagomålsmail/A 72305-2021 FSC-klagomål mail.docx", "A 72305-2021")</f>
        <v/>
      </c>
      <c r="X35">
        <f>HYPERLINK("https://klasma.github.io/Logging_0188/tillsyn/A 72305-2021 tillsynsbegäran.docx", "A 72305-2021")</f>
        <v/>
      </c>
      <c r="Y35">
        <f>HYPERLINK("https://klasma.github.io/Logging_0188/tillsynsmail/A 72305-2021 tillsynsbegäran mail.docx", "A 72305-2021")</f>
        <v/>
      </c>
    </row>
    <row r="36" ht="15" customHeight="1">
      <c r="A36" t="inlineStr">
        <is>
          <t>A 44709-2022</t>
        </is>
      </c>
      <c r="B36" s="1" t="n">
        <v>44839</v>
      </c>
      <c r="C36" s="1" t="n">
        <v>45922</v>
      </c>
      <c r="D36" t="inlineStr">
        <is>
          <t>STOCKHOLMS LÄN</t>
        </is>
      </c>
      <c r="E36" t="inlineStr">
        <is>
          <t>NORRTÄLJE</t>
        </is>
      </c>
      <c r="G36" t="n">
        <v>16.3</v>
      </c>
      <c r="H36" t="n">
        <v>3</v>
      </c>
      <c r="I36" t="n">
        <v>0</v>
      </c>
      <c r="J36" t="n">
        <v>2</v>
      </c>
      <c r="K36" t="n">
        <v>0</v>
      </c>
      <c r="L36" t="n">
        <v>0</v>
      </c>
      <c r="M36" t="n">
        <v>0</v>
      </c>
      <c r="N36" t="n">
        <v>0</v>
      </c>
      <c r="O36" t="n">
        <v>2</v>
      </c>
      <c r="P36" t="n">
        <v>0</v>
      </c>
      <c r="Q36" t="n">
        <v>4</v>
      </c>
      <c r="R36" s="2" t="inlineStr">
        <is>
          <t>Asppraktbagge
Spillkråka
Enkelbeckasin
Orre</t>
        </is>
      </c>
      <c r="S36">
        <f>HYPERLINK("https://klasma.github.io/Logging_0188/artfynd/A 44709-2022 artfynd.xlsx", "A 44709-2022")</f>
        <v/>
      </c>
      <c r="T36">
        <f>HYPERLINK("https://klasma.github.io/Logging_0188/kartor/A 44709-2022 karta.png", "A 44709-2022")</f>
        <v/>
      </c>
      <c r="V36">
        <f>HYPERLINK("https://klasma.github.io/Logging_0188/klagomål/A 44709-2022 FSC-klagomål.docx", "A 44709-2022")</f>
        <v/>
      </c>
      <c r="W36">
        <f>HYPERLINK("https://klasma.github.io/Logging_0188/klagomålsmail/A 44709-2022 FSC-klagomål mail.docx", "A 44709-2022")</f>
        <v/>
      </c>
      <c r="X36">
        <f>HYPERLINK("https://klasma.github.io/Logging_0188/tillsyn/A 44709-2022 tillsynsbegäran.docx", "A 44709-2022")</f>
        <v/>
      </c>
      <c r="Y36">
        <f>HYPERLINK("https://klasma.github.io/Logging_0188/tillsynsmail/A 44709-2022 tillsynsbegäran mail.docx", "A 44709-2022")</f>
        <v/>
      </c>
      <c r="Z36">
        <f>HYPERLINK("https://klasma.github.io/Logging_0188/fåglar/A 44709-2022 prioriterade fågelarter.docx", "A 44709-2022")</f>
        <v/>
      </c>
    </row>
    <row r="37" ht="15" customHeight="1">
      <c r="A37" t="inlineStr">
        <is>
          <t>A 34521-2025</t>
        </is>
      </c>
      <c r="B37" s="1" t="n">
        <v>45847.47052083333</v>
      </c>
      <c r="C37" s="1" t="n">
        <v>45922</v>
      </c>
      <c r="D37" t="inlineStr">
        <is>
          <t>STOCKHOLMS LÄN</t>
        </is>
      </c>
      <c r="E37" t="inlineStr">
        <is>
          <t>NORRTÄLJE</t>
        </is>
      </c>
      <c r="G37" t="n">
        <v>4.3</v>
      </c>
      <c r="H37" t="n">
        <v>0</v>
      </c>
      <c r="I37" t="n">
        <v>2</v>
      </c>
      <c r="J37" t="n">
        <v>2</v>
      </c>
      <c r="K37" t="n">
        <v>0</v>
      </c>
      <c r="L37" t="n">
        <v>0</v>
      </c>
      <c r="M37" t="n">
        <v>0</v>
      </c>
      <c r="N37" t="n">
        <v>0</v>
      </c>
      <c r="O37" t="n">
        <v>2</v>
      </c>
      <c r="P37" t="n">
        <v>0</v>
      </c>
      <c r="Q37" t="n">
        <v>4</v>
      </c>
      <c r="R37" s="2" t="inlineStr">
        <is>
          <t>Kandelabersvamp
Vedtrappmossa
Anisspindling
Stor aspticka</t>
        </is>
      </c>
      <c r="S37">
        <f>HYPERLINK("https://klasma.github.io/Logging_0188/artfynd/A 34521-2025 artfynd.xlsx", "A 34521-2025")</f>
        <v/>
      </c>
      <c r="T37">
        <f>HYPERLINK("https://klasma.github.io/Logging_0188/kartor/A 34521-2025 karta.png", "A 34521-2025")</f>
        <v/>
      </c>
      <c r="V37">
        <f>HYPERLINK("https://klasma.github.io/Logging_0188/klagomål/A 34521-2025 FSC-klagomål.docx", "A 34521-2025")</f>
        <v/>
      </c>
      <c r="W37">
        <f>HYPERLINK("https://klasma.github.io/Logging_0188/klagomålsmail/A 34521-2025 FSC-klagomål mail.docx", "A 34521-2025")</f>
        <v/>
      </c>
      <c r="X37">
        <f>HYPERLINK("https://klasma.github.io/Logging_0188/tillsyn/A 34521-2025 tillsynsbegäran.docx", "A 34521-2025")</f>
        <v/>
      </c>
      <c r="Y37">
        <f>HYPERLINK("https://klasma.github.io/Logging_0188/tillsynsmail/A 34521-2025 tillsynsbegäran mail.docx", "A 34521-2025")</f>
        <v/>
      </c>
    </row>
    <row r="38" ht="15" customHeight="1">
      <c r="A38" t="inlineStr">
        <is>
          <t>A 41276-2025</t>
        </is>
      </c>
      <c r="B38" s="1" t="n">
        <v>45898.62723379629</v>
      </c>
      <c r="C38" s="1" t="n">
        <v>45922</v>
      </c>
      <c r="D38" t="inlineStr">
        <is>
          <t>STOCKHOLMS LÄN</t>
        </is>
      </c>
      <c r="E38" t="inlineStr">
        <is>
          <t>NORRTÄLJE</t>
        </is>
      </c>
      <c r="G38" t="n">
        <v>3.2</v>
      </c>
      <c r="H38" t="n">
        <v>1</v>
      </c>
      <c r="I38" t="n">
        <v>2</v>
      </c>
      <c r="J38" t="n">
        <v>0</v>
      </c>
      <c r="K38" t="n">
        <v>0</v>
      </c>
      <c r="L38" t="n">
        <v>1</v>
      </c>
      <c r="M38" t="n">
        <v>0</v>
      </c>
      <c r="N38" t="n">
        <v>0</v>
      </c>
      <c r="O38" t="n">
        <v>1</v>
      </c>
      <c r="P38" t="n">
        <v>1</v>
      </c>
      <c r="Q38" t="n">
        <v>4</v>
      </c>
      <c r="R38" s="2" t="inlineStr">
        <is>
          <t>Ask
Underviol
Vårärt
Blåsippa</t>
        </is>
      </c>
      <c r="S38">
        <f>HYPERLINK("https://klasma.github.io/Logging_0188/artfynd/A 41276-2025 artfynd.xlsx", "A 41276-2025")</f>
        <v/>
      </c>
      <c r="T38">
        <f>HYPERLINK("https://klasma.github.io/Logging_0188/kartor/A 41276-2025 karta.png", "A 41276-2025")</f>
        <v/>
      </c>
      <c r="V38">
        <f>HYPERLINK("https://klasma.github.io/Logging_0188/klagomål/A 41276-2025 FSC-klagomål.docx", "A 41276-2025")</f>
        <v/>
      </c>
      <c r="W38">
        <f>HYPERLINK("https://klasma.github.io/Logging_0188/klagomålsmail/A 41276-2025 FSC-klagomål mail.docx", "A 41276-2025")</f>
        <v/>
      </c>
      <c r="X38">
        <f>HYPERLINK("https://klasma.github.io/Logging_0188/tillsyn/A 41276-2025 tillsynsbegäran.docx", "A 41276-2025")</f>
        <v/>
      </c>
      <c r="Y38">
        <f>HYPERLINK("https://klasma.github.io/Logging_0188/tillsynsmail/A 41276-2025 tillsynsbegäran mail.docx", "A 41276-2025")</f>
        <v/>
      </c>
    </row>
    <row r="39" ht="15" customHeight="1">
      <c r="A39" t="inlineStr">
        <is>
          <t>A 10876-2025</t>
        </is>
      </c>
      <c r="B39" s="1" t="n">
        <v>45722</v>
      </c>
      <c r="C39" s="1" t="n">
        <v>45922</v>
      </c>
      <c r="D39" t="inlineStr">
        <is>
          <t>STOCKHOLMS LÄN</t>
        </is>
      </c>
      <c r="E39" t="inlineStr">
        <is>
          <t>NORRTÄLJE</t>
        </is>
      </c>
      <c r="F39" t="inlineStr">
        <is>
          <t>Holmen skog AB</t>
        </is>
      </c>
      <c r="G39" t="n">
        <v>9.300000000000001</v>
      </c>
      <c r="H39" t="n">
        <v>4</v>
      </c>
      <c r="I39" t="n">
        <v>0</v>
      </c>
      <c r="J39" t="n">
        <v>1</v>
      </c>
      <c r="K39" t="n">
        <v>1</v>
      </c>
      <c r="L39" t="n">
        <v>1</v>
      </c>
      <c r="M39" t="n">
        <v>0</v>
      </c>
      <c r="N39" t="n">
        <v>0</v>
      </c>
      <c r="O39" t="n">
        <v>3</v>
      </c>
      <c r="P39" t="n">
        <v>2</v>
      </c>
      <c r="Q39" t="n">
        <v>4</v>
      </c>
      <c r="R39" s="2" t="inlineStr">
        <is>
          <t>Asknätfjäril
Hällebräcka
Utter
Gullviva</t>
        </is>
      </c>
      <c r="S39">
        <f>HYPERLINK("https://klasma.github.io/Logging_0188/artfynd/A 10876-2025 artfynd.xlsx", "A 10876-2025")</f>
        <v/>
      </c>
      <c r="T39">
        <f>HYPERLINK("https://klasma.github.io/Logging_0188/kartor/A 10876-2025 karta.png", "A 10876-2025")</f>
        <v/>
      </c>
      <c r="V39">
        <f>HYPERLINK("https://klasma.github.io/Logging_0188/klagomål/A 10876-2025 FSC-klagomål.docx", "A 10876-2025")</f>
        <v/>
      </c>
      <c r="W39">
        <f>HYPERLINK("https://klasma.github.io/Logging_0188/klagomålsmail/A 10876-2025 FSC-klagomål mail.docx", "A 10876-2025")</f>
        <v/>
      </c>
      <c r="X39">
        <f>HYPERLINK("https://klasma.github.io/Logging_0188/tillsyn/A 10876-2025 tillsynsbegäran.docx", "A 10876-2025")</f>
        <v/>
      </c>
      <c r="Y39">
        <f>HYPERLINK("https://klasma.github.io/Logging_0188/tillsynsmail/A 10876-2025 tillsynsbegäran mail.docx", "A 10876-2025")</f>
        <v/>
      </c>
    </row>
    <row r="40" ht="15" customHeight="1">
      <c r="A40" t="inlineStr">
        <is>
          <t>A 24052-2021</t>
        </is>
      </c>
      <c r="B40" s="1" t="n">
        <v>44336</v>
      </c>
      <c r="C40" s="1" t="n">
        <v>45922</v>
      </c>
      <c r="D40" t="inlineStr">
        <is>
          <t>STOCKHOLMS LÄN</t>
        </is>
      </c>
      <c r="E40" t="inlineStr">
        <is>
          <t>NORRTÄLJE</t>
        </is>
      </c>
      <c r="G40" t="n">
        <v>8.6</v>
      </c>
      <c r="H40" t="n">
        <v>4</v>
      </c>
      <c r="I40" t="n">
        <v>0</v>
      </c>
      <c r="J40" t="n">
        <v>2</v>
      </c>
      <c r="K40" t="n">
        <v>0</v>
      </c>
      <c r="L40" t="n">
        <v>0</v>
      </c>
      <c r="M40" t="n">
        <v>0</v>
      </c>
      <c r="N40" t="n">
        <v>0</v>
      </c>
      <c r="O40" t="n">
        <v>2</v>
      </c>
      <c r="P40" t="n">
        <v>0</v>
      </c>
      <c r="Q40" t="n">
        <v>4</v>
      </c>
      <c r="R40" s="2" t="inlineStr">
        <is>
          <t>Brunlångöra
Nordfladdermus
Dvärgpipistrell
Större brunfladdermus</t>
        </is>
      </c>
      <c r="S40">
        <f>HYPERLINK("https://klasma.github.io/Logging_0188/artfynd/A 24052-2021 artfynd.xlsx", "A 24052-2021")</f>
        <v/>
      </c>
      <c r="T40">
        <f>HYPERLINK("https://klasma.github.io/Logging_0188/kartor/A 24052-2021 karta.png", "A 24052-2021")</f>
        <v/>
      </c>
      <c r="V40">
        <f>HYPERLINK("https://klasma.github.io/Logging_0188/klagomål/A 24052-2021 FSC-klagomål.docx", "A 24052-2021")</f>
        <v/>
      </c>
      <c r="W40">
        <f>HYPERLINK("https://klasma.github.io/Logging_0188/klagomålsmail/A 24052-2021 FSC-klagomål mail.docx", "A 24052-2021")</f>
        <v/>
      </c>
      <c r="X40">
        <f>HYPERLINK("https://klasma.github.io/Logging_0188/tillsyn/A 24052-2021 tillsynsbegäran.docx", "A 24052-2021")</f>
        <v/>
      </c>
      <c r="Y40">
        <f>HYPERLINK("https://klasma.github.io/Logging_0188/tillsynsmail/A 24052-2021 tillsynsbegäran mail.docx", "A 24052-2021")</f>
        <v/>
      </c>
    </row>
    <row r="41" ht="15" customHeight="1">
      <c r="A41" t="inlineStr">
        <is>
          <t>A 21730-2025</t>
        </is>
      </c>
      <c r="B41" s="1" t="n">
        <v>45783.58123842593</v>
      </c>
      <c r="C41" s="1" t="n">
        <v>45922</v>
      </c>
      <c r="D41" t="inlineStr">
        <is>
          <t>STOCKHOLMS LÄN</t>
        </is>
      </c>
      <c r="E41" t="inlineStr">
        <is>
          <t>NORRTÄLJE</t>
        </is>
      </c>
      <c r="G41" t="n">
        <v>4.2</v>
      </c>
      <c r="H41" t="n">
        <v>2</v>
      </c>
      <c r="I41" t="n">
        <v>2</v>
      </c>
      <c r="J41" t="n">
        <v>0</v>
      </c>
      <c r="K41" t="n">
        <v>0</v>
      </c>
      <c r="L41" t="n">
        <v>0</v>
      </c>
      <c r="M41" t="n">
        <v>0</v>
      </c>
      <c r="N41" t="n">
        <v>0</v>
      </c>
      <c r="O41" t="n">
        <v>0</v>
      </c>
      <c r="P41" t="n">
        <v>0</v>
      </c>
      <c r="Q41" t="n">
        <v>4</v>
      </c>
      <c r="R41" s="2" t="inlineStr">
        <is>
          <t>Blåmossa
Brandticka
Blåsippa
Revlummer</t>
        </is>
      </c>
      <c r="S41">
        <f>HYPERLINK("https://klasma.github.io/Logging_0188/artfynd/A 21730-2025 artfynd.xlsx", "A 21730-2025")</f>
        <v/>
      </c>
      <c r="T41">
        <f>HYPERLINK("https://klasma.github.io/Logging_0188/kartor/A 21730-2025 karta.png", "A 21730-2025")</f>
        <v/>
      </c>
      <c r="V41">
        <f>HYPERLINK("https://klasma.github.io/Logging_0188/klagomål/A 21730-2025 FSC-klagomål.docx", "A 21730-2025")</f>
        <v/>
      </c>
      <c r="W41">
        <f>HYPERLINK("https://klasma.github.io/Logging_0188/klagomålsmail/A 21730-2025 FSC-klagomål mail.docx", "A 21730-2025")</f>
        <v/>
      </c>
      <c r="X41">
        <f>HYPERLINK("https://klasma.github.io/Logging_0188/tillsyn/A 21730-2025 tillsynsbegäran.docx", "A 21730-2025")</f>
        <v/>
      </c>
      <c r="Y41">
        <f>HYPERLINK("https://klasma.github.io/Logging_0188/tillsynsmail/A 21730-2025 tillsynsbegäran mail.docx", "A 21730-2025")</f>
        <v/>
      </c>
    </row>
    <row r="42" ht="15" customHeight="1">
      <c r="A42" t="inlineStr">
        <is>
          <t>A 21837-2025</t>
        </is>
      </c>
      <c r="B42" s="1" t="n">
        <v>45784.32179398148</v>
      </c>
      <c r="C42" s="1" t="n">
        <v>45922</v>
      </c>
      <c r="D42" t="inlineStr">
        <is>
          <t>STOCKHOLMS LÄN</t>
        </is>
      </c>
      <c r="E42" t="inlineStr">
        <is>
          <t>NORRTÄLJE</t>
        </is>
      </c>
      <c r="G42" t="n">
        <v>6.4</v>
      </c>
      <c r="H42" t="n">
        <v>2</v>
      </c>
      <c r="I42" t="n">
        <v>2</v>
      </c>
      <c r="J42" t="n">
        <v>1</v>
      </c>
      <c r="K42" t="n">
        <v>0</v>
      </c>
      <c r="L42" t="n">
        <v>0</v>
      </c>
      <c r="M42" t="n">
        <v>0</v>
      </c>
      <c r="N42" t="n">
        <v>0</v>
      </c>
      <c r="O42" t="n">
        <v>1</v>
      </c>
      <c r="P42" t="n">
        <v>0</v>
      </c>
      <c r="Q42" t="n">
        <v>4</v>
      </c>
      <c r="R42" s="2" t="inlineStr">
        <is>
          <t>Granticka
Brandticka
Nästrot
Blåsippa</t>
        </is>
      </c>
      <c r="S42">
        <f>HYPERLINK("https://klasma.github.io/Logging_0188/artfynd/A 21837-2025 artfynd.xlsx", "A 21837-2025")</f>
        <v/>
      </c>
      <c r="T42">
        <f>HYPERLINK("https://klasma.github.io/Logging_0188/kartor/A 21837-2025 karta.png", "A 21837-2025")</f>
        <v/>
      </c>
      <c r="V42">
        <f>HYPERLINK("https://klasma.github.io/Logging_0188/klagomål/A 21837-2025 FSC-klagomål.docx", "A 21837-2025")</f>
        <v/>
      </c>
      <c r="W42">
        <f>HYPERLINK("https://klasma.github.io/Logging_0188/klagomålsmail/A 21837-2025 FSC-klagomål mail.docx", "A 21837-2025")</f>
        <v/>
      </c>
      <c r="X42">
        <f>HYPERLINK("https://klasma.github.io/Logging_0188/tillsyn/A 21837-2025 tillsynsbegäran.docx", "A 21837-2025")</f>
        <v/>
      </c>
      <c r="Y42">
        <f>HYPERLINK("https://klasma.github.io/Logging_0188/tillsynsmail/A 21837-2025 tillsynsbegäran mail.docx", "A 21837-2025")</f>
        <v/>
      </c>
    </row>
    <row r="43" ht="15" customHeight="1">
      <c r="A43" t="inlineStr">
        <is>
          <t>A 17673-2021</t>
        </is>
      </c>
      <c r="B43" s="1" t="n">
        <v>44300</v>
      </c>
      <c r="C43" s="1" t="n">
        <v>45922</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45113-2022</t>
        </is>
      </c>
      <c r="B44" s="1" t="n">
        <v>44843</v>
      </c>
      <c r="C44" s="1" t="n">
        <v>45922</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45922</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28836-2022</t>
        </is>
      </c>
      <c r="B46" s="1" t="n">
        <v>44749</v>
      </c>
      <c r="C46" s="1" t="n">
        <v>45922</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54110-2024</t>
        </is>
      </c>
      <c r="B47" s="1" t="n">
        <v>45616.54866898148</v>
      </c>
      <c r="C47" s="1" t="n">
        <v>45922</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53065-2024</t>
        </is>
      </c>
      <c r="B48" s="1" t="n">
        <v>45611.47233796296</v>
      </c>
      <c r="C48" s="1" t="n">
        <v>45922</v>
      </c>
      <c r="D48" t="inlineStr">
        <is>
          <t>STOCKHOLMS LÄN</t>
        </is>
      </c>
      <c r="E48" t="inlineStr">
        <is>
          <t>NORRTÄLJE</t>
        </is>
      </c>
      <c r="G48" t="n">
        <v>12.3</v>
      </c>
      <c r="H48" t="n">
        <v>0</v>
      </c>
      <c r="I48" t="n">
        <v>1</v>
      </c>
      <c r="J48" t="n">
        <v>1</v>
      </c>
      <c r="K48" t="n">
        <v>1</v>
      </c>
      <c r="L48" t="n">
        <v>0</v>
      </c>
      <c r="M48" t="n">
        <v>0</v>
      </c>
      <c r="N48" t="n">
        <v>0</v>
      </c>
      <c r="O48" t="n">
        <v>2</v>
      </c>
      <c r="P48" t="n">
        <v>1</v>
      </c>
      <c r="Q48" t="n">
        <v>3</v>
      </c>
      <c r="R48" s="2" t="inlineStr">
        <is>
          <t>Aspsplintbock
Grön aspvedbock
Gulröd blankbock</t>
        </is>
      </c>
      <c r="S48">
        <f>HYPERLINK("https://klasma.github.io/Logging_0188/artfynd/A 53065-2024 artfynd.xlsx", "A 53065-2024")</f>
        <v/>
      </c>
      <c r="T48">
        <f>HYPERLINK("https://klasma.github.io/Logging_0188/kartor/A 53065-2024 karta.png", "A 53065-2024")</f>
        <v/>
      </c>
      <c r="V48">
        <f>HYPERLINK("https://klasma.github.io/Logging_0188/klagomål/A 53065-2024 FSC-klagomål.docx", "A 53065-2024")</f>
        <v/>
      </c>
      <c r="W48">
        <f>HYPERLINK("https://klasma.github.io/Logging_0188/klagomålsmail/A 53065-2024 FSC-klagomål mail.docx", "A 53065-2024")</f>
        <v/>
      </c>
      <c r="X48">
        <f>HYPERLINK("https://klasma.github.io/Logging_0188/tillsyn/A 53065-2024 tillsynsbegäran.docx", "A 53065-2024")</f>
        <v/>
      </c>
      <c r="Y48">
        <f>HYPERLINK("https://klasma.github.io/Logging_0188/tillsynsmail/A 53065-2024 tillsynsbegäran mail.docx", "A 53065-2024")</f>
        <v/>
      </c>
    </row>
    <row r="49" ht="15" customHeight="1">
      <c r="A49" t="inlineStr">
        <is>
          <t>A 2851-2023</t>
        </is>
      </c>
      <c r="B49" s="1" t="n">
        <v>44945</v>
      </c>
      <c r="C49" s="1" t="n">
        <v>45922</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29185-2025</t>
        </is>
      </c>
      <c r="B50" s="1" t="n">
        <v>45821</v>
      </c>
      <c r="C50" s="1" t="n">
        <v>45922</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27870-2022</t>
        </is>
      </c>
      <c r="B51" s="1" t="n">
        <v>44743.64592592593</v>
      </c>
      <c r="C51" s="1" t="n">
        <v>45922</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50618-2022</t>
        </is>
      </c>
      <c r="B52" s="1" t="n">
        <v>44866</v>
      </c>
      <c r="C52" s="1" t="n">
        <v>45922</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20185-2022</t>
        </is>
      </c>
      <c r="B53" s="1" t="n">
        <v>44698</v>
      </c>
      <c r="C53" s="1" t="n">
        <v>45922</v>
      </c>
      <c r="D53" t="inlineStr">
        <is>
          <t>STOCKHOLMS LÄN</t>
        </is>
      </c>
      <c r="E53" t="inlineStr">
        <is>
          <t>NORRTÄLJE</t>
        </is>
      </c>
      <c r="G53" t="n">
        <v>8.4</v>
      </c>
      <c r="H53" t="n">
        <v>1</v>
      </c>
      <c r="I53" t="n">
        <v>2</v>
      </c>
      <c r="J53" t="n">
        <v>0</v>
      </c>
      <c r="K53" t="n">
        <v>1</v>
      </c>
      <c r="L53" t="n">
        <v>0</v>
      </c>
      <c r="M53" t="n">
        <v>0</v>
      </c>
      <c r="N53" t="n">
        <v>0</v>
      </c>
      <c r="O53" t="n">
        <v>1</v>
      </c>
      <c r="P53" t="n">
        <v>1</v>
      </c>
      <c r="Q53" t="n">
        <v>3</v>
      </c>
      <c r="R53" s="2" t="inlineStr">
        <is>
          <t>Tallbit
Gullgröppa
Vedticka</t>
        </is>
      </c>
      <c r="S53">
        <f>HYPERLINK("https://klasma.github.io/Logging_0188/artfynd/A 20185-2022 artfynd.xlsx", "A 20185-2022")</f>
        <v/>
      </c>
      <c r="T53">
        <f>HYPERLINK("https://klasma.github.io/Logging_0188/kartor/A 20185-2022 karta.png", "A 20185-2022")</f>
        <v/>
      </c>
      <c r="V53">
        <f>HYPERLINK("https://klasma.github.io/Logging_0188/klagomål/A 20185-2022 FSC-klagomål.docx", "A 20185-2022")</f>
        <v/>
      </c>
      <c r="W53">
        <f>HYPERLINK("https://klasma.github.io/Logging_0188/klagomålsmail/A 20185-2022 FSC-klagomål mail.docx", "A 20185-2022")</f>
        <v/>
      </c>
      <c r="X53">
        <f>HYPERLINK("https://klasma.github.io/Logging_0188/tillsyn/A 20185-2022 tillsynsbegäran.docx", "A 20185-2022")</f>
        <v/>
      </c>
      <c r="Y53">
        <f>HYPERLINK("https://klasma.github.io/Logging_0188/tillsynsmail/A 20185-2022 tillsynsbegäran mail.docx", "A 20185-2022")</f>
        <v/>
      </c>
      <c r="Z53">
        <f>HYPERLINK("https://klasma.github.io/Logging_0188/fåglar/A 20185-2022 prioriterade fågelarter.docx", "A 20185-2022")</f>
        <v/>
      </c>
    </row>
    <row r="54" ht="15" customHeight="1">
      <c r="A54" t="inlineStr">
        <is>
          <t>A 34524-2025</t>
        </is>
      </c>
      <c r="B54" s="1" t="n">
        <v>45847.47685185185</v>
      </c>
      <c r="C54" s="1" t="n">
        <v>45922</v>
      </c>
      <c r="D54" t="inlineStr">
        <is>
          <t>STOCKHOLMS LÄN</t>
        </is>
      </c>
      <c r="E54" t="inlineStr">
        <is>
          <t>NORRTÄLJE</t>
        </is>
      </c>
      <c r="G54" t="n">
        <v>3.3</v>
      </c>
      <c r="H54" t="n">
        <v>0</v>
      </c>
      <c r="I54" t="n">
        <v>1</v>
      </c>
      <c r="J54" t="n">
        <v>2</v>
      </c>
      <c r="K54" t="n">
        <v>0</v>
      </c>
      <c r="L54" t="n">
        <v>0</v>
      </c>
      <c r="M54" t="n">
        <v>0</v>
      </c>
      <c r="N54" t="n">
        <v>0</v>
      </c>
      <c r="O54" t="n">
        <v>2</v>
      </c>
      <c r="P54" t="n">
        <v>0</v>
      </c>
      <c r="Q54" t="n">
        <v>3</v>
      </c>
      <c r="R54" s="2" t="inlineStr">
        <is>
          <t>Tallticka
Vedtrappmossa
Kornknutmossa</t>
        </is>
      </c>
      <c r="S54">
        <f>HYPERLINK("https://klasma.github.io/Logging_0188/artfynd/A 34524-2025 artfynd.xlsx", "A 34524-2025")</f>
        <v/>
      </c>
      <c r="T54">
        <f>HYPERLINK("https://klasma.github.io/Logging_0188/kartor/A 34524-2025 karta.png", "A 34524-2025")</f>
        <v/>
      </c>
      <c r="V54">
        <f>HYPERLINK("https://klasma.github.io/Logging_0188/klagomål/A 34524-2025 FSC-klagomål.docx", "A 34524-2025")</f>
        <v/>
      </c>
      <c r="W54">
        <f>HYPERLINK("https://klasma.github.io/Logging_0188/klagomålsmail/A 34524-2025 FSC-klagomål mail.docx", "A 34524-2025")</f>
        <v/>
      </c>
      <c r="X54">
        <f>HYPERLINK("https://klasma.github.io/Logging_0188/tillsyn/A 34524-2025 tillsynsbegäran.docx", "A 34524-2025")</f>
        <v/>
      </c>
      <c r="Y54">
        <f>HYPERLINK("https://klasma.github.io/Logging_0188/tillsynsmail/A 34524-2025 tillsynsbegäran mail.docx", "A 34524-2025")</f>
        <v/>
      </c>
    </row>
    <row r="55" ht="15" customHeight="1">
      <c r="A55" t="inlineStr">
        <is>
          <t>A 31803-2021</t>
        </is>
      </c>
      <c r="B55" s="1" t="n">
        <v>44370</v>
      </c>
      <c r="C55" s="1" t="n">
        <v>45922</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45922</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16260-2022</t>
        </is>
      </c>
      <c r="B57" s="1" t="n">
        <v>44670</v>
      </c>
      <c r="C57" s="1" t="n">
        <v>45922</v>
      </c>
      <c r="D57" t="inlineStr">
        <is>
          <t>STOCKHOLMS LÄN</t>
        </is>
      </c>
      <c r="E57" t="inlineStr">
        <is>
          <t>NORRTÄLJE</t>
        </is>
      </c>
      <c r="G57" t="n">
        <v>6.6</v>
      </c>
      <c r="H57" t="n">
        <v>1</v>
      </c>
      <c r="I57" t="n">
        <v>2</v>
      </c>
      <c r="J57" t="n">
        <v>0</v>
      </c>
      <c r="K57" t="n">
        <v>0</v>
      </c>
      <c r="L57" t="n">
        <v>0</v>
      </c>
      <c r="M57" t="n">
        <v>0</v>
      </c>
      <c r="N57" t="n">
        <v>0</v>
      </c>
      <c r="O57" t="n">
        <v>0</v>
      </c>
      <c r="P57" t="n">
        <v>0</v>
      </c>
      <c r="Q57" t="n">
        <v>2</v>
      </c>
      <c r="R57" s="2" t="inlineStr">
        <is>
          <t>Nästrot
Vårärt</t>
        </is>
      </c>
      <c r="S57">
        <f>HYPERLINK("https://klasma.github.io/Logging_0188/artfynd/A 16260-2022 artfynd.xlsx", "A 16260-2022")</f>
        <v/>
      </c>
      <c r="T57">
        <f>HYPERLINK("https://klasma.github.io/Logging_0188/kartor/A 16260-2022 karta.png", "A 16260-2022")</f>
        <v/>
      </c>
      <c r="V57">
        <f>HYPERLINK("https://klasma.github.io/Logging_0188/klagomål/A 16260-2022 FSC-klagomål.docx", "A 16260-2022")</f>
        <v/>
      </c>
      <c r="W57">
        <f>HYPERLINK("https://klasma.github.io/Logging_0188/klagomålsmail/A 16260-2022 FSC-klagomål mail.docx", "A 16260-2022")</f>
        <v/>
      </c>
      <c r="X57">
        <f>HYPERLINK("https://klasma.github.io/Logging_0188/tillsyn/A 16260-2022 tillsynsbegäran.docx", "A 16260-2022")</f>
        <v/>
      </c>
      <c r="Y57">
        <f>HYPERLINK("https://klasma.github.io/Logging_0188/tillsynsmail/A 16260-2022 tillsynsbegäran mail.docx", "A 16260-2022")</f>
        <v/>
      </c>
    </row>
    <row r="58" ht="15" customHeight="1">
      <c r="A58" t="inlineStr">
        <is>
          <t>A 11031-2025</t>
        </is>
      </c>
      <c r="B58" s="1" t="n">
        <v>45723</v>
      </c>
      <c r="C58" s="1" t="n">
        <v>45922</v>
      </c>
      <c r="D58" t="inlineStr">
        <is>
          <t>STOCKHOLMS LÄN</t>
        </is>
      </c>
      <c r="E58" t="inlineStr">
        <is>
          <t>NORRTÄLJE</t>
        </is>
      </c>
      <c r="F58" t="inlineStr">
        <is>
          <t>Övriga Aktiebolag</t>
        </is>
      </c>
      <c r="G58" t="n">
        <v>13.2</v>
      </c>
      <c r="H58" t="n">
        <v>1</v>
      </c>
      <c r="I58" t="n">
        <v>0</v>
      </c>
      <c r="J58" t="n">
        <v>2</v>
      </c>
      <c r="K58" t="n">
        <v>0</v>
      </c>
      <c r="L58" t="n">
        <v>0</v>
      </c>
      <c r="M58" t="n">
        <v>0</v>
      </c>
      <c r="N58" t="n">
        <v>0</v>
      </c>
      <c r="O58" t="n">
        <v>2</v>
      </c>
      <c r="P58" t="n">
        <v>0</v>
      </c>
      <c r="Q58" t="n">
        <v>2</v>
      </c>
      <c r="R58" s="2" t="inlineStr">
        <is>
          <t>Järpe
Ullticka</t>
        </is>
      </c>
      <c r="S58">
        <f>HYPERLINK("https://klasma.github.io/Logging_0188/artfynd/A 11031-2025 artfynd.xlsx", "A 11031-2025")</f>
        <v/>
      </c>
      <c r="T58">
        <f>HYPERLINK("https://klasma.github.io/Logging_0188/kartor/A 11031-2025 karta.png", "A 11031-2025")</f>
        <v/>
      </c>
      <c r="V58">
        <f>HYPERLINK("https://klasma.github.io/Logging_0188/klagomål/A 11031-2025 FSC-klagomål.docx", "A 11031-2025")</f>
        <v/>
      </c>
      <c r="W58">
        <f>HYPERLINK("https://klasma.github.io/Logging_0188/klagomålsmail/A 11031-2025 FSC-klagomål mail.docx", "A 11031-2025")</f>
        <v/>
      </c>
      <c r="X58">
        <f>HYPERLINK("https://klasma.github.io/Logging_0188/tillsyn/A 11031-2025 tillsynsbegäran.docx", "A 11031-2025")</f>
        <v/>
      </c>
      <c r="Y58">
        <f>HYPERLINK("https://klasma.github.io/Logging_0188/tillsynsmail/A 11031-2025 tillsynsbegäran mail.docx", "A 11031-2025")</f>
        <v/>
      </c>
      <c r="Z58">
        <f>HYPERLINK("https://klasma.github.io/Logging_0188/fåglar/A 11031-2025 prioriterade fågelarter.docx", "A 11031-2025")</f>
        <v/>
      </c>
    </row>
    <row r="59" ht="15" customHeight="1">
      <c r="A59" t="inlineStr">
        <is>
          <t>A 52360-2024</t>
        </is>
      </c>
      <c r="B59" s="1" t="n">
        <v>45609.37094907407</v>
      </c>
      <c r="C59" s="1" t="n">
        <v>45922</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22190-2024</t>
        </is>
      </c>
      <c r="B60" s="1" t="n">
        <v>45446.35888888889</v>
      </c>
      <c r="C60" s="1" t="n">
        <v>45922</v>
      </c>
      <c r="D60" t="inlineStr">
        <is>
          <t>STOCKHOLMS LÄN</t>
        </is>
      </c>
      <c r="E60" t="inlineStr">
        <is>
          <t>NORRTÄLJE</t>
        </is>
      </c>
      <c r="G60" t="n">
        <v>2.8</v>
      </c>
      <c r="H60" t="n">
        <v>2</v>
      </c>
      <c r="I60" t="n">
        <v>1</v>
      </c>
      <c r="J60" t="n">
        <v>0</v>
      </c>
      <c r="K60" t="n">
        <v>0</v>
      </c>
      <c r="L60" t="n">
        <v>0</v>
      </c>
      <c r="M60" t="n">
        <v>0</v>
      </c>
      <c r="N60" t="n">
        <v>0</v>
      </c>
      <c r="O60" t="n">
        <v>0</v>
      </c>
      <c r="P60" t="n">
        <v>0</v>
      </c>
      <c r="Q60" t="n">
        <v>2</v>
      </c>
      <c r="R60" s="2" t="inlineStr">
        <is>
          <t>Skogsknipprot
Vanlig groda</t>
        </is>
      </c>
      <c r="S60">
        <f>HYPERLINK("https://klasma.github.io/Logging_0188/artfynd/A 22190-2024 artfynd.xlsx", "A 22190-2024")</f>
        <v/>
      </c>
      <c r="T60">
        <f>HYPERLINK("https://klasma.github.io/Logging_0188/kartor/A 22190-2024 karta.png", "A 22190-2024")</f>
        <v/>
      </c>
      <c r="V60">
        <f>HYPERLINK("https://klasma.github.io/Logging_0188/klagomål/A 22190-2024 FSC-klagomål.docx", "A 22190-2024")</f>
        <v/>
      </c>
      <c r="W60">
        <f>HYPERLINK("https://klasma.github.io/Logging_0188/klagomålsmail/A 22190-2024 FSC-klagomål mail.docx", "A 22190-2024")</f>
        <v/>
      </c>
      <c r="X60">
        <f>HYPERLINK("https://klasma.github.io/Logging_0188/tillsyn/A 22190-2024 tillsynsbegäran.docx", "A 22190-2024")</f>
        <v/>
      </c>
      <c r="Y60">
        <f>HYPERLINK("https://klasma.github.io/Logging_0188/tillsynsmail/A 22190-2024 tillsynsbegäran mail.docx", "A 22190-2024")</f>
        <v/>
      </c>
    </row>
    <row r="61" ht="15" customHeight="1">
      <c r="A61" t="inlineStr">
        <is>
          <t>A 20012-2025</t>
        </is>
      </c>
      <c r="B61" s="1" t="n">
        <v>45772.30234953704</v>
      </c>
      <c r="C61" s="1" t="n">
        <v>45922</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51980-2022</t>
        </is>
      </c>
      <c r="B62" s="1" t="n">
        <v>44872</v>
      </c>
      <c r="C62" s="1" t="n">
        <v>45922</v>
      </c>
      <c r="D62" t="inlineStr">
        <is>
          <t>STOCKHOLMS LÄN</t>
        </is>
      </c>
      <c r="E62" t="inlineStr">
        <is>
          <t>NORRTÄLJE</t>
        </is>
      </c>
      <c r="G62" t="n">
        <v>7.9</v>
      </c>
      <c r="H62" t="n">
        <v>1</v>
      </c>
      <c r="I62" t="n">
        <v>2</v>
      </c>
      <c r="J62" t="n">
        <v>0</v>
      </c>
      <c r="K62" t="n">
        <v>0</v>
      </c>
      <c r="L62" t="n">
        <v>0</v>
      </c>
      <c r="M62" t="n">
        <v>0</v>
      </c>
      <c r="N62" t="n">
        <v>0</v>
      </c>
      <c r="O62" t="n">
        <v>0</v>
      </c>
      <c r="P62" t="n">
        <v>0</v>
      </c>
      <c r="Q62" t="n">
        <v>2</v>
      </c>
      <c r="R62" s="2" t="inlineStr">
        <is>
          <t>Rödgul trumpetsvamp
Skogsknipprot</t>
        </is>
      </c>
      <c r="S62">
        <f>HYPERLINK("https://klasma.github.io/Logging_0188/artfynd/A 51980-2022 artfynd.xlsx", "A 51980-2022")</f>
        <v/>
      </c>
      <c r="T62">
        <f>HYPERLINK("https://klasma.github.io/Logging_0188/kartor/A 51980-2022 karta.png", "A 51980-2022")</f>
        <v/>
      </c>
      <c r="V62">
        <f>HYPERLINK("https://klasma.github.io/Logging_0188/klagomål/A 51980-2022 FSC-klagomål.docx", "A 51980-2022")</f>
        <v/>
      </c>
      <c r="W62">
        <f>HYPERLINK("https://klasma.github.io/Logging_0188/klagomålsmail/A 51980-2022 FSC-klagomål mail.docx", "A 51980-2022")</f>
        <v/>
      </c>
      <c r="X62">
        <f>HYPERLINK("https://klasma.github.io/Logging_0188/tillsyn/A 51980-2022 tillsynsbegäran.docx", "A 51980-2022")</f>
        <v/>
      </c>
      <c r="Y62">
        <f>HYPERLINK("https://klasma.github.io/Logging_0188/tillsynsmail/A 51980-2022 tillsynsbegäran mail.docx", "A 51980-2022")</f>
        <v/>
      </c>
    </row>
    <row r="63" ht="15" customHeight="1">
      <c r="A63" t="inlineStr">
        <is>
          <t>A 30693-2022</t>
        </is>
      </c>
      <c r="B63" s="1" t="n">
        <v>44763</v>
      </c>
      <c r="C63" s="1" t="n">
        <v>45922</v>
      </c>
      <c r="D63" t="inlineStr">
        <is>
          <t>STOCKHOLMS LÄN</t>
        </is>
      </c>
      <c r="E63" t="inlineStr">
        <is>
          <t>NORRTÄLJE</t>
        </is>
      </c>
      <c r="F63" t="inlineStr">
        <is>
          <t>Sveaskog</t>
        </is>
      </c>
      <c r="G63" t="n">
        <v>3.4</v>
      </c>
      <c r="H63" t="n">
        <v>2</v>
      </c>
      <c r="I63" t="n">
        <v>0</v>
      </c>
      <c r="J63" t="n">
        <v>1</v>
      </c>
      <c r="K63" t="n">
        <v>0</v>
      </c>
      <c r="L63" t="n">
        <v>0</v>
      </c>
      <c r="M63" t="n">
        <v>0</v>
      </c>
      <c r="N63" t="n">
        <v>0</v>
      </c>
      <c r="O63" t="n">
        <v>1</v>
      </c>
      <c r="P63" t="n">
        <v>0</v>
      </c>
      <c r="Q63" t="n">
        <v>2</v>
      </c>
      <c r="R63" s="2" t="inlineStr">
        <is>
          <t>Gulsparv
Gullviva</t>
        </is>
      </c>
      <c r="S63">
        <f>HYPERLINK("https://klasma.github.io/Logging_0188/artfynd/A 30693-2022 artfynd.xlsx", "A 30693-2022")</f>
        <v/>
      </c>
      <c r="T63">
        <f>HYPERLINK("https://klasma.github.io/Logging_0188/kartor/A 30693-2022 karta.png", "A 30693-2022")</f>
        <v/>
      </c>
      <c r="V63">
        <f>HYPERLINK("https://klasma.github.io/Logging_0188/klagomål/A 30693-2022 FSC-klagomål.docx", "A 30693-2022")</f>
        <v/>
      </c>
      <c r="W63">
        <f>HYPERLINK("https://klasma.github.io/Logging_0188/klagomålsmail/A 30693-2022 FSC-klagomål mail.docx", "A 30693-2022")</f>
        <v/>
      </c>
      <c r="X63">
        <f>HYPERLINK("https://klasma.github.io/Logging_0188/tillsyn/A 30693-2022 tillsynsbegäran.docx", "A 30693-2022")</f>
        <v/>
      </c>
      <c r="Y63">
        <f>HYPERLINK("https://klasma.github.io/Logging_0188/tillsynsmail/A 30693-2022 tillsynsbegäran mail.docx", "A 30693-2022")</f>
        <v/>
      </c>
      <c r="Z63">
        <f>HYPERLINK("https://klasma.github.io/Logging_0188/fåglar/A 30693-2022 prioriterade fågelarter.docx", "A 30693-2022")</f>
        <v/>
      </c>
    </row>
    <row r="64" ht="15" customHeight="1">
      <c r="A64" t="inlineStr">
        <is>
          <t>A 51220-2023</t>
        </is>
      </c>
      <c r="B64" s="1" t="n">
        <v>45219</v>
      </c>
      <c r="C64" s="1" t="n">
        <v>45922</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25731-2025</t>
        </is>
      </c>
      <c r="B65" s="1" t="n">
        <v>45800</v>
      </c>
      <c r="C65" s="1" t="n">
        <v>45922</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52124-2022</t>
        </is>
      </c>
      <c r="B66" s="1" t="n">
        <v>44868</v>
      </c>
      <c r="C66" s="1" t="n">
        <v>45922</v>
      </c>
      <c r="D66" t="inlineStr">
        <is>
          <t>STOCKHOLMS LÄN</t>
        </is>
      </c>
      <c r="E66" t="inlineStr">
        <is>
          <t>NORRTÄLJE</t>
        </is>
      </c>
      <c r="G66" t="n">
        <v>4.8</v>
      </c>
      <c r="H66" t="n">
        <v>1</v>
      </c>
      <c r="I66" t="n">
        <v>0</v>
      </c>
      <c r="J66" t="n">
        <v>1</v>
      </c>
      <c r="K66" t="n">
        <v>0</v>
      </c>
      <c r="L66" t="n">
        <v>0</v>
      </c>
      <c r="M66" t="n">
        <v>0</v>
      </c>
      <c r="N66" t="n">
        <v>0</v>
      </c>
      <c r="O66" t="n">
        <v>1</v>
      </c>
      <c r="P66" t="n">
        <v>0</v>
      </c>
      <c r="Q66" t="n">
        <v>2</v>
      </c>
      <c r="R66" s="2" t="inlineStr">
        <is>
          <t>Kandelabersvamp
Blåsippa</t>
        </is>
      </c>
      <c r="S66">
        <f>HYPERLINK("https://klasma.github.io/Logging_0188/artfynd/A 52124-2022 artfynd.xlsx", "A 52124-2022")</f>
        <v/>
      </c>
      <c r="T66">
        <f>HYPERLINK("https://klasma.github.io/Logging_0188/kartor/A 52124-2022 karta.png", "A 52124-2022")</f>
        <v/>
      </c>
      <c r="V66">
        <f>HYPERLINK("https://klasma.github.io/Logging_0188/klagomål/A 52124-2022 FSC-klagomål.docx", "A 52124-2022")</f>
        <v/>
      </c>
      <c r="W66">
        <f>HYPERLINK("https://klasma.github.io/Logging_0188/klagomålsmail/A 52124-2022 FSC-klagomål mail.docx", "A 52124-2022")</f>
        <v/>
      </c>
      <c r="X66">
        <f>HYPERLINK("https://klasma.github.io/Logging_0188/tillsyn/A 52124-2022 tillsynsbegäran.docx", "A 52124-2022")</f>
        <v/>
      </c>
      <c r="Y66">
        <f>HYPERLINK("https://klasma.github.io/Logging_0188/tillsynsmail/A 52124-2022 tillsynsbegäran mail.docx", "A 52124-2022")</f>
        <v/>
      </c>
    </row>
    <row r="67" ht="15" customHeight="1">
      <c r="A67" t="inlineStr">
        <is>
          <t>A 52825-2023</t>
        </is>
      </c>
      <c r="B67" s="1" t="n">
        <v>45226</v>
      </c>
      <c r="C67" s="1" t="n">
        <v>45922</v>
      </c>
      <c r="D67" t="inlineStr">
        <is>
          <t>STOCKHOLMS LÄN</t>
        </is>
      </c>
      <c r="E67" t="inlineStr">
        <is>
          <t>NORRTÄLJE</t>
        </is>
      </c>
      <c r="G67" t="n">
        <v>1</v>
      </c>
      <c r="H67" t="n">
        <v>0</v>
      </c>
      <c r="I67" t="n">
        <v>2</v>
      </c>
      <c r="J67" t="n">
        <v>0</v>
      </c>
      <c r="K67" t="n">
        <v>0</v>
      </c>
      <c r="L67" t="n">
        <v>0</v>
      </c>
      <c r="M67" t="n">
        <v>0</v>
      </c>
      <c r="N67" t="n">
        <v>0</v>
      </c>
      <c r="O67" t="n">
        <v>0</v>
      </c>
      <c r="P67" t="n">
        <v>0</v>
      </c>
      <c r="Q67" t="n">
        <v>2</v>
      </c>
      <c r="R67" s="2" t="inlineStr">
        <is>
          <t>Fjällig taggsvamp s.str.
Strimspindling</t>
        </is>
      </c>
      <c r="S67">
        <f>HYPERLINK("https://klasma.github.io/Logging_0188/artfynd/A 52825-2023 artfynd.xlsx", "A 52825-2023")</f>
        <v/>
      </c>
      <c r="T67">
        <f>HYPERLINK("https://klasma.github.io/Logging_0188/kartor/A 52825-2023 karta.png", "A 52825-2023")</f>
        <v/>
      </c>
      <c r="V67">
        <f>HYPERLINK("https://klasma.github.io/Logging_0188/klagomål/A 52825-2023 FSC-klagomål.docx", "A 52825-2023")</f>
        <v/>
      </c>
      <c r="W67">
        <f>HYPERLINK("https://klasma.github.io/Logging_0188/klagomålsmail/A 52825-2023 FSC-klagomål mail.docx", "A 52825-2023")</f>
        <v/>
      </c>
      <c r="X67">
        <f>HYPERLINK("https://klasma.github.io/Logging_0188/tillsyn/A 52825-2023 tillsynsbegäran.docx", "A 52825-2023")</f>
        <v/>
      </c>
      <c r="Y67">
        <f>HYPERLINK("https://klasma.github.io/Logging_0188/tillsynsmail/A 52825-2023 tillsynsbegäran mail.docx", "A 52825-2023")</f>
        <v/>
      </c>
    </row>
    <row r="68" ht="15" customHeight="1">
      <c r="A68" t="inlineStr">
        <is>
          <t>A 1547-2022</t>
        </is>
      </c>
      <c r="B68" s="1" t="n">
        <v>44573</v>
      </c>
      <c r="C68" s="1" t="n">
        <v>45922</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45922</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45922</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45922</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45922</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45922</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33477-2022</t>
        </is>
      </c>
      <c r="B74" s="1" t="n">
        <v>44788.70217592592</v>
      </c>
      <c r="C74" s="1" t="n">
        <v>45922</v>
      </c>
      <c r="D74" t="inlineStr">
        <is>
          <t>STOCKHOLMS LÄN</t>
        </is>
      </c>
      <c r="E74" t="inlineStr">
        <is>
          <t>NORRTÄLJE</t>
        </is>
      </c>
      <c r="G74" t="n">
        <v>5.7</v>
      </c>
      <c r="H74" t="n">
        <v>1</v>
      </c>
      <c r="I74" t="n">
        <v>1</v>
      </c>
      <c r="J74" t="n">
        <v>0</v>
      </c>
      <c r="K74" t="n">
        <v>0</v>
      </c>
      <c r="L74" t="n">
        <v>0</v>
      </c>
      <c r="M74" t="n">
        <v>0</v>
      </c>
      <c r="N74" t="n">
        <v>0</v>
      </c>
      <c r="O74" t="n">
        <v>0</v>
      </c>
      <c r="P74" t="n">
        <v>0</v>
      </c>
      <c r="Q74" t="n">
        <v>1</v>
      </c>
      <c r="R74" s="2" t="inlineStr">
        <is>
          <t>Nästrot</t>
        </is>
      </c>
      <c r="S74">
        <f>HYPERLINK("https://klasma.github.io/Logging_0188/artfynd/A 33477-2022 artfynd.xlsx", "A 33477-2022")</f>
        <v/>
      </c>
      <c r="T74">
        <f>HYPERLINK("https://klasma.github.io/Logging_0188/kartor/A 33477-2022 karta.png", "A 33477-2022")</f>
        <v/>
      </c>
      <c r="V74">
        <f>HYPERLINK("https://klasma.github.io/Logging_0188/klagomål/A 33477-2022 FSC-klagomål.docx", "A 33477-2022")</f>
        <v/>
      </c>
      <c r="W74">
        <f>HYPERLINK("https://klasma.github.io/Logging_0188/klagomålsmail/A 33477-2022 FSC-klagomål mail.docx", "A 33477-2022")</f>
        <v/>
      </c>
      <c r="X74">
        <f>HYPERLINK("https://klasma.github.io/Logging_0188/tillsyn/A 33477-2022 tillsynsbegäran.docx", "A 33477-2022")</f>
        <v/>
      </c>
      <c r="Y74">
        <f>HYPERLINK("https://klasma.github.io/Logging_0188/tillsynsmail/A 33477-2022 tillsynsbegäran mail.docx", "A 33477-2022")</f>
        <v/>
      </c>
    </row>
    <row r="75" ht="15" customHeight="1">
      <c r="A75" t="inlineStr">
        <is>
          <t>A 4532-2025</t>
        </is>
      </c>
      <c r="B75" s="1" t="n">
        <v>45687.34177083334</v>
      </c>
      <c r="C75" s="1" t="n">
        <v>45922</v>
      </c>
      <c r="D75" t="inlineStr">
        <is>
          <t>STOCKHOLMS LÄN</t>
        </is>
      </c>
      <c r="E75" t="inlineStr">
        <is>
          <t>NORRTÄLJE</t>
        </is>
      </c>
      <c r="F75" t="inlineStr">
        <is>
          <t>Holmen skog AB</t>
        </is>
      </c>
      <c r="G75" t="n">
        <v>6.4</v>
      </c>
      <c r="H75" t="n">
        <v>1</v>
      </c>
      <c r="I75" t="n">
        <v>0</v>
      </c>
      <c r="J75" t="n">
        <v>0</v>
      </c>
      <c r="K75" t="n">
        <v>0</v>
      </c>
      <c r="L75" t="n">
        <v>1</v>
      </c>
      <c r="M75" t="n">
        <v>0</v>
      </c>
      <c r="N75" t="n">
        <v>0</v>
      </c>
      <c r="O75" t="n">
        <v>1</v>
      </c>
      <c r="P75" t="n">
        <v>1</v>
      </c>
      <c r="Q75" t="n">
        <v>1</v>
      </c>
      <c r="R75" s="2" t="inlineStr">
        <is>
          <t>Asknätfjäril</t>
        </is>
      </c>
      <c r="S75">
        <f>HYPERLINK("https://klasma.github.io/Logging_0188/artfynd/A 4532-2025 artfynd.xlsx", "A 4532-2025")</f>
        <v/>
      </c>
      <c r="T75">
        <f>HYPERLINK("https://klasma.github.io/Logging_0188/kartor/A 4532-2025 karta.png", "A 4532-2025")</f>
        <v/>
      </c>
      <c r="V75">
        <f>HYPERLINK("https://klasma.github.io/Logging_0188/klagomål/A 4532-2025 FSC-klagomål.docx", "A 4532-2025")</f>
        <v/>
      </c>
      <c r="W75">
        <f>HYPERLINK("https://klasma.github.io/Logging_0188/klagomålsmail/A 4532-2025 FSC-klagomål mail.docx", "A 4532-2025")</f>
        <v/>
      </c>
      <c r="X75">
        <f>HYPERLINK("https://klasma.github.io/Logging_0188/tillsyn/A 4532-2025 tillsynsbegäran.docx", "A 4532-2025")</f>
        <v/>
      </c>
      <c r="Y75">
        <f>HYPERLINK("https://klasma.github.io/Logging_0188/tillsynsmail/A 4532-2025 tillsynsbegäran mail.docx", "A 4532-2025")</f>
        <v/>
      </c>
    </row>
    <row r="76" ht="15" customHeight="1">
      <c r="A76" t="inlineStr">
        <is>
          <t>A 25669-2025</t>
        </is>
      </c>
      <c r="B76" s="1" t="n">
        <v>45803.62766203703</v>
      </c>
      <c r="C76" s="1" t="n">
        <v>45922</v>
      </c>
      <c r="D76" t="inlineStr">
        <is>
          <t>STOCKHOLMS LÄN</t>
        </is>
      </c>
      <c r="E76" t="inlineStr">
        <is>
          <t>NORRTÄLJE</t>
        </is>
      </c>
      <c r="F76" t="inlineStr">
        <is>
          <t>Holmen skog AB</t>
        </is>
      </c>
      <c r="G76" t="n">
        <v>3.1</v>
      </c>
      <c r="H76" t="n">
        <v>1</v>
      </c>
      <c r="I76" t="n">
        <v>0</v>
      </c>
      <c r="J76" t="n">
        <v>0</v>
      </c>
      <c r="K76" t="n">
        <v>0</v>
      </c>
      <c r="L76" t="n">
        <v>0</v>
      </c>
      <c r="M76" t="n">
        <v>0</v>
      </c>
      <c r="N76" t="n">
        <v>0</v>
      </c>
      <c r="O76" t="n">
        <v>0</v>
      </c>
      <c r="P76" t="n">
        <v>0</v>
      </c>
      <c r="Q76" t="n">
        <v>1</v>
      </c>
      <c r="R76" s="2" t="inlineStr">
        <is>
          <t>Tjäder</t>
        </is>
      </c>
      <c r="S76">
        <f>HYPERLINK("https://klasma.github.io/Logging_0188/artfynd/A 25669-2025 artfynd.xlsx", "A 25669-2025")</f>
        <v/>
      </c>
      <c r="T76">
        <f>HYPERLINK("https://klasma.github.io/Logging_0188/kartor/A 25669-2025 karta.png", "A 25669-2025")</f>
        <v/>
      </c>
      <c r="V76">
        <f>HYPERLINK("https://klasma.github.io/Logging_0188/klagomål/A 25669-2025 FSC-klagomål.docx", "A 25669-2025")</f>
        <v/>
      </c>
      <c r="W76">
        <f>HYPERLINK("https://klasma.github.io/Logging_0188/klagomålsmail/A 25669-2025 FSC-klagomål mail.docx", "A 25669-2025")</f>
        <v/>
      </c>
      <c r="X76">
        <f>HYPERLINK("https://klasma.github.io/Logging_0188/tillsyn/A 25669-2025 tillsynsbegäran.docx", "A 25669-2025")</f>
        <v/>
      </c>
      <c r="Y76">
        <f>HYPERLINK("https://klasma.github.io/Logging_0188/tillsynsmail/A 25669-2025 tillsynsbegäran mail.docx", "A 25669-2025")</f>
        <v/>
      </c>
      <c r="Z76">
        <f>HYPERLINK("https://klasma.github.io/Logging_0188/fåglar/A 25669-2025 prioriterade fågelarter.docx", "A 25669-2025")</f>
        <v/>
      </c>
    </row>
    <row r="77" ht="15" customHeight="1">
      <c r="A77" t="inlineStr">
        <is>
          <t>A 35764-2024</t>
        </is>
      </c>
      <c r="B77" s="1" t="n">
        <v>45532</v>
      </c>
      <c r="C77" s="1" t="n">
        <v>45922</v>
      </c>
      <c r="D77" t="inlineStr">
        <is>
          <t>STOCKHOLMS LÄN</t>
        </is>
      </c>
      <c r="E77" t="inlineStr">
        <is>
          <t>NORRTÄLJE</t>
        </is>
      </c>
      <c r="G77" t="n">
        <v>14.2</v>
      </c>
      <c r="H77" t="n">
        <v>1</v>
      </c>
      <c r="I77" t="n">
        <v>0</v>
      </c>
      <c r="J77" t="n">
        <v>0</v>
      </c>
      <c r="K77" t="n">
        <v>1</v>
      </c>
      <c r="L77" t="n">
        <v>0</v>
      </c>
      <c r="M77" t="n">
        <v>0</v>
      </c>
      <c r="N77" t="n">
        <v>0</v>
      </c>
      <c r="O77" t="n">
        <v>1</v>
      </c>
      <c r="P77" t="n">
        <v>1</v>
      </c>
      <c r="Q77" t="n">
        <v>1</v>
      </c>
      <c r="R77" s="2" t="inlineStr">
        <is>
          <t>Knärot</t>
        </is>
      </c>
      <c r="S77">
        <f>HYPERLINK("https://klasma.github.io/Logging_0188/artfynd/A 35764-2024 artfynd.xlsx", "A 35764-2024")</f>
        <v/>
      </c>
      <c r="T77">
        <f>HYPERLINK("https://klasma.github.io/Logging_0188/kartor/A 35764-2024 karta.png", "A 35764-2024")</f>
        <v/>
      </c>
      <c r="U77">
        <f>HYPERLINK("https://klasma.github.io/Logging_0188/knärot/A 35764-2024 karta knärot.png", "A 35764-2024")</f>
        <v/>
      </c>
      <c r="V77">
        <f>HYPERLINK("https://klasma.github.io/Logging_0188/klagomål/A 35764-2024 FSC-klagomål.docx", "A 35764-2024")</f>
        <v/>
      </c>
      <c r="W77">
        <f>HYPERLINK("https://klasma.github.io/Logging_0188/klagomålsmail/A 35764-2024 FSC-klagomål mail.docx", "A 35764-2024")</f>
        <v/>
      </c>
      <c r="X77">
        <f>HYPERLINK("https://klasma.github.io/Logging_0188/tillsyn/A 35764-2024 tillsynsbegäran.docx", "A 35764-2024")</f>
        <v/>
      </c>
      <c r="Y77">
        <f>HYPERLINK("https://klasma.github.io/Logging_0188/tillsynsmail/A 35764-2024 tillsynsbegäran mail.docx", "A 35764-2024")</f>
        <v/>
      </c>
    </row>
    <row r="78" ht="15" customHeight="1">
      <c r="A78" t="inlineStr">
        <is>
          <t>A 25687-2025</t>
        </is>
      </c>
      <c r="B78" s="1" t="n">
        <v>45800</v>
      </c>
      <c r="C78" s="1" t="n">
        <v>45922</v>
      </c>
      <c r="D78" t="inlineStr">
        <is>
          <t>STOCKHOLMS LÄN</t>
        </is>
      </c>
      <c r="E78" t="inlineStr">
        <is>
          <t>NORRTÄLJE</t>
        </is>
      </c>
      <c r="G78" t="n">
        <v>15.7</v>
      </c>
      <c r="H78" t="n">
        <v>0</v>
      </c>
      <c r="I78" t="n">
        <v>1</v>
      </c>
      <c r="J78" t="n">
        <v>0</v>
      </c>
      <c r="K78" t="n">
        <v>0</v>
      </c>
      <c r="L78" t="n">
        <v>0</v>
      </c>
      <c r="M78" t="n">
        <v>0</v>
      </c>
      <c r="N78" t="n">
        <v>0</v>
      </c>
      <c r="O78" t="n">
        <v>0</v>
      </c>
      <c r="P78" t="n">
        <v>0</v>
      </c>
      <c r="Q78" t="n">
        <v>1</v>
      </c>
      <c r="R78" s="2" t="inlineStr">
        <is>
          <t>Grönpyrola</t>
        </is>
      </c>
      <c r="S78">
        <f>HYPERLINK("https://klasma.github.io/Logging_0188/artfynd/A 25687-2025 artfynd.xlsx", "A 25687-2025")</f>
        <v/>
      </c>
      <c r="T78">
        <f>HYPERLINK("https://klasma.github.io/Logging_0188/kartor/A 25687-2025 karta.png", "A 25687-2025")</f>
        <v/>
      </c>
      <c r="V78">
        <f>HYPERLINK("https://klasma.github.io/Logging_0188/klagomål/A 25687-2025 FSC-klagomål.docx", "A 25687-2025")</f>
        <v/>
      </c>
      <c r="W78">
        <f>HYPERLINK("https://klasma.github.io/Logging_0188/klagomålsmail/A 25687-2025 FSC-klagomål mail.docx", "A 25687-2025")</f>
        <v/>
      </c>
      <c r="X78">
        <f>HYPERLINK("https://klasma.github.io/Logging_0188/tillsyn/A 25687-2025 tillsynsbegäran.docx", "A 25687-2025")</f>
        <v/>
      </c>
      <c r="Y78">
        <f>HYPERLINK("https://klasma.github.io/Logging_0188/tillsynsmail/A 25687-2025 tillsynsbegäran mail.docx", "A 25687-2025")</f>
        <v/>
      </c>
    </row>
    <row r="79" ht="15" customHeight="1">
      <c r="A79" t="inlineStr">
        <is>
          <t>A 35649-2023</t>
        </is>
      </c>
      <c r="B79" s="1" t="n">
        <v>45146</v>
      </c>
      <c r="C79" s="1" t="n">
        <v>45922</v>
      </c>
      <c r="D79" t="inlineStr">
        <is>
          <t>STOCKHOLMS LÄN</t>
        </is>
      </c>
      <c r="E79" t="inlineStr">
        <is>
          <t>NORRTÄLJE</t>
        </is>
      </c>
      <c r="G79" t="n">
        <v>25.1</v>
      </c>
      <c r="H79" t="n">
        <v>0</v>
      </c>
      <c r="I79" t="n">
        <v>0</v>
      </c>
      <c r="J79" t="n">
        <v>1</v>
      </c>
      <c r="K79" t="n">
        <v>0</v>
      </c>
      <c r="L79" t="n">
        <v>0</v>
      </c>
      <c r="M79" t="n">
        <v>0</v>
      </c>
      <c r="N79" t="n">
        <v>0</v>
      </c>
      <c r="O79" t="n">
        <v>1</v>
      </c>
      <c r="P79" t="n">
        <v>0</v>
      </c>
      <c r="Q79" t="n">
        <v>1</v>
      </c>
      <c r="R79" s="2" t="inlineStr">
        <is>
          <t>Månlåsbräken</t>
        </is>
      </c>
      <c r="S79">
        <f>HYPERLINK("https://klasma.github.io/Logging_0188/artfynd/A 35649-2023 artfynd.xlsx", "A 35649-2023")</f>
        <v/>
      </c>
      <c r="T79">
        <f>HYPERLINK("https://klasma.github.io/Logging_0188/kartor/A 35649-2023 karta.png", "A 35649-2023")</f>
        <v/>
      </c>
      <c r="V79">
        <f>HYPERLINK("https://klasma.github.io/Logging_0188/klagomål/A 35649-2023 FSC-klagomål.docx", "A 35649-2023")</f>
        <v/>
      </c>
      <c r="W79">
        <f>HYPERLINK("https://klasma.github.io/Logging_0188/klagomålsmail/A 35649-2023 FSC-klagomål mail.docx", "A 35649-2023")</f>
        <v/>
      </c>
      <c r="X79">
        <f>HYPERLINK("https://klasma.github.io/Logging_0188/tillsyn/A 35649-2023 tillsynsbegäran.docx", "A 35649-2023")</f>
        <v/>
      </c>
      <c r="Y79">
        <f>HYPERLINK("https://klasma.github.io/Logging_0188/tillsynsmail/A 35649-2023 tillsynsbegäran mail.docx", "A 35649-2023")</f>
        <v/>
      </c>
    </row>
    <row r="80" ht="15" customHeight="1">
      <c r="A80" t="inlineStr">
        <is>
          <t>A 50854-2022</t>
        </is>
      </c>
      <c r="B80" s="1" t="n">
        <v>44863</v>
      </c>
      <c r="C80" s="1" t="n">
        <v>45922</v>
      </c>
      <c r="D80" t="inlineStr">
        <is>
          <t>STOCKHOLMS LÄN</t>
        </is>
      </c>
      <c r="E80" t="inlineStr">
        <is>
          <t>NORRTÄLJE</t>
        </is>
      </c>
      <c r="G80" t="n">
        <v>2.9</v>
      </c>
      <c r="H80" t="n">
        <v>0</v>
      </c>
      <c r="I80" t="n">
        <v>1</v>
      </c>
      <c r="J80" t="n">
        <v>0</v>
      </c>
      <c r="K80" t="n">
        <v>0</v>
      </c>
      <c r="L80" t="n">
        <v>0</v>
      </c>
      <c r="M80" t="n">
        <v>0</v>
      </c>
      <c r="N80" t="n">
        <v>0</v>
      </c>
      <c r="O80" t="n">
        <v>0</v>
      </c>
      <c r="P80" t="n">
        <v>0</v>
      </c>
      <c r="Q80" t="n">
        <v>1</v>
      </c>
      <c r="R80" s="2" t="inlineStr">
        <is>
          <t>Tibast</t>
        </is>
      </c>
      <c r="S80">
        <f>HYPERLINK("https://klasma.github.io/Logging_0188/artfynd/A 50854-2022 artfynd.xlsx", "A 50854-2022")</f>
        <v/>
      </c>
      <c r="T80">
        <f>HYPERLINK("https://klasma.github.io/Logging_0188/kartor/A 50854-2022 karta.png", "A 50854-2022")</f>
        <v/>
      </c>
      <c r="V80">
        <f>HYPERLINK("https://klasma.github.io/Logging_0188/klagomål/A 50854-2022 FSC-klagomål.docx", "A 50854-2022")</f>
        <v/>
      </c>
      <c r="W80">
        <f>HYPERLINK("https://klasma.github.io/Logging_0188/klagomålsmail/A 50854-2022 FSC-klagomål mail.docx", "A 50854-2022")</f>
        <v/>
      </c>
      <c r="X80">
        <f>HYPERLINK("https://klasma.github.io/Logging_0188/tillsyn/A 50854-2022 tillsynsbegäran.docx", "A 50854-2022")</f>
        <v/>
      </c>
      <c r="Y80">
        <f>HYPERLINK("https://klasma.github.io/Logging_0188/tillsynsmail/A 50854-2022 tillsynsbegäran mail.docx", "A 50854-2022")</f>
        <v/>
      </c>
    </row>
    <row r="81" ht="15" customHeight="1">
      <c r="A81" t="inlineStr">
        <is>
          <t>A 11429-2023</t>
        </is>
      </c>
      <c r="B81" s="1" t="n">
        <v>44993</v>
      </c>
      <c r="C81" s="1" t="n">
        <v>45922</v>
      </c>
      <c r="D81" t="inlineStr">
        <is>
          <t>STOCKHOLMS LÄN</t>
        </is>
      </c>
      <c r="E81" t="inlineStr">
        <is>
          <t>NORRTÄLJE</t>
        </is>
      </c>
      <c r="G81" t="n">
        <v>2</v>
      </c>
      <c r="H81" t="n">
        <v>0</v>
      </c>
      <c r="I81" t="n">
        <v>0</v>
      </c>
      <c r="J81" t="n">
        <v>1</v>
      </c>
      <c r="K81" t="n">
        <v>0</v>
      </c>
      <c r="L81" t="n">
        <v>0</v>
      </c>
      <c r="M81" t="n">
        <v>0</v>
      </c>
      <c r="N81" t="n">
        <v>0</v>
      </c>
      <c r="O81" t="n">
        <v>1</v>
      </c>
      <c r="P81" t="n">
        <v>0</v>
      </c>
      <c r="Q81" t="n">
        <v>1</v>
      </c>
      <c r="R81" s="2" t="inlineStr">
        <is>
          <t>Skogsklocka</t>
        </is>
      </c>
      <c r="S81">
        <f>HYPERLINK("https://klasma.github.io/Logging_0188/artfynd/A 11429-2023 artfynd.xlsx", "A 11429-2023")</f>
        <v/>
      </c>
      <c r="T81">
        <f>HYPERLINK("https://klasma.github.io/Logging_0188/kartor/A 11429-2023 karta.png", "A 11429-2023")</f>
        <v/>
      </c>
      <c r="V81">
        <f>HYPERLINK("https://klasma.github.io/Logging_0188/klagomål/A 11429-2023 FSC-klagomål.docx", "A 11429-2023")</f>
        <v/>
      </c>
      <c r="W81">
        <f>HYPERLINK("https://klasma.github.io/Logging_0188/klagomålsmail/A 11429-2023 FSC-klagomål mail.docx", "A 11429-2023")</f>
        <v/>
      </c>
      <c r="X81">
        <f>HYPERLINK("https://klasma.github.io/Logging_0188/tillsyn/A 11429-2023 tillsynsbegäran.docx", "A 11429-2023")</f>
        <v/>
      </c>
      <c r="Y81">
        <f>HYPERLINK("https://klasma.github.io/Logging_0188/tillsynsmail/A 11429-2023 tillsynsbegäran mail.docx", "A 11429-2023")</f>
        <v/>
      </c>
    </row>
    <row r="82" ht="15" customHeight="1">
      <c r="A82" t="inlineStr">
        <is>
          <t>A 8371-2025</t>
        </is>
      </c>
      <c r="B82" s="1" t="n">
        <v>45708</v>
      </c>
      <c r="C82" s="1" t="n">
        <v>45922</v>
      </c>
      <c r="D82" t="inlineStr">
        <is>
          <t>STOCKHOLMS LÄN</t>
        </is>
      </c>
      <c r="E82" t="inlineStr">
        <is>
          <t>NORRTÄLJE</t>
        </is>
      </c>
      <c r="F82" t="inlineStr">
        <is>
          <t>Övriga Aktiebolag</t>
        </is>
      </c>
      <c r="G82" t="n">
        <v>2.9</v>
      </c>
      <c r="H82" t="n">
        <v>1</v>
      </c>
      <c r="I82" t="n">
        <v>0</v>
      </c>
      <c r="J82" t="n">
        <v>1</v>
      </c>
      <c r="K82" t="n">
        <v>0</v>
      </c>
      <c r="L82" t="n">
        <v>0</v>
      </c>
      <c r="M82" t="n">
        <v>0</v>
      </c>
      <c r="N82" t="n">
        <v>0</v>
      </c>
      <c r="O82" t="n">
        <v>1</v>
      </c>
      <c r="P82" t="n">
        <v>0</v>
      </c>
      <c r="Q82" t="n">
        <v>1</v>
      </c>
      <c r="R82" s="2" t="inlineStr">
        <is>
          <t>Spillkråka</t>
        </is>
      </c>
      <c r="S82">
        <f>HYPERLINK("https://klasma.github.io/Logging_0188/artfynd/A 8371-2025 artfynd.xlsx", "A 8371-2025")</f>
        <v/>
      </c>
      <c r="T82">
        <f>HYPERLINK("https://klasma.github.io/Logging_0188/kartor/A 8371-2025 karta.png", "A 8371-2025")</f>
        <v/>
      </c>
      <c r="V82">
        <f>HYPERLINK("https://klasma.github.io/Logging_0188/klagomål/A 8371-2025 FSC-klagomål.docx", "A 8371-2025")</f>
        <v/>
      </c>
      <c r="W82">
        <f>HYPERLINK("https://klasma.github.io/Logging_0188/klagomålsmail/A 8371-2025 FSC-klagomål mail.docx", "A 8371-2025")</f>
        <v/>
      </c>
      <c r="X82">
        <f>HYPERLINK("https://klasma.github.io/Logging_0188/tillsyn/A 8371-2025 tillsynsbegäran.docx", "A 8371-2025")</f>
        <v/>
      </c>
      <c r="Y82">
        <f>HYPERLINK("https://klasma.github.io/Logging_0188/tillsynsmail/A 8371-2025 tillsynsbegäran mail.docx", "A 8371-2025")</f>
        <v/>
      </c>
      <c r="Z82">
        <f>HYPERLINK("https://klasma.github.io/Logging_0188/fåglar/A 8371-2025 prioriterade fågelarter.docx", "A 8371-2025")</f>
        <v/>
      </c>
    </row>
    <row r="83" ht="15" customHeight="1">
      <c r="A83" t="inlineStr">
        <is>
          <t>A 26120-2024</t>
        </is>
      </c>
      <c r="B83" s="1" t="n">
        <v>45468.45995370371</v>
      </c>
      <c r="C83" s="1" t="n">
        <v>45922</v>
      </c>
      <c r="D83" t="inlineStr">
        <is>
          <t>STOCKHOLMS LÄN</t>
        </is>
      </c>
      <c r="E83" t="inlineStr">
        <is>
          <t>NORRTÄLJE</t>
        </is>
      </c>
      <c r="G83" t="n">
        <v>1.8</v>
      </c>
      <c r="H83" t="n">
        <v>0</v>
      </c>
      <c r="I83" t="n">
        <v>0</v>
      </c>
      <c r="J83" t="n">
        <v>1</v>
      </c>
      <c r="K83" t="n">
        <v>0</v>
      </c>
      <c r="L83" t="n">
        <v>0</v>
      </c>
      <c r="M83" t="n">
        <v>0</v>
      </c>
      <c r="N83" t="n">
        <v>0</v>
      </c>
      <c r="O83" t="n">
        <v>1</v>
      </c>
      <c r="P83" t="n">
        <v>0</v>
      </c>
      <c r="Q83" t="n">
        <v>1</v>
      </c>
      <c r="R83" s="2" t="inlineStr">
        <is>
          <t>Majviva</t>
        </is>
      </c>
      <c r="S83">
        <f>HYPERLINK("https://klasma.github.io/Logging_0188/artfynd/A 26120-2024 artfynd.xlsx", "A 26120-2024")</f>
        <v/>
      </c>
      <c r="T83">
        <f>HYPERLINK("https://klasma.github.io/Logging_0188/kartor/A 26120-2024 karta.png", "A 26120-2024")</f>
        <v/>
      </c>
      <c r="V83">
        <f>HYPERLINK("https://klasma.github.io/Logging_0188/klagomål/A 26120-2024 FSC-klagomål.docx", "A 26120-2024")</f>
        <v/>
      </c>
      <c r="W83">
        <f>HYPERLINK("https://klasma.github.io/Logging_0188/klagomålsmail/A 26120-2024 FSC-klagomål mail.docx", "A 26120-2024")</f>
        <v/>
      </c>
      <c r="X83">
        <f>HYPERLINK("https://klasma.github.io/Logging_0188/tillsyn/A 26120-2024 tillsynsbegäran.docx", "A 26120-2024")</f>
        <v/>
      </c>
      <c r="Y83">
        <f>HYPERLINK("https://klasma.github.io/Logging_0188/tillsynsmail/A 26120-2024 tillsynsbegäran mail.docx", "A 26120-2024")</f>
        <v/>
      </c>
    </row>
    <row r="84" ht="15" customHeight="1">
      <c r="A84" t="inlineStr">
        <is>
          <t>A 64456-2023</t>
        </is>
      </c>
      <c r="B84" s="1" t="n">
        <v>45280</v>
      </c>
      <c r="C84" s="1" t="n">
        <v>45922</v>
      </c>
      <c r="D84" t="inlineStr">
        <is>
          <t>STOCKHOLMS LÄN</t>
        </is>
      </c>
      <c r="E84" t="inlineStr">
        <is>
          <t>NORRTÄLJE</t>
        </is>
      </c>
      <c r="G84" t="n">
        <v>2.5</v>
      </c>
      <c r="H84" t="n">
        <v>0</v>
      </c>
      <c r="I84" t="n">
        <v>1</v>
      </c>
      <c r="J84" t="n">
        <v>0</v>
      </c>
      <c r="K84" t="n">
        <v>0</v>
      </c>
      <c r="L84" t="n">
        <v>0</v>
      </c>
      <c r="M84" t="n">
        <v>0</v>
      </c>
      <c r="N84" t="n">
        <v>0</v>
      </c>
      <c r="O84" t="n">
        <v>0</v>
      </c>
      <c r="P84" t="n">
        <v>0</v>
      </c>
      <c r="Q84" t="n">
        <v>1</v>
      </c>
      <c r="R84" s="2" t="inlineStr">
        <is>
          <t>Rödgul trumpetsvamp</t>
        </is>
      </c>
      <c r="S84">
        <f>HYPERLINK("https://klasma.github.io/Logging_0188/artfynd/A 64456-2023 artfynd.xlsx", "A 64456-2023")</f>
        <v/>
      </c>
      <c r="T84">
        <f>HYPERLINK("https://klasma.github.io/Logging_0188/kartor/A 64456-2023 karta.png", "A 64456-2023")</f>
        <v/>
      </c>
      <c r="V84">
        <f>HYPERLINK("https://klasma.github.io/Logging_0188/klagomål/A 64456-2023 FSC-klagomål.docx", "A 64456-2023")</f>
        <v/>
      </c>
      <c r="W84">
        <f>HYPERLINK("https://klasma.github.io/Logging_0188/klagomålsmail/A 64456-2023 FSC-klagomål mail.docx", "A 64456-2023")</f>
        <v/>
      </c>
      <c r="X84">
        <f>HYPERLINK("https://klasma.github.io/Logging_0188/tillsyn/A 64456-2023 tillsynsbegäran.docx", "A 64456-2023")</f>
        <v/>
      </c>
      <c r="Y84">
        <f>HYPERLINK("https://klasma.github.io/Logging_0188/tillsynsmail/A 64456-2023 tillsynsbegäran mail.docx", "A 64456-2023")</f>
        <v/>
      </c>
    </row>
    <row r="85" ht="15" customHeight="1">
      <c r="A85" t="inlineStr">
        <is>
          <t>A 6381-2023</t>
        </is>
      </c>
      <c r="B85" s="1" t="n">
        <v>44965</v>
      </c>
      <c r="C85" s="1" t="n">
        <v>45922</v>
      </c>
      <c r="D85" t="inlineStr">
        <is>
          <t>STOCKHOLMS LÄN</t>
        </is>
      </c>
      <c r="E85" t="inlineStr">
        <is>
          <t>NORRTÄLJE</t>
        </is>
      </c>
      <c r="G85" t="n">
        <v>3.5</v>
      </c>
      <c r="H85" t="n">
        <v>1</v>
      </c>
      <c r="I85" t="n">
        <v>1</v>
      </c>
      <c r="J85" t="n">
        <v>0</v>
      </c>
      <c r="K85" t="n">
        <v>0</v>
      </c>
      <c r="L85" t="n">
        <v>0</v>
      </c>
      <c r="M85" t="n">
        <v>0</v>
      </c>
      <c r="N85" t="n">
        <v>0</v>
      </c>
      <c r="O85" t="n">
        <v>0</v>
      </c>
      <c r="P85" t="n">
        <v>0</v>
      </c>
      <c r="Q85" t="n">
        <v>1</v>
      </c>
      <c r="R85" s="2" t="inlineStr">
        <is>
          <t>Guckusko</t>
        </is>
      </c>
      <c r="S85">
        <f>HYPERLINK("https://klasma.github.io/Logging_0188/artfynd/A 6381-2023 artfynd.xlsx", "A 6381-2023")</f>
        <v/>
      </c>
      <c r="T85">
        <f>HYPERLINK("https://klasma.github.io/Logging_0188/kartor/A 6381-2023 karta.png", "A 6381-2023")</f>
        <v/>
      </c>
      <c r="V85">
        <f>HYPERLINK("https://klasma.github.io/Logging_0188/klagomål/A 6381-2023 FSC-klagomål.docx", "A 6381-2023")</f>
        <v/>
      </c>
      <c r="W85">
        <f>HYPERLINK("https://klasma.github.io/Logging_0188/klagomålsmail/A 6381-2023 FSC-klagomål mail.docx", "A 6381-2023")</f>
        <v/>
      </c>
      <c r="X85">
        <f>HYPERLINK("https://klasma.github.io/Logging_0188/tillsyn/A 6381-2023 tillsynsbegäran.docx", "A 6381-2023")</f>
        <v/>
      </c>
      <c r="Y85">
        <f>HYPERLINK("https://klasma.github.io/Logging_0188/tillsynsmail/A 6381-2023 tillsynsbegäran mail.docx", "A 6381-2023")</f>
        <v/>
      </c>
    </row>
    <row r="86" ht="15" customHeight="1">
      <c r="A86" t="inlineStr">
        <is>
          <t>A 24330-2023</t>
        </is>
      </c>
      <c r="B86" s="1" t="n">
        <v>45081</v>
      </c>
      <c r="C86" s="1" t="n">
        <v>45922</v>
      </c>
      <c r="D86" t="inlineStr">
        <is>
          <t>STOCKHOLMS LÄN</t>
        </is>
      </c>
      <c r="E86" t="inlineStr">
        <is>
          <t>NORRTÄLJE</t>
        </is>
      </c>
      <c r="G86" t="n">
        <v>5</v>
      </c>
      <c r="H86" t="n">
        <v>1</v>
      </c>
      <c r="I86" t="n">
        <v>0</v>
      </c>
      <c r="J86" t="n">
        <v>1</v>
      </c>
      <c r="K86" t="n">
        <v>0</v>
      </c>
      <c r="L86" t="n">
        <v>0</v>
      </c>
      <c r="M86" t="n">
        <v>0</v>
      </c>
      <c r="N86" t="n">
        <v>0</v>
      </c>
      <c r="O86" t="n">
        <v>1</v>
      </c>
      <c r="P86" t="n">
        <v>0</v>
      </c>
      <c r="Q86" t="n">
        <v>1</v>
      </c>
      <c r="R86" s="2" t="inlineStr">
        <is>
          <t>Mindre hackspett</t>
        </is>
      </c>
      <c r="S86">
        <f>HYPERLINK("https://klasma.github.io/Logging_0188/artfynd/A 24330-2023 artfynd.xlsx", "A 24330-2023")</f>
        <v/>
      </c>
      <c r="T86">
        <f>HYPERLINK("https://klasma.github.io/Logging_0188/kartor/A 24330-2023 karta.png", "A 24330-2023")</f>
        <v/>
      </c>
      <c r="V86">
        <f>HYPERLINK("https://klasma.github.io/Logging_0188/klagomål/A 24330-2023 FSC-klagomål.docx", "A 24330-2023")</f>
        <v/>
      </c>
      <c r="W86">
        <f>HYPERLINK("https://klasma.github.io/Logging_0188/klagomålsmail/A 24330-2023 FSC-klagomål mail.docx", "A 24330-2023")</f>
        <v/>
      </c>
      <c r="X86">
        <f>HYPERLINK("https://klasma.github.io/Logging_0188/tillsyn/A 24330-2023 tillsynsbegäran.docx", "A 24330-2023")</f>
        <v/>
      </c>
      <c r="Y86">
        <f>HYPERLINK("https://klasma.github.io/Logging_0188/tillsynsmail/A 24330-2023 tillsynsbegäran mail.docx", "A 24330-2023")</f>
        <v/>
      </c>
      <c r="Z86">
        <f>HYPERLINK("https://klasma.github.io/Logging_0188/fåglar/A 24330-2023 prioriterade fågelarter.docx", "A 24330-2023")</f>
        <v/>
      </c>
    </row>
    <row r="87" ht="15" customHeight="1">
      <c r="A87" t="inlineStr">
        <is>
          <t>A 21744-2023</t>
        </is>
      </c>
      <c r="B87" s="1" t="n">
        <v>45065</v>
      </c>
      <c r="C87" s="1" t="n">
        <v>45922</v>
      </c>
      <c r="D87" t="inlineStr">
        <is>
          <t>STOCKHOLMS LÄN</t>
        </is>
      </c>
      <c r="E87" t="inlineStr">
        <is>
          <t>NORRTÄLJE</t>
        </is>
      </c>
      <c r="F87" t="inlineStr">
        <is>
          <t>Holmen skog AB</t>
        </is>
      </c>
      <c r="G87" t="n">
        <v>4.2</v>
      </c>
      <c r="H87" t="n">
        <v>0</v>
      </c>
      <c r="I87" t="n">
        <v>1</v>
      </c>
      <c r="J87" t="n">
        <v>0</v>
      </c>
      <c r="K87" t="n">
        <v>0</v>
      </c>
      <c r="L87" t="n">
        <v>0</v>
      </c>
      <c r="M87" t="n">
        <v>0</v>
      </c>
      <c r="N87" t="n">
        <v>0</v>
      </c>
      <c r="O87" t="n">
        <v>0</v>
      </c>
      <c r="P87" t="n">
        <v>0</v>
      </c>
      <c r="Q87" t="n">
        <v>1</v>
      </c>
      <c r="R87" s="2" t="inlineStr">
        <is>
          <t>Korallblylav</t>
        </is>
      </c>
      <c r="S87">
        <f>HYPERLINK("https://klasma.github.io/Logging_0188/artfynd/A 21744-2023 artfynd.xlsx", "A 21744-2023")</f>
        <v/>
      </c>
      <c r="T87">
        <f>HYPERLINK("https://klasma.github.io/Logging_0188/kartor/A 21744-2023 karta.png", "A 21744-2023")</f>
        <v/>
      </c>
      <c r="V87">
        <f>HYPERLINK("https://klasma.github.io/Logging_0188/klagomål/A 21744-2023 FSC-klagomål.docx", "A 21744-2023")</f>
        <v/>
      </c>
      <c r="W87">
        <f>HYPERLINK("https://klasma.github.io/Logging_0188/klagomålsmail/A 21744-2023 FSC-klagomål mail.docx", "A 21744-2023")</f>
        <v/>
      </c>
      <c r="X87">
        <f>HYPERLINK("https://klasma.github.io/Logging_0188/tillsyn/A 21744-2023 tillsynsbegäran.docx", "A 21744-2023")</f>
        <v/>
      </c>
      <c r="Y87">
        <f>HYPERLINK("https://klasma.github.io/Logging_0188/tillsynsmail/A 21744-2023 tillsynsbegäran mail.docx", "A 21744-2023")</f>
        <v/>
      </c>
    </row>
    <row r="88" ht="15" customHeight="1">
      <c r="A88" t="inlineStr">
        <is>
          <t>A 1162-2021</t>
        </is>
      </c>
      <c r="B88" s="1" t="n">
        <v>44207</v>
      </c>
      <c r="C88" s="1" t="n">
        <v>45922</v>
      </c>
      <c r="D88" t="inlineStr">
        <is>
          <t>STOCKHOLMS LÄN</t>
        </is>
      </c>
      <c r="E88" t="inlineStr">
        <is>
          <t>NORRTÄLJE</t>
        </is>
      </c>
      <c r="G88" t="n">
        <v>2.2</v>
      </c>
      <c r="H88" t="n">
        <v>1</v>
      </c>
      <c r="I88" t="n">
        <v>0</v>
      </c>
      <c r="J88" t="n">
        <v>0</v>
      </c>
      <c r="K88" t="n">
        <v>1</v>
      </c>
      <c r="L88" t="n">
        <v>0</v>
      </c>
      <c r="M88" t="n">
        <v>0</v>
      </c>
      <c r="N88" t="n">
        <v>0</v>
      </c>
      <c r="O88" t="n">
        <v>1</v>
      </c>
      <c r="P88" t="n">
        <v>1</v>
      </c>
      <c r="Q88" t="n">
        <v>1</v>
      </c>
      <c r="R88" s="2" t="inlineStr">
        <is>
          <t>Hällebräcka</t>
        </is>
      </c>
      <c r="S88">
        <f>HYPERLINK("https://klasma.github.io/Logging_0188/artfynd/A 1162-2021 artfynd.xlsx", "A 1162-2021")</f>
        <v/>
      </c>
      <c r="T88">
        <f>HYPERLINK("https://klasma.github.io/Logging_0188/kartor/A 1162-2021 karta.png", "A 1162-2021")</f>
        <v/>
      </c>
      <c r="V88">
        <f>HYPERLINK("https://klasma.github.io/Logging_0188/klagomål/A 1162-2021 FSC-klagomål.docx", "A 1162-2021")</f>
        <v/>
      </c>
      <c r="W88">
        <f>HYPERLINK("https://klasma.github.io/Logging_0188/klagomålsmail/A 1162-2021 FSC-klagomål mail.docx", "A 1162-2021")</f>
        <v/>
      </c>
      <c r="X88">
        <f>HYPERLINK("https://klasma.github.io/Logging_0188/tillsyn/A 1162-2021 tillsynsbegäran.docx", "A 1162-2021")</f>
        <v/>
      </c>
      <c r="Y88">
        <f>HYPERLINK("https://klasma.github.io/Logging_0188/tillsynsmail/A 1162-2021 tillsynsbegäran mail.docx", "A 1162-2021")</f>
        <v/>
      </c>
    </row>
    <row r="89" ht="15" customHeight="1">
      <c r="A89" t="inlineStr">
        <is>
          <t>A 52611-2024</t>
        </is>
      </c>
      <c r="B89" s="1" t="n">
        <v>45609.83747685186</v>
      </c>
      <c r="C89" s="1" t="n">
        <v>45922</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17952-2022</t>
        </is>
      </c>
      <c r="B90" s="1" t="n">
        <v>44683</v>
      </c>
      <c r="C90" s="1" t="n">
        <v>45922</v>
      </c>
      <c r="D90" t="inlineStr">
        <is>
          <t>STOCKHOLMS LÄN</t>
        </is>
      </c>
      <c r="E90" t="inlineStr">
        <is>
          <t>NORRTÄLJE</t>
        </is>
      </c>
      <c r="G90" t="n">
        <v>51.1</v>
      </c>
      <c r="H90" t="n">
        <v>0</v>
      </c>
      <c r="I90" t="n">
        <v>0</v>
      </c>
      <c r="J90" t="n">
        <v>0</v>
      </c>
      <c r="K90" t="n">
        <v>1</v>
      </c>
      <c r="L90" t="n">
        <v>0</v>
      </c>
      <c r="M90" t="n">
        <v>0</v>
      </c>
      <c r="N90" t="n">
        <v>0</v>
      </c>
      <c r="O90" t="n">
        <v>1</v>
      </c>
      <c r="P90" t="n">
        <v>1</v>
      </c>
      <c r="Q90" t="n">
        <v>1</v>
      </c>
      <c r="R90" s="2" t="inlineStr">
        <is>
          <t>Kattunvisslare</t>
        </is>
      </c>
      <c r="S90">
        <f>HYPERLINK("https://klasma.github.io/Logging_0188/artfynd/A 17952-2022 artfynd.xlsx", "A 17952-2022")</f>
        <v/>
      </c>
      <c r="T90">
        <f>HYPERLINK("https://klasma.github.io/Logging_0188/kartor/A 17952-2022 karta.png", "A 17952-2022")</f>
        <v/>
      </c>
      <c r="V90">
        <f>HYPERLINK("https://klasma.github.io/Logging_0188/klagomål/A 17952-2022 FSC-klagomål.docx", "A 17952-2022")</f>
        <v/>
      </c>
      <c r="W90">
        <f>HYPERLINK("https://klasma.github.io/Logging_0188/klagomålsmail/A 17952-2022 FSC-klagomål mail.docx", "A 17952-2022")</f>
        <v/>
      </c>
      <c r="X90">
        <f>HYPERLINK("https://klasma.github.io/Logging_0188/tillsyn/A 17952-2022 tillsynsbegäran.docx", "A 17952-2022")</f>
        <v/>
      </c>
      <c r="Y90">
        <f>HYPERLINK("https://klasma.github.io/Logging_0188/tillsynsmail/A 17952-2022 tillsynsbegäran mail.docx", "A 17952-2022")</f>
        <v/>
      </c>
    </row>
    <row r="91" ht="15" customHeight="1">
      <c r="A91" t="inlineStr">
        <is>
          <t>A 52508-2023</t>
        </is>
      </c>
      <c r="B91" s="1" t="n">
        <v>45225</v>
      </c>
      <c r="C91" s="1" t="n">
        <v>45922</v>
      </c>
      <c r="D91" t="inlineStr">
        <is>
          <t>STOCKHOLMS LÄN</t>
        </is>
      </c>
      <c r="E91" t="inlineStr">
        <is>
          <t>NORRTÄLJE</t>
        </is>
      </c>
      <c r="G91" t="n">
        <v>19.7</v>
      </c>
      <c r="H91" t="n">
        <v>1</v>
      </c>
      <c r="I91" t="n">
        <v>0</v>
      </c>
      <c r="J91" t="n">
        <v>0</v>
      </c>
      <c r="K91" t="n">
        <v>1</v>
      </c>
      <c r="L91" t="n">
        <v>0</v>
      </c>
      <c r="M91" t="n">
        <v>0</v>
      </c>
      <c r="N91" t="n">
        <v>0</v>
      </c>
      <c r="O91" t="n">
        <v>1</v>
      </c>
      <c r="P91" t="n">
        <v>1</v>
      </c>
      <c r="Q91" t="n">
        <v>1</v>
      </c>
      <c r="R91" s="2" t="inlineStr">
        <is>
          <t>Svärta</t>
        </is>
      </c>
      <c r="S91">
        <f>HYPERLINK("https://klasma.github.io/Logging_0188/artfynd/A 52508-2023 artfynd.xlsx", "A 52508-2023")</f>
        <v/>
      </c>
      <c r="T91">
        <f>HYPERLINK("https://klasma.github.io/Logging_0188/kartor/A 52508-2023 karta.png", "A 52508-2023")</f>
        <v/>
      </c>
      <c r="V91">
        <f>HYPERLINK("https://klasma.github.io/Logging_0188/klagomål/A 52508-2023 FSC-klagomål.docx", "A 52508-2023")</f>
        <v/>
      </c>
      <c r="W91">
        <f>HYPERLINK("https://klasma.github.io/Logging_0188/klagomålsmail/A 52508-2023 FSC-klagomål mail.docx", "A 52508-2023")</f>
        <v/>
      </c>
      <c r="X91">
        <f>HYPERLINK("https://klasma.github.io/Logging_0188/tillsyn/A 52508-2023 tillsynsbegäran.docx", "A 52508-2023")</f>
        <v/>
      </c>
      <c r="Y91">
        <f>HYPERLINK("https://klasma.github.io/Logging_0188/tillsynsmail/A 52508-2023 tillsynsbegäran mail.docx", "A 52508-2023")</f>
        <v/>
      </c>
    </row>
    <row r="92" ht="15" customHeight="1">
      <c r="A92" t="inlineStr">
        <is>
          <t>A 13271-2025</t>
        </is>
      </c>
      <c r="B92" s="1" t="n">
        <v>45735.54510416667</v>
      </c>
      <c r="C92" s="1" t="n">
        <v>45922</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29946-2025</t>
        </is>
      </c>
      <c r="B93" s="1" t="n">
        <v>45826.46392361111</v>
      </c>
      <c r="C93" s="1" t="n">
        <v>45922</v>
      </c>
      <c r="D93" t="inlineStr">
        <is>
          <t>STOCKHOLMS LÄN</t>
        </is>
      </c>
      <c r="E93" t="inlineStr">
        <is>
          <t>NORRTÄLJE</t>
        </is>
      </c>
      <c r="F93" t="inlineStr">
        <is>
          <t>Holmen skog AB</t>
        </is>
      </c>
      <c r="G93" t="n">
        <v>3.6</v>
      </c>
      <c r="H93" t="n">
        <v>1</v>
      </c>
      <c r="I93" t="n">
        <v>0</v>
      </c>
      <c r="J93" t="n">
        <v>0</v>
      </c>
      <c r="K93" t="n">
        <v>0</v>
      </c>
      <c r="L93" t="n">
        <v>1</v>
      </c>
      <c r="M93" t="n">
        <v>0</v>
      </c>
      <c r="N93" t="n">
        <v>0</v>
      </c>
      <c r="O93" t="n">
        <v>1</v>
      </c>
      <c r="P93" t="n">
        <v>1</v>
      </c>
      <c r="Q93" t="n">
        <v>1</v>
      </c>
      <c r="R93" s="2" t="inlineStr">
        <is>
          <t>Asknätfjäril</t>
        </is>
      </c>
      <c r="S93">
        <f>HYPERLINK("https://klasma.github.io/Logging_0188/artfynd/A 29946-2025 artfynd.xlsx", "A 29946-2025")</f>
        <v/>
      </c>
      <c r="T93">
        <f>HYPERLINK("https://klasma.github.io/Logging_0188/kartor/A 29946-2025 karta.png", "A 29946-2025")</f>
        <v/>
      </c>
      <c r="V93">
        <f>HYPERLINK("https://klasma.github.io/Logging_0188/klagomål/A 29946-2025 FSC-klagomål.docx", "A 29946-2025")</f>
        <v/>
      </c>
      <c r="W93">
        <f>HYPERLINK("https://klasma.github.io/Logging_0188/klagomålsmail/A 29946-2025 FSC-klagomål mail.docx", "A 29946-2025")</f>
        <v/>
      </c>
      <c r="X93">
        <f>HYPERLINK("https://klasma.github.io/Logging_0188/tillsyn/A 29946-2025 tillsynsbegäran.docx", "A 29946-2025")</f>
        <v/>
      </c>
      <c r="Y93">
        <f>HYPERLINK("https://klasma.github.io/Logging_0188/tillsynsmail/A 29946-2025 tillsynsbegäran mail.docx", "A 29946-2025")</f>
        <v/>
      </c>
    </row>
    <row r="94" ht="15" customHeight="1">
      <c r="A94" t="inlineStr">
        <is>
          <t>A 4595-2023</t>
        </is>
      </c>
      <c r="B94" s="1" t="n">
        <v>44956</v>
      </c>
      <c r="C94" s="1" t="n">
        <v>45922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33548-2025</t>
        </is>
      </c>
      <c r="B95" s="1" t="n">
        <v>45841.5721875</v>
      </c>
      <c r="C95" s="1" t="n">
        <v>45922</v>
      </c>
      <c r="D95" t="inlineStr">
        <is>
          <t>STOCKHOLMS LÄN</t>
        </is>
      </c>
      <c r="E95" t="inlineStr">
        <is>
          <t>NORRTÄLJE</t>
        </is>
      </c>
      <c r="G95" t="n">
        <v>12.2</v>
      </c>
      <c r="H95" t="n">
        <v>0</v>
      </c>
      <c r="I95" t="n">
        <v>0</v>
      </c>
      <c r="J95" t="n">
        <v>1</v>
      </c>
      <c r="K95" t="n">
        <v>0</v>
      </c>
      <c r="L95" t="n">
        <v>0</v>
      </c>
      <c r="M95" t="n">
        <v>0</v>
      </c>
      <c r="N95" t="n">
        <v>0</v>
      </c>
      <c r="O95" t="n">
        <v>1</v>
      </c>
      <c r="P95" t="n">
        <v>0</v>
      </c>
      <c r="Q95" t="n">
        <v>1</v>
      </c>
      <c r="R95" s="2" t="inlineStr">
        <is>
          <t>Dofttaggsvamp</t>
        </is>
      </c>
      <c r="S95">
        <f>HYPERLINK("https://klasma.github.io/Logging_0188/artfynd/A 33548-2025 artfynd.xlsx", "A 33548-2025")</f>
        <v/>
      </c>
      <c r="T95">
        <f>HYPERLINK("https://klasma.github.io/Logging_0188/kartor/A 33548-2025 karta.png", "A 33548-2025")</f>
        <v/>
      </c>
      <c r="V95">
        <f>HYPERLINK("https://klasma.github.io/Logging_0188/klagomål/A 33548-2025 FSC-klagomål.docx", "A 33548-2025")</f>
        <v/>
      </c>
      <c r="W95">
        <f>HYPERLINK("https://klasma.github.io/Logging_0188/klagomålsmail/A 33548-2025 FSC-klagomål mail.docx", "A 33548-2025")</f>
        <v/>
      </c>
      <c r="X95">
        <f>HYPERLINK("https://klasma.github.io/Logging_0188/tillsyn/A 33548-2025 tillsynsbegäran.docx", "A 33548-2025")</f>
        <v/>
      </c>
      <c r="Y95">
        <f>HYPERLINK("https://klasma.github.io/Logging_0188/tillsynsmail/A 33548-2025 tillsynsbegäran mail.docx", "A 33548-2025")</f>
        <v/>
      </c>
    </row>
    <row r="96" ht="15" customHeight="1">
      <c r="A96" t="inlineStr">
        <is>
          <t>A 24535-2023</t>
        </is>
      </c>
      <c r="B96" s="1" t="n">
        <v>45082</v>
      </c>
      <c r="C96" s="1" t="n">
        <v>45922</v>
      </c>
      <c r="D96" t="inlineStr">
        <is>
          <t>STOCKHOLMS LÄN</t>
        </is>
      </c>
      <c r="E96" t="inlineStr">
        <is>
          <t>NORRTÄLJE</t>
        </is>
      </c>
      <c r="F96" t="inlineStr">
        <is>
          <t>Kommuner</t>
        </is>
      </c>
      <c r="G96" t="n">
        <v>2</v>
      </c>
      <c r="H96" t="n">
        <v>1</v>
      </c>
      <c r="I96" t="n">
        <v>0</v>
      </c>
      <c r="J96" t="n">
        <v>0</v>
      </c>
      <c r="K96" t="n">
        <v>0</v>
      </c>
      <c r="L96" t="n">
        <v>0</v>
      </c>
      <c r="M96" t="n">
        <v>0</v>
      </c>
      <c r="N96" t="n">
        <v>0</v>
      </c>
      <c r="O96" t="n">
        <v>0</v>
      </c>
      <c r="P96" t="n">
        <v>0</v>
      </c>
      <c r="Q96" t="n">
        <v>1</v>
      </c>
      <c r="R96" s="2" t="inlineStr">
        <is>
          <t>Blåsippa</t>
        </is>
      </c>
      <c r="S96">
        <f>HYPERLINK("https://klasma.github.io/Logging_0188/artfynd/A 24535-2023 artfynd.xlsx", "A 24535-2023")</f>
        <v/>
      </c>
      <c r="T96">
        <f>HYPERLINK("https://klasma.github.io/Logging_0188/kartor/A 24535-2023 karta.png", "A 24535-2023")</f>
        <v/>
      </c>
      <c r="V96">
        <f>HYPERLINK("https://klasma.github.io/Logging_0188/klagomål/A 24535-2023 FSC-klagomål.docx", "A 24535-2023")</f>
        <v/>
      </c>
      <c r="W96">
        <f>HYPERLINK("https://klasma.github.io/Logging_0188/klagomålsmail/A 24535-2023 FSC-klagomål mail.docx", "A 24535-2023")</f>
        <v/>
      </c>
      <c r="X96">
        <f>HYPERLINK("https://klasma.github.io/Logging_0188/tillsyn/A 24535-2023 tillsynsbegäran.docx", "A 24535-2023")</f>
        <v/>
      </c>
      <c r="Y96">
        <f>HYPERLINK("https://klasma.github.io/Logging_0188/tillsynsmail/A 24535-2023 tillsynsbegäran mail.docx", "A 24535-2023")</f>
        <v/>
      </c>
    </row>
    <row r="97" ht="15" customHeight="1">
      <c r="A97" t="inlineStr">
        <is>
          <t>A 33546-2025</t>
        </is>
      </c>
      <c r="B97" s="1" t="n">
        <v>45841.56996527778</v>
      </c>
      <c r="C97" s="1" t="n">
        <v>45922</v>
      </c>
      <c r="D97" t="inlineStr">
        <is>
          <t>STOCKHOLMS LÄN</t>
        </is>
      </c>
      <c r="E97" t="inlineStr">
        <is>
          <t>NORRTÄLJE</t>
        </is>
      </c>
      <c r="G97" t="n">
        <v>7.2</v>
      </c>
      <c r="H97" t="n">
        <v>1</v>
      </c>
      <c r="I97" t="n">
        <v>1</v>
      </c>
      <c r="J97" t="n">
        <v>0</v>
      </c>
      <c r="K97" t="n">
        <v>0</v>
      </c>
      <c r="L97" t="n">
        <v>0</v>
      </c>
      <c r="M97" t="n">
        <v>0</v>
      </c>
      <c r="N97" t="n">
        <v>0</v>
      </c>
      <c r="O97" t="n">
        <v>0</v>
      </c>
      <c r="P97" t="n">
        <v>0</v>
      </c>
      <c r="Q97" t="n">
        <v>1</v>
      </c>
      <c r="R97" s="2" t="inlineStr">
        <is>
          <t>Nästrot</t>
        </is>
      </c>
      <c r="S97">
        <f>HYPERLINK("https://klasma.github.io/Logging_0188/artfynd/A 33546-2025 artfynd.xlsx", "A 33546-2025")</f>
        <v/>
      </c>
      <c r="T97">
        <f>HYPERLINK("https://klasma.github.io/Logging_0188/kartor/A 33546-2025 karta.png", "A 33546-2025")</f>
        <v/>
      </c>
      <c r="V97">
        <f>HYPERLINK("https://klasma.github.io/Logging_0188/klagomål/A 33546-2025 FSC-klagomål.docx", "A 33546-2025")</f>
        <v/>
      </c>
      <c r="W97">
        <f>HYPERLINK("https://klasma.github.io/Logging_0188/klagomålsmail/A 33546-2025 FSC-klagomål mail.docx", "A 33546-2025")</f>
        <v/>
      </c>
      <c r="X97">
        <f>HYPERLINK("https://klasma.github.io/Logging_0188/tillsyn/A 33546-2025 tillsynsbegäran.docx", "A 33546-2025")</f>
        <v/>
      </c>
      <c r="Y97">
        <f>HYPERLINK("https://klasma.github.io/Logging_0188/tillsynsmail/A 33546-2025 tillsynsbegäran mail.docx", "A 33546-2025")</f>
        <v/>
      </c>
    </row>
    <row r="98" ht="15" customHeight="1">
      <c r="A98" t="inlineStr">
        <is>
          <t>A 26635-2023</t>
        </is>
      </c>
      <c r="B98" s="1" t="n">
        <v>45092</v>
      </c>
      <c r="C98" s="1" t="n">
        <v>45922</v>
      </c>
      <c r="D98" t="inlineStr">
        <is>
          <t>STOCKHOLMS LÄN</t>
        </is>
      </c>
      <c r="E98" t="inlineStr">
        <is>
          <t>NORRTÄLJE</t>
        </is>
      </c>
      <c r="G98" t="n">
        <v>3.1</v>
      </c>
      <c r="H98" t="n">
        <v>1</v>
      </c>
      <c r="I98" t="n">
        <v>0</v>
      </c>
      <c r="J98" t="n">
        <v>0</v>
      </c>
      <c r="K98" t="n">
        <v>0</v>
      </c>
      <c r="L98" t="n">
        <v>0</v>
      </c>
      <c r="M98" t="n">
        <v>0</v>
      </c>
      <c r="N98" t="n">
        <v>0</v>
      </c>
      <c r="O98" t="n">
        <v>0</v>
      </c>
      <c r="P98" t="n">
        <v>0</v>
      </c>
      <c r="Q98" t="n">
        <v>1</v>
      </c>
      <c r="R98" s="2" t="inlineStr">
        <is>
          <t>Fläcknycklar</t>
        </is>
      </c>
      <c r="S98">
        <f>HYPERLINK("https://klasma.github.io/Logging_0188/artfynd/A 26635-2023 artfynd.xlsx", "A 26635-2023")</f>
        <v/>
      </c>
      <c r="T98">
        <f>HYPERLINK("https://klasma.github.io/Logging_0188/kartor/A 26635-2023 karta.png", "A 26635-2023")</f>
        <v/>
      </c>
      <c r="V98">
        <f>HYPERLINK("https://klasma.github.io/Logging_0188/klagomål/A 26635-2023 FSC-klagomål.docx", "A 26635-2023")</f>
        <v/>
      </c>
      <c r="W98">
        <f>HYPERLINK("https://klasma.github.io/Logging_0188/klagomålsmail/A 26635-2023 FSC-klagomål mail.docx", "A 26635-2023")</f>
        <v/>
      </c>
      <c r="X98">
        <f>HYPERLINK("https://klasma.github.io/Logging_0188/tillsyn/A 26635-2023 tillsynsbegäran.docx", "A 26635-2023")</f>
        <v/>
      </c>
      <c r="Y98">
        <f>HYPERLINK("https://klasma.github.io/Logging_0188/tillsynsmail/A 26635-2023 tillsynsbegäran mail.docx", "A 26635-2023")</f>
        <v/>
      </c>
    </row>
    <row r="99" ht="15" customHeight="1">
      <c r="A99" t="inlineStr">
        <is>
          <t>A 39158-2025</t>
        </is>
      </c>
      <c r="B99" s="1" t="n">
        <v>45888.62712962963</v>
      </c>
      <c r="C99" s="1" t="n">
        <v>45922</v>
      </c>
      <c r="D99" t="inlineStr">
        <is>
          <t>STOCKHOLMS LÄN</t>
        </is>
      </c>
      <c r="E99" t="inlineStr">
        <is>
          <t>NORRTÄLJE</t>
        </is>
      </c>
      <c r="G99" t="n">
        <v>1.5</v>
      </c>
      <c r="H99" t="n">
        <v>1</v>
      </c>
      <c r="I99" t="n">
        <v>0</v>
      </c>
      <c r="J99" t="n">
        <v>0</v>
      </c>
      <c r="K99" t="n">
        <v>0</v>
      </c>
      <c r="L99" t="n">
        <v>0</v>
      </c>
      <c r="M99" t="n">
        <v>0</v>
      </c>
      <c r="N99" t="n">
        <v>0</v>
      </c>
      <c r="O99" t="n">
        <v>0</v>
      </c>
      <c r="P99" t="n">
        <v>0</v>
      </c>
      <c r="Q99" t="n">
        <v>1</v>
      </c>
      <c r="R99" s="2" t="inlineStr">
        <is>
          <t>Blåsippa</t>
        </is>
      </c>
      <c r="S99">
        <f>HYPERLINK("https://klasma.github.io/Logging_0188/artfynd/A 39158-2025 artfynd.xlsx", "A 39158-2025")</f>
        <v/>
      </c>
      <c r="T99">
        <f>HYPERLINK("https://klasma.github.io/Logging_0188/kartor/A 39158-2025 karta.png", "A 39158-2025")</f>
        <v/>
      </c>
      <c r="V99">
        <f>HYPERLINK("https://klasma.github.io/Logging_0188/klagomål/A 39158-2025 FSC-klagomål.docx", "A 39158-2025")</f>
        <v/>
      </c>
      <c r="W99">
        <f>HYPERLINK("https://klasma.github.io/Logging_0188/klagomålsmail/A 39158-2025 FSC-klagomål mail.docx", "A 39158-2025")</f>
        <v/>
      </c>
      <c r="X99">
        <f>HYPERLINK("https://klasma.github.io/Logging_0188/tillsyn/A 39158-2025 tillsynsbegäran.docx", "A 39158-2025")</f>
        <v/>
      </c>
      <c r="Y99">
        <f>HYPERLINK("https://klasma.github.io/Logging_0188/tillsynsmail/A 39158-2025 tillsynsbegäran mail.docx", "A 39158-2025")</f>
        <v/>
      </c>
    </row>
    <row r="100" ht="15" customHeight="1">
      <c r="A100" t="inlineStr">
        <is>
          <t>A 27827-2022</t>
        </is>
      </c>
      <c r="B100" s="1" t="n">
        <v>44743.59504629629</v>
      </c>
      <c r="C100" s="1" t="n">
        <v>45922</v>
      </c>
      <c r="D100" t="inlineStr">
        <is>
          <t>STOCKHOLMS LÄN</t>
        </is>
      </c>
      <c r="E100" t="inlineStr">
        <is>
          <t>NORRTÄLJE</t>
        </is>
      </c>
      <c r="F100" t="inlineStr">
        <is>
          <t>Holmen skog AB</t>
        </is>
      </c>
      <c r="G100" t="n">
        <v>4.7</v>
      </c>
      <c r="H100" t="n">
        <v>1</v>
      </c>
      <c r="I100" t="n">
        <v>0</v>
      </c>
      <c r="J100" t="n">
        <v>1</v>
      </c>
      <c r="K100" t="n">
        <v>0</v>
      </c>
      <c r="L100" t="n">
        <v>0</v>
      </c>
      <c r="M100" t="n">
        <v>0</v>
      </c>
      <c r="N100" t="n">
        <v>0</v>
      </c>
      <c r="O100" t="n">
        <v>1</v>
      </c>
      <c r="P100" t="n">
        <v>0</v>
      </c>
      <c r="Q100" t="n">
        <v>1</v>
      </c>
      <c r="R100" s="2" t="inlineStr">
        <is>
          <t>Nordfladdermus</t>
        </is>
      </c>
      <c r="S100">
        <f>HYPERLINK("https://klasma.github.io/Logging_0188/artfynd/A 27827-2022 artfynd.xlsx", "A 27827-2022")</f>
        <v/>
      </c>
      <c r="T100">
        <f>HYPERLINK("https://klasma.github.io/Logging_0188/kartor/A 27827-2022 karta.png", "A 27827-2022")</f>
        <v/>
      </c>
      <c r="V100">
        <f>HYPERLINK("https://klasma.github.io/Logging_0188/klagomål/A 27827-2022 FSC-klagomål.docx", "A 27827-2022")</f>
        <v/>
      </c>
      <c r="W100">
        <f>HYPERLINK("https://klasma.github.io/Logging_0188/klagomålsmail/A 27827-2022 FSC-klagomål mail.docx", "A 27827-2022")</f>
        <v/>
      </c>
      <c r="X100">
        <f>HYPERLINK("https://klasma.github.io/Logging_0188/tillsyn/A 27827-2022 tillsynsbegäran.docx", "A 27827-2022")</f>
        <v/>
      </c>
      <c r="Y100">
        <f>HYPERLINK("https://klasma.github.io/Logging_0188/tillsynsmail/A 27827-2022 tillsynsbegäran mail.docx", "A 27827-2022")</f>
        <v/>
      </c>
    </row>
    <row r="101" ht="15" customHeight="1">
      <c r="A101" t="inlineStr">
        <is>
          <t>A 23146-2024</t>
        </is>
      </c>
      <c r="B101" s="1" t="n">
        <v>45450.63958333333</v>
      </c>
      <c r="C101" s="1" t="n">
        <v>45922</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40861-2025</t>
        </is>
      </c>
      <c r="B102" s="1" t="n">
        <v>45897.56356481482</v>
      </c>
      <c r="C102" s="1" t="n">
        <v>45922</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27538-2024</t>
        </is>
      </c>
      <c r="B103" s="1" t="n">
        <v>45474</v>
      </c>
      <c r="C103" s="1" t="n">
        <v>45922</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47898-2022</t>
        </is>
      </c>
      <c r="B104" s="1" t="n">
        <v>44855</v>
      </c>
      <c r="C104" s="1" t="n">
        <v>45922</v>
      </c>
      <c r="D104" t="inlineStr">
        <is>
          <t>STOCKHOLMS LÄN</t>
        </is>
      </c>
      <c r="E104" t="inlineStr">
        <is>
          <t>NORRTÄLJE</t>
        </is>
      </c>
      <c r="G104" t="n">
        <v>6.7</v>
      </c>
      <c r="H104" t="n">
        <v>1</v>
      </c>
      <c r="I104" t="n">
        <v>1</v>
      </c>
      <c r="J104" t="n">
        <v>0</v>
      </c>
      <c r="K104" t="n">
        <v>0</v>
      </c>
      <c r="L104" t="n">
        <v>0</v>
      </c>
      <c r="M104" t="n">
        <v>0</v>
      </c>
      <c r="N104" t="n">
        <v>0</v>
      </c>
      <c r="O104" t="n">
        <v>0</v>
      </c>
      <c r="P104" t="n">
        <v>0</v>
      </c>
      <c r="Q104" t="n">
        <v>1</v>
      </c>
      <c r="R104" s="2" t="inlineStr">
        <is>
          <t>Guckusko</t>
        </is>
      </c>
      <c r="S104">
        <f>HYPERLINK("https://klasma.github.io/Logging_0188/artfynd/A 47898-2022 artfynd.xlsx", "A 47898-2022")</f>
        <v/>
      </c>
      <c r="T104">
        <f>HYPERLINK("https://klasma.github.io/Logging_0188/kartor/A 47898-2022 karta.png", "A 47898-2022")</f>
        <v/>
      </c>
      <c r="V104">
        <f>HYPERLINK("https://klasma.github.io/Logging_0188/klagomål/A 47898-2022 FSC-klagomål.docx", "A 47898-2022")</f>
        <v/>
      </c>
      <c r="W104">
        <f>HYPERLINK("https://klasma.github.io/Logging_0188/klagomålsmail/A 47898-2022 FSC-klagomål mail.docx", "A 47898-2022")</f>
        <v/>
      </c>
      <c r="X104">
        <f>HYPERLINK("https://klasma.github.io/Logging_0188/tillsyn/A 47898-2022 tillsynsbegäran.docx", "A 47898-2022")</f>
        <v/>
      </c>
      <c r="Y104">
        <f>HYPERLINK("https://klasma.github.io/Logging_0188/tillsynsmail/A 47898-2022 tillsynsbegäran mail.docx", "A 47898-2022")</f>
        <v/>
      </c>
    </row>
    <row r="105" ht="15" customHeight="1">
      <c r="A105" t="inlineStr">
        <is>
          <t>A 48131-2023</t>
        </is>
      </c>
      <c r="B105" s="1" t="n">
        <v>45205</v>
      </c>
      <c r="C105" s="1" t="n">
        <v>45922</v>
      </c>
      <c r="D105" t="inlineStr">
        <is>
          <t>STOCKHOLMS LÄN</t>
        </is>
      </c>
      <c r="E105" t="inlineStr">
        <is>
          <t>NORRTÄLJE</t>
        </is>
      </c>
      <c r="G105" t="n">
        <v>2.3</v>
      </c>
      <c r="H105" t="n">
        <v>0</v>
      </c>
      <c r="I105" t="n">
        <v>0</v>
      </c>
      <c r="J105" t="n">
        <v>1</v>
      </c>
      <c r="K105" t="n">
        <v>0</v>
      </c>
      <c r="L105" t="n">
        <v>0</v>
      </c>
      <c r="M105" t="n">
        <v>0</v>
      </c>
      <c r="N105" t="n">
        <v>0</v>
      </c>
      <c r="O105" t="n">
        <v>1</v>
      </c>
      <c r="P105" t="n">
        <v>0</v>
      </c>
      <c r="Q105" t="n">
        <v>1</v>
      </c>
      <c r="R105" s="2" t="inlineStr">
        <is>
          <t>Slåtterfibbla</t>
        </is>
      </c>
      <c r="S105">
        <f>HYPERLINK("https://klasma.github.io/Logging_0188/artfynd/A 48131-2023 artfynd.xlsx", "A 48131-2023")</f>
        <v/>
      </c>
      <c r="T105">
        <f>HYPERLINK("https://klasma.github.io/Logging_0188/kartor/A 48131-2023 karta.png", "A 48131-2023")</f>
        <v/>
      </c>
      <c r="V105">
        <f>HYPERLINK("https://klasma.github.io/Logging_0188/klagomål/A 48131-2023 FSC-klagomål.docx", "A 48131-2023")</f>
        <v/>
      </c>
      <c r="W105">
        <f>HYPERLINK("https://klasma.github.io/Logging_0188/klagomålsmail/A 48131-2023 FSC-klagomål mail.docx", "A 48131-2023")</f>
        <v/>
      </c>
      <c r="X105">
        <f>HYPERLINK("https://klasma.github.io/Logging_0188/tillsyn/A 48131-2023 tillsynsbegäran.docx", "A 48131-2023")</f>
        <v/>
      </c>
      <c r="Y105">
        <f>HYPERLINK("https://klasma.github.io/Logging_0188/tillsynsmail/A 48131-2023 tillsynsbegäran mail.docx", "A 48131-2023")</f>
        <v/>
      </c>
    </row>
    <row r="106" ht="15" customHeight="1">
      <c r="A106" t="inlineStr">
        <is>
          <t>A 42313-2025</t>
        </is>
      </c>
      <c r="B106" s="1" t="n">
        <v>45904.6575</v>
      </c>
      <c r="C106" s="1" t="n">
        <v>45922</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16870-2025</t>
        </is>
      </c>
      <c r="B107" s="1" t="n">
        <v>45754</v>
      </c>
      <c r="C107" s="1" t="n">
        <v>45922</v>
      </c>
      <c r="D107" t="inlineStr">
        <is>
          <t>STOCKHOLMS LÄN</t>
        </is>
      </c>
      <c r="E107" t="inlineStr">
        <is>
          <t>NORRTÄLJE</t>
        </is>
      </c>
      <c r="G107" t="n">
        <v>24.6</v>
      </c>
      <c r="H107" t="n">
        <v>1</v>
      </c>
      <c r="I107" t="n">
        <v>0</v>
      </c>
      <c r="J107" t="n">
        <v>0</v>
      </c>
      <c r="K107" t="n">
        <v>0</v>
      </c>
      <c r="L107" t="n">
        <v>0</v>
      </c>
      <c r="M107" t="n">
        <v>0</v>
      </c>
      <c r="N107" t="n">
        <v>0</v>
      </c>
      <c r="O107" t="n">
        <v>0</v>
      </c>
      <c r="P107" t="n">
        <v>0</v>
      </c>
      <c r="Q107" t="n">
        <v>1</v>
      </c>
      <c r="R107" s="2" t="inlineStr">
        <is>
          <t>Vanlig groda</t>
        </is>
      </c>
      <c r="S107">
        <f>HYPERLINK("https://klasma.github.io/Logging_0188/artfynd/A 16870-2025 artfynd.xlsx", "A 16870-2025")</f>
        <v/>
      </c>
      <c r="T107">
        <f>HYPERLINK("https://klasma.github.io/Logging_0188/kartor/A 16870-2025 karta.png", "A 16870-2025")</f>
        <v/>
      </c>
      <c r="V107">
        <f>HYPERLINK("https://klasma.github.io/Logging_0188/klagomål/A 16870-2025 FSC-klagomål.docx", "A 16870-2025")</f>
        <v/>
      </c>
      <c r="W107">
        <f>HYPERLINK("https://klasma.github.io/Logging_0188/klagomålsmail/A 16870-2025 FSC-klagomål mail.docx", "A 16870-2025")</f>
        <v/>
      </c>
      <c r="X107">
        <f>HYPERLINK("https://klasma.github.io/Logging_0188/tillsyn/A 16870-2025 tillsynsbegäran.docx", "A 16870-2025")</f>
        <v/>
      </c>
      <c r="Y107">
        <f>HYPERLINK("https://klasma.github.io/Logging_0188/tillsynsmail/A 16870-2025 tillsynsbegäran mail.docx", "A 16870-2025")</f>
        <v/>
      </c>
    </row>
    <row r="108" ht="15" customHeight="1">
      <c r="A108" t="inlineStr">
        <is>
          <t>A 14365-2025</t>
        </is>
      </c>
      <c r="B108" s="1" t="n">
        <v>45741.38688657407</v>
      </c>
      <c r="C108" s="1" t="n">
        <v>45922</v>
      </c>
      <c r="D108" t="inlineStr">
        <is>
          <t>STOCKHOLMS LÄN</t>
        </is>
      </c>
      <c r="E108" t="inlineStr">
        <is>
          <t>NORRTÄLJE</t>
        </is>
      </c>
      <c r="G108" t="n">
        <v>2.4</v>
      </c>
      <c r="H108" t="n">
        <v>0</v>
      </c>
      <c r="I108" t="n">
        <v>0</v>
      </c>
      <c r="J108" t="n">
        <v>1</v>
      </c>
      <c r="K108" t="n">
        <v>0</v>
      </c>
      <c r="L108" t="n">
        <v>0</v>
      </c>
      <c r="M108" t="n">
        <v>0</v>
      </c>
      <c r="N108" t="n">
        <v>0</v>
      </c>
      <c r="O108" t="n">
        <v>1</v>
      </c>
      <c r="P108" t="n">
        <v>0</v>
      </c>
      <c r="Q108" t="n">
        <v>1</v>
      </c>
      <c r="R108" s="2" t="inlineStr">
        <is>
          <t>Granticka</t>
        </is>
      </c>
      <c r="S108">
        <f>HYPERLINK("https://klasma.github.io/Logging_0188/artfynd/A 14365-2025 artfynd.xlsx", "A 14365-2025")</f>
        <v/>
      </c>
      <c r="T108">
        <f>HYPERLINK("https://klasma.github.io/Logging_0188/kartor/A 14365-2025 karta.png", "A 14365-2025")</f>
        <v/>
      </c>
      <c r="V108">
        <f>HYPERLINK("https://klasma.github.io/Logging_0188/klagomål/A 14365-2025 FSC-klagomål.docx", "A 14365-2025")</f>
        <v/>
      </c>
      <c r="W108">
        <f>HYPERLINK("https://klasma.github.io/Logging_0188/klagomålsmail/A 14365-2025 FSC-klagomål mail.docx", "A 14365-2025")</f>
        <v/>
      </c>
      <c r="X108">
        <f>HYPERLINK("https://klasma.github.io/Logging_0188/tillsyn/A 14365-2025 tillsynsbegäran.docx", "A 14365-2025")</f>
        <v/>
      </c>
      <c r="Y108">
        <f>HYPERLINK("https://klasma.github.io/Logging_0188/tillsynsmail/A 14365-2025 tillsynsbegäran mail.docx", "A 14365-2025")</f>
        <v/>
      </c>
    </row>
    <row r="109" ht="15" customHeight="1">
      <c r="A109" t="inlineStr">
        <is>
          <t>A 32111-2022</t>
        </is>
      </c>
      <c r="B109" s="1" t="n">
        <v>44778.92797453704</v>
      </c>
      <c r="C109" s="1" t="n">
        <v>45922</v>
      </c>
      <c r="D109" t="inlineStr">
        <is>
          <t>STOCKHOLMS LÄN</t>
        </is>
      </c>
      <c r="E109" t="inlineStr">
        <is>
          <t>NORRTÄLJE</t>
        </is>
      </c>
      <c r="G109" t="n">
        <v>3.1</v>
      </c>
      <c r="H109" t="n">
        <v>0</v>
      </c>
      <c r="I109" t="n">
        <v>0</v>
      </c>
      <c r="J109" t="n">
        <v>1</v>
      </c>
      <c r="K109" t="n">
        <v>0</v>
      </c>
      <c r="L109" t="n">
        <v>0</v>
      </c>
      <c r="M109" t="n">
        <v>0</v>
      </c>
      <c r="N109" t="n">
        <v>0</v>
      </c>
      <c r="O109" t="n">
        <v>1</v>
      </c>
      <c r="P109" t="n">
        <v>0</v>
      </c>
      <c r="Q109" t="n">
        <v>1</v>
      </c>
      <c r="R109" s="2" t="inlineStr">
        <is>
          <t>Orange taggsvamp</t>
        </is>
      </c>
      <c r="S109">
        <f>HYPERLINK("https://klasma.github.io/Logging_0188/artfynd/A 32111-2022 artfynd.xlsx", "A 32111-2022")</f>
        <v/>
      </c>
      <c r="T109">
        <f>HYPERLINK("https://klasma.github.io/Logging_0188/kartor/A 32111-2022 karta.png", "A 32111-2022")</f>
        <v/>
      </c>
      <c r="V109">
        <f>HYPERLINK("https://klasma.github.io/Logging_0188/klagomål/A 32111-2022 FSC-klagomål.docx", "A 32111-2022")</f>
        <v/>
      </c>
      <c r="W109">
        <f>HYPERLINK("https://klasma.github.io/Logging_0188/klagomålsmail/A 32111-2022 FSC-klagomål mail.docx", "A 32111-2022")</f>
        <v/>
      </c>
      <c r="X109">
        <f>HYPERLINK("https://klasma.github.io/Logging_0188/tillsyn/A 32111-2022 tillsynsbegäran.docx", "A 32111-2022")</f>
        <v/>
      </c>
      <c r="Y109">
        <f>HYPERLINK("https://klasma.github.io/Logging_0188/tillsynsmail/A 32111-2022 tillsynsbegäran mail.docx", "A 32111-2022")</f>
        <v/>
      </c>
    </row>
    <row r="110" ht="15" customHeight="1">
      <c r="A110" t="inlineStr">
        <is>
          <t>A 21150-2022</t>
        </is>
      </c>
      <c r="B110" s="1" t="n">
        <v>44704</v>
      </c>
      <c r="C110" s="1" t="n">
        <v>45922</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21150-2022 artfynd.xlsx", "A 21150-2022")</f>
        <v/>
      </c>
      <c r="T110">
        <f>HYPERLINK("https://klasma.github.io/Logging_0188/kartor/A 21150-2022 karta.png", "A 21150-2022")</f>
        <v/>
      </c>
      <c r="V110">
        <f>HYPERLINK("https://klasma.github.io/Logging_0188/klagomål/A 21150-2022 FSC-klagomål.docx", "A 21150-2022")</f>
        <v/>
      </c>
      <c r="W110">
        <f>HYPERLINK("https://klasma.github.io/Logging_0188/klagomålsmail/A 21150-2022 FSC-klagomål mail.docx", "A 21150-2022")</f>
        <v/>
      </c>
      <c r="X110">
        <f>HYPERLINK("https://klasma.github.io/Logging_0188/tillsyn/A 21150-2022 tillsynsbegäran.docx", "A 21150-2022")</f>
        <v/>
      </c>
      <c r="Y110">
        <f>HYPERLINK("https://klasma.github.io/Logging_0188/tillsynsmail/A 21150-2022 tillsynsbegäran mail.docx", "A 21150-2022")</f>
        <v/>
      </c>
    </row>
    <row r="111" ht="15" customHeight="1">
      <c r="A111" t="inlineStr">
        <is>
          <t>A 58888-2021</t>
        </is>
      </c>
      <c r="B111" s="1" t="n">
        <v>44489</v>
      </c>
      <c r="C111" s="1" t="n">
        <v>45922</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4385-2023</t>
        </is>
      </c>
      <c r="B112" s="1" t="n">
        <v>44955.71322916666</v>
      </c>
      <c r="C112" s="1" t="n">
        <v>45922</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19829-2022</t>
        </is>
      </c>
      <c r="B113" s="1" t="n">
        <v>44695.43527777777</v>
      </c>
      <c r="C113" s="1" t="n">
        <v>45922</v>
      </c>
      <c r="D113" t="inlineStr">
        <is>
          <t>STOCKHOLMS LÄN</t>
        </is>
      </c>
      <c r="E113" t="inlineStr">
        <is>
          <t>NORRTÄLJE</t>
        </is>
      </c>
      <c r="G113" t="n">
        <v>2</v>
      </c>
      <c r="H113" t="n">
        <v>1</v>
      </c>
      <c r="I113" t="n">
        <v>1</v>
      </c>
      <c r="J113" t="n">
        <v>0</v>
      </c>
      <c r="K113" t="n">
        <v>0</v>
      </c>
      <c r="L113" t="n">
        <v>0</v>
      </c>
      <c r="M113" t="n">
        <v>0</v>
      </c>
      <c r="N113" t="n">
        <v>0</v>
      </c>
      <c r="O113" t="n">
        <v>0</v>
      </c>
      <c r="P113" t="n">
        <v>0</v>
      </c>
      <c r="Q113" t="n">
        <v>1</v>
      </c>
      <c r="R113" s="2" t="inlineStr">
        <is>
          <t>Guckusko</t>
        </is>
      </c>
      <c r="S113">
        <f>HYPERLINK("https://klasma.github.io/Logging_0188/artfynd/A 19829-2022 artfynd.xlsx", "A 19829-2022")</f>
        <v/>
      </c>
      <c r="T113">
        <f>HYPERLINK("https://klasma.github.io/Logging_0188/kartor/A 19829-2022 karta.png", "A 19829-2022")</f>
        <v/>
      </c>
      <c r="V113">
        <f>HYPERLINK("https://klasma.github.io/Logging_0188/klagomål/A 19829-2022 FSC-klagomål.docx", "A 19829-2022")</f>
        <v/>
      </c>
      <c r="W113">
        <f>HYPERLINK("https://klasma.github.io/Logging_0188/klagomålsmail/A 19829-2022 FSC-klagomål mail.docx", "A 19829-2022")</f>
        <v/>
      </c>
      <c r="X113">
        <f>HYPERLINK("https://klasma.github.io/Logging_0188/tillsyn/A 19829-2022 tillsynsbegäran.docx", "A 19829-2022")</f>
        <v/>
      </c>
      <c r="Y113">
        <f>HYPERLINK("https://klasma.github.io/Logging_0188/tillsynsmail/A 19829-2022 tillsynsbegäran mail.docx", "A 19829-2022")</f>
        <v/>
      </c>
    </row>
    <row r="114" ht="15" customHeight="1">
      <c r="A114" t="inlineStr">
        <is>
          <t>A 21927-2025</t>
        </is>
      </c>
      <c r="B114" s="1" t="n">
        <v>45784.54878472222</v>
      </c>
      <c r="C114" s="1" t="n">
        <v>45922</v>
      </c>
      <c r="D114" t="inlineStr">
        <is>
          <t>STOCKHOLMS LÄN</t>
        </is>
      </c>
      <c r="E114" t="inlineStr">
        <is>
          <t>NORRTÄLJE</t>
        </is>
      </c>
      <c r="G114" t="n">
        <v>3.4</v>
      </c>
      <c r="H114" t="n">
        <v>1</v>
      </c>
      <c r="I114" t="n">
        <v>1</v>
      </c>
      <c r="J114" t="n">
        <v>0</v>
      </c>
      <c r="K114" t="n">
        <v>0</v>
      </c>
      <c r="L114" t="n">
        <v>0</v>
      </c>
      <c r="M114" t="n">
        <v>0</v>
      </c>
      <c r="N114" t="n">
        <v>0</v>
      </c>
      <c r="O114" t="n">
        <v>0</v>
      </c>
      <c r="P114" t="n">
        <v>0</v>
      </c>
      <c r="Q114" t="n">
        <v>1</v>
      </c>
      <c r="R114" s="2" t="inlineStr">
        <is>
          <t>Nästrot</t>
        </is>
      </c>
      <c r="S114">
        <f>HYPERLINK("https://klasma.github.io/Logging_0188/artfynd/A 21927-2025 artfynd.xlsx", "A 21927-2025")</f>
        <v/>
      </c>
      <c r="T114">
        <f>HYPERLINK("https://klasma.github.io/Logging_0188/kartor/A 21927-2025 karta.png", "A 21927-2025")</f>
        <v/>
      </c>
      <c r="V114">
        <f>HYPERLINK("https://klasma.github.io/Logging_0188/klagomål/A 21927-2025 FSC-klagomål.docx", "A 21927-2025")</f>
        <v/>
      </c>
      <c r="W114">
        <f>HYPERLINK("https://klasma.github.io/Logging_0188/klagomålsmail/A 21927-2025 FSC-klagomål mail.docx", "A 21927-2025")</f>
        <v/>
      </c>
      <c r="X114">
        <f>HYPERLINK("https://klasma.github.io/Logging_0188/tillsyn/A 21927-2025 tillsynsbegäran.docx", "A 21927-2025")</f>
        <v/>
      </c>
      <c r="Y114">
        <f>HYPERLINK("https://klasma.github.io/Logging_0188/tillsynsmail/A 21927-2025 tillsynsbegäran mail.docx", "A 21927-2025")</f>
        <v/>
      </c>
    </row>
    <row r="115" ht="15" customHeight="1">
      <c r="A115" t="inlineStr">
        <is>
          <t>A 9955-2022</t>
        </is>
      </c>
      <c r="B115" s="1" t="n">
        <v>44620</v>
      </c>
      <c r="C115" s="1" t="n">
        <v>45922</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23905-2025</t>
        </is>
      </c>
      <c r="B116" s="1" t="n">
        <v>45794.63298611111</v>
      </c>
      <c r="C116" s="1" t="n">
        <v>45922</v>
      </c>
      <c r="D116" t="inlineStr">
        <is>
          <t>STOCKHOLMS LÄN</t>
        </is>
      </c>
      <c r="E116" t="inlineStr">
        <is>
          <t>NORRTÄLJE</t>
        </is>
      </c>
      <c r="G116" t="n">
        <v>8.4</v>
      </c>
      <c r="H116" t="n">
        <v>1</v>
      </c>
      <c r="I116" t="n">
        <v>0</v>
      </c>
      <c r="J116" t="n">
        <v>0</v>
      </c>
      <c r="K116" t="n">
        <v>0</v>
      </c>
      <c r="L116" t="n">
        <v>0</v>
      </c>
      <c r="M116" t="n">
        <v>0</v>
      </c>
      <c r="N116" t="n">
        <v>0</v>
      </c>
      <c r="O116" t="n">
        <v>0</v>
      </c>
      <c r="P116" t="n">
        <v>0</v>
      </c>
      <c r="Q116" t="n">
        <v>1</v>
      </c>
      <c r="R116" s="2" t="inlineStr">
        <is>
          <t>Blåsippa</t>
        </is>
      </c>
      <c r="S116">
        <f>HYPERLINK("https://klasma.github.io/Logging_0188/artfynd/A 23905-2025 artfynd.xlsx", "A 23905-2025")</f>
        <v/>
      </c>
      <c r="T116">
        <f>HYPERLINK("https://klasma.github.io/Logging_0188/kartor/A 23905-2025 karta.png", "A 23905-2025")</f>
        <v/>
      </c>
      <c r="V116">
        <f>HYPERLINK("https://klasma.github.io/Logging_0188/klagomål/A 23905-2025 FSC-klagomål.docx", "A 23905-2025")</f>
        <v/>
      </c>
      <c r="W116">
        <f>HYPERLINK("https://klasma.github.io/Logging_0188/klagomålsmail/A 23905-2025 FSC-klagomål mail.docx", "A 23905-2025")</f>
        <v/>
      </c>
      <c r="X116">
        <f>HYPERLINK("https://klasma.github.io/Logging_0188/tillsyn/A 23905-2025 tillsynsbegäran.docx", "A 23905-2025")</f>
        <v/>
      </c>
      <c r="Y116">
        <f>HYPERLINK("https://klasma.github.io/Logging_0188/tillsynsmail/A 23905-2025 tillsynsbegäran mail.docx", "A 23905-2025")</f>
        <v/>
      </c>
    </row>
    <row r="117" ht="15" customHeight="1">
      <c r="A117" t="inlineStr">
        <is>
          <t>A 1970-2021</t>
        </is>
      </c>
      <c r="B117" s="1" t="n">
        <v>44210</v>
      </c>
      <c r="C117" s="1" t="n">
        <v>45922</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45922</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45922</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45922</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45922</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71543-2021</t>
        </is>
      </c>
      <c r="B122" s="1" t="n">
        <v>44540</v>
      </c>
      <c r="C122" s="1" t="n">
        <v>45922</v>
      </c>
      <c r="D122" t="inlineStr">
        <is>
          <t>STOCKHOLMS LÄN</t>
        </is>
      </c>
      <c r="E122" t="inlineStr">
        <is>
          <t>NORRTÄLJE</t>
        </is>
      </c>
      <c r="G122" t="n">
        <v>1.8</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45922</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45922</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45922</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45922</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45922</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45922</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45922</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45922</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45922</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45922</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45922</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45922</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45922</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45922</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45922</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45922</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45922</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45922</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45922</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45922</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45922</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45922</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45922</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45922</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45922</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45922</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45922</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45922</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45922</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45922</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45922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45922</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8338-2021</t>
        </is>
      </c>
      <c r="B155" s="1" t="n">
        <v>44244</v>
      </c>
      <c r="C155" s="1" t="n">
        <v>45922</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45922</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45922</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45922</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45922</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45922</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45922</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45922</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45922</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45922</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45922</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45922</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45922</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45922</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45922</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45922</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45922</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45922</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45922</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45922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45922</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45922</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45922</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45922</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45922</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45922</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45922</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45922</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29868-2022</t>
        </is>
      </c>
      <c r="B183" s="1" t="n">
        <v>44756.40881944444</v>
      </c>
      <c r="C183" s="1" t="n">
        <v>45922</v>
      </c>
      <c r="D183" t="inlineStr">
        <is>
          <t>STOCKHOLMS LÄN</t>
        </is>
      </c>
      <c r="E183" t="inlineStr">
        <is>
          <t>NORRTÄLJE</t>
        </is>
      </c>
      <c r="G183" t="n">
        <v>1.8</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45922</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53690-2020</t>
        </is>
      </c>
      <c r="B185" s="1" t="n">
        <v>44124</v>
      </c>
      <c r="C185" s="1" t="n">
        <v>45922</v>
      </c>
      <c r="D185" t="inlineStr">
        <is>
          <t>STOCKHOLMS LÄN</t>
        </is>
      </c>
      <c r="E185" t="inlineStr">
        <is>
          <t>NORRTÄLJE</t>
        </is>
      </c>
      <c r="G185" t="n">
        <v>0.5</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45922</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45922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45922</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45922</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45922</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45922</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45922</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45922</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45922</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45922</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45922</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45922</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45922</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45922</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45922</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45922</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45922</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45922</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45922</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45922</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45922</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45922</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45922</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45922</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45922</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45922</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45922</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45922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45922</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5562-2021</t>
        </is>
      </c>
      <c r="B215" s="1" t="n">
        <v>44230</v>
      </c>
      <c r="C215" s="1" t="n">
        <v>45922</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5566-2021</t>
        </is>
      </c>
      <c r="B216" s="1" t="n">
        <v>44230</v>
      </c>
      <c r="C216" s="1" t="n">
        <v>45922</v>
      </c>
      <c r="D216" t="inlineStr">
        <is>
          <t>STOCKHOLMS LÄN</t>
        </is>
      </c>
      <c r="E216" t="inlineStr">
        <is>
          <t>NORRTÄLJE</t>
        </is>
      </c>
      <c r="G216" t="n">
        <v>3.1</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45922</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45922</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24167-2022</t>
        </is>
      </c>
      <c r="B219" s="1" t="n">
        <v>44725.49491898148</v>
      </c>
      <c r="C219" s="1" t="n">
        <v>45922</v>
      </c>
      <c r="D219" t="inlineStr">
        <is>
          <t>STOCKHOLMS LÄN</t>
        </is>
      </c>
      <c r="E219" t="inlineStr">
        <is>
          <t>NORRTÄLJE</t>
        </is>
      </c>
      <c r="G219" t="n">
        <v>3.4</v>
      </c>
      <c r="H219" t="n">
        <v>0</v>
      </c>
      <c r="I219" t="n">
        <v>0</v>
      </c>
      <c r="J219" t="n">
        <v>0</v>
      </c>
      <c r="K219" t="n">
        <v>0</v>
      </c>
      <c r="L219" t="n">
        <v>0</v>
      </c>
      <c r="M219" t="n">
        <v>0</v>
      </c>
      <c r="N219" t="n">
        <v>0</v>
      </c>
      <c r="O219" t="n">
        <v>0</v>
      </c>
      <c r="P219" t="n">
        <v>0</v>
      </c>
      <c r="Q219" t="n">
        <v>0</v>
      </c>
      <c r="R219" s="2" t="inlineStr"/>
    </row>
    <row r="220" ht="15" customHeight="1">
      <c r="A220" t="inlineStr">
        <is>
          <t>A 42396-2021</t>
        </is>
      </c>
      <c r="B220" s="1" t="n">
        <v>44427</v>
      </c>
      <c r="C220" s="1" t="n">
        <v>45922</v>
      </c>
      <c r="D220" t="inlineStr">
        <is>
          <t>STOCKHOLMS LÄN</t>
        </is>
      </c>
      <c r="E220" t="inlineStr">
        <is>
          <t>NORRTÄLJE</t>
        </is>
      </c>
      <c r="G220" t="n">
        <v>2</v>
      </c>
      <c r="H220" t="n">
        <v>0</v>
      </c>
      <c r="I220" t="n">
        <v>0</v>
      </c>
      <c r="J220" t="n">
        <v>0</v>
      </c>
      <c r="K220" t="n">
        <v>0</v>
      </c>
      <c r="L220" t="n">
        <v>0</v>
      </c>
      <c r="M220" t="n">
        <v>0</v>
      </c>
      <c r="N220" t="n">
        <v>0</v>
      </c>
      <c r="O220" t="n">
        <v>0</v>
      </c>
      <c r="P220" t="n">
        <v>0</v>
      </c>
      <c r="Q220" t="n">
        <v>0</v>
      </c>
      <c r="R220" s="2" t="inlineStr"/>
    </row>
    <row r="221" ht="15" customHeight="1">
      <c r="A221" t="inlineStr">
        <is>
          <t>A 52139-2022</t>
        </is>
      </c>
      <c r="B221" s="1" t="n">
        <v>44868</v>
      </c>
      <c r="C221" s="1" t="n">
        <v>45922</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45922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9446-2021</t>
        </is>
      </c>
      <c r="B223" s="1" t="n">
        <v>44251</v>
      </c>
      <c r="C223" s="1" t="n">
        <v>45922</v>
      </c>
      <c r="D223" t="inlineStr">
        <is>
          <t>STOCKHOLMS LÄN</t>
        </is>
      </c>
      <c r="E223" t="inlineStr">
        <is>
          <t>NORRTÄLJE</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60733-2021</t>
        </is>
      </c>
      <c r="B224" s="1" t="n">
        <v>44496.77542824074</v>
      </c>
      <c r="C224" s="1" t="n">
        <v>45922</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2732-2022</t>
        </is>
      </c>
      <c r="B225" s="1" t="n">
        <v>44580</v>
      </c>
      <c r="C225" s="1" t="n">
        <v>45922</v>
      </c>
      <c r="D225" t="inlineStr">
        <is>
          <t>STOCKHOLMS LÄN</t>
        </is>
      </c>
      <c r="E225" t="inlineStr">
        <is>
          <t>NORRTÄLJE</t>
        </is>
      </c>
      <c r="G225" t="n">
        <v>0.5</v>
      </c>
      <c r="H225" t="n">
        <v>0</v>
      </c>
      <c r="I225" t="n">
        <v>0</v>
      </c>
      <c r="J225" t="n">
        <v>0</v>
      </c>
      <c r="K225" t="n">
        <v>0</v>
      </c>
      <c r="L225" t="n">
        <v>0</v>
      </c>
      <c r="M225" t="n">
        <v>0</v>
      </c>
      <c r="N225" t="n">
        <v>0</v>
      </c>
      <c r="O225" t="n">
        <v>0</v>
      </c>
      <c r="P225" t="n">
        <v>0</v>
      </c>
      <c r="Q225" t="n">
        <v>0</v>
      </c>
      <c r="R225" s="2" t="inlineStr"/>
    </row>
    <row r="226" ht="15" customHeight="1">
      <c r="A226" t="inlineStr">
        <is>
          <t>A 15226-2022</t>
        </is>
      </c>
      <c r="B226" s="1" t="n">
        <v>44658</v>
      </c>
      <c r="C226" s="1" t="n">
        <v>45922</v>
      </c>
      <c r="D226" t="inlineStr">
        <is>
          <t>STOCKHOLMS LÄN</t>
        </is>
      </c>
      <c r="E226" t="inlineStr">
        <is>
          <t>NORRTÄLJE</t>
        </is>
      </c>
      <c r="G226" t="n">
        <v>1.1</v>
      </c>
      <c r="H226" t="n">
        <v>0</v>
      </c>
      <c r="I226" t="n">
        <v>0</v>
      </c>
      <c r="J226" t="n">
        <v>0</v>
      </c>
      <c r="K226" t="n">
        <v>0</v>
      </c>
      <c r="L226" t="n">
        <v>0</v>
      </c>
      <c r="M226" t="n">
        <v>0</v>
      </c>
      <c r="N226" t="n">
        <v>0</v>
      </c>
      <c r="O226" t="n">
        <v>0</v>
      </c>
      <c r="P226" t="n">
        <v>0</v>
      </c>
      <c r="Q226" t="n">
        <v>0</v>
      </c>
      <c r="R226" s="2" t="inlineStr"/>
    </row>
    <row r="227" ht="15" customHeight="1">
      <c r="A227" t="inlineStr">
        <is>
          <t>A 48071-2020</t>
        </is>
      </c>
      <c r="B227" s="1" t="n">
        <v>44100</v>
      </c>
      <c r="C227" s="1" t="n">
        <v>45922</v>
      </c>
      <c r="D227" t="inlineStr">
        <is>
          <t>STOCKHOLMS LÄN</t>
        </is>
      </c>
      <c r="E227" t="inlineStr">
        <is>
          <t>NORRTÄLJE</t>
        </is>
      </c>
      <c r="G227" t="n">
        <v>6.8</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45922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45922</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3300-2022</t>
        </is>
      </c>
      <c r="B230" s="1" t="n">
        <v>44584.91538194445</v>
      </c>
      <c r="C230" s="1" t="n">
        <v>45922</v>
      </c>
      <c r="D230" t="inlineStr">
        <is>
          <t>STOCKHOLMS LÄN</t>
        </is>
      </c>
      <c r="E230" t="inlineStr">
        <is>
          <t>NORRTÄLJE</t>
        </is>
      </c>
      <c r="G230" t="n">
        <v>0.4</v>
      </c>
      <c r="H230" t="n">
        <v>0</v>
      </c>
      <c r="I230" t="n">
        <v>0</v>
      </c>
      <c r="J230" t="n">
        <v>0</v>
      </c>
      <c r="K230" t="n">
        <v>0</v>
      </c>
      <c r="L230" t="n">
        <v>0</v>
      </c>
      <c r="M230" t="n">
        <v>0</v>
      </c>
      <c r="N230" t="n">
        <v>0</v>
      </c>
      <c r="O230" t="n">
        <v>0</v>
      </c>
      <c r="P230" t="n">
        <v>0</v>
      </c>
      <c r="Q230" t="n">
        <v>0</v>
      </c>
      <c r="R230" s="2" t="inlineStr"/>
    </row>
    <row r="231" ht="15" customHeight="1">
      <c r="A231" t="inlineStr">
        <is>
          <t>A 17388-2022</t>
        </is>
      </c>
      <c r="B231" s="1" t="n">
        <v>44678</v>
      </c>
      <c r="C231" s="1" t="n">
        <v>45922</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45922</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16119-2022</t>
        </is>
      </c>
      <c r="B233" s="1" t="n">
        <v>44665.66407407408</v>
      </c>
      <c r="C233" s="1" t="n">
        <v>45922</v>
      </c>
      <c r="D233" t="inlineStr">
        <is>
          <t>STOCKHOLMS LÄN</t>
        </is>
      </c>
      <c r="E233" t="inlineStr">
        <is>
          <t>NORRTÄLJE</t>
        </is>
      </c>
      <c r="G233" t="n">
        <v>3.9</v>
      </c>
      <c r="H233" t="n">
        <v>0</v>
      </c>
      <c r="I233" t="n">
        <v>0</v>
      </c>
      <c r="J233" t="n">
        <v>0</v>
      </c>
      <c r="K233" t="n">
        <v>0</v>
      </c>
      <c r="L233" t="n">
        <v>0</v>
      </c>
      <c r="M233" t="n">
        <v>0</v>
      </c>
      <c r="N233" t="n">
        <v>0</v>
      </c>
      <c r="O233" t="n">
        <v>0</v>
      </c>
      <c r="P233" t="n">
        <v>0</v>
      </c>
      <c r="Q233" t="n">
        <v>0</v>
      </c>
      <c r="R233" s="2" t="inlineStr"/>
    </row>
    <row r="234" ht="15" customHeight="1">
      <c r="A234" t="inlineStr">
        <is>
          <t>A 38991-2022</t>
        </is>
      </c>
      <c r="B234" s="1" t="n">
        <v>44816.89569444444</v>
      </c>
      <c r="C234" s="1" t="n">
        <v>45922</v>
      </c>
      <c r="D234" t="inlineStr">
        <is>
          <t>STOCKHOLMS LÄN</t>
        </is>
      </c>
      <c r="E234" t="inlineStr">
        <is>
          <t>NORRTÄLJE</t>
        </is>
      </c>
      <c r="G234" t="n">
        <v>1.9</v>
      </c>
      <c r="H234" t="n">
        <v>0</v>
      </c>
      <c r="I234" t="n">
        <v>0</v>
      </c>
      <c r="J234" t="n">
        <v>0</v>
      </c>
      <c r="K234" t="n">
        <v>0</v>
      </c>
      <c r="L234" t="n">
        <v>0</v>
      </c>
      <c r="M234" t="n">
        <v>0</v>
      </c>
      <c r="N234" t="n">
        <v>0</v>
      </c>
      <c r="O234" t="n">
        <v>0</v>
      </c>
      <c r="P234" t="n">
        <v>0</v>
      </c>
      <c r="Q234" t="n">
        <v>0</v>
      </c>
      <c r="R234" s="2" t="inlineStr"/>
    </row>
    <row r="235" ht="15" customHeight="1">
      <c r="A235" t="inlineStr">
        <is>
          <t>A 17771-2022</t>
        </is>
      </c>
      <c r="B235" s="1" t="n">
        <v>44682.75924768519</v>
      </c>
      <c r="C235" s="1" t="n">
        <v>45922</v>
      </c>
      <c r="D235" t="inlineStr">
        <is>
          <t>STOCKHOLMS LÄN</t>
        </is>
      </c>
      <c r="E235" t="inlineStr">
        <is>
          <t>NORRTÄLJE</t>
        </is>
      </c>
      <c r="G235" t="n">
        <v>13.3</v>
      </c>
      <c r="H235" t="n">
        <v>0</v>
      </c>
      <c r="I235" t="n">
        <v>0</v>
      </c>
      <c r="J235" t="n">
        <v>0</v>
      </c>
      <c r="K235" t="n">
        <v>0</v>
      </c>
      <c r="L235" t="n">
        <v>0</v>
      </c>
      <c r="M235" t="n">
        <v>0</v>
      </c>
      <c r="N235" t="n">
        <v>0</v>
      </c>
      <c r="O235" t="n">
        <v>0</v>
      </c>
      <c r="P235" t="n">
        <v>0</v>
      </c>
      <c r="Q235" t="n">
        <v>0</v>
      </c>
      <c r="R235" s="2" t="inlineStr"/>
    </row>
    <row r="236" ht="15" customHeight="1">
      <c r="A236" t="inlineStr">
        <is>
          <t>A 17773-2022</t>
        </is>
      </c>
      <c r="B236" s="1" t="n">
        <v>44682.77616898148</v>
      </c>
      <c r="C236" s="1" t="n">
        <v>45922</v>
      </c>
      <c r="D236" t="inlineStr">
        <is>
          <t>STOCKHOLMS LÄN</t>
        </is>
      </c>
      <c r="E236" t="inlineStr">
        <is>
          <t>NORRTÄLJE</t>
        </is>
      </c>
      <c r="G236" t="n">
        <v>10.8</v>
      </c>
      <c r="H236" t="n">
        <v>0</v>
      </c>
      <c r="I236" t="n">
        <v>0</v>
      </c>
      <c r="J236" t="n">
        <v>0</v>
      </c>
      <c r="K236" t="n">
        <v>0</v>
      </c>
      <c r="L236" t="n">
        <v>0</v>
      </c>
      <c r="M236" t="n">
        <v>0</v>
      </c>
      <c r="N236" t="n">
        <v>0</v>
      </c>
      <c r="O236" t="n">
        <v>0</v>
      </c>
      <c r="P236" t="n">
        <v>0</v>
      </c>
      <c r="Q236" t="n">
        <v>0</v>
      </c>
      <c r="R236" s="2" t="inlineStr"/>
    </row>
    <row r="237" ht="15" customHeight="1">
      <c r="A237" t="inlineStr">
        <is>
          <t>A 10521-2022</t>
        </is>
      </c>
      <c r="B237" s="1" t="n">
        <v>44623</v>
      </c>
      <c r="C237" s="1" t="n">
        <v>45922</v>
      </c>
      <c r="D237" t="inlineStr">
        <is>
          <t>STOCKHOLMS LÄN</t>
        </is>
      </c>
      <c r="E237" t="inlineStr">
        <is>
          <t>NORRTÄLJE</t>
        </is>
      </c>
      <c r="G237" t="n">
        <v>2.9</v>
      </c>
      <c r="H237" t="n">
        <v>0</v>
      </c>
      <c r="I237" t="n">
        <v>0</v>
      </c>
      <c r="J237" t="n">
        <v>0</v>
      </c>
      <c r="K237" t="n">
        <v>0</v>
      </c>
      <c r="L237" t="n">
        <v>0</v>
      </c>
      <c r="M237" t="n">
        <v>0</v>
      </c>
      <c r="N237" t="n">
        <v>0</v>
      </c>
      <c r="O237" t="n">
        <v>0</v>
      </c>
      <c r="P237" t="n">
        <v>0</v>
      </c>
      <c r="Q237" t="n">
        <v>0</v>
      </c>
      <c r="R237" s="2" t="inlineStr"/>
    </row>
    <row r="238" ht="15" customHeight="1">
      <c r="A238" t="inlineStr">
        <is>
          <t>A 31924-2022</t>
        </is>
      </c>
      <c r="B238" s="1" t="n">
        <v>44777</v>
      </c>
      <c r="C238" s="1" t="n">
        <v>45922</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45922</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17673-2021</t>
        </is>
      </c>
      <c r="B240" s="1" t="n">
        <v>44300</v>
      </c>
      <c r="C240" s="1" t="n">
        <v>45922</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c r="T240">
        <f>HYPERLINK("https://klasma.github.io/Logging_0188/kartor/A 17673-2021 karta.png", "A 17673-2021")</f>
        <v/>
      </c>
      <c r="V240">
        <f>HYPERLINK("https://klasma.github.io/Logging_0188/klagomål/A 17673-2021 FSC-klagomål.docx", "A 17673-2021")</f>
        <v/>
      </c>
      <c r="W240">
        <f>HYPERLINK("https://klasma.github.io/Logging_0188/klagomålsmail/A 17673-2021 FSC-klagomål mail.docx", "A 17673-2021")</f>
        <v/>
      </c>
      <c r="X240">
        <f>HYPERLINK("https://klasma.github.io/Logging_0188/tillsyn/A 17673-2021 tillsynsbegäran.docx", "A 17673-2021")</f>
        <v/>
      </c>
      <c r="Y240">
        <f>HYPERLINK("https://klasma.github.io/Logging_0188/tillsynsmail/A 17673-2021 tillsynsbegäran mail.docx", "A 17673-2021")</f>
        <v/>
      </c>
      <c r="Z240">
        <f>HYPERLINK("https://klasma.github.io/Logging_0188/fåglar/A 17673-2021 prioriterade fågelarter.docx", "A 17673-2021")</f>
        <v/>
      </c>
    </row>
    <row r="241" ht="15" customHeight="1">
      <c r="A241" t="inlineStr">
        <is>
          <t>A 12270-2022</t>
        </is>
      </c>
      <c r="B241" s="1" t="n">
        <v>44637</v>
      </c>
      <c r="C241" s="1" t="n">
        <v>45922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45922</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27217-2021</t>
        </is>
      </c>
      <c r="B243" s="1" t="n">
        <v>44350</v>
      </c>
      <c r="C243" s="1" t="n">
        <v>45922</v>
      </c>
      <c r="D243" t="inlineStr">
        <is>
          <t>STOCKHOLMS LÄN</t>
        </is>
      </c>
      <c r="E243" t="inlineStr">
        <is>
          <t>NORRTÄLJE</t>
        </is>
      </c>
      <c r="G243" t="n">
        <v>5.5</v>
      </c>
      <c r="H243" t="n">
        <v>0</v>
      </c>
      <c r="I243" t="n">
        <v>0</v>
      </c>
      <c r="J243" t="n">
        <v>0</v>
      </c>
      <c r="K243" t="n">
        <v>0</v>
      </c>
      <c r="L243" t="n">
        <v>0</v>
      </c>
      <c r="M243" t="n">
        <v>0</v>
      </c>
      <c r="N243" t="n">
        <v>0</v>
      </c>
      <c r="O243" t="n">
        <v>0</v>
      </c>
      <c r="P243" t="n">
        <v>0</v>
      </c>
      <c r="Q243" t="n">
        <v>0</v>
      </c>
      <c r="R243" s="2" t="inlineStr"/>
    </row>
    <row r="244" ht="15" customHeight="1">
      <c r="A244" t="inlineStr">
        <is>
          <t>A 57957-2020</t>
        </is>
      </c>
      <c r="B244" s="1" t="n">
        <v>44143</v>
      </c>
      <c r="C244" s="1" t="n">
        <v>45922</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55982-2020</t>
        </is>
      </c>
      <c r="B245" s="1" t="n">
        <v>44132</v>
      </c>
      <c r="C245" s="1" t="n">
        <v>45922</v>
      </c>
      <c r="D245" t="inlineStr">
        <is>
          <t>STOCKHOLMS LÄN</t>
        </is>
      </c>
      <c r="E245" t="inlineStr">
        <is>
          <t>NORRTÄLJE</t>
        </is>
      </c>
      <c r="G245" t="n">
        <v>11.3</v>
      </c>
      <c r="H245" t="n">
        <v>0</v>
      </c>
      <c r="I245" t="n">
        <v>0</v>
      </c>
      <c r="J245" t="n">
        <v>0</v>
      </c>
      <c r="K245" t="n">
        <v>0</v>
      </c>
      <c r="L245" t="n">
        <v>0</v>
      </c>
      <c r="M245" t="n">
        <v>0</v>
      </c>
      <c r="N245" t="n">
        <v>0</v>
      </c>
      <c r="O245" t="n">
        <v>0</v>
      </c>
      <c r="P245" t="n">
        <v>0</v>
      </c>
      <c r="Q245" t="n">
        <v>0</v>
      </c>
      <c r="R245" s="2" t="inlineStr"/>
    </row>
    <row r="246" ht="15" customHeight="1">
      <c r="A246" t="inlineStr">
        <is>
          <t>A 62030-2021</t>
        </is>
      </c>
      <c r="B246" s="1" t="n">
        <v>44502</v>
      </c>
      <c r="C246" s="1" t="n">
        <v>45922</v>
      </c>
      <c r="D246" t="inlineStr">
        <is>
          <t>STOCKHOLMS LÄN</t>
        </is>
      </c>
      <c r="E246" t="inlineStr">
        <is>
          <t>NORRTÄLJE</t>
        </is>
      </c>
      <c r="G246" t="n">
        <v>4.7</v>
      </c>
      <c r="H246" t="n">
        <v>0</v>
      </c>
      <c r="I246" t="n">
        <v>0</v>
      </c>
      <c r="J246" t="n">
        <v>0</v>
      </c>
      <c r="K246" t="n">
        <v>0</v>
      </c>
      <c r="L246" t="n">
        <v>0</v>
      </c>
      <c r="M246" t="n">
        <v>0</v>
      </c>
      <c r="N246" t="n">
        <v>0</v>
      </c>
      <c r="O246" t="n">
        <v>0</v>
      </c>
      <c r="P246" t="n">
        <v>0</v>
      </c>
      <c r="Q246" t="n">
        <v>0</v>
      </c>
      <c r="R246" s="2" t="inlineStr"/>
    </row>
    <row r="247" ht="15" customHeight="1">
      <c r="A247" t="inlineStr">
        <is>
          <t>A 52449-2021</t>
        </is>
      </c>
      <c r="B247" s="1" t="n">
        <v>44466.37496527778</v>
      </c>
      <c r="C247" s="1" t="n">
        <v>45922</v>
      </c>
      <c r="D247" t="inlineStr">
        <is>
          <t>STOCKHOLMS LÄN</t>
        </is>
      </c>
      <c r="E247" t="inlineStr">
        <is>
          <t>NORRTÄLJE</t>
        </is>
      </c>
      <c r="F247" t="inlineStr">
        <is>
          <t>Holmen skog AB</t>
        </is>
      </c>
      <c r="G247" t="n">
        <v>1.8</v>
      </c>
      <c r="H247" t="n">
        <v>0</v>
      </c>
      <c r="I247" t="n">
        <v>0</v>
      </c>
      <c r="J247" t="n">
        <v>0</v>
      </c>
      <c r="K247" t="n">
        <v>0</v>
      </c>
      <c r="L247" t="n">
        <v>0</v>
      </c>
      <c r="M247" t="n">
        <v>0</v>
      </c>
      <c r="N247" t="n">
        <v>0</v>
      </c>
      <c r="O247" t="n">
        <v>0</v>
      </c>
      <c r="P247" t="n">
        <v>0</v>
      </c>
      <c r="Q247" t="n">
        <v>0</v>
      </c>
      <c r="R247" s="2" t="inlineStr"/>
    </row>
    <row r="248" ht="15" customHeight="1">
      <c r="A248" t="inlineStr">
        <is>
          <t>A 33046-2021</t>
        </is>
      </c>
      <c r="B248" s="1" t="n">
        <v>44376</v>
      </c>
      <c r="C248" s="1" t="n">
        <v>45922</v>
      </c>
      <c r="D248" t="inlineStr">
        <is>
          <t>STOCKHOLMS LÄN</t>
        </is>
      </c>
      <c r="E248" t="inlineStr">
        <is>
          <t>NORRTÄLJE</t>
        </is>
      </c>
      <c r="G248" t="n">
        <v>2.1</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45922</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60542-2020</t>
        </is>
      </c>
      <c r="B250" s="1" t="n">
        <v>44153</v>
      </c>
      <c r="C250" s="1" t="n">
        <v>45922</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26328-2022</t>
        </is>
      </c>
      <c r="B251" s="1" t="n">
        <v>44735</v>
      </c>
      <c r="C251" s="1" t="n">
        <v>45922</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66372-2020</t>
        </is>
      </c>
      <c r="B252" s="1" t="n">
        <v>44176</v>
      </c>
      <c r="C252" s="1" t="n">
        <v>45922</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45922</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45922</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15441-2021</t>
        </is>
      </c>
      <c r="B255" s="1" t="n">
        <v>44284</v>
      </c>
      <c r="C255" s="1" t="n">
        <v>45922</v>
      </c>
      <c r="D255" t="inlineStr">
        <is>
          <t>STOCKHOLMS LÄN</t>
        </is>
      </c>
      <c r="E255" t="inlineStr">
        <is>
          <t>NORRTÄLJE</t>
        </is>
      </c>
      <c r="G255" t="n">
        <v>27</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45922</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45922</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45922</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67598-2021</t>
        </is>
      </c>
      <c r="B259" s="1" t="n">
        <v>44524</v>
      </c>
      <c r="C259" s="1" t="n">
        <v>45922</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7565-2022</t>
        </is>
      </c>
      <c r="B260" s="1" t="n">
        <v>44607</v>
      </c>
      <c r="C260" s="1" t="n">
        <v>45922</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49334-2020</t>
        </is>
      </c>
      <c r="B261" s="1" t="n">
        <v>44105</v>
      </c>
      <c r="C261" s="1" t="n">
        <v>45922</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41822-2021</t>
        </is>
      </c>
      <c r="B262" s="1" t="n">
        <v>44425</v>
      </c>
      <c r="C262" s="1" t="n">
        <v>45922</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41823-2021</t>
        </is>
      </c>
      <c r="B263" s="1" t="n">
        <v>44425</v>
      </c>
      <c r="C263" s="1" t="n">
        <v>45922</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34520-2021</t>
        </is>
      </c>
      <c r="B264" s="1" t="n">
        <v>44379</v>
      </c>
      <c r="C264" s="1" t="n">
        <v>45922</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41398-2022</t>
        </is>
      </c>
      <c r="B265" s="1" t="n">
        <v>44826</v>
      </c>
      <c r="C265" s="1" t="n">
        <v>45922</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22369-2021</t>
        </is>
      </c>
      <c r="B266" s="1" t="n">
        <v>44326</v>
      </c>
      <c r="C266" s="1" t="n">
        <v>45922</v>
      </c>
      <c r="D266" t="inlineStr">
        <is>
          <t>STOCKHOLMS LÄN</t>
        </is>
      </c>
      <c r="E266" t="inlineStr">
        <is>
          <t>NORRTÄLJE</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45922</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45922</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45922</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25463-2021</t>
        </is>
      </c>
      <c r="B270" s="1" t="n">
        <v>44342</v>
      </c>
      <c r="C270" s="1" t="n">
        <v>45922</v>
      </c>
      <c r="D270" t="inlineStr">
        <is>
          <t>STOCKHOLMS LÄN</t>
        </is>
      </c>
      <c r="E270" t="inlineStr">
        <is>
          <t>NORRTÄLJE</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45922</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1968-2022</t>
        </is>
      </c>
      <c r="B272" s="1" t="n">
        <v>44575.52831018518</v>
      </c>
      <c r="C272" s="1" t="n">
        <v>45922</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45922</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19398-2021</t>
        </is>
      </c>
      <c r="B274" s="1" t="n">
        <v>44309</v>
      </c>
      <c r="C274" s="1" t="n">
        <v>45922</v>
      </c>
      <c r="D274" t="inlineStr">
        <is>
          <t>STOCKHOLMS LÄN</t>
        </is>
      </c>
      <c r="E274" t="inlineStr">
        <is>
          <t>NORRTÄLJE</t>
        </is>
      </c>
      <c r="F274" t="inlineStr">
        <is>
          <t>Kommuner</t>
        </is>
      </c>
      <c r="G274" t="n">
        <v>2.1</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45922</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45922</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45922</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45922</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45922</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20295-2022</t>
        </is>
      </c>
      <c r="B280" s="1" t="n">
        <v>44698</v>
      </c>
      <c r="C280" s="1" t="n">
        <v>45922</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37415-2021</t>
        </is>
      </c>
      <c r="B281" s="1" t="n">
        <v>44397</v>
      </c>
      <c r="C281" s="1" t="n">
        <v>45922</v>
      </c>
      <c r="D281" t="inlineStr">
        <is>
          <t>STOCKHOLMS LÄN</t>
        </is>
      </c>
      <c r="E281" t="inlineStr">
        <is>
          <t>NORRTÄLJE</t>
        </is>
      </c>
      <c r="F281" t="inlineStr">
        <is>
          <t>Övriga Aktiebolag</t>
        </is>
      </c>
      <c r="G281" t="n">
        <v>3</v>
      </c>
      <c r="H281" t="n">
        <v>0</v>
      </c>
      <c r="I281" t="n">
        <v>0</v>
      </c>
      <c r="J281" t="n">
        <v>0</v>
      </c>
      <c r="K281" t="n">
        <v>0</v>
      </c>
      <c r="L281" t="n">
        <v>0</v>
      </c>
      <c r="M281" t="n">
        <v>0</v>
      </c>
      <c r="N281" t="n">
        <v>0</v>
      </c>
      <c r="O281" t="n">
        <v>0</v>
      </c>
      <c r="P281" t="n">
        <v>0</v>
      </c>
      <c r="Q281" t="n">
        <v>0</v>
      </c>
      <c r="R281" s="2" t="inlineStr"/>
    </row>
    <row r="282" ht="15" customHeight="1">
      <c r="A282" t="inlineStr">
        <is>
          <t>A 45541-2022</t>
        </is>
      </c>
      <c r="B282" s="1" t="n">
        <v>44845.47672453704</v>
      </c>
      <c r="C282" s="1" t="n">
        <v>45922</v>
      </c>
      <c r="D282" t="inlineStr">
        <is>
          <t>STOCKHOLMS LÄN</t>
        </is>
      </c>
      <c r="E282" t="inlineStr">
        <is>
          <t>NORRTÄLJE</t>
        </is>
      </c>
      <c r="G282" t="n">
        <v>0.4</v>
      </c>
      <c r="H282" t="n">
        <v>0</v>
      </c>
      <c r="I282" t="n">
        <v>0</v>
      </c>
      <c r="J282" t="n">
        <v>0</v>
      </c>
      <c r="K282" t="n">
        <v>0</v>
      </c>
      <c r="L282" t="n">
        <v>0</v>
      </c>
      <c r="M282" t="n">
        <v>0</v>
      </c>
      <c r="N282" t="n">
        <v>0</v>
      </c>
      <c r="O282" t="n">
        <v>0</v>
      </c>
      <c r="P282" t="n">
        <v>0</v>
      </c>
      <c r="Q282" t="n">
        <v>0</v>
      </c>
      <c r="R282" s="2" t="inlineStr"/>
    </row>
    <row r="283" ht="15" customHeight="1">
      <c r="A283" t="inlineStr">
        <is>
          <t>A 12779-2021</t>
        </is>
      </c>
      <c r="B283" s="1" t="n">
        <v>44270</v>
      </c>
      <c r="C283" s="1" t="n">
        <v>45922</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12782-2021</t>
        </is>
      </c>
      <c r="B284" s="1" t="n">
        <v>44270</v>
      </c>
      <c r="C284" s="1" t="n">
        <v>45922</v>
      </c>
      <c r="D284" t="inlineStr">
        <is>
          <t>STOCKHOLMS LÄN</t>
        </is>
      </c>
      <c r="E284" t="inlineStr">
        <is>
          <t>NORRTÄLJE</t>
        </is>
      </c>
      <c r="G284" t="n">
        <v>3.8</v>
      </c>
      <c r="H284" t="n">
        <v>0</v>
      </c>
      <c r="I284" t="n">
        <v>0</v>
      </c>
      <c r="J284" t="n">
        <v>0</v>
      </c>
      <c r="K284" t="n">
        <v>0</v>
      </c>
      <c r="L284" t="n">
        <v>0</v>
      </c>
      <c r="M284" t="n">
        <v>0</v>
      </c>
      <c r="N284" t="n">
        <v>0</v>
      </c>
      <c r="O284" t="n">
        <v>0</v>
      </c>
      <c r="P284" t="n">
        <v>0</v>
      </c>
      <c r="Q284" t="n">
        <v>0</v>
      </c>
      <c r="R284" s="2" t="inlineStr"/>
    </row>
    <row r="285" ht="15" customHeight="1">
      <c r="A285" t="inlineStr">
        <is>
          <t>A 1229-2022</t>
        </is>
      </c>
      <c r="B285" s="1" t="n">
        <v>44572</v>
      </c>
      <c r="C285" s="1" t="n">
        <v>45922</v>
      </c>
      <c r="D285" t="inlineStr">
        <is>
          <t>STOCKHOLMS LÄN</t>
        </is>
      </c>
      <c r="E285" t="inlineStr">
        <is>
          <t>NORRTÄLJE</t>
        </is>
      </c>
      <c r="G285" t="n">
        <v>11.5</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45922</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30286-2022</t>
        </is>
      </c>
      <c r="B287" s="1" t="n">
        <v>44760</v>
      </c>
      <c r="C287" s="1" t="n">
        <v>45922</v>
      </c>
      <c r="D287" t="inlineStr">
        <is>
          <t>STOCKHOLMS LÄN</t>
        </is>
      </c>
      <c r="E287" t="inlineStr">
        <is>
          <t>NORRTÄLJE</t>
        </is>
      </c>
      <c r="G287" t="n">
        <v>0.3</v>
      </c>
      <c r="H287" t="n">
        <v>0</v>
      </c>
      <c r="I287" t="n">
        <v>0</v>
      </c>
      <c r="J287" t="n">
        <v>0</v>
      </c>
      <c r="K287" t="n">
        <v>0</v>
      </c>
      <c r="L287" t="n">
        <v>0</v>
      </c>
      <c r="M287" t="n">
        <v>0</v>
      </c>
      <c r="N287" t="n">
        <v>0</v>
      </c>
      <c r="O287" t="n">
        <v>0</v>
      </c>
      <c r="P287" t="n">
        <v>0</v>
      </c>
      <c r="Q287" t="n">
        <v>0</v>
      </c>
      <c r="R287" s="2" t="inlineStr"/>
    </row>
    <row r="288" ht="15" customHeight="1">
      <c r="A288" t="inlineStr">
        <is>
          <t>A 8160-2022</t>
        </is>
      </c>
      <c r="B288" s="1" t="n">
        <v>44609</v>
      </c>
      <c r="C288" s="1" t="n">
        <v>45922</v>
      </c>
      <c r="D288" t="inlineStr">
        <is>
          <t>STOCKHOLMS LÄN</t>
        </is>
      </c>
      <c r="E288" t="inlineStr">
        <is>
          <t>NORRTÄLJE</t>
        </is>
      </c>
      <c r="G288" t="n">
        <v>3.9</v>
      </c>
      <c r="H288" t="n">
        <v>0</v>
      </c>
      <c r="I288" t="n">
        <v>0</v>
      </c>
      <c r="J288" t="n">
        <v>0</v>
      </c>
      <c r="K288" t="n">
        <v>0</v>
      </c>
      <c r="L288" t="n">
        <v>0</v>
      </c>
      <c r="M288" t="n">
        <v>0</v>
      </c>
      <c r="N288" t="n">
        <v>0</v>
      </c>
      <c r="O288" t="n">
        <v>0</v>
      </c>
      <c r="P288" t="n">
        <v>0</v>
      </c>
      <c r="Q288" t="n">
        <v>0</v>
      </c>
      <c r="R288" s="2" t="inlineStr"/>
    </row>
    <row r="289" ht="15" customHeight="1">
      <c r="A289" t="inlineStr">
        <is>
          <t>A 14051-2022</t>
        </is>
      </c>
      <c r="B289" s="1" t="n">
        <v>44650.92714120371</v>
      </c>
      <c r="C289" s="1" t="n">
        <v>45922</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45922</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68273-2021</t>
        </is>
      </c>
      <c r="B291" s="1" t="n">
        <v>44526</v>
      </c>
      <c r="C291" s="1" t="n">
        <v>45922</v>
      </c>
      <c r="D291" t="inlineStr">
        <is>
          <t>STOCKHOLMS LÄN</t>
        </is>
      </c>
      <c r="E291" t="inlineStr">
        <is>
          <t>NORRTÄLJE</t>
        </is>
      </c>
      <c r="G291" t="n">
        <v>5.3</v>
      </c>
      <c r="H291" t="n">
        <v>0</v>
      </c>
      <c r="I291" t="n">
        <v>0</v>
      </c>
      <c r="J291" t="n">
        <v>0</v>
      </c>
      <c r="K291" t="n">
        <v>0</v>
      </c>
      <c r="L291" t="n">
        <v>0</v>
      </c>
      <c r="M291" t="n">
        <v>0</v>
      </c>
      <c r="N291" t="n">
        <v>0</v>
      </c>
      <c r="O291" t="n">
        <v>0</v>
      </c>
      <c r="P291" t="n">
        <v>0</v>
      </c>
      <c r="Q291" t="n">
        <v>0</v>
      </c>
      <c r="R291" s="2" t="inlineStr"/>
    </row>
    <row r="292" ht="15" customHeight="1">
      <c r="A292" t="inlineStr">
        <is>
          <t>A 4322-2023</t>
        </is>
      </c>
      <c r="B292" s="1" t="n">
        <v>44953.69298611111</v>
      </c>
      <c r="C292" s="1" t="n">
        <v>45922</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39319-2022</t>
        </is>
      </c>
      <c r="B293" s="1" t="n">
        <v>44817.70516203704</v>
      </c>
      <c r="C293" s="1" t="n">
        <v>45922</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56219-2021</t>
        </is>
      </c>
      <c r="B294" s="1" t="n">
        <v>44477</v>
      </c>
      <c r="C294" s="1" t="n">
        <v>45922</v>
      </c>
      <c r="D294" t="inlineStr">
        <is>
          <t>STOCKHOLMS LÄN</t>
        </is>
      </c>
      <c r="E294" t="inlineStr">
        <is>
          <t>NORRTÄLJE</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15978-2024</t>
        </is>
      </c>
      <c r="B295" s="1" t="n">
        <v>45405.57927083333</v>
      </c>
      <c r="C295" s="1" t="n">
        <v>45922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11333-2025</t>
        </is>
      </c>
      <c r="B296" s="1" t="n">
        <v>45726.48377314815</v>
      </c>
      <c r="C296" s="1" t="n">
        <v>45922</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27828-2022</t>
        </is>
      </c>
      <c r="B297" s="1" t="n">
        <v>44743.59765046297</v>
      </c>
      <c r="C297" s="1" t="n">
        <v>45922</v>
      </c>
      <c r="D297" t="inlineStr">
        <is>
          <t>STOCKHOLMS LÄN</t>
        </is>
      </c>
      <c r="E297" t="inlineStr">
        <is>
          <t>NORRTÄLJE</t>
        </is>
      </c>
      <c r="F297" t="inlineStr">
        <is>
          <t>Kommuner</t>
        </is>
      </c>
      <c r="G297" t="n">
        <v>1.6</v>
      </c>
      <c r="H297" t="n">
        <v>0</v>
      </c>
      <c r="I297" t="n">
        <v>0</v>
      </c>
      <c r="J297" t="n">
        <v>0</v>
      </c>
      <c r="K297" t="n">
        <v>0</v>
      </c>
      <c r="L297" t="n">
        <v>0</v>
      </c>
      <c r="M297" t="n">
        <v>0</v>
      </c>
      <c r="N297" t="n">
        <v>0</v>
      </c>
      <c r="O297" t="n">
        <v>0</v>
      </c>
      <c r="P297" t="n">
        <v>0</v>
      </c>
      <c r="Q297" t="n">
        <v>0</v>
      </c>
      <c r="R297" s="2" t="inlineStr"/>
    </row>
    <row r="298" ht="15" customHeight="1">
      <c r="A298" t="inlineStr">
        <is>
          <t>A 38990-2022</t>
        </is>
      </c>
      <c r="B298" s="1" t="n">
        <v>44816</v>
      </c>
      <c r="C298" s="1" t="n">
        <v>45922</v>
      </c>
      <c r="D298" t="inlineStr">
        <is>
          <t>STOCKHOLMS LÄN</t>
        </is>
      </c>
      <c r="E298" t="inlineStr">
        <is>
          <t>NORRTÄLJE</t>
        </is>
      </c>
      <c r="G298" t="n">
        <v>5.7</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45922</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17956-2025</t>
        </is>
      </c>
      <c r="B300" s="1" t="n">
        <v>45760.91174768518</v>
      </c>
      <c r="C300" s="1" t="n">
        <v>45922</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875-2023</t>
        </is>
      </c>
      <c r="B301" s="1" t="n">
        <v>44931.65626157408</v>
      </c>
      <c r="C301" s="1" t="n">
        <v>45922</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28603-2024</t>
        </is>
      </c>
      <c r="B302" s="1" t="n">
        <v>45478.42887731481</v>
      </c>
      <c r="C302" s="1" t="n">
        <v>45922</v>
      </c>
      <c r="D302" t="inlineStr">
        <is>
          <t>STOCKHOLMS LÄN</t>
        </is>
      </c>
      <c r="E302" t="inlineStr">
        <is>
          <t>NORRTÄLJE</t>
        </is>
      </c>
      <c r="G302" t="n">
        <v>5.6</v>
      </c>
      <c r="H302" t="n">
        <v>0</v>
      </c>
      <c r="I302" t="n">
        <v>0</v>
      </c>
      <c r="J302" t="n">
        <v>0</v>
      </c>
      <c r="K302" t="n">
        <v>0</v>
      </c>
      <c r="L302" t="n">
        <v>0</v>
      </c>
      <c r="M302" t="n">
        <v>0</v>
      </c>
      <c r="N302" t="n">
        <v>0</v>
      </c>
      <c r="O302" t="n">
        <v>0</v>
      </c>
      <c r="P302" t="n">
        <v>0</v>
      </c>
      <c r="Q302" t="n">
        <v>0</v>
      </c>
      <c r="R302" s="2" t="inlineStr"/>
    </row>
    <row r="303" ht="15" customHeight="1">
      <c r="A303" t="inlineStr">
        <is>
          <t>A 33226-2024</t>
        </is>
      </c>
      <c r="B303" s="1" t="n">
        <v>45518</v>
      </c>
      <c r="C303" s="1" t="n">
        <v>45922</v>
      </c>
      <c r="D303" t="inlineStr">
        <is>
          <t>STOCKHOLMS LÄN</t>
        </is>
      </c>
      <c r="E303" t="inlineStr">
        <is>
          <t>NORRTÄLJE</t>
        </is>
      </c>
      <c r="G303" t="n">
        <v>13.8</v>
      </c>
      <c r="H303" t="n">
        <v>0</v>
      </c>
      <c r="I303" t="n">
        <v>0</v>
      </c>
      <c r="J303" t="n">
        <v>0</v>
      </c>
      <c r="K303" t="n">
        <v>0</v>
      </c>
      <c r="L303" t="n">
        <v>0</v>
      </c>
      <c r="M303" t="n">
        <v>0</v>
      </c>
      <c r="N303" t="n">
        <v>0</v>
      </c>
      <c r="O303" t="n">
        <v>0</v>
      </c>
      <c r="P303" t="n">
        <v>0</v>
      </c>
      <c r="Q303" t="n">
        <v>0</v>
      </c>
      <c r="R303" s="2" t="inlineStr"/>
    </row>
    <row r="304" ht="15" customHeight="1">
      <c r="A304" t="inlineStr">
        <is>
          <t>A 31236-2022</t>
        </is>
      </c>
      <c r="B304" s="1" t="n">
        <v>44771</v>
      </c>
      <c r="C304" s="1" t="n">
        <v>45922</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8315-2025</t>
        </is>
      </c>
      <c r="B305" s="1" t="n">
        <v>45708.61761574074</v>
      </c>
      <c r="C305" s="1" t="n">
        <v>45922</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31281-2022</t>
        </is>
      </c>
      <c r="B306" s="1" t="n">
        <v>44771</v>
      </c>
      <c r="C306" s="1" t="n">
        <v>45922</v>
      </c>
      <c r="D306" t="inlineStr">
        <is>
          <t>STOCKHOLMS LÄN</t>
        </is>
      </c>
      <c r="E306" t="inlineStr">
        <is>
          <t>NORRTÄLJE</t>
        </is>
      </c>
      <c r="F306" t="inlineStr">
        <is>
          <t>Holmen skog AB</t>
        </is>
      </c>
      <c r="G306" t="n">
        <v>5.2</v>
      </c>
      <c r="H306" t="n">
        <v>0</v>
      </c>
      <c r="I306" t="n">
        <v>0</v>
      </c>
      <c r="J306" t="n">
        <v>0</v>
      </c>
      <c r="K306" t="n">
        <v>0</v>
      </c>
      <c r="L306" t="n">
        <v>0</v>
      </c>
      <c r="M306" t="n">
        <v>0</v>
      </c>
      <c r="N306" t="n">
        <v>0</v>
      </c>
      <c r="O306" t="n">
        <v>0</v>
      </c>
      <c r="P306" t="n">
        <v>0</v>
      </c>
      <c r="Q306" t="n">
        <v>0</v>
      </c>
      <c r="R306" s="2" t="inlineStr"/>
    </row>
    <row r="307" ht="15" customHeight="1">
      <c r="A307" t="inlineStr">
        <is>
          <t>A 29841-2024</t>
        </is>
      </c>
      <c r="B307" s="1" t="n">
        <v>45485.60261574074</v>
      </c>
      <c r="C307" s="1" t="n">
        <v>45922</v>
      </c>
      <c r="D307" t="inlineStr">
        <is>
          <t>STOCKHOLMS LÄN</t>
        </is>
      </c>
      <c r="E307" t="inlineStr">
        <is>
          <t>NORRTÄLJE</t>
        </is>
      </c>
      <c r="G307" t="n">
        <v>15.9</v>
      </c>
      <c r="H307" t="n">
        <v>0</v>
      </c>
      <c r="I307" t="n">
        <v>0</v>
      </c>
      <c r="J307" t="n">
        <v>0</v>
      </c>
      <c r="K307" t="n">
        <v>0</v>
      </c>
      <c r="L307" t="n">
        <v>0</v>
      </c>
      <c r="M307" t="n">
        <v>0</v>
      </c>
      <c r="N307" t="n">
        <v>0</v>
      </c>
      <c r="O307" t="n">
        <v>0</v>
      </c>
      <c r="P307" t="n">
        <v>0</v>
      </c>
      <c r="Q307" t="n">
        <v>0</v>
      </c>
      <c r="R307" s="2" t="inlineStr"/>
    </row>
    <row r="308" ht="15" customHeight="1">
      <c r="A308" t="inlineStr">
        <is>
          <t>A 22008-2024</t>
        </is>
      </c>
      <c r="B308" s="1" t="n">
        <v>45443</v>
      </c>
      <c r="C308" s="1" t="n">
        <v>45922</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34391-2023</t>
        </is>
      </c>
      <c r="B309" s="1" t="n">
        <v>45139.51457175926</v>
      </c>
      <c r="C309" s="1" t="n">
        <v>45922</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24835-2025</t>
        </is>
      </c>
      <c r="B310" s="1" t="n">
        <v>45799</v>
      </c>
      <c r="C310" s="1" t="n">
        <v>45922</v>
      </c>
      <c r="D310" t="inlineStr">
        <is>
          <t>STOCKHOLMS LÄN</t>
        </is>
      </c>
      <c r="E310" t="inlineStr">
        <is>
          <t>NORRTÄLJE</t>
        </is>
      </c>
      <c r="G310" t="n">
        <v>2.5</v>
      </c>
      <c r="H310" t="n">
        <v>0</v>
      </c>
      <c r="I310" t="n">
        <v>0</v>
      </c>
      <c r="J310" t="n">
        <v>0</v>
      </c>
      <c r="K310" t="n">
        <v>0</v>
      </c>
      <c r="L310" t="n">
        <v>0</v>
      </c>
      <c r="M310" t="n">
        <v>0</v>
      </c>
      <c r="N310" t="n">
        <v>0</v>
      </c>
      <c r="O310" t="n">
        <v>0</v>
      </c>
      <c r="P310" t="n">
        <v>0</v>
      </c>
      <c r="Q310" t="n">
        <v>0</v>
      </c>
      <c r="R310" s="2" t="inlineStr"/>
    </row>
    <row r="311" ht="15" customHeight="1">
      <c r="A311" t="inlineStr">
        <is>
          <t>A 55243-2023</t>
        </is>
      </c>
      <c r="B311" s="1" t="n">
        <v>45237</v>
      </c>
      <c r="C311" s="1" t="n">
        <v>45922</v>
      </c>
      <c r="D311" t="inlineStr">
        <is>
          <t>STOCKHOLMS LÄN</t>
        </is>
      </c>
      <c r="E311" t="inlineStr">
        <is>
          <t>NORRTÄLJE</t>
        </is>
      </c>
      <c r="G311" t="n">
        <v>6.5</v>
      </c>
      <c r="H311" t="n">
        <v>0</v>
      </c>
      <c r="I311" t="n">
        <v>0</v>
      </c>
      <c r="J311" t="n">
        <v>0</v>
      </c>
      <c r="K311" t="n">
        <v>0</v>
      </c>
      <c r="L311" t="n">
        <v>0</v>
      </c>
      <c r="M311" t="n">
        <v>0</v>
      </c>
      <c r="N311" t="n">
        <v>0</v>
      </c>
      <c r="O311" t="n">
        <v>0</v>
      </c>
      <c r="P311" t="n">
        <v>0</v>
      </c>
      <c r="Q311" t="n">
        <v>0</v>
      </c>
      <c r="R311" s="2" t="inlineStr"/>
    </row>
    <row r="312" ht="15" customHeight="1">
      <c r="A312" t="inlineStr">
        <is>
          <t>A 52260-2022</t>
        </is>
      </c>
      <c r="B312" s="1" t="n">
        <v>44869</v>
      </c>
      <c r="C312" s="1" t="n">
        <v>45922</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24690-2025</t>
        </is>
      </c>
      <c r="B313" s="1" t="n">
        <v>45798.67082175926</v>
      </c>
      <c r="C313" s="1" t="n">
        <v>45922</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25557-2023</t>
        </is>
      </c>
      <c r="B314" s="1" t="n">
        <v>45089</v>
      </c>
      <c r="C314" s="1" t="n">
        <v>45922</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27715-2022</t>
        </is>
      </c>
      <c r="B315" s="1" t="n">
        <v>44743.47407407407</v>
      </c>
      <c r="C315" s="1" t="n">
        <v>45922</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18665-2022</t>
        </is>
      </c>
      <c r="B316" s="1" t="n">
        <v>44687</v>
      </c>
      <c r="C316" s="1" t="n">
        <v>45922</v>
      </c>
      <c r="D316" t="inlineStr">
        <is>
          <t>STOCKHOLMS LÄN</t>
        </is>
      </c>
      <c r="E316" t="inlineStr">
        <is>
          <t>NORRTÄLJE</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33279-2025</t>
        </is>
      </c>
      <c r="B317" s="1" t="n">
        <v>45840.70885416667</v>
      </c>
      <c r="C317" s="1" t="n">
        <v>45922</v>
      </c>
      <c r="D317" t="inlineStr">
        <is>
          <t>STOCKHOLMS LÄN</t>
        </is>
      </c>
      <c r="E317" t="inlineStr">
        <is>
          <t>NORRTÄLJE</t>
        </is>
      </c>
      <c r="G317" t="n">
        <v>1.8</v>
      </c>
      <c r="H317" t="n">
        <v>0</v>
      </c>
      <c r="I317" t="n">
        <v>0</v>
      </c>
      <c r="J317" t="n">
        <v>0</v>
      </c>
      <c r="K317" t="n">
        <v>0</v>
      </c>
      <c r="L317" t="n">
        <v>0</v>
      </c>
      <c r="M317" t="n">
        <v>0</v>
      </c>
      <c r="N317" t="n">
        <v>0</v>
      </c>
      <c r="O317" t="n">
        <v>0</v>
      </c>
      <c r="P317" t="n">
        <v>0</v>
      </c>
      <c r="Q317" t="n">
        <v>0</v>
      </c>
      <c r="R317" s="2" t="inlineStr"/>
    </row>
    <row r="318" ht="15" customHeight="1">
      <c r="A318" t="inlineStr">
        <is>
          <t>A 47259-2024</t>
        </is>
      </c>
      <c r="B318" s="1" t="n">
        <v>45586</v>
      </c>
      <c r="C318" s="1" t="n">
        <v>45922</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67921-2021</t>
        </is>
      </c>
      <c r="B319" s="1" t="n">
        <v>44525</v>
      </c>
      <c r="C319" s="1" t="n">
        <v>45922</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25702-2025</t>
        </is>
      </c>
      <c r="B320" s="1" t="n">
        <v>45800</v>
      </c>
      <c r="C320" s="1" t="n">
        <v>45922</v>
      </c>
      <c r="D320" t="inlineStr">
        <is>
          <t>STOCKHOLMS LÄN</t>
        </is>
      </c>
      <c r="E320" t="inlineStr">
        <is>
          <t>NORRTÄLJE</t>
        </is>
      </c>
      <c r="G320" t="n">
        <v>5.3</v>
      </c>
      <c r="H320" t="n">
        <v>0</v>
      </c>
      <c r="I320" t="n">
        <v>0</v>
      </c>
      <c r="J320" t="n">
        <v>0</v>
      </c>
      <c r="K320" t="n">
        <v>0</v>
      </c>
      <c r="L320" t="n">
        <v>0</v>
      </c>
      <c r="M320" t="n">
        <v>0</v>
      </c>
      <c r="N320" t="n">
        <v>0</v>
      </c>
      <c r="O320" t="n">
        <v>0</v>
      </c>
      <c r="P320" t="n">
        <v>0</v>
      </c>
      <c r="Q320" t="n">
        <v>0</v>
      </c>
      <c r="R320" s="2" t="inlineStr"/>
    </row>
    <row r="321" ht="15" customHeight="1">
      <c r="A321" t="inlineStr">
        <is>
          <t>A 25681-2024</t>
        </is>
      </c>
      <c r="B321" s="1" t="n">
        <v>45463.80486111111</v>
      </c>
      <c r="C321" s="1" t="n">
        <v>45922</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55696-2022</t>
        </is>
      </c>
      <c r="B322" s="1" t="n">
        <v>44888</v>
      </c>
      <c r="C322" s="1" t="n">
        <v>45922</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22412-2021</t>
        </is>
      </c>
      <c r="B323" s="1" t="n">
        <v>44326.61967592593</v>
      </c>
      <c r="C323" s="1" t="n">
        <v>45922</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25712-2025</t>
        </is>
      </c>
      <c r="B324" s="1" t="n">
        <v>45803.69228009259</v>
      </c>
      <c r="C324" s="1" t="n">
        <v>45922</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25725-2025</t>
        </is>
      </c>
      <c r="B325" s="1" t="n">
        <v>45800</v>
      </c>
      <c r="C325" s="1" t="n">
        <v>45922</v>
      </c>
      <c r="D325" t="inlineStr">
        <is>
          <t>STOCKHOLMS LÄN</t>
        </is>
      </c>
      <c r="E325" t="inlineStr">
        <is>
          <t>NORRTÄLJE</t>
        </is>
      </c>
      <c r="G325" t="n">
        <v>5.2</v>
      </c>
      <c r="H325" t="n">
        <v>0</v>
      </c>
      <c r="I325" t="n">
        <v>0</v>
      </c>
      <c r="J325" t="n">
        <v>0</v>
      </c>
      <c r="K325" t="n">
        <v>0</v>
      </c>
      <c r="L325" t="n">
        <v>0</v>
      </c>
      <c r="M325" t="n">
        <v>0</v>
      </c>
      <c r="N325" t="n">
        <v>0</v>
      </c>
      <c r="O325" t="n">
        <v>0</v>
      </c>
      <c r="P325" t="n">
        <v>0</v>
      </c>
      <c r="Q325" t="n">
        <v>0</v>
      </c>
      <c r="R325" s="2" t="inlineStr"/>
    </row>
    <row r="326" ht="15" customHeight="1">
      <c r="A326" t="inlineStr">
        <is>
          <t>A 57987-2020</t>
        </is>
      </c>
      <c r="B326" s="1" t="n">
        <v>44143</v>
      </c>
      <c r="C326" s="1" t="n">
        <v>45922</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13053-2022</t>
        </is>
      </c>
      <c r="B327" s="1" t="n">
        <v>44643</v>
      </c>
      <c r="C327" s="1" t="n">
        <v>45922</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58302-2022</t>
        </is>
      </c>
      <c r="B328" s="1" t="n">
        <v>44901</v>
      </c>
      <c r="C328" s="1" t="n">
        <v>45922</v>
      </c>
      <c r="D328" t="inlineStr">
        <is>
          <t>STOCKHOLMS LÄN</t>
        </is>
      </c>
      <c r="E328" t="inlineStr">
        <is>
          <t>NORRTÄLJE</t>
        </is>
      </c>
      <c r="G328" t="n">
        <v>3.9</v>
      </c>
      <c r="H328" t="n">
        <v>0</v>
      </c>
      <c r="I328" t="n">
        <v>0</v>
      </c>
      <c r="J328" t="n">
        <v>0</v>
      </c>
      <c r="K328" t="n">
        <v>0</v>
      </c>
      <c r="L328" t="n">
        <v>0</v>
      </c>
      <c r="M328" t="n">
        <v>0</v>
      </c>
      <c r="N328" t="n">
        <v>0</v>
      </c>
      <c r="O328" t="n">
        <v>0</v>
      </c>
      <c r="P328" t="n">
        <v>0</v>
      </c>
      <c r="Q328" t="n">
        <v>0</v>
      </c>
      <c r="R328" s="2" t="inlineStr"/>
    </row>
    <row r="329" ht="15" customHeight="1">
      <c r="A329" t="inlineStr">
        <is>
          <t>A 25733-2025</t>
        </is>
      </c>
      <c r="B329" s="1" t="n">
        <v>45800</v>
      </c>
      <c r="C329" s="1" t="n">
        <v>45922</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39238-2024</t>
        </is>
      </c>
      <c r="B330" s="1" t="n">
        <v>45549</v>
      </c>
      <c r="C330" s="1" t="n">
        <v>45922</v>
      </c>
      <c r="D330" t="inlineStr">
        <is>
          <t>STOCKHOLMS LÄN</t>
        </is>
      </c>
      <c r="E330" t="inlineStr">
        <is>
          <t>NORRTÄLJE</t>
        </is>
      </c>
      <c r="G330" t="n">
        <v>3.6</v>
      </c>
      <c r="H330" t="n">
        <v>0</v>
      </c>
      <c r="I330" t="n">
        <v>0</v>
      </c>
      <c r="J330" t="n">
        <v>0</v>
      </c>
      <c r="K330" t="n">
        <v>0</v>
      </c>
      <c r="L330" t="n">
        <v>0</v>
      </c>
      <c r="M330" t="n">
        <v>0</v>
      </c>
      <c r="N330" t="n">
        <v>0</v>
      </c>
      <c r="O330" t="n">
        <v>0</v>
      </c>
      <c r="P330" t="n">
        <v>0</v>
      </c>
      <c r="Q330" t="n">
        <v>0</v>
      </c>
      <c r="R330" s="2" t="inlineStr"/>
    </row>
    <row r="331" ht="15" customHeight="1">
      <c r="A331" t="inlineStr">
        <is>
          <t>A 15915-2023</t>
        </is>
      </c>
      <c r="B331" s="1" t="n">
        <v>45022</v>
      </c>
      <c r="C331" s="1" t="n">
        <v>45922</v>
      </c>
      <c r="D331" t="inlineStr">
        <is>
          <t>STOCKHOLMS LÄN</t>
        </is>
      </c>
      <c r="E331" t="inlineStr">
        <is>
          <t>NORRTÄLJE</t>
        </is>
      </c>
      <c r="G331" t="n">
        <v>2.9</v>
      </c>
      <c r="H331" t="n">
        <v>0</v>
      </c>
      <c r="I331" t="n">
        <v>0</v>
      </c>
      <c r="J331" t="n">
        <v>0</v>
      </c>
      <c r="K331" t="n">
        <v>0</v>
      </c>
      <c r="L331" t="n">
        <v>0</v>
      </c>
      <c r="M331" t="n">
        <v>0</v>
      </c>
      <c r="N331" t="n">
        <v>0</v>
      </c>
      <c r="O331" t="n">
        <v>0</v>
      </c>
      <c r="P331" t="n">
        <v>0</v>
      </c>
      <c r="Q331" t="n">
        <v>0</v>
      </c>
      <c r="R331" s="2" t="inlineStr"/>
    </row>
    <row r="332" ht="15" customHeight="1">
      <c r="A332" t="inlineStr">
        <is>
          <t>A 58853-2024</t>
        </is>
      </c>
      <c r="B332" s="1" t="n">
        <v>45636.38974537037</v>
      </c>
      <c r="C332" s="1" t="n">
        <v>45922</v>
      </c>
      <c r="D332" t="inlineStr">
        <is>
          <t>STOCKHOLMS LÄN</t>
        </is>
      </c>
      <c r="E332" t="inlineStr">
        <is>
          <t>NORRTÄLJE</t>
        </is>
      </c>
      <c r="G332" t="n">
        <v>0.7</v>
      </c>
      <c r="H332" t="n">
        <v>0</v>
      </c>
      <c r="I332" t="n">
        <v>0</v>
      </c>
      <c r="J332" t="n">
        <v>0</v>
      </c>
      <c r="K332" t="n">
        <v>0</v>
      </c>
      <c r="L332" t="n">
        <v>0</v>
      </c>
      <c r="M332" t="n">
        <v>0</v>
      </c>
      <c r="N332" t="n">
        <v>0</v>
      </c>
      <c r="O332" t="n">
        <v>0</v>
      </c>
      <c r="P332" t="n">
        <v>0</v>
      </c>
      <c r="Q332" t="n">
        <v>0</v>
      </c>
      <c r="R332" s="2" t="inlineStr"/>
    </row>
    <row r="333" ht="15" customHeight="1">
      <c r="A333" t="inlineStr">
        <is>
          <t>A 25571-2025</t>
        </is>
      </c>
      <c r="B333" s="1" t="n">
        <v>45803.4675</v>
      </c>
      <c r="C333" s="1" t="n">
        <v>45922</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25721-2025</t>
        </is>
      </c>
      <c r="B334" s="1" t="n">
        <v>45800</v>
      </c>
      <c r="C334" s="1" t="n">
        <v>45922</v>
      </c>
      <c r="D334" t="inlineStr">
        <is>
          <t>STOCKHOLMS LÄN</t>
        </is>
      </c>
      <c r="E334" t="inlineStr">
        <is>
          <t>NORRTÄLJE</t>
        </is>
      </c>
      <c r="G334" t="n">
        <v>6</v>
      </c>
      <c r="H334" t="n">
        <v>0</v>
      </c>
      <c r="I334" t="n">
        <v>0</v>
      </c>
      <c r="J334" t="n">
        <v>0</v>
      </c>
      <c r="K334" t="n">
        <v>0</v>
      </c>
      <c r="L334" t="n">
        <v>0</v>
      </c>
      <c r="M334" t="n">
        <v>0</v>
      </c>
      <c r="N334" t="n">
        <v>0</v>
      </c>
      <c r="O334" t="n">
        <v>0</v>
      </c>
      <c r="P334" t="n">
        <v>0</v>
      </c>
      <c r="Q334" t="n">
        <v>0</v>
      </c>
      <c r="R334" s="2" t="inlineStr"/>
    </row>
    <row r="335" ht="15" customHeight="1">
      <c r="A335" t="inlineStr">
        <is>
          <t>A 35438-2023</t>
        </is>
      </c>
      <c r="B335" s="1" t="n">
        <v>45146</v>
      </c>
      <c r="C335" s="1" t="n">
        <v>45922</v>
      </c>
      <c r="D335" t="inlineStr">
        <is>
          <t>STOCKHOLMS LÄN</t>
        </is>
      </c>
      <c r="E335" t="inlineStr">
        <is>
          <t>NORRTÄLJE</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25697-2025</t>
        </is>
      </c>
      <c r="B336" s="1" t="n">
        <v>45803.66587962963</v>
      </c>
      <c r="C336" s="1" t="n">
        <v>45922</v>
      </c>
      <c r="D336" t="inlineStr">
        <is>
          <t>STOCKHOLMS LÄN</t>
        </is>
      </c>
      <c r="E336" t="inlineStr">
        <is>
          <t>NORRTÄLJE</t>
        </is>
      </c>
      <c r="G336" t="n">
        <v>2.5</v>
      </c>
      <c r="H336" t="n">
        <v>0</v>
      </c>
      <c r="I336" t="n">
        <v>0</v>
      </c>
      <c r="J336" t="n">
        <v>0</v>
      </c>
      <c r="K336" t="n">
        <v>0</v>
      </c>
      <c r="L336" t="n">
        <v>0</v>
      </c>
      <c r="M336" t="n">
        <v>0</v>
      </c>
      <c r="N336" t="n">
        <v>0</v>
      </c>
      <c r="O336" t="n">
        <v>0</v>
      </c>
      <c r="P336" t="n">
        <v>0</v>
      </c>
      <c r="Q336" t="n">
        <v>0</v>
      </c>
      <c r="R336" s="2" t="inlineStr"/>
    </row>
    <row r="337" ht="15" customHeight="1">
      <c r="A337" t="inlineStr">
        <is>
          <t>A 41218-2024</t>
        </is>
      </c>
      <c r="B337" s="1" t="n">
        <v>45559.54706018518</v>
      </c>
      <c r="C337" s="1" t="n">
        <v>45922</v>
      </c>
      <c r="D337" t="inlineStr">
        <is>
          <t>STOCKHOLMS LÄN</t>
        </is>
      </c>
      <c r="E337" t="inlineStr">
        <is>
          <t>NORRTÄLJE</t>
        </is>
      </c>
      <c r="G337" t="n">
        <v>6</v>
      </c>
      <c r="H337" t="n">
        <v>0</v>
      </c>
      <c r="I337" t="n">
        <v>0</v>
      </c>
      <c r="J337" t="n">
        <v>0</v>
      </c>
      <c r="K337" t="n">
        <v>0</v>
      </c>
      <c r="L337" t="n">
        <v>0</v>
      </c>
      <c r="M337" t="n">
        <v>0</v>
      </c>
      <c r="N337" t="n">
        <v>0</v>
      </c>
      <c r="O337" t="n">
        <v>0</v>
      </c>
      <c r="P337" t="n">
        <v>0</v>
      </c>
      <c r="Q337" t="n">
        <v>0</v>
      </c>
      <c r="R337" s="2" t="inlineStr"/>
    </row>
    <row r="338" ht="15" customHeight="1">
      <c r="A338" t="inlineStr">
        <is>
          <t>A 25709-2025</t>
        </is>
      </c>
      <c r="B338" s="1" t="n">
        <v>45800</v>
      </c>
      <c r="C338" s="1" t="n">
        <v>45922</v>
      </c>
      <c r="D338" t="inlineStr">
        <is>
          <t>STOCKHOLMS LÄN</t>
        </is>
      </c>
      <c r="E338" t="inlineStr">
        <is>
          <t>NORRTÄLJE</t>
        </is>
      </c>
      <c r="G338" t="n">
        <v>4.6</v>
      </c>
      <c r="H338" t="n">
        <v>0</v>
      </c>
      <c r="I338" t="n">
        <v>0</v>
      </c>
      <c r="J338" t="n">
        <v>0</v>
      </c>
      <c r="K338" t="n">
        <v>0</v>
      </c>
      <c r="L338" t="n">
        <v>0</v>
      </c>
      <c r="M338" t="n">
        <v>0</v>
      </c>
      <c r="N338" t="n">
        <v>0</v>
      </c>
      <c r="O338" t="n">
        <v>0</v>
      </c>
      <c r="P338" t="n">
        <v>0</v>
      </c>
      <c r="Q338" t="n">
        <v>0</v>
      </c>
      <c r="R338" s="2" t="inlineStr"/>
    </row>
    <row r="339" ht="15" customHeight="1">
      <c r="A339" t="inlineStr">
        <is>
          <t>A 20291-2022</t>
        </is>
      </c>
      <c r="B339" s="1" t="n">
        <v>44698</v>
      </c>
      <c r="C339" s="1" t="n">
        <v>45922</v>
      </c>
      <c r="D339" t="inlineStr">
        <is>
          <t>STOCKHOLMS LÄN</t>
        </is>
      </c>
      <c r="E339" t="inlineStr">
        <is>
          <t>NORRTÄLJE</t>
        </is>
      </c>
      <c r="F339" t="inlineStr">
        <is>
          <t>Naturvårdsverket</t>
        </is>
      </c>
      <c r="G339" t="n">
        <v>2</v>
      </c>
      <c r="H339" t="n">
        <v>0</v>
      </c>
      <c r="I339" t="n">
        <v>0</v>
      </c>
      <c r="J339" t="n">
        <v>0</v>
      </c>
      <c r="K339" t="n">
        <v>0</v>
      </c>
      <c r="L339" t="n">
        <v>0</v>
      </c>
      <c r="M339" t="n">
        <v>0</v>
      </c>
      <c r="N339" t="n">
        <v>0</v>
      </c>
      <c r="O339" t="n">
        <v>0</v>
      </c>
      <c r="P339" t="n">
        <v>0</v>
      </c>
      <c r="Q339" t="n">
        <v>0</v>
      </c>
      <c r="R339" s="2" t="inlineStr"/>
    </row>
    <row r="340" ht="15" customHeight="1">
      <c r="A340" t="inlineStr">
        <is>
          <t>A 25270-2025</t>
        </is>
      </c>
      <c r="B340" s="1" t="n">
        <v>45800</v>
      </c>
      <c r="C340" s="1" t="n">
        <v>45922</v>
      </c>
      <c r="D340" t="inlineStr">
        <is>
          <t>STOCKHOLMS LÄN</t>
        </is>
      </c>
      <c r="E340" t="inlineStr">
        <is>
          <t>NORRTÄLJE</t>
        </is>
      </c>
      <c r="F340" t="inlineStr">
        <is>
          <t>Övriga Aktiebolag</t>
        </is>
      </c>
      <c r="G340" t="n">
        <v>30</v>
      </c>
      <c r="H340" t="n">
        <v>0</v>
      </c>
      <c r="I340" t="n">
        <v>0</v>
      </c>
      <c r="J340" t="n">
        <v>0</v>
      </c>
      <c r="K340" t="n">
        <v>0</v>
      </c>
      <c r="L340" t="n">
        <v>0</v>
      </c>
      <c r="M340" t="n">
        <v>0</v>
      </c>
      <c r="N340" t="n">
        <v>0</v>
      </c>
      <c r="O340" t="n">
        <v>0</v>
      </c>
      <c r="P340" t="n">
        <v>0</v>
      </c>
      <c r="Q340" t="n">
        <v>0</v>
      </c>
      <c r="R340" s="2" t="inlineStr"/>
    </row>
    <row r="341" ht="15" customHeight="1">
      <c r="A341" t="inlineStr">
        <is>
          <t>A 26115-2024</t>
        </is>
      </c>
      <c r="B341" s="1" t="n">
        <v>45468.45628472222</v>
      </c>
      <c r="C341" s="1" t="n">
        <v>45922</v>
      </c>
      <c r="D341" t="inlineStr">
        <is>
          <t>STOCKHOLMS LÄN</t>
        </is>
      </c>
      <c r="E341" t="inlineStr">
        <is>
          <t>NORRTÄLJE</t>
        </is>
      </c>
      <c r="G341" t="n">
        <v>0.3</v>
      </c>
      <c r="H341" t="n">
        <v>0</v>
      </c>
      <c r="I341" t="n">
        <v>0</v>
      </c>
      <c r="J341" t="n">
        <v>0</v>
      </c>
      <c r="K341" t="n">
        <v>0</v>
      </c>
      <c r="L341" t="n">
        <v>0</v>
      </c>
      <c r="M341" t="n">
        <v>0</v>
      </c>
      <c r="N341" t="n">
        <v>0</v>
      </c>
      <c r="O341" t="n">
        <v>0</v>
      </c>
      <c r="P341" t="n">
        <v>0</v>
      </c>
      <c r="Q341" t="n">
        <v>0</v>
      </c>
      <c r="R341" s="2" t="inlineStr"/>
    </row>
    <row r="342" ht="15" customHeight="1">
      <c r="A342" t="inlineStr">
        <is>
          <t>A 38591-2023</t>
        </is>
      </c>
      <c r="B342" s="1" t="n">
        <v>45162</v>
      </c>
      <c r="C342" s="1" t="n">
        <v>45922</v>
      </c>
      <c r="D342" t="inlineStr">
        <is>
          <t>STOCKHOLMS LÄN</t>
        </is>
      </c>
      <c r="E342" t="inlineStr">
        <is>
          <t>NORRTÄLJE</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30338-2022</t>
        </is>
      </c>
      <c r="B343" s="1" t="n">
        <v>44760</v>
      </c>
      <c r="C343" s="1" t="n">
        <v>45922</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55890-2020</t>
        </is>
      </c>
      <c r="B344" s="1" t="n">
        <v>44132</v>
      </c>
      <c r="C344" s="1" t="n">
        <v>45922</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2888-2022</t>
        </is>
      </c>
      <c r="B345" s="1" t="n">
        <v>44581</v>
      </c>
      <c r="C345" s="1" t="n">
        <v>45922</v>
      </c>
      <c r="D345" t="inlineStr">
        <is>
          <t>STOCKHOLMS LÄN</t>
        </is>
      </c>
      <c r="E345" t="inlineStr">
        <is>
          <t>NORRTÄLJE</t>
        </is>
      </c>
      <c r="G345" t="n">
        <v>2.4</v>
      </c>
      <c r="H345" t="n">
        <v>0</v>
      </c>
      <c r="I345" t="n">
        <v>0</v>
      </c>
      <c r="J345" t="n">
        <v>0</v>
      </c>
      <c r="K345" t="n">
        <v>0</v>
      </c>
      <c r="L345" t="n">
        <v>0</v>
      </c>
      <c r="M345" t="n">
        <v>0</v>
      </c>
      <c r="N345" t="n">
        <v>0</v>
      </c>
      <c r="O345" t="n">
        <v>0</v>
      </c>
      <c r="P345" t="n">
        <v>0</v>
      </c>
      <c r="Q345" t="n">
        <v>0</v>
      </c>
      <c r="R345" s="2" t="inlineStr"/>
    </row>
    <row r="346" ht="15" customHeight="1">
      <c r="A346" t="inlineStr">
        <is>
          <t>A 38449-2022</t>
        </is>
      </c>
      <c r="B346" s="1" t="n">
        <v>44813</v>
      </c>
      <c r="C346" s="1" t="n">
        <v>45922</v>
      </c>
      <c r="D346" t="inlineStr">
        <is>
          <t>STOCKHOLMS LÄN</t>
        </is>
      </c>
      <c r="E346" t="inlineStr">
        <is>
          <t>NORRTÄLJE</t>
        </is>
      </c>
      <c r="G346" t="n">
        <v>4.2</v>
      </c>
      <c r="H346" t="n">
        <v>0</v>
      </c>
      <c r="I346" t="n">
        <v>0</v>
      </c>
      <c r="J346" t="n">
        <v>0</v>
      </c>
      <c r="K346" t="n">
        <v>0</v>
      </c>
      <c r="L346" t="n">
        <v>0</v>
      </c>
      <c r="M346" t="n">
        <v>0</v>
      </c>
      <c r="N346" t="n">
        <v>0</v>
      </c>
      <c r="O346" t="n">
        <v>0</v>
      </c>
      <c r="P346" t="n">
        <v>0</v>
      </c>
      <c r="Q346" t="n">
        <v>0</v>
      </c>
      <c r="R346" s="2" t="inlineStr"/>
    </row>
    <row r="347" ht="15" customHeight="1">
      <c r="A347" t="inlineStr">
        <is>
          <t>A 52686-2024</t>
        </is>
      </c>
      <c r="B347" s="1" t="n">
        <v>45610.39271990741</v>
      </c>
      <c r="C347" s="1" t="n">
        <v>45922</v>
      </c>
      <c r="D347" t="inlineStr">
        <is>
          <t>STOCKHOLMS LÄN</t>
        </is>
      </c>
      <c r="E347" t="inlineStr">
        <is>
          <t>NORRTÄLJE</t>
        </is>
      </c>
      <c r="G347" t="n">
        <v>5.7</v>
      </c>
      <c r="H347" t="n">
        <v>0</v>
      </c>
      <c r="I347" t="n">
        <v>0</v>
      </c>
      <c r="J347" t="n">
        <v>0</v>
      </c>
      <c r="K347" t="n">
        <v>0</v>
      </c>
      <c r="L347" t="n">
        <v>0</v>
      </c>
      <c r="M347" t="n">
        <v>0</v>
      </c>
      <c r="N347" t="n">
        <v>0</v>
      </c>
      <c r="O347" t="n">
        <v>0</v>
      </c>
      <c r="P347" t="n">
        <v>0</v>
      </c>
      <c r="Q347" t="n">
        <v>0</v>
      </c>
      <c r="R347" s="2" t="inlineStr"/>
    </row>
    <row r="348" ht="15" customHeight="1">
      <c r="A348" t="inlineStr">
        <is>
          <t>A 20343-2024</t>
        </is>
      </c>
      <c r="B348" s="1" t="n">
        <v>45435.43466435185</v>
      </c>
      <c r="C348" s="1" t="n">
        <v>45922</v>
      </c>
      <c r="D348" t="inlineStr">
        <is>
          <t>STOCKHOLMS LÄN</t>
        </is>
      </c>
      <c r="E348" t="inlineStr">
        <is>
          <t>NORRTÄLJE</t>
        </is>
      </c>
      <c r="G348" t="n">
        <v>2.8</v>
      </c>
      <c r="H348" t="n">
        <v>0</v>
      </c>
      <c r="I348" t="n">
        <v>0</v>
      </c>
      <c r="J348" t="n">
        <v>0</v>
      </c>
      <c r="K348" t="n">
        <v>0</v>
      </c>
      <c r="L348" t="n">
        <v>0</v>
      </c>
      <c r="M348" t="n">
        <v>0</v>
      </c>
      <c r="N348" t="n">
        <v>0</v>
      </c>
      <c r="O348" t="n">
        <v>0</v>
      </c>
      <c r="P348" t="n">
        <v>0</v>
      </c>
      <c r="Q348" t="n">
        <v>0</v>
      </c>
      <c r="R348" s="2" t="inlineStr"/>
    </row>
    <row r="349" ht="15" customHeight="1">
      <c r="A349" t="inlineStr">
        <is>
          <t>A 20345-2024</t>
        </is>
      </c>
      <c r="B349" s="1" t="n">
        <v>45435.43820601852</v>
      </c>
      <c r="C349" s="1" t="n">
        <v>45922</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9765-2024</t>
        </is>
      </c>
      <c r="B350" s="1" t="n">
        <v>45362.62811342593</v>
      </c>
      <c r="C350" s="1" t="n">
        <v>45922</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35691-2023</t>
        </is>
      </c>
      <c r="B351" s="1" t="n">
        <v>45147.65222222222</v>
      </c>
      <c r="C351" s="1" t="n">
        <v>45922</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35693-2023</t>
        </is>
      </c>
      <c r="B352" s="1" t="n">
        <v>45147.65311342593</v>
      </c>
      <c r="C352" s="1" t="n">
        <v>45922</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34478-2025</t>
        </is>
      </c>
      <c r="B353" s="1" t="n">
        <v>45847.37414351852</v>
      </c>
      <c r="C353" s="1" t="n">
        <v>45922</v>
      </c>
      <c r="D353" t="inlineStr">
        <is>
          <t>STOCKHOLMS LÄN</t>
        </is>
      </c>
      <c r="E353" t="inlineStr">
        <is>
          <t>NORRTÄLJE</t>
        </is>
      </c>
      <c r="F353" t="inlineStr">
        <is>
          <t>Övriga Aktiebolag</t>
        </is>
      </c>
      <c r="G353" t="n">
        <v>10.8</v>
      </c>
      <c r="H353" t="n">
        <v>0</v>
      </c>
      <c r="I353" t="n">
        <v>0</v>
      </c>
      <c r="J353" t="n">
        <v>0</v>
      </c>
      <c r="K353" t="n">
        <v>0</v>
      </c>
      <c r="L353" t="n">
        <v>0</v>
      </c>
      <c r="M353" t="n">
        <v>0</v>
      </c>
      <c r="N353" t="n">
        <v>0</v>
      </c>
      <c r="O353" t="n">
        <v>0</v>
      </c>
      <c r="P353" t="n">
        <v>0</v>
      </c>
      <c r="Q353" t="n">
        <v>0</v>
      </c>
      <c r="R353" s="2" t="inlineStr"/>
    </row>
    <row r="354" ht="15" customHeight="1">
      <c r="A354" t="inlineStr">
        <is>
          <t>A 29972-2024</t>
        </is>
      </c>
      <c r="B354" s="1" t="n">
        <v>45485</v>
      </c>
      <c r="C354" s="1" t="n">
        <v>45922</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48716-2023</t>
        </is>
      </c>
      <c r="B355" s="1" t="n">
        <v>45208.69671296296</v>
      </c>
      <c r="C355" s="1" t="n">
        <v>45922</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59875-2024</t>
        </is>
      </c>
      <c r="B356" s="1" t="n">
        <v>45640.58716435185</v>
      </c>
      <c r="C356" s="1" t="n">
        <v>45922</v>
      </c>
      <c r="D356" t="inlineStr">
        <is>
          <t>STOCKHOLMS LÄN</t>
        </is>
      </c>
      <c r="E356" t="inlineStr">
        <is>
          <t>NORRTÄLJE</t>
        </is>
      </c>
      <c r="G356" t="n">
        <v>0.3</v>
      </c>
      <c r="H356" t="n">
        <v>0</v>
      </c>
      <c r="I356" t="n">
        <v>0</v>
      </c>
      <c r="J356" t="n">
        <v>0</v>
      </c>
      <c r="K356" t="n">
        <v>0</v>
      </c>
      <c r="L356" t="n">
        <v>0</v>
      </c>
      <c r="M356" t="n">
        <v>0</v>
      </c>
      <c r="N356" t="n">
        <v>0</v>
      </c>
      <c r="O356" t="n">
        <v>0</v>
      </c>
      <c r="P356" t="n">
        <v>0</v>
      </c>
      <c r="Q356" t="n">
        <v>0</v>
      </c>
      <c r="R356" s="2" t="inlineStr"/>
    </row>
    <row r="357" ht="15" customHeight="1">
      <c r="A357" t="inlineStr">
        <is>
          <t>A 57216-2020</t>
        </is>
      </c>
      <c r="B357" s="1" t="n">
        <v>44139.54078703704</v>
      </c>
      <c r="C357" s="1" t="n">
        <v>45922</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5027-2025</t>
        </is>
      </c>
      <c r="B358" s="1" t="n">
        <v>45691.41101851852</v>
      </c>
      <c r="C358" s="1" t="n">
        <v>45922</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11-2024</t>
        </is>
      </c>
      <c r="B359" s="1" t="n">
        <v>45293</v>
      </c>
      <c r="C359" s="1" t="n">
        <v>45922</v>
      </c>
      <c r="D359" t="inlineStr">
        <is>
          <t>STOCKHOLMS LÄN</t>
        </is>
      </c>
      <c r="E359" t="inlineStr">
        <is>
          <t>NORRTÄLJE</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14559-2024</t>
        </is>
      </c>
      <c r="B360" s="1" t="n">
        <v>45394.72869212963</v>
      </c>
      <c r="C360" s="1" t="n">
        <v>45922</v>
      </c>
      <c r="D360" t="inlineStr">
        <is>
          <t>STOCKHOLMS LÄN</t>
        </is>
      </c>
      <c r="E360" t="inlineStr">
        <is>
          <t>NORRTÄLJE</t>
        </is>
      </c>
      <c r="G360" t="n">
        <v>4.2</v>
      </c>
      <c r="H360" t="n">
        <v>0</v>
      </c>
      <c r="I360" t="n">
        <v>0</v>
      </c>
      <c r="J360" t="n">
        <v>0</v>
      </c>
      <c r="K360" t="n">
        <v>0</v>
      </c>
      <c r="L360" t="n">
        <v>0</v>
      </c>
      <c r="M360" t="n">
        <v>0</v>
      </c>
      <c r="N360" t="n">
        <v>0</v>
      </c>
      <c r="O360" t="n">
        <v>0</v>
      </c>
      <c r="P360" t="n">
        <v>0</v>
      </c>
      <c r="Q360" t="n">
        <v>0</v>
      </c>
      <c r="R360" s="2" t="inlineStr"/>
    </row>
    <row r="361" ht="15" customHeight="1">
      <c r="A361" t="inlineStr">
        <is>
          <t>A 28816-2023</t>
        </is>
      </c>
      <c r="B361" s="1" t="n">
        <v>45104</v>
      </c>
      <c r="C361" s="1" t="n">
        <v>45922</v>
      </c>
      <c r="D361" t="inlineStr">
        <is>
          <t>STOCKHOLMS LÄN</t>
        </is>
      </c>
      <c r="E361" t="inlineStr">
        <is>
          <t>NORRTÄLJE</t>
        </is>
      </c>
      <c r="F361" t="inlineStr">
        <is>
          <t>Kommuner</t>
        </is>
      </c>
      <c r="G361" t="n">
        <v>0.5</v>
      </c>
      <c r="H361" t="n">
        <v>0</v>
      </c>
      <c r="I361" t="n">
        <v>0</v>
      </c>
      <c r="J361" t="n">
        <v>0</v>
      </c>
      <c r="K361" t="n">
        <v>0</v>
      </c>
      <c r="L361" t="n">
        <v>0</v>
      </c>
      <c r="M361" t="n">
        <v>0</v>
      </c>
      <c r="N361" t="n">
        <v>0</v>
      </c>
      <c r="O361" t="n">
        <v>0</v>
      </c>
      <c r="P361" t="n">
        <v>0</v>
      </c>
      <c r="Q361" t="n">
        <v>0</v>
      </c>
      <c r="R361" s="2" t="inlineStr"/>
    </row>
    <row r="362" ht="15" customHeight="1">
      <c r="A362" t="inlineStr">
        <is>
          <t>A 8433-2022</t>
        </is>
      </c>
      <c r="B362" s="1" t="n">
        <v>44611</v>
      </c>
      <c r="C362" s="1" t="n">
        <v>45922</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64137-2021</t>
        </is>
      </c>
      <c r="B363" s="1" t="n">
        <v>44510.51422453704</v>
      </c>
      <c r="C363" s="1" t="n">
        <v>45922</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25525-2022</t>
        </is>
      </c>
      <c r="B364" s="1" t="n">
        <v>44732</v>
      </c>
      <c r="C364" s="1" t="n">
        <v>45922</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19118-2022</t>
        </is>
      </c>
      <c r="B365" s="1" t="n">
        <v>44691.5652662037</v>
      </c>
      <c r="C365" s="1" t="n">
        <v>45922</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12302-2025</t>
        </is>
      </c>
      <c r="B366" s="1" t="n">
        <v>45729.72851851852</v>
      </c>
      <c r="C366" s="1" t="n">
        <v>45922</v>
      </c>
      <c r="D366" t="inlineStr">
        <is>
          <t>STOCKHOLMS LÄN</t>
        </is>
      </c>
      <c r="E366" t="inlineStr">
        <is>
          <t>NORRTÄLJE</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53561-2023</t>
        </is>
      </c>
      <c r="B367" s="1" t="n">
        <v>45224</v>
      </c>
      <c r="C367" s="1" t="n">
        <v>45922</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38889-2024</t>
        </is>
      </c>
      <c r="B368" s="1" t="n">
        <v>45547</v>
      </c>
      <c r="C368" s="1" t="n">
        <v>45922</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45451-2024</t>
        </is>
      </c>
      <c r="B369" s="1" t="n">
        <v>45576</v>
      </c>
      <c r="C369" s="1" t="n">
        <v>45922</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58888-2020</t>
        </is>
      </c>
      <c r="B370" s="1" t="n">
        <v>44146</v>
      </c>
      <c r="C370" s="1" t="n">
        <v>45922</v>
      </c>
      <c r="D370" t="inlineStr">
        <is>
          <t>STOCKHOLMS LÄN</t>
        </is>
      </c>
      <c r="E370" t="inlineStr">
        <is>
          <t>NORRTÄLJE</t>
        </is>
      </c>
      <c r="G370" t="n">
        <v>1.9</v>
      </c>
      <c r="H370" t="n">
        <v>0</v>
      </c>
      <c r="I370" t="n">
        <v>0</v>
      </c>
      <c r="J370" t="n">
        <v>0</v>
      </c>
      <c r="K370" t="n">
        <v>0</v>
      </c>
      <c r="L370" t="n">
        <v>0</v>
      </c>
      <c r="M370" t="n">
        <v>0</v>
      </c>
      <c r="N370" t="n">
        <v>0</v>
      </c>
      <c r="O370" t="n">
        <v>0</v>
      </c>
      <c r="P370" t="n">
        <v>0</v>
      </c>
      <c r="Q370" t="n">
        <v>0</v>
      </c>
      <c r="R370" s="2" t="inlineStr"/>
    </row>
    <row r="371" ht="15" customHeight="1">
      <c r="A371" t="inlineStr">
        <is>
          <t>A 11122-2021</t>
        </is>
      </c>
      <c r="B371" s="1" t="n">
        <v>44260</v>
      </c>
      <c r="C371" s="1" t="n">
        <v>45922</v>
      </c>
      <c r="D371" t="inlineStr">
        <is>
          <t>STOCKHOLMS LÄN</t>
        </is>
      </c>
      <c r="E371" t="inlineStr">
        <is>
          <t>NORRTÄLJE</t>
        </is>
      </c>
      <c r="F371" t="inlineStr">
        <is>
          <t>Holmen skog AB</t>
        </is>
      </c>
      <c r="G371" t="n">
        <v>2.1</v>
      </c>
      <c r="H371" t="n">
        <v>0</v>
      </c>
      <c r="I371" t="n">
        <v>0</v>
      </c>
      <c r="J371" t="n">
        <v>0</v>
      </c>
      <c r="K371" t="n">
        <v>0</v>
      </c>
      <c r="L371" t="n">
        <v>0</v>
      </c>
      <c r="M371" t="n">
        <v>0</v>
      </c>
      <c r="N371" t="n">
        <v>0</v>
      </c>
      <c r="O371" t="n">
        <v>0</v>
      </c>
      <c r="P371" t="n">
        <v>0</v>
      </c>
      <c r="Q371" t="n">
        <v>0</v>
      </c>
      <c r="R371" s="2" t="inlineStr"/>
    </row>
    <row r="372" ht="15" customHeight="1">
      <c r="A372" t="inlineStr">
        <is>
          <t>A 26051-2025</t>
        </is>
      </c>
      <c r="B372" s="1" t="n">
        <v>45804.74479166666</v>
      </c>
      <c r="C372" s="1" t="n">
        <v>45922</v>
      </c>
      <c r="D372" t="inlineStr">
        <is>
          <t>STOCKHOLMS LÄN</t>
        </is>
      </c>
      <c r="E372" t="inlineStr">
        <is>
          <t>NORRTÄLJE</t>
        </is>
      </c>
      <c r="G372" t="n">
        <v>3.2</v>
      </c>
      <c r="H372" t="n">
        <v>0</v>
      </c>
      <c r="I372" t="n">
        <v>0</v>
      </c>
      <c r="J372" t="n">
        <v>0</v>
      </c>
      <c r="K372" t="n">
        <v>0</v>
      </c>
      <c r="L372" t="n">
        <v>0</v>
      </c>
      <c r="M372" t="n">
        <v>0</v>
      </c>
      <c r="N372" t="n">
        <v>0</v>
      </c>
      <c r="O372" t="n">
        <v>0</v>
      </c>
      <c r="P372" t="n">
        <v>0</v>
      </c>
      <c r="Q372" t="n">
        <v>0</v>
      </c>
      <c r="R372" s="2" t="inlineStr"/>
    </row>
    <row r="373" ht="15" customHeight="1">
      <c r="A373" t="inlineStr">
        <is>
          <t>A 8739-2024</t>
        </is>
      </c>
      <c r="B373" s="1" t="n">
        <v>45356.47784722222</v>
      </c>
      <c r="C373" s="1" t="n">
        <v>45922</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38759-2022</t>
        </is>
      </c>
      <c r="B374" s="1" t="n">
        <v>44816</v>
      </c>
      <c r="C374" s="1" t="n">
        <v>45922</v>
      </c>
      <c r="D374" t="inlineStr">
        <is>
          <t>STOCKHOLMS LÄN</t>
        </is>
      </c>
      <c r="E374" t="inlineStr">
        <is>
          <t>NORRTÄLJE</t>
        </is>
      </c>
      <c r="G374" t="n">
        <v>2.8</v>
      </c>
      <c r="H374" t="n">
        <v>0</v>
      </c>
      <c r="I374" t="n">
        <v>0</v>
      </c>
      <c r="J374" t="n">
        <v>0</v>
      </c>
      <c r="K374" t="n">
        <v>0</v>
      </c>
      <c r="L374" t="n">
        <v>0</v>
      </c>
      <c r="M374" t="n">
        <v>0</v>
      </c>
      <c r="N374" t="n">
        <v>0</v>
      </c>
      <c r="O374" t="n">
        <v>0</v>
      </c>
      <c r="P374" t="n">
        <v>0</v>
      </c>
      <c r="Q374" t="n">
        <v>0</v>
      </c>
      <c r="R374" s="2" t="inlineStr"/>
    </row>
    <row r="375" ht="15" customHeight="1">
      <c r="A375" t="inlineStr">
        <is>
          <t>A 32857-2021</t>
        </is>
      </c>
      <c r="B375" s="1" t="n">
        <v>44375</v>
      </c>
      <c r="C375" s="1" t="n">
        <v>45922</v>
      </c>
      <c r="D375" t="inlineStr">
        <is>
          <t>STOCKHOLMS LÄN</t>
        </is>
      </c>
      <c r="E375" t="inlineStr">
        <is>
          <t>NORRTÄLJE</t>
        </is>
      </c>
      <c r="G375" t="n">
        <v>2.9</v>
      </c>
      <c r="H375" t="n">
        <v>0</v>
      </c>
      <c r="I375" t="n">
        <v>0</v>
      </c>
      <c r="J375" t="n">
        <v>0</v>
      </c>
      <c r="K375" t="n">
        <v>0</v>
      </c>
      <c r="L375" t="n">
        <v>0</v>
      </c>
      <c r="M375" t="n">
        <v>0</v>
      </c>
      <c r="N375" t="n">
        <v>0</v>
      </c>
      <c r="O375" t="n">
        <v>0</v>
      </c>
      <c r="P375" t="n">
        <v>0</v>
      </c>
      <c r="Q375" t="n">
        <v>0</v>
      </c>
      <c r="R375" s="2" t="inlineStr"/>
    </row>
    <row r="376" ht="15" customHeight="1">
      <c r="A376" t="inlineStr">
        <is>
          <t>A 29714-2023</t>
        </is>
      </c>
      <c r="B376" s="1" t="n">
        <v>45107.42538194444</v>
      </c>
      <c r="C376" s="1" t="n">
        <v>45922</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23271-2023</t>
        </is>
      </c>
      <c r="B377" s="1" t="n">
        <v>45075.91362268518</v>
      </c>
      <c r="C377" s="1" t="n">
        <v>45922</v>
      </c>
      <c r="D377" t="inlineStr">
        <is>
          <t>STOCKHOLMS LÄN</t>
        </is>
      </c>
      <c r="E377" t="inlineStr">
        <is>
          <t>NORRTÄLJE</t>
        </is>
      </c>
      <c r="G377" t="n">
        <v>5.1</v>
      </c>
      <c r="H377" t="n">
        <v>0</v>
      </c>
      <c r="I377" t="n">
        <v>0</v>
      </c>
      <c r="J377" t="n">
        <v>0</v>
      </c>
      <c r="K377" t="n">
        <v>0</v>
      </c>
      <c r="L377" t="n">
        <v>0</v>
      </c>
      <c r="M377" t="n">
        <v>0</v>
      </c>
      <c r="N377" t="n">
        <v>0</v>
      </c>
      <c r="O377" t="n">
        <v>0</v>
      </c>
      <c r="P377" t="n">
        <v>0</v>
      </c>
      <c r="Q377" t="n">
        <v>0</v>
      </c>
      <c r="R377" s="2" t="inlineStr"/>
    </row>
    <row r="378" ht="15" customHeight="1">
      <c r="A378" t="inlineStr">
        <is>
          <t>A 23273-2023</t>
        </is>
      </c>
      <c r="B378" s="1" t="n">
        <v>45075.91971064815</v>
      </c>
      <c r="C378" s="1" t="n">
        <v>45922</v>
      </c>
      <c r="D378" t="inlineStr">
        <is>
          <t>STOCKHOLMS LÄN</t>
        </is>
      </c>
      <c r="E378" t="inlineStr">
        <is>
          <t>NORRTÄLJE</t>
        </is>
      </c>
      <c r="G378" t="n">
        <v>7.5</v>
      </c>
      <c r="H378" t="n">
        <v>0</v>
      </c>
      <c r="I378" t="n">
        <v>0</v>
      </c>
      <c r="J378" t="n">
        <v>0</v>
      </c>
      <c r="K378" t="n">
        <v>0</v>
      </c>
      <c r="L378" t="n">
        <v>0</v>
      </c>
      <c r="M378" t="n">
        <v>0</v>
      </c>
      <c r="N378" t="n">
        <v>0</v>
      </c>
      <c r="O378" t="n">
        <v>0</v>
      </c>
      <c r="P378" t="n">
        <v>0</v>
      </c>
      <c r="Q378" t="n">
        <v>0</v>
      </c>
      <c r="R378" s="2" t="inlineStr"/>
    </row>
    <row r="379" ht="15" customHeight="1">
      <c r="A379" t="inlineStr">
        <is>
          <t>A 50738-2020</t>
        </is>
      </c>
      <c r="B379" s="1" t="n">
        <v>44111.44373842593</v>
      </c>
      <c r="C379" s="1" t="n">
        <v>45922</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26644-2024</t>
        </is>
      </c>
      <c r="B380" s="1" t="n">
        <v>45469</v>
      </c>
      <c r="C380" s="1" t="n">
        <v>45922</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2982-2023</t>
        </is>
      </c>
      <c r="B381" s="1" t="n">
        <v>44945.67409722223</v>
      </c>
      <c r="C381" s="1" t="n">
        <v>45922</v>
      </c>
      <c r="D381" t="inlineStr">
        <is>
          <t>STOCKHOLMS LÄN</t>
        </is>
      </c>
      <c r="E381" t="inlineStr">
        <is>
          <t>NORRTÄLJE</t>
        </is>
      </c>
      <c r="G381" t="n">
        <v>3.3</v>
      </c>
      <c r="H381" t="n">
        <v>0</v>
      </c>
      <c r="I381" t="n">
        <v>0</v>
      </c>
      <c r="J381" t="n">
        <v>0</v>
      </c>
      <c r="K381" t="n">
        <v>0</v>
      </c>
      <c r="L381" t="n">
        <v>0</v>
      </c>
      <c r="M381" t="n">
        <v>0</v>
      </c>
      <c r="N381" t="n">
        <v>0</v>
      </c>
      <c r="O381" t="n">
        <v>0</v>
      </c>
      <c r="P381" t="n">
        <v>0</v>
      </c>
      <c r="Q381" t="n">
        <v>0</v>
      </c>
      <c r="R381" s="2" t="inlineStr"/>
    </row>
    <row r="382" ht="15" customHeight="1">
      <c r="A382" t="inlineStr">
        <is>
          <t>A 12535-2025</t>
        </is>
      </c>
      <c r="B382" s="1" t="n">
        <v>45730.69502314815</v>
      </c>
      <c r="C382" s="1" t="n">
        <v>45922</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37136-2023</t>
        </is>
      </c>
      <c r="B383" s="1" t="n">
        <v>45155</v>
      </c>
      <c r="C383" s="1" t="n">
        <v>45922</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18787-2022</t>
        </is>
      </c>
      <c r="B384" s="1" t="n">
        <v>44687</v>
      </c>
      <c r="C384" s="1" t="n">
        <v>45922</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13718-2022</t>
        </is>
      </c>
      <c r="B385" s="1" t="n">
        <v>44649</v>
      </c>
      <c r="C385" s="1" t="n">
        <v>45922</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25621-2022</t>
        </is>
      </c>
      <c r="B386" s="1" t="n">
        <v>44732</v>
      </c>
      <c r="C386" s="1" t="n">
        <v>45922</v>
      </c>
      <c r="D386" t="inlineStr">
        <is>
          <t>STOCKHOLMS LÄN</t>
        </is>
      </c>
      <c r="E386" t="inlineStr">
        <is>
          <t>NORRTÄLJE</t>
        </is>
      </c>
      <c r="G386" t="n">
        <v>3.1</v>
      </c>
      <c r="H386" t="n">
        <v>0</v>
      </c>
      <c r="I386" t="n">
        <v>0</v>
      </c>
      <c r="J386" t="n">
        <v>0</v>
      </c>
      <c r="K386" t="n">
        <v>0</v>
      </c>
      <c r="L386" t="n">
        <v>0</v>
      </c>
      <c r="M386" t="n">
        <v>0</v>
      </c>
      <c r="N386" t="n">
        <v>0</v>
      </c>
      <c r="O386" t="n">
        <v>0</v>
      </c>
      <c r="P386" t="n">
        <v>0</v>
      </c>
      <c r="Q386" t="n">
        <v>0</v>
      </c>
      <c r="R386" s="2" t="inlineStr"/>
    </row>
    <row r="387" ht="15" customHeight="1">
      <c r="A387" t="inlineStr">
        <is>
          <t>A 36269-2022</t>
        </is>
      </c>
      <c r="B387" s="1" t="n">
        <v>44803</v>
      </c>
      <c r="C387" s="1" t="n">
        <v>45922</v>
      </c>
      <c r="D387" t="inlineStr">
        <is>
          <t>STOCKHOLMS LÄN</t>
        </is>
      </c>
      <c r="E387" t="inlineStr">
        <is>
          <t>NORRTÄLJE</t>
        </is>
      </c>
      <c r="G387" t="n">
        <v>2.3</v>
      </c>
      <c r="H387" t="n">
        <v>0</v>
      </c>
      <c r="I387" t="n">
        <v>0</v>
      </c>
      <c r="J387" t="n">
        <v>0</v>
      </c>
      <c r="K387" t="n">
        <v>0</v>
      </c>
      <c r="L387" t="n">
        <v>0</v>
      </c>
      <c r="M387" t="n">
        <v>0</v>
      </c>
      <c r="N387" t="n">
        <v>0</v>
      </c>
      <c r="O387" t="n">
        <v>0</v>
      </c>
      <c r="P387" t="n">
        <v>0</v>
      </c>
      <c r="Q387" t="n">
        <v>0</v>
      </c>
      <c r="R387" s="2" t="inlineStr"/>
    </row>
    <row r="388" ht="15" customHeight="1">
      <c r="A388" t="inlineStr">
        <is>
          <t>A 36308-2022</t>
        </is>
      </c>
      <c r="B388" s="1" t="n">
        <v>44803</v>
      </c>
      <c r="C388" s="1" t="n">
        <v>45922</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6919-2025</t>
        </is>
      </c>
      <c r="B389" s="1" t="n">
        <v>45701.44372685185</v>
      </c>
      <c r="C389" s="1" t="n">
        <v>45922</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32100-2022</t>
        </is>
      </c>
      <c r="B390" s="1" t="n">
        <v>44778</v>
      </c>
      <c r="C390" s="1" t="n">
        <v>45922</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11332-2025</t>
        </is>
      </c>
      <c r="B391" s="1" t="n">
        <v>45726.48152777777</v>
      </c>
      <c r="C391" s="1" t="n">
        <v>45922</v>
      </c>
      <c r="D391" t="inlineStr">
        <is>
          <t>STOCKHOLMS LÄN</t>
        </is>
      </c>
      <c r="E391" t="inlineStr">
        <is>
          <t>NORRTÄLJE</t>
        </is>
      </c>
      <c r="G391" t="n">
        <v>4.6</v>
      </c>
      <c r="H391" t="n">
        <v>0</v>
      </c>
      <c r="I391" t="n">
        <v>0</v>
      </c>
      <c r="J391" t="n">
        <v>0</v>
      </c>
      <c r="K391" t="n">
        <v>0</v>
      </c>
      <c r="L391" t="n">
        <v>0</v>
      </c>
      <c r="M391" t="n">
        <v>0</v>
      </c>
      <c r="N391" t="n">
        <v>0</v>
      </c>
      <c r="O391" t="n">
        <v>0</v>
      </c>
      <c r="P391" t="n">
        <v>0</v>
      </c>
      <c r="Q391" t="n">
        <v>0</v>
      </c>
      <c r="R391" s="2" t="inlineStr"/>
    </row>
    <row r="392" ht="15" customHeight="1">
      <c r="A392" t="inlineStr">
        <is>
          <t>A 37444-2021</t>
        </is>
      </c>
      <c r="B392" s="1" t="n">
        <v>44398</v>
      </c>
      <c r="C392" s="1" t="n">
        <v>45922</v>
      </c>
      <c r="D392" t="inlineStr">
        <is>
          <t>STOCKHOLMS LÄN</t>
        </is>
      </c>
      <c r="E392" t="inlineStr">
        <is>
          <t>NORRTÄLJE</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30886-2022</t>
        </is>
      </c>
      <c r="B393" s="1" t="n">
        <v>44767.60601851852</v>
      </c>
      <c r="C393" s="1" t="n">
        <v>45922</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9654-2022</t>
        </is>
      </c>
      <c r="B394" s="1" t="n">
        <v>44617</v>
      </c>
      <c r="C394" s="1" t="n">
        <v>45922</v>
      </c>
      <c r="D394" t="inlineStr">
        <is>
          <t>STOCKHOLMS LÄN</t>
        </is>
      </c>
      <c r="E394" t="inlineStr">
        <is>
          <t>NORRTÄLJE</t>
        </is>
      </c>
      <c r="G394" t="n">
        <v>6.4</v>
      </c>
      <c r="H394" t="n">
        <v>0</v>
      </c>
      <c r="I394" t="n">
        <v>0</v>
      </c>
      <c r="J394" t="n">
        <v>0</v>
      </c>
      <c r="K394" t="n">
        <v>0</v>
      </c>
      <c r="L394" t="n">
        <v>0</v>
      </c>
      <c r="M394" t="n">
        <v>0</v>
      </c>
      <c r="N394" t="n">
        <v>0</v>
      </c>
      <c r="O394" t="n">
        <v>0</v>
      </c>
      <c r="P394" t="n">
        <v>0</v>
      </c>
      <c r="Q394" t="n">
        <v>0</v>
      </c>
      <c r="R394" s="2" t="inlineStr"/>
    </row>
    <row r="395" ht="15" customHeight="1">
      <c r="A395" t="inlineStr">
        <is>
          <t>A 1453-2025</t>
        </is>
      </c>
      <c r="B395" s="1" t="n">
        <v>45670.3079050926</v>
      </c>
      <c r="C395" s="1" t="n">
        <v>45922</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5804-2025</t>
        </is>
      </c>
      <c r="B396" s="1" t="n">
        <v>45694.68207175926</v>
      </c>
      <c r="C396" s="1" t="n">
        <v>45922</v>
      </c>
      <c r="D396" t="inlineStr">
        <is>
          <t>STOCKHOLMS LÄN</t>
        </is>
      </c>
      <c r="E396" t="inlineStr">
        <is>
          <t>NORRTÄLJE</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12268-2022</t>
        </is>
      </c>
      <c r="B397" s="1" t="n">
        <v>44637</v>
      </c>
      <c r="C397" s="1" t="n">
        <v>45922</v>
      </c>
      <c r="D397" t="inlineStr">
        <is>
          <t>STOCKHOLMS LÄN</t>
        </is>
      </c>
      <c r="E397" t="inlineStr">
        <is>
          <t>NORRTÄLJE</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50907-2022</t>
        </is>
      </c>
      <c r="B398" s="1" t="n">
        <v>44867.62090277778</v>
      </c>
      <c r="C398" s="1" t="n">
        <v>45922</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29003-2023</t>
        </is>
      </c>
      <c r="B399" s="1" t="n">
        <v>45104</v>
      </c>
      <c r="C399" s="1" t="n">
        <v>45922</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33295-2023</t>
        </is>
      </c>
      <c r="B400" s="1" t="n">
        <v>45127.69371527778</v>
      </c>
      <c r="C400" s="1" t="n">
        <v>45922</v>
      </c>
      <c r="D400" t="inlineStr">
        <is>
          <t>STOCKHOLMS LÄN</t>
        </is>
      </c>
      <c r="E400" t="inlineStr">
        <is>
          <t>NORRTÄLJE</t>
        </is>
      </c>
      <c r="F400" t="inlineStr">
        <is>
          <t>Holmen skog AB</t>
        </is>
      </c>
      <c r="G400" t="n">
        <v>2</v>
      </c>
      <c r="H400" t="n">
        <v>0</v>
      </c>
      <c r="I400" t="n">
        <v>0</v>
      </c>
      <c r="J400" t="n">
        <v>0</v>
      </c>
      <c r="K400" t="n">
        <v>0</v>
      </c>
      <c r="L400" t="n">
        <v>0</v>
      </c>
      <c r="M400" t="n">
        <v>0</v>
      </c>
      <c r="N400" t="n">
        <v>0</v>
      </c>
      <c r="O400" t="n">
        <v>0</v>
      </c>
      <c r="P400" t="n">
        <v>0</v>
      </c>
      <c r="Q400" t="n">
        <v>0</v>
      </c>
      <c r="R400" s="2" t="inlineStr"/>
    </row>
    <row r="401" ht="15" customHeight="1">
      <c r="A401" t="inlineStr">
        <is>
          <t>A 14127-2025</t>
        </is>
      </c>
      <c r="B401" s="1" t="n">
        <v>45740.47055555556</v>
      </c>
      <c r="C401" s="1" t="n">
        <v>45922</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16980-2023</t>
        </is>
      </c>
      <c r="B402" s="1" t="n">
        <v>45033</v>
      </c>
      <c r="C402" s="1" t="n">
        <v>45922</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20015-2023</t>
        </is>
      </c>
      <c r="B403" s="1" t="n">
        <v>45054</v>
      </c>
      <c r="C403" s="1" t="n">
        <v>45922</v>
      </c>
      <c r="D403" t="inlineStr">
        <is>
          <t>STOCKHOLMS LÄN</t>
        </is>
      </c>
      <c r="E403" t="inlineStr">
        <is>
          <t>NORRTÄLJE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3273-2025</t>
        </is>
      </c>
      <c r="B404" s="1" t="n">
        <v>45679</v>
      </c>
      <c r="C404" s="1" t="n">
        <v>45922</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32595-2023</t>
        </is>
      </c>
      <c r="B405" s="1" t="n">
        <v>45121</v>
      </c>
      <c r="C405" s="1" t="n">
        <v>45922</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24245-2024</t>
        </is>
      </c>
      <c r="B406" s="1" t="n">
        <v>45457</v>
      </c>
      <c r="C406" s="1" t="n">
        <v>45922</v>
      </c>
      <c r="D406" t="inlineStr">
        <is>
          <t>STOCKHOLMS LÄN</t>
        </is>
      </c>
      <c r="E406" t="inlineStr">
        <is>
          <t>NORRTÄLJE</t>
        </is>
      </c>
      <c r="F406" t="inlineStr">
        <is>
          <t>Holmen skog AB</t>
        </is>
      </c>
      <c r="G406" t="n">
        <v>3.4</v>
      </c>
      <c r="H406" t="n">
        <v>0</v>
      </c>
      <c r="I406" t="n">
        <v>0</v>
      </c>
      <c r="J406" t="n">
        <v>0</v>
      </c>
      <c r="K406" t="n">
        <v>0</v>
      </c>
      <c r="L406" t="n">
        <v>0</v>
      </c>
      <c r="M406" t="n">
        <v>0</v>
      </c>
      <c r="N406" t="n">
        <v>0</v>
      </c>
      <c r="O406" t="n">
        <v>0</v>
      </c>
      <c r="P406" t="n">
        <v>0</v>
      </c>
      <c r="Q406" t="n">
        <v>0</v>
      </c>
      <c r="R406" s="2" t="inlineStr"/>
    </row>
    <row r="407" ht="15" customHeight="1">
      <c r="A407" t="inlineStr">
        <is>
          <t>A 21291-2021</t>
        </is>
      </c>
      <c r="B407" s="1" t="n">
        <v>44319</v>
      </c>
      <c r="C407" s="1" t="n">
        <v>45922</v>
      </c>
      <c r="D407" t="inlineStr">
        <is>
          <t>STOCKHOLMS LÄN</t>
        </is>
      </c>
      <c r="E407" t="inlineStr">
        <is>
          <t>NORRTÄLJE</t>
        </is>
      </c>
      <c r="G407" t="n">
        <v>12.7</v>
      </c>
      <c r="H407" t="n">
        <v>0</v>
      </c>
      <c r="I407" t="n">
        <v>0</v>
      </c>
      <c r="J407" t="n">
        <v>0</v>
      </c>
      <c r="K407" t="n">
        <v>0</v>
      </c>
      <c r="L407" t="n">
        <v>0</v>
      </c>
      <c r="M407" t="n">
        <v>0</v>
      </c>
      <c r="N407" t="n">
        <v>0</v>
      </c>
      <c r="O407" t="n">
        <v>0</v>
      </c>
      <c r="P407" t="n">
        <v>0</v>
      </c>
      <c r="Q407" t="n">
        <v>0</v>
      </c>
      <c r="R407" s="2" t="inlineStr"/>
    </row>
    <row r="408" ht="15" customHeight="1">
      <c r="A408" t="inlineStr">
        <is>
          <t>A 37550-2022</t>
        </is>
      </c>
      <c r="B408" s="1" t="n">
        <v>44809</v>
      </c>
      <c r="C408" s="1" t="n">
        <v>45922</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15256-2023</t>
        </is>
      </c>
      <c r="B409" s="1" t="n">
        <v>45019.3959837963</v>
      </c>
      <c r="C409" s="1" t="n">
        <v>45922</v>
      </c>
      <c r="D409" t="inlineStr">
        <is>
          <t>STOCKHOLMS LÄN</t>
        </is>
      </c>
      <c r="E409" t="inlineStr">
        <is>
          <t>NORRTÄLJE</t>
        </is>
      </c>
      <c r="G409" t="n">
        <v>2.4</v>
      </c>
      <c r="H409" t="n">
        <v>0</v>
      </c>
      <c r="I409" t="n">
        <v>0</v>
      </c>
      <c r="J409" t="n">
        <v>0</v>
      </c>
      <c r="K409" t="n">
        <v>0</v>
      </c>
      <c r="L409" t="n">
        <v>0</v>
      </c>
      <c r="M409" t="n">
        <v>0</v>
      </c>
      <c r="N409" t="n">
        <v>0</v>
      </c>
      <c r="O409" t="n">
        <v>0</v>
      </c>
      <c r="P409" t="n">
        <v>0</v>
      </c>
      <c r="Q409" t="n">
        <v>0</v>
      </c>
      <c r="R409" s="2" t="inlineStr"/>
    </row>
    <row r="410" ht="15" customHeight="1">
      <c r="A410" t="inlineStr">
        <is>
          <t>A 20428-2024</t>
        </is>
      </c>
      <c r="B410" s="1" t="n">
        <v>45435</v>
      </c>
      <c r="C410" s="1" t="n">
        <v>45922</v>
      </c>
      <c r="D410" t="inlineStr">
        <is>
          <t>STOCKHOLMS LÄN</t>
        </is>
      </c>
      <c r="E410" t="inlineStr">
        <is>
          <t>NORRTÄLJE</t>
        </is>
      </c>
      <c r="G410" t="n">
        <v>3.7</v>
      </c>
      <c r="H410" t="n">
        <v>0</v>
      </c>
      <c r="I410" t="n">
        <v>0</v>
      </c>
      <c r="J410" t="n">
        <v>0</v>
      </c>
      <c r="K410" t="n">
        <v>0</v>
      </c>
      <c r="L410" t="n">
        <v>0</v>
      </c>
      <c r="M410" t="n">
        <v>0</v>
      </c>
      <c r="N410" t="n">
        <v>0</v>
      </c>
      <c r="O410" t="n">
        <v>0</v>
      </c>
      <c r="P410" t="n">
        <v>0</v>
      </c>
      <c r="Q410" t="n">
        <v>0</v>
      </c>
      <c r="R410" s="2" t="inlineStr"/>
    </row>
    <row r="411" ht="15" customHeight="1">
      <c r="A411" t="inlineStr">
        <is>
          <t>A 26708-2025</t>
        </is>
      </c>
      <c r="B411" s="1" t="n">
        <v>45810.45633101852</v>
      </c>
      <c r="C411" s="1" t="n">
        <v>45922</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48161-2022</t>
        </is>
      </c>
      <c r="B412" s="1" t="n">
        <v>44858</v>
      </c>
      <c r="C412" s="1" t="n">
        <v>45922</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13172-2025</t>
        </is>
      </c>
      <c r="B413" s="1" t="n">
        <v>45735.36873842592</v>
      </c>
      <c r="C413" s="1" t="n">
        <v>45922</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48798-2021</t>
        </is>
      </c>
      <c r="B414" s="1" t="n">
        <v>44452</v>
      </c>
      <c r="C414" s="1" t="n">
        <v>45922</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12111-2021</t>
        </is>
      </c>
      <c r="B415" s="1" t="n">
        <v>44266</v>
      </c>
      <c r="C415" s="1" t="n">
        <v>45922</v>
      </c>
      <c r="D415" t="inlineStr">
        <is>
          <t>STOCKHOLMS LÄN</t>
        </is>
      </c>
      <c r="E415" t="inlineStr">
        <is>
          <t>NORRTÄLJE</t>
        </is>
      </c>
      <c r="G415" t="n">
        <v>5.5</v>
      </c>
      <c r="H415" t="n">
        <v>0</v>
      </c>
      <c r="I415" t="n">
        <v>0</v>
      </c>
      <c r="J415" t="n">
        <v>0</v>
      </c>
      <c r="K415" t="n">
        <v>0</v>
      </c>
      <c r="L415" t="n">
        <v>0</v>
      </c>
      <c r="M415" t="n">
        <v>0</v>
      </c>
      <c r="N415" t="n">
        <v>0</v>
      </c>
      <c r="O415" t="n">
        <v>0</v>
      </c>
      <c r="P415" t="n">
        <v>0</v>
      </c>
      <c r="Q415" t="n">
        <v>0</v>
      </c>
      <c r="R415" s="2" t="inlineStr"/>
    </row>
    <row r="416" ht="15" customHeight="1">
      <c r="A416" t="inlineStr">
        <is>
          <t>A 54776-2023</t>
        </is>
      </c>
      <c r="B416" s="1" t="n">
        <v>45236.46369212963</v>
      </c>
      <c r="C416" s="1" t="n">
        <v>45922</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26702-2025</t>
        </is>
      </c>
      <c r="B417" s="1" t="n">
        <v>45810.45236111111</v>
      </c>
      <c r="C417" s="1" t="n">
        <v>45922</v>
      </c>
      <c r="D417" t="inlineStr">
        <is>
          <t>STOCKHOLMS LÄN</t>
        </is>
      </c>
      <c r="E417" t="inlineStr">
        <is>
          <t>NORRTÄLJE</t>
        </is>
      </c>
      <c r="G417" t="n">
        <v>7.3</v>
      </c>
      <c r="H417" t="n">
        <v>0</v>
      </c>
      <c r="I417" t="n">
        <v>0</v>
      </c>
      <c r="J417" t="n">
        <v>0</v>
      </c>
      <c r="K417" t="n">
        <v>0</v>
      </c>
      <c r="L417" t="n">
        <v>0</v>
      </c>
      <c r="M417" t="n">
        <v>0</v>
      </c>
      <c r="N417" t="n">
        <v>0</v>
      </c>
      <c r="O417" t="n">
        <v>0</v>
      </c>
      <c r="P417" t="n">
        <v>0</v>
      </c>
      <c r="Q417" t="n">
        <v>0</v>
      </c>
      <c r="R417" s="2" t="inlineStr"/>
    </row>
    <row r="418" ht="15" customHeight="1">
      <c r="A418" t="inlineStr">
        <is>
          <t>A 26703-2025</t>
        </is>
      </c>
      <c r="B418" s="1" t="n">
        <v>45810.45263888889</v>
      </c>
      <c r="C418" s="1" t="n">
        <v>45922</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57442-2021</t>
        </is>
      </c>
      <c r="B419" s="1" t="n">
        <v>44483</v>
      </c>
      <c r="C419" s="1" t="n">
        <v>45922</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23061-2025</t>
        </is>
      </c>
      <c r="B420" s="1" t="n">
        <v>45790.81410879629</v>
      </c>
      <c r="C420" s="1" t="n">
        <v>45922</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27040-2025</t>
        </is>
      </c>
      <c r="B421" s="1" t="n">
        <v>45811.60451388889</v>
      </c>
      <c r="C421" s="1" t="n">
        <v>45922</v>
      </c>
      <c r="D421" t="inlineStr">
        <is>
          <t>STOCKHOLMS LÄN</t>
        </is>
      </c>
      <c r="E421" t="inlineStr">
        <is>
          <t>NORRTÄLJE</t>
        </is>
      </c>
      <c r="G421" t="n">
        <v>4.3</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45922</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45922</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26747-2025</t>
        </is>
      </c>
      <c r="B424" s="1" t="n">
        <v>45810.5333912037</v>
      </c>
      <c r="C424" s="1" t="n">
        <v>45922</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3383-2023</t>
        </is>
      </c>
      <c r="B425" s="1" t="n">
        <v>44949</v>
      </c>
      <c r="C425" s="1" t="n">
        <v>45922</v>
      </c>
      <c r="D425" t="inlineStr">
        <is>
          <t>STOCKHOLMS LÄN</t>
        </is>
      </c>
      <c r="E425" t="inlineStr">
        <is>
          <t>NORRTÄLJE</t>
        </is>
      </c>
      <c r="G425" t="n">
        <v>14.6</v>
      </c>
      <c r="H425" t="n">
        <v>0</v>
      </c>
      <c r="I425" t="n">
        <v>0</v>
      </c>
      <c r="J425" t="n">
        <v>0</v>
      </c>
      <c r="K425" t="n">
        <v>0</v>
      </c>
      <c r="L425" t="n">
        <v>0</v>
      </c>
      <c r="M425" t="n">
        <v>0</v>
      </c>
      <c r="N425" t="n">
        <v>0</v>
      </c>
      <c r="O425" t="n">
        <v>0</v>
      </c>
      <c r="P425" t="n">
        <v>0</v>
      </c>
      <c r="Q425" t="n">
        <v>0</v>
      </c>
      <c r="R425" s="2" t="inlineStr"/>
    </row>
    <row r="426" ht="15" customHeight="1">
      <c r="A426" t="inlineStr">
        <is>
          <t>A 3444-2023</t>
        </is>
      </c>
      <c r="B426" s="1" t="n">
        <v>44949</v>
      </c>
      <c r="C426" s="1" t="n">
        <v>45922</v>
      </c>
      <c r="D426" t="inlineStr">
        <is>
          <t>STOCKHOLMS LÄN</t>
        </is>
      </c>
      <c r="E426" t="inlineStr">
        <is>
          <t>NORRTÄLJE</t>
        </is>
      </c>
      <c r="G426" t="n">
        <v>5.1</v>
      </c>
      <c r="H426" t="n">
        <v>0</v>
      </c>
      <c r="I426" t="n">
        <v>0</v>
      </c>
      <c r="J426" t="n">
        <v>0</v>
      </c>
      <c r="K426" t="n">
        <v>0</v>
      </c>
      <c r="L426" t="n">
        <v>0</v>
      </c>
      <c r="M426" t="n">
        <v>0</v>
      </c>
      <c r="N426" t="n">
        <v>0</v>
      </c>
      <c r="O426" t="n">
        <v>0</v>
      </c>
      <c r="P426" t="n">
        <v>0</v>
      </c>
      <c r="Q426" t="n">
        <v>0</v>
      </c>
      <c r="R426" s="2" t="inlineStr"/>
    </row>
    <row r="427" ht="15" customHeight="1">
      <c r="A427" t="inlineStr">
        <is>
          <t>A 7603-2025</t>
        </is>
      </c>
      <c r="B427" s="1" t="n">
        <v>45705.66126157407</v>
      </c>
      <c r="C427" s="1" t="n">
        <v>45922</v>
      </c>
      <c r="D427" t="inlineStr">
        <is>
          <t>STOCKHOLMS LÄN</t>
        </is>
      </c>
      <c r="E427" t="inlineStr">
        <is>
          <t>NORRTÄLJE</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13148-2021</t>
        </is>
      </c>
      <c r="B428" s="1" t="n">
        <v>44272</v>
      </c>
      <c r="C428" s="1" t="n">
        <v>45922</v>
      </c>
      <c r="D428" t="inlineStr">
        <is>
          <t>STOCKHOLMS LÄN</t>
        </is>
      </c>
      <c r="E428" t="inlineStr">
        <is>
          <t>NORRTÄLJE</t>
        </is>
      </c>
      <c r="G428" t="n">
        <v>12.4</v>
      </c>
      <c r="H428" t="n">
        <v>0</v>
      </c>
      <c r="I428" t="n">
        <v>0</v>
      </c>
      <c r="J428" t="n">
        <v>0</v>
      </c>
      <c r="K428" t="n">
        <v>0</v>
      </c>
      <c r="L428" t="n">
        <v>0</v>
      </c>
      <c r="M428" t="n">
        <v>0</v>
      </c>
      <c r="N428" t="n">
        <v>0</v>
      </c>
      <c r="O428" t="n">
        <v>0</v>
      </c>
      <c r="P428" t="n">
        <v>0</v>
      </c>
      <c r="Q428" t="n">
        <v>0</v>
      </c>
      <c r="R428" s="2" t="inlineStr"/>
    </row>
    <row r="429" ht="15" customHeight="1">
      <c r="A429" t="inlineStr">
        <is>
          <t>A 21732-2023</t>
        </is>
      </c>
      <c r="B429" s="1" t="n">
        <v>45063</v>
      </c>
      <c r="C429" s="1" t="n">
        <v>45922</v>
      </c>
      <c r="D429" t="inlineStr">
        <is>
          <t>STOCKHOLMS LÄN</t>
        </is>
      </c>
      <c r="E429" t="inlineStr">
        <is>
          <t>NORRTÄLJE</t>
        </is>
      </c>
      <c r="G429" t="n">
        <v>1.7</v>
      </c>
      <c r="H429" t="n">
        <v>0</v>
      </c>
      <c r="I429" t="n">
        <v>0</v>
      </c>
      <c r="J429" t="n">
        <v>0</v>
      </c>
      <c r="K429" t="n">
        <v>0</v>
      </c>
      <c r="L429" t="n">
        <v>0</v>
      </c>
      <c r="M429" t="n">
        <v>0</v>
      </c>
      <c r="N429" t="n">
        <v>0</v>
      </c>
      <c r="O429" t="n">
        <v>0</v>
      </c>
      <c r="P429" t="n">
        <v>0</v>
      </c>
      <c r="Q429" t="n">
        <v>0</v>
      </c>
      <c r="R429" s="2" t="inlineStr"/>
    </row>
    <row r="430" ht="15" customHeight="1">
      <c r="A430" t="inlineStr">
        <is>
          <t>A 23307-2024</t>
        </is>
      </c>
      <c r="B430" s="1" t="n">
        <v>45453</v>
      </c>
      <c r="C430" s="1" t="n">
        <v>45922</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3386-2021</t>
        </is>
      </c>
      <c r="B431" s="1" t="n">
        <v>44218</v>
      </c>
      <c r="C431" s="1" t="n">
        <v>45922</v>
      </c>
      <c r="D431" t="inlineStr">
        <is>
          <t>STOCKHOLMS LÄN</t>
        </is>
      </c>
      <c r="E431" t="inlineStr">
        <is>
          <t>NORRTÄLJE</t>
        </is>
      </c>
      <c r="G431" t="n">
        <v>8</v>
      </c>
      <c r="H431" t="n">
        <v>0</v>
      </c>
      <c r="I431" t="n">
        <v>0</v>
      </c>
      <c r="J431" t="n">
        <v>0</v>
      </c>
      <c r="K431" t="n">
        <v>0</v>
      </c>
      <c r="L431" t="n">
        <v>0</v>
      </c>
      <c r="M431" t="n">
        <v>0</v>
      </c>
      <c r="N431" t="n">
        <v>0</v>
      </c>
      <c r="O431" t="n">
        <v>0</v>
      </c>
      <c r="P431" t="n">
        <v>0</v>
      </c>
      <c r="Q431" t="n">
        <v>0</v>
      </c>
      <c r="R431" s="2" t="inlineStr"/>
    </row>
    <row r="432" ht="15" customHeight="1">
      <c r="A432" t="inlineStr">
        <is>
          <t>A 37085-2021</t>
        </is>
      </c>
      <c r="B432" s="1" t="n">
        <v>44395</v>
      </c>
      <c r="C432" s="1" t="n">
        <v>45922</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56428-2023</t>
        </is>
      </c>
      <c r="B433" s="1" t="n">
        <v>45243.45289351852</v>
      </c>
      <c r="C433" s="1" t="n">
        <v>45922</v>
      </c>
      <c r="D433" t="inlineStr">
        <is>
          <t>STOCKHOLMS LÄN</t>
        </is>
      </c>
      <c r="E433" t="inlineStr">
        <is>
          <t>NORRTÄLJE</t>
        </is>
      </c>
      <c r="F433" t="inlineStr">
        <is>
          <t>Kyrkan</t>
        </is>
      </c>
      <c r="G433" t="n">
        <v>1.3</v>
      </c>
      <c r="H433" t="n">
        <v>0</v>
      </c>
      <c r="I433" t="n">
        <v>0</v>
      </c>
      <c r="J433" t="n">
        <v>0</v>
      </c>
      <c r="K433" t="n">
        <v>0</v>
      </c>
      <c r="L433" t="n">
        <v>0</v>
      </c>
      <c r="M433" t="n">
        <v>0</v>
      </c>
      <c r="N433" t="n">
        <v>0</v>
      </c>
      <c r="O433" t="n">
        <v>0</v>
      </c>
      <c r="P433" t="n">
        <v>0</v>
      </c>
      <c r="Q433" t="n">
        <v>0</v>
      </c>
      <c r="R433" s="2" t="inlineStr"/>
    </row>
    <row r="434" ht="15" customHeight="1">
      <c r="A434" t="inlineStr">
        <is>
          <t>A 17556-2025</t>
        </is>
      </c>
      <c r="B434" s="1" t="n">
        <v>45757.62482638889</v>
      </c>
      <c r="C434" s="1" t="n">
        <v>45922</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58661-2020</t>
        </is>
      </c>
      <c r="B435" s="1" t="n">
        <v>44145</v>
      </c>
      <c r="C435" s="1" t="n">
        <v>45922</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26675-2025</t>
        </is>
      </c>
      <c r="B436" s="1" t="n">
        <v>45810.42393518519</v>
      </c>
      <c r="C436" s="1" t="n">
        <v>45922</v>
      </c>
      <c r="D436" t="inlineStr">
        <is>
          <t>STOCKHOLMS LÄN</t>
        </is>
      </c>
      <c r="E436" t="inlineStr">
        <is>
          <t>NORRTÄLJE</t>
        </is>
      </c>
      <c r="G436" t="n">
        <v>2.7</v>
      </c>
      <c r="H436" t="n">
        <v>0</v>
      </c>
      <c r="I436" t="n">
        <v>0</v>
      </c>
      <c r="J436" t="n">
        <v>0</v>
      </c>
      <c r="K436" t="n">
        <v>0</v>
      </c>
      <c r="L436" t="n">
        <v>0</v>
      </c>
      <c r="M436" t="n">
        <v>0</v>
      </c>
      <c r="N436" t="n">
        <v>0</v>
      </c>
      <c r="O436" t="n">
        <v>0</v>
      </c>
      <c r="P436" t="n">
        <v>0</v>
      </c>
      <c r="Q436" t="n">
        <v>0</v>
      </c>
      <c r="R436" s="2" t="inlineStr"/>
    </row>
    <row r="437" ht="15" customHeight="1">
      <c r="A437" t="inlineStr">
        <is>
          <t>A 42094-2023</t>
        </is>
      </c>
      <c r="B437" s="1" t="n">
        <v>45177.61498842593</v>
      </c>
      <c r="C437" s="1" t="n">
        <v>45922</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64145-2021</t>
        </is>
      </c>
      <c r="B438" s="1" t="n">
        <v>44510</v>
      </c>
      <c r="C438" s="1" t="n">
        <v>45922</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1740-2023</t>
        </is>
      </c>
      <c r="B439" s="1" t="n">
        <v>44938</v>
      </c>
      <c r="C439" s="1" t="n">
        <v>45922</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4596-2023</t>
        </is>
      </c>
      <c r="B440" s="1" t="n">
        <v>44956</v>
      </c>
      <c r="C440" s="1" t="n">
        <v>45922</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8370-2025</t>
        </is>
      </c>
      <c r="B441" s="1" t="n">
        <v>45708</v>
      </c>
      <c r="C441" s="1" t="n">
        <v>45922</v>
      </c>
      <c r="D441" t="inlineStr">
        <is>
          <t>STOCKHOLMS LÄN</t>
        </is>
      </c>
      <c r="E441" t="inlineStr">
        <is>
          <t>NORRTÄLJE</t>
        </is>
      </c>
      <c r="F441" t="inlineStr">
        <is>
          <t>Övriga Aktiebolag</t>
        </is>
      </c>
      <c r="G441" t="n">
        <v>5.6</v>
      </c>
      <c r="H441" t="n">
        <v>0</v>
      </c>
      <c r="I441" t="n">
        <v>0</v>
      </c>
      <c r="J441" t="n">
        <v>0</v>
      </c>
      <c r="K441" t="n">
        <v>0</v>
      </c>
      <c r="L441" t="n">
        <v>0</v>
      </c>
      <c r="M441" t="n">
        <v>0</v>
      </c>
      <c r="N441" t="n">
        <v>0</v>
      </c>
      <c r="O441" t="n">
        <v>0</v>
      </c>
      <c r="P441" t="n">
        <v>0</v>
      </c>
      <c r="Q441" t="n">
        <v>0</v>
      </c>
      <c r="R441" s="2" t="inlineStr"/>
    </row>
    <row r="442" ht="15" customHeight="1">
      <c r="A442" t="inlineStr">
        <is>
          <t>A 3299-2022</t>
        </is>
      </c>
      <c r="B442" s="1" t="n">
        <v>44584.91001157407</v>
      </c>
      <c r="C442" s="1" t="n">
        <v>45922</v>
      </c>
      <c r="D442" t="inlineStr">
        <is>
          <t>STOCKHOLMS LÄN</t>
        </is>
      </c>
      <c r="E442" t="inlineStr">
        <is>
          <t>NORRTÄLJE</t>
        </is>
      </c>
      <c r="G442" t="n">
        <v>2.7</v>
      </c>
      <c r="H442" t="n">
        <v>0</v>
      </c>
      <c r="I442" t="n">
        <v>0</v>
      </c>
      <c r="J442" t="n">
        <v>0</v>
      </c>
      <c r="K442" t="n">
        <v>0</v>
      </c>
      <c r="L442" t="n">
        <v>0</v>
      </c>
      <c r="M442" t="n">
        <v>0</v>
      </c>
      <c r="N442" t="n">
        <v>0</v>
      </c>
      <c r="O442" t="n">
        <v>0</v>
      </c>
      <c r="P442" t="n">
        <v>0</v>
      </c>
      <c r="Q442" t="n">
        <v>0</v>
      </c>
      <c r="R442" s="2" t="inlineStr"/>
    </row>
    <row r="443" ht="15" customHeight="1">
      <c r="A443" t="inlineStr">
        <is>
          <t>A 12348-2025</t>
        </is>
      </c>
      <c r="B443" s="1" t="n">
        <v>45730.35026620371</v>
      </c>
      <c r="C443" s="1" t="n">
        <v>45922</v>
      </c>
      <c r="D443" t="inlineStr">
        <is>
          <t>STOCKHOLMS LÄN</t>
        </is>
      </c>
      <c r="E443" t="inlineStr">
        <is>
          <t>NORRTÄLJE</t>
        </is>
      </c>
      <c r="G443" t="n">
        <v>1.5</v>
      </c>
      <c r="H443" t="n">
        <v>0</v>
      </c>
      <c r="I443" t="n">
        <v>0</v>
      </c>
      <c r="J443" t="n">
        <v>0</v>
      </c>
      <c r="K443" t="n">
        <v>0</v>
      </c>
      <c r="L443" t="n">
        <v>0</v>
      </c>
      <c r="M443" t="n">
        <v>0</v>
      </c>
      <c r="N443" t="n">
        <v>0</v>
      </c>
      <c r="O443" t="n">
        <v>0</v>
      </c>
      <c r="P443" t="n">
        <v>0</v>
      </c>
      <c r="Q443" t="n">
        <v>0</v>
      </c>
      <c r="R443" s="2" t="inlineStr"/>
    </row>
    <row r="444" ht="15" customHeight="1">
      <c r="A444" t="inlineStr">
        <is>
          <t>A 30802-2022</t>
        </is>
      </c>
      <c r="B444" s="1" t="n">
        <v>44764</v>
      </c>
      <c r="C444" s="1" t="n">
        <v>45922</v>
      </c>
      <c r="D444" t="inlineStr">
        <is>
          <t>STOCKHOLMS LÄN</t>
        </is>
      </c>
      <c r="E444" t="inlineStr">
        <is>
          <t>NORRTÄLJE</t>
        </is>
      </c>
      <c r="G444" t="n">
        <v>1.7</v>
      </c>
      <c r="H444" t="n">
        <v>0</v>
      </c>
      <c r="I444" t="n">
        <v>0</v>
      </c>
      <c r="J444" t="n">
        <v>0</v>
      </c>
      <c r="K444" t="n">
        <v>0</v>
      </c>
      <c r="L444" t="n">
        <v>0</v>
      </c>
      <c r="M444" t="n">
        <v>0</v>
      </c>
      <c r="N444" t="n">
        <v>0</v>
      </c>
      <c r="O444" t="n">
        <v>0</v>
      </c>
      <c r="P444" t="n">
        <v>0</v>
      </c>
      <c r="Q444" t="n">
        <v>0</v>
      </c>
      <c r="R444" s="2" t="inlineStr"/>
    </row>
    <row r="445" ht="15" customHeight="1">
      <c r="A445" t="inlineStr">
        <is>
          <t>A 17545-2025</t>
        </is>
      </c>
      <c r="B445" s="1" t="n">
        <v>45757.60658564815</v>
      </c>
      <c r="C445" s="1" t="n">
        <v>45922</v>
      </c>
      <c r="D445" t="inlineStr">
        <is>
          <t>STOCKHOLMS LÄN</t>
        </is>
      </c>
      <c r="E445" t="inlineStr">
        <is>
          <t>NORRTÄLJE</t>
        </is>
      </c>
      <c r="G445" t="n">
        <v>1.6</v>
      </c>
      <c r="H445" t="n">
        <v>0</v>
      </c>
      <c r="I445" t="n">
        <v>0</v>
      </c>
      <c r="J445" t="n">
        <v>0</v>
      </c>
      <c r="K445" t="n">
        <v>0</v>
      </c>
      <c r="L445" t="n">
        <v>0</v>
      </c>
      <c r="M445" t="n">
        <v>0</v>
      </c>
      <c r="N445" t="n">
        <v>0</v>
      </c>
      <c r="O445" t="n">
        <v>0</v>
      </c>
      <c r="P445" t="n">
        <v>0</v>
      </c>
      <c r="Q445" t="n">
        <v>0</v>
      </c>
      <c r="R445" s="2" t="inlineStr"/>
    </row>
    <row r="446" ht="15" customHeight="1">
      <c r="A446" t="inlineStr">
        <is>
          <t>A 25094-2023</t>
        </is>
      </c>
      <c r="B446" s="1" t="n">
        <v>45086.3629050926</v>
      </c>
      <c r="C446" s="1" t="n">
        <v>45922</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36157-2024</t>
        </is>
      </c>
      <c r="B447" s="1" t="n">
        <v>45534.38240740741</v>
      </c>
      <c r="C447" s="1" t="n">
        <v>45922</v>
      </c>
      <c r="D447" t="inlineStr">
        <is>
          <t>STOCKHOLMS LÄN</t>
        </is>
      </c>
      <c r="E447" t="inlineStr">
        <is>
          <t>NORRTÄLJE</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47694-2023</t>
        </is>
      </c>
      <c r="B448" s="1" t="n">
        <v>45203.63303240741</v>
      </c>
      <c r="C448" s="1" t="n">
        <v>45922</v>
      </c>
      <c r="D448" t="inlineStr">
        <is>
          <t>STOCKHOLMS LÄN</t>
        </is>
      </c>
      <c r="E448" t="inlineStr">
        <is>
          <t>NORRTÄLJE</t>
        </is>
      </c>
      <c r="G448" t="n">
        <v>5.2</v>
      </c>
      <c r="H448" t="n">
        <v>0</v>
      </c>
      <c r="I448" t="n">
        <v>0</v>
      </c>
      <c r="J448" t="n">
        <v>0</v>
      </c>
      <c r="K448" t="n">
        <v>0</v>
      </c>
      <c r="L448" t="n">
        <v>0</v>
      </c>
      <c r="M448" t="n">
        <v>0</v>
      </c>
      <c r="N448" t="n">
        <v>0</v>
      </c>
      <c r="O448" t="n">
        <v>0</v>
      </c>
      <c r="P448" t="n">
        <v>0</v>
      </c>
      <c r="Q448" t="n">
        <v>0</v>
      </c>
      <c r="R448" s="2" t="inlineStr"/>
    </row>
    <row r="449" ht="15" customHeight="1">
      <c r="A449" t="inlineStr">
        <is>
          <t>A 55369-2023</t>
        </is>
      </c>
      <c r="B449" s="1" t="n">
        <v>45238</v>
      </c>
      <c r="C449" s="1" t="n">
        <v>45922</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35532-2024</t>
        </is>
      </c>
      <c r="B450" s="1" t="n">
        <v>45531</v>
      </c>
      <c r="C450" s="1" t="n">
        <v>45922</v>
      </c>
      <c r="D450" t="inlineStr">
        <is>
          <t>STOCKHOLMS LÄN</t>
        </is>
      </c>
      <c r="E450" t="inlineStr">
        <is>
          <t>NORRTÄLJE</t>
        </is>
      </c>
      <c r="G450" t="n">
        <v>2.3</v>
      </c>
      <c r="H450" t="n">
        <v>0</v>
      </c>
      <c r="I450" t="n">
        <v>0</v>
      </c>
      <c r="J450" t="n">
        <v>0</v>
      </c>
      <c r="K450" t="n">
        <v>0</v>
      </c>
      <c r="L450" t="n">
        <v>0</v>
      </c>
      <c r="M450" t="n">
        <v>0</v>
      </c>
      <c r="N450" t="n">
        <v>0</v>
      </c>
      <c r="O450" t="n">
        <v>0</v>
      </c>
      <c r="P450" t="n">
        <v>0</v>
      </c>
      <c r="Q450" t="n">
        <v>0</v>
      </c>
      <c r="R450" s="2" t="inlineStr"/>
    </row>
    <row r="451" ht="15" customHeight="1">
      <c r="A451" t="inlineStr">
        <is>
          <t>A 1654-2025</t>
        </is>
      </c>
      <c r="B451" s="1" t="n">
        <v>45670.65921296296</v>
      </c>
      <c r="C451" s="1" t="n">
        <v>45922</v>
      </c>
      <c r="D451" t="inlineStr">
        <is>
          <t>STOCKHOLMS LÄN</t>
        </is>
      </c>
      <c r="E451" t="inlineStr">
        <is>
          <t>NORRTÄLJE</t>
        </is>
      </c>
      <c r="G451" t="n">
        <v>2.5</v>
      </c>
      <c r="H451" t="n">
        <v>0</v>
      </c>
      <c r="I451" t="n">
        <v>0</v>
      </c>
      <c r="J451" t="n">
        <v>0</v>
      </c>
      <c r="K451" t="n">
        <v>0</v>
      </c>
      <c r="L451" t="n">
        <v>0</v>
      </c>
      <c r="M451" t="n">
        <v>0</v>
      </c>
      <c r="N451" t="n">
        <v>0</v>
      </c>
      <c r="O451" t="n">
        <v>0</v>
      </c>
      <c r="P451" t="n">
        <v>0</v>
      </c>
      <c r="Q451" t="n">
        <v>0</v>
      </c>
      <c r="R451" s="2" t="inlineStr"/>
    </row>
    <row r="452" ht="15" customHeight="1">
      <c r="A452" t="inlineStr">
        <is>
          <t>A 62644-2023</t>
        </is>
      </c>
      <c r="B452" s="1" t="n">
        <v>45271</v>
      </c>
      <c r="C452" s="1" t="n">
        <v>45922</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61113-2023</t>
        </is>
      </c>
      <c r="B453" s="1" t="n">
        <v>45261</v>
      </c>
      <c r="C453" s="1" t="n">
        <v>45922</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3283-2025</t>
        </is>
      </c>
      <c r="B454" s="1" t="n">
        <v>45679</v>
      </c>
      <c r="C454" s="1" t="n">
        <v>45922</v>
      </c>
      <c r="D454" t="inlineStr">
        <is>
          <t>STOCKHOLMS LÄN</t>
        </is>
      </c>
      <c r="E454" t="inlineStr">
        <is>
          <t>NORRTÄLJE</t>
        </is>
      </c>
      <c r="G454" t="n">
        <v>1.1</v>
      </c>
      <c r="H454" t="n">
        <v>0</v>
      </c>
      <c r="I454" t="n">
        <v>0</v>
      </c>
      <c r="J454" t="n">
        <v>0</v>
      </c>
      <c r="K454" t="n">
        <v>0</v>
      </c>
      <c r="L454" t="n">
        <v>0</v>
      </c>
      <c r="M454" t="n">
        <v>0</v>
      </c>
      <c r="N454" t="n">
        <v>0</v>
      </c>
      <c r="O454" t="n">
        <v>0</v>
      </c>
      <c r="P454" t="n">
        <v>0</v>
      </c>
      <c r="Q454" t="n">
        <v>0</v>
      </c>
      <c r="R454" s="2" t="inlineStr"/>
    </row>
    <row r="455" ht="15" customHeight="1">
      <c r="A455" t="inlineStr">
        <is>
          <t>A 11229-2022</t>
        </is>
      </c>
      <c r="B455" s="1" t="n">
        <v>44629</v>
      </c>
      <c r="C455" s="1" t="n">
        <v>45922</v>
      </c>
      <c r="D455" t="inlineStr">
        <is>
          <t>STOCKHOLMS LÄN</t>
        </is>
      </c>
      <c r="E455" t="inlineStr">
        <is>
          <t>NORRTÄLJE</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57353-2024</t>
        </is>
      </c>
      <c r="B456" s="1" t="n">
        <v>45629.65143518519</v>
      </c>
      <c r="C456" s="1" t="n">
        <v>45922</v>
      </c>
      <c r="D456" t="inlineStr">
        <is>
          <t>STOCKHOLMS LÄN</t>
        </is>
      </c>
      <c r="E456" t="inlineStr">
        <is>
          <t>NORRTÄLJE</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48587-2023</t>
        </is>
      </c>
      <c r="B457" s="1" t="n">
        <v>45208</v>
      </c>
      <c r="C457" s="1" t="n">
        <v>45922</v>
      </c>
      <c r="D457" t="inlineStr">
        <is>
          <t>STOCKHOLMS LÄN</t>
        </is>
      </c>
      <c r="E457" t="inlineStr">
        <is>
          <t>NORRTÄLJE</t>
        </is>
      </c>
      <c r="G457" t="n">
        <v>7</v>
      </c>
      <c r="H457" t="n">
        <v>0</v>
      </c>
      <c r="I457" t="n">
        <v>0</v>
      </c>
      <c r="J457" t="n">
        <v>0</v>
      </c>
      <c r="K457" t="n">
        <v>0</v>
      </c>
      <c r="L457" t="n">
        <v>0</v>
      </c>
      <c r="M457" t="n">
        <v>0</v>
      </c>
      <c r="N457" t="n">
        <v>0</v>
      </c>
      <c r="O457" t="n">
        <v>0</v>
      </c>
      <c r="P457" t="n">
        <v>0</v>
      </c>
      <c r="Q457" t="n">
        <v>0</v>
      </c>
      <c r="R457" s="2" t="inlineStr"/>
    </row>
    <row r="458" ht="15" customHeight="1">
      <c r="A458" t="inlineStr">
        <is>
          <t>A 13291-2025</t>
        </is>
      </c>
      <c r="B458" s="1" t="n">
        <v>45735</v>
      </c>
      <c r="C458" s="1" t="n">
        <v>45922</v>
      </c>
      <c r="D458" t="inlineStr">
        <is>
          <t>STOCKHOLMS LÄN</t>
        </is>
      </c>
      <c r="E458" t="inlineStr">
        <is>
          <t>NORRTÄLJE</t>
        </is>
      </c>
      <c r="G458" t="n">
        <v>3.8</v>
      </c>
      <c r="H458" t="n">
        <v>0</v>
      </c>
      <c r="I458" t="n">
        <v>0</v>
      </c>
      <c r="J458" t="n">
        <v>0</v>
      </c>
      <c r="K458" t="n">
        <v>0</v>
      </c>
      <c r="L458" t="n">
        <v>0</v>
      </c>
      <c r="M458" t="n">
        <v>0</v>
      </c>
      <c r="N458" t="n">
        <v>0</v>
      </c>
      <c r="O458" t="n">
        <v>0</v>
      </c>
      <c r="P458" t="n">
        <v>0</v>
      </c>
      <c r="Q458" t="n">
        <v>0</v>
      </c>
      <c r="R458" s="2" t="inlineStr"/>
    </row>
    <row r="459" ht="15" customHeight="1">
      <c r="A459" t="inlineStr">
        <is>
          <t>A 27554-2025</t>
        </is>
      </c>
      <c r="B459" s="1" t="n">
        <v>45813.4709375</v>
      </c>
      <c r="C459" s="1" t="n">
        <v>45922</v>
      </c>
      <c r="D459" t="inlineStr">
        <is>
          <t>STOCKHOLMS LÄN</t>
        </is>
      </c>
      <c r="E459" t="inlineStr">
        <is>
          <t>NORRTÄLJE</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2549-2022</t>
        </is>
      </c>
      <c r="B460" s="1" t="n">
        <v>44580</v>
      </c>
      <c r="C460" s="1" t="n">
        <v>45922</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10676-2025</t>
        </is>
      </c>
      <c r="B461" s="1" t="n">
        <v>45721.88684027778</v>
      </c>
      <c r="C461" s="1" t="n">
        <v>45922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4438-2023</t>
        </is>
      </c>
      <c r="B462" s="1" t="n">
        <v>44956</v>
      </c>
      <c r="C462" s="1" t="n">
        <v>45922</v>
      </c>
      <c r="D462" t="inlineStr">
        <is>
          <t>STOCKHOLMS LÄN</t>
        </is>
      </c>
      <c r="E462" t="inlineStr">
        <is>
          <t>NORRTÄLJE</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20852-2023</t>
        </is>
      </c>
      <c r="B463" s="1" t="n">
        <v>45058.78607638889</v>
      </c>
      <c r="C463" s="1" t="n">
        <v>45922</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34295-2024</t>
        </is>
      </c>
      <c r="B464" s="1" t="n">
        <v>45524</v>
      </c>
      <c r="C464" s="1" t="n">
        <v>45922</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27677-2025</t>
        </is>
      </c>
      <c r="B465" s="1" t="n">
        <v>45813.63650462963</v>
      </c>
      <c r="C465" s="1" t="n">
        <v>45922</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47758-2023</t>
        </is>
      </c>
      <c r="B466" s="1" t="n">
        <v>45203.83891203703</v>
      </c>
      <c r="C466" s="1" t="n">
        <v>45922</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51061-2023</t>
        </is>
      </c>
      <c r="B467" s="1" t="n">
        <v>45218.65849537037</v>
      </c>
      <c r="C467" s="1" t="n">
        <v>45922</v>
      </c>
      <c r="D467" t="inlineStr">
        <is>
          <t>STOCKHOLMS LÄN</t>
        </is>
      </c>
      <c r="E467" t="inlineStr">
        <is>
          <t>NORRTÄLJE</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22697-2022</t>
        </is>
      </c>
      <c r="B468" s="1" t="n">
        <v>44714.56040509259</v>
      </c>
      <c r="C468" s="1" t="n">
        <v>45922</v>
      </c>
      <c r="D468" t="inlineStr">
        <is>
          <t>STOCKHOLMS LÄN</t>
        </is>
      </c>
      <c r="E468" t="inlineStr">
        <is>
          <t>NORRTÄLJE</t>
        </is>
      </c>
      <c r="G468" t="n">
        <v>5.6</v>
      </c>
      <c r="H468" t="n">
        <v>0</v>
      </c>
      <c r="I468" t="n">
        <v>0</v>
      </c>
      <c r="J468" t="n">
        <v>0</v>
      </c>
      <c r="K468" t="n">
        <v>0</v>
      </c>
      <c r="L468" t="n">
        <v>0</v>
      </c>
      <c r="M468" t="n">
        <v>0</v>
      </c>
      <c r="N468" t="n">
        <v>0</v>
      </c>
      <c r="O468" t="n">
        <v>0</v>
      </c>
      <c r="P468" t="n">
        <v>0</v>
      </c>
      <c r="Q468" t="n">
        <v>0</v>
      </c>
      <c r="R468" s="2" t="inlineStr"/>
    </row>
    <row r="469" ht="15" customHeight="1">
      <c r="A469" t="inlineStr">
        <is>
          <t>A 45549-2022</t>
        </is>
      </c>
      <c r="B469" s="1" t="n">
        <v>44845.48064814815</v>
      </c>
      <c r="C469" s="1" t="n">
        <v>45922</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54396-2021</t>
        </is>
      </c>
      <c r="B470" s="1" t="n">
        <v>44472</v>
      </c>
      <c r="C470" s="1" t="n">
        <v>45922</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24727-2023</t>
        </is>
      </c>
      <c r="B471" s="1" t="n">
        <v>45084.57695601852</v>
      </c>
      <c r="C471" s="1" t="n">
        <v>45922</v>
      </c>
      <c r="D471" t="inlineStr">
        <is>
          <t>STOCKHOLMS LÄN</t>
        </is>
      </c>
      <c r="E471" t="inlineStr">
        <is>
          <t>NORRTÄLJE</t>
        </is>
      </c>
      <c r="F471" t="inlineStr">
        <is>
          <t>Holmen skog AB</t>
        </is>
      </c>
      <c r="G471" t="n">
        <v>2.2</v>
      </c>
      <c r="H471" t="n">
        <v>0</v>
      </c>
      <c r="I471" t="n">
        <v>0</v>
      </c>
      <c r="J471" t="n">
        <v>0</v>
      </c>
      <c r="K471" t="n">
        <v>0</v>
      </c>
      <c r="L471" t="n">
        <v>0</v>
      </c>
      <c r="M471" t="n">
        <v>0</v>
      </c>
      <c r="N471" t="n">
        <v>0</v>
      </c>
      <c r="O471" t="n">
        <v>0</v>
      </c>
      <c r="P471" t="n">
        <v>0</v>
      </c>
      <c r="Q471" t="n">
        <v>0</v>
      </c>
      <c r="R471" s="2" t="inlineStr"/>
    </row>
    <row r="472" ht="15" customHeight="1">
      <c r="A472" t="inlineStr">
        <is>
          <t>A 48722-2023</t>
        </is>
      </c>
      <c r="B472" s="1" t="n">
        <v>45208.70996527778</v>
      </c>
      <c r="C472" s="1" t="n">
        <v>45922</v>
      </c>
      <c r="D472" t="inlineStr">
        <is>
          <t>STOCKHOLMS LÄN</t>
        </is>
      </c>
      <c r="E472" t="inlineStr">
        <is>
          <t>NORRTÄLJE</t>
        </is>
      </c>
      <c r="G472" t="n">
        <v>0.3</v>
      </c>
      <c r="H472" t="n">
        <v>0</v>
      </c>
      <c r="I472" t="n">
        <v>0</v>
      </c>
      <c r="J472" t="n">
        <v>0</v>
      </c>
      <c r="K472" t="n">
        <v>0</v>
      </c>
      <c r="L472" t="n">
        <v>0</v>
      </c>
      <c r="M472" t="n">
        <v>0</v>
      </c>
      <c r="N472" t="n">
        <v>0</v>
      </c>
      <c r="O472" t="n">
        <v>0</v>
      </c>
      <c r="P472" t="n">
        <v>0</v>
      </c>
      <c r="Q472" t="n">
        <v>0</v>
      </c>
      <c r="R472" s="2" t="inlineStr"/>
    </row>
    <row r="473" ht="15" customHeight="1">
      <c r="A473" t="inlineStr">
        <is>
          <t>A 35235-2024</t>
        </is>
      </c>
      <c r="B473" s="1" t="n">
        <v>45530</v>
      </c>
      <c r="C473" s="1" t="n">
        <v>45922</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1448-2023</t>
        </is>
      </c>
      <c r="B474" s="1" t="n">
        <v>44937</v>
      </c>
      <c r="C474" s="1" t="n">
        <v>45922</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58311-2023</t>
        </is>
      </c>
      <c r="B475" s="1" t="n">
        <v>45245</v>
      </c>
      <c r="C475" s="1" t="n">
        <v>45922</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23692-2024</t>
        </is>
      </c>
      <c r="B476" s="1" t="n">
        <v>45454.65774305556</v>
      </c>
      <c r="C476" s="1" t="n">
        <v>45922</v>
      </c>
      <c r="D476" t="inlineStr">
        <is>
          <t>STOCKHOLMS LÄN</t>
        </is>
      </c>
      <c r="E476" t="inlineStr">
        <is>
          <t>NORRTÄLJE</t>
        </is>
      </c>
      <c r="G476" t="n">
        <v>3.7</v>
      </c>
      <c r="H476" t="n">
        <v>0</v>
      </c>
      <c r="I476" t="n">
        <v>0</v>
      </c>
      <c r="J476" t="n">
        <v>0</v>
      </c>
      <c r="K476" t="n">
        <v>0</v>
      </c>
      <c r="L476" t="n">
        <v>0</v>
      </c>
      <c r="M476" t="n">
        <v>0</v>
      </c>
      <c r="N476" t="n">
        <v>0</v>
      </c>
      <c r="O476" t="n">
        <v>0</v>
      </c>
      <c r="P476" t="n">
        <v>0</v>
      </c>
      <c r="Q476" t="n">
        <v>0</v>
      </c>
      <c r="R476" s="2" t="inlineStr"/>
    </row>
    <row r="477" ht="15" customHeight="1">
      <c r="A477" t="inlineStr">
        <is>
          <t>A 27700-2025</t>
        </is>
      </c>
      <c r="B477" s="1" t="n">
        <v>45813.6799537037</v>
      </c>
      <c r="C477" s="1" t="n">
        <v>45922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22456-2023</t>
        </is>
      </c>
      <c r="B478" s="1" t="n">
        <v>45070</v>
      </c>
      <c r="C478" s="1" t="n">
        <v>45922</v>
      </c>
      <c r="D478" t="inlineStr">
        <is>
          <t>STOCKHOLMS LÄN</t>
        </is>
      </c>
      <c r="E478" t="inlineStr">
        <is>
          <t>NORRTÄLJE</t>
        </is>
      </c>
      <c r="G478" t="n">
        <v>3.1</v>
      </c>
      <c r="H478" t="n">
        <v>0</v>
      </c>
      <c r="I478" t="n">
        <v>0</v>
      </c>
      <c r="J478" t="n">
        <v>0</v>
      </c>
      <c r="K478" t="n">
        <v>0</v>
      </c>
      <c r="L478" t="n">
        <v>0</v>
      </c>
      <c r="M478" t="n">
        <v>0</v>
      </c>
      <c r="N478" t="n">
        <v>0</v>
      </c>
      <c r="O478" t="n">
        <v>0</v>
      </c>
      <c r="P478" t="n">
        <v>0</v>
      </c>
      <c r="Q478" t="n">
        <v>0</v>
      </c>
      <c r="R478" s="2" t="inlineStr"/>
    </row>
    <row r="479" ht="15" customHeight="1">
      <c r="A479" t="inlineStr">
        <is>
          <t>A 8736-2024</t>
        </is>
      </c>
      <c r="B479" s="1" t="n">
        <v>45356.4722800926</v>
      </c>
      <c r="C479" s="1" t="n">
        <v>45922</v>
      </c>
      <c r="D479" t="inlineStr">
        <is>
          <t>STOCKHOLMS LÄN</t>
        </is>
      </c>
      <c r="E479" t="inlineStr">
        <is>
          <t>NORRTÄLJE</t>
        </is>
      </c>
      <c r="G479" t="n">
        <v>8.9</v>
      </c>
      <c r="H479" t="n">
        <v>0</v>
      </c>
      <c r="I479" t="n">
        <v>0</v>
      </c>
      <c r="J479" t="n">
        <v>0</v>
      </c>
      <c r="K479" t="n">
        <v>0</v>
      </c>
      <c r="L479" t="n">
        <v>0</v>
      </c>
      <c r="M479" t="n">
        <v>0</v>
      </c>
      <c r="N479" t="n">
        <v>0</v>
      </c>
      <c r="O479" t="n">
        <v>0</v>
      </c>
      <c r="P479" t="n">
        <v>0</v>
      </c>
      <c r="Q479" t="n">
        <v>0</v>
      </c>
      <c r="R479" s="2" t="inlineStr"/>
    </row>
    <row r="480" ht="15" customHeight="1">
      <c r="A480" t="inlineStr">
        <is>
          <t>A 20473-2021</t>
        </is>
      </c>
      <c r="B480" s="1" t="n">
        <v>44315</v>
      </c>
      <c r="C480" s="1" t="n">
        <v>45922</v>
      </c>
      <c r="D480" t="inlineStr">
        <is>
          <t>STOCKHOLMS LÄN</t>
        </is>
      </c>
      <c r="E480" t="inlineStr">
        <is>
          <t>NORRTÄLJE</t>
        </is>
      </c>
      <c r="F480" t="inlineStr">
        <is>
          <t>Övriga Aktiebolag</t>
        </is>
      </c>
      <c r="G480" t="n">
        <v>3.6</v>
      </c>
      <c r="H480" t="n">
        <v>0</v>
      </c>
      <c r="I480" t="n">
        <v>0</v>
      </c>
      <c r="J480" t="n">
        <v>0</v>
      </c>
      <c r="K480" t="n">
        <v>0</v>
      </c>
      <c r="L480" t="n">
        <v>0</v>
      </c>
      <c r="M480" t="n">
        <v>0</v>
      </c>
      <c r="N480" t="n">
        <v>0</v>
      </c>
      <c r="O480" t="n">
        <v>0</v>
      </c>
      <c r="P480" t="n">
        <v>0</v>
      </c>
      <c r="Q480" t="n">
        <v>0</v>
      </c>
      <c r="R480" s="2" t="inlineStr"/>
    </row>
    <row r="481" ht="15" customHeight="1">
      <c r="A481" t="inlineStr">
        <is>
          <t>A 33149-2022</t>
        </is>
      </c>
      <c r="B481" s="1" t="n">
        <v>44785</v>
      </c>
      <c r="C481" s="1" t="n">
        <v>45922</v>
      </c>
      <c r="D481" t="inlineStr">
        <is>
          <t>STOCKHOLMS LÄN</t>
        </is>
      </c>
      <c r="E481" t="inlineStr">
        <is>
          <t>NORRTÄLJE</t>
        </is>
      </c>
      <c r="F481" t="inlineStr">
        <is>
          <t>Holmen skog AB</t>
        </is>
      </c>
      <c r="G481" t="n">
        <v>4.4</v>
      </c>
      <c r="H481" t="n">
        <v>0</v>
      </c>
      <c r="I481" t="n">
        <v>0</v>
      </c>
      <c r="J481" t="n">
        <v>0</v>
      </c>
      <c r="K481" t="n">
        <v>0</v>
      </c>
      <c r="L481" t="n">
        <v>0</v>
      </c>
      <c r="M481" t="n">
        <v>0</v>
      </c>
      <c r="N481" t="n">
        <v>0</v>
      </c>
      <c r="O481" t="n">
        <v>0</v>
      </c>
      <c r="P481" t="n">
        <v>0</v>
      </c>
      <c r="Q481" t="n">
        <v>0</v>
      </c>
      <c r="R481" s="2" t="inlineStr"/>
    </row>
    <row r="482" ht="15" customHeight="1">
      <c r="A482" t="inlineStr">
        <is>
          <t>A 17785-2024</t>
        </is>
      </c>
      <c r="B482" s="1" t="n">
        <v>45418.6968287037</v>
      </c>
      <c r="C482" s="1" t="n">
        <v>45922</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27697-2025</t>
        </is>
      </c>
      <c r="B483" s="1" t="n">
        <v>45813.66961805556</v>
      </c>
      <c r="C483" s="1" t="n">
        <v>45922</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27802-2025</t>
        </is>
      </c>
      <c r="B484" s="1" t="n">
        <v>45817.2565625</v>
      </c>
      <c r="C484" s="1" t="n">
        <v>45922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27806-2025</t>
        </is>
      </c>
      <c r="B485" s="1" t="n">
        <v>45817.30329861111</v>
      </c>
      <c r="C485" s="1" t="n">
        <v>45922</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27808-2025</t>
        </is>
      </c>
      <c r="B486" s="1" t="n">
        <v>45817.31085648148</v>
      </c>
      <c r="C486" s="1" t="n">
        <v>45922</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27810-2025</t>
        </is>
      </c>
      <c r="B487" s="1" t="n">
        <v>45817.31708333334</v>
      </c>
      <c r="C487" s="1" t="n">
        <v>45922</v>
      </c>
      <c r="D487" t="inlineStr">
        <is>
          <t>STOCKHOLMS LÄN</t>
        </is>
      </c>
      <c r="E487" t="inlineStr">
        <is>
          <t>NORRTÄLJE</t>
        </is>
      </c>
      <c r="G487" t="n">
        <v>3.9</v>
      </c>
      <c r="H487" t="n">
        <v>0</v>
      </c>
      <c r="I487" t="n">
        <v>0</v>
      </c>
      <c r="J487" t="n">
        <v>0</v>
      </c>
      <c r="K487" t="n">
        <v>0</v>
      </c>
      <c r="L487" t="n">
        <v>0</v>
      </c>
      <c r="M487" t="n">
        <v>0</v>
      </c>
      <c r="N487" t="n">
        <v>0</v>
      </c>
      <c r="O487" t="n">
        <v>0</v>
      </c>
      <c r="P487" t="n">
        <v>0</v>
      </c>
      <c r="Q487" t="n">
        <v>0</v>
      </c>
      <c r="R487" s="2" t="inlineStr"/>
    </row>
    <row r="488" ht="15" customHeight="1">
      <c r="A488" t="inlineStr">
        <is>
          <t>A 27811-2025</t>
        </is>
      </c>
      <c r="B488" s="1" t="n">
        <v>45817.31986111111</v>
      </c>
      <c r="C488" s="1" t="n">
        <v>45922</v>
      </c>
      <c r="D488" t="inlineStr">
        <is>
          <t>STOCKHOLMS LÄN</t>
        </is>
      </c>
      <c r="E488" t="inlineStr">
        <is>
          <t>NORRTÄLJE</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27818-2025</t>
        </is>
      </c>
      <c r="B489" s="1" t="n">
        <v>45817.33503472222</v>
      </c>
      <c r="C489" s="1" t="n">
        <v>45922</v>
      </c>
      <c r="D489" t="inlineStr">
        <is>
          <t>STOCKHOLMS LÄN</t>
        </is>
      </c>
      <c r="E489" t="inlineStr">
        <is>
          <t>NORRTÄLJE</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53652-2020</t>
        </is>
      </c>
      <c r="B490" s="1" t="n">
        <v>44124</v>
      </c>
      <c r="C490" s="1" t="n">
        <v>45922</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54273-2021</t>
        </is>
      </c>
      <c r="B491" s="1" t="n">
        <v>44470.72987268519</v>
      </c>
      <c r="C491" s="1" t="n">
        <v>45922</v>
      </c>
      <c r="D491" t="inlineStr">
        <is>
          <t>STOCKHOLMS LÄN</t>
        </is>
      </c>
      <c r="E491" t="inlineStr">
        <is>
          <t>NORRTÄLJE</t>
        </is>
      </c>
      <c r="G491" t="n">
        <v>2.7</v>
      </c>
      <c r="H491" t="n">
        <v>0</v>
      </c>
      <c r="I491" t="n">
        <v>0</v>
      </c>
      <c r="J491" t="n">
        <v>0</v>
      </c>
      <c r="K491" t="n">
        <v>0</v>
      </c>
      <c r="L491" t="n">
        <v>0</v>
      </c>
      <c r="M491" t="n">
        <v>0</v>
      </c>
      <c r="N491" t="n">
        <v>0</v>
      </c>
      <c r="O491" t="n">
        <v>0</v>
      </c>
      <c r="P491" t="n">
        <v>0</v>
      </c>
      <c r="Q491" t="n">
        <v>0</v>
      </c>
      <c r="R491" s="2" t="inlineStr"/>
    </row>
    <row r="492" ht="15" customHeight="1">
      <c r="A492" t="inlineStr">
        <is>
          <t>A 46071-2024</t>
        </is>
      </c>
      <c r="B492" s="1" t="n">
        <v>45581</v>
      </c>
      <c r="C492" s="1" t="n">
        <v>45922</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6537-2024</t>
        </is>
      </c>
      <c r="B493" s="1" t="n">
        <v>45341.39853009259</v>
      </c>
      <c r="C493" s="1" t="n">
        <v>45922</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40175-2024</t>
        </is>
      </c>
      <c r="B494" s="1" t="n">
        <v>45554.55707175926</v>
      </c>
      <c r="C494" s="1" t="n">
        <v>45922</v>
      </c>
      <c r="D494" t="inlineStr">
        <is>
          <t>STOCKHOLMS LÄN</t>
        </is>
      </c>
      <c r="E494" t="inlineStr">
        <is>
          <t>NORRTÄLJE</t>
        </is>
      </c>
      <c r="G494" t="n">
        <v>7.7</v>
      </c>
      <c r="H494" t="n">
        <v>0</v>
      </c>
      <c r="I494" t="n">
        <v>0</v>
      </c>
      <c r="J494" t="n">
        <v>0</v>
      </c>
      <c r="K494" t="n">
        <v>0</v>
      </c>
      <c r="L494" t="n">
        <v>0</v>
      </c>
      <c r="M494" t="n">
        <v>0</v>
      </c>
      <c r="N494" t="n">
        <v>0</v>
      </c>
      <c r="O494" t="n">
        <v>0</v>
      </c>
      <c r="P494" t="n">
        <v>0</v>
      </c>
      <c r="Q494" t="n">
        <v>0</v>
      </c>
      <c r="R494" s="2" t="inlineStr"/>
    </row>
    <row r="495" ht="15" customHeight="1">
      <c r="A495" t="inlineStr">
        <is>
          <t>A 54558-2024</t>
        </is>
      </c>
      <c r="B495" s="1" t="n">
        <v>45617.62358796296</v>
      </c>
      <c r="C495" s="1" t="n">
        <v>45922</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23056-2023</t>
        </is>
      </c>
      <c r="B496" s="1" t="n">
        <v>45075</v>
      </c>
      <c r="C496" s="1" t="n">
        <v>45922</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67393-2020</t>
        </is>
      </c>
      <c r="B497" s="1" t="n">
        <v>44181</v>
      </c>
      <c r="C497" s="1" t="n">
        <v>45922</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6678-2025</t>
        </is>
      </c>
      <c r="B498" s="1" t="n">
        <v>45700</v>
      </c>
      <c r="C498" s="1" t="n">
        <v>45922</v>
      </c>
      <c r="D498" t="inlineStr">
        <is>
          <t>STOCKHOLMS LÄN</t>
        </is>
      </c>
      <c r="E498" t="inlineStr">
        <is>
          <t>NORRTÄLJE</t>
        </is>
      </c>
      <c r="F498" t="inlineStr">
        <is>
          <t>Övriga Aktiebolag</t>
        </is>
      </c>
      <c r="G498" t="n">
        <v>6.6</v>
      </c>
      <c r="H498" t="n">
        <v>0</v>
      </c>
      <c r="I498" t="n">
        <v>0</v>
      </c>
      <c r="J498" t="n">
        <v>0</v>
      </c>
      <c r="K498" t="n">
        <v>0</v>
      </c>
      <c r="L498" t="n">
        <v>0</v>
      </c>
      <c r="M498" t="n">
        <v>0</v>
      </c>
      <c r="N498" t="n">
        <v>0</v>
      </c>
      <c r="O498" t="n">
        <v>0</v>
      </c>
      <c r="P498" t="n">
        <v>0</v>
      </c>
      <c r="Q498" t="n">
        <v>0</v>
      </c>
      <c r="R498" s="2" t="inlineStr"/>
    </row>
    <row r="499" ht="15" customHeight="1">
      <c r="A499" t="inlineStr">
        <is>
          <t>A 47431-2023</t>
        </is>
      </c>
      <c r="B499" s="1" t="n">
        <v>45202</v>
      </c>
      <c r="C499" s="1" t="n">
        <v>45922</v>
      </c>
      <c r="D499" t="inlineStr">
        <is>
          <t>STOCKHOLMS LÄN</t>
        </is>
      </c>
      <c r="E499" t="inlineStr">
        <is>
          <t>NORRTÄLJE</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27801-2025</t>
        </is>
      </c>
      <c r="B500" s="1" t="n">
        <v>45817.25471064815</v>
      </c>
      <c r="C500" s="1" t="n">
        <v>45922</v>
      </c>
      <c r="D500" t="inlineStr">
        <is>
          <t>STOCKHOLMS LÄN</t>
        </is>
      </c>
      <c r="E500" t="inlineStr">
        <is>
          <t>NORRTÄLJE</t>
        </is>
      </c>
      <c r="G500" t="n">
        <v>2</v>
      </c>
      <c r="H500" t="n">
        <v>0</v>
      </c>
      <c r="I500" t="n">
        <v>0</v>
      </c>
      <c r="J500" t="n">
        <v>0</v>
      </c>
      <c r="K500" t="n">
        <v>0</v>
      </c>
      <c r="L500" t="n">
        <v>0</v>
      </c>
      <c r="M500" t="n">
        <v>0</v>
      </c>
      <c r="N500" t="n">
        <v>0</v>
      </c>
      <c r="O500" t="n">
        <v>0</v>
      </c>
      <c r="P500" t="n">
        <v>0</v>
      </c>
      <c r="Q500" t="n">
        <v>0</v>
      </c>
      <c r="R500" s="2" t="inlineStr"/>
    </row>
    <row r="501" ht="15" customHeight="1">
      <c r="A501" t="inlineStr">
        <is>
          <t>A 59499-2023</t>
        </is>
      </c>
      <c r="B501" s="1" t="n">
        <v>45254</v>
      </c>
      <c r="C501" s="1" t="n">
        <v>45922</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59468-2023</t>
        </is>
      </c>
      <c r="B502" s="1" t="n">
        <v>45254.41509259259</v>
      </c>
      <c r="C502" s="1" t="n">
        <v>45922</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7806-2025</t>
        </is>
      </c>
      <c r="B503" s="1" t="n">
        <v>45706.61178240741</v>
      </c>
      <c r="C503" s="1" t="n">
        <v>45922</v>
      </c>
      <c r="D503" t="inlineStr">
        <is>
          <t>STOCKHOLMS LÄN</t>
        </is>
      </c>
      <c r="E503" t="inlineStr">
        <is>
          <t>NORRTÄLJE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12532-2025</t>
        </is>
      </c>
      <c r="B504" s="1" t="n">
        <v>45730.69143518519</v>
      </c>
      <c r="C504" s="1" t="n">
        <v>45922</v>
      </c>
      <c r="D504" t="inlineStr">
        <is>
          <t>STOCKHOLMS LÄN</t>
        </is>
      </c>
      <c r="E504" t="inlineStr">
        <is>
          <t>NORRTÄLJE</t>
        </is>
      </c>
      <c r="G504" t="n">
        <v>1</v>
      </c>
      <c r="H504" t="n">
        <v>0</v>
      </c>
      <c r="I504" t="n">
        <v>0</v>
      </c>
      <c r="J504" t="n">
        <v>0</v>
      </c>
      <c r="K504" t="n">
        <v>0</v>
      </c>
      <c r="L504" t="n">
        <v>0</v>
      </c>
      <c r="M504" t="n">
        <v>0</v>
      </c>
      <c r="N504" t="n">
        <v>0</v>
      </c>
      <c r="O504" t="n">
        <v>0</v>
      </c>
      <c r="P504" t="n">
        <v>0</v>
      </c>
      <c r="Q504" t="n">
        <v>0</v>
      </c>
      <c r="R504" s="2" t="inlineStr"/>
    </row>
    <row r="505" ht="15" customHeight="1">
      <c r="A505" t="inlineStr">
        <is>
          <t>A 5732-2023</t>
        </is>
      </c>
      <c r="B505" s="1" t="n">
        <v>44962</v>
      </c>
      <c r="C505" s="1" t="n">
        <v>45922</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19982-2022</t>
        </is>
      </c>
      <c r="B506" s="1" t="n">
        <v>44697</v>
      </c>
      <c r="C506" s="1" t="n">
        <v>45922</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10653-2022</t>
        </is>
      </c>
      <c r="B507" s="1" t="n">
        <v>44624.59434027778</v>
      </c>
      <c r="C507" s="1" t="n">
        <v>45922</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21729-2024</t>
        </is>
      </c>
      <c r="B508" s="1" t="n">
        <v>45442</v>
      </c>
      <c r="C508" s="1" t="n">
        <v>45922</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11854-2025</t>
        </is>
      </c>
      <c r="B509" s="1" t="n">
        <v>45728.38924768518</v>
      </c>
      <c r="C509" s="1" t="n">
        <v>45922</v>
      </c>
      <c r="D509" t="inlineStr">
        <is>
          <t>STOCKHOLMS LÄN</t>
        </is>
      </c>
      <c r="E509" t="inlineStr">
        <is>
          <t>NORRTÄLJE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14762-2024</t>
        </is>
      </c>
      <c r="B510" s="1" t="n">
        <v>45397</v>
      </c>
      <c r="C510" s="1" t="n">
        <v>45922</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27803-2025</t>
        </is>
      </c>
      <c r="B511" s="1" t="n">
        <v>45817.291875</v>
      </c>
      <c r="C511" s="1" t="n">
        <v>45922</v>
      </c>
      <c r="D511" t="inlineStr">
        <is>
          <t>STOCKHOLMS LÄN</t>
        </is>
      </c>
      <c r="E511" t="inlineStr">
        <is>
          <t>NORRTÄLJE</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27813-2025</t>
        </is>
      </c>
      <c r="B512" s="1" t="n">
        <v>45817.32538194444</v>
      </c>
      <c r="C512" s="1" t="n">
        <v>45922</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59712-2024</t>
        </is>
      </c>
      <c r="B513" s="1" t="n">
        <v>45639.45166666667</v>
      </c>
      <c r="C513" s="1" t="n">
        <v>45922</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27821-2025</t>
        </is>
      </c>
      <c r="B514" s="1" t="n">
        <v>45817.34083333334</v>
      </c>
      <c r="C514" s="1" t="n">
        <v>45922</v>
      </c>
      <c r="D514" t="inlineStr">
        <is>
          <t>STOCKHOLMS LÄN</t>
        </is>
      </c>
      <c r="E514" t="inlineStr">
        <is>
          <t>NORRTÄLJE</t>
        </is>
      </c>
      <c r="G514" t="n">
        <v>3.2</v>
      </c>
      <c r="H514" t="n">
        <v>0</v>
      </c>
      <c r="I514" t="n">
        <v>0</v>
      </c>
      <c r="J514" t="n">
        <v>0</v>
      </c>
      <c r="K514" t="n">
        <v>0</v>
      </c>
      <c r="L514" t="n">
        <v>0</v>
      </c>
      <c r="M514" t="n">
        <v>0</v>
      </c>
      <c r="N514" t="n">
        <v>0</v>
      </c>
      <c r="O514" t="n">
        <v>0</v>
      </c>
      <c r="P514" t="n">
        <v>0</v>
      </c>
      <c r="Q514" t="n">
        <v>0</v>
      </c>
      <c r="R514" s="2" t="inlineStr"/>
    </row>
    <row r="515" ht="15" customHeight="1">
      <c r="A515" t="inlineStr">
        <is>
          <t>A 35127-2023</t>
        </is>
      </c>
      <c r="B515" s="1" t="n">
        <v>45145.51</v>
      </c>
      <c r="C515" s="1" t="n">
        <v>45922</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49327-2020</t>
        </is>
      </c>
      <c r="B516" s="1" t="n">
        <v>44105</v>
      </c>
      <c r="C516" s="1" t="n">
        <v>45922</v>
      </c>
      <c r="D516" t="inlineStr">
        <is>
          <t>STOCKHOLMS LÄN</t>
        </is>
      </c>
      <c r="E516" t="inlineStr">
        <is>
          <t>NORRTÄLJE</t>
        </is>
      </c>
      <c r="G516" t="n">
        <v>0.8</v>
      </c>
      <c r="H516" t="n">
        <v>0</v>
      </c>
      <c r="I516" t="n">
        <v>0</v>
      </c>
      <c r="J516" t="n">
        <v>0</v>
      </c>
      <c r="K516" t="n">
        <v>0</v>
      </c>
      <c r="L516" t="n">
        <v>0</v>
      </c>
      <c r="M516" t="n">
        <v>0</v>
      </c>
      <c r="N516" t="n">
        <v>0</v>
      </c>
      <c r="O516" t="n">
        <v>0</v>
      </c>
      <c r="P516" t="n">
        <v>0</v>
      </c>
      <c r="Q516" t="n">
        <v>0</v>
      </c>
      <c r="R516" s="2" t="inlineStr"/>
    </row>
    <row r="517" ht="15" customHeight="1">
      <c r="A517" t="inlineStr">
        <is>
          <t>A 53792-2023</t>
        </is>
      </c>
      <c r="B517" s="1" t="n">
        <v>45231.34144675926</v>
      </c>
      <c r="C517" s="1" t="n">
        <v>45922</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45255-2022</t>
        </is>
      </c>
      <c r="B518" s="1" t="n">
        <v>44840</v>
      </c>
      <c r="C518" s="1" t="n">
        <v>45922</v>
      </c>
      <c r="D518" t="inlineStr">
        <is>
          <t>STOCKHOLMS LÄN</t>
        </is>
      </c>
      <c r="E518" t="inlineStr">
        <is>
          <t>NORRTÄLJE</t>
        </is>
      </c>
      <c r="G518" t="n">
        <v>4.1</v>
      </c>
      <c r="H518" t="n">
        <v>0</v>
      </c>
      <c r="I518" t="n">
        <v>0</v>
      </c>
      <c r="J518" t="n">
        <v>0</v>
      </c>
      <c r="K518" t="n">
        <v>0</v>
      </c>
      <c r="L518" t="n">
        <v>0</v>
      </c>
      <c r="M518" t="n">
        <v>0</v>
      </c>
      <c r="N518" t="n">
        <v>0</v>
      </c>
      <c r="O518" t="n">
        <v>0</v>
      </c>
      <c r="P518" t="n">
        <v>0</v>
      </c>
      <c r="Q518" t="n">
        <v>0</v>
      </c>
      <c r="R518" s="2" t="inlineStr"/>
    </row>
    <row r="519" ht="15" customHeight="1">
      <c r="A519" t="inlineStr">
        <is>
          <t>A 59893-2022</t>
        </is>
      </c>
      <c r="B519" s="1" t="n">
        <v>44908.77368055555</v>
      </c>
      <c r="C519" s="1" t="n">
        <v>45922</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39905-2023</t>
        </is>
      </c>
      <c r="B520" s="1" t="n">
        <v>45168.44489583333</v>
      </c>
      <c r="C520" s="1" t="n">
        <v>45922</v>
      </c>
      <c r="D520" t="inlineStr">
        <is>
          <t>STOCKHOLMS LÄN</t>
        </is>
      </c>
      <c r="E520" t="inlineStr">
        <is>
          <t>NORRTÄLJE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42075-2023</t>
        </is>
      </c>
      <c r="B521" s="1" t="n">
        <v>45177</v>
      </c>
      <c r="C521" s="1" t="n">
        <v>45922</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5645-2023</t>
        </is>
      </c>
      <c r="B522" s="1" t="n">
        <v>44960.60469907407</v>
      </c>
      <c r="C522" s="1" t="n">
        <v>45922</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68361-2021</t>
        </is>
      </c>
      <c r="B523" s="1" t="n">
        <v>44528.91494212963</v>
      </c>
      <c r="C523" s="1" t="n">
        <v>45922</v>
      </c>
      <c r="D523" t="inlineStr">
        <is>
          <t>STOCKHOLMS LÄN</t>
        </is>
      </c>
      <c r="E523" t="inlineStr">
        <is>
          <t>NORRTÄLJE</t>
        </is>
      </c>
      <c r="G523" t="n">
        <v>1.9</v>
      </c>
      <c r="H523" t="n">
        <v>0</v>
      </c>
      <c r="I523" t="n">
        <v>0</v>
      </c>
      <c r="J523" t="n">
        <v>0</v>
      </c>
      <c r="K523" t="n">
        <v>0</v>
      </c>
      <c r="L523" t="n">
        <v>0</v>
      </c>
      <c r="M523" t="n">
        <v>0</v>
      </c>
      <c r="N523" t="n">
        <v>0</v>
      </c>
      <c r="O523" t="n">
        <v>0</v>
      </c>
      <c r="P523" t="n">
        <v>0</v>
      </c>
      <c r="Q523" t="n">
        <v>0</v>
      </c>
      <c r="R523" s="2" t="inlineStr"/>
    </row>
    <row r="524" ht="15" customHeight="1">
      <c r="A524" t="inlineStr">
        <is>
          <t>A 21329-2022</t>
        </is>
      </c>
      <c r="B524" s="1" t="n">
        <v>44705.60626157407</v>
      </c>
      <c r="C524" s="1" t="n">
        <v>45922</v>
      </c>
      <c r="D524" t="inlineStr">
        <is>
          <t>STOCKHOLMS LÄN</t>
        </is>
      </c>
      <c r="E524" t="inlineStr">
        <is>
          <t>NORRTÄLJE</t>
        </is>
      </c>
      <c r="G524" t="n">
        <v>4.1</v>
      </c>
      <c r="H524" t="n">
        <v>0</v>
      </c>
      <c r="I524" t="n">
        <v>0</v>
      </c>
      <c r="J524" t="n">
        <v>0</v>
      </c>
      <c r="K524" t="n">
        <v>0</v>
      </c>
      <c r="L524" t="n">
        <v>0</v>
      </c>
      <c r="M524" t="n">
        <v>0</v>
      </c>
      <c r="N524" t="n">
        <v>0</v>
      </c>
      <c r="O524" t="n">
        <v>0</v>
      </c>
      <c r="P524" t="n">
        <v>0</v>
      </c>
      <c r="Q524" t="n">
        <v>0</v>
      </c>
      <c r="R524" s="2" t="inlineStr"/>
    </row>
    <row r="525" ht="15" customHeight="1">
      <c r="A525" t="inlineStr">
        <is>
          <t>A 50569-2022</t>
        </is>
      </c>
      <c r="B525" s="1" t="n">
        <v>44866.63775462963</v>
      </c>
      <c r="C525" s="1" t="n">
        <v>45922</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50108-2021</t>
        </is>
      </c>
      <c r="B526" s="1" t="n">
        <v>44456</v>
      </c>
      <c r="C526" s="1" t="n">
        <v>45922</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60529-2023</t>
        </is>
      </c>
      <c r="B527" s="1" t="n">
        <v>45259</v>
      </c>
      <c r="C527" s="1" t="n">
        <v>45922</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19706-2023</t>
        </is>
      </c>
      <c r="B528" s="1" t="n">
        <v>45051.455</v>
      </c>
      <c r="C528" s="1" t="n">
        <v>45922</v>
      </c>
      <c r="D528" t="inlineStr">
        <is>
          <t>STOCKHOLMS LÄN</t>
        </is>
      </c>
      <c r="E528" t="inlineStr">
        <is>
          <t>NORRTÄLJE</t>
        </is>
      </c>
      <c r="G528" t="n">
        <v>0.2</v>
      </c>
      <c r="H528" t="n">
        <v>0</v>
      </c>
      <c r="I528" t="n">
        <v>0</v>
      </c>
      <c r="J528" t="n">
        <v>0</v>
      </c>
      <c r="K528" t="n">
        <v>0</v>
      </c>
      <c r="L528" t="n">
        <v>0</v>
      </c>
      <c r="M528" t="n">
        <v>0</v>
      </c>
      <c r="N528" t="n">
        <v>0</v>
      </c>
      <c r="O528" t="n">
        <v>0</v>
      </c>
      <c r="P528" t="n">
        <v>0</v>
      </c>
      <c r="Q528" t="n">
        <v>0</v>
      </c>
      <c r="R528" s="2" t="inlineStr"/>
    </row>
    <row r="529" ht="15" customHeight="1">
      <c r="A529" t="inlineStr">
        <is>
          <t>A 24501-2023</t>
        </is>
      </c>
      <c r="B529" s="1" t="n">
        <v>45082</v>
      </c>
      <c r="C529" s="1" t="n">
        <v>45922</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24520-2023</t>
        </is>
      </c>
      <c r="B530" s="1" t="n">
        <v>45082.68922453704</v>
      </c>
      <c r="C530" s="1" t="n">
        <v>45922</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45922</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17612-2022</t>
        </is>
      </c>
      <c r="B532" s="1" t="n">
        <v>44680</v>
      </c>
      <c r="C532" s="1" t="n">
        <v>45922</v>
      </c>
      <c r="D532" t="inlineStr">
        <is>
          <t>STOCKHOLMS LÄN</t>
        </is>
      </c>
      <c r="E532" t="inlineStr">
        <is>
          <t>NORRTÄLJE</t>
        </is>
      </c>
      <c r="G532" t="n">
        <v>2.6</v>
      </c>
      <c r="H532" t="n">
        <v>0</v>
      </c>
      <c r="I532" t="n">
        <v>0</v>
      </c>
      <c r="J532" t="n">
        <v>0</v>
      </c>
      <c r="K532" t="n">
        <v>0</v>
      </c>
      <c r="L532" t="n">
        <v>0</v>
      </c>
      <c r="M532" t="n">
        <v>0</v>
      </c>
      <c r="N532" t="n">
        <v>0</v>
      </c>
      <c r="O532" t="n">
        <v>0</v>
      </c>
      <c r="P532" t="n">
        <v>0</v>
      </c>
      <c r="Q532" t="n">
        <v>0</v>
      </c>
      <c r="R532" s="2" t="inlineStr"/>
    </row>
    <row r="533" ht="15" customHeight="1">
      <c r="A533" t="inlineStr">
        <is>
          <t>A 15528-2025</t>
        </is>
      </c>
      <c r="B533" s="1" t="n">
        <v>45747.63471064815</v>
      </c>
      <c r="C533" s="1" t="n">
        <v>45922</v>
      </c>
      <c r="D533" t="inlineStr">
        <is>
          <t>STOCKHOLMS LÄN</t>
        </is>
      </c>
      <c r="E533" t="inlineStr">
        <is>
          <t>NORRTÄLJE</t>
        </is>
      </c>
      <c r="G533" t="n">
        <v>10</v>
      </c>
      <c r="H533" t="n">
        <v>0</v>
      </c>
      <c r="I533" t="n">
        <v>0</v>
      </c>
      <c r="J533" t="n">
        <v>0</v>
      </c>
      <c r="K533" t="n">
        <v>0</v>
      </c>
      <c r="L533" t="n">
        <v>0</v>
      </c>
      <c r="M533" t="n">
        <v>0</v>
      </c>
      <c r="N533" t="n">
        <v>0</v>
      </c>
      <c r="O533" t="n">
        <v>0</v>
      </c>
      <c r="P533" t="n">
        <v>0</v>
      </c>
      <c r="Q533" t="n">
        <v>0</v>
      </c>
      <c r="R533" s="2" t="inlineStr"/>
    </row>
    <row r="534" ht="15" customHeight="1">
      <c r="A534" t="inlineStr">
        <is>
          <t>A 11901-2024</t>
        </is>
      </c>
      <c r="B534" s="1" t="n">
        <v>45376.55638888889</v>
      </c>
      <c r="C534" s="1" t="n">
        <v>45922</v>
      </c>
      <c r="D534" t="inlineStr">
        <is>
          <t>STOCKHOLMS LÄN</t>
        </is>
      </c>
      <c r="E534" t="inlineStr">
        <is>
          <t>NORRTÄLJE</t>
        </is>
      </c>
      <c r="F534" t="inlineStr">
        <is>
          <t>Holmen skog AB</t>
        </is>
      </c>
      <c r="G534" t="n">
        <v>3.5</v>
      </c>
      <c r="H534" t="n">
        <v>0</v>
      </c>
      <c r="I534" t="n">
        <v>0</v>
      </c>
      <c r="J534" t="n">
        <v>0</v>
      </c>
      <c r="K534" t="n">
        <v>0</v>
      </c>
      <c r="L534" t="n">
        <v>0</v>
      </c>
      <c r="M534" t="n">
        <v>0</v>
      </c>
      <c r="N534" t="n">
        <v>0</v>
      </c>
      <c r="O534" t="n">
        <v>0</v>
      </c>
      <c r="P534" t="n">
        <v>0</v>
      </c>
      <c r="Q534" t="n">
        <v>0</v>
      </c>
      <c r="R534" s="2" t="inlineStr"/>
    </row>
    <row r="535" ht="15" customHeight="1">
      <c r="A535" t="inlineStr">
        <is>
          <t>A 16835-2022</t>
        </is>
      </c>
      <c r="B535" s="1" t="n">
        <v>44673</v>
      </c>
      <c r="C535" s="1" t="n">
        <v>45922</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62765-2022</t>
        </is>
      </c>
      <c r="B536" s="1" t="n">
        <v>44637</v>
      </c>
      <c r="C536" s="1" t="n">
        <v>45922</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58404-2023</t>
        </is>
      </c>
      <c r="B537" s="1" t="n">
        <v>45245</v>
      </c>
      <c r="C537" s="1" t="n">
        <v>45922</v>
      </c>
      <c r="D537" t="inlineStr">
        <is>
          <t>STOCKHOLMS LÄN</t>
        </is>
      </c>
      <c r="E537" t="inlineStr">
        <is>
          <t>NORRTÄLJE</t>
        </is>
      </c>
      <c r="G537" t="n">
        <v>53.5</v>
      </c>
      <c r="H537" t="n">
        <v>0</v>
      </c>
      <c r="I537" t="n">
        <v>0</v>
      </c>
      <c r="J537" t="n">
        <v>0</v>
      </c>
      <c r="K537" t="n">
        <v>0</v>
      </c>
      <c r="L537" t="n">
        <v>0</v>
      </c>
      <c r="M537" t="n">
        <v>0</v>
      </c>
      <c r="N537" t="n">
        <v>0</v>
      </c>
      <c r="O537" t="n">
        <v>0</v>
      </c>
      <c r="P537" t="n">
        <v>0</v>
      </c>
      <c r="Q537" t="n">
        <v>0</v>
      </c>
      <c r="R537" s="2" t="inlineStr"/>
    </row>
    <row r="538" ht="15" customHeight="1">
      <c r="A538" t="inlineStr">
        <is>
          <t>A 60654-2023</t>
        </is>
      </c>
      <c r="B538" s="1" t="n">
        <v>45260.43225694444</v>
      </c>
      <c r="C538" s="1" t="n">
        <v>45922</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60656-2023</t>
        </is>
      </c>
      <c r="B539" s="1" t="n">
        <v>45260.4333449074</v>
      </c>
      <c r="C539" s="1" t="n">
        <v>45922</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54496-2024</t>
        </is>
      </c>
      <c r="B540" s="1" t="n">
        <v>45617.57439814815</v>
      </c>
      <c r="C540" s="1" t="n">
        <v>45922</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8586-2023</t>
        </is>
      </c>
      <c r="B541" s="1" t="n">
        <v>44977</v>
      </c>
      <c r="C541" s="1" t="n">
        <v>45922</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21386-2023</t>
        </is>
      </c>
      <c r="B542" s="1" t="n">
        <v>45063.35880787037</v>
      </c>
      <c r="C542" s="1" t="n">
        <v>45922</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10642-2025</t>
        </is>
      </c>
      <c r="B543" s="1" t="n">
        <v>45721.65858796296</v>
      </c>
      <c r="C543" s="1" t="n">
        <v>45922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16202-2022</t>
        </is>
      </c>
      <c r="B544" s="1" t="n">
        <v>44670</v>
      </c>
      <c r="C544" s="1" t="n">
        <v>45922</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55018-2024</t>
        </is>
      </c>
      <c r="B545" s="1" t="n">
        <v>45621.35712962963</v>
      </c>
      <c r="C545" s="1" t="n">
        <v>45922</v>
      </c>
      <c r="D545" t="inlineStr">
        <is>
          <t>STOCKHOLMS LÄN</t>
        </is>
      </c>
      <c r="E545" t="inlineStr">
        <is>
          <t>NORRTÄLJE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50136-2023</t>
        </is>
      </c>
      <c r="B546" s="1" t="n">
        <v>45215</v>
      </c>
      <c r="C546" s="1" t="n">
        <v>45922</v>
      </c>
      <c r="D546" t="inlineStr">
        <is>
          <t>STOCKHOLMS LÄN</t>
        </is>
      </c>
      <c r="E546" t="inlineStr">
        <is>
          <t>NORRTÄLJE</t>
        </is>
      </c>
      <c r="G546" t="n">
        <v>5.2</v>
      </c>
      <c r="H546" t="n">
        <v>0</v>
      </c>
      <c r="I546" t="n">
        <v>0</v>
      </c>
      <c r="J546" t="n">
        <v>0</v>
      </c>
      <c r="K546" t="n">
        <v>0</v>
      </c>
      <c r="L546" t="n">
        <v>0</v>
      </c>
      <c r="M546" t="n">
        <v>0</v>
      </c>
      <c r="N546" t="n">
        <v>0</v>
      </c>
      <c r="O546" t="n">
        <v>0</v>
      </c>
      <c r="P546" t="n">
        <v>0</v>
      </c>
      <c r="Q546" t="n">
        <v>0</v>
      </c>
      <c r="R546" s="2" t="inlineStr"/>
    </row>
    <row r="547" ht="15" customHeight="1">
      <c r="A547" t="inlineStr">
        <is>
          <t>A 25656-2023</t>
        </is>
      </c>
      <c r="B547" s="1" t="n">
        <v>45089</v>
      </c>
      <c r="C547" s="1" t="n">
        <v>45922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6003-2025</t>
        </is>
      </c>
      <c r="B548" s="1" t="n">
        <v>45695.57881944445</v>
      </c>
      <c r="C548" s="1" t="n">
        <v>45922</v>
      </c>
      <c r="D548" t="inlineStr">
        <is>
          <t>STOCKHOLMS LÄN</t>
        </is>
      </c>
      <c r="E548" t="inlineStr">
        <is>
          <t>NORRTÄLJE</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50355-2024</t>
        </is>
      </c>
      <c r="B549" s="1" t="n">
        <v>45600.86128472222</v>
      </c>
      <c r="C549" s="1" t="n">
        <v>45922</v>
      </c>
      <c r="D549" t="inlineStr">
        <is>
          <t>STOCKHOLMS LÄN</t>
        </is>
      </c>
      <c r="E549" t="inlineStr">
        <is>
          <t>NORRTÄLJE</t>
        </is>
      </c>
      <c r="F549" t="inlineStr">
        <is>
          <t>Kommuner</t>
        </is>
      </c>
      <c r="G549" t="n">
        <v>1</v>
      </c>
      <c r="H549" t="n">
        <v>0</v>
      </c>
      <c r="I549" t="n">
        <v>0</v>
      </c>
      <c r="J549" t="n">
        <v>0</v>
      </c>
      <c r="K549" t="n">
        <v>0</v>
      </c>
      <c r="L549" t="n">
        <v>0</v>
      </c>
      <c r="M549" t="n">
        <v>0</v>
      </c>
      <c r="N549" t="n">
        <v>0</v>
      </c>
      <c r="O549" t="n">
        <v>0</v>
      </c>
      <c r="P549" t="n">
        <v>0</v>
      </c>
      <c r="Q549" t="n">
        <v>0</v>
      </c>
      <c r="R549" s="2" t="inlineStr"/>
    </row>
    <row r="550" ht="15" customHeight="1">
      <c r="A550" t="inlineStr">
        <is>
          <t>A 11902-2024</t>
        </is>
      </c>
      <c r="B550" s="1" t="n">
        <v>45376.55704861111</v>
      </c>
      <c r="C550" s="1" t="n">
        <v>45922</v>
      </c>
      <c r="D550" t="inlineStr">
        <is>
          <t>STOCKHOLMS LÄN</t>
        </is>
      </c>
      <c r="E550" t="inlineStr">
        <is>
          <t>NORRTÄLJE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38049-2023</t>
        </is>
      </c>
      <c r="B551" s="1" t="n">
        <v>45159</v>
      </c>
      <c r="C551" s="1" t="n">
        <v>45922</v>
      </c>
      <c r="D551" t="inlineStr">
        <is>
          <t>STOCKHOLMS LÄN</t>
        </is>
      </c>
      <c r="E551" t="inlineStr">
        <is>
          <t>NORRTÄLJE</t>
        </is>
      </c>
      <c r="G551" t="n">
        <v>3.6</v>
      </c>
      <c r="H551" t="n">
        <v>0</v>
      </c>
      <c r="I551" t="n">
        <v>0</v>
      </c>
      <c r="J551" t="n">
        <v>0</v>
      </c>
      <c r="K551" t="n">
        <v>0</v>
      </c>
      <c r="L551" t="n">
        <v>0</v>
      </c>
      <c r="M551" t="n">
        <v>0</v>
      </c>
      <c r="N551" t="n">
        <v>0</v>
      </c>
      <c r="O551" t="n">
        <v>0</v>
      </c>
      <c r="P551" t="n">
        <v>0</v>
      </c>
      <c r="Q551" t="n">
        <v>0</v>
      </c>
      <c r="R551" s="2" t="inlineStr"/>
    </row>
    <row r="552" ht="15" customHeight="1">
      <c r="A552" t="inlineStr">
        <is>
          <t>A 59535-2024</t>
        </is>
      </c>
      <c r="B552" s="1" t="n">
        <v>45638.59979166667</v>
      </c>
      <c r="C552" s="1" t="n">
        <v>45922</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68081-2020</t>
        </is>
      </c>
      <c r="B553" s="1" t="n">
        <v>44183</v>
      </c>
      <c r="C553" s="1" t="n">
        <v>45922</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44917-2022</t>
        </is>
      </c>
      <c r="B554" s="1" t="n">
        <v>44841.52804398148</v>
      </c>
      <c r="C554" s="1" t="n">
        <v>45922</v>
      </c>
      <c r="D554" t="inlineStr">
        <is>
          <t>STOCKHOLMS LÄN</t>
        </is>
      </c>
      <c r="E554" t="inlineStr">
        <is>
          <t>NORRTÄLJE</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20144-2023</t>
        </is>
      </c>
      <c r="B555" s="1" t="n">
        <v>45055.43509259259</v>
      </c>
      <c r="C555" s="1" t="n">
        <v>45922</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4183-2025</t>
        </is>
      </c>
      <c r="B556" s="1" t="n">
        <v>45685.44592592592</v>
      </c>
      <c r="C556" s="1" t="n">
        <v>45922</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53312-2024</t>
        </is>
      </c>
      <c r="B557" s="1" t="n">
        <v>45614.39627314815</v>
      </c>
      <c r="C557" s="1" t="n">
        <v>45922</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39202-2024</t>
        </is>
      </c>
      <c r="B558" s="1" t="n">
        <v>45548.72306712963</v>
      </c>
      <c r="C558" s="1" t="n">
        <v>45922</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9480-2025</t>
        </is>
      </c>
      <c r="B559" s="1" t="n">
        <v>45715</v>
      </c>
      <c r="C559" s="1" t="n">
        <v>45922</v>
      </c>
      <c r="D559" t="inlineStr">
        <is>
          <t>STOCKHOLMS LÄN</t>
        </is>
      </c>
      <c r="E559" t="inlineStr">
        <is>
          <t>NORRTÄLJE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55058-2021</t>
        </is>
      </c>
      <c r="B560" s="1" t="n">
        <v>44474.62141203704</v>
      </c>
      <c r="C560" s="1" t="n">
        <v>45922</v>
      </c>
      <c r="D560" t="inlineStr">
        <is>
          <t>STOCKHOLMS LÄN</t>
        </is>
      </c>
      <c r="E560" t="inlineStr">
        <is>
          <t>NORRTÄLJE</t>
        </is>
      </c>
      <c r="G560" t="n">
        <v>1.9</v>
      </c>
      <c r="H560" t="n">
        <v>0</v>
      </c>
      <c r="I560" t="n">
        <v>0</v>
      </c>
      <c r="J560" t="n">
        <v>0</v>
      </c>
      <c r="K560" t="n">
        <v>0</v>
      </c>
      <c r="L560" t="n">
        <v>0</v>
      </c>
      <c r="M560" t="n">
        <v>0</v>
      </c>
      <c r="N560" t="n">
        <v>0</v>
      </c>
      <c r="O560" t="n">
        <v>0</v>
      </c>
      <c r="P560" t="n">
        <v>0</v>
      </c>
      <c r="Q560" t="n">
        <v>0</v>
      </c>
      <c r="R560" s="2" t="inlineStr"/>
    </row>
    <row r="561" ht="15" customHeight="1">
      <c r="A561" t="inlineStr">
        <is>
          <t>A 24522-2023</t>
        </is>
      </c>
      <c r="B561" s="1" t="n">
        <v>45082.69179398148</v>
      </c>
      <c r="C561" s="1" t="n">
        <v>45922</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25625-2023</t>
        </is>
      </c>
      <c r="B562" s="1" t="n">
        <v>45089</v>
      </c>
      <c r="C562" s="1" t="n">
        <v>45922</v>
      </c>
      <c r="D562" t="inlineStr">
        <is>
          <t>STOCKHOLMS LÄN</t>
        </is>
      </c>
      <c r="E562" t="inlineStr">
        <is>
          <t>NORRTÄLJE</t>
        </is>
      </c>
      <c r="G562" t="n">
        <v>5.5</v>
      </c>
      <c r="H562" t="n">
        <v>0</v>
      </c>
      <c r="I562" t="n">
        <v>0</v>
      </c>
      <c r="J562" t="n">
        <v>0</v>
      </c>
      <c r="K562" t="n">
        <v>0</v>
      </c>
      <c r="L562" t="n">
        <v>0</v>
      </c>
      <c r="M562" t="n">
        <v>0</v>
      </c>
      <c r="N562" t="n">
        <v>0</v>
      </c>
      <c r="O562" t="n">
        <v>0</v>
      </c>
      <c r="P562" t="n">
        <v>0</v>
      </c>
      <c r="Q562" t="n">
        <v>0</v>
      </c>
      <c r="R562" s="2" t="inlineStr"/>
    </row>
    <row r="563" ht="15" customHeight="1">
      <c r="A563" t="inlineStr">
        <is>
          <t>A 37147-2023</t>
        </is>
      </c>
      <c r="B563" s="1" t="n">
        <v>45155</v>
      </c>
      <c r="C563" s="1" t="n">
        <v>45922</v>
      </c>
      <c r="D563" t="inlineStr">
        <is>
          <t>STOCKHOLMS LÄN</t>
        </is>
      </c>
      <c r="E563" t="inlineStr">
        <is>
          <t>NORRTÄLJE</t>
        </is>
      </c>
      <c r="G563" t="n">
        <v>8</v>
      </c>
      <c r="H563" t="n">
        <v>0</v>
      </c>
      <c r="I563" t="n">
        <v>0</v>
      </c>
      <c r="J563" t="n">
        <v>0</v>
      </c>
      <c r="K563" t="n">
        <v>0</v>
      </c>
      <c r="L563" t="n">
        <v>0</v>
      </c>
      <c r="M563" t="n">
        <v>0</v>
      </c>
      <c r="N563" t="n">
        <v>0</v>
      </c>
      <c r="O563" t="n">
        <v>0</v>
      </c>
      <c r="P563" t="n">
        <v>0</v>
      </c>
      <c r="Q563" t="n">
        <v>0</v>
      </c>
      <c r="R563" s="2" t="inlineStr"/>
    </row>
    <row r="564" ht="15" customHeight="1">
      <c r="A564" t="inlineStr">
        <is>
          <t>A 7186-2024</t>
        </is>
      </c>
      <c r="B564" s="1" t="n">
        <v>45344</v>
      </c>
      <c r="C564" s="1" t="n">
        <v>45922</v>
      </c>
      <c r="D564" t="inlineStr">
        <is>
          <t>STOCKHOLMS LÄN</t>
        </is>
      </c>
      <c r="E564" t="inlineStr">
        <is>
          <t>NORRTÄLJE</t>
        </is>
      </c>
      <c r="G564" t="n">
        <v>4.9</v>
      </c>
      <c r="H564" t="n">
        <v>0</v>
      </c>
      <c r="I564" t="n">
        <v>0</v>
      </c>
      <c r="J564" t="n">
        <v>0</v>
      </c>
      <c r="K564" t="n">
        <v>0</v>
      </c>
      <c r="L564" t="n">
        <v>0</v>
      </c>
      <c r="M564" t="n">
        <v>0</v>
      </c>
      <c r="N564" t="n">
        <v>0</v>
      </c>
      <c r="O564" t="n">
        <v>0</v>
      </c>
      <c r="P564" t="n">
        <v>0</v>
      </c>
      <c r="Q564" t="n">
        <v>0</v>
      </c>
      <c r="R564" s="2" t="inlineStr"/>
    </row>
    <row r="565" ht="15" customHeight="1">
      <c r="A565" t="inlineStr">
        <is>
          <t>A 57602-2024</t>
        </is>
      </c>
      <c r="B565" s="1" t="n">
        <v>45630.52866898148</v>
      </c>
      <c r="C565" s="1" t="n">
        <v>45922</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64600-2021</t>
        </is>
      </c>
      <c r="B566" s="1" t="n">
        <v>44511.70518518519</v>
      </c>
      <c r="C566" s="1" t="n">
        <v>45922</v>
      </c>
      <c r="D566" t="inlineStr">
        <is>
          <t>STOCKHOLMS LÄN</t>
        </is>
      </c>
      <c r="E566" t="inlineStr">
        <is>
          <t>NORRTÄLJE</t>
        </is>
      </c>
      <c r="G566" t="n">
        <v>6.2</v>
      </c>
      <c r="H566" t="n">
        <v>0</v>
      </c>
      <c r="I566" t="n">
        <v>0</v>
      </c>
      <c r="J566" t="n">
        <v>0</v>
      </c>
      <c r="K566" t="n">
        <v>0</v>
      </c>
      <c r="L566" t="n">
        <v>0</v>
      </c>
      <c r="M566" t="n">
        <v>0</v>
      </c>
      <c r="N566" t="n">
        <v>0</v>
      </c>
      <c r="O566" t="n">
        <v>0</v>
      </c>
      <c r="P566" t="n">
        <v>0</v>
      </c>
      <c r="Q566" t="n">
        <v>0</v>
      </c>
      <c r="R566" s="2" t="inlineStr"/>
    </row>
    <row r="567" ht="15" customHeight="1">
      <c r="A567" t="inlineStr">
        <is>
          <t>A 50602-2021</t>
        </is>
      </c>
      <c r="B567" s="1" t="n">
        <v>44459</v>
      </c>
      <c r="C567" s="1" t="n">
        <v>45922</v>
      </c>
      <c r="D567" t="inlineStr">
        <is>
          <t>STOCKHOLMS LÄN</t>
        </is>
      </c>
      <c r="E567" t="inlineStr">
        <is>
          <t>NORRTÄLJE</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26365-2024</t>
        </is>
      </c>
      <c r="B568" s="1" t="n">
        <v>45469</v>
      </c>
      <c r="C568" s="1" t="n">
        <v>45922</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26640-2023</t>
        </is>
      </c>
      <c r="B569" s="1" t="n">
        <v>45092</v>
      </c>
      <c r="C569" s="1" t="n">
        <v>45922</v>
      </c>
      <c r="D569" t="inlineStr">
        <is>
          <t>STOCKHOLMS LÄN</t>
        </is>
      </c>
      <c r="E569" t="inlineStr">
        <is>
          <t>NORRTÄLJE</t>
        </is>
      </c>
      <c r="G569" t="n">
        <v>5.7</v>
      </c>
      <c r="H569" t="n">
        <v>0</v>
      </c>
      <c r="I569" t="n">
        <v>0</v>
      </c>
      <c r="J569" t="n">
        <v>0</v>
      </c>
      <c r="K569" t="n">
        <v>0</v>
      </c>
      <c r="L569" t="n">
        <v>0</v>
      </c>
      <c r="M569" t="n">
        <v>0</v>
      </c>
      <c r="N569" t="n">
        <v>0</v>
      </c>
      <c r="O569" t="n">
        <v>0</v>
      </c>
      <c r="P569" t="n">
        <v>0</v>
      </c>
      <c r="Q569" t="n">
        <v>0</v>
      </c>
      <c r="R569" s="2" t="inlineStr"/>
    </row>
    <row r="570" ht="15" customHeight="1">
      <c r="A570" t="inlineStr">
        <is>
          <t>A 22756-2022</t>
        </is>
      </c>
      <c r="B570" s="1" t="n">
        <v>44714.92253472222</v>
      </c>
      <c r="C570" s="1" t="n">
        <v>45922</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31827-2023</t>
        </is>
      </c>
      <c r="B571" s="1" t="n">
        <v>45118</v>
      </c>
      <c r="C571" s="1" t="n">
        <v>45922</v>
      </c>
      <c r="D571" t="inlineStr">
        <is>
          <t>STOCKHOLMS LÄN</t>
        </is>
      </c>
      <c r="E571" t="inlineStr">
        <is>
          <t>NORRTÄLJE</t>
        </is>
      </c>
      <c r="F571" t="inlineStr">
        <is>
          <t>Kyrkan</t>
        </is>
      </c>
      <c r="G571" t="n">
        <v>4.9</v>
      </c>
      <c r="H571" t="n">
        <v>0</v>
      </c>
      <c r="I571" t="n">
        <v>0</v>
      </c>
      <c r="J571" t="n">
        <v>0</v>
      </c>
      <c r="K571" t="n">
        <v>0</v>
      </c>
      <c r="L571" t="n">
        <v>0</v>
      </c>
      <c r="M571" t="n">
        <v>0</v>
      </c>
      <c r="N571" t="n">
        <v>0</v>
      </c>
      <c r="O571" t="n">
        <v>0</v>
      </c>
      <c r="P571" t="n">
        <v>0</v>
      </c>
      <c r="Q571" t="n">
        <v>0</v>
      </c>
      <c r="R571" s="2" t="inlineStr"/>
    </row>
    <row r="572" ht="15" customHeight="1">
      <c r="A572" t="inlineStr">
        <is>
          <t>A 58993-2022</t>
        </is>
      </c>
      <c r="B572" s="1" t="n">
        <v>44903</v>
      </c>
      <c r="C572" s="1" t="n">
        <v>45922</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28900-2022</t>
        </is>
      </c>
      <c r="B573" s="1" t="n">
        <v>44749.55258101852</v>
      </c>
      <c r="C573" s="1" t="n">
        <v>45922</v>
      </c>
      <c r="D573" t="inlineStr">
        <is>
          <t>STOCKHOLMS LÄN</t>
        </is>
      </c>
      <c r="E573" t="inlineStr">
        <is>
          <t>NORRTÄLJE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17574-2025</t>
        </is>
      </c>
      <c r="B574" s="1" t="n">
        <v>45757.65178240741</v>
      </c>
      <c r="C574" s="1" t="n">
        <v>45922</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4581-2025</t>
        </is>
      </c>
      <c r="B575" s="1" t="n">
        <v>45687</v>
      </c>
      <c r="C575" s="1" t="n">
        <v>45922</v>
      </c>
      <c r="D575" t="inlineStr">
        <is>
          <t>STOCKHOLMS LÄN</t>
        </is>
      </c>
      <c r="E575" t="inlineStr">
        <is>
          <t>NORRTÄLJE</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44075-2023</t>
        </is>
      </c>
      <c r="B576" s="1" t="n">
        <v>45188.41637731482</v>
      </c>
      <c r="C576" s="1" t="n">
        <v>45922</v>
      </c>
      <c r="D576" t="inlineStr">
        <is>
          <t>STOCKHOLMS LÄN</t>
        </is>
      </c>
      <c r="E576" t="inlineStr">
        <is>
          <t>NORRTÄLJE</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58297-2023</t>
        </is>
      </c>
      <c r="B577" s="1" t="n">
        <v>45245</v>
      </c>
      <c r="C577" s="1" t="n">
        <v>45922</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20304-2023</t>
        </is>
      </c>
      <c r="B578" s="1" t="n">
        <v>45056</v>
      </c>
      <c r="C578" s="1" t="n">
        <v>45922</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12299-2025</t>
        </is>
      </c>
      <c r="B579" s="1" t="n">
        <v>45729.71065972222</v>
      </c>
      <c r="C579" s="1" t="n">
        <v>45922</v>
      </c>
      <c r="D579" t="inlineStr">
        <is>
          <t>STOCKHOLMS LÄN</t>
        </is>
      </c>
      <c r="E579" t="inlineStr">
        <is>
          <t>NORRTÄLJE</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22157-2023</t>
        </is>
      </c>
      <c r="B580" s="1" t="n">
        <v>45069</v>
      </c>
      <c r="C580" s="1" t="n">
        <v>45922</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c r="U580">
        <f>HYPERLINK("https://klasma.github.io/Logging_0188/knärot/A 22157-2023 karta knärot.png", "A 22157-2023")</f>
        <v/>
      </c>
      <c r="V580">
        <f>HYPERLINK("https://klasma.github.io/Logging_0188/klagomål/A 22157-2023 FSC-klagomål.docx", "A 22157-2023")</f>
        <v/>
      </c>
      <c r="W580">
        <f>HYPERLINK("https://klasma.github.io/Logging_0188/klagomålsmail/A 22157-2023 FSC-klagomål mail.docx", "A 22157-2023")</f>
        <v/>
      </c>
      <c r="X580">
        <f>HYPERLINK("https://klasma.github.io/Logging_0188/tillsyn/A 22157-2023 tillsynsbegäran.docx", "A 22157-2023")</f>
        <v/>
      </c>
      <c r="Y580">
        <f>HYPERLINK("https://klasma.github.io/Logging_0188/tillsynsmail/A 22157-2023 tillsynsbegäran mail.docx", "A 22157-2023")</f>
        <v/>
      </c>
    </row>
    <row r="581" ht="15" customHeight="1">
      <c r="A581" t="inlineStr">
        <is>
          <t>A 11929-2024</t>
        </is>
      </c>
      <c r="B581" s="1" t="n">
        <v>45376.64532407407</v>
      </c>
      <c r="C581" s="1" t="n">
        <v>45922</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8296-2023</t>
        </is>
      </c>
      <c r="B582" s="1" t="n">
        <v>44974</v>
      </c>
      <c r="C582" s="1" t="n">
        <v>45922</v>
      </c>
      <c r="D582" t="inlineStr">
        <is>
          <t>STOCKHOLMS LÄN</t>
        </is>
      </c>
      <c r="E582" t="inlineStr">
        <is>
          <t>NORRTÄLJE</t>
        </is>
      </c>
      <c r="G582" t="n">
        <v>3.8</v>
      </c>
      <c r="H582" t="n">
        <v>0</v>
      </c>
      <c r="I582" t="n">
        <v>0</v>
      </c>
      <c r="J582" t="n">
        <v>0</v>
      </c>
      <c r="K582" t="n">
        <v>0</v>
      </c>
      <c r="L582" t="n">
        <v>0</v>
      </c>
      <c r="M582" t="n">
        <v>0</v>
      </c>
      <c r="N582" t="n">
        <v>0</v>
      </c>
      <c r="O582" t="n">
        <v>0</v>
      </c>
      <c r="P582" t="n">
        <v>0</v>
      </c>
      <c r="Q582" t="n">
        <v>0</v>
      </c>
      <c r="R582" s="2" t="inlineStr"/>
    </row>
    <row r="583" ht="15" customHeight="1">
      <c r="A583" t="inlineStr">
        <is>
          <t>A 24575-2024</t>
        </is>
      </c>
      <c r="B583" s="1" t="n">
        <v>45460.45523148148</v>
      </c>
      <c r="C583" s="1" t="n">
        <v>45922</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64899-2023</t>
        </is>
      </c>
      <c r="B584" s="1" t="n">
        <v>45282</v>
      </c>
      <c r="C584" s="1" t="n">
        <v>45922</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52593-2024</t>
        </is>
      </c>
      <c r="B585" s="1" t="n">
        <v>45609.70778935185</v>
      </c>
      <c r="C585" s="1" t="n">
        <v>45922</v>
      </c>
      <c r="D585" t="inlineStr">
        <is>
          <t>STOCKHOLMS LÄN</t>
        </is>
      </c>
      <c r="E585" t="inlineStr">
        <is>
          <t>NORRTÄLJE</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52617-2024</t>
        </is>
      </c>
      <c r="B586" s="1" t="n">
        <v>45609.85146990741</v>
      </c>
      <c r="C586" s="1" t="n">
        <v>45922</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60321-2020</t>
        </is>
      </c>
      <c r="B587" s="1" t="n">
        <v>44152</v>
      </c>
      <c r="C587" s="1" t="n">
        <v>45922</v>
      </c>
      <c r="D587" t="inlineStr">
        <is>
          <t>STOCKHOLMS LÄN</t>
        </is>
      </c>
      <c r="E587" t="inlineStr">
        <is>
          <t>NORRTÄLJE</t>
        </is>
      </c>
      <c r="F587" t="inlineStr">
        <is>
          <t>Holmen skog AB</t>
        </is>
      </c>
      <c r="G587" t="n">
        <v>3.4</v>
      </c>
      <c r="H587" t="n">
        <v>0</v>
      </c>
      <c r="I587" t="n">
        <v>0</v>
      </c>
      <c r="J587" t="n">
        <v>0</v>
      </c>
      <c r="K587" t="n">
        <v>0</v>
      </c>
      <c r="L587" t="n">
        <v>0</v>
      </c>
      <c r="M587" t="n">
        <v>0</v>
      </c>
      <c r="N587" t="n">
        <v>0</v>
      </c>
      <c r="O587" t="n">
        <v>0</v>
      </c>
      <c r="P587" t="n">
        <v>0</v>
      </c>
      <c r="Q587" t="n">
        <v>0</v>
      </c>
      <c r="R587" s="2" t="inlineStr"/>
    </row>
    <row r="588" ht="15" customHeight="1">
      <c r="A588" t="inlineStr">
        <is>
          <t>A 22816-2021</t>
        </is>
      </c>
      <c r="B588" s="1" t="n">
        <v>44325</v>
      </c>
      <c r="C588" s="1" t="n">
        <v>45922</v>
      </c>
      <c r="D588" t="inlineStr">
        <is>
          <t>STOCKHOLMS LÄN</t>
        </is>
      </c>
      <c r="E588" t="inlineStr">
        <is>
          <t>NORRTÄLJE</t>
        </is>
      </c>
      <c r="G588" t="n">
        <v>4.5</v>
      </c>
      <c r="H588" t="n">
        <v>0</v>
      </c>
      <c r="I588" t="n">
        <v>0</v>
      </c>
      <c r="J588" t="n">
        <v>0</v>
      </c>
      <c r="K588" t="n">
        <v>0</v>
      </c>
      <c r="L588" t="n">
        <v>0</v>
      </c>
      <c r="M588" t="n">
        <v>0</v>
      </c>
      <c r="N588" t="n">
        <v>0</v>
      </c>
      <c r="O588" t="n">
        <v>0</v>
      </c>
      <c r="P588" t="n">
        <v>0</v>
      </c>
      <c r="Q588" t="n">
        <v>0</v>
      </c>
      <c r="R588" s="2" t="inlineStr"/>
    </row>
    <row r="589" ht="15" customHeight="1">
      <c r="A589" t="inlineStr">
        <is>
          <t>A 59904-2023</t>
        </is>
      </c>
      <c r="B589" s="1" t="n">
        <v>45257</v>
      </c>
      <c r="C589" s="1" t="n">
        <v>45922</v>
      </c>
      <c r="D589" t="inlineStr">
        <is>
          <t>STOCKHOLMS LÄN</t>
        </is>
      </c>
      <c r="E589" t="inlineStr">
        <is>
          <t>NORRTÄLJE</t>
        </is>
      </c>
      <c r="G589" t="n">
        <v>17.4</v>
      </c>
      <c r="H589" t="n">
        <v>0</v>
      </c>
      <c r="I589" t="n">
        <v>0</v>
      </c>
      <c r="J589" t="n">
        <v>0</v>
      </c>
      <c r="K589" t="n">
        <v>0</v>
      </c>
      <c r="L589" t="n">
        <v>0</v>
      </c>
      <c r="M589" t="n">
        <v>0</v>
      </c>
      <c r="N589" t="n">
        <v>0</v>
      </c>
      <c r="O589" t="n">
        <v>0</v>
      </c>
      <c r="P589" t="n">
        <v>0</v>
      </c>
      <c r="Q589" t="n">
        <v>0</v>
      </c>
      <c r="R589" s="2" t="inlineStr"/>
    </row>
    <row r="590" ht="15" customHeight="1">
      <c r="A590" t="inlineStr">
        <is>
          <t>A 9914-2023</t>
        </is>
      </c>
      <c r="B590" s="1" t="n">
        <v>44985</v>
      </c>
      <c r="C590" s="1" t="n">
        <v>45922</v>
      </c>
      <c r="D590" t="inlineStr">
        <is>
          <t>STOCKHOLMS LÄN</t>
        </is>
      </c>
      <c r="E590" t="inlineStr">
        <is>
          <t>NORRTÄLJE</t>
        </is>
      </c>
      <c r="G590" t="n">
        <v>4.2</v>
      </c>
      <c r="H590" t="n">
        <v>0</v>
      </c>
      <c r="I590" t="n">
        <v>0</v>
      </c>
      <c r="J590" t="n">
        <v>0</v>
      </c>
      <c r="K590" t="n">
        <v>0</v>
      </c>
      <c r="L590" t="n">
        <v>0</v>
      </c>
      <c r="M590" t="n">
        <v>0</v>
      </c>
      <c r="N590" t="n">
        <v>0</v>
      </c>
      <c r="O590" t="n">
        <v>0</v>
      </c>
      <c r="P590" t="n">
        <v>0</v>
      </c>
      <c r="Q590" t="n">
        <v>0</v>
      </c>
      <c r="R590" s="2" t="inlineStr"/>
    </row>
    <row r="591" ht="15" customHeight="1">
      <c r="A591" t="inlineStr">
        <is>
          <t>A 60765-2023</t>
        </is>
      </c>
      <c r="B591" s="1" t="n">
        <v>45260</v>
      </c>
      <c r="C591" s="1" t="n">
        <v>45922</v>
      </c>
      <c r="D591" t="inlineStr">
        <is>
          <t>STOCKHOLMS LÄN</t>
        </is>
      </c>
      <c r="E591" t="inlineStr">
        <is>
          <t>NORRTÄLJE</t>
        </is>
      </c>
      <c r="G591" t="n">
        <v>3.7</v>
      </c>
      <c r="H591" t="n">
        <v>0</v>
      </c>
      <c r="I591" t="n">
        <v>0</v>
      </c>
      <c r="J591" t="n">
        <v>0</v>
      </c>
      <c r="K591" t="n">
        <v>0</v>
      </c>
      <c r="L591" t="n">
        <v>0</v>
      </c>
      <c r="M591" t="n">
        <v>0</v>
      </c>
      <c r="N591" t="n">
        <v>0</v>
      </c>
      <c r="O591" t="n">
        <v>0</v>
      </c>
      <c r="P591" t="n">
        <v>0</v>
      </c>
      <c r="Q591" t="n">
        <v>0</v>
      </c>
      <c r="R591" s="2" t="inlineStr"/>
    </row>
    <row r="592" ht="15" customHeight="1">
      <c r="A592" t="inlineStr">
        <is>
          <t>A 11062-2024</t>
        </is>
      </c>
      <c r="B592" s="1" t="n">
        <v>45370</v>
      </c>
      <c r="C592" s="1" t="n">
        <v>45922</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33569-2023</t>
        </is>
      </c>
      <c r="B593" s="1" t="n">
        <v>45131.666875</v>
      </c>
      <c r="C593" s="1" t="n">
        <v>45922</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55012-2024</t>
        </is>
      </c>
      <c r="B594" s="1" t="n">
        <v>45621.34813657407</v>
      </c>
      <c r="C594" s="1" t="n">
        <v>45922</v>
      </c>
      <c r="D594" t="inlineStr">
        <is>
          <t>STOCKHOLMS LÄN</t>
        </is>
      </c>
      <c r="E594" t="inlineStr">
        <is>
          <t>NORRTÄLJE</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15905-2023</t>
        </is>
      </c>
      <c r="B595" s="1" t="n">
        <v>45022</v>
      </c>
      <c r="C595" s="1" t="n">
        <v>45922</v>
      </c>
      <c r="D595" t="inlineStr">
        <is>
          <t>STOCKHOLMS LÄN</t>
        </is>
      </c>
      <c r="E595" t="inlineStr">
        <is>
          <t>NORRTÄLJE</t>
        </is>
      </c>
      <c r="G595" t="n">
        <v>3.2</v>
      </c>
      <c r="H595" t="n">
        <v>0</v>
      </c>
      <c r="I595" t="n">
        <v>0</v>
      </c>
      <c r="J595" t="n">
        <v>0</v>
      </c>
      <c r="K595" t="n">
        <v>0</v>
      </c>
      <c r="L595" t="n">
        <v>0</v>
      </c>
      <c r="M595" t="n">
        <v>0</v>
      </c>
      <c r="N595" t="n">
        <v>0</v>
      </c>
      <c r="O595" t="n">
        <v>0</v>
      </c>
      <c r="P595" t="n">
        <v>0</v>
      </c>
      <c r="Q595" t="n">
        <v>0</v>
      </c>
      <c r="R595" s="2" t="inlineStr"/>
    </row>
    <row r="596" ht="15" customHeight="1">
      <c r="A596" t="inlineStr">
        <is>
          <t>A 15956-2023</t>
        </is>
      </c>
      <c r="B596" s="1" t="n">
        <v>45022.61003472222</v>
      </c>
      <c r="C596" s="1" t="n">
        <v>45922</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47626-2022</t>
        </is>
      </c>
      <c r="B597" s="1" t="n">
        <v>44854</v>
      </c>
      <c r="C597" s="1" t="n">
        <v>45922</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23801-2022</t>
        </is>
      </c>
      <c r="B598" s="1" t="n">
        <v>44722</v>
      </c>
      <c r="C598" s="1" t="n">
        <v>45922</v>
      </c>
      <c r="D598" t="inlineStr">
        <is>
          <t>STOCKHOLMS LÄN</t>
        </is>
      </c>
      <c r="E598" t="inlineStr">
        <is>
          <t>NORRTÄLJE</t>
        </is>
      </c>
      <c r="G598" t="n">
        <v>6.8</v>
      </c>
      <c r="H598" t="n">
        <v>0</v>
      </c>
      <c r="I598" t="n">
        <v>0</v>
      </c>
      <c r="J598" t="n">
        <v>0</v>
      </c>
      <c r="K598" t="n">
        <v>0</v>
      </c>
      <c r="L598" t="n">
        <v>0</v>
      </c>
      <c r="M598" t="n">
        <v>0</v>
      </c>
      <c r="N598" t="n">
        <v>0</v>
      </c>
      <c r="O598" t="n">
        <v>0</v>
      </c>
      <c r="P598" t="n">
        <v>0</v>
      </c>
      <c r="Q598" t="n">
        <v>0</v>
      </c>
      <c r="R598" s="2" t="inlineStr"/>
    </row>
    <row r="599" ht="15" customHeight="1">
      <c r="A599" t="inlineStr">
        <is>
          <t>A 62206-2022</t>
        </is>
      </c>
      <c r="B599" s="1" t="n">
        <v>44922</v>
      </c>
      <c r="C599" s="1" t="n">
        <v>45922</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50497-2020</t>
        </is>
      </c>
      <c r="B600" s="1" t="n">
        <v>44110</v>
      </c>
      <c r="C600" s="1" t="n">
        <v>45922</v>
      </c>
      <c r="D600" t="inlineStr">
        <is>
          <t>STOCKHOLMS LÄN</t>
        </is>
      </c>
      <c r="E600" t="inlineStr">
        <is>
          <t>NORRTÄLJE</t>
        </is>
      </c>
      <c r="F600" t="inlineStr">
        <is>
          <t>Holmen skog AB</t>
        </is>
      </c>
      <c r="G600" t="n">
        <v>4.3</v>
      </c>
      <c r="H600" t="n">
        <v>0</v>
      </c>
      <c r="I600" t="n">
        <v>0</v>
      </c>
      <c r="J600" t="n">
        <v>0</v>
      </c>
      <c r="K600" t="n">
        <v>0</v>
      </c>
      <c r="L600" t="n">
        <v>0</v>
      </c>
      <c r="M600" t="n">
        <v>0</v>
      </c>
      <c r="N600" t="n">
        <v>0</v>
      </c>
      <c r="O600" t="n">
        <v>0</v>
      </c>
      <c r="P600" t="n">
        <v>0</v>
      </c>
      <c r="Q600" t="n">
        <v>0</v>
      </c>
      <c r="R600" s="2" t="inlineStr"/>
    </row>
    <row r="601" ht="15" customHeight="1">
      <c r="A601" t="inlineStr">
        <is>
          <t>A 20618-2022</t>
        </is>
      </c>
      <c r="B601" s="1" t="n">
        <v>44700.50659722222</v>
      </c>
      <c r="C601" s="1" t="n">
        <v>45922</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40192-2023</t>
        </is>
      </c>
      <c r="B602" s="1" t="n">
        <v>45169</v>
      </c>
      <c r="C602" s="1" t="n">
        <v>45922</v>
      </c>
      <c r="D602" t="inlineStr">
        <is>
          <t>STOCKHOLMS LÄN</t>
        </is>
      </c>
      <c r="E602" t="inlineStr">
        <is>
          <t>NORRTÄLJE</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11900-2022</t>
        </is>
      </c>
      <c r="B603" s="1" t="n">
        <v>44635</v>
      </c>
      <c r="C603" s="1" t="n">
        <v>45922</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10973-2025</t>
        </is>
      </c>
      <c r="B604" s="1" t="n">
        <v>45723</v>
      </c>
      <c r="C604" s="1" t="n">
        <v>45922</v>
      </c>
      <c r="D604" t="inlineStr">
        <is>
          <t>STOCKHOLMS LÄN</t>
        </is>
      </c>
      <c r="E604" t="inlineStr">
        <is>
          <t>NORRTÄLJE</t>
        </is>
      </c>
      <c r="F604" t="inlineStr">
        <is>
          <t>Övriga Aktiebolag</t>
        </is>
      </c>
      <c r="G604" t="n">
        <v>2.7</v>
      </c>
      <c r="H604" t="n">
        <v>0</v>
      </c>
      <c r="I604" t="n">
        <v>0</v>
      </c>
      <c r="J604" t="n">
        <v>0</v>
      </c>
      <c r="K604" t="n">
        <v>0</v>
      </c>
      <c r="L604" t="n">
        <v>0</v>
      </c>
      <c r="M604" t="n">
        <v>0</v>
      </c>
      <c r="N604" t="n">
        <v>0</v>
      </c>
      <c r="O604" t="n">
        <v>0</v>
      </c>
      <c r="P604" t="n">
        <v>0</v>
      </c>
      <c r="Q604" t="n">
        <v>0</v>
      </c>
      <c r="R604" s="2" t="inlineStr"/>
    </row>
    <row r="605" ht="15" customHeight="1">
      <c r="A605" t="inlineStr">
        <is>
          <t>A 59276-2023</t>
        </is>
      </c>
      <c r="B605" s="1" t="n">
        <v>45253.55641203704</v>
      </c>
      <c r="C605" s="1" t="n">
        <v>45922</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46914-2022</t>
        </is>
      </c>
      <c r="B606" s="1" t="n">
        <v>44851</v>
      </c>
      <c r="C606" s="1" t="n">
        <v>45922</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53607-2020</t>
        </is>
      </c>
      <c r="B607" s="1" t="n">
        <v>44124</v>
      </c>
      <c r="C607" s="1" t="n">
        <v>45922</v>
      </c>
      <c r="D607" t="inlineStr">
        <is>
          <t>STOCKHOLMS LÄN</t>
        </is>
      </c>
      <c r="E607" t="inlineStr">
        <is>
          <t>NORRTÄLJE</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18541-2023</t>
        </is>
      </c>
      <c r="B608" s="1" t="n">
        <v>45042.74291666667</v>
      </c>
      <c r="C608" s="1" t="n">
        <v>45922</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27885-2022</t>
        </is>
      </c>
      <c r="B609" s="1" t="n">
        <v>44743.67418981482</v>
      </c>
      <c r="C609" s="1" t="n">
        <v>45922</v>
      </c>
      <c r="D609" t="inlineStr">
        <is>
          <t>STOCKHOLMS LÄN</t>
        </is>
      </c>
      <c r="E609" t="inlineStr">
        <is>
          <t>NORRTÄLJE</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3509-2022</t>
        </is>
      </c>
      <c r="B610" s="1" t="n">
        <v>44585</v>
      </c>
      <c r="C610" s="1" t="n">
        <v>45922</v>
      </c>
      <c r="D610" t="inlineStr">
        <is>
          <t>STOCKHOLMS LÄN</t>
        </is>
      </c>
      <c r="E610" t="inlineStr">
        <is>
          <t>NORRTÄLJE</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26407-2024</t>
        </is>
      </c>
      <c r="B611" s="1" t="n">
        <v>45469</v>
      </c>
      <c r="C611" s="1" t="n">
        <v>45922</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12890-2024</t>
        </is>
      </c>
      <c r="B612" s="1" t="n">
        <v>45385.36243055556</v>
      </c>
      <c r="C612" s="1" t="n">
        <v>45922</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58493-2020</t>
        </is>
      </c>
      <c r="B613" s="1" t="n">
        <v>44145</v>
      </c>
      <c r="C613" s="1" t="n">
        <v>45922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60224-2023</t>
        </is>
      </c>
      <c r="B614" s="1" t="n">
        <v>45257</v>
      </c>
      <c r="C614" s="1" t="n">
        <v>45922</v>
      </c>
      <c r="D614" t="inlineStr">
        <is>
          <t>STOCKHOLMS LÄN</t>
        </is>
      </c>
      <c r="E614" t="inlineStr">
        <is>
          <t>NORRTÄLJE</t>
        </is>
      </c>
      <c r="G614" t="n">
        <v>8.1</v>
      </c>
      <c r="H614" t="n">
        <v>0</v>
      </c>
      <c r="I614" t="n">
        <v>0</v>
      </c>
      <c r="J614" t="n">
        <v>0</v>
      </c>
      <c r="K614" t="n">
        <v>0</v>
      </c>
      <c r="L614" t="n">
        <v>0</v>
      </c>
      <c r="M614" t="n">
        <v>0</v>
      </c>
      <c r="N614" t="n">
        <v>0</v>
      </c>
      <c r="O614" t="n">
        <v>0</v>
      </c>
      <c r="P614" t="n">
        <v>0</v>
      </c>
      <c r="Q614" t="n">
        <v>0</v>
      </c>
      <c r="R614" s="2" t="inlineStr"/>
    </row>
    <row r="615" ht="15" customHeight="1">
      <c r="A615" t="inlineStr">
        <is>
          <t>A 5158-2024</t>
        </is>
      </c>
      <c r="B615" s="1" t="n">
        <v>45330.50098379629</v>
      </c>
      <c r="C615" s="1" t="n">
        <v>45922</v>
      </c>
      <c r="D615" t="inlineStr">
        <is>
          <t>STOCKHOLMS LÄN</t>
        </is>
      </c>
      <c r="E615" t="inlineStr">
        <is>
          <t>NORRTÄLJE</t>
        </is>
      </c>
      <c r="G615" t="n">
        <v>0.8</v>
      </c>
      <c r="H615" t="n">
        <v>0</v>
      </c>
      <c r="I615" t="n">
        <v>0</v>
      </c>
      <c r="J615" t="n">
        <v>0</v>
      </c>
      <c r="K615" t="n">
        <v>0</v>
      </c>
      <c r="L615" t="n">
        <v>0</v>
      </c>
      <c r="M615" t="n">
        <v>0</v>
      </c>
      <c r="N615" t="n">
        <v>0</v>
      </c>
      <c r="O615" t="n">
        <v>0</v>
      </c>
      <c r="P615" t="n">
        <v>0</v>
      </c>
      <c r="Q615" t="n">
        <v>0</v>
      </c>
      <c r="R615" s="2" t="inlineStr"/>
    </row>
    <row r="616" ht="15" customHeight="1">
      <c r="A616" t="inlineStr">
        <is>
          <t>A 7413-2024</t>
        </is>
      </c>
      <c r="B616" s="1" t="n">
        <v>45345.6059837963</v>
      </c>
      <c r="C616" s="1" t="n">
        <v>45922</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12251-2025</t>
        </is>
      </c>
      <c r="B617" s="1" t="n">
        <v>45729.60859953704</v>
      </c>
      <c r="C617" s="1" t="n">
        <v>45922</v>
      </c>
      <c r="D617" t="inlineStr">
        <is>
          <t>STOCKHOLMS LÄN</t>
        </is>
      </c>
      <c r="E617" t="inlineStr">
        <is>
          <t>NORRTÄLJE</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9130-2025</t>
        </is>
      </c>
      <c r="B618" s="1" t="n">
        <v>45713.92623842593</v>
      </c>
      <c r="C618" s="1" t="n">
        <v>45922</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58863-2024</t>
        </is>
      </c>
      <c r="B619" s="1" t="n">
        <v>45636.41572916666</v>
      </c>
      <c r="C619" s="1" t="n">
        <v>45922</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17551-2025</t>
        </is>
      </c>
      <c r="B620" s="1" t="n">
        <v>45757.61421296297</v>
      </c>
      <c r="C620" s="1" t="n">
        <v>45922</v>
      </c>
      <c r="D620" t="inlineStr">
        <is>
          <t>STOCKHOLMS LÄN</t>
        </is>
      </c>
      <c r="E620" t="inlineStr">
        <is>
          <t>NORRTÄLJE</t>
        </is>
      </c>
      <c r="G620" t="n">
        <v>2.8</v>
      </c>
      <c r="H620" t="n">
        <v>0</v>
      </c>
      <c r="I620" t="n">
        <v>0</v>
      </c>
      <c r="J620" t="n">
        <v>0</v>
      </c>
      <c r="K620" t="n">
        <v>0</v>
      </c>
      <c r="L620" t="n">
        <v>0</v>
      </c>
      <c r="M620" t="n">
        <v>0</v>
      </c>
      <c r="N620" t="n">
        <v>0</v>
      </c>
      <c r="O620" t="n">
        <v>0</v>
      </c>
      <c r="P620" t="n">
        <v>0</v>
      </c>
      <c r="Q620" t="n">
        <v>0</v>
      </c>
      <c r="R620" s="2" t="inlineStr"/>
    </row>
    <row r="621" ht="15" customHeight="1">
      <c r="A621" t="inlineStr">
        <is>
          <t>A 55010-2024</t>
        </is>
      </c>
      <c r="B621" s="1" t="n">
        <v>45621.34425925926</v>
      </c>
      <c r="C621" s="1" t="n">
        <v>45922</v>
      </c>
      <c r="D621" t="inlineStr">
        <is>
          <t>STOCKHOLMS LÄN</t>
        </is>
      </c>
      <c r="E621" t="inlineStr">
        <is>
          <t>NORRTÄLJE</t>
        </is>
      </c>
      <c r="F621" t="inlineStr">
        <is>
          <t>Sveaskog</t>
        </is>
      </c>
      <c r="G621" t="n">
        <v>5.7</v>
      </c>
      <c r="H621" t="n">
        <v>0</v>
      </c>
      <c r="I621" t="n">
        <v>0</v>
      </c>
      <c r="J621" t="n">
        <v>0</v>
      </c>
      <c r="K621" t="n">
        <v>0</v>
      </c>
      <c r="L621" t="n">
        <v>0</v>
      </c>
      <c r="M621" t="n">
        <v>0</v>
      </c>
      <c r="N621" t="n">
        <v>0</v>
      </c>
      <c r="O621" t="n">
        <v>0</v>
      </c>
      <c r="P621" t="n">
        <v>0</v>
      </c>
      <c r="Q621" t="n">
        <v>0</v>
      </c>
      <c r="R621" s="2" t="inlineStr"/>
    </row>
    <row r="622" ht="15" customHeight="1">
      <c r="A622" t="inlineStr">
        <is>
          <t>A 31105-2022</t>
        </is>
      </c>
      <c r="B622" s="1" t="n">
        <v>44769.66039351852</v>
      </c>
      <c r="C622" s="1" t="n">
        <v>45922</v>
      </c>
      <c r="D622" t="inlineStr">
        <is>
          <t>STOCKHOLMS LÄN</t>
        </is>
      </c>
      <c r="E622" t="inlineStr">
        <is>
          <t>NORRTÄLJE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47419-2023</t>
        </is>
      </c>
      <c r="B623" s="1" t="n">
        <v>45202.65660879629</v>
      </c>
      <c r="C623" s="1" t="n">
        <v>45922</v>
      </c>
      <c r="D623" t="inlineStr">
        <is>
          <t>STOCKHOLMS LÄN</t>
        </is>
      </c>
      <c r="E623" t="inlineStr">
        <is>
          <t>NORRTÄLJE</t>
        </is>
      </c>
      <c r="G623" t="n">
        <v>11.4</v>
      </c>
      <c r="H623" t="n">
        <v>0</v>
      </c>
      <c r="I623" t="n">
        <v>0</v>
      </c>
      <c r="J623" t="n">
        <v>0</v>
      </c>
      <c r="K623" t="n">
        <v>0</v>
      </c>
      <c r="L623" t="n">
        <v>0</v>
      </c>
      <c r="M623" t="n">
        <v>0</v>
      </c>
      <c r="N623" t="n">
        <v>0</v>
      </c>
      <c r="O623" t="n">
        <v>0</v>
      </c>
      <c r="P623" t="n">
        <v>0</v>
      </c>
      <c r="Q623" t="n">
        <v>0</v>
      </c>
      <c r="R623" s="2" t="inlineStr"/>
    </row>
    <row r="624" ht="15" customHeight="1">
      <c r="A624" t="inlineStr">
        <is>
          <t>A 29250-2025</t>
        </is>
      </c>
      <c r="B624" s="1" t="n">
        <v>45824.37275462963</v>
      </c>
      <c r="C624" s="1" t="n">
        <v>45922</v>
      </c>
      <c r="D624" t="inlineStr">
        <is>
          <t>STOCKHOLMS LÄN</t>
        </is>
      </c>
      <c r="E624" t="inlineStr">
        <is>
          <t>NORRTÄLJE</t>
        </is>
      </c>
      <c r="F624" t="inlineStr">
        <is>
          <t>Sveaskog</t>
        </is>
      </c>
      <c r="G624" t="n">
        <v>6.4</v>
      </c>
      <c r="H624" t="n">
        <v>0</v>
      </c>
      <c r="I624" t="n">
        <v>0</v>
      </c>
      <c r="J624" t="n">
        <v>0</v>
      </c>
      <c r="K624" t="n">
        <v>0</v>
      </c>
      <c r="L624" t="n">
        <v>0</v>
      </c>
      <c r="M624" t="n">
        <v>0</v>
      </c>
      <c r="N624" t="n">
        <v>0</v>
      </c>
      <c r="O624" t="n">
        <v>0</v>
      </c>
      <c r="P624" t="n">
        <v>0</v>
      </c>
      <c r="Q624" t="n">
        <v>0</v>
      </c>
      <c r="R624" s="2" t="inlineStr"/>
    </row>
    <row r="625" ht="15" customHeight="1">
      <c r="A625" t="inlineStr">
        <is>
          <t>A 23070-2023</t>
        </is>
      </c>
      <c r="B625" s="1" t="n">
        <v>45075</v>
      </c>
      <c r="C625" s="1" t="n">
        <v>45922</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50154-2024</t>
        </is>
      </c>
      <c r="B626" s="1" t="n">
        <v>45600.4558912037</v>
      </c>
      <c r="C626" s="1" t="n">
        <v>45922</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27824-2022</t>
        </is>
      </c>
      <c r="B627" s="1" t="n">
        <v>44743.59331018518</v>
      </c>
      <c r="C627" s="1" t="n">
        <v>45922</v>
      </c>
      <c r="D627" t="inlineStr">
        <is>
          <t>STOCKHOLMS LÄN</t>
        </is>
      </c>
      <c r="E627" t="inlineStr">
        <is>
          <t>NORRTÄLJE</t>
        </is>
      </c>
      <c r="F627" t="inlineStr">
        <is>
          <t>Kommuner</t>
        </is>
      </c>
      <c r="G627" t="n">
        <v>3.1</v>
      </c>
      <c r="H627" t="n">
        <v>0</v>
      </c>
      <c r="I627" t="n">
        <v>0</v>
      </c>
      <c r="J627" t="n">
        <v>0</v>
      </c>
      <c r="K627" t="n">
        <v>0</v>
      </c>
      <c r="L627" t="n">
        <v>0</v>
      </c>
      <c r="M627" t="n">
        <v>0</v>
      </c>
      <c r="N627" t="n">
        <v>0</v>
      </c>
      <c r="O627" t="n">
        <v>0</v>
      </c>
      <c r="P627" t="n">
        <v>0</v>
      </c>
      <c r="Q627" t="n">
        <v>0</v>
      </c>
      <c r="R627" s="2" t="inlineStr"/>
    </row>
    <row r="628" ht="15" customHeight="1">
      <c r="A628" t="inlineStr">
        <is>
          <t>A 25619-2022</t>
        </is>
      </c>
      <c r="B628" s="1" t="n">
        <v>44732</v>
      </c>
      <c r="C628" s="1" t="n">
        <v>45922</v>
      </c>
      <c r="D628" t="inlineStr">
        <is>
          <t>STOCKHOLMS LÄN</t>
        </is>
      </c>
      <c r="E628" t="inlineStr">
        <is>
          <t>NORRTÄLJE</t>
        </is>
      </c>
      <c r="G628" t="n">
        <v>3.9</v>
      </c>
      <c r="H628" t="n">
        <v>0</v>
      </c>
      <c r="I628" t="n">
        <v>0</v>
      </c>
      <c r="J628" t="n">
        <v>0</v>
      </c>
      <c r="K628" t="n">
        <v>0</v>
      </c>
      <c r="L628" t="n">
        <v>0</v>
      </c>
      <c r="M628" t="n">
        <v>0</v>
      </c>
      <c r="N628" t="n">
        <v>0</v>
      </c>
      <c r="O628" t="n">
        <v>0</v>
      </c>
      <c r="P628" t="n">
        <v>0</v>
      </c>
      <c r="Q628" t="n">
        <v>0</v>
      </c>
      <c r="R628" s="2" t="inlineStr"/>
    </row>
    <row r="629" ht="15" customHeight="1">
      <c r="A629" t="inlineStr">
        <is>
          <t>A 30620-2022</t>
        </is>
      </c>
      <c r="B629" s="1" t="n">
        <v>44763.40914351852</v>
      </c>
      <c r="C629" s="1" t="n">
        <v>45922</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50113-2024</t>
        </is>
      </c>
      <c r="B630" s="1" t="n">
        <v>45600.411875</v>
      </c>
      <c r="C630" s="1" t="n">
        <v>45922</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28365-2022</t>
        </is>
      </c>
      <c r="B631" s="1" t="n">
        <v>44747</v>
      </c>
      <c r="C631" s="1" t="n">
        <v>45922</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11900-2024</t>
        </is>
      </c>
      <c r="B632" s="1" t="n">
        <v>45376.55484953704</v>
      </c>
      <c r="C632" s="1" t="n">
        <v>45922</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42955-2022</t>
        </is>
      </c>
      <c r="B633" s="1" t="n">
        <v>44833.40876157407</v>
      </c>
      <c r="C633" s="1" t="n">
        <v>45922</v>
      </c>
      <c r="D633" t="inlineStr">
        <is>
          <t>STOCKHOLMS LÄN</t>
        </is>
      </c>
      <c r="E633" t="inlineStr">
        <is>
          <t>NORRTÄLJE</t>
        </is>
      </c>
      <c r="G633" t="n">
        <v>13.1</v>
      </c>
      <c r="H633" t="n">
        <v>0</v>
      </c>
      <c r="I633" t="n">
        <v>0</v>
      </c>
      <c r="J633" t="n">
        <v>0</v>
      </c>
      <c r="K633" t="n">
        <v>0</v>
      </c>
      <c r="L633" t="n">
        <v>0</v>
      </c>
      <c r="M633" t="n">
        <v>0</v>
      </c>
      <c r="N633" t="n">
        <v>0</v>
      </c>
      <c r="O633" t="n">
        <v>0</v>
      </c>
      <c r="P633" t="n">
        <v>0</v>
      </c>
      <c r="Q633" t="n">
        <v>0</v>
      </c>
      <c r="R633" s="2" t="inlineStr"/>
    </row>
    <row r="634" ht="15" customHeight="1">
      <c r="A634" t="inlineStr">
        <is>
          <t>A 1283-2025</t>
        </is>
      </c>
      <c r="B634" s="1" t="n">
        <v>45667.49878472222</v>
      </c>
      <c r="C634" s="1" t="n">
        <v>45922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36246-2021</t>
        </is>
      </c>
      <c r="B635" s="1" t="n">
        <v>44390</v>
      </c>
      <c r="C635" s="1" t="n">
        <v>45922</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9703-2021</t>
        </is>
      </c>
      <c r="B636" s="1" t="n">
        <v>44252</v>
      </c>
      <c r="C636" s="1" t="n">
        <v>45922</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19952-2023</t>
        </is>
      </c>
      <c r="B637" s="1" t="n">
        <v>45054.54091435186</v>
      </c>
      <c r="C637" s="1" t="n">
        <v>45922</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19994-2023</t>
        </is>
      </c>
      <c r="B638" s="1" t="n">
        <v>45054</v>
      </c>
      <c r="C638" s="1" t="n">
        <v>45922</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42867-2022</t>
        </is>
      </c>
      <c r="B639" s="1" t="n">
        <v>44832</v>
      </c>
      <c r="C639" s="1" t="n">
        <v>45922</v>
      </c>
      <c r="D639" t="inlineStr">
        <is>
          <t>STOCKHOLMS LÄN</t>
        </is>
      </c>
      <c r="E639" t="inlineStr">
        <is>
          <t>NORRTÄLJE</t>
        </is>
      </c>
      <c r="G639" t="n">
        <v>6.4</v>
      </c>
      <c r="H639" t="n">
        <v>0</v>
      </c>
      <c r="I639" t="n">
        <v>0</v>
      </c>
      <c r="J639" t="n">
        <v>0</v>
      </c>
      <c r="K639" t="n">
        <v>0</v>
      </c>
      <c r="L639" t="n">
        <v>0</v>
      </c>
      <c r="M639" t="n">
        <v>0</v>
      </c>
      <c r="N639" t="n">
        <v>0</v>
      </c>
      <c r="O639" t="n">
        <v>0</v>
      </c>
      <c r="P639" t="n">
        <v>0</v>
      </c>
      <c r="Q639" t="n">
        <v>0</v>
      </c>
      <c r="R639" s="2" t="inlineStr"/>
    </row>
    <row r="640" ht="15" customHeight="1">
      <c r="A640" t="inlineStr">
        <is>
          <t>A 14130-2025</t>
        </is>
      </c>
      <c r="B640" s="1" t="n">
        <v>45740.47288194444</v>
      </c>
      <c r="C640" s="1" t="n">
        <v>45922</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574-2023</t>
        </is>
      </c>
      <c r="B641" s="1" t="n">
        <v>44925</v>
      </c>
      <c r="C641" s="1" t="n">
        <v>45922</v>
      </c>
      <c r="D641" t="inlineStr">
        <is>
          <t>STOCKHOLMS LÄN</t>
        </is>
      </c>
      <c r="E641" t="inlineStr">
        <is>
          <t>NORRTÄLJE</t>
        </is>
      </c>
      <c r="G641" t="n">
        <v>5</v>
      </c>
      <c r="H641" t="n">
        <v>0</v>
      </c>
      <c r="I641" t="n">
        <v>0</v>
      </c>
      <c r="J641" t="n">
        <v>0</v>
      </c>
      <c r="K641" t="n">
        <v>0</v>
      </c>
      <c r="L641" t="n">
        <v>0</v>
      </c>
      <c r="M641" t="n">
        <v>0</v>
      </c>
      <c r="N641" t="n">
        <v>0</v>
      </c>
      <c r="O641" t="n">
        <v>0</v>
      </c>
      <c r="P641" t="n">
        <v>0</v>
      </c>
      <c r="Q641" t="n">
        <v>0</v>
      </c>
      <c r="R641" s="2" t="inlineStr"/>
    </row>
    <row r="642" ht="15" customHeight="1">
      <c r="A642" t="inlineStr">
        <is>
          <t>A 30283-2022</t>
        </is>
      </c>
      <c r="B642" s="1" t="n">
        <v>44760</v>
      </c>
      <c r="C642" s="1" t="n">
        <v>45922</v>
      </c>
      <c r="D642" t="inlineStr">
        <is>
          <t>STOCKHOLMS LÄN</t>
        </is>
      </c>
      <c r="E642" t="inlineStr">
        <is>
          <t>NORRTÄLJE</t>
        </is>
      </c>
      <c r="G642" t="n">
        <v>6.2</v>
      </c>
      <c r="H642" t="n">
        <v>0</v>
      </c>
      <c r="I642" t="n">
        <v>0</v>
      </c>
      <c r="J642" t="n">
        <v>0</v>
      </c>
      <c r="K642" t="n">
        <v>0</v>
      </c>
      <c r="L642" t="n">
        <v>0</v>
      </c>
      <c r="M642" t="n">
        <v>0</v>
      </c>
      <c r="N642" t="n">
        <v>0</v>
      </c>
      <c r="O642" t="n">
        <v>0</v>
      </c>
      <c r="P642" t="n">
        <v>0</v>
      </c>
      <c r="Q642" t="n">
        <v>0</v>
      </c>
      <c r="R642" s="2" t="inlineStr"/>
    </row>
    <row r="643" ht="15" customHeight="1">
      <c r="A643" t="inlineStr">
        <is>
          <t>A 30290-2022</t>
        </is>
      </c>
      <c r="B643" s="1" t="n">
        <v>44760</v>
      </c>
      <c r="C643" s="1" t="n">
        <v>45922</v>
      </c>
      <c r="D643" t="inlineStr">
        <is>
          <t>STOCKHOLMS LÄN</t>
        </is>
      </c>
      <c r="E643" t="inlineStr">
        <is>
          <t>NORRTÄLJE</t>
        </is>
      </c>
      <c r="G643" t="n">
        <v>4.8</v>
      </c>
      <c r="H643" t="n">
        <v>0</v>
      </c>
      <c r="I643" t="n">
        <v>0</v>
      </c>
      <c r="J643" t="n">
        <v>0</v>
      </c>
      <c r="K643" t="n">
        <v>0</v>
      </c>
      <c r="L643" t="n">
        <v>0</v>
      </c>
      <c r="M643" t="n">
        <v>0</v>
      </c>
      <c r="N643" t="n">
        <v>0</v>
      </c>
      <c r="O643" t="n">
        <v>0</v>
      </c>
      <c r="P643" t="n">
        <v>0</v>
      </c>
      <c r="Q643" t="n">
        <v>0</v>
      </c>
      <c r="R643" s="2" t="inlineStr"/>
    </row>
    <row r="644" ht="15" customHeight="1">
      <c r="A644" t="inlineStr">
        <is>
          <t>A 3143-2021</t>
        </is>
      </c>
      <c r="B644" s="1" t="n">
        <v>44217.40149305556</v>
      </c>
      <c r="C644" s="1" t="n">
        <v>45922</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29684-2021</t>
        </is>
      </c>
      <c r="B645" s="1" t="n">
        <v>44362.37172453704</v>
      </c>
      <c r="C645" s="1" t="n">
        <v>45922</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23749-2024</t>
        </is>
      </c>
      <c r="B646" s="1" t="n">
        <v>45455.33037037037</v>
      </c>
      <c r="C646" s="1" t="n">
        <v>45922</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60884-2024</t>
        </is>
      </c>
      <c r="B647" s="1" t="n">
        <v>45644.90815972222</v>
      </c>
      <c r="C647" s="1" t="n">
        <v>45922</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38610-2022</t>
        </is>
      </c>
      <c r="B648" s="1" t="n">
        <v>44813.59915509259</v>
      </c>
      <c r="C648" s="1" t="n">
        <v>45922</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30799-2025</t>
        </is>
      </c>
      <c r="B649" s="1" t="n">
        <v>45831.65079861111</v>
      </c>
      <c r="C649" s="1" t="n">
        <v>45922</v>
      </c>
      <c r="D649" t="inlineStr">
        <is>
          <t>STOCKHOLMS LÄN</t>
        </is>
      </c>
      <c r="E649" t="inlineStr">
        <is>
          <t>NORRTÄLJE</t>
        </is>
      </c>
      <c r="F649" t="inlineStr">
        <is>
          <t>Holmen skog AB</t>
        </is>
      </c>
      <c r="G649" t="n">
        <v>7.9</v>
      </c>
      <c r="H649" t="n">
        <v>0</v>
      </c>
      <c r="I649" t="n">
        <v>0</v>
      </c>
      <c r="J649" t="n">
        <v>0</v>
      </c>
      <c r="K649" t="n">
        <v>0</v>
      </c>
      <c r="L649" t="n">
        <v>0</v>
      </c>
      <c r="M649" t="n">
        <v>0</v>
      </c>
      <c r="N649" t="n">
        <v>0</v>
      </c>
      <c r="O649" t="n">
        <v>0</v>
      </c>
      <c r="P649" t="n">
        <v>0</v>
      </c>
      <c r="Q649" t="n">
        <v>0</v>
      </c>
      <c r="R649" s="2" t="inlineStr"/>
    </row>
    <row r="650" ht="15" customHeight="1">
      <c r="A650" t="inlineStr">
        <is>
          <t>A 58277-2023</t>
        </is>
      </c>
      <c r="B650" s="1" t="n">
        <v>45245</v>
      </c>
      <c r="C650" s="1" t="n">
        <v>45922</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30699-2025</t>
        </is>
      </c>
      <c r="B651" s="1" t="n">
        <v>45831.54618055555</v>
      </c>
      <c r="C651" s="1" t="n">
        <v>45922</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10090-2022</t>
        </is>
      </c>
      <c r="B652" s="1" t="n">
        <v>44621</v>
      </c>
      <c r="C652" s="1" t="n">
        <v>45922</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14724-2022</t>
        </is>
      </c>
      <c r="B653" s="1" t="n">
        <v>44656</v>
      </c>
      <c r="C653" s="1" t="n">
        <v>45922</v>
      </c>
      <c r="D653" t="inlineStr">
        <is>
          <t>STOCKHOLMS LÄN</t>
        </is>
      </c>
      <c r="E653" t="inlineStr">
        <is>
          <t>NORRTÄLJE</t>
        </is>
      </c>
      <c r="F653" t="inlineStr">
        <is>
          <t>Sveaskog</t>
        </is>
      </c>
      <c r="G653" t="n">
        <v>9</v>
      </c>
      <c r="H653" t="n">
        <v>0</v>
      </c>
      <c r="I653" t="n">
        <v>0</v>
      </c>
      <c r="J653" t="n">
        <v>0</v>
      </c>
      <c r="K653" t="n">
        <v>0</v>
      </c>
      <c r="L653" t="n">
        <v>0</v>
      </c>
      <c r="M653" t="n">
        <v>0</v>
      </c>
      <c r="N653" t="n">
        <v>0</v>
      </c>
      <c r="O653" t="n">
        <v>0</v>
      </c>
      <c r="P653" t="n">
        <v>0</v>
      </c>
      <c r="Q653" t="n">
        <v>0</v>
      </c>
      <c r="R653" s="2" t="inlineStr"/>
    </row>
    <row r="654" ht="15" customHeight="1">
      <c r="A654" t="inlineStr">
        <is>
          <t>A 13767-2025</t>
        </is>
      </c>
      <c r="B654" s="1" t="n">
        <v>45737.43347222222</v>
      </c>
      <c r="C654" s="1" t="n">
        <v>45922</v>
      </c>
      <c r="D654" t="inlineStr">
        <is>
          <t>STOCKHOLMS LÄN</t>
        </is>
      </c>
      <c r="E654" t="inlineStr">
        <is>
          <t>NORRTÄLJE</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32705-2022</t>
        </is>
      </c>
      <c r="B655" s="1" t="n">
        <v>44783</v>
      </c>
      <c r="C655" s="1" t="n">
        <v>45922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18846-2022</t>
        </is>
      </c>
      <c r="B656" s="1" t="n">
        <v>44690</v>
      </c>
      <c r="C656" s="1" t="n">
        <v>45922</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30639-2025</t>
        </is>
      </c>
      <c r="B657" s="1" t="n">
        <v>45831.4844212963</v>
      </c>
      <c r="C657" s="1" t="n">
        <v>45922</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30668-2025</t>
        </is>
      </c>
      <c r="B658" s="1" t="n">
        <v>45831.51659722222</v>
      </c>
      <c r="C658" s="1" t="n">
        <v>45922</v>
      </c>
      <c r="D658" t="inlineStr">
        <is>
          <t>STOCKHOLMS LÄN</t>
        </is>
      </c>
      <c r="E658" t="inlineStr">
        <is>
          <t>NORRTÄLJE</t>
        </is>
      </c>
      <c r="G658" t="n">
        <v>4.9</v>
      </c>
      <c r="H658" t="n">
        <v>0</v>
      </c>
      <c r="I658" t="n">
        <v>0</v>
      </c>
      <c r="J658" t="n">
        <v>0</v>
      </c>
      <c r="K658" t="n">
        <v>0</v>
      </c>
      <c r="L658" t="n">
        <v>0</v>
      </c>
      <c r="M658" t="n">
        <v>0</v>
      </c>
      <c r="N658" t="n">
        <v>0</v>
      </c>
      <c r="O658" t="n">
        <v>0</v>
      </c>
      <c r="P658" t="n">
        <v>0</v>
      </c>
      <c r="Q658" t="n">
        <v>0</v>
      </c>
      <c r="R658" s="2" t="inlineStr"/>
    </row>
    <row r="659" ht="15" customHeight="1">
      <c r="A659" t="inlineStr">
        <is>
          <t>A 43300-2023</t>
        </is>
      </c>
      <c r="B659" s="1" t="n">
        <v>45183</v>
      </c>
      <c r="C659" s="1" t="n">
        <v>45922</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25654-2023</t>
        </is>
      </c>
      <c r="B660" s="1" t="n">
        <v>45089</v>
      </c>
      <c r="C660" s="1" t="n">
        <v>45922</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20013-2025</t>
        </is>
      </c>
      <c r="B661" s="1" t="n">
        <v>45772.30436342592</v>
      </c>
      <c r="C661" s="1" t="n">
        <v>45922</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53362-2023</t>
        </is>
      </c>
      <c r="B662" s="1" t="n">
        <v>45223</v>
      </c>
      <c r="C662" s="1" t="n">
        <v>45922</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15422-2024</t>
        </is>
      </c>
      <c r="B663" s="1" t="n">
        <v>45401.3653125</v>
      </c>
      <c r="C663" s="1" t="n">
        <v>45922</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23125-2022</t>
        </is>
      </c>
      <c r="B664" s="1" t="n">
        <v>44719</v>
      </c>
      <c r="C664" s="1" t="n">
        <v>45922</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20121-2022</t>
        </is>
      </c>
      <c r="B665" s="1" t="n">
        <v>44698</v>
      </c>
      <c r="C665" s="1" t="n">
        <v>45922</v>
      </c>
      <c r="D665" t="inlineStr">
        <is>
          <t>STOCKHOLMS LÄN</t>
        </is>
      </c>
      <c r="E665" t="inlineStr">
        <is>
          <t>NORRTÄLJE</t>
        </is>
      </c>
      <c r="G665" t="n">
        <v>4.2</v>
      </c>
      <c r="H665" t="n">
        <v>0</v>
      </c>
      <c r="I665" t="n">
        <v>0</v>
      </c>
      <c r="J665" t="n">
        <v>0</v>
      </c>
      <c r="K665" t="n">
        <v>0</v>
      </c>
      <c r="L665" t="n">
        <v>0</v>
      </c>
      <c r="M665" t="n">
        <v>0</v>
      </c>
      <c r="N665" t="n">
        <v>0</v>
      </c>
      <c r="O665" t="n">
        <v>0</v>
      </c>
      <c r="P665" t="n">
        <v>0</v>
      </c>
      <c r="Q665" t="n">
        <v>0</v>
      </c>
      <c r="R665" s="2" t="inlineStr"/>
    </row>
    <row r="666" ht="15" customHeight="1">
      <c r="A666" t="inlineStr">
        <is>
          <t>A 30508-2023</t>
        </is>
      </c>
      <c r="B666" s="1" t="n">
        <v>45111</v>
      </c>
      <c r="C666" s="1" t="n">
        <v>45922</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33385-2024</t>
        </is>
      </c>
      <c r="B667" s="1" t="n">
        <v>45519</v>
      </c>
      <c r="C667" s="1" t="n">
        <v>45922</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41172-2023</t>
        </is>
      </c>
      <c r="B668" s="1" t="n">
        <v>45170</v>
      </c>
      <c r="C668" s="1" t="n">
        <v>45922</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16008-2025</t>
        </is>
      </c>
      <c r="B669" s="1" t="n">
        <v>45749</v>
      </c>
      <c r="C669" s="1" t="n">
        <v>45922</v>
      </c>
      <c r="D669" t="inlineStr">
        <is>
          <t>STOCKHOLMS LÄN</t>
        </is>
      </c>
      <c r="E669" t="inlineStr">
        <is>
          <t>NORRTÄLJE</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31170-2025</t>
        </is>
      </c>
      <c r="B670" s="1" t="n">
        <v>45832.66385416667</v>
      </c>
      <c r="C670" s="1" t="n">
        <v>45922</v>
      </c>
      <c r="D670" t="inlineStr">
        <is>
          <t>STOCKHOLMS LÄN</t>
        </is>
      </c>
      <c r="E670" t="inlineStr">
        <is>
          <t>NORRTÄLJE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45922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47481-2024</t>
        </is>
      </c>
      <c r="B672" s="1" t="n">
        <v>45587</v>
      </c>
      <c r="C672" s="1" t="n">
        <v>45922</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50534-2024</t>
        </is>
      </c>
      <c r="B673" s="1" t="n">
        <v>45601.56726851852</v>
      </c>
      <c r="C673" s="1" t="n">
        <v>45922</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57037-2022</t>
        </is>
      </c>
      <c r="B674" s="1" t="n">
        <v>44895</v>
      </c>
      <c r="C674" s="1" t="n">
        <v>45922</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21158-2022</t>
        </is>
      </c>
      <c r="B675" s="1" t="n">
        <v>44704</v>
      </c>
      <c r="C675" s="1" t="n">
        <v>45922</v>
      </c>
      <c r="D675" t="inlineStr">
        <is>
          <t>STOCKHOLMS LÄN</t>
        </is>
      </c>
      <c r="E675" t="inlineStr">
        <is>
          <t>NORRTÄLJE</t>
        </is>
      </c>
      <c r="G675" t="n">
        <v>17.8</v>
      </c>
      <c r="H675" t="n">
        <v>0</v>
      </c>
      <c r="I675" t="n">
        <v>0</v>
      </c>
      <c r="J675" t="n">
        <v>0</v>
      </c>
      <c r="K675" t="n">
        <v>0</v>
      </c>
      <c r="L675" t="n">
        <v>0</v>
      </c>
      <c r="M675" t="n">
        <v>0</v>
      </c>
      <c r="N675" t="n">
        <v>0</v>
      </c>
      <c r="O675" t="n">
        <v>0</v>
      </c>
      <c r="P675" t="n">
        <v>0</v>
      </c>
      <c r="Q675" t="n">
        <v>0</v>
      </c>
      <c r="R675" s="2" t="inlineStr"/>
    </row>
    <row r="676" ht="15" customHeight="1">
      <c r="A676" t="inlineStr">
        <is>
          <t>A 11940-2023</t>
        </is>
      </c>
      <c r="B676" s="1" t="n">
        <v>44995</v>
      </c>
      <c r="C676" s="1" t="n">
        <v>45922</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31880-2025</t>
        </is>
      </c>
      <c r="B677" s="1" t="n">
        <v>45834.65538194445</v>
      </c>
      <c r="C677" s="1" t="n">
        <v>45922</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32122-2025</t>
        </is>
      </c>
      <c r="B678" s="1" t="n">
        <v>45835.4928125</v>
      </c>
      <c r="C678" s="1" t="n">
        <v>45922</v>
      </c>
      <c r="D678" t="inlineStr">
        <is>
          <t>STOCKHOLMS LÄN</t>
        </is>
      </c>
      <c r="E678" t="inlineStr">
        <is>
          <t>NORRTÄLJE</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11988-2021</t>
        </is>
      </c>
      <c r="B679" s="1" t="n">
        <v>44266</v>
      </c>
      <c r="C679" s="1" t="n">
        <v>45922</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12132-2021</t>
        </is>
      </c>
      <c r="B680" s="1" t="n">
        <v>44266</v>
      </c>
      <c r="C680" s="1" t="n">
        <v>45922</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31868-2025</t>
        </is>
      </c>
      <c r="B681" s="1" t="n">
        <v>45834.6447337963</v>
      </c>
      <c r="C681" s="1" t="n">
        <v>45922</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6413-2025</t>
        </is>
      </c>
      <c r="B682" s="1" t="n">
        <v>45699.46283564815</v>
      </c>
      <c r="C682" s="1" t="n">
        <v>45922</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2281-2024</t>
        </is>
      </c>
      <c r="B683" s="1" t="n">
        <v>45310.40628472222</v>
      </c>
      <c r="C683" s="1" t="n">
        <v>45922</v>
      </c>
      <c r="D683" t="inlineStr">
        <is>
          <t>STOCKHOLMS LÄN</t>
        </is>
      </c>
      <c r="E683" t="inlineStr">
        <is>
          <t>NORRTÄLJE</t>
        </is>
      </c>
      <c r="G683" t="n">
        <v>2.7</v>
      </c>
      <c r="H683" t="n">
        <v>0</v>
      </c>
      <c r="I683" t="n">
        <v>0</v>
      </c>
      <c r="J683" t="n">
        <v>0</v>
      </c>
      <c r="K683" t="n">
        <v>0</v>
      </c>
      <c r="L683" t="n">
        <v>0</v>
      </c>
      <c r="M683" t="n">
        <v>0</v>
      </c>
      <c r="N683" t="n">
        <v>0</v>
      </c>
      <c r="O683" t="n">
        <v>0</v>
      </c>
      <c r="P683" t="n">
        <v>0</v>
      </c>
      <c r="Q683" t="n">
        <v>0</v>
      </c>
      <c r="R683" s="2" t="inlineStr"/>
    </row>
    <row r="684" ht="15" customHeight="1">
      <c r="A684" t="inlineStr">
        <is>
          <t>A 65499-2021</t>
        </is>
      </c>
      <c r="B684" s="1" t="n">
        <v>44516</v>
      </c>
      <c r="C684" s="1" t="n">
        <v>45922</v>
      </c>
      <c r="D684" t="inlineStr">
        <is>
          <t>STOCKHOLMS LÄN</t>
        </is>
      </c>
      <c r="E684" t="inlineStr">
        <is>
          <t>NORRTÄLJE</t>
        </is>
      </c>
      <c r="F684" t="inlineStr">
        <is>
          <t>Kommuner</t>
        </is>
      </c>
      <c r="G684" t="n">
        <v>5.2</v>
      </c>
      <c r="H684" t="n">
        <v>0</v>
      </c>
      <c r="I684" t="n">
        <v>0</v>
      </c>
      <c r="J684" t="n">
        <v>0</v>
      </c>
      <c r="K684" t="n">
        <v>0</v>
      </c>
      <c r="L684" t="n">
        <v>0</v>
      </c>
      <c r="M684" t="n">
        <v>0</v>
      </c>
      <c r="N684" t="n">
        <v>0</v>
      </c>
      <c r="O684" t="n">
        <v>0</v>
      </c>
      <c r="P684" t="n">
        <v>0</v>
      </c>
      <c r="Q684" t="n">
        <v>0</v>
      </c>
      <c r="R684" s="2" t="inlineStr"/>
    </row>
    <row r="685" ht="15" customHeight="1">
      <c r="A685" t="inlineStr">
        <is>
          <t>A 65511-2021</t>
        </is>
      </c>
      <c r="B685" s="1" t="n">
        <v>44516.40674768519</v>
      </c>
      <c r="C685" s="1" t="n">
        <v>45922</v>
      </c>
      <c r="D685" t="inlineStr">
        <is>
          <t>STOCKHOLMS LÄN</t>
        </is>
      </c>
      <c r="E685" t="inlineStr">
        <is>
          <t>NORRTÄLJE</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60525-2022</t>
        </is>
      </c>
      <c r="B686" s="1" t="n">
        <v>44904</v>
      </c>
      <c r="C686" s="1" t="n">
        <v>45922</v>
      </c>
      <c r="D686" t="inlineStr">
        <is>
          <t>STOCKHOLMS LÄN</t>
        </is>
      </c>
      <c r="E686" t="inlineStr">
        <is>
          <t>NORRTÄLJE</t>
        </is>
      </c>
      <c r="G686" t="n">
        <v>13.4</v>
      </c>
      <c r="H686" t="n">
        <v>0</v>
      </c>
      <c r="I686" t="n">
        <v>0</v>
      </c>
      <c r="J686" t="n">
        <v>0</v>
      </c>
      <c r="K686" t="n">
        <v>0</v>
      </c>
      <c r="L686" t="n">
        <v>0</v>
      </c>
      <c r="M686" t="n">
        <v>0</v>
      </c>
      <c r="N686" t="n">
        <v>0</v>
      </c>
      <c r="O686" t="n">
        <v>0</v>
      </c>
      <c r="P686" t="n">
        <v>0</v>
      </c>
      <c r="Q686" t="n">
        <v>0</v>
      </c>
      <c r="R686" s="2" t="inlineStr"/>
    </row>
    <row r="687" ht="15" customHeight="1">
      <c r="A687" t="inlineStr">
        <is>
          <t>A 32016-2025</t>
        </is>
      </c>
      <c r="B687" s="1" t="n">
        <v>45835</v>
      </c>
      <c r="C687" s="1" t="n">
        <v>45922</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22833-2024</t>
        </is>
      </c>
      <c r="B688" s="1" t="n">
        <v>45448.56746527777</v>
      </c>
      <c r="C688" s="1" t="n">
        <v>45922</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32283-2025</t>
        </is>
      </c>
      <c r="B689" s="1" t="n">
        <v>45835.68076388889</v>
      </c>
      <c r="C689" s="1" t="n">
        <v>45922</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32101-2022</t>
        </is>
      </c>
      <c r="B690" s="1" t="n">
        <v>44778.69210648148</v>
      </c>
      <c r="C690" s="1" t="n">
        <v>45922</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32514-2022</t>
        </is>
      </c>
      <c r="B691" s="1" t="n">
        <v>44782</v>
      </c>
      <c r="C691" s="1" t="n">
        <v>45922</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29362-2022</t>
        </is>
      </c>
      <c r="B692" s="1" t="n">
        <v>44753</v>
      </c>
      <c r="C692" s="1" t="n">
        <v>45922</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31874-2025</t>
        </is>
      </c>
      <c r="B693" s="1" t="n">
        <v>45834</v>
      </c>
      <c r="C693" s="1" t="n">
        <v>45922</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7903-2021</t>
        </is>
      </c>
      <c r="B694" s="1" t="n">
        <v>44243.33587962963</v>
      </c>
      <c r="C694" s="1" t="n">
        <v>45922</v>
      </c>
      <c r="D694" t="inlineStr">
        <is>
          <t>STOCKHOLMS LÄN</t>
        </is>
      </c>
      <c r="E694" t="inlineStr">
        <is>
          <t>NORRTÄLJE</t>
        </is>
      </c>
      <c r="G694" t="n">
        <v>3.5</v>
      </c>
      <c r="H694" t="n">
        <v>0</v>
      </c>
      <c r="I694" t="n">
        <v>0</v>
      </c>
      <c r="J694" t="n">
        <v>0</v>
      </c>
      <c r="K694" t="n">
        <v>0</v>
      </c>
      <c r="L694" t="n">
        <v>0</v>
      </c>
      <c r="M694" t="n">
        <v>0</v>
      </c>
      <c r="N694" t="n">
        <v>0</v>
      </c>
      <c r="O694" t="n">
        <v>0</v>
      </c>
      <c r="P694" t="n">
        <v>0</v>
      </c>
      <c r="Q694" t="n">
        <v>0</v>
      </c>
      <c r="R694" s="2" t="inlineStr"/>
    </row>
    <row r="695" ht="15" customHeight="1">
      <c r="A695" t="inlineStr">
        <is>
          <t>A 32094-2025</t>
        </is>
      </c>
      <c r="B695" s="1" t="n">
        <v>45835.46034722222</v>
      </c>
      <c r="C695" s="1" t="n">
        <v>45922</v>
      </c>
      <c r="D695" t="inlineStr">
        <is>
          <t>STOCKHOLMS LÄN</t>
        </is>
      </c>
      <c r="E695" t="inlineStr">
        <is>
          <t>NORRTÄLJE</t>
        </is>
      </c>
      <c r="F695" t="inlineStr">
        <is>
          <t>Holmen skog AB</t>
        </is>
      </c>
      <c r="G695" t="n">
        <v>2.9</v>
      </c>
      <c r="H695" t="n">
        <v>0</v>
      </c>
      <c r="I695" t="n">
        <v>0</v>
      </c>
      <c r="J695" t="n">
        <v>0</v>
      </c>
      <c r="K695" t="n">
        <v>0</v>
      </c>
      <c r="L695" t="n">
        <v>0</v>
      </c>
      <c r="M695" t="n">
        <v>0</v>
      </c>
      <c r="N695" t="n">
        <v>0</v>
      </c>
      <c r="O695" t="n">
        <v>0</v>
      </c>
      <c r="P695" t="n">
        <v>0</v>
      </c>
      <c r="Q695" t="n">
        <v>0</v>
      </c>
      <c r="R695" s="2" t="inlineStr"/>
    </row>
    <row r="696" ht="15" customHeight="1">
      <c r="A696" t="inlineStr">
        <is>
          <t>A 39213-2022</t>
        </is>
      </c>
      <c r="B696" s="1" t="n">
        <v>44817.56120370371</v>
      </c>
      <c r="C696" s="1" t="n">
        <v>45922</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23150-2024</t>
        </is>
      </c>
      <c r="B697" s="1" t="n">
        <v>45450.64643518518</v>
      </c>
      <c r="C697" s="1" t="n">
        <v>45922</v>
      </c>
      <c r="D697" t="inlineStr">
        <is>
          <t>STOCKHOLMS LÄN</t>
        </is>
      </c>
      <c r="E697" t="inlineStr">
        <is>
          <t>NORRTÄLJE</t>
        </is>
      </c>
      <c r="F697" t="inlineStr">
        <is>
          <t>Kommuner</t>
        </is>
      </c>
      <c r="G697" t="n">
        <v>2.7</v>
      </c>
      <c r="H697" t="n">
        <v>0</v>
      </c>
      <c r="I697" t="n">
        <v>0</v>
      </c>
      <c r="J697" t="n">
        <v>0</v>
      </c>
      <c r="K697" t="n">
        <v>0</v>
      </c>
      <c r="L697" t="n">
        <v>0</v>
      </c>
      <c r="M697" t="n">
        <v>0</v>
      </c>
      <c r="N697" t="n">
        <v>0</v>
      </c>
      <c r="O697" t="n">
        <v>0</v>
      </c>
      <c r="P697" t="n">
        <v>0</v>
      </c>
      <c r="Q697" t="n">
        <v>0</v>
      </c>
      <c r="R697" s="2" t="inlineStr"/>
    </row>
    <row r="698" ht="15" customHeight="1">
      <c r="A698" t="inlineStr">
        <is>
          <t>A 24933-2023</t>
        </is>
      </c>
      <c r="B698" s="1" t="n">
        <v>45085.5309375</v>
      </c>
      <c r="C698" s="1" t="n">
        <v>45922</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41976-2024</t>
        </is>
      </c>
      <c r="B699" s="1" t="n">
        <v>45561.62141203704</v>
      </c>
      <c r="C699" s="1" t="n">
        <v>45922</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51325-2023</t>
        </is>
      </c>
      <c r="B700" s="1" t="n">
        <v>45219</v>
      </c>
      <c r="C700" s="1" t="n">
        <v>45922</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32480-2025</t>
        </is>
      </c>
      <c r="B701" s="1" t="n">
        <v>45838.43261574074</v>
      </c>
      <c r="C701" s="1" t="n">
        <v>45922</v>
      </c>
      <c r="D701" t="inlineStr">
        <is>
          <t>STOCKHOLMS LÄN</t>
        </is>
      </c>
      <c r="E701" t="inlineStr">
        <is>
          <t>NORRTÄLJE</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56631-2024</t>
        </is>
      </c>
      <c r="B702" s="1" t="n">
        <v>45625</v>
      </c>
      <c r="C702" s="1" t="n">
        <v>45922</v>
      </c>
      <c r="D702" t="inlineStr">
        <is>
          <t>STOCKHOLMS LÄN</t>
        </is>
      </c>
      <c r="E702" t="inlineStr">
        <is>
          <t>NORRTÄLJE</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59534-2024</t>
        </is>
      </c>
      <c r="B703" s="1" t="n">
        <v>45638.5987037037</v>
      </c>
      <c r="C703" s="1" t="n">
        <v>45922</v>
      </c>
      <c r="D703" t="inlineStr">
        <is>
          <t>STOCKHOLMS LÄN</t>
        </is>
      </c>
      <c r="E703" t="inlineStr">
        <is>
          <t>NORRTÄLJE</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31107-2022</t>
        </is>
      </c>
      <c r="B704" s="1" t="n">
        <v>44769.66864583334</v>
      </c>
      <c r="C704" s="1" t="n">
        <v>45922</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13860-2023</t>
        </is>
      </c>
      <c r="B705" s="1" t="n">
        <v>45007</v>
      </c>
      <c r="C705" s="1" t="n">
        <v>45922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37632-2025</t>
        </is>
      </c>
      <c r="B706" s="1" t="n">
        <v>45880.46524305556</v>
      </c>
      <c r="C706" s="1" t="n">
        <v>45922</v>
      </c>
      <c r="D706" t="inlineStr">
        <is>
          <t>STOCKHOLMS LÄN</t>
        </is>
      </c>
      <c r="E706" t="inlineStr">
        <is>
          <t>NORRTÄLJE</t>
        </is>
      </c>
      <c r="F706" t="inlineStr">
        <is>
          <t>Sveaskog</t>
        </is>
      </c>
      <c r="G706" t="n">
        <v>6.4</v>
      </c>
      <c r="H706" t="n">
        <v>0</v>
      </c>
      <c r="I706" t="n">
        <v>0</v>
      </c>
      <c r="J706" t="n">
        <v>0</v>
      </c>
      <c r="K706" t="n">
        <v>0</v>
      </c>
      <c r="L706" t="n">
        <v>0</v>
      </c>
      <c r="M706" t="n">
        <v>0</v>
      </c>
      <c r="N706" t="n">
        <v>0</v>
      </c>
      <c r="O706" t="n">
        <v>0</v>
      </c>
      <c r="P706" t="n">
        <v>0</v>
      </c>
      <c r="Q706" t="n">
        <v>0</v>
      </c>
      <c r="R706" s="2" t="inlineStr"/>
    </row>
    <row r="707" ht="15" customHeight="1">
      <c r="A707" t="inlineStr">
        <is>
          <t>A 58492-2022</t>
        </is>
      </c>
      <c r="B707" s="1" t="n">
        <v>44902</v>
      </c>
      <c r="C707" s="1" t="n">
        <v>45922</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32872-2025</t>
        </is>
      </c>
      <c r="B708" s="1" t="n">
        <v>45839</v>
      </c>
      <c r="C708" s="1" t="n">
        <v>45922</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32903-2025</t>
        </is>
      </c>
      <c r="B709" s="1" t="n">
        <v>45839.62398148148</v>
      </c>
      <c r="C709" s="1" t="n">
        <v>45922</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6855-2025</t>
        </is>
      </c>
      <c r="B710" s="1" t="n">
        <v>45700</v>
      </c>
      <c r="C710" s="1" t="n">
        <v>45922</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652-2025</t>
        </is>
      </c>
      <c r="B711" s="1" t="n">
        <v>45664</v>
      </c>
      <c r="C711" s="1" t="n">
        <v>45922</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32395-2025</t>
        </is>
      </c>
      <c r="B712" s="1" t="n">
        <v>45837.93730324074</v>
      </c>
      <c r="C712" s="1" t="n">
        <v>45922</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32396-2025</t>
        </is>
      </c>
      <c r="B713" s="1" t="n">
        <v>45837</v>
      </c>
      <c r="C713" s="1" t="n">
        <v>45922</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32397-2025</t>
        </is>
      </c>
      <c r="B714" s="1" t="n">
        <v>45837.94081018519</v>
      </c>
      <c r="C714" s="1" t="n">
        <v>45922</v>
      </c>
      <c r="D714" t="inlineStr">
        <is>
          <t>STOCKHOLMS LÄN</t>
        </is>
      </c>
      <c r="E714" t="inlineStr">
        <is>
          <t>NORRTÄLJE</t>
        </is>
      </c>
      <c r="G714" t="n">
        <v>5.9</v>
      </c>
      <c r="H714" t="n">
        <v>0</v>
      </c>
      <c r="I714" t="n">
        <v>0</v>
      </c>
      <c r="J714" t="n">
        <v>0</v>
      </c>
      <c r="K714" t="n">
        <v>0</v>
      </c>
      <c r="L714" t="n">
        <v>0</v>
      </c>
      <c r="M714" t="n">
        <v>0</v>
      </c>
      <c r="N714" t="n">
        <v>0</v>
      </c>
      <c r="O714" t="n">
        <v>0</v>
      </c>
      <c r="P714" t="n">
        <v>0</v>
      </c>
      <c r="Q714" t="n">
        <v>0</v>
      </c>
      <c r="R714" s="2" t="inlineStr"/>
    </row>
    <row r="715" ht="15" customHeight="1">
      <c r="A715" t="inlineStr">
        <is>
          <t>A 51315-2021</t>
        </is>
      </c>
      <c r="B715" s="1" t="n">
        <v>44461</v>
      </c>
      <c r="C715" s="1" t="n">
        <v>45922</v>
      </c>
      <c r="D715" t="inlineStr">
        <is>
          <t>STOCKHOLMS LÄN</t>
        </is>
      </c>
      <c r="E715" t="inlineStr">
        <is>
          <t>NORRTÄLJE</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37628-2025</t>
        </is>
      </c>
      <c r="B716" s="1" t="n">
        <v>45880.46189814815</v>
      </c>
      <c r="C716" s="1" t="n">
        <v>45922</v>
      </c>
      <c r="D716" t="inlineStr">
        <is>
          <t>STOCKHOLMS LÄN</t>
        </is>
      </c>
      <c r="E716" t="inlineStr">
        <is>
          <t>NORRTÄLJE</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13314-2025</t>
        </is>
      </c>
      <c r="B717" s="1" t="n">
        <v>45735.59287037037</v>
      </c>
      <c r="C717" s="1" t="n">
        <v>45922</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14873-2025</t>
        </is>
      </c>
      <c r="B718" s="1" t="n">
        <v>45743.44953703704</v>
      </c>
      <c r="C718" s="1" t="n">
        <v>45922</v>
      </c>
      <c r="D718" t="inlineStr">
        <is>
          <t>STOCKHOLMS LÄN</t>
        </is>
      </c>
      <c r="E718" t="inlineStr">
        <is>
          <t>NORRTÄLJE</t>
        </is>
      </c>
      <c r="G718" t="n">
        <v>10.2</v>
      </c>
      <c r="H718" t="n">
        <v>0</v>
      </c>
      <c r="I718" t="n">
        <v>0</v>
      </c>
      <c r="J718" t="n">
        <v>0</v>
      </c>
      <c r="K718" t="n">
        <v>0</v>
      </c>
      <c r="L718" t="n">
        <v>0</v>
      </c>
      <c r="M718" t="n">
        <v>0</v>
      </c>
      <c r="N718" t="n">
        <v>0</v>
      </c>
      <c r="O718" t="n">
        <v>0</v>
      </c>
      <c r="P718" t="n">
        <v>0</v>
      </c>
      <c r="Q718" t="n">
        <v>0</v>
      </c>
      <c r="R718" s="2" t="inlineStr"/>
    </row>
    <row r="719" ht="15" customHeight="1">
      <c r="A719" t="inlineStr">
        <is>
          <t>A 34773-2022</t>
        </is>
      </c>
      <c r="B719" s="1" t="n">
        <v>44795</v>
      </c>
      <c r="C719" s="1" t="n">
        <v>45922</v>
      </c>
      <c r="D719" t="inlineStr">
        <is>
          <t>STOCKHOLMS LÄN</t>
        </is>
      </c>
      <c r="E719" t="inlineStr">
        <is>
          <t>NORRTÄLJE</t>
        </is>
      </c>
      <c r="G719" t="n">
        <v>3.9</v>
      </c>
      <c r="H719" t="n">
        <v>0</v>
      </c>
      <c r="I719" t="n">
        <v>0</v>
      </c>
      <c r="J719" t="n">
        <v>0</v>
      </c>
      <c r="K719" t="n">
        <v>0</v>
      </c>
      <c r="L719" t="n">
        <v>0</v>
      </c>
      <c r="M719" t="n">
        <v>0</v>
      </c>
      <c r="N719" t="n">
        <v>0</v>
      </c>
      <c r="O719" t="n">
        <v>0</v>
      </c>
      <c r="P719" t="n">
        <v>0</v>
      </c>
      <c r="Q719" t="n">
        <v>0</v>
      </c>
      <c r="R719" s="2" t="inlineStr"/>
    </row>
    <row r="720" ht="15" customHeight="1">
      <c r="A720" t="inlineStr">
        <is>
          <t>A 34432-2021</t>
        </is>
      </c>
      <c r="B720" s="1" t="n">
        <v>44380.77346064815</v>
      </c>
      <c r="C720" s="1" t="n">
        <v>45922</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33173-2024</t>
        </is>
      </c>
      <c r="B721" s="1" t="n">
        <v>45518</v>
      </c>
      <c r="C721" s="1" t="n">
        <v>45922</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37630-2025</t>
        </is>
      </c>
      <c r="B722" s="1" t="n">
        <v>45880.46372685185</v>
      </c>
      <c r="C722" s="1" t="n">
        <v>45922</v>
      </c>
      <c r="D722" t="inlineStr">
        <is>
          <t>STOCKHOLMS LÄN</t>
        </is>
      </c>
      <c r="E722" t="inlineStr">
        <is>
          <t>NORRTÄLJE</t>
        </is>
      </c>
      <c r="F722" t="inlineStr">
        <is>
          <t>Sveaskog</t>
        </is>
      </c>
      <c r="G722" t="n">
        <v>12.9</v>
      </c>
      <c r="H722" t="n">
        <v>0</v>
      </c>
      <c r="I722" t="n">
        <v>0</v>
      </c>
      <c r="J722" t="n">
        <v>0</v>
      </c>
      <c r="K722" t="n">
        <v>0</v>
      </c>
      <c r="L722" t="n">
        <v>0</v>
      </c>
      <c r="M722" t="n">
        <v>0</v>
      </c>
      <c r="N722" t="n">
        <v>0</v>
      </c>
      <c r="O722" t="n">
        <v>0</v>
      </c>
      <c r="P722" t="n">
        <v>0</v>
      </c>
      <c r="Q722" t="n">
        <v>0</v>
      </c>
      <c r="R722" s="2" t="inlineStr"/>
    </row>
    <row r="723" ht="15" customHeight="1">
      <c r="A723" t="inlineStr">
        <is>
          <t>A 5389-2025</t>
        </is>
      </c>
      <c r="B723" s="1" t="n">
        <v>45692</v>
      </c>
      <c r="C723" s="1" t="n">
        <v>45922</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33702-2025</t>
        </is>
      </c>
      <c r="B724" s="1" t="n">
        <v>45841.74596064815</v>
      </c>
      <c r="C724" s="1" t="n">
        <v>45922</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23149-2024</t>
        </is>
      </c>
      <c r="B725" s="1" t="n">
        <v>45450.64208333333</v>
      </c>
      <c r="C725" s="1" t="n">
        <v>45922</v>
      </c>
      <c r="D725" t="inlineStr">
        <is>
          <t>STOCKHOLMS LÄN</t>
        </is>
      </c>
      <c r="E725" t="inlineStr">
        <is>
          <t>NORRTÄLJE</t>
        </is>
      </c>
      <c r="F725" t="inlineStr">
        <is>
          <t>Kommuner</t>
        </is>
      </c>
      <c r="G725" t="n">
        <v>1.3</v>
      </c>
      <c r="H725" t="n">
        <v>0</v>
      </c>
      <c r="I725" t="n">
        <v>0</v>
      </c>
      <c r="J725" t="n">
        <v>0</v>
      </c>
      <c r="K725" t="n">
        <v>0</v>
      </c>
      <c r="L725" t="n">
        <v>0</v>
      </c>
      <c r="M725" t="n">
        <v>0</v>
      </c>
      <c r="N725" t="n">
        <v>0</v>
      </c>
      <c r="O725" t="n">
        <v>0</v>
      </c>
      <c r="P725" t="n">
        <v>0</v>
      </c>
      <c r="Q725" t="n">
        <v>0</v>
      </c>
      <c r="R725" s="2" t="inlineStr"/>
    </row>
    <row r="726" ht="15" customHeight="1">
      <c r="A726" t="inlineStr">
        <is>
          <t>A 23151-2024</t>
        </is>
      </c>
      <c r="B726" s="1" t="n">
        <v>45450</v>
      </c>
      <c r="C726" s="1" t="n">
        <v>45922</v>
      </c>
      <c r="D726" t="inlineStr">
        <is>
          <t>STOCKHOLMS LÄN</t>
        </is>
      </c>
      <c r="E726" t="inlineStr">
        <is>
          <t>NORRTÄLJE</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13051-2021</t>
        </is>
      </c>
      <c r="B727" s="1" t="n">
        <v>44272</v>
      </c>
      <c r="C727" s="1" t="n">
        <v>45922</v>
      </c>
      <c r="D727" t="inlineStr">
        <is>
          <t>STOCKHOLMS LÄN</t>
        </is>
      </c>
      <c r="E727" t="inlineStr">
        <is>
          <t>NORRTÄLJE</t>
        </is>
      </c>
      <c r="G727" t="n">
        <v>9.1</v>
      </c>
      <c r="H727" t="n">
        <v>0</v>
      </c>
      <c r="I727" t="n">
        <v>0</v>
      </c>
      <c r="J727" t="n">
        <v>0</v>
      </c>
      <c r="K727" t="n">
        <v>0</v>
      </c>
      <c r="L727" t="n">
        <v>0</v>
      </c>
      <c r="M727" t="n">
        <v>0</v>
      </c>
      <c r="N727" t="n">
        <v>0</v>
      </c>
      <c r="O727" t="n">
        <v>0</v>
      </c>
      <c r="P727" t="n">
        <v>0</v>
      </c>
      <c r="Q727" t="n">
        <v>0</v>
      </c>
      <c r="R727" s="2" t="inlineStr"/>
    </row>
    <row r="728" ht="15" customHeight="1">
      <c r="A728" t="inlineStr">
        <is>
          <t>A 33211-2025</t>
        </is>
      </c>
      <c r="B728" s="1" t="n">
        <v>45840.62755787037</v>
      </c>
      <c r="C728" s="1" t="n">
        <v>45922</v>
      </c>
      <c r="D728" t="inlineStr">
        <is>
          <t>STOCKHOLMS LÄN</t>
        </is>
      </c>
      <c r="E728" t="inlineStr">
        <is>
          <t>NORRTÄLJE</t>
        </is>
      </c>
      <c r="G728" t="n">
        <v>5.1</v>
      </c>
      <c r="H728" t="n">
        <v>0</v>
      </c>
      <c r="I728" t="n">
        <v>0</v>
      </c>
      <c r="J728" t="n">
        <v>0</v>
      </c>
      <c r="K728" t="n">
        <v>0</v>
      </c>
      <c r="L728" t="n">
        <v>0</v>
      </c>
      <c r="M728" t="n">
        <v>0</v>
      </c>
      <c r="N728" t="n">
        <v>0</v>
      </c>
      <c r="O728" t="n">
        <v>0</v>
      </c>
      <c r="P728" t="n">
        <v>0</v>
      </c>
      <c r="Q728" t="n">
        <v>0</v>
      </c>
      <c r="R728" s="2" t="inlineStr"/>
    </row>
    <row r="729" ht="15" customHeight="1">
      <c r="A729" t="inlineStr">
        <is>
          <t>A 52001-2023</t>
        </is>
      </c>
      <c r="B729" s="1" t="n">
        <v>45223</v>
      </c>
      <c r="C729" s="1" t="n">
        <v>45922</v>
      </c>
      <c r="D729" t="inlineStr">
        <is>
          <t>STOCKHOLMS LÄN</t>
        </is>
      </c>
      <c r="E729" t="inlineStr">
        <is>
          <t>NORRTÄLJE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60185-2024</t>
        </is>
      </c>
      <c r="B730" s="1" t="n">
        <v>45642.64634259259</v>
      </c>
      <c r="C730" s="1" t="n">
        <v>45922</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48686-2023</t>
        </is>
      </c>
      <c r="B731" s="1" t="n">
        <v>45208</v>
      </c>
      <c r="C731" s="1" t="n">
        <v>45922</v>
      </c>
      <c r="D731" t="inlineStr">
        <is>
          <t>STOCKHOLMS LÄN</t>
        </is>
      </c>
      <c r="E731" t="inlineStr">
        <is>
          <t>NORRTÄLJE</t>
        </is>
      </c>
      <c r="G731" t="n">
        <v>6</v>
      </c>
      <c r="H731" t="n">
        <v>0</v>
      </c>
      <c r="I731" t="n">
        <v>0</v>
      </c>
      <c r="J731" t="n">
        <v>0</v>
      </c>
      <c r="K731" t="n">
        <v>0</v>
      </c>
      <c r="L731" t="n">
        <v>0</v>
      </c>
      <c r="M731" t="n">
        <v>0</v>
      </c>
      <c r="N731" t="n">
        <v>0</v>
      </c>
      <c r="O731" t="n">
        <v>0</v>
      </c>
      <c r="P731" t="n">
        <v>0</v>
      </c>
      <c r="Q731" t="n">
        <v>0</v>
      </c>
      <c r="R731" s="2" t="inlineStr"/>
    </row>
    <row r="732" ht="15" customHeight="1">
      <c r="A732" t="inlineStr">
        <is>
          <t>A 48691-2023</t>
        </is>
      </c>
      <c r="B732" s="1" t="n">
        <v>45208</v>
      </c>
      <c r="C732" s="1" t="n">
        <v>45922</v>
      </c>
      <c r="D732" t="inlineStr">
        <is>
          <t>STOCKHOLMS LÄN</t>
        </is>
      </c>
      <c r="E732" t="inlineStr">
        <is>
          <t>NORRTÄLJE</t>
        </is>
      </c>
      <c r="G732" t="n">
        <v>5.8</v>
      </c>
      <c r="H732" t="n">
        <v>0</v>
      </c>
      <c r="I732" t="n">
        <v>0</v>
      </c>
      <c r="J732" t="n">
        <v>0</v>
      </c>
      <c r="K732" t="n">
        <v>0</v>
      </c>
      <c r="L732" t="n">
        <v>0</v>
      </c>
      <c r="M732" t="n">
        <v>0</v>
      </c>
      <c r="N732" t="n">
        <v>0</v>
      </c>
      <c r="O732" t="n">
        <v>0</v>
      </c>
      <c r="P732" t="n">
        <v>0</v>
      </c>
      <c r="Q732" t="n">
        <v>0</v>
      </c>
      <c r="R732" s="2" t="inlineStr"/>
    </row>
    <row r="733" ht="15" customHeight="1">
      <c r="A733" t="inlineStr">
        <is>
          <t>A 11499-2023</t>
        </is>
      </c>
      <c r="B733" s="1" t="n">
        <v>44993.66707175926</v>
      </c>
      <c r="C733" s="1" t="n">
        <v>45922</v>
      </c>
      <c r="D733" t="inlineStr">
        <is>
          <t>STOCKHOLMS LÄN</t>
        </is>
      </c>
      <c r="E733" t="inlineStr">
        <is>
          <t>NORRTÄLJE</t>
        </is>
      </c>
      <c r="F733" t="inlineStr">
        <is>
          <t>Holmen skog AB</t>
        </is>
      </c>
      <c r="G733" t="n">
        <v>2.8</v>
      </c>
      <c r="H733" t="n">
        <v>0</v>
      </c>
      <c r="I733" t="n">
        <v>0</v>
      </c>
      <c r="J733" t="n">
        <v>0</v>
      </c>
      <c r="K733" t="n">
        <v>0</v>
      </c>
      <c r="L733" t="n">
        <v>0</v>
      </c>
      <c r="M733" t="n">
        <v>0</v>
      </c>
      <c r="N733" t="n">
        <v>0</v>
      </c>
      <c r="O733" t="n">
        <v>0</v>
      </c>
      <c r="P733" t="n">
        <v>0</v>
      </c>
      <c r="Q733" t="n">
        <v>0</v>
      </c>
      <c r="R733" s="2" t="inlineStr"/>
    </row>
    <row r="734" ht="15" customHeight="1">
      <c r="A734" t="inlineStr">
        <is>
          <t>A 21726-2022</t>
        </is>
      </c>
      <c r="B734" s="1" t="n">
        <v>44708</v>
      </c>
      <c r="C734" s="1" t="n">
        <v>45922</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21739-2022</t>
        </is>
      </c>
      <c r="B735" s="1" t="n">
        <v>44708.36708333333</v>
      </c>
      <c r="C735" s="1" t="n">
        <v>45922</v>
      </c>
      <c r="D735" t="inlineStr">
        <is>
          <t>STOCKHOLMS LÄN</t>
        </is>
      </c>
      <c r="E735" t="inlineStr">
        <is>
          <t>NORRTÄLJE</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35210-2023</t>
        </is>
      </c>
      <c r="B736" s="1" t="n">
        <v>45145.63584490741</v>
      </c>
      <c r="C736" s="1" t="n">
        <v>45922</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38153-2025</t>
        </is>
      </c>
      <c r="B737" s="1" t="n">
        <v>45882.59722222222</v>
      </c>
      <c r="C737" s="1" t="n">
        <v>45922</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4484-2025</t>
        </is>
      </c>
      <c r="B738" s="1" t="n">
        <v>45686.65545138889</v>
      </c>
      <c r="C738" s="1" t="n">
        <v>45922</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59767-2022</t>
        </is>
      </c>
      <c r="B739" s="1" t="n">
        <v>44900</v>
      </c>
      <c r="C739" s="1" t="n">
        <v>45922</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33878-2024</t>
        </is>
      </c>
      <c r="B740" s="1" t="n">
        <v>45522.44414351852</v>
      </c>
      <c r="C740" s="1" t="n">
        <v>45922</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5823-2023</t>
        </is>
      </c>
      <c r="B741" s="1" t="n">
        <v>44963</v>
      </c>
      <c r="C741" s="1" t="n">
        <v>45922</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33265-2025</t>
        </is>
      </c>
      <c r="B742" s="1" t="n">
        <v>45840.67829861111</v>
      </c>
      <c r="C742" s="1" t="n">
        <v>45922</v>
      </c>
      <c r="D742" t="inlineStr">
        <is>
          <t>STOCKHOLMS LÄN</t>
        </is>
      </c>
      <c r="E742" t="inlineStr">
        <is>
          <t>NORRTÄLJE</t>
        </is>
      </c>
      <c r="G742" t="n">
        <v>5.5</v>
      </c>
      <c r="H742" t="n">
        <v>0</v>
      </c>
      <c r="I742" t="n">
        <v>0</v>
      </c>
      <c r="J742" t="n">
        <v>0</v>
      </c>
      <c r="K742" t="n">
        <v>0</v>
      </c>
      <c r="L742" t="n">
        <v>0</v>
      </c>
      <c r="M742" t="n">
        <v>0</v>
      </c>
      <c r="N742" t="n">
        <v>0</v>
      </c>
      <c r="O742" t="n">
        <v>0</v>
      </c>
      <c r="P742" t="n">
        <v>0</v>
      </c>
      <c r="Q742" t="n">
        <v>0</v>
      </c>
      <c r="R742" s="2" t="inlineStr"/>
    </row>
    <row r="743" ht="15" customHeight="1">
      <c r="A743" t="inlineStr">
        <is>
          <t>A 19915-2024</t>
        </is>
      </c>
      <c r="B743" s="1" t="n">
        <v>45433.58431712963</v>
      </c>
      <c r="C743" s="1" t="n">
        <v>45922</v>
      </c>
      <c r="D743" t="inlineStr">
        <is>
          <t>STOCKHOLMS LÄN</t>
        </is>
      </c>
      <c r="E743" t="inlineStr">
        <is>
          <t>NORRTÄLJE</t>
        </is>
      </c>
      <c r="G743" t="n">
        <v>2</v>
      </c>
      <c r="H743" t="n">
        <v>0</v>
      </c>
      <c r="I743" t="n">
        <v>0</v>
      </c>
      <c r="J743" t="n">
        <v>0</v>
      </c>
      <c r="K743" t="n">
        <v>0</v>
      </c>
      <c r="L743" t="n">
        <v>0</v>
      </c>
      <c r="M743" t="n">
        <v>0</v>
      </c>
      <c r="N743" t="n">
        <v>0</v>
      </c>
      <c r="O743" t="n">
        <v>0</v>
      </c>
      <c r="P743" t="n">
        <v>0</v>
      </c>
      <c r="Q743" t="n">
        <v>0</v>
      </c>
      <c r="R743" s="2" t="inlineStr"/>
    </row>
    <row r="744" ht="15" customHeight="1">
      <c r="A744" t="inlineStr">
        <is>
          <t>A 15217-2023</t>
        </is>
      </c>
      <c r="B744" s="1" t="n">
        <v>45019.28847222222</v>
      </c>
      <c r="C744" s="1" t="n">
        <v>45922</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9246-2024</t>
        </is>
      </c>
      <c r="B745" s="1" t="n">
        <v>45357</v>
      </c>
      <c r="C745" s="1" t="n">
        <v>45922</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35698-2023</t>
        </is>
      </c>
      <c r="B746" s="1" t="n">
        <v>45147</v>
      </c>
      <c r="C746" s="1" t="n">
        <v>45922</v>
      </c>
      <c r="D746" t="inlineStr">
        <is>
          <t>STOCKHOLMS LÄN</t>
        </is>
      </c>
      <c r="E746" t="inlineStr">
        <is>
          <t>NORRTÄLJE</t>
        </is>
      </c>
      <c r="G746" t="n">
        <v>2.1</v>
      </c>
      <c r="H746" t="n">
        <v>0</v>
      </c>
      <c r="I746" t="n">
        <v>0</v>
      </c>
      <c r="J746" t="n">
        <v>0</v>
      </c>
      <c r="K746" t="n">
        <v>0</v>
      </c>
      <c r="L746" t="n">
        <v>0</v>
      </c>
      <c r="M746" t="n">
        <v>0</v>
      </c>
      <c r="N746" t="n">
        <v>0</v>
      </c>
      <c r="O746" t="n">
        <v>0</v>
      </c>
      <c r="P746" t="n">
        <v>0</v>
      </c>
      <c r="Q746" t="n">
        <v>0</v>
      </c>
      <c r="R746" s="2" t="inlineStr"/>
    </row>
    <row r="747" ht="15" customHeight="1">
      <c r="A747" t="inlineStr">
        <is>
          <t>A 62398-2022</t>
        </is>
      </c>
      <c r="B747" s="1" t="n">
        <v>44923.90159722222</v>
      </c>
      <c r="C747" s="1" t="n">
        <v>45922</v>
      </c>
      <c r="D747" t="inlineStr">
        <is>
          <t>STOCKHOLMS LÄN</t>
        </is>
      </c>
      <c r="E747" t="inlineStr">
        <is>
          <t>NORRTÄLJE</t>
        </is>
      </c>
      <c r="G747" t="n">
        <v>4</v>
      </c>
      <c r="H747" t="n">
        <v>0</v>
      </c>
      <c r="I747" t="n">
        <v>0</v>
      </c>
      <c r="J747" t="n">
        <v>0</v>
      </c>
      <c r="K747" t="n">
        <v>0</v>
      </c>
      <c r="L747" t="n">
        <v>0</v>
      </c>
      <c r="M747" t="n">
        <v>0</v>
      </c>
      <c r="N747" t="n">
        <v>0</v>
      </c>
      <c r="O747" t="n">
        <v>0</v>
      </c>
      <c r="P747" t="n">
        <v>0</v>
      </c>
      <c r="Q747" t="n">
        <v>0</v>
      </c>
      <c r="R747" s="2" t="inlineStr"/>
    </row>
    <row r="748" ht="15" customHeight="1">
      <c r="A748" t="inlineStr">
        <is>
          <t>A 576-2023</t>
        </is>
      </c>
      <c r="B748" s="1" t="n">
        <v>44925</v>
      </c>
      <c r="C748" s="1" t="n">
        <v>45922</v>
      </c>
      <c r="D748" t="inlineStr">
        <is>
          <t>STOCKHOLMS LÄN</t>
        </is>
      </c>
      <c r="E748" t="inlineStr">
        <is>
          <t>NORRTÄLJE</t>
        </is>
      </c>
      <c r="G748" t="n">
        <v>7.2</v>
      </c>
      <c r="H748" t="n">
        <v>0</v>
      </c>
      <c r="I748" t="n">
        <v>0</v>
      </c>
      <c r="J748" t="n">
        <v>0</v>
      </c>
      <c r="K748" t="n">
        <v>0</v>
      </c>
      <c r="L748" t="n">
        <v>0</v>
      </c>
      <c r="M748" t="n">
        <v>0</v>
      </c>
      <c r="N748" t="n">
        <v>0</v>
      </c>
      <c r="O748" t="n">
        <v>0</v>
      </c>
      <c r="P748" t="n">
        <v>0</v>
      </c>
      <c r="Q748" t="n">
        <v>0</v>
      </c>
      <c r="R748" s="2" t="inlineStr"/>
    </row>
    <row r="749" ht="15" customHeight="1">
      <c r="A749" t="inlineStr">
        <is>
          <t>A 50143-2023</t>
        </is>
      </c>
      <c r="B749" s="1" t="n">
        <v>45215</v>
      </c>
      <c r="C749" s="1" t="n">
        <v>45922</v>
      </c>
      <c r="D749" t="inlineStr">
        <is>
          <t>STOCKHOLMS LÄN</t>
        </is>
      </c>
      <c r="E749" t="inlineStr">
        <is>
          <t>NORRTÄLJE</t>
        </is>
      </c>
      <c r="G749" t="n">
        <v>10.3</v>
      </c>
      <c r="H749" t="n">
        <v>0</v>
      </c>
      <c r="I749" t="n">
        <v>0</v>
      </c>
      <c r="J749" t="n">
        <v>0</v>
      </c>
      <c r="K749" t="n">
        <v>0</v>
      </c>
      <c r="L749" t="n">
        <v>0</v>
      </c>
      <c r="M749" t="n">
        <v>0</v>
      </c>
      <c r="N749" t="n">
        <v>0</v>
      </c>
      <c r="O749" t="n">
        <v>0</v>
      </c>
      <c r="P749" t="n">
        <v>0</v>
      </c>
      <c r="Q749" t="n">
        <v>0</v>
      </c>
      <c r="R749" s="2" t="inlineStr"/>
    </row>
    <row r="750" ht="15" customHeight="1">
      <c r="A750" t="inlineStr">
        <is>
          <t>A 47869-2020</t>
        </is>
      </c>
      <c r="B750" s="1" t="n">
        <v>44098</v>
      </c>
      <c r="C750" s="1" t="n">
        <v>45922</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49700-2023</t>
        </is>
      </c>
      <c r="B751" s="1" t="n">
        <v>45212</v>
      </c>
      <c r="C751" s="1" t="n">
        <v>45922</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10678-2025</t>
        </is>
      </c>
      <c r="B752" s="1" t="n">
        <v>45721.89123842592</v>
      </c>
      <c r="C752" s="1" t="n">
        <v>45922</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29176-2024</t>
        </is>
      </c>
      <c r="B753" s="1" t="n">
        <v>45482.53388888889</v>
      </c>
      <c r="C753" s="1" t="n">
        <v>45922</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31936-2022</t>
        </is>
      </c>
      <c r="B754" s="1" t="n">
        <v>44777</v>
      </c>
      <c r="C754" s="1" t="n">
        <v>45922</v>
      </c>
      <c r="D754" t="inlineStr">
        <is>
          <t>STOCKHOLMS LÄN</t>
        </is>
      </c>
      <c r="E754" t="inlineStr">
        <is>
          <t>NORRTÄLJE</t>
        </is>
      </c>
      <c r="G754" t="n">
        <v>5.2</v>
      </c>
      <c r="H754" t="n">
        <v>0</v>
      </c>
      <c r="I754" t="n">
        <v>0</v>
      </c>
      <c r="J754" t="n">
        <v>0</v>
      </c>
      <c r="K754" t="n">
        <v>0</v>
      </c>
      <c r="L754" t="n">
        <v>0</v>
      </c>
      <c r="M754" t="n">
        <v>0</v>
      </c>
      <c r="N754" t="n">
        <v>0</v>
      </c>
      <c r="O754" t="n">
        <v>0</v>
      </c>
      <c r="P754" t="n">
        <v>0</v>
      </c>
      <c r="Q754" t="n">
        <v>0</v>
      </c>
      <c r="R754" s="2" t="inlineStr"/>
    </row>
    <row r="755" ht="15" customHeight="1">
      <c r="A755" t="inlineStr">
        <is>
          <t>A 33552-2025</t>
        </is>
      </c>
      <c r="B755" s="1" t="n">
        <v>45841.5737962963</v>
      </c>
      <c r="C755" s="1" t="n">
        <v>45922</v>
      </c>
      <c r="D755" t="inlineStr">
        <is>
          <t>STOCKHOLMS LÄN</t>
        </is>
      </c>
      <c r="E755" t="inlineStr">
        <is>
          <t>NORRTÄLJE</t>
        </is>
      </c>
      <c r="G755" t="n">
        <v>8.9</v>
      </c>
      <c r="H755" t="n">
        <v>0</v>
      </c>
      <c r="I755" t="n">
        <v>0</v>
      </c>
      <c r="J755" t="n">
        <v>0</v>
      </c>
      <c r="K755" t="n">
        <v>0</v>
      </c>
      <c r="L755" t="n">
        <v>0</v>
      </c>
      <c r="M755" t="n">
        <v>0</v>
      </c>
      <c r="N755" t="n">
        <v>0</v>
      </c>
      <c r="O755" t="n">
        <v>0</v>
      </c>
      <c r="P755" t="n">
        <v>0</v>
      </c>
      <c r="Q755" t="n">
        <v>0</v>
      </c>
      <c r="R755" s="2" t="inlineStr"/>
    </row>
    <row r="756" ht="15" customHeight="1">
      <c r="A756" t="inlineStr">
        <is>
          <t>A 32071-2023</t>
        </is>
      </c>
      <c r="B756" s="1" t="n">
        <v>45119.57728009259</v>
      </c>
      <c r="C756" s="1" t="n">
        <v>45922</v>
      </c>
      <c r="D756" t="inlineStr">
        <is>
          <t>STOCKHOLMS LÄN</t>
        </is>
      </c>
      <c r="E756" t="inlineStr">
        <is>
          <t>NORRTÄLJE</t>
        </is>
      </c>
      <c r="G756" t="n">
        <v>6.5</v>
      </c>
      <c r="H756" t="n">
        <v>0</v>
      </c>
      <c r="I756" t="n">
        <v>0</v>
      </c>
      <c r="J756" t="n">
        <v>0</v>
      </c>
      <c r="K756" t="n">
        <v>0</v>
      </c>
      <c r="L756" t="n">
        <v>0</v>
      </c>
      <c r="M756" t="n">
        <v>0</v>
      </c>
      <c r="N756" t="n">
        <v>0</v>
      </c>
      <c r="O756" t="n">
        <v>0</v>
      </c>
      <c r="P756" t="n">
        <v>0</v>
      </c>
      <c r="Q756" t="n">
        <v>0</v>
      </c>
      <c r="R756" s="2" t="inlineStr"/>
    </row>
    <row r="757" ht="15" customHeight="1">
      <c r="A757" t="inlineStr">
        <is>
          <t>A 33336-2025</t>
        </is>
      </c>
      <c r="B757" s="1" t="n">
        <v>45841.35611111111</v>
      </c>
      <c r="C757" s="1" t="n">
        <v>45922</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36430-2024</t>
        </is>
      </c>
      <c r="B758" s="1" t="n">
        <v>45536</v>
      </c>
      <c r="C758" s="1" t="n">
        <v>45922</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33824-2025</t>
        </is>
      </c>
      <c r="B759" s="1" t="n">
        <v>45842.46885416667</v>
      </c>
      <c r="C759" s="1" t="n">
        <v>45922</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48066-2020</t>
        </is>
      </c>
      <c r="B760" s="1" t="n">
        <v>44100</v>
      </c>
      <c r="C760" s="1" t="n">
        <v>45922</v>
      </c>
      <c r="D760" t="inlineStr">
        <is>
          <t>STOCKHOLMS LÄN</t>
        </is>
      </c>
      <c r="E760" t="inlineStr">
        <is>
          <t>NORRTÄLJE</t>
        </is>
      </c>
      <c r="G760" t="n">
        <v>3.7</v>
      </c>
      <c r="H760" t="n">
        <v>0</v>
      </c>
      <c r="I760" t="n">
        <v>0</v>
      </c>
      <c r="J760" t="n">
        <v>0</v>
      </c>
      <c r="K760" t="n">
        <v>0</v>
      </c>
      <c r="L760" t="n">
        <v>0</v>
      </c>
      <c r="M760" t="n">
        <v>0</v>
      </c>
      <c r="N760" t="n">
        <v>0</v>
      </c>
      <c r="O760" t="n">
        <v>0</v>
      </c>
      <c r="P760" t="n">
        <v>0</v>
      </c>
      <c r="Q760" t="n">
        <v>0</v>
      </c>
      <c r="R760" s="2" t="inlineStr"/>
    </row>
    <row r="761" ht="15" customHeight="1">
      <c r="A761" t="inlineStr">
        <is>
          <t>A 1425-2025</t>
        </is>
      </c>
      <c r="B761" s="1" t="n">
        <v>45668.67446759259</v>
      </c>
      <c r="C761" s="1" t="n">
        <v>45922</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17775-2022</t>
        </is>
      </c>
      <c r="B762" s="1" t="n">
        <v>44682.78430555556</v>
      </c>
      <c r="C762" s="1" t="n">
        <v>45922</v>
      </c>
      <c r="D762" t="inlineStr">
        <is>
          <t>STOCKHOLMS LÄN</t>
        </is>
      </c>
      <c r="E762" t="inlineStr">
        <is>
          <t>NORRTÄLJE</t>
        </is>
      </c>
      <c r="G762" t="n">
        <v>4.7</v>
      </c>
      <c r="H762" t="n">
        <v>0</v>
      </c>
      <c r="I762" t="n">
        <v>0</v>
      </c>
      <c r="J762" t="n">
        <v>0</v>
      </c>
      <c r="K762" t="n">
        <v>0</v>
      </c>
      <c r="L762" t="n">
        <v>0</v>
      </c>
      <c r="M762" t="n">
        <v>0</v>
      </c>
      <c r="N762" t="n">
        <v>0</v>
      </c>
      <c r="O762" t="n">
        <v>0</v>
      </c>
      <c r="P762" t="n">
        <v>0</v>
      </c>
      <c r="Q762" t="n">
        <v>0</v>
      </c>
      <c r="R762" s="2" t="inlineStr"/>
    </row>
    <row r="763" ht="15" customHeight="1">
      <c r="A763" t="inlineStr">
        <is>
          <t>A 51312-2023</t>
        </is>
      </c>
      <c r="B763" s="1" t="n">
        <v>45219.56697916667</v>
      </c>
      <c r="C763" s="1" t="n">
        <v>45922</v>
      </c>
      <c r="D763" t="inlineStr">
        <is>
          <t>STOCKHOLMS LÄN</t>
        </is>
      </c>
      <c r="E763" t="inlineStr">
        <is>
          <t>NORRTÄLJE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35640-2024</t>
        </is>
      </c>
      <c r="B764" s="1" t="n">
        <v>45531</v>
      </c>
      <c r="C764" s="1" t="n">
        <v>45922</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35647-2024</t>
        </is>
      </c>
      <c r="B765" s="1" t="n">
        <v>45532</v>
      </c>
      <c r="C765" s="1" t="n">
        <v>45922</v>
      </c>
      <c r="D765" t="inlineStr">
        <is>
          <t>STOCKHOLMS LÄN</t>
        </is>
      </c>
      <c r="E765" t="inlineStr">
        <is>
          <t>NORRTÄLJE</t>
        </is>
      </c>
      <c r="G765" t="n">
        <v>5.3</v>
      </c>
      <c r="H765" t="n">
        <v>0</v>
      </c>
      <c r="I765" t="n">
        <v>0</v>
      </c>
      <c r="J765" t="n">
        <v>0</v>
      </c>
      <c r="K765" t="n">
        <v>0</v>
      </c>
      <c r="L765" t="n">
        <v>0</v>
      </c>
      <c r="M765" t="n">
        <v>0</v>
      </c>
      <c r="N765" t="n">
        <v>0</v>
      </c>
      <c r="O765" t="n">
        <v>0</v>
      </c>
      <c r="P765" t="n">
        <v>0</v>
      </c>
      <c r="Q765" t="n">
        <v>0</v>
      </c>
      <c r="R765" s="2" t="inlineStr"/>
    </row>
    <row r="766" ht="15" customHeight="1">
      <c r="A766" t="inlineStr">
        <is>
          <t>A 43212-2022</t>
        </is>
      </c>
      <c r="B766" s="1" t="n">
        <v>44834.38636574074</v>
      </c>
      <c r="C766" s="1" t="n">
        <v>45922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59873-2024</t>
        </is>
      </c>
      <c r="B767" s="1" t="n">
        <v>45640.57305555556</v>
      </c>
      <c r="C767" s="1" t="n">
        <v>45922</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51653-2022</t>
        </is>
      </c>
      <c r="B768" s="1" t="n">
        <v>44867</v>
      </c>
      <c r="C768" s="1" t="n">
        <v>45922</v>
      </c>
      <c r="D768" t="inlineStr">
        <is>
          <t>STOCKHOLMS LÄN</t>
        </is>
      </c>
      <c r="E768" t="inlineStr">
        <is>
          <t>NORRTÄLJE</t>
        </is>
      </c>
      <c r="G768" t="n">
        <v>6.6</v>
      </c>
      <c r="H768" t="n">
        <v>0</v>
      </c>
      <c r="I768" t="n">
        <v>0</v>
      </c>
      <c r="J768" t="n">
        <v>0</v>
      </c>
      <c r="K768" t="n">
        <v>0</v>
      </c>
      <c r="L768" t="n">
        <v>0</v>
      </c>
      <c r="M768" t="n">
        <v>0</v>
      </c>
      <c r="N768" t="n">
        <v>0</v>
      </c>
      <c r="O768" t="n">
        <v>0</v>
      </c>
      <c r="P768" t="n">
        <v>0</v>
      </c>
      <c r="Q768" t="n">
        <v>0</v>
      </c>
      <c r="R768" s="2" t="inlineStr"/>
    </row>
    <row r="769" ht="15" customHeight="1">
      <c r="A769" t="inlineStr">
        <is>
          <t>A 35916-2024</t>
        </is>
      </c>
      <c r="B769" s="1" t="n">
        <v>45533</v>
      </c>
      <c r="C769" s="1" t="n">
        <v>45922</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34006-2025</t>
        </is>
      </c>
      <c r="B770" s="1" t="n">
        <v>45844.62609953704</v>
      </c>
      <c r="C770" s="1" t="n">
        <v>45922</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34139-2025</t>
        </is>
      </c>
      <c r="B771" s="1" t="n">
        <v>45845</v>
      </c>
      <c r="C771" s="1" t="n">
        <v>45922</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38720-2022</t>
        </is>
      </c>
      <c r="B772" s="1" t="n">
        <v>44815.74539351852</v>
      </c>
      <c r="C772" s="1" t="n">
        <v>45922</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10098-2022</t>
        </is>
      </c>
      <c r="B773" s="1" t="n">
        <v>44621</v>
      </c>
      <c r="C773" s="1" t="n">
        <v>45922</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10215-2023</t>
        </is>
      </c>
      <c r="B774" s="1" t="n">
        <v>44986.5887962963</v>
      </c>
      <c r="C774" s="1" t="n">
        <v>45922</v>
      </c>
      <c r="D774" t="inlineStr">
        <is>
          <t>STOCKHOLMS LÄN</t>
        </is>
      </c>
      <c r="E774" t="inlineStr">
        <is>
          <t>NORRTÄLJE</t>
        </is>
      </c>
      <c r="G774" t="n">
        <v>6.5</v>
      </c>
      <c r="H774" t="n">
        <v>0</v>
      </c>
      <c r="I774" t="n">
        <v>0</v>
      </c>
      <c r="J774" t="n">
        <v>0</v>
      </c>
      <c r="K774" t="n">
        <v>0</v>
      </c>
      <c r="L774" t="n">
        <v>0</v>
      </c>
      <c r="M774" t="n">
        <v>0</v>
      </c>
      <c r="N774" t="n">
        <v>0</v>
      </c>
      <c r="O774" t="n">
        <v>0</v>
      </c>
      <c r="P774" t="n">
        <v>0</v>
      </c>
      <c r="Q774" t="n">
        <v>0</v>
      </c>
      <c r="R774" s="2" t="inlineStr"/>
    </row>
    <row r="775" ht="15" customHeight="1">
      <c r="A775" t="inlineStr">
        <is>
          <t>A 25609-2023</t>
        </is>
      </c>
      <c r="B775" s="1" t="n">
        <v>45089</v>
      </c>
      <c r="C775" s="1" t="n">
        <v>45922</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34010-2025</t>
        </is>
      </c>
      <c r="B776" s="1" t="n">
        <v>45844.91234953704</v>
      </c>
      <c r="C776" s="1" t="n">
        <v>45922</v>
      </c>
      <c r="D776" t="inlineStr">
        <is>
          <t>STOCKHOLMS LÄN</t>
        </is>
      </c>
      <c r="E776" t="inlineStr">
        <is>
          <t>NORRTÄLJE</t>
        </is>
      </c>
      <c r="F776" t="inlineStr">
        <is>
          <t>Övriga Aktiebolag</t>
        </is>
      </c>
      <c r="G776" t="n">
        <v>1.1</v>
      </c>
      <c r="H776" t="n">
        <v>0</v>
      </c>
      <c r="I776" t="n">
        <v>0</v>
      </c>
      <c r="J776" t="n">
        <v>0</v>
      </c>
      <c r="K776" t="n">
        <v>0</v>
      </c>
      <c r="L776" t="n">
        <v>0</v>
      </c>
      <c r="M776" t="n">
        <v>0</v>
      </c>
      <c r="N776" t="n">
        <v>0</v>
      </c>
      <c r="O776" t="n">
        <v>0</v>
      </c>
      <c r="P776" t="n">
        <v>0</v>
      </c>
      <c r="Q776" t="n">
        <v>0</v>
      </c>
      <c r="R776" s="2" t="inlineStr"/>
    </row>
    <row r="777" ht="15" customHeight="1">
      <c r="A777" t="inlineStr">
        <is>
          <t>A 63161-2023</t>
        </is>
      </c>
      <c r="B777" s="1" t="n">
        <v>45273</v>
      </c>
      <c r="C777" s="1" t="n">
        <v>45922</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20014-2025</t>
        </is>
      </c>
      <c r="B778" s="1" t="n">
        <v>45772.3078125</v>
      </c>
      <c r="C778" s="1" t="n">
        <v>45922</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38593-2025</t>
        </is>
      </c>
      <c r="B779" s="1" t="n">
        <v>45884.48696759259</v>
      </c>
      <c r="C779" s="1" t="n">
        <v>45922</v>
      </c>
      <c r="D779" t="inlineStr">
        <is>
          <t>STOCKHOLMS LÄN</t>
        </is>
      </c>
      <c r="E779" t="inlineStr">
        <is>
          <t>NORRTÄLJE</t>
        </is>
      </c>
      <c r="G779" t="n">
        <v>3</v>
      </c>
      <c r="H779" t="n">
        <v>0</v>
      </c>
      <c r="I779" t="n">
        <v>0</v>
      </c>
      <c r="J779" t="n">
        <v>0</v>
      </c>
      <c r="K779" t="n">
        <v>0</v>
      </c>
      <c r="L779" t="n">
        <v>0</v>
      </c>
      <c r="M779" t="n">
        <v>0</v>
      </c>
      <c r="N779" t="n">
        <v>0</v>
      </c>
      <c r="O779" t="n">
        <v>0</v>
      </c>
      <c r="P779" t="n">
        <v>0</v>
      </c>
      <c r="Q779" t="n">
        <v>0</v>
      </c>
      <c r="R779" s="2" t="inlineStr"/>
    </row>
    <row r="780" ht="15" customHeight="1">
      <c r="A780" t="inlineStr">
        <is>
          <t>A 20136-2025</t>
        </is>
      </c>
      <c r="B780" s="1" t="n">
        <v>45772.51127314815</v>
      </c>
      <c r="C780" s="1" t="n">
        <v>45922</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36689-2023</t>
        </is>
      </c>
      <c r="B781" s="1" t="n">
        <v>45152</v>
      </c>
      <c r="C781" s="1" t="n">
        <v>45922</v>
      </c>
      <c r="D781" t="inlineStr">
        <is>
          <t>STOCKHOLMS LÄN</t>
        </is>
      </c>
      <c r="E781" t="inlineStr">
        <is>
          <t>NORRTÄLJE</t>
        </is>
      </c>
      <c r="G781" t="n">
        <v>1.8</v>
      </c>
      <c r="H781" t="n">
        <v>0</v>
      </c>
      <c r="I781" t="n">
        <v>0</v>
      </c>
      <c r="J781" t="n">
        <v>0</v>
      </c>
      <c r="K781" t="n">
        <v>0</v>
      </c>
      <c r="L781" t="n">
        <v>0</v>
      </c>
      <c r="M781" t="n">
        <v>0</v>
      </c>
      <c r="N781" t="n">
        <v>0</v>
      </c>
      <c r="O781" t="n">
        <v>0</v>
      </c>
      <c r="P781" t="n">
        <v>0</v>
      </c>
      <c r="Q781" t="n">
        <v>0</v>
      </c>
      <c r="R781" s="2" t="inlineStr"/>
    </row>
    <row r="782" ht="15" customHeight="1">
      <c r="A782" t="inlineStr">
        <is>
          <t>A 46073-2024</t>
        </is>
      </c>
      <c r="B782" s="1" t="n">
        <v>45581</v>
      </c>
      <c r="C782" s="1" t="n">
        <v>45922</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7796-2025</t>
        </is>
      </c>
      <c r="B783" s="1" t="n">
        <v>45706.60130787037</v>
      </c>
      <c r="C783" s="1" t="n">
        <v>45922</v>
      </c>
      <c r="D783" t="inlineStr">
        <is>
          <t>STOCKHOLMS LÄN</t>
        </is>
      </c>
      <c r="E783" t="inlineStr">
        <is>
          <t>NORRTÄLJE</t>
        </is>
      </c>
      <c r="F783" t="inlineStr">
        <is>
          <t>Holmen skog AB</t>
        </is>
      </c>
      <c r="G783" t="n">
        <v>2.4</v>
      </c>
      <c r="H783" t="n">
        <v>0</v>
      </c>
      <c r="I783" t="n">
        <v>0</v>
      </c>
      <c r="J783" t="n">
        <v>0</v>
      </c>
      <c r="K783" t="n">
        <v>0</v>
      </c>
      <c r="L783" t="n">
        <v>0</v>
      </c>
      <c r="M783" t="n">
        <v>0</v>
      </c>
      <c r="N783" t="n">
        <v>0</v>
      </c>
      <c r="O783" t="n">
        <v>0</v>
      </c>
      <c r="P783" t="n">
        <v>0</v>
      </c>
      <c r="Q783" t="n">
        <v>0</v>
      </c>
      <c r="R783" s="2" t="inlineStr"/>
    </row>
    <row r="784" ht="15" customHeight="1">
      <c r="A784" t="inlineStr">
        <is>
          <t>A 15552-2021</t>
        </is>
      </c>
      <c r="B784" s="1" t="n">
        <v>44285</v>
      </c>
      <c r="C784" s="1" t="n">
        <v>45922</v>
      </c>
      <c r="D784" t="inlineStr">
        <is>
          <t>STOCKHOLMS LÄN</t>
        </is>
      </c>
      <c r="E784" t="inlineStr">
        <is>
          <t>NORRTÄLJE</t>
        </is>
      </c>
      <c r="G784" t="n">
        <v>10</v>
      </c>
      <c r="H784" t="n">
        <v>0</v>
      </c>
      <c r="I784" t="n">
        <v>0</v>
      </c>
      <c r="J784" t="n">
        <v>0</v>
      </c>
      <c r="K784" t="n">
        <v>0</v>
      </c>
      <c r="L784" t="n">
        <v>0</v>
      </c>
      <c r="M784" t="n">
        <v>0</v>
      </c>
      <c r="N784" t="n">
        <v>0</v>
      </c>
      <c r="O784" t="n">
        <v>0</v>
      </c>
      <c r="P784" t="n">
        <v>0</v>
      </c>
      <c r="Q784" t="n">
        <v>0</v>
      </c>
      <c r="R784" s="2" t="inlineStr"/>
    </row>
    <row r="785" ht="15" customHeight="1">
      <c r="A785" t="inlineStr">
        <is>
          <t>A 58040-2024</t>
        </is>
      </c>
      <c r="B785" s="1" t="n">
        <v>45631.73952546297</v>
      </c>
      <c r="C785" s="1" t="n">
        <v>45922</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58041-2024</t>
        </is>
      </c>
      <c r="B786" s="1" t="n">
        <v>45631.74673611111</v>
      </c>
      <c r="C786" s="1" t="n">
        <v>45922</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2287-2024</t>
        </is>
      </c>
      <c r="B787" s="1" t="n">
        <v>45310</v>
      </c>
      <c r="C787" s="1" t="n">
        <v>45922</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13785-2024</t>
        </is>
      </c>
      <c r="B788" s="1" t="n">
        <v>45391.3395949074</v>
      </c>
      <c r="C788" s="1" t="n">
        <v>45922</v>
      </c>
      <c r="D788" t="inlineStr">
        <is>
          <t>STOCKHOLMS LÄN</t>
        </is>
      </c>
      <c r="E788" t="inlineStr">
        <is>
          <t>NORRTÄLJE</t>
        </is>
      </c>
      <c r="G788" t="n">
        <v>5</v>
      </c>
      <c r="H788" t="n">
        <v>0</v>
      </c>
      <c r="I788" t="n">
        <v>0</v>
      </c>
      <c r="J788" t="n">
        <v>0</v>
      </c>
      <c r="K788" t="n">
        <v>0</v>
      </c>
      <c r="L788" t="n">
        <v>0</v>
      </c>
      <c r="M788" t="n">
        <v>0</v>
      </c>
      <c r="N788" t="n">
        <v>0</v>
      </c>
      <c r="O788" t="n">
        <v>0</v>
      </c>
      <c r="P788" t="n">
        <v>0</v>
      </c>
      <c r="Q788" t="n">
        <v>0</v>
      </c>
      <c r="R788" s="2" t="inlineStr"/>
    </row>
    <row r="789" ht="15" customHeight="1">
      <c r="A789" t="inlineStr">
        <is>
          <t>A 30268-2024</t>
        </is>
      </c>
      <c r="B789" s="1" t="n">
        <v>45490.60572916667</v>
      </c>
      <c r="C789" s="1" t="n">
        <v>45922</v>
      </c>
      <c r="D789" t="inlineStr">
        <is>
          <t>STOCKHOLMS LÄN</t>
        </is>
      </c>
      <c r="E789" t="inlineStr">
        <is>
          <t>NORRTÄLJE</t>
        </is>
      </c>
      <c r="G789" t="n">
        <v>5.6</v>
      </c>
      <c r="H789" t="n">
        <v>0</v>
      </c>
      <c r="I789" t="n">
        <v>0</v>
      </c>
      <c r="J789" t="n">
        <v>0</v>
      </c>
      <c r="K789" t="n">
        <v>0</v>
      </c>
      <c r="L789" t="n">
        <v>0</v>
      </c>
      <c r="M789" t="n">
        <v>0</v>
      </c>
      <c r="N789" t="n">
        <v>0</v>
      </c>
      <c r="O789" t="n">
        <v>0</v>
      </c>
      <c r="P789" t="n">
        <v>0</v>
      </c>
      <c r="Q789" t="n">
        <v>0</v>
      </c>
      <c r="R789" s="2" t="inlineStr"/>
    </row>
    <row r="790" ht="15" customHeight="1">
      <c r="A790" t="inlineStr">
        <is>
          <t>A 50469-2022</t>
        </is>
      </c>
      <c r="B790" s="1" t="n">
        <v>44866.49827546296</v>
      </c>
      <c r="C790" s="1" t="n">
        <v>45922</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12407-2025</t>
        </is>
      </c>
      <c r="B791" s="1" t="n">
        <v>45730.42851851852</v>
      </c>
      <c r="C791" s="1" t="n">
        <v>45922</v>
      </c>
      <c r="D791" t="inlineStr">
        <is>
          <t>STOCKHOLMS LÄN</t>
        </is>
      </c>
      <c r="E791" t="inlineStr">
        <is>
          <t>NORRTÄLJE</t>
        </is>
      </c>
      <c r="F791" t="inlineStr">
        <is>
          <t>Holmen skog AB</t>
        </is>
      </c>
      <c r="G791" t="n">
        <v>2.6</v>
      </c>
      <c r="H791" t="n">
        <v>0</v>
      </c>
      <c r="I791" t="n">
        <v>0</v>
      </c>
      <c r="J791" t="n">
        <v>0</v>
      </c>
      <c r="K791" t="n">
        <v>0</v>
      </c>
      <c r="L791" t="n">
        <v>0</v>
      </c>
      <c r="M791" t="n">
        <v>0</v>
      </c>
      <c r="N791" t="n">
        <v>0</v>
      </c>
      <c r="O791" t="n">
        <v>0</v>
      </c>
      <c r="P791" t="n">
        <v>0</v>
      </c>
      <c r="Q791" t="n">
        <v>0</v>
      </c>
      <c r="R791" s="2" t="inlineStr"/>
    </row>
    <row r="792" ht="15" customHeight="1">
      <c r="A792" t="inlineStr">
        <is>
          <t>A 51116-2022</t>
        </is>
      </c>
      <c r="B792" s="1" t="n">
        <v>44868.45741898148</v>
      </c>
      <c r="C792" s="1" t="n">
        <v>45922</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19025-2025</t>
        </is>
      </c>
      <c r="B793" s="1" t="n">
        <v>45764.6359837963</v>
      </c>
      <c r="C793" s="1" t="n">
        <v>45922</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60217-2021</t>
        </is>
      </c>
      <c r="B794" s="1" t="n">
        <v>44495.5893287037</v>
      </c>
      <c r="C794" s="1" t="n">
        <v>45922</v>
      </c>
      <c r="D794" t="inlineStr">
        <is>
          <t>STOCKHOLMS LÄN</t>
        </is>
      </c>
      <c r="E794" t="inlineStr">
        <is>
          <t>NORRTÄLJE</t>
        </is>
      </c>
      <c r="G794" t="n">
        <v>4.3</v>
      </c>
      <c r="H794" t="n">
        <v>0</v>
      </c>
      <c r="I794" t="n">
        <v>0</v>
      </c>
      <c r="J794" t="n">
        <v>0</v>
      </c>
      <c r="K794" t="n">
        <v>0</v>
      </c>
      <c r="L794" t="n">
        <v>0</v>
      </c>
      <c r="M794" t="n">
        <v>0</v>
      </c>
      <c r="N794" t="n">
        <v>0</v>
      </c>
      <c r="O794" t="n">
        <v>0</v>
      </c>
      <c r="P794" t="n">
        <v>0</v>
      </c>
      <c r="Q794" t="n">
        <v>0</v>
      </c>
      <c r="R794" s="2" t="inlineStr"/>
    </row>
    <row r="795" ht="15" customHeight="1">
      <c r="A795" t="inlineStr">
        <is>
          <t>A 5839-2023</t>
        </is>
      </c>
      <c r="B795" s="1" t="n">
        <v>44963</v>
      </c>
      <c r="C795" s="1" t="n">
        <v>45922</v>
      </c>
      <c r="D795" t="inlineStr">
        <is>
          <t>STOCKHOLMS LÄN</t>
        </is>
      </c>
      <c r="E795" t="inlineStr">
        <is>
          <t>NORRTÄLJE</t>
        </is>
      </c>
      <c r="G795" t="n">
        <v>3.6</v>
      </c>
      <c r="H795" t="n">
        <v>0</v>
      </c>
      <c r="I795" t="n">
        <v>0</v>
      </c>
      <c r="J795" t="n">
        <v>0</v>
      </c>
      <c r="K795" t="n">
        <v>0</v>
      </c>
      <c r="L795" t="n">
        <v>0</v>
      </c>
      <c r="M795" t="n">
        <v>0</v>
      </c>
      <c r="N795" t="n">
        <v>0</v>
      </c>
      <c r="O795" t="n">
        <v>0</v>
      </c>
      <c r="P795" t="n">
        <v>0</v>
      </c>
      <c r="Q795" t="n">
        <v>0</v>
      </c>
      <c r="R795" s="2" t="inlineStr"/>
    </row>
    <row r="796" ht="15" customHeight="1">
      <c r="A796" t="inlineStr">
        <is>
          <t>A 54276-2021</t>
        </is>
      </c>
      <c r="B796" s="1" t="n">
        <v>44470</v>
      </c>
      <c r="C796" s="1" t="n">
        <v>45922</v>
      </c>
      <c r="D796" t="inlineStr">
        <is>
          <t>STOCKHOLMS LÄN</t>
        </is>
      </c>
      <c r="E796" t="inlineStr">
        <is>
          <t>NORRTÄLJE</t>
        </is>
      </c>
      <c r="G796" t="n">
        <v>7.3</v>
      </c>
      <c r="H796" t="n">
        <v>0</v>
      </c>
      <c r="I796" t="n">
        <v>0</v>
      </c>
      <c r="J796" t="n">
        <v>0</v>
      </c>
      <c r="K796" t="n">
        <v>0</v>
      </c>
      <c r="L796" t="n">
        <v>0</v>
      </c>
      <c r="M796" t="n">
        <v>0</v>
      </c>
      <c r="N796" t="n">
        <v>0</v>
      </c>
      <c r="O796" t="n">
        <v>0</v>
      </c>
      <c r="P796" t="n">
        <v>0</v>
      </c>
      <c r="Q796" t="n">
        <v>0</v>
      </c>
      <c r="R796" s="2" t="inlineStr"/>
    </row>
    <row r="797" ht="15" customHeight="1">
      <c r="A797" t="inlineStr">
        <is>
          <t>A 4316-2023</t>
        </is>
      </c>
      <c r="B797" s="1" t="n">
        <v>44953.67443287037</v>
      </c>
      <c r="C797" s="1" t="n">
        <v>45922</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41587-2023</t>
        </is>
      </c>
      <c r="B798" s="1" t="n">
        <v>45175</v>
      </c>
      <c r="C798" s="1" t="n">
        <v>45922</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39149-2025</t>
        </is>
      </c>
      <c r="B799" s="1" t="n">
        <v>45888.60714120371</v>
      </c>
      <c r="C799" s="1" t="n">
        <v>45922</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38985-2022</t>
        </is>
      </c>
      <c r="B800" s="1" t="n">
        <v>44816</v>
      </c>
      <c r="C800" s="1" t="n">
        <v>45922</v>
      </c>
      <c r="D800" t="inlineStr">
        <is>
          <t>STOCKHOLMS LÄN</t>
        </is>
      </c>
      <c r="E800" t="inlineStr">
        <is>
          <t>NORRTÄLJE</t>
        </is>
      </c>
      <c r="G800" t="n">
        <v>10.1</v>
      </c>
      <c r="H800" t="n">
        <v>0</v>
      </c>
      <c r="I800" t="n">
        <v>0</v>
      </c>
      <c r="J800" t="n">
        <v>0</v>
      </c>
      <c r="K800" t="n">
        <v>0</v>
      </c>
      <c r="L800" t="n">
        <v>0</v>
      </c>
      <c r="M800" t="n">
        <v>0</v>
      </c>
      <c r="N800" t="n">
        <v>0</v>
      </c>
      <c r="O800" t="n">
        <v>0</v>
      </c>
      <c r="P800" t="n">
        <v>0</v>
      </c>
      <c r="Q800" t="n">
        <v>0</v>
      </c>
      <c r="R800" s="2" t="inlineStr"/>
    </row>
    <row r="801" ht="15" customHeight="1">
      <c r="A801" t="inlineStr">
        <is>
          <t>A 17304-2024</t>
        </is>
      </c>
      <c r="B801" s="1" t="n">
        <v>45414</v>
      </c>
      <c r="C801" s="1" t="n">
        <v>45922</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5665-2025</t>
        </is>
      </c>
      <c r="B802" s="1" t="n">
        <v>45693</v>
      </c>
      <c r="C802" s="1" t="n">
        <v>45922</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3426-2025</t>
        </is>
      </c>
      <c r="B803" s="1" t="n">
        <v>45680.42665509259</v>
      </c>
      <c r="C803" s="1" t="n">
        <v>45922</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39610-2025</t>
        </is>
      </c>
      <c r="B804" s="1" t="n">
        <v>45890.56001157407</v>
      </c>
      <c r="C804" s="1" t="n">
        <v>45922</v>
      </c>
      <c r="D804" t="inlineStr">
        <is>
          <t>STOCKHOLMS LÄN</t>
        </is>
      </c>
      <c r="E804" t="inlineStr">
        <is>
          <t>NORRTÄLJE</t>
        </is>
      </c>
      <c r="G804" t="n">
        <v>28.6</v>
      </c>
      <c r="H804" t="n">
        <v>0</v>
      </c>
      <c r="I804" t="n">
        <v>0</v>
      </c>
      <c r="J804" t="n">
        <v>0</v>
      </c>
      <c r="K804" t="n">
        <v>0</v>
      </c>
      <c r="L804" t="n">
        <v>0</v>
      </c>
      <c r="M804" t="n">
        <v>0</v>
      </c>
      <c r="N804" t="n">
        <v>0</v>
      </c>
      <c r="O804" t="n">
        <v>0</v>
      </c>
      <c r="P804" t="n">
        <v>0</v>
      </c>
      <c r="Q804" t="n">
        <v>0</v>
      </c>
      <c r="R804" s="2" t="inlineStr"/>
    </row>
    <row r="805" ht="15" customHeight="1">
      <c r="A805" t="inlineStr">
        <is>
          <t>A 11280-2023</t>
        </is>
      </c>
      <c r="B805" s="1" t="n">
        <v>44992</v>
      </c>
      <c r="C805" s="1" t="n">
        <v>45922</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15733-2025</t>
        </is>
      </c>
      <c r="B806" s="1" t="n">
        <v>45748</v>
      </c>
      <c r="C806" s="1" t="n">
        <v>45922</v>
      </c>
      <c r="D806" t="inlineStr">
        <is>
          <t>STOCKHOLMS LÄN</t>
        </is>
      </c>
      <c r="E806" t="inlineStr">
        <is>
          <t>NORRTÄLJE</t>
        </is>
      </c>
      <c r="G806" t="n">
        <v>13.3</v>
      </c>
      <c r="H806" t="n">
        <v>0</v>
      </c>
      <c r="I806" t="n">
        <v>0</v>
      </c>
      <c r="J806" t="n">
        <v>0</v>
      </c>
      <c r="K806" t="n">
        <v>0</v>
      </c>
      <c r="L806" t="n">
        <v>0</v>
      </c>
      <c r="M806" t="n">
        <v>0</v>
      </c>
      <c r="N806" t="n">
        <v>0</v>
      </c>
      <c r="O806" t="n">
        <v>0</v>
      </c>
      <c r="P806" t="n">
        <v>0</v>
      </c>
      <c r="Q806" t="n">
        <v>0</v>
      </c>
      <c r="R806" s="2" t="inlineStr"/>
    </row>
    <row r="807" ht="15" customHeight="1">
      <c r="A807" t="inlineStr">
        <is>
          <t>A 58530-2024</t>
        </is>
      </c>
      <c r="B807" s="1" t="n">
        <v>45635.44788194444</v>
      </c>
      <c r="C807" s="1" t="n">
        <v>45922</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39692-2025</t>
        </is>
      </c>
      <c r="B808" s="1" t="n">
        <v>45890.68083333333</v>
      </c>
      <c r="C808" s="1" t="n">
        <v>45922</v>
      </c>
      <c r="D808" t="inlineStr">
        <is>
          <t>STOCKHOLMS LÄN</t>
        </is>
      </c>
      <c r="E808" t="inlineStr">
        <is>
          <t>NORRTÄLJE</t>
        </is>
      </c>
      <c r="G808" t="n">
        <v>10.5</v>
      </c>
      <c r="H808" t="n">
        <v>0</v>
      </c>
      <c r="I808" t="n">
        <v>0</v>
      </c>
      <c r="J808" t="n">
        <v>0</v>
      </c>
      <c r="K808" t="n">
        <v>0</v>
      </c>
      <c r="L808" t="n">
        <v>0</v>
      </c>
      <c r="M808" t="n">
        <v>0</v>
      </c>
      <c r="N808" t="n">
        <v>0</v>
      </c>
      <c r="O808" t="n">
        <v>0</v>
      </c>
      <c r="P808" t="n">
        <v>0</v>
      </c>
      <c r="Q808" t="n">
        <v>0</v>
      </c>
      <c r="R808" s="2" t="inlineStr"/>
    </row>
    <row r="809" ht="15" customHeight="1">
      <c r="A809" t="inlineStr">
        <is>
          <t>A 22421-2021</t>
        </is>
      </c>
      <c r="B809" s="1" t="n">
        <v>44326</v>
      </c>
      <c r="C809" s="1" t="n">
        <v>45922</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26668-2024</t>
        </is>
      </c>
      <c r="B810" s="1" t="n">
        <v>45469</v>
      </c>
      <c r="C810" s="1" t="n">
        <v>45922</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40761-2024</t>
        </is>
      </c>
      <c r="B811" s="1" t="n">
        <v>45558.46283564815</v>
      </c>
      <c r="C811" s="1" t="n">
        <v>45922</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35256-2025</t>
        </is>
      </c>
      <c r="B812" s="1" t="n">
        <v>45853</v>
      </c>
      <c r="C812" s="1" t="n">
        <v>45922</v>
      </c>
      <c r="D812" t="inlineStr">
        <is>
          <t>STOCKHOLMS LÄN</t>
        </is>
      </c>
      <c r="E812" t="inlineStr">
        <is>
          <t>NORRTÄLJE</t>
        </is>
      </c>
      <c r="G812" t="n">
        <v>6.4</v>
      </c>
      <c r="H812" t="n">
        <v>0</v>
      </c>
      <c r="I812" t="n">
        <v>0</v>
      </c>
      <c r="J812" t="n">
        <v>0</v>
      </c>
      <c r="K812" t="n">
        <v>0</v>
      </c>
      <c r="L812" t="n">
        <v>0</v>
      </c>
      <c r="M812" t="n">
        <v>0</v>
      </c>
      <c r="N812" t="n">
        <v>0</v>
      </c>
      <c r="O812" t="n">
        <v>0</v>
      </c>
      <c r="P812" t="n">
        <v>0</v>
      </c>
      <c r="Q812" t="n">
        <v>0</v>
      </c>
      <c r="R812" s="2" t="inlineStr"/>
    </row>
    <row r="813" ht="15" customHeight="1">
      <c r="A813" t="inlineStr">
        <is>
          <t>A 40032-2025</t>
        </is>
      </c>
      <c r="B813" s="1" t="n">
        <v>45893</v>
      </c>
      <c r="C813" s="1" t="n">
        <v>45922</v>
      </c>
      <c r="D813" t="inlineStr">
        <is>
          <t>STOCKHOLMS LÄN</t>
        </is>
      </c>
      <c r="E813" t="inlineStr">
        <is>
          <t>NORRTÄLJE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40228-2025</t>
        </is>
      </c>
      <c r="B814" s="1" t="n">
        <v>45894.70854166667</v>
      </c>
      <c r="C814" s="1" t="n">
        <v>45922</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40172-2025</t>
        </is>
      </c>
      <c r="B815" s="1" t="n">
        <v>45894.6353125</v>
      </c>
      <c r="C815" s="1" t="n">
        <v>45922</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40217-2025</t>
        </is>
      </c>
      <c r="B816" s="1" t="n">
        <v>45894.68864583333</v>
      </c>
      <c r="C816" s="1" t="n">
        <v>45922</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40097-2025</t>
        </is>
      </c>
      <c r="B817" s="1" t="n">
        <v>45894.48322916667</v>
      </c>
      <c r="C817" s="1" t="n">
        <v>45922</v>
      </c>
      <c r="D817" t="inlineStr">
        <is>
          <t>STOCKHOLMS LÄN</t>
        </is>
      </c>
      <c r="E817" t="inlineStr">
        <is>
          <t>NORRTÄLJE</t>
        </is>
      </c>
      <c r="G817" t="n">
        <v>3</v>
      </c>
      <c r="H817" t="n">
        <v>0</v>
      </c>
      <c r="I817" t="n">
        <v>0</v>
      </c>
      <c r="J817" t="n">
        <v>0</v>
      </c>
      <c r="K817" t="n">
        <v>0</v>
      </c>
      <c r="L817" t="n">
        <v>0</v>
      </c>
      <c r="M817" t="n">
        <v>0</v>
      </c>
      <c r="N817" t="n">
        <v>0</v>
      </c>
      <c r="O817" t="n">
        <v>0</v>
      </c>
      <c r="P817" t="n">
        <v>0</v>
      </c>
      <c r="Q817" t="n">
        <v>0</v>
      </c>
      <c r="R817" s="2" t="inlineStr"/>
    </row>
    <row r="818" ht="15" customHeight="1">
      <c r="A818" t="inlineStr">
        <is>
          <t>A 40292-2025</t>
        </is>
      </c>
      <c r="B818" s="1" t="n">
        <v>45895.3867824074</v>
      </c>
      <c r="C818" s="1" t="n">
        <v>45922</v>
      </c>
      <c r="D818" t="inlineStr">
        <is>
          <t>STOCKHOLMS LÄN</t>
        </is>
      </c>
      <c r="E818" t="inlineStr">
        <is>
          <t>NORRTÄLJE</t>
        </is>
      </c>
      <c r="G818" t="n">
        <v>3.5</v>
      </c>
      <c r="H818" t="n">
        <v>0</v>
      </c>
      <c r="I818" t="n">
        <v>0</v>
      </c>
      <c r="J818" t="n">
        <v>0</v>
      </c>
      <c r="K818" t="n">
        <v>0</v>
      </c>
      <c r="L818" t="n">
        <v>0</v>
      </c>
      <c r="M818" t="n">
        <v>0</v>
      </c>
      <c r="N818" t="n">
        <v>0</v>
      </c>
      <c r="O818" t="n">
        <v>0</v>
      </c>
      <c r="P818" t="n">
        <v>0</v>
      </c>
      <c r="Q818" t="n">
        <v>0</v>
      </c>
      <c r="R818" s="2" t="inlineStr"/>
    </row>
    <row r="819" ht="15" customHeight="1">
      <c r="A819" t="inlineStr">
        <is>
          <t>A 35110-2025</t>
        </is>
      </c>
      <c r="B819" s="1" t="n">
        <v>45852.58030092593</v>
      </c>
      <c r="C819" s="1" t="n">
        <v>45922</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4553-2023</t>
        </is>
      </c>
      <c r="B820" s="1" t="n">
        <v>44956.65920138889</v>
      </c>
      <c r="C820" s="1" t="n">
        <v>45922</v>
      </c>
      <c r="D820" t="inlineStr">
        <is>
          <t>STOCKHOLMS LÄN</t>
        </is>
      </c>
      <c r="E820" t="inlineStr">
        <is>
          <t>NORRTÄLJE</t>
        </is>
      </c>
      <c r="G820" t="n">
        <v>7.5</v>
      </c>
      <c r="H820" t="n">
        <v>0</v>
      </c>
      <c r="I820" t="n">
        <v>0</v>
      </c>
      <c r="J820" t="n">
        <v>0</v>
      </c>
      <c r="K820" t="n">
        <v>0</v>
      </c>
      <c r="L820" t="n">
        <v>0</v>
      </c>
      <c r="M820" t="n">
        <v>0</v>
      </c>
      <c r="N820" t="n">
        <v>0</v>
      </c>
      <c r="O820" t="n">
        <v>0</v>
      </c>
      <c r="P820" t="n">
        <v>0</v>
      </c>
      <c r="Q820" t="n">
        <v>0</v>
      </c>
      <c r="R820" s="2" t="inlineStr"/>
    </row>
    <row r="821" ht="15" customHeight="1">
      <c r="A821" t="inlineStr">
        <is>
          <t>A 4593-2023</t>
        </is>
      </c>
      <c r="B821" s="1" t="n">
        <v>44956</v>
      </c>
      <c r="C821" s="1" t="n">
        <v>45922</v>
      </c>
      <c r="D821" t="inlineStr">
        <is>
          <t>STOCKHOLMS LÄN</t>
        </is>
      </c>
      <c r="E821" t="inlineStr">
        <is>
          <t>NORRTÄLJE</t>
        </is>
      </c>
      <c r="G821" t="n">
        <v>0.4</v>
      </c>
      <c r="H821" t="n">
        <v>0</v>
      </c>
      <c r="I821" t="n">
        <v>0</v>
      </c>
      <c r="J821" t="n">
        <v>0</v>
      </c>
      <c r="K821" t="n">
        <v>0</v>
      </c>
      <c r="L821" t="n">
        <v>0</v>
      </c>
      <c r="M821" t="n">
        <v>0</v>
      </c>
      <c r="N821" t="n">
        <v>0</v>
      </c>
      <c r="O821" t="n">
        <v>0</v>
      </c>
      <c r="P821" t="n">
        <v>0</v>
      </c>
      <c r="Q821" t="n">
        <v>0</v>
      </c>
      <c r="R821" s="2" t="inlineStr"/>
    </row>
    <row r="822" ht="15" customHeight="1">
      <c r="A822" t="inlineStr">
        <is>
          <t>A 35254-2025</t>
        </is>
      </c>
      <c r="B822" s="1" t="n">
        <v>45853</v>
      </c>
      <c r="C822" s="1" t="n">
        <v>45922</v>
      </c>
      <c r="D822" t="inlineStr">
        <is>
          <t>STOCKHOLMS LÄN</t>
        </is>
      </c>
      <c r="E822" t="inlineStr">
        <is>
          <t>NORRTÄLJE</t>
        </is>
      </c>
      <c r="G822" t="n">
        <v>6.5</v>
      </c>
      <c r="H822" t="n">
        <v>0</v>
      </c>
      <c r="I822" t="n">
        <v>0</v>
      </c>
      <c r="J822" t="n">
        <v>0</v>
      </c>
      <c r="K822" t="n">
        <v>0</v>
      </c>
      <c r="L822" t="n">
        <v>0</v>
      </c>
      <c r="M822" t="n">
        <v>0</v>
      </c>
      <c r="N822" t="n">
        <v>0</v>
      </c>
      <c r="O822" t="n">
        <v>0</v>
      </c>
      <c r="P822" t="n">
        <v>0</v>
      </c>
      <c r="Q822" t="n">
        <v>0</v>
      </c>
      <c r="R822" s="2" t="inlineStr"/>
    </row>
    <row r="823" ht="15" customHeight="1">
      <c r="A823" t="inlineStr">
        <is>
          <t>A 13171-2025</t>
        </is>
      </c>
      <c r="B823" s="1" t="n">
        <v>45735.36594907408</v>
      </c>
      <c r="C823" s="1" t="n">
        <v>45922</v>
      </c>
      <c r="D823" t="inlineStr">
        <is>
          <t>STOCKHOLMS LÄN</t>
        </is>
      </c>
      <c r="E823" t="inlineStr">
        <is>
          <t>NORRTÄLJE</t>
        </is>
      </c>
      <c r="G823" t="n">
        <v>5.1</v>
      </c>
      <c r="H823" t="n">
        <v>0</v>
      </c>
      <c r="I823" t="n">
        <v>0</v>
      </c>
      <c r="J823" t="n">
        <v>0</v>
      </c>
      <c r="K823" t="n">
        <v>0</v>
      </c>
      <c r="L823" t="n">
        <v>0</v>
      </c>
      <c r="M823" t="n">
        <v>0</v>
      </c>
      <c r="N823" t="n">
        <v>0</v>
      </c>
      <c r="O823" t="n">
        <v>0</v>
      </c>
      <c r="P823" t="n">
        <v>0</v>
      </c>
      <c r="Q823" t="n">
        <v>0</v>
      </c>
      <c r="R823" s="2" t="inlineStr"/>
    </row>
    <row r="824" ht="15" customHeight="1">
      <c r="A824" t="inlineStr">
        <is>
          <t>A 19058-2023</t>
        </is>
      </c>
      <c r="B824" s="1" t="n">
        <v>45048</v>
      </c>
      <c r="C824" s="1" t="n">
        <v>45922</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31926-2022</t>
        </is>
      </c>
      <c r="B825" s="1" t="n">
        <v>44777</v>
      </c>
      <c r="C825" s="1" t="n">
        <v>45922</v>
      </c>
      <c r="D825" t="inlineStr">
        <is>
          <t>STOCKHOLMS LÄN</t>
        </is>
      </c>
      <c r="E825" t="inlineStr">
        <is>
          <t>NORRTÄLJE</t>
        </is>
      </c>
      <c r="G825" t="n">
        <v>5.2</v>
      </c>
      <c r="H825" t="n">
        <v>0</v>
      </c>
      <c r="I825" t="n">
        <v>0</v>
      </c>
      <c r="J825" t="n">
        <v>0</v>
      </c>
      <c r="K825" t="n">
        <v>0</v>
      </c>
      <c r="L825" t="n">
        <v>0</v>
      </c>
      <c r="M825" t="n">
        <v>0</v>
      </c>
      <c r="N825" t="n">
        <v>0</v>
      </c>
      <c r="O825" t="n">
        <v>0</v>
      </c>
      <c r="P825" t="n">
        <v>0</v>
      </c>
      <c r="Q825" t="n">
        <v>0</v>
      </c>
      <c r="R825" s="2" t="inlineStr"/>
    </row>
    <row r="826" ht="15" customHeight="1">
      <c r="A826" t="inlineStr">
        <is>
          <t>A 51978-2023</t>
        </is>
      </c>
      <c r="B826" s="1" t="n">
        <v>45223</v>
      </c>
      <c r="C826" s="1" t="n">
        <v>45922</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18092-2022</t>
        </is>
      </c>
      <c r="B827" s="1" t="n">
        <v>44684</v>
      </c>
      <c r="C827" s="1" t="n">
        <v>45922</v>
      </c>
      <c r="D827" t="inlineStr">
        <is>
          <t>STOCKHOLMS LÄN</t>
        </is>
      </c>
      <c r="E827" t="inlineStr">
        <is>
          <t>NORRTÄLJE</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40230-2025</t>
        </is>
      </c>
      <c r="B828" s="1" t="n">
        <v>45894.71101851852</v>
      </c>
      <c r="C828" s="1" t="n">
        <v>45922</v>
      </c>
      <c r="D828" t="inlineStr">
        <is>
          <t>STOCKHOLMS LÄN</t>
        </is>
      </c>
      <c r="E828" t="inlineStr">
        <is>
          <t>NORRTÄLJE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40294-2025</t>
        </is>
      </c>
      <c r="B829" s="1" t="n">
        <v>45895.38778935185</v>
      </c>
      <c r="C829" s="1" t="n">
        <v>45922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59310-2023</t>
        </is>
      </c>
      <c r="B830" s="1" t="n">
        <v>45253.61146990741</v>
      </c>
      <c r="C830" s="1" t="n">
        <v>45922</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40033-2025</t>
        </is>
      </c>
      <c r="B831" s="1" t="n">
        <v>45893</v>
      </c>
      <c r="C831" s="1" t="n">
        <v>45922</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9329-2023</t>
        </is>
      </c>
      <c r="B832" s="1" t="n">
        <v>44980</v>
      </c>
      <c r="C832" s="1" t="n">
        <v>45922</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49898-2020</t>
        </is>
      </c>
      <c r="B833" s="1" t="n">
        <v>44108</v>
      </c>
      <c r="C833" s="1" t="n">
        <v>45922</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59878-2024</t>
        </is>
      </c>
      <c r="B834" s="1" t="n">
        <v>45640.60240740741</v>
      </c>
      <c r="C834" s="1" t="n">
        <v>45922</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21480-2022</t>
        </is>
      </c>
      <c r="B835" s="1" t="n">
        <v>44704</v>
      </c>
      <c r="C835" s="1" t="n">
        <v>45922</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40529-2025</t>
        </is>
      </c>
      <c r="B836" s="1" t="n">
        <v>45896.38466435186</v>
      </c>
      <c r="C836" s="1" t="n">
        <v>45922</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11041-2025</t>
        </is>
      </c>
      <c r="B837" s="1" t="n">
        <v>45723</v>
      </c>
      <c r="C837" s="1" t="n">
        <v>45922</v>
      </c>
      <c r="D837" t="inlineStr">
        <is>
          <t>STOCKHOLMS LÄN</t>
        </is>
      </c>
      <c r="E837" t="inlineStr">
        <is>
          <t>NORRTÄLJE</t>
        </is>
      </c>
      <c r="F837" t="inlineStr">
        <is>
          <t>Övriga Aktiebolag</t>
        </is>
      </c>
      <c r="G837" t="n">
        <v>1.8</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45922</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24024-2024</t>
        </is>
      </c>
      <c r="B839" s="1" t="n">
        <v>45456</v>
      </c>
      <c r="C839" s="1" t="n">
        <v>45922</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41335-2023</t>
        </is>
      </c>
      <c r="B840" s="1" t="n">
        <v>45174.68702546296</v>
      </c>
      <c r="C840" s="1" t="n">
        <v>45922</v>
      </c>
      <c r="D840" t="inlineStr">
        <is>
          <t>STOCKHOLMS LÄN</t>
        </is>
      </c>
      <c r="E840" t="inlineStr">
        <is>
          <t>NORRTÄLJE</t>
        </is>
      </c>
      <c r="F840" t="inlineStr">
        <is>
          <t>Holmen skog AB</t>
        </is>
      </c>
      <c r="G840" t="n">
        <v>4.4</v>
      </c>
      <c r="H840" t="n">
        <v>0</v>
      </c>
      <c r="I840" t="n">
        <v>0</v>
      </c>
      <c r="J840" t="n">
        <v>0</v>
      </c>
      <c r="K840" t="n">
        <v>0</v>
      </c>
      <c r="L840" t="n">
        <v>0</v>
      </c>
      <c r="M840" t="n">
        <v>0</v>
      </c>
      <c r="N840" t="n">
        <v>0</v>
      </c>
      <c r="O840" t="n">
        <v>0</v>
      </c>
      <c r="P840" t="n">
        <v>0</v>
      </c>
      <c r="Q840" t="n">
        <v>0</v>
      </c>
      <c r="R840" s="2" t="inlineStr"/>
    </row>
    <row r="841" ht="15" customHeight="1">
      <c r="A841" t="inlineStr">
        <is>
          <t>A 28809-2023</t>
        </is>
      </c>
      <c r="B841" s="1" t="n">
        <v>45104</v>
      </c>
      <c r="C841" s="1" t="n">
        <v>45922</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28813-2023</t>
        </is>
      </c>
      <c r="B842" s="1" t="n">
        <v>45104</v>
      </c>
      <c r="C842" s="1" t="n">
        <v>45922</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33040-2021</t>
        </is>
      </c>
      <c r="B843" s="1" t="n">
        <v>44376.50728009259</v>
      </c>
      <c r="C843" s="1" t="n">
        <v>45922</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33053-2021</t>
        </is>
      </c>
      <c r="B844" s="1" t="n">
        <v>44376</v>
      </c>
      <c r="C844" s="1" t="n">
        <v>45922</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40656-2022</t>
        </is>
      </c>
      <c r="B845" s="1" t="n">
        <v>44824.36069444445</v>
      </c>
      <c r="C845" s="1" t="n">
        <v>45922</v>
      </c>
      <c r="D845" t="inlineStr">
        <is>
          <t>STOCKHOLMS LÄN</t>
        </is>
      </c>
      <c r="E845" t="inlineStr">
        <is>
          <t>NORRTÄLJE</t>
        </is>
      </c>
      <c r="G845" t="n">
        <v>2.7</v>
      </c>
      <c r="H845" t="n">
        <v>0</v>
      </c>
      <c r="I845" t="n">
        <v>0</v>
      </c>
      <c r="J845" t="n">
        <v>0</v>
      </c>
      <c r="K845" t="n">
        <v>0</v>
      </c>
      <c r="L845" t="n">
        <v>0</v>
      </c>
      <c r="M845" t="n">
        <v>0</v>
      </c>
      <c r="N845" t="n">
        <v>0</v>
      </c>
      <c r="O845" t="n">
        <v>0</v>
      </c>
      <c r="P845" t="n">
        <v>0</v>
      </c>
      <c r="Q845" t="n">
        <v>0</v>
      </c>
      <c r="R845" s="2" t="inlineStr"/>
    </row>
    <row r="846" ht="15" customHeight="1">
      <c r="A846" t="inlineStr">
        <is>
          <t>A 40831-2025</t>
        </is>
      </c>
      <c r="B846" s="1" t="n">
        <v>45897.51077546296</v>
      </c>
      <c r="C846" s="1" t="n">
        <v>45922</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40837-2025</t>
        </is>
      </c>
      <c r="B847" s="1" t="n">
        <v>45897.51328703704</v>
      </c>
      <c r="C847" s="1" t="n">
        <v>45922</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35479-2025</t>
        </is>
      </c>
      <c r="B848" s="1" t="n">
        <v>45855.69387731481</v>
      </c>
      <c r="C848" s="1" t="n">
        <v>45922</v>
      </c>
      <c r="D848" t="inlineStr">
        <is>
          <t>STOCKHOLMS LÄN</t>
        </is>
      </c>
      <c r="E848" t="inlineStr">
        <is>
          <t>NORRTÄLJE</t>
        </is>
      </c>
      <c r="F848" t="inlineStr">
        <is>
          <t>Holmen skog AB</t>
        </is>
      </c>
      <c r="G848" t="n">
        <v>1.8</v>
      </c>
      <c r="H848" t="n">
        <v>0</v>
      </c>
      <c r="I848" t="n">
        <v>0</v>
      </c>
      <c r="J848" t="n">
        <v>0</v>
      </c>
      <c r="K848" t="n">
        <v>0</v>
      </c>
      <c r="L848" t="n">
        <v>0</v>
      </c>
      <c r="M848" t="n">
        <v>0</v>
      </c>
      <c r="N848" t="n">
        <v>0</v>
      </c>
      <c r="O848" t="n">
        <v>0</v>
      </c>
      <c r="P848" t="n">
        <v>0</v>
      </c>
      <c r="Q848" t="n">
        <v>0</v>
      </c>
      <c r="R848" s="2" t="inlineStr"/>
    </row>
    <row r="849" ht="15" customHeight="1">
      <c r="A849" t="inlineStr">
        <is>
          <t>A 40829-2025</t>
        </is>
      </c>
      <c r="B849" s="1" t="n">
        <v>45897.50802083333</v>
      </c>
      <c r="C849" s="1" t="n">
        <v>45922</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35451-2025</t>
        </is>
      </c>
      <c r="B850" s="1" t="n">
        <v>45855.57033564815</v>
      </c>
      <c r="C850" s="1" t="n">
        <v>45922</v>
      </c>
      <c r="D850" t="inlineStr">
        <is>
          <t>STOCKHOLMS LÄN</t>
        </is>
      </c>
      <c r="E850" t="inlineStr">
        <is>
          <t>NORRTÄLJE</t>
        </is>
      </c>
      <c r="F850" t="inlineStr">
        <is>
          <t>Holmen skog AB</t>
        </is>
      </c>
      <c r="G850" t="n">
        <v>7.4</v>
      </c>
      <c r="H850" t="n">
        <v>0</v>
      </c>
      <c r="I850" t="n">
        <v>0</v>
      </c>
      <c r="J850" t="n">
        <v>0</v>
      </c>
      <c r="K850" t="n">
        <v>0</v>
      </c>
      <c r="L850" t="n">
        <v>0</v>
      </c>
      <c r="M850" t="n">
        <v>0</v>
      </c>
      <c r="N850" t="n">
        <v>0</v>
      </c>
      <c r="O850" t="n">
        <v>0</v>
      </c>
      <c r="P850" t="n">
        <v>0</v>
      </c>
      <c r="Q850" t="n">
        <v>0</v>
      </c>
      <c r="R850" s="2" t="inlineStr"/>
    </row>
    <row r="851" ht="15" customHeight="1">
      <c r="A851" t="inlineStr">
        <is>
          <t>A 35478-2025</t>
        </is>
      </c>
      <c r="B851" s="1" t="n">
        <v>45855.68413194444</v>
      </c>
      <c r="C851" s="1" t="n">
        <v>45922</v>
      </c>
      <c r="D851" t="inlineStr">
        <is>
          <t>STOCKHOLMS LÄN</t>
        </is>
      </c>
      <c r="E851" t="inlineStr">
        <is>
          <t>NORRTÄLJE</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43150-2023</t>
        </is>
      </c>
      <c r="B852" s="1" t="n">
        <v>45183</v>
      </c>
      <c r="C852" s="1" t="n">
        <v>45922</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41174-2025</t>
        </is>
      </c>
      <c r="B853" s="1" t="n">
        <v>45898.54921296296</v>
      </c>
      <c r="C853" s="1" t="n">
        <v>45922</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41158-2025</t>
        </is>
      </c>
      <c r="B854" s="1" t="n">
        <v>45898.5315625</v>
      </c>
      <c r="C854" s="1" t="n">
        <v>45922</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41053-2025</t>
        </is>
      </c>
      <c r="B855" s="1" t="n">
        <v>45898.40480324074</v>
      </c>
      <c r="C855" s="1" t="n">
        <v>45922</v>
      </c>
      <c r="D855" t="inlineStr">
        <is>
          <t>STOCKHOLMS LÄN</t>
        </is>
      </c>
      <c r="E855" t="inlineStr">
        <is>
          <t>NORRTÄLJE</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5950-2021</t>
        </is>
      </c>
      <c r="B856" s="1" t="n">
        <v>44231</v>
      </c>
      <c r="C856" s="1" t="n">
        <v>45922</v>
      </c>
      <c r="D856" t="inlineStr">
        <is>
          <t>STOCKHOLMS LÄN</t>
        </is>
      </c>
      <c r="E856" t="inlineStr">
        <is>
          <t>NORRTÄLJE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54259-2023</t>
        </is>
      </c>
      <c r="B857" s="1" t="n">
        <v>45232</v>
      </c>
      <c r="C857" s="1" t="n">
        <v>45922</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19057-2024</t>
        </is>
      </c>
      <c r="B858" s="1" t="n">
        <v>45427.88731481481</v>
      </c>
      <c r="C858" s="1" t="n">
        <v>45922</v>
      </c>
      <c r="D858" t="inlineStr">
        <is>
          <t>STOCKHOLMS LÄN</t>
        </is>
      </c>
      <c r="E858" t="inlineStr">
        <is>
          <t>NORRTÄLJE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60694-2024</t>
        </is>
      </c>
      <c r="B859" s="1" t="n">
        <v>45644.47878472223</v>
      </c>
      <c r="C859" s="1" t="n">
        <v>45922</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38720-2025</t>
        </is>
      </c>
      <c r="B860" s="1" t="n">
        <v>45886</v>
      </c>
      <c r="C860" s="1" t="n">
        <v>45922</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60822-2023</t>
        </is>
      </c>
      <c r="B861" s="1" t="n">
        <v>45259</v>
      </c>
      <c r="C861" s="1" t="n">
        <v>45922</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41301-2025</t>
        </is>
      </c>
      <c r="B862" s="1" t="n">
        <v>45898.68826388889</v>
      </c>
      <c r="C862" s="1" t="n">
        <v>45922</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41030-2025</t>
        </is>
      </c>
      <c r="B863" s="1" t="n">
        <v>45898.37636574074</v>
      </c>
      <c r="C863" s="1" t="n">
        <v>45922</v>
      </c>
      <c r="D863" t="inlineStr">
        <is>
          <t>STOCKHOLMS LÄN</t>
        </is>
      </c>
      <c r="E863" t="inlineStr">
        <is>
          <t>NORRTÄLJE</t>
        </is>
      </c>
      <c r="F863" t="inlineStr">
        <is>
          <t>Holmen skog AB</t>
        </is>
      </c>
      <c r="G863" t="n">
        <v>2.6</v>
      </c>
      <c r="H863" t="n">
        <v>0</v>
      </c>
      <c r="I863" t="n">
        <v>0</v>
      </c>
      <c r="J863" t="n">
        <v>0</v>
      </c>
      <c r="K863" t="n">
        <v>0</v>
      </c>
      <c r="L863" t="n">
        <v>0</v>
      </c>
      <c r="M863" t="n">
        <v>0</v>
      </c>
      <c r="N863" t="n">
        <v>0</v>
      </c>
      <c r="O863" t="n">
        <v>0</v>
      </c>
      <c r="P863" t="n">
        <v>0</v>
      </c>
      <c r="Q863" t="n">
        <v>0</v>
      </c>
      <c r="R863" s="2" t="inlineStr"/>
    </row>
    <row r="864" ht="15" customHeight="1">
      <c r="A864" t="inlineStr">
        <is>
          <t>A 41275-2025</t>
        </is>
      </c>
      <c r="B864" s="1" t="n">
        <v>45898.62625</v>
      </c>
      <c r="C864" s="1" t="n">
        <v>45922</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41106-2025</t>
        </is>
      </c>
      <c r="B865" s="1" t="n">
        <v>45898.45636574074</v>
      </c>
      <c r="C865" s="1" t="n">
        <v>45922</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41036-2025</t>
        </is>
      </c>
      <c r="B866" s="1" t="n">
        <v>45898.38552083333</v>
      </c>
      <c r="C866" s="1" t="n">
        <v>45922</v>
      </c>
      <c r="D866" t="inlineStr">
        <is>
          <t>STOCKHOLMS LÄN</t>
        </is>
      </c>
      <c r="E866" t="inlineStr">
        <is>
          <t>NORRTÄLJE</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19450-2025</t>
        </is>
      </c>
      <c r="B867" s="1" t="n">
        <v>45770</v>
      </c>
      <c r="C867" s="1" t="n">
        <v>45922</v>
      </c>
      <c r="D867" t="inlineStr">
        <is>
          <t>STOCKHOLMS LÄN</t>
        </is>
      </c>
      <c r="E867" t="inlineStr">
        <is>
          <t>NORRTÄLJE</t>
        </is>
      </c>
      <c r="G867" t="n">
        <v>5.3</v>
      </c>
      <c r="H867" t="n">
        <v>0</v>
      </c>
      <c r="I867" t="n">
        <v>0</v>
      </c>
      <c r="J867" t="n">
        <v>0</v>
      </c>
      <c r="K867" t="n">
        <v>0</v>
      </c>
      <c r="L867" t="n">
        <v>0</v>
      </c>
      <c r="M867" t="n">
        <v>0</v>
      </c>
      <c r="N867" t="n">
        <v>0</v>
      </c>
      <c r="O867" t="n">
        <v>0</v>
      </c>
      <c r="P867" t="n">
        <v>0</v>
      </c>
      <c r="Q867" t="n">
        <v>0</v>
      </c>
      <c r="R867" s="2" t="inlineStr"/>
    </row>
    <row r="868" ht="15" customHeight="1">
      <c r="A868" t="inlineStr">
        <is>
          <t>A 41110-2025</t>
        </is>
      </c>
      <c r="B868" s="1" t="n">
        <v>45898.45976851852</v>
      </c>
      <c r="C868" s="1" t="n">
        <v>45922</v>
      </c>
      <c r="D868" t="inlineStr">
        <is>
          <t>STOCKHOLMS LÄN</t>
        </is>
      </c>
      <c r="E868" t="inlineStr">
        <is>
          <t>NORRTÄLJE</t>
        </is>
      </c>
      <c r="F868" t="inlineStr">
        <is>
          <t>Holmen skog AB</t>
        </is>
      </c>
      <c r="G868" t="n">
        <v>6.7</v>
      </c>
      <c r="H868" t="n">
        <v>0</v>
      </c>
      <c r="I868" t="n">
        <v>0</v>
      </c>
      <c r="J868" t="n">
        <v>0</v>
      </c>
      <c r="K868" t="n">
        <v>0</v>
      </c>
      <c r="L868" t="n">
        <v>0</v>
      </c>
      <c r="M868" t="n">
        <v>0</v>
      </c>
      <c r="N868" t="n">
        <v>0</v>
      </c>
      <c r="O868" t="n">
        <v>0</v>
      </c>
      <c r="P868" t="n">
        <v>0</v>
      </c>
      <c r="Q868" t="n">
        <v>0</v>
      </c>
      <c r="R868" s="2" t="inlineStr"/>
    </row>
    <row r="869" ht="15" customHeight="1">
      <c r="A869" t="inlineStr">
        <is>
          <t>A 12031-2021</t>
        </is>
      </c>
      <c r="B869" s="1" t="n">
        <v>44266</v>
      </c>
      <c r="C869" s="1" t="n">
        <v>45922</v>
      </c>
      <c r="D869" t="inlineStr">
        <is>
          <t>STOCKHOLMS LÄN</t>
        </is>
      </c>
      <c r="E869" t="inlineStr">
        <is>
          <t>NORRTÄLJE</t>
        </is>
      </c>
      <c r="G869" t="n">
        <v>2.6</v>
      </c>
      <c r="H869" t="n">
        <v>0</v>
      </c>
      <c r="I869" t="n">
        <v>0</v>
      </c>
      <c r="J869" t="n">
        <v>0</v>
      </c>
      <c r="K869" t="n">
        <v>0</v>
      </c>
      <c r="L869" t="n">
        <v>0</v>
      </c>
      <c r="M869" t="n">
        <v>0</v>
      </c>
      <c r="N869" t="n">
        <v>0</v>
      </c>
      <c r="O869" t="n">
        <v>0</v>
      </c>
      <c r="P869" t="n">
        <v>0</v>
      </c>
      <c r="Q869" t="n">
        <v>0</v>
      </c>
      <c r="R869" s="2" t="inlineStr"/>
    </row>
    <row r="870" ht="15" customHeight="1">
      <c r="A870" t="inlineStr">
        <is>
          <t>A 41259-2025</t>
        </is>
      </c>
      <c r="B870" s="1" t="n">
        <v>45898.61054398148</v>
      </c>
      <c r="C870" s="1" t="n">
        <v>45922</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41272-2025</t>
        </is>
      </c>
      <c r="B871" s="1" t="n">
        <v>45898.62373842593</v>
      </c>
      <c r="C871" s="1" t="n">
        <v>45922</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27381-2024</t>
        </is>
      </c>
      <c r="B872" s="1" t="n">
        <v>45473.94501157408</v>
      </c>
      <c r="C872" s="1" t="n">
        <v>45922</v>
      </c>
      <c r="D872" t="inlineStr">
        <is>
          <t>STOCKHOLMS LÄN</t>
        </is>
      </c>
      <c r="E872" t="inlineStr">
        <is>
          <t>NORRTÄLJE</t>
        </is>
      </c>
      <c r="G872" t="n">
        <v>4.5</v>
      </c>
      <c r="H872" t="n">
        <v>0</v>
      </c>
      <c r="I872" t="n">
        <v>0</v>
      </c>
      <c r="J872" t="n">
        <v>0</v>
      </c>
      <c r="K872" t="n">
        <v>0</v>
      </c>
      <c r="L872" t="n">
        <v>0</v>
      </c>
      <c r="M872" t="n">
        <v>0</v>
      </c>
      <c r="N872" t="n">
        <v>0</v>
      </c>
      <c r="O872" t="n">
        <v>0</v>
      </c>
      <c r="P872" t="n">
        <v>0</v>
      </c>
      <c r="Q872" t="n">
        <v>0</v>
      </c>
      <c r="R872" s="2" t="inlineStr"/>
    </row>
    <row r="873" ht="15" customHeight="1">
      <c r="A873" t="inlineStr">
        <is>
          <t>A 41966-2025</t>
        </is>
      </c>
      <c r="B873" s="1" t="n">
        <v>45903.47456018518</v>
      </c>
      <c r="C873" s="1" t="n">
        <v>45922</v>
      </c>
      <c r="D873" t="inlineStr">
        <is>
          <t>STOCKHOLMS LÄN</t>
        </is>
      </c>
      <c r="E873" t="inlineStr">
        <is>
          <t>NORRTÄLJE</t>
        </is>
      </c>
      <c r="F873" t="inlineStr">
        <is>
          <t>Sveaskog</t>
        </is>
      </c>
      <c r="G873" t="n">
        <v>3.7</v>
      </c>
      <c r="H873" t="n">
        <v>0</v>
      </c>
      <c r="I873" t="n">
        <v>0</v>
      </c>
      <c r="J873" t="n">
        <v>0</v>
      </c>
      <c r="K873" t="n">
        <v>0</v>
      </c>
      <c r="L873" t="n">
        <v>0</v>
      </c>
      <c r="M873" t="n">
        <v>0</v>
      </c>
      <c r="N873" t="n">
        <v>0</v>
      </c>
      <c r="O873" t="n">
        <v>0</v>
      </c>
      <c r="P873" t="n">
        <v>0</v>
      </c>
      <c r="Q873" t="n">
        <v>0</v>
      </c>
      <c r="R873" s="2" t="inlineStr"/>
    </row>
    <row r="874" ht="15" customHeight="1">
      <c r="A874" t="inlineStr">
        <is>
          <t>A 23265-2023</t>
        </is>
      </c>
      <c r="B874" s="1" t="n">
        <v>45075.90703703704</v>
      </c>
      <c r="C874" s="1" t="n">
        <v>45922</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48392-2020</t>
        </is>
      </c>
      <c r="B875" s="1" t="n">
        <v>44097</v>
      </c>
      <c r="C875" s="1" t="n">
        <v>45922</v>
      </c>
      <c r="D875" t="inlineStr">
        <is>
          <t>STOCKHOLMS LÄN</t>
        </is>
      </c>
      <c r="E875" t="inlineStr">
        <is>
          <t>NORRTÄLJE</t>
        </is>
      </c>
      <c r="G875" t="n">
        <v>12.5</v>
      </c>
      <c r="H875" t="n">
        <v>0</v>
      </c>
      <c r="I875" t="n">
        <v>0</v>
      </c>
      <c r="J875" t="n">
        <v>0</v>
      </c>
      <c r="K875" t="n">
        <v>0</v>
      </c>
      <c r="L875" t="n">
        <v>0</v>
      </c>
      <c r="M875" t="n">
        <v>0</v>
      </c>
      <c r="N875" t="n">
        <v>0</v>
      </c>
      <c r="O875" t="n">
        <v>0</v>
      </c>
      <c r="P875" t="n">
        <v>0</v>
      </c>
      <c r="Q875" t="n">
        <v>0</v>
      </c>
      <c r="R875" s="2" t="inlineStr"/>
    </row>
    <row r="876" ht="15" customHeight="1">
      <c r="A876" t="inlineStr">
        <is>
          <t>A 26117-2024</t>
        </is>
      </c>
      <c r="B876" s="1" t="n">
        <v>45468.45877314815</v>
      </c>
      <c r="C876" s="1" t="n">
        <v>45922</v>
      </c>
      <c r="D876" t="inlineStr">
        <is>
          <t>STOCKHOLMS LÄN</t>
        </is>
      </c>
      <c r="E876" t="inlineStr">
        <is>
          <t>NORRTÄLJE</t>
        </is>
      </c>
      <c r="G876" t="n">
        <v>2.4</v>
      </c>
      <c r="H876" t="n">
        <v>0</v>
      </c>
      <c r="I876" t="n">
        <v>0</v>
      </c>
      <c r="J876" t="n">
        <v>0</v>
      </c>
      <c r="K876" t="n">
        <v>0</v>
      </c>
      <c r="L876" t="n">
        <v>0</v>
      </c>
      <c r="M876" t="n">
        <v>0</v>
      </c>
      <c r="N876" t="n">
        <v>0</v>
      </c>
      <c r="O876" t="n">
        <v>0</v>
      </c>
      <c r="P876" t="n">
        <v>0</v>
      </c>
      <c r="Q876" t="n">
        <v>0</v>
      </c>
      <c r="R876" s="2" t="inlineStr"/>
    </row>
    <row r="877" ht="15" customHeight="1">
      <c r="A877" t="inlineStr">
        <is>
          <t>A 41964-2025</t>
        </is>
      </c>
      <c r="B877" s="1" t="n">
        <v>45903.47270833333</v>
      </c>
      <c r="C877" s="1" t="n">
        <v>45922</v>
      </c>
      <c r="D877" t="inlineStr">
        <is>
          <t>STOCKHOLMS LÄN</t>
        </is>
      </c>
      <c r="E877" t="inlineStr">
        <is>
          <t>NORRTÄLJE</t>
        </is>
      </c>
      <c r="F877" t="inlineStr">
        <is>
          <t>Sveaskog</t>
        </is>
      </c>
      <c r="G877" t="n">
        <v>4</v>
      </c>
      <c r="H877" t="n">
        <v>0</v>
      </c>
      <c r="I877" t="n">
        <v>0</v>
      </c>
      <c r="J877" t="n">
        <v>0</v>
      </c>
      <c r="K877" t="n">
        <v>0</v>
      </c>
      <c r="L877" t="n">
        <v>0</v>
      </c>
      <c r="M877" t="n">
        <v>0</v>
      </c>
      <c r="N877" t="n">
        <v>0</v>
      </c>
      <c r="O877" t="n">
        <v>0</v>
      </c>
      <c r="P877" t="n">
        <v>0</v>
      </c>
      <c r="Q877" t="n">
        <v>0</v>
      </c>
      <c r="R877" s="2" t="inlineStr"/>
    </row>
    <row r="878" ht="15" customHeight="1">
      <c r="A878" t="inlineStr">
        <is>
          <t>A 42038-2025</t>
        </is>
      </c>
      <c r="B878" s="1" t="n">
        <v>45903.61431712963</v>
      </c>
      <c r="C878" s="1" t="n">
        <v>45922</v>
      </c>
      <c r="D878" t="inlineStr">
        <is>
          <t>STOCKHOLMS LÄN</t>
        </is>
      </c>
      <c r="E878" t="inlineStr">
        <is>
          <t>NORRTÄLJE</t>
        </is>
      </c>
      <c r="F878" t="inlineStr">
        <is>
          <t>Sveaskog</t>
        </is>
      </c>
      <c r="G878" t="n">
        <v>6.4</v>
      </c>
      <c r="H878" t="n">
        <v>0</v>
      </c>
      <c r="I878" t="n">
        <v>0</v>
      </c>
      <c r="J878" t="n">
        <v>0</v>
      </c>
      <c r="K878" t="n">
        <v>0</v>
      </c>
      <c r="L878" t="n">
        <v>0</v>
      </c>
      <c r="M878" t="n">
        <v>0</v>
      </c>
      <c r="N878" t="n">
        <v>0</v>
      </c>
      <c r="O878" t="n">
        <v>0</v>
      </c>
      <c r="P878" t="n">
        <v>0</v>
      </c>
      <c r="Q878" t="n">
        <v>0</v>
      </c>
      <c r="R878" s="2" t="inlineStr"/>
    </row>
    <row r="879" ht="15" customHeight="1">
      <c r="A879" t="inlineStr">
        <is>
          <t>A 33353-2023</t>
        </is>
      </c>
      <c r="B879" s="1" t="n">
        <v>45128</v>
      </c>
      <c r="C879" s="1" t="n">
        <v>45922</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20336-2024</t>
        </is>
      </c>
      <c r="B880" s="1" t="n">
        <v>45435.43123842592</v>
      </c>
      <c r="C880" s="1" t="n">
        <v>45922</v>
      </c>
      <c r="D880" t="inlineStr">
        <is>
          <t>STOCKHOLMS LÄN</t>
        </is>
      </c>
      <c r="E880" t="inlineStr">
        <is>
          <t>NORRTÄLJE</t>
        </is>
      </c>
      <c r="G880" t="n">
        <v>1.9</v>
      </c>
      <c r="H880" t="n">
        <v>0</v>
      </c>
      <c r="I880" t="n">
        <v>0</v>
      </c>
      <c r="J880" t="n">
        <v>0</v>
      </c>
      <c r="K880" t="n">
        <v>0</v>
      </c>
      <c r="L880" t="n">
        <v>0</v>
      </c>
      <c r="M880" t="n">
        <v>0</v>
      </c>
      <c r="N880" t="n">
        <v>0</v>
      </c>
      <c r="O880" t="n">
        <v>0</v>
      </c>
      <c r="P880" t="n">
        <v>0</v>
      </c>
      <c r="Q880" t="n">
        <v>0</v>
      </c>
      <c r="R880" s="2" t="inlineStr"/>
    </row>
    <row r="881" ht="15" customHeight="1">
      <c r="A881" t="inlineStr">
        <is>
          <t>A 3966-2024</t>
        </is>
      </c>
      <c r="B881" s="1" t="n">
        <v>45322</v>
      </c>
      <c r="C881" s="1" t="n">
        <v>45922</v>
      </c>
      <c r="D881" t="inlineStr">
        <is>
          <t>STOCKHOLMS LÄN</t>
        </is>
      </c>
      <c r="E881" t="inlineStr">
        <is>
          <t>NORRTÄLJE</t>
        </is>
      </c>
      <c r="G881" t="n">
        <v>5.3</v>
      </c>
      <c r="H881" t="n">
        <v>0</v>
      </c>
      <c r="I881" t="n">
        <v>0</v>
      </c>
      <c r="J881" t="n">
        <v>0</v>
      </c>
      <c r="K881" t="n">
        <v>0</v>
      </c>
      <c r="L881" t="n">
        <v>0</v>
      </c>
      <c r="M881" t="n">
        <v>0</v>
      </c>
      <c r="N881" t="n">
        <v>0</v>
      </c>
      <c r="O881" t="n">
        <v>0</v>
      </c>
      <c r="P881" t="n">
        <v>0</v>
      </c>
      <c r="Q881" t="n">
        <v>0</v>
      </c>
      <c r="R881" s="2" t="inlineStr"/>
    </row>
    <row r="882" ht="15" customHeight="1">
      <c r="A882" t="inlineStr">
        <is>
          <t>A 1847-2023</t>
        </is>
      </c>
      <c r="B882" s="1" t="n">
        <v>44938</v>
      </c>
      <c r="C882" s="1" t="n">
        <v>45922</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34444-2024</t>
        </is>
      </c>
      <c r="B883" s="1" t="n">
        <v>45525</v>
      </c>
      <c r="C883" s="1" t="n">
        <v>45922</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59721-2024</t>
        </is>
      </c>
      <c r="B884" s="1" t="n">
        <v>45639.47385416667</v>
      </c>
      <c r="C884" s="1" t="n">
        <v>45922</v>
      </c>
      <c r="D884" t="inlineStr">
        <is>
          <t>STOCKHOLMS LÄN</t>
        </is>
      </c>
      <c r="E884" t="inlineStr">
        <is>
          <t>NORRTÄLJE</t>
        </is>
      </c>
      <c r="G884" t="n">
        <v>4.6</v>
      </c>
      <c r="H884" t="n">
        <v>0</v>
      </c>
      <c r="I884" t="n">
        <v>0</v>
      </c>
      <c r="J884" t="n">
        <v>0</v>
      </c>
      <c r="K884" t="n">
        <v>0</v>
      </c>
      <c r="L884" t="n">
        <v>0</v>
      </c>
      <c r="M884" t="n">
        <v>0</v>
      </c>
      <c r="N884" t="n">
        <v>0</v>
      </c>
      <c r="O884" t="n">
        <v>0</v>
      </c>
      <c r="P884" t="n">
        <v>0</v>
      </c>
      <c r="Q884" t="n">
        <v>0</v>
      </c>
      <c r="R884" s="2" t="inlineStr"/>
    </row>
    <row r="885" ht="15" customHeight="1">
      <c r="A885" t="inlineStr">
        <is>
          <t>A 20698-2025</t>
        </is>
      </c>
      <c r="B885" s="1" t="n">
        <v>45776.47122685185</v>
      </c>
      <c r="C885" s="1" t="n">
        <v>45922</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39152-2025</t>
        </is>
      </c>
      <c r="B886" s="1" t="n">
        <v>45888</v>
      </c>
      <c r="C886" s="1" t="n">
        <v>45922</v>
      </c>
      <c r="D886" t="inlineStr">
        <is>
          <t>STOCKHOLMS LÄN</t>
        </is>
      </c>
      <c r="E886" t="inlineStr">
        <is>
          <t>NORRTÄLJE</t>
        </is>
      </c>
      <c r="G886" t="n">
        <v>4.6</v>
      </c>
      <c r="H886" t="n">
        <v>0</v>
      </c>
      <c r="I886" t="n">
        <v>0</v>
      </c>
      <c r="J886" t="n">
        <v>0</v>
      </c>
      <c r="K886" t="n">
        <v>0</v>
      </c>
      <c r="L886" t="n">
        <v>0</v>
      </c>
      <c r="M886" t="n">
        <v>0</v>
      </c>
      <c r="N886" t="n">
        <v>0</v>
      </c>
      <c r="O886" t="n">
        <v>0</v>
      </c>
      <c r="P886" t="n">
        <v>0</v>
      </c>
      <c r="Q886" t="n">
        <v>0</v>
      </c>
      <c r="R886" s="2" t="inlineStr"/>
    </row>
    <row r="887" ht="15" customHeight="1">
      <c r="A887" t="inlineStr">
        <is>
          <t>A 42856-2025</t>
        </is>
      </c>
      <c r="B887" s="1" t="n">
        <v>45908</v>
      </c>
      <c r="C887" s="1" t="n">
        <v>45922</v>
      </c>
      <c r="D887" t="inlineStr">
        <is>
          <t>STOCKHOLMS LÄN</t>
        </is>
      </c>
      <c r="E887" t="inlineStr">
        <is>
          <t>NORRTÄLJE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23262-2023</t>
        </is>
      </c>
      <c r="B888" s="1" t="n">
        <v>45075.90270833333</v>
      </c>
      <c r="C888" s="1" t="n">
        <v>45922</v>
      </c>
      <c r="D888" t="inlineStr">
        <is>
          <t>STOCKHOLMS LÄN</t>
        </is>
      </c>
      <c r="E888" t="inlineStr">
        <is>
          <t>NORRTÄLJE</t>
        </is>
      </c>
      <c r="F888" t="inlineStr">
        <is>
          <t>Kommuner</t>
        </is>
      </c>
      <c r="G888" t="n">
        <v>1.9</v>
      </c>
      <c r="H888" t="n">
        <v>0</v>
      </c>
      <c r="I888" t="n">
        <v>0</v>
      </c>
      <c r="J888" t="n">
        <v>0</v>
      </c>
      <c r="K888" t="n">
        <v>0</v>
      </c>
      <c r="L888" t="n">
        <v>0</v>
      </c>
      <c r="M888" t="n">
        <v>0</v>
      </c>
      <c r="N888" t="n">
        <v>0</v>
      </c>
      <c r="O888" t="n">
        <v>0</v>
      </c>
      <c r="P888" t="n">
        <v>0</v>
      </c>
      <c r="Q888" t="n">
        <v>0</v>
      </c>
      <c r="R888" s="2" t="inlineStr"/>
    </row>
    <row r="889" ht="15" customHeight="1">
      <c r="A889" t="inlineStr">
        <is>
          <t>A 23268-2023</t>
        </is>
      </c>
      <c r="B889" s="1" t="n">
        <v>45075.91042824074</v>
      </c>
      <c r="C889" s="1" t="n">
        <v>45922</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23270-2023</t>
        </is>
      </c>
      <c r="B890" s="1" t="n">
        <v>45075.91265046296</v>
      </c>
      <c r="C890" s="1" t="n">
        <v>45922</v>
      </c>
      <c r="D890" t="inlineStr">
        <is>
          <t>STOCKHOLMS LÄN</t>
        </is>
      </c>
      <c r="E890" t="inlineStr">
        <is>
          <t>NORRTÄLJE</t>
        </is>
      </c>
      <c r="G890" t="n">
        <v>12.3</v>
      </c>
      <c r="H890" t="n">
        <v>0</v>
      </c>
      <c r="I890" t="n">
        <v>0</v>
      </c>
      <c r="J890" t="n">
        <v>0</v>
      </c>
      <c r="K890" t="n">
        <v>0</v>
      </c>
      <c r="L890" t="n">
        <v>0</v>
      </c>
      <c r="M890" t="n">
        <v>0</v>
      </c>
      <c r="N890" t="n">
        <v>0</v>
      </c>
      <c r="O890" t="n">
        <v>0</v>
      </c>
      <c r="P890" t="n">
        <v>0</v>
      </c>
      <c r="Q890" t="n">
        <v>0</v>
      </c>
      <c r="R890" s="2" t="inlineStr"/>
    </row>
    <row r="891" ht="15" customHeight="1">
      <c r="A891" t="inlineStr">
        <is>
          <t>A 23274-2023</t>
        </is>
      </c>
      <c r="B891" s="1" t="n">
        <v>45075.92153935185</v>
      </c>
      <c r="C891" s="1" t="n">
        <v>45922</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17843-2024</t>
        </is>
      </c>
      <c r="B892" s="1" t="n">
        <v>45418</v>
      </c>
      <c r="C892" s="1" t="n">
        <v>45922</v>
      </c>
      <c r="D892" t="inlineStr">
        <is>
          <t>STOCKHOLMS LÄN</t>
        </is>
      </c>
      <c r="E892" t="inlineStr">
        <is>
          <t>NORRTÄLJE</t>
        </is>
      </c>
      <c r="G892" t="n">
        <v>5.4</v>
      </c>
      <c r="H892" t="n">
        <v>0</v>
      </c>
      <c r="I892" t="n">
        <v>0</v>
      </c>
      <c r="J892" t="n">
        <v>0</v>
      </c>
      <c r="K892" t="n">
        <v>0</v>
      </c>
      <c r="L892" t="n">
        <v>0</v>
      </c>
      <c r="M892" t="n">
        <v>0</v>
      </c>
      <c r="N892" t="n">
        <v>0</v>
      </c>
      <c r="O892" t="n">
        <v>0</v>
      </c>
      <c r="P892" t="n">
        <v>0</v>
      </c>
      <c r="Q892" t="n">
        <v>0</v>
      </c>
      <c r="R892" s="2" t="inlineStr"/>
    </row>
    <row r="893" ht="15" customHeight="1">
      <c r="A893" t="inlineStr">
        <is>
          <t>A 33219-2025</t>
        </is>
      </c>
      <c r="B893" s="1" t="n">
        <v>45840</v>
      </c>
      <c r="C893" s="1" t="n">
        <v>45922</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19058-2024</t>
        </is>
      </c>
      <c r="B894" s="1" t="n">
        <v>45427.89121527778</v>
      </c>
      <c r="C894" s="1" t="n">
        <v>45922</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26636-2023</t>
        </is>
      </c>
      <c r="B895" s="1" t="n">
        <v>45092</v>
      </c>
      <c r="C895" s="1" t="n">
        <v>45922</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26637-2023</t>
        </is>
      </c>
      <c r="B896" s="1" t="n">
        <v>45092</v>
      </c>
      <c r="C896" s="1" t="n">
        <v>45922</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37010-2022</t>
        </is>
      </c>
      <c r="B897" s="1" t="n">
        <v>44806.41576388889</v>
      </c>
      <c r="C897" s="1" t="n">
        <v>45922</v>
      </c>
      <c r="D897" t="inlineStr">
        <is>
          <t>STOCKHOLMS LÄN</t>
        </is>
      </c>
      <c r="E897" t="inlineStr">
        <is>
          <t>NORRTÄLJE</t>
        </is>
      </c>
      <c r="G897" t="n">
        <v>2.7</v>
      </c>
      <c r="H897" t="n">
        <v>0</v>
      </c>
      <c r="I897" t="n">
        <v>0</v>
      </c>
      <c r="J897" t="n">
        <v>0</v>
      </c>
      <c r="K897" t="n">
        <v>0</v>
      </c>
      <c r="L897" t="n">
        <v>0</v>
      </c>
      <c r="M897" t="n">
        <v>0</v>
      </c>
      <c r="N897" t="n">
        <v>0</v>
      </c>
      <c r="O897" t="n">
        <v>0</v>
      </c>
      <c r="P897" t="n">
        <v>0</v>
      </c>
      <c r="Q897" t="n">
        <v>0</v>
      </c>
      <c r="R897" s="2" t="inlineStr"/>
    </row>
    <row r="898" ht="15" customHeight="1">
      <c r="A898" t="inlineStr">
        <is>
          <t>A 951-2023</t>
        </is>
      </c>
      <c r="B898" s="1" t="n">
        <v>44934</v>
      </c>
      <c r="C898" s="1" t="n">
        <v>45922</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61363-2020</t>
        </is>
      </c>
      <c r="B899" s="1" t="n">
        <v>44155.69458333333</v>
      </c>
      <c r="C899" s="1" t="n">
        <v>45922</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72704-2021</t>
        </is>
      </c>
      <c r="B900" s="1" t="n">
        <v>44546</v>
      </c>
      <c r="C900" s="1" t="n">
        <v>45922</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52743-2024</t>
        </is>
      </c>
      <c r="B901" s="1" t="n">
        <v>45610.47414351852</v>
      </c>
      <c r="C901" s="1" t="n">
        <v>45922</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16852-2024</t>
        </is>
      </c>
      <c r="B902" s="1" t="n">
        <v>45411.54768518519</v>
      </c>
      <c r="C902" s="1" t="n">
        <v>45922</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5423-2023</t>
        </is>
      </c>
      <c r="B903" s="1" t="n">
        <v>44959.74533564815</v>
      </c>
      <c r="C903" s="1" t="n">
        <v>45922</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50182-2024</t>
        </is>
      </c>
      <c r="B904" s="1" t="n">
        <v>45600.47275462963</v>
      </c>
      <c r="C904" s="1" t="n">
        <v>45922</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22232-2024</t>
        </is>
      </c>
      <c r="B905" s="1" t="n">
        <v>45446.4287962963</v>
      </c>
      <c r="C905" s="1" t="n">
        <v>45922</v>
      </c>
      <c r="D905" t="inlineStr">
        <is>
          <t>STOCKHOLMS LÄN</t>
        </is>
      </c>
      <c r="E905" t="inlineStr">
        <is>
          <t>NORRTÄLJE</t>
        </is>
      </c>
      <c r="G905" t="n">
        <v>12.8</v>
      </c>
      <c r="H905" t="n">
        <v>0</v>
      </c>
      <c r="I905" t="n">
        <v>0</v>
      </c>
      <c r="J905" t="n">
        <v>0</v>
      </c>
      <c r="K905" t="n">
        <v>0</v>
      </c>
      <c r="L905" t="n">
        <v>0</v>
      </c>
      <c r="M905" t="n">
        <v>0</v>
      </c>
      <c r="N905" t="n">
        <v>0</v>
      </c>
      <c r="O905" t="n">
        <v>0</v>
      </c>
      <c r="P905" t="n">
        <v>0</v>
      </c>
      <c r="Q905" t="n">
        <v>0</v>
      </c>
      <c r="R905" s="2" t="inlineStr"/>
    </row>
    <row r="906" ht="15" customHeight="1">
      <c r="A906" t="inlineStr">
        <is>
          <t>A 43269-2025</t>
        </is>
      </c>
      <c r="B906" s="1" t="n">
        <v>45910.5819212963</v>
      </c>
      <c r="C906" s="1" t="n">
        <v>45922</v>
      </c>
      <c r="D906" t="inlineStr">
        <is>
          <t>STOCKHOLMS LÄN</t>
        </is>
      </c>
      <c r="E906" t="inlineStr">
        <is>
          <t>NORRTÄLJE</t>
        </is>
      </c>
      <c r="G906" t="n">
        <v>3.7</v>
      </c>
      <c r="H906" t="n">
        <v>0</v>
      </c>
      <c r="I906" t="n">
        <v>0</v>
      </c>
      <c r="J906" t="n">
        <v>0</v>
      </c>
      <c r="K906" t="n">
        <v>0</v>
      </c>
      <c r="L906" t="n">
        <v>0</v>
      </c>
      <c r="M906" t="n">
        <v>0</v>
      </c>
      <c r="N906" t="n">
        <v>0</v>
      </c>
      <c r="O906" t="n">
        <v>0</v>
      </c>
      <c r="P906" t="n">
        <v>0</v>
      </c>
      <c r="Q906" t="n">
        <v>0</v>
      </c>
      <c r="R906" s="2" t="inlineStr"/>
    </row>
    <row r="907" ht="15" customHeight="1">
      <c r="A907" t="inlineStr">
        <is>
          <t>A 12629-2024</t>
        </is>
      </c>
      <c r="B907" s="1" t="n">
        <v>45383</v>
      </c>
      <c r="C907" s="1" t="n">
        <v>45922</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43169-2025</t>
        </is>
      </c>
      <c r="B908" s="1" t="n">
        <v>45910</v>
      </c>
      <c r="C908" s="1" t="n">
        <v>45922</v>
      </c>
      <c r="D908" t="inlineStr">
        <is>
          <t>STOCKHOLMS LÄN</t>
        </is>
      </c>
      <c r="E908" t="inlineStr">
        <is>
          <t>NORRTÄLJE</t>
        </is>
      </c>
      <c r="G908" t="n">
        <v>6.9</v>
      </c>
      <c r="H908" t="n">
        <v>0</v>
      </c>
      <c r="I908" t="n">
        <v>0</v>
      </c>
      <c r="J908" t="n">
        <v>0</v>
      </c>
      <c r="K908" t="n">
        <v>0</v>
      </c>
      <c r="L908" t="n">
        <v>0</v>
      </c>
      <c r="M908" t="n">
        <v>0</v>
      </c>
      <c r="N908" t="n">
        <v>0</v>
      </c>
      <c r="O908" t="n">
        <v>0</v>
      </c>
      <c r="P908" t="n">
        <v>0</v>
      </c>
      <c r="Q908" t="n">
        <v>0</v>
      </c>
      <c r="R908" s="2" t="inlineStr"/>
    </row>
    <row r="909" ht="15" customHeight="1">
      <c r="A909" t="inlineStr">
        <is>
          <t>A 36396-2025</t>
        </is>
      </c>
      <c r="B909" s="1" t="n">
        <v>45868.62267361111</v>
      </c>
      <c r="C909" s="1" t="n">
        <v>45922</v>
      </c>
      <c r="D909" t="inlineStr">
        <is>
          <t>STOCKHOLMS LÄN</t>
        </is>
      </c>
      <c r="E909" t="inlineStr">
        <is>
          <t>NORRTÄLJE</t>
        </is>
      </c>
      <c r="G909" t="n">
        <v>4.1</v>
      </c>
      <c r="H909" t="n">
        <v>0</v>
      </c>
      <c r="I909" t="n">
        <v>0</v>
      </c>
      <c r="J909" t="n">
        <v>0</v>
      </c>
      <c r="K909" t="n">
        <v>0</v>
      </c>
      <c r="L909" t="n">
        <v>0</v>
      </c>
      <c r="M909" t="n">
        <v>0</v>
      </c>
      <c r="N909" t="n">
        <v>0</v>
      </c>
      <c r="O909" t="n">
        <v>0</v>
      </c>
      <c r="P909" t="n">
        <v>0</v>
      </c>
      <c r="Q909" t="n">
        <v>0</v>
      </c>
      <c r="R909" s="2" t="inlineStr"/>
    </row>
    <row r="910" ht="15" customHeight="1">
      <c r="A910" t="inlineStr">
        <is>
          <t>A 35708-2022</t>
        </is>
      </c>
      <c r="B910" s="1" t="n">
        <v>44799.65013888889</v>
      </c>
      <c r="C910" s="1" t="n">
        <v>45922</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43916-2025</t>
        </is>
      </c>
      <c r="B911" s="1" t="n">
        <v>45914.78884259259</v>
      </c>
      <c r="C911" s="1" t="n">
        <v>45922</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45220-2024</t>
        </is>
      </c>
      <c r="B912" s="1" t="n">
        <v>45575</v>
      </c>
      <c r="C912" s="1" t="n">
        <v>45922</v>
      </c>
      <c r="D912" t="inlineStr">
        <is>
          <t>STOCKHOLMS LÄN</t>
        </is>
      </c>
      <c r="E912" t="inlineStr">
        <is>
          <t>NORRTÄLJE</t>
        </is>
      </c>
      <c r="G912" t="n">
        <v>4.3</v>
      </c>
      <c r="H912" t="n">
        <v>0</v>
      </c>
      <c r="I912" t="n">
        <v>0</v>
      </c>
      <c r="J912" t="n">
        <v>0</v>
      </c>
      <c r="K912" t="n">
        <v>0</v>
      </c>
      <c r="L912" t="n">
        <v>0</v>
      </c>
      <c r="M912" t="n">
        <v>0</v>
      </c>
      <c r="N912" t="n">
        <v>0</v>
      </c>
      <c r="O912" t="n">
        <v>0</v>
      </c>
      <c r="P912" t="n">
        <v>0</v>
      </c>
      <c r="Q912" t="n">
        <v>0</v>
      </c>
      <c r="R912" s="2" t="inlineStr"/>
    </row>
    <row r="913" ht="15" customHeight="1">
      <c r="A913" t="inlineStr">
        <is>
          <t>A 21731-2023</t>
        </is>
      </c>
      <c r="B913" s="1" t="n">
        <v>45063</v>
      </c>
      <c r="C913" s="1" t="n">
        <v>45922</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23266-2023</t>
        </is>
      </c>
      <c r="B914" s="1" t="n">
        <v>45075.90817129629</v>
      </c>
      <c r="C914" s="1" t="n">
        <v>45922</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55755-2023</t>
        </is>
      </c>
      <c r="B915" s="1" t="n">
        <v>45239</v>
      </c>
      <c r="C915" s="1" t="n">
        <v>45922</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47521-2024</t>
        </is>
      </c>
      <c r="B916" s="1" t="n">
        <v>45587.62565972222</v>
      </c>
      <c r="C916" s="1" t="n">
        <v>45922</v>
      </c>
      <c r="D916" t="inlineStr">
        <is>
          <t>STOCKHOLMS LÄN</t>
        </is>
      </c>
      <c r="E916" t="inlineStr">
        <is>
          <t>NORRTÄLJE</t>
        </is>
      </c>
      <c r="G916" t="n">
        <v>4.7</v>
      </c>
      <c r="H916" t="n">
        <v>0</v>
      </c>
      <c r="I916" t="n">
        <v>0</v>
      </c>
      <c r="J916" t="n">
        <v>0</v>
      </c>
      <c r="K916" t="n">
        <v>0</v>
      </c>
      <c r="L916" t="n">
        <v>0</v>
      </c>
      <c r="M916" t="n">
        <v>0</v>
      </c>
      <c r="N916" t="n">
        <v>0</v>
      </c>
      <c r="O916" t="n">
        <v>0</v>
      </c>
      <c r="P916" t="n">
        <v>0</v>
      </c>
      <c r="Q916" t="n">
        <v>0</v>
      </c>
      <c r="R916" s="2" t="inlineStr"/>
    </row>
    <row r="917" ht="15" customHeight="1">
      <c r="A917" t="inlineStr">
        <is>
          <t>A 58260-2023</t>
        </is>
      </c>
      <c r="B917" s="1" t="n">
        <v>45245</v>
      </c>
      <c r="C917" s="1" t="n">
        <v>45922</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58261-2023</t>
        </is>
      </c>
      <c r="B918" s="1" t="n">
        <v>45245</v>
      </c>
      <c r="C918" s="1" t="n">
        <v>45922</v>
      </c>
      <c r="D918" t="inlineStr">
        <is>
          <t>STOCKHOLMS LÄN</t>
        </is>
      </c>
      <c r="E918" t="inlineStr">
        <is>
          <t>NORRTÄLJE</t>
        </is>
      </c>
      <c r="G918" t="n">
        <v>53.5</v>
      </c>
      <c r="H918" t="n">
        <v>0</v>
      </c>
      <c r="I918" t="n">
        <v>0</v>
      </c>
      <c r="J918" t="n">
        <v>0</v>
      </c>
      <c r="K918" t="n">
        <v>0</v>
      </c>
      <c r="L918" t="n">
        <v>0</v>
      </c>
      <c r="M918" t="n">
        <v>0</v>
      </c>
      <c r="N918" t="n">
        <v>0</v>
      </c>
      <c r="O918" t="n">
        <v>0</v>
      </c>
      <c r="P918" t="n">
        <v>0</v>
      </c>
      <c r="Q918" t="n">
        <v>0</v>
      </c>
      <c r="R918" s="2" t="inlineStr"/>
    </row>
    <row r="919" ht="15" customHeight="1">
      <c r="A919" t="inlineStr">
        <is>
          <t>A 17348-2024</t>
        </is>
      </c>
      <c r="B919" s="1" t="n">
        <v>45414.58650462963</v>
      </c>
      <c r="C919" s="1" t="n">
        <v>45922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20011-2025</t>
        </is>
      </c>
      <c r="B920" s="1" t="n">
        <v>45772.29622685185</v>
      </c>
      <c r="C920" s="1" t="n">
        <v>45922</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29266-2022</t>
        </is>
      </c>
      <c r="B921" s="1" t="n">
        <v>44750.66068287037</v>
      </c>
      <c r="C921" s="1" t="n">
        <v>45922</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29278-2022</t>
        </is>
      </c>
      <c r="B922" s="1" t="n">
        <v>44750</v>
      </c>
      <c r="C922" s="1" t="n">
        <v>45922</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37273-2024</t>
        </is>
      </c>
      <c r="B923" s="1" t="n">
        <v>45540</v>
      </c>
      <c r="C923" s="1" t="n">
        <v>45922</v>
      </c>
      <c r="D923" t="inlineStr">
        <is>
          <t>STOCKHOLMS LÄN</t>
        </is>
      </c>
      <c r="E923" t="inlineStr">
        <is>
          <t>NORRTÄLJE</t>
        </is>
      </c>
      <c r="F923" t="inlineStr">
        <is>
          <t>Sveaskog</t>
        </is>
      </c>
      <c r="G923" t="n">
        <v>12.5</v>
      </c>
      <c r="H923" t="n">
        <v>0</v>
      </c>
      <c r="I923" t="n">
        <v>0</v>
      </c>
      <c r="J923" t="n">
        <v>0</v>
      </c>
      <c r="K923" t="n">
        <v>0</v>
      </c>
      <c r="L923" t="n">
        <v>0</v>
      </c>
      <c r="M923" t="n">
        <v>0</v>
      </c>
      <c r="N923" t="n">
        <v>0</v>
      </c>
      <c r="O923" t="n">
        <v>0</v>
      </c>
      <c r="P923" t="n">
        <v>0</v>
      </c>
      <c r="Q923" t="n">
        <v>0</v>
      </c>
      <c r="R923" s="2" t="inlineStr"/>
    </row>
    <row r="924" ht="15" customHeight="1">
      <c r="A924" t="inlineStr">
        <is>
          <t>A 12908-2025</t>
        </is>
      </c>
      <c r="B924" s="1" t="n">
        <v>45733.82105324074</v>
      </c>
      <c r="C924" s="1" t="n">
        <v>45922</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13089-2022</t>
        </is>
      </c>
      <c r="B925" s="1" t="n">
        <v>44643</v>
      </c>
      <c r="C925" s="1" t="n">
        <v>45922</v>
      </c>
      <c r="D925" t="inlineStr">
        <is>
          <t>STOCKHOLMS LÄN</t>
        </is>
      </c>
      <c r="E925" t="inlineStr">
        <is>
          <t>NORRTÄLJE</t>
        </is>
      </c>
      <c r="G925" t="n">
        <v>4.5</v>
      </c>
      <c r="H925" t="n">
        <v>0</v>
      </c>
      <c r="I925" t="n">
        <v>0</v>
      </c>
      <c r="J925" t="n">
        <v>0</v>
      </c>
      <c r="K925" t="n">
        <v>0</v>
      </c>
      <c r="L925" t="n">
        <v>0</v>
      </c>
      <c r="M925" t="n">
        <v>0</v>
      </c>
      <c r="N925" t="n">
        <v>0</v>
      </c>
      <c r="O925" t="n">
        <v>0</v>
      </c>
      <c r="P925" t="n">
        <v>0</v>
      </c>
      <c r="Q925" t="n">
        <v>0</v>
      </c>
      <c r="R925" s="2" t="inlineStr"/>
    </row>
    <row r="926" ht="15" customHeight="1">
      <c r="A926" t="inlineStr">
        <is>
          <t>A 48145-2024</t>
        </is>
      </c>
      <c r="B926" s="1" t="n">
        <v>45589.6756712963</v>
      </c>
      <c r="C926" s="1" t="n">
        <v>45922</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23060-2023</t>
        </is>
      </c>
      <c r="B927" s="1" t="n">
        <v>45075</v>
      </c>
      <c r="C927" s="1" t="n">
        <v>45922</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44349-2025</t>
        </is>
      </c>
      <c r="B928" s="1" t="n">
        <v>45916.43929398148</v>
      </c>
      <c r="C928" s="1" t="n">
        <v>45922</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23998-2024</t>
        </is>
      </c>
      <c r="B929" s="1" t="n">
        <v>45456</v>
      </c>
      <c r="C929" s="1" t="n">
        <v>45922</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22359-2025</t>
        </is>
      </c>
      <c r="B930" s="1" t="n">
        <v>45786</v>
      </c>
      <c r="C930" s="1" t="n">
        <v>45922</v>
      </c>
      <c r="D930" t="inlineStr">
        <is>
          <t>STOCKHOLMS LÄN</t>
        </is>
      </c>
      <c r="E930" t="inlineStr">
        <is>
          <t>NORRTÄLJE</t>
        </is>
      </c>
      <c r="G930" t="n">
        <v>5</v>
      </c>
      <c r="H930" t="n">
        <v>0</v>
      </c>
      <c r="I930" t="n">
        <v>0</v>
      </c>
      <c r="J930" t="n">
        <v>0</v>
      </c>
      <c r="K930" t="n">
        <v>0</v>
      </c>
      <c r="L930" t="n">
        <v>0</v>
      </c>
      <c r="M930" t="n">
        <v>0</v>
      </c>
      <c r="N930" t="n">
        <v>0</v>
      </c>
      <c r="O930" t="n">
        <v>0</v>
      </c>
      <c r="P930" t="n">
        <v>0</v>
      </c>
      <c r="Q930" t="n">
        <v>0</v>
      </c>
      <c r="R930" s="2" t="inlineStr"/>
    </row>
    <row r="931" ht="15" customHeight="1">
      <c r="A931" t="inlineStr">
        <is>
          <t>A 51720-2020</t>
        </is>
      </c>
      <c r="B931" s="1" t="n">
        <v>44113</v>
      </c>
      <c r="C931" s="1" t="n">
        <v>45922</v>
      </c>
      <c r="D931" t="inlineStr">
        <is>
          <t>STOCKHOLMS LÄN</t>
        </is>
      </c>
      <c r="E931" t="inlineStr">
        <is>
          <t>NORRTÄLJE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15447-2023</t>
        </is>
      </c>
      <c r="B932" s="1" t="n">
        <v>45020</v>
      </c>
      <c r="C932" s="1" t="n">
        <v>45922</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44354-2025</t>
        </is>
      </c>
      <c r="B933" s="1" t="n">
        <v>45916.44655092592</v>
      </c>
      <c r="C933" s="1" t="n">
        <v>45922</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44343-2025</t>
        </is>
      </c>
      <c r="B934" s="1" t="n">
        <v>45916.43378472222</v>
      </c>
      <c r="C934" s="1" t="n">
        <v>45922</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45922</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6401-2024</t>
        </is>
      </c>
      <c r="B936" s="1" t="n">
        <v>45338</v>
      </c>
      <c r="C936" s="1" t="n">
        <v>45922</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59504-2023</t>
        </is>
      </c>
      <c r="B937" s="1" t="n">
        <v>45254</v>
      </c>
      <c r="C937" s="1" t="n">
        <v>45922</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54358-2022</t>
        </is>
      </c>
      <c r="B938" s="1" t="n">
        <v>44882</v>
      </c>
      <c r="C938" s="1" t="n">
        <v>45922</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44333-2025</t>
        </is>
      </c>
      <c r="B939" s="1" t="n">
        <v>45916.42293981482</v>
      </c>
      <c r="C939" s="1" t="n">
        <v>45922</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44306-2025</t>
        </is>
      </c>
      <c r="B940" s="1" t="n">
        <v>45916.37736111111</v>
      </c>
      <c r="C940" s="1" t="n">
        <v>45922</v>
      </c>
      <c r="D940" t="inlineStr">
        <is>
          <t>STOCKHOLMS LÄN</t>
        </is>
      </c>
      <c r="E940" t="inlineStr">
        <is>
          <t>NORRTÄLJE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44311-2025</t>
        </is>
      </c>
      <c r="B941" s="1" t="n">
        <v>45916.38394675926</v>
      </c>
      <c r="C941" s="1" t="n">
        <v>45922</v>
      </c>
      <c r="D941" t="inlineStr">
        <is>
          <t>STOCKHOLMS LÄN</t>
        </is>
      </c>
      <c r="E941" t="inlineStr">
        <is>
          <t>NORRTÄLJE</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37261-2025</t>
        </is>
      </c>
      <c r="B942" s="1" t="n">
        <v>45876.45253472222</v>
      </c>
      <c r="C942" s="1" t="n">
        <v>45922</v>
      </c>
      <c r="D942" t="inlineStr">
        <is>
          <t>STOCKHOLMS LÄN</t>
        </is>
      </c>
      <c r="E942" t="inlineStr">
        <is>
          <t>NORRTÄLJE</t>
        </is>
      </c>
      <c r="F942" t="inlineStr">
        <is>
          <t>Kommuner</t>
        </is>
      </c>
      <c r="G942" t="n">
        <v>2.2</v>
      </c>
      <c r="H942" t="n">
        <v>0</v>
      </c>
      <c r="I942" t="n">
        <v>0</v>
      </c>
      <c r="J942" t="n">
        <v>0</v>
      </c>
      <c r="K942" t="n">
        <v>0</v>
      </c>
      <c r="L942" t="n">
        <v>0</v>
      </c>
      <c r="M942" t="n">
        <v>0</v>
      </c>
      <c r="N942" t="n">
        <v>0</v>
      </c>
      <c r="O942" t="n">
        <v>0</v>
      </c>
      <c r="P942" t="n">
        <v>0</v>
      </c>
      <c r="Q942" t="n">
        <v>0</v>
      </c>
      <c r="R942" s="2" t="inlineStr"/>
    </row>
    <row r="943" ht="15" customHeight="1">
      <c r="A943" t="inlineStr">
        <is>
          <t>A 23263-2023</t>
        </is>
      </c>
      <c r="B943" s="1" t="n">
        <v>45075</v>
      </c>
      <c r="C943" s="1" t="n">
        <v>45922</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23264-2023</t>
        </is>
      </c>
      <c r="B944" s="1" t="n">
        <v>45075</v>
      </c>
      <c r="C944" s="1" t="n">
        <v>45922</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23267-2023</t>
        </is>
      </c>
      <c r="B945" s="1" t="n">
        <v>45075.90934027778</v>
      </c>
      <c r="C945" s="1" t="n">
        <v>45922</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23269-2023</t>
        </is>
      </c>
      <c r="B946" s="1" t="n">
        <v>45075.91148148148</v>
      </c>
      <c r="C946" s="1" t="n">
        <v>45922</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19911-2025</t>
        </is>
      </c>
      <c r="B947" s="1" t="n">
        <v>45771</v>
      </c>
      <c r="C947" s="1" t="n">
        <v>45922</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5831-2022</t>
        </is>
      </c>
      <c r="B948" s="1" t="n">
        <v>44596</v>
      </c>
      <c r="C948" s="1" t="n">
        <v>45922</v>
      </c>
      <c r="D948" t="inlineStr">
        <is>
          <t>STOCKHOLMS LÄN</t>
        </is>
      </c>
      <c r="E948" t="inlineStr">
        <is>
          <t>NORRTÄLJE</t>
        </is>
      </c>
      <c r="G948" t="n">
        <v>4.8</v>
      </c>
      <c r="H948" t="n">
        <v>0</v>
      </c>
      <c r="I948" t="n">
        <v>0</v>
      </c>
      <c r="J948" t="n">
        <v>0</v>
      </c>
      <c r="K948" t="n">
        <v>0</v>
      </c>
      <c r="L948" t="n">
        <v>0</v>
      </c>
      <c r="M948" t="n">
        <v>0</v>
      </c>
      <c r="N948" t="n">
        <v>0</v>
      </c>
      <c r="O948" t="n">
        <v>0</v>
      </c>
      <c r="P948" t="n">
        <v>0</v>
      </c>
      <c r="Q948" t="n">
        <v>0</v>
      </c>
      <c r="R948" s="2" t="inlineStr"/>
    </row>
    <row r="949" ht="15" customHeight="1">
      <c r="A949" t="inlineStr">
        <is>
          <t>A 5867-2022</t>
        </is>
      </c>
      <c r="B949" s="1" t="n">
        <v>44596.66335648148</v>
      </c>
      <c r="C949" s="1" t="n">
        <v>45922</v>
      </c>
      <c r="D949" t="inlineStr">
        <is>
          <t>STOCKHOLMS LÄN</t>
        </is>
      </c>
      <c r="E949" t="inlineStr">
        <is>
          <t>NORRTÄLJE</t>
        </is>
      </c>
      <c r="F949" t="inlineStr">
        <is>
          <t>Naturvårdsverket</t>
        </is>
      </c>
      <c r="G949" t="n">
        <v>1.6</v>
      </c>
      <c r="H949" t="n">
        <v>0</v>
      </c>
      <c r="I949" t="n">
        <v>0</v>
      </c>
      <c r="J949" t="n">
        <v>0</v>
      </c>
      <c r="K949" t="n">
        <v>0</v>
      </c>
      <c r="L949" t="n">
        <v>0</v>
      </c>
      <c r="M949" t="n">
        <v>0</v>
      </c>
      <c r="N949" t="n">
        <v>0</v>
      </c>
      <c r="O949" t="n">
        <v>0</v>
      </c>
      <c r="P949" t="n">
        <v>0</v>
      </c>
      <c r="Q949" t="n">
        <v>0</v>
      </c>
      <c r="R949" s="2" t="inlineStr"/>
    </row>
    <row r="950" ht="15" customHeight="1">
      <c r="A950" t="inlineStr">
        <is>
          <t>A 52321-2024</t>
        </is>
      </c>
      <c r="B950" s="1" t="n">
        <v>45608</v>
      </c>
      <c r="C950" s="1" t="n">
        <v>45922</v>
      </c>
      <c r="D950" t="inlineStr">
        <is>
          <t>STOCKHOLMS LÄN</t>
        </is>
      </c>
      <c r="E950" t="inlineStr">
        <is>
          <t>NORRTÄLJE</t>
        </is>
      </c>
      <c r="G950" t="n">
        <v>18.1</v>
      </c>
      <c r="H950" t="n">
        <v>0</v>
      </c>
      <c r="I950" t="n">
        <v>0</v>
      </c>
      <c r="J950" t="n">
        <v>0</v>
      </c>
      <c r="K950" t="n">
        <v>0</v>
      </c>
      <c r="L950" t="n">
        <v>0</v>
      </c>
      <c r="M950" t="n">
        <v>0</v>
      </c>
      <c r="N950" t="n">
        <v>0</v>
      </c>
      <c r="O950" t="n">
        <v>0</v>
      </c>
      <c r="P950" t="n">
        <v>0</v>
      </c>
      <c r="Q950" t="n">
        <v>0</v>
      </c>
      <c r="R950" s="2" t="inlineStr"/>
    </row>
    <row r="951" ht="15" customHeight="1">
      <c r="A951" t="inlineStr">
        <is>
          <t>A 20244-2025</t>
        </is>
      </c>
      <c r="B951" s="1" t="n">
        <v>45772.71221064815</v>
      </c>
      <c r="C951" s="1" t="n">
        <v>45922</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48151-2024</t>
        </is>
      </c>
      <c r="B952" s="1" t="n">
        <v>45589.68289351852</v>
      </c>
      <c r="C952" s="1" t="n">
        <v>45922</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48633-2023</t>
        </is>
      </c>
      <c r="B953" s="1" t="n">
        <v>45208.58004629629</v>
      </c>
      <c r="C953" s="1" t="n">
        <v>45922</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39669-2024</t>
        </is>
      </c>
      <c r="B954" s="1" t="n">
        <v>45552.52827546297</v>
      </c>
      <c r="C954" s="1" t="n">
        <v>45922</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35636-2025</t>
        </is>
      </c>
      <c r="B955" s="1" t="n">
        <v>45859</v>
      </c>
      <c r="C955" s="1" t="n">
        <v>45922</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35639-2025</t>
        </is>
      </c>
      <c r="B956" s="1" t="n">
        <v>45859</v>
      </c>
      <c r="C956" s="1" t="n">
        <v>45922</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20370-2025</t>
        </is>
      </c>
      <c r="B957" s="1" t="n">
        <v>45775.41451388889</v>
      </c>
      <c r="C957" s="1" t="n">
        <v>45922</v>
      </c>
      <c r="D957" t="inlineStr">
        <is>
          <t>STOCKHOLMS LÄN</t>
        </is>
      </c>
      <c r="E957" t="inlineStr">
        <is>
          <t>NORRTÄLJE</t>
        </is>
      </c>
      <c r="G957" t="n">
        <v>2.9</v>
      </c>
      <c r="H957" t="n">
        <v>0</v>
      </c>
      <c r="I957" t="n">
        <v>0</v>
      </c>
      <c r="J957" t="n">
        <v>0</v>
      </c>
      <c r="K957" t="n">
        <v>0</v>
      </c>
      <c r="L957" t="n">
        <v>0</v>
      </c>
      <c r="M957" t="n">
        <v>0</v>
      </c>
      <c r="N957" t="n">
        <v>0</v>
      </c>
      <c r="O957" t="n">
        <v>0</v>
      </c>
      <c r="P957" t="n">
        <v>0</v>
      </c>
      <c r="Q957" t="n">
        <v>0</v>
      </c>
      <c r="R957" s="2" t="inlineStr"/>
    </row>
    <row r="958" ht="15" customHeight="1">
      <c r="A958" t="inlineStr">
        <is>
          <t>A 19580-2022</t>
        </is>
      </c>
      <c r="B958" s="1" t="n">
        <v>44693</v>
      </c>
      <c r="C958" s="1" t="n">
        <v>45922</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44937-2025</t>
        </is>
      </c>
      <c r="B959" s="1" t="n">
        <v>45918.58224537037</v>
      </c>
      <c r="C959" s="1" t="n">
        <v>45922</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30731-2023</t>
        </is>
      </c>
      <c r="B960" s="1" t="n">
        <v>45112</v>
      </c>
      <c r="C960" s="1" t="n">
        <v>45922</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4580-2025</t>
        </is>
      </c>
      <c r="B961" s="1" t="n">
        <v>45687.5038425926</v>
      </c>
      <c r="C961" s="1" t="n">
        <v>45922</v>
      </c>
      <c r="D961" t="inlineStr">
        <is>
          <t>STOCKHOLMS LÄN</t>
        </is>
      </c>
      <c r="E961" t="inlineStr">
        <is>
          <t>NORRTÄLJE</t>
        </is>
      </c>
      <c r="F961" t="inlineStr">
        <is>
          <t>Holmen skog AB</t>
        </is>
      </c>
      <c r="G961" t="n">
        <v>4.8</v>
      </c>
      <c r="H961" t="n">
        <v>0</v>
      </c>
      <c r="I961" t="n">
        <v>0</v>
      </c>
      <c r="J961" t="n">
        <v>0</v>
      </c>
      <c r="K961" t="n">
        <v>0</v>
      </c>
      <c r="L961" t="n">
        <v>0</v>
      </c>
      <c r="M961" t="n">
        <v>0</v>
      </c>
      <c r="N961" t="n">
        <v>0</v>
      </c>
      <c r="O961" t="n">
        <v>0</v>
      </c>
      <c r="P961" t="n">
        <v>0</v>
      </c>
      <c r="Q961" t="n">
        <v>0</v>
      </c>
      <c r="R961" s="2" t="inlineStr"/>
    </row>
    <row r="962" ht="15" customHeight="1">
      <c r="A962" t="inlineStr">
        <is>
          <t>A 31057-2022</t>
        </is>
      </c>
      <c r="B962" s="1" t="n">
        <v>44769</v>
      </c>
      <c r="C962" s="1" t="n">
        <v>45922</v>
      </c>
      <c r="D962" t="inlineStr">
        <is>
          <t>STOCKHOLMS LÄN</t>
        </is>
      </c>
      <c r="E962" t="inlineStr">
        <is>
          <t>NORRTÄLJE</t>
        </is>
      </c>
      <c r="G962" t="n">
        <v>6.5</v>
      </c>
      <c r="H962" t="n">
        <v>0</v>
      </c>
      <c r="I962" t="n">
        <v>0</v>
      </c>
      <c r="J962" t="n">
        <v>0</v>
      </c>
      <c r="K962" t="n">
        <v>0</v>
      </c>
      <c r="L962" t="n">
        <v>0</v>
      </c>
      <c r="M962" t="n">
        <v>0</v>
      </c>
      <c r="N962" t="n">
        <v>0</v>
      </c>
      <c r="O962" t="n">
        <v>0</v>
      </c>
      <c r="P962" t="n">
        <v>0</v>
      </c>
      <c r="Q962" t="n">
        <v>0</v>
      </c>
      <c r="R962" s="2" t="inlineStr"/>
    </row>
    <row r="963" ht="15" customHeight="1">
      <c r="A963" t="inlineStr">
        <is>
          <t>A 43170-2023</t>
        </is>
      </c>
      <c r="B963" s="1" t="n">
        <v>45183</v>
      </c>
      <c r="C963" s="1" t="n">
        <v>45922</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9-2024</t>
        </is>
      </c>
      <c r="B964" s="1" t="n">
        <v>45293</v>
      </c>
      <c r="C964" s="1" t="n">
        <v>45922</v>
      </c>
      <c r="D964" t="inlineStr">
        <is>
          <t>STOCKHOLMS LÄN</t>
        </is>
      </c>
      <c r="E964" t="inlineStr">
        <is>
          <t>NORRTÄLJE</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22832-2021</t>
        </is>
      </c>
      <c r="B965" s="1" t="n">
        <v>44325</v>
      </c>
      <c r="C965" s="1" t="n">
        <v>45922</v>
      </c>
      <c r="D965" t="inlineStr">
        <is>
          <t>STOCKHOLMS LÄN</t>
        </is>
      </c>
      <c r="E965" t="inlineStr">
        <is>
          <t>NORRTÄLJE</t>
        </is>
      </c>
      <c r="G965" t="n">
        <v>6.8</v>
      </c>
      <c r="H965" t="n">
        <v>0</v>
      </c>
      <c r="I965" t="n">
        <v>0</v>
      </c>
      <c r="J965" t="n">
        <v>0</v>
      </c>
      <c r="K965" t="n">
        <v>0</v>
      </c>
      <c r="L965" t="n">
        <v>0</v>
      </c>
      <c r="M965" t="n">
        <v>0</v>
      </c>
      <c r="N965" t="n">
        <v>0</v>
      </c>
      <c r="O965" t="n">
        <v>0</v>
      </c>
      <c r="P965" t="n">
        <v>0</v>
      </c>
      <c r="Q965" t="n">
        <v>0</v>
      </c>
      <c r="R965" s="2" t="inlineStr"/>
    </row>
    <row r="966" ht="15" customHeight="1">
      <c r="A966" t="inlineStr">
        <is>
          <t>A 13137-2024</t>
        </is>
      </c>
      <c r="B966" s="1" t="n">
        <v>45386.34175925926</v>
      </c>
      <c r="C966" s="1" t="n">
        <v>45922</v>
      </c>
      <c r="D966" t="inlineStr">
        <is>
          <t>STOCKHOLMS LÄN</t>
        </is>
      </c>
      <c r="E966" t="inlineStr">
        <is>
          <t>NORRTÄLJE</t>
        </is>
      </c>
      <c r="G966" t="n">
        <v>5</v>
      </c>
      <c r="H966" t="n">
        <v>0</v>
      </c>
      <c r="I966" t="n">
        <v>0</v>
      </c>
      <c r="J966" t="n">
        <v>0</v>
      </c>
      <c r="K966" t="n">
        <v>0</v>
      </c>
      <c r="L966" t="n">
        <v>0</v>
      </c>
      <c r="M966" t="n">
        <v>0</v>
      </c>
      <c r="N966" t="n">
        <v>0</v>
      </c>
      <c r="O966" t="n">
        <v>0</v>
      </c>
      <c r="P966" t="n">
        <v>0</v>
      </c>
      <c r="Q966" t="n">
        <v>0</v>
      </c>
      <c r="R966" s="2" t="inlineStr"/>
    </row>
    <row r="967" ht="15" customHeight="1">
      <c r="A967" t="inlineStr">
        <is>
          <t>A 16913-2025</t>
        </is>
      </c>
      <c r="B967" s="1" t="n">
        <v>45755.36583333334</v>
      </c>
      <c r="C967" s="1" t="n">
        <v>45922</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31140-2023</t>
        </is>
      </c>
      <c r="B968" s="1" t="n">
        <v>45113</v>
      </c>
      <c r="C968" s="1" t="n">
        <v>45922</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31149-2023</t>
        </is>
      </c>
      <c r="B969" s="1" t="n">
        <v>45113</v>
      </c>
      <c r="C969" s="1" t="n">
        <v>45922</v>
      </c>
      <c r="D969" t="inlineStr">
        <is>
          <t>STOCKHOLMS LÄN</t>
        </is>
      </c>
      <c r="E969" t="inlineStr">
        <is>
          <t>NORRTÄLJE</t>
        </is>
      </c>
      <c r="G969" t="n">
        <v>7.1</v>
      </c>
      <c r="H969" t="n">
        <v>0</v>
      </c>
      <c r="I969" t="n">
        <v>0</v>
      </c>
      <c r="J969" t="n">
        <v>0</v>
      </c>
      <c r="K969" t="n">
        <v>0</v>
      </c>
      <c r="L969" t="n">
        <v>0</v>
      </c>
      <c r="M969" t="n">
        <v>0</v>
      </c>
      <c r="N969" t="n">
        <v>0</v>
      </c>
      <c r="O969" t="n">
        <v>0</v>
      </c>
      <c r="P969" t="n">
        <v>0</v>
      </c>
      <c r="Q969" t="n">
        <v>0</v>
      </c>
      <c r="R969" s="2" t="inlineStr"/>
    </row>
    <row r="970" ht="15" customHeight="1">
      <c r="A970" t="inlineStr">
        <is>
          <t>A 4035-2023</t>
        </is>
      </c>
      <c r="B970" s="1" t="n">
        <v>44952.57989583333</v>
      </c>
      <c r="C970" s="1" t="n">
        <v>45922</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4658-2024</t>
        </is>
      </c>
      <c r="B971" s="1" t="n">
        <v>45328.46336805556</v>
      </c>
      <c r="C971" s="1" t="n">
        <v>45922</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19131-2025</t>
        </is>
      </c>
      <c r="B972" s="1" t="n">
        <v>45769</v>
      </c>
      <c r="C972" s="1" t="n">
        <v>45922</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33793-2022</t>
        </is>
      </c>
      <c r="B973" s="1" t="n">
        <v>44790</v>
      </c>
      <c r="C973" s="1" t="n">
        <v>45922</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53600-2022</t>
        </is>
      </c>
      <c r="B974" s="1" t="n">
        <v>44879.70518518519</v>
      </c>
      <c r="C974" s="1" t="n">
        <v>45922</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7697-2025</t>
        </is>
      </c>
      <c r="B975" s="1" t="n">
        <v>45706.40086805556</v>
      </c>
      <c r="C975" s="1" t="n">
        <v>45922</v>
      </c>
      <c r="D975" t="inlineStr">
        <is>
          <t>STOCKHOLMS LÄN</t>
        </is>
      </c>
      <c r="E975" t="inlineStr">
        <is>
          <t>NORRTÄLJE</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30221-2024</t>
        </is>
      </c>
      <c r="B976" s="1" t="n">
        <v>45490.45342592592</v>
      </c>
      <c r="C976" s="1" t="n">
        <v>45922</v>
      </c>
      <c r="D976" t="inlineStr">
        <is>
          <t>STOCKHOLMS LÄN</t>
        </is>
      </c>
      <c r="E976" t="inlineStr">
        <is>
          <t>NORRTÄLJE</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13-2024</t>
        </is>
      </c>
      <c r="B977" s="1" t="n">
        <v>45293.37263888889</v>
      </c>
      <c r="C977" s="1" t="n">
        <v>45922</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19-2024</t>
        </is>
      </c>
      <c r="B978" s="1" t="n">
        <v>45293</v>
      </c>
      <c r="C978" s="1" t="n">
        <v>45922</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7571-2024</t>
        </is>
      </c>
      <c r="B979" s="1" t="n">
        <v>45348.46300925926</v>
      </c>
      <c r="C979" s="1" t="n">
        <v>45922</v>
      </c>
      <c r="D979" t="inlineStr">
        <is>
          <t>STOCKHOLMS LÄN</t>
        </is>
      </c>
      <c r="E979" t="inlineStr">
        <is>
          <t>NORRTÄLJE</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31559-2022</t>
        </is>
      </c>
      <c r="B980" s="1" t="n">
        <v>44775</v>
      </c>
      <c r="C980" s="1" t="n">
        <v>45922</v>
      </c>
      <c r="D980" t="inlineStr">
        <is>
          <t>STOCKHOLMS LÄN</t>
        </is>
      </c>
      <c r="E980" t="inlineStr">
        <is>
          <t>NORRTÄLJE</t>
        </is>
      </c>
      <c r="G980" t="n">
        <v>5.6</v>
      </c>
      <c r="H980" t="n">
        <v>0</v>
      </c>
      <c r="I980" t="n">
        <v>0</v>
      </c>
      <c r="J980" t="n">
        <v>0</v>
      </c>
      <c r="K980" t="n">
        <v>0</v>
      </c>
      <c r="L980" t="n">
        <v>0</v>
      </c>
      <c r="M980" t="n">
        <v>0</v>
      </c>
      <c r="N980" t="n">
        <v>0</v>
      </c>
      <c r="O980" t="n">
        <v>0</v>
      </c>
      <c r="P980" t="n">
        <v>0</v>
      </c>
      <c r="Q980" t="n">
        <v>0</v>
      </c>
      <c r="R980" s="2" t="inlineStr"/>
    </row>
    <row r="981" ht="15" customHeight="1">
      <c r="A981" t="inlineStr">
        <is>
          <t>A 10511-2025</t>
        </is>
      </c>
      <c r="B981" s="1" t="n">
        <v>45721.40780092592</v>
      </c>
      <c r="C981" s="1" t="n">
        <v>45922</v>
      </c>
      <c r="D981" t="inlineStr">
        <is>
          <t>STOCKHOLMS LÄN</t>
        </is>
      </c>
      <c r="E981" t="inlineStr">
        <is>
          <t>NORRTÄLJE</t>
        </is>
      </c>
      <c r="G981" t="n">
        <v>2.6</v>
      </c>
      <c r="H981" t="n">
        <v>0</v>
      </c>
      <c r="I981" t="n">
        <v>0</v>
      </c>
      <c r="J981" t="n">
        <v>0</v>
      </c>
      <c r="K981" t="n">
        <v>0</v>
      </c>
      <c r="L981" t="n">
        <v>0</v>
      </c>
      <c r="M981" t="n">
        <v>0</v>
      </c>
      <c r="N981" t="n">
        <v>0</v>
      </c>
      <c r="O981" t="n">
        <v>0</v>
      </c>
      <c r="P981" t="n">
        <v>0</v>
      </c>
      <c r="Q981" t="n">
        <v>0</v>
      </c>
      <c r="R981" s="2" t="inlineStr"/>
    </row>
    <row r="982" ht="15" customHeight="1">
      <c r="A982" t="inlineStr">
        <is>
          <t>A 8419-2025</t>
        </is>
      </c>
      <c r="B982" s="1" t="n">
        <v>45709.40231481481</v>
      </c>
      <c r="C982" s="1" t="n">
        <v>45922</v>
      </c>
      <c r="D982" t="inlineStr">
        <is>
          <t>STOCKHOLMS LÄN</t>
        </is>
      </c>
      <c r="E982" t="inlineStr">
        <is>
          <t>NORRTÄLJE</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11849-2025</t>
        </is>
      </c>
      <c r="B983" s="1" t="n">
        <v>45728.38409722222</v>
      </c>
      <c r="C983" s="1" t="n">
        <v>45922</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40425-2021</t>
        </is>
      </c>
      <c r="B984" s="1" t="n">
        <v>44419</v>
      </c>
      <c r="C984" s="1" t="n">
        <v>45922</v>
      </c>
      <c r="D984" t="inlineStr">
        <is>
          <t>STOCKHOLMS LÄN</t>
        </is>
      </c>
      <c r="E984" t="inlineStr">
        <is>
          <t>NORRTÄLJE</t>
        </is>
      </c>
      <c r="G984" t="n">
        <v>5</v>
      </c>
      <c r="H984" t="n">
        <v>0</v>
      </c>
      <c r="I984" t="n">
        <v>0</v>
      </c>
      <c r="J984" t="n">
        <v>0</v>
      </c>
      <c r="K984" t="n">
        <v>0</v>
      </c>
      <c r="L984" t="n">
        <v>0</v>
      </c>
      <c r="M984" t="n">
        <v>0</v>
      </c>
      <c r="N984" t="n">
        <v>0</v>
      </c>
      <c r="O984" t="n">
        <v>0</v>
      </c>
      <c r="P984" t="n">
        <v>0</v>
      </c>
      <c r="Q984" t="n">
        <v>0</v>
      </c>
      <c r="R984" s="2" t="inlineStr"/>
    </row>
    <row r="985" ht="15" customHeight="1">
      <c r="A985" t="inlineStr">
        <is>
          <t>A 66662-2020</t>
        </is>
      </c>
      <c r="B985" s="1" t="n">
        <v>44179</v>
      </c>
      <c r="C985" s="1" t="n">
        <v>45922</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35161-2022</t>
        </is>
      </c>
      <c r="B986" s="1" t="n">
        <v>44797</v>
      </c>
      <c r="C986" s="1" t="n">
        <v>45922</v>
      </c>
      <c r="D986" t="inlineStr">
        <is>
          <t>STOCKHOLMS LÄN</t>
        </is>
      </c>
      <c r="E986" t="inlineStr">
        <is>
          <t>NORRTÄLJE</t>
        </is>
      </c>
      <c r="G986" t="n">
        <v>6</v>
      </c>
      <c r="H986" t="n">
        <v>0</v>
      </c>
      <c r="I986" t="n">
        <v>0</v>
      </c>
      <c r="J986" t="n">
        <v>0</v>
      </c>
      <c r="K986" t="n">
        <v>0</v>
      </c>
      <c r="L986" t="n">
        <v>0</v>
      </c>
      <c r="M986" t="n">
        <v>0</v>
      </c>
      <c r="N986" t="n">
        <v>0</v>
      </c>
      <c r="O986" t="n">
        <v>0</v>
      </c>
      <c r="P986" t="n">
        <v>0</v>
      </c>
      <c r="Q986" t="n">
        <v>0</v>
      </c>
      <c r="R986" s="2" t="inlineStr"/>
    </row>
    <row r="987" ht="15" customHeight="1">
      <c r="A987" t="inlineStr">
        <is>
          <t>A 58990-2021</t>
        </is>
      </c>
      <c r="B987" s="1" t="n">
        <v>44490.03621527777</v>
      </c>
      <c r="C987" s="1" t="n">
        <v>45922</v>
      </c>
      <c r="D987" t="inlineStr">
        <is>
          <t>STOCKHOLMS LÄN</t>
        </is>
      </c>
      <c r="E987" t="inlineStr">
        <is>
          <t>NORRTÄLJE</t>
        </is>
      </c>
      <c r="G987" t="n">
        <v>4.2</v>
      </c>
      <c r="H987" t="n">
        <v>0</v>
      </c>
      <c r="I987" t="n">
        <v>0</v>
      </c>
      <c r="J987" t="n">
        <v>0</v>
      </c>
      <c r="K987" t="n">
        <v>0</v>
      </c>
      <c r="L987" t="n">
        <v>0</v>
      </c>
      <c r="M987" t="n">
        <v>0</v>
      </c>
      <c r="N987" t="n">
        <v>0</v>
      </c>
      <c r="O987" t="n">
        <v>0</v>
      </c>
      <c r="P987" t="n">
        <v>0</v>
      </c>
      <c r="Q987" t="n">
        <v>0</v>
      </c>
      <c r="R987" s="2" t="inlineStr"/>
    </row>
    <row r="988" ht="15" customHeight="1">
      <c r="A988" t="inlineStr">
        <is>
          <t>A 58989-2021</t>
        </is>
      </c>
      <c r="B988" s="1" t="n">
        <v>44490.02482638889</v>
      </c>
      <c r="C988" s="1" t="n">
        <v>45922</v>
      </c>
      <c r="D988" t="inlineStr">
        <is>
          <t>STOCKHOLMS LÄN</t>
        </is>
      </c>
      <c r="E988" t="inlineStr">
        <is>
          <t>NORRTÄLJE</t>
        </is>
      </c>
      <c r="G988" t="n">
        <v>0.3</v>
      </c>
      <c r="H988" t="n">
        <v>0</v>
      </c>
      <c r="I988" t="n">
        <v>0</v>
      </c>
      <c r="J988" t="n">
        <v>0</v>
      </c>
      <c r="K988" t="n">
        <v>0</v>
      </c>
      <c r="L988" t="n">
        <v>0</v>
      </c>
      <c r="M988" t="n">
        <v>0</v>
      </c>
      <c r="N988" t="n">
        <v>0</v>
      </c>
      <c r="O988" t="n">
        <v>0</v>
      </c>
      <c r="P988" t="n">
        <v>0</v>
      </c>
      <c r="Q988" t="n">
        <v>0</v>
      </c>
      <c r="R988" s="2" t="inlineStr"/>
    </row>
    <row r="989" ht="15" customHeight="1">
      <c r="A989" t="inlineStr">
        <is>
          <t>A 46988-2024</t>
        </is>
      </c>
      <c r="B989" s="1" t="n">
        <v>45586</v>
      </c>
      <c r="C989" s="1" t="n">
        <v>45922</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21529-2021</t>
        </is>
      </c>
      <c r="B990" s="1" t="n">
        <v>44321</v>
      </c>
      <c r="C990" s="1" t="n">
        <v>45922</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13701-2022</t>
        </is>
      </c>
      <c r="B991" s="1" t="n">
        <v>44648</v>
      </c>
      <c r="C991" s="1" t="n">
        <v>45922</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20692-2025</t>
        </is>
      </c>
      <c r="B992" s="1" t="n">
        <v>45776.46369212963</v>
      </c>
      <c r="C992" s="1" t="n">
        <v>45922</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20790-2025</t>
        </is>
      </c>
      <c r="B993" s="1" t="n">
        <v>45776.62563657408</v>
      </c>
      <c r="C993" s="1" t="n">
        <v>45922</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20699-2025</t>
        </is>
      </c>
      <c r="B994" s="1" t="n">
        <v>45776.47346064815</v>
      </c>
      <c r="C994" s="1" t="n">
        <v>45922</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3152-2024</t>
        </is>
      </c>
      <c r="B995" s="1" t="n">
        <v>45316.60306712963</v>
      </c>
      <c r="C995" s="1" t="n">
        <v>45922</v>
      </c>
      <c r="D995" t="inlineStr">
        <is>
          <t>STOCKHOLMS LÄN</t>
        </is>
      </c>
      <c r="E995" t="inlineStr">
        <is>
          <t>NORRTÄLJE</t>
        </is>
      </c>
      <c r="G995" t="n">
        <v>7.9</v>
      </c>
      <c r="H995" t="n">
        <v>0</v>
      </c>
      <c r="I995" t="n">
        <v>0</v>
      </c>
      <c r="J995" t="n">
        <v>0</v>
      </c>
      <c r="K995" t="n">
        <v>0</v>
      </c>
      <c r="L995" t="n">
        <v>0</v>
      </c>
      <c r="M995" t="n">
        <v>0</v>
      </c>
      <c r="N995" t="n">
        <v>0</v>
      </c>
      <c r="O995" t="n">
        <v>0</v>
      </c>
      <c r="P995" t="n">
        <v>0</v>
      </c>
      <c r="Q995" t="n">
        <v>0</v>
      </c>
      <c r="R995" s="2" t="inlineStr"/>
    </row>
    <row r="996" ht="15" customHeight="1">
      <c r="A996" t="inlineStr">
        <is>
          <t>A 59326-2023</t>
        </is>
      </c>
      <c r="B996" s="1" t="n">
        <v>45253.63089120371</v>
      </c>
      <c r="C996" s="1" t="n">
        <v>45922</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44836-2023</t>
        </is>
      </c>
      <c r="B997" s="1" t="n">
        <v>45190.55609953704</v>
      </c>
      <c r="C997" s="1" t="n">
        <v>45922</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20779-2025</t>
        </is>
      </c>
      <c r="B998" s="1" t="n">
        <v>45776.59871527777</v>
      </c>
      <c r="C998" s="1" t="n">
        <v>45922</v>
      </c>
      <c r="D998" t="inlineStr">
        <is>
          <t>STOCKHOLMS LÄN</t>
        </is>
      </c>
      <c r="E998" t="inlineStr">
        <is>
          <t>NORRTÄLJE</t>
        </is>
      </c>
      <c r="G998" t="n">
        <v>6.9</v>
      </c>
      <c r="H998" t="n">
        <v>0</v>
      </c>
      <c r="I998" t="n">
        <v>0</v>
      </c>
      <c r="J998" t="n">
        <v>0</v>
      </c>
      <c r="K998" t="n">
        <v>0</v>
      </c>
      <c r="L998" t="n">
        <v>0</v>
      </c>
      <c r="M998" t="n">
        <v>0</v>
      </c>
      <c r="N998" t="n">
        <v>0</v>
      </c>
      <c r="O998" t="n">
        <v>0</v>
      </c>
      <c r="P998" t="n">
        <v>0</v>
      </c>
      <c r="Q998" t="n">
        <v>0</v>
      </c>
      <c r="R998" s="2" t="inlineStr"/>
    </row>
    <row r="999" ht="15" customHeight="1">
      <c r="A999" t="inlineStr">
        <is>
          <t>A 14132-2025</t>
        </is>
      </c>
      <c r="B999" s="1" t="n">
        <v>45740.47550925926</v>
      </c>
      <c r="C999" s="1" t="n">
        <v>45922</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14133-2025</t>
        </is>
      </c>
      <c r="B1000" s="1" t="n">
        <v>45740.47724537037</v>
      </c>
      <c r="C1000" s="1" t="n">
        <v>45922</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8792-2025</t>
        </is>
      </c>
      <c r="B1001" s="1" t="n">
        <v>45712</v>
      </c>
      <c r="C1001" s="1" t="n">
        <v>45922</v>
      </c>
      <c r="D1001" t="inlineStr">
        <is>
          <t>STOCKHOLMS LÄN</t>
        </is>
      </c>
      <c r="E1001" t="inlineStr">
        <is>
          <t>NORRTÄLJE</t>
        </is>
      </c>
      <c r="F1001" t="inlineStr">
        <is>
          <t>Övriga Aktiebolag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24887-2023</t>
        </is>
      </c>
      <c r="B1002" s="1" t="n">
        <v>45085</v>
      </c>
      <c r="C1002" s="1" t="n">
        <v>45922</v>
      </c>
      <c r="D1002" t="inlineStr">
        <is>
          <t>STOCKHOLMS LÄN</t>
        </is>
      </c>
      <c r="E1002" t="inlineStr">
        <is>
          <t>NORRTÄLJE</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4860-2022</t>
        </is>
      </c>
      <c r="B1003" s="1" t="n">
        <v>44592</v>
      </c>
      <c r="C1003" s="1" t="n">
        <v>45922</v>
      </c>
      <c r="D1003" t="inlineStr">
        <is>
          <t>STOCKHOLMS LÄN</t>
        </is>
      </c>
      <c r="E1003" t="inlineStr">
        <is>
          <t>NORRTÄLJE</t>
        </is>
      </c>
      <c r="G1003" t="n">
        <v>22.3</v>
      </c>
      <c r="H1003" t="n">
        <v>0</v>
      </c>
      <c r="I1003" t="n">
        <v>0</v>
      </c>
      <c r="J1003" t="n">
        <v>0</v>
      </c>
      <c r="K1003" t="n">
        <v>0</v>
      </c>
      <c r="L1003" t="n">
        <v>0</v>
      </c>
      <c r="M1003" t="n">
        <v>0</v>
      </c>
      <c r="N1003" t="n">
        <v>0</v>
      </c>
      <c r="O1003" t="n">
        <v>0</v>
      </c>
      <c r="P1003" t="n">
        <v>0</v>
      </c>
      <c r="Q1003" t="n">
        <v>0</v>
      </c>
      <c r="R1003" s="2" t="inlineStr"/>
    </row>
    <row r="1004" ht="15" customHeight="1">
      <c r="A1004" t="inlineStr">
        <is>
          <t>A 38612-2022</t>
        </is>
      </c>
      <c r="B1004" s="1" t="n">
        <v>44813</v>
      </c>
      <c r="C1004" s="1" t="n">
        <v>45922</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4326-2023</t>
        </is>
      </c>
      <c r="B1005" s="1" t="n">
        <v>44953.70481481482</v>
      </c>
      <c r="C1005" s="1" t="n">
        <v>45922</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21771-2025</t>
        </is>
      </c>
      <c r="B1006" s="1" t="n">
        <v>45783</v>
      </c>
      <c r="C1006" s="1" t="n">
        <v>45922</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54504-2024</t>
        </is>
      </c>
      <c r="B1007" s="1" t="n">
        <v>45617.58453703704</v>
      </c>
      <c r="C1007" s="1" t="n">
        <v>45922</v>
      </c>
      <c r="D1007" t="inlineStr">
        <is>
          <t>STOCKHOLMS LÄN</t>
        </is>
      </c>
      <c r="E1007" t="inlineStr">
        <is>
          <t>NORRTÄLJE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21778-2025</t>
        </is>
      </c>
      <c r="B1008" s="1" t="n">
        <v>45783.66429398148</v>
      </c>
      <c r="C1008" s="1" t="n">
        <v>45922</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21745-2023</t>
        </is>
      </c>
      <c r="B1009" s="1" t="n">
        <v>45065.55917824074</v>
      </c>
      <c r="C1009" s="1" t="n">
        <v>45922</v>
      </c>
      <c r="D1009" t="inlineStr">
        <is>
          <t>STOCKHOLMS LÄN</t>
        </is>
      </c>
      <c r="E1009" t="inlineStr">
        <is>
          <t>NORRTÄLJE</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21894-2023</t>
        </is>
      </c>
      <c r="B1010" s="1" t="n">
        <v>45068.51783564815</v>
      </c>
      <c r="C1010" s="1" t="n">
        <v>45922</v>
      </c>
      <c r="D1010" t="inlineStr">
        <is>
          <t>STOCKHOLMS LÄN</t>
        </is>
      </c>
      <c r="E1010" t="inlineStr">
        <is>
          <t>NORRTÄLJE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13276-2022</t>
        </is>
      </c>
      <c r="B1011" s="1" t="n">
        <v>44644</v>
      </c>
      <c r="C1011" s="1" t="n">
        <v>45922</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28182-2022</t>
        </is>
      </c>
      <c r="B1012" s="1" t="n">
        <v>44746.58530092592</v>
      </c>
      <c r="C1012" s="1" t="n">
        <v>45922</v>
      </c>
      <c r="D1012" t="inlineStr">
        <is>
          <t>STOCKHOLMS LÄN</t>
        </is>
      </c>
      <c r="E1012" t="inlineStr">
        <is>
          <t>NORRTÄLJE</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34461-2023</t>
        </is>
      </c>
      <c r="B1013" s="1" t="n">
        <v>45139</v>
      </c>
      <c r="C1013" s="1" t="n">
        <v>45922</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51046-2023</t>
        </is>
      </c>
      <c r="B1014" s="1" t="n">
        <v>45218</v>
      </c>
      <c r="C1014" s="1" t="n">
        <v>45922</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22202-2025</t>
        </is>
      </c>
      <c r="B1015" s="1" t="n">
        <v>45785.65300925926</v>
      </c>
      <c r="C1015" s="1" t="n">
        <v>45922</v>
      </c>
      <c r="D1015" t="inlineStr">
        <is>
          <t>STOCKHOLMS LÄN</t>
        </is>
      </c>
      <c r="E1015" t="inlineStr">
        <is>
          <t>NORRTÄLJE</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16620-2024</t>
        </is>
      </c>
      <c r="B1016" s="1" t="n">
        <v>45408.57707175926</v>
      </c>
      <c r="C1016" s="1" t="n">
        <v>45922</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30719-2025</t>
        </is>
      </c>
      <c r="B1017" s="1" t="n">
        <v>45831.56521990741</v>
      </c>
      <c r="C1017" s="1" t="n">
        <v>45922</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22416-2025</t>
        </is>
      </c>
      <c r="B1018" s="1" t="n">
        <v>45786.55645833333</v>
      </c>
      <c r="C1018" s="1" t="n">
        <v>45922</v>
      </c>
      <c r="D1018" t="inlineStr">
        <is>
          <t>STOCKHOLMS LÄN</t>
        </is>
      </c>
      <c r="E1018" t="inlineStr">
        <is>
          <t>NORRTÄLJE</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63824-2020</t>
        </is>
      </c>
      <c r="B1019" s="1" t="n">
        <v>44162</v>
      </c>
      <c r="C1019" s="1" t="n">
        <v>45922</v>
      </c>
      <c r="D1019" t="inlineStr">
        <is>
          <t>STOCKHOLMS LÄN</t>
        </is>
      </c>
      <c r="E1019" t="inlineStr">
        <is>
          <t>NORRTÄLJE</t>
        </is>
      </c>
      <c r="F1019" t="inlineStr">
        <is>
          <t>Övriga Aktiebolag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29369-2024</t>
        </is>
      </c>
      <c r="B1020" s="1" t="n">
        <v>45483.57244212963</v>
      </c>
      <c r="C1020" s="1" t="n">
        <v>45922</v>
      </c>
      <c r="D1020" t="inlineStr">
        <is>
          <t>STOCKHOLMS LÄN</t>
        </is>
      </c>
      <c r="E1020" t="inlineStr">
        <is>
          <t>NORRTÄLJE</t>
        </is>
      </c>
      <c r="G1020" t="n">
        <v>15.9</v>
      </c>
      <c r="H1020" t="n">
        <v>0</v>
      </c>
      <c r="I1020" t="n">
        <v>0</v>
      </c>
      <c r="J1020" t="n">
        <v>0</v>
      </c>
      <c r="K1020" t="n">
        <v>0</v>
      </c>
      <c r="L1020" t="n">
        <v>0</v>
      </c>
      <c r="M1020" t="n">
        <v>0</v>
      </c>
      <c r="N1020" t="n">
        <v>0</v>
      </c>
      <c r="O1020" t="n">
        <v>0</v>
      </c>
      <c r="P1020" t="n">
        <v>0</v>
      </c>
      <c r="Q1020" t="n">
        <v>0</v>
      </c>
      <c r="R1020" s="2" t="inlineStr"/>
    </row>
    <row r="1021" ht="15" customHeight="1">
      <c r="A1021" t="inlineStr">
        <is>
          <t>A 17382-2024</t>
        </is>
      </c>
      <c r="B1021" s="1" t="n">
        <v>45414.65855324074</v>
      </c>
      <c r="C1021" s="1" t="n">
        <v>45922</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6070-2022</t>
        </is>
      </c>
      <c r="B1022" s="1" t="n">
        <v>44599.58428240741</v>
      </c>
      <c r="C1022" s="1" t="n">
        <v>45922</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17039-2024</t>
        </is>
      </c>
      <c r="B1023" s="1" t="n">
        <v>45412.4104050926</v>
      </c>
      <c r="C1023" s="1" t="n">
        <v>45922</v>
      </c>
      <c r="D1023" t="inlineStr">
        <is>
          <t>STOCKHOLMS LÄN</t>
        </is>
      </c>
      <c r="E1023" t="inlineStr">
        <is>
          <t>NORRTÄLJE</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48180-2023</t>
        </is>
      </c>
      <c r="B1024" s="1" t="n">
        <v>45205</v>
      </c>
      <c r="C1024" s="1" t="n">
        <v>45922</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58785-2024</t>
        </is>
      </c>
      <c r="B1025" s="1" t="n">
        <v>45635.88849537037</v>
      </c>
      <c r="C1025" s="1" t="n">
        <v>45922</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35695-2023</t>
        </is>
      </c>
      <c r="B1026" s="1" t="n">
        <v>45147.65407407407</v>
      </c>
      <c r="C1026" s="1" t="n">
        <v>45922</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45173-2023</t>
        </is>
      </c>
      <c r="B1027" s="1" t="n">
        <v>45191</v>
      </c>
      <c r="C1027" s="1" t="n">
        <v>45922</v>
      </c>
      <c r="D1027" t="inlineStr">
        <is>
          <t>STOCKHOLMS LÄN</t>
        </is>
      </c>
      <c r="E1027" t="inlineStr">
        <is>
          <t>NORRTÄLJE</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2182-2022</t>
        </is>
      </c>
      <c r="B1028" s="1" t="n">
        <v>44578</v>
      </c>
      <c r="C1028" s="1" t="n">
        <v>45922</v>
      </c>
      <c r="D1028" t="inlineStr">
        <is>
          <t>STOCKHOLMS LÄN</t>
        </is>
      </c>
      <c r="E1028" t="inlineStr">
        <is>
          <t>NORRTÄLJE</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13268-2025</t>
        </is>
      </c>
      <c r="B1029" s="1" t="n">
        <v>45735</v>
      </c>
      <c r="C1029" s="1" t="n">
        <v>45922</v>
      </c>
      <c r="D1029" t="inlineStr">
        <is>
          <t>STOCKHOLMS LÄN</t>
        </is>
      </c>
      <c r="E1029" t="inlineStr">
        <is>
          <t>NORRTÄLJE</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8414-2025</t>
        </is>
      </c>
      <c r="B1030" s="1" t="n">
        <v>45709.39361111111</v>
      </c>
      <c r="C1030" s="1" t="n">
        <v>45922</v>
      </c>
      <c r="D1030" t="inlineStr">
        <is>
          <t>STOCKHOLMS LÄN</t>
        </is>
      </c>
      <c r="E1030" t="inlineStr">
        <is>
          <t>NORRTÄLJE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24705-2023</t>
        </is>
      </c>
      <c r="B1031" s="1" t="n">
        <v>45084.54459490741</v>
      </c>
      <c r="C1031" s="1" t="n">
        <v>45922</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36625-2024</t>
        </is>
      </c>
      <c r="B1032" s="1" t="n">
        <v>45537</v>
      </c>
      <c r="C1032" s="1" t="n">
        <v>45922</v>
      </c>
      <c r="D1032" t="inlineStr">
        <is>
          <t>STOCKHOLMS LÄN</t>
        </is>
      </c>
      <c r="E1032" t="inlineStr">
        <is>
          <t>NORRTÄLJE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44891-2023</t>
        </is>
      </c>
      <c r="B1033" s="1" t="n">
        <v>45187</v>
      </c>
      <c r="C1033" s="1" t="n">
        <v>45922</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12902-2024</t>
        </is>
      </c>
      <c r="B1034" s="1" t="n">
        <v>45385.38146990741</v>
      </c>
      <c r="C1034" s="1" t="n">
        <v>45922</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44032-2024</t>
        </is>
      </c>
      <c r="B1035" s="1" t="n">
        <v>45572.57828703704</v>
      </c>
      <c r="C1035" s="1" t="n">
        <v>45922</v>
      </c>
      <c r="D1035" t="inlineStr">
        <is>
          <t>STOCKHOLMS LÄN</t>
        </is>
      </c>
      <c r="E1035" t="inlineStr">
        <is>
          <t>NORRTÄLJE</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24563-2024</t>
        </is>
      </c>
      <c r="B1036" s="1" t="n">
        <v>45460.44347222222</v>
      </c>
      <c r="C1036" s="1" t="n">
        <v>45922</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39237-2024</t>
        </is>
      </c>
      <c r="B1037" s="1" t="n">
        <v>45549</v>
      </c>
      <c r="C1037" s="1" t="n">
        <v>45922</v>
      </c>
      <c r="D1037" t="inlineStr">
        <is>
          <t>STOCKHOLMS LÄN</t>
        </is>
      </c>
      <c r="E1037" t="inlineStr">
        <is>
          <t>NORRTÄLJE</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21696-2024</t>
        </is>
      </c>
      <c r="B1038" s="1" t="n">
        <v>45442.45686342593</v>
      </c>
      <c r="C1038" s="1" t="n">
        <v>45922</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56166-2020</t>
        </is>
      </c>
      <c r="B1039" s="1" t="n">
        <v>44133</v>
      </c>
      <c r="C1039" s="1" t="n">
        <v>45922</v>
      </c>
      <c r="D1039" t="inlineStr">
        <is>
          <t>STOCKHOLMS LÄN</t>
        </is>
      </c>
      <c r="E1039" t="inlineStr">
        <is>
          <t>NORRTÄLJE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45746-2024</t>
        </is>
      </c>
      <c r="B1040" s="1" t="n">
        <v>45579</v>
      </c>
      <c r="C1040" s="1" t="n">
        <v>45922</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8400-2024</t>
        </is>
      </c>
      <c r="B1041" s="1" t="n">
        <v>45352.74090277778</v>
      </c>
      <c r="C1041" s="1" t="n">
        <v>45922</v>
      </c>
      <c r="D1041" t="inlineStr">
        <is>
          <t>STOCKHOLMS LÄN</t>
        </is>
      </c>
      <c r="E1041" t="inlineStr">
        <is>
          <t>NORRTÄLJE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67990-2021</t>
        </is>
      </c>
      <c r="B1042" s="1" t="n">
        <v>44525</v>
      </c>
      <c r="C1042" s="1" t="n">
        <v>45922</v>
      </c>
      <c r="D1042" t="inlineStr">
        <is>
          <t>STOCKHOLMS LÄN</t>
        </is>
      </c>
      <c r="E1042" t="inlineStr">
        <is>
          <t>NORRTÄLJE</t>
        </is>
      </c>
      <c r="F1042" t="inlineStr">
        <is>
          <t>Sveaskog</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71552-2021</t>
        </is>
      </c>
      <c r="B1043" s="1" t="n">
        <v>44540</v>
      </c>
      <c r="C1043" s="1" t="n">
        <v>45922</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73992-2021</t>
        </is>
      </c>
      <c r="B1044" s="1" t="n">
        <v>44556</v>
      </c>
      <c r="C1044" s="1" t="n">
        <v>45922</v>
      </c>
      <c r="D1044" t="inlineStr">
        <is>
          <t>STOCKHOLMS LÄN</t>
        </is>
      </c>
      <c r="E1044" t="inlineStr">
        <is>
          <t>NORRTÄLJE</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26113-2024</t>
        </is>
      </c>
      <c r="B1045" s="1" t="n">
        <v>45468.45541666666</v>
      </c>
      <c r="C1045" s="1" t="n">
        <v>45922</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26116-2024</t>
        </is>
      </c>
      <c r="B1046" s="1" t="n">
        <v>45468.45747685185</v>
      </c>
      <c r="C1046" s="1" t="n">
        <v>45922</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62998-2023</t>
        </is>
      </c>
      <c r="B1047" s="1" t="n">
        <v>45272.64479166667</v>
      </c>
      <c r="C1047" s="1" t="n">
        <v>45922</v>
      </c>
      <c r="D1047" t="inlineStr">
        <is>
          <t>STOCKHOLMS LÄN</t>
        </is>
      </c>
      <c r="E1047" t="inlineStr">
        <is>
          <t>NORRTÄLJE</t>
        </is>
      </c>
      <c r="G1047" t="n">
        <v>16.3</v>
      </c>
      <c r="H1047" t="n">
        <v>0</v>
      </c>
      <c r="I1047" t="n">
        <v>0</v>
      </c>
      <c r="J1047" t="n">
        <v>0</v>
      </c>
      <c r="K1047" t="n">
        <v>0</v>
      </c>
      <c r="L1047" t="n">
        <v>0</v>
      </c>
      <c r="M1047" t="n">
        <v>0</v>
      </c>
      <c r="N1047" t="n">
        <v>0</v>
      </c>
      <c r="O1047" t="n">
        <v>0</v>
      </c>
      <c r="P1047" t="n">
        <v>0</v>
      </c>
      <c r="Q1047" t="n">
        <v>0</v>
      </c>
      <c r="R1047" s="2" t="inlineStr"/>
    </row>
    <row r="1048" ht="15" customHeight="1">
      <c r="A1048" t="inlineStr">
        <is>
          <t>A 63015-2023</t>
        </is>
      </c>
      <c r="B1048" s="1" t="n">
        <v>45272</v>
      </c>
      <c r="C1048" s="1" t="n">
        <v>45922</v>
      </c>
      <c r="D1048" t="inlineStr">
        <is>
          <t>STOCKHOLMS LÄN</t>
        </is>
      </c>
      <c r="E1048" t="inlineStr">
        <is>
          <t>NORRTÄLJE</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27831-2024</t>
        </is>
      </c>
      <c r="B1049" s="1" t="n">
        <v>45475.61896990741</v>
      </c>
      <c r="C1049" s="1" t="n">
        <v>45922</v>
      </c>
      <c r="D1049" t="inlineStr">
        <is>
          <t>STOCKHOLMS LÄN</t>
        </is>
      </c>
      <c r="E1049" t="inlineStr">
        <is>
          <t>NORRTÄLJE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33175-2024</t>
        </is>
      </c>
      <c r="B1050" s="1" t="n">
        <v>45518</v>
      </c>
      <c r="C1050" s="1" t="n">
        <v>45922</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21803-2022</t>
        </is>
      </c>
      <c r="B1051" s="1" t="n">
        <v>44708.67822916667</v>
      </c>
      <c r="C1051" s="1" t="n">
        <v>45922</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20730-2024</t>
        </is>
      </c>
      <c r="B1052" s="1" t="n">
        <v>45436</v>
      </c>
      <c r="C1052" s="1" t="n">
        <v>45922</v>
      </c>
      <c r="D1052" t="inlineStr">
        <is>
          <t>STOCKHOLMS LÄN</t>
        </is>
      </c>
      <c r="E1052" t="inlineStr">
        <is>
          <t>NORRTÄLJE</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12901-2024</t>
        </is>
      </c>
      <c r="B1053" s="1" t="n">
        <v>45385.37922453704</v>
      </c>
      <c r="C1053" s="1" t="n">
        <v>45922</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8950-2025</t>
        </is>
      </c>
      <c r="B1054" s="1" t="n">
        <v>45713</v>
      </c>
      <c r="C1054" s="1" t="n">
        <v>45922</v>
      </c>
      <c r="D1054" t="inlineStr">
        <is>
          <t>STOCKHOLMS LÄN</t>
        </is>
      </c>
      <c r="E1054" t="inlineStr">
        <is>
          <t>NORRTÄLJE</t>
        </is>
      </c>
      <c r="F1054" t="inlineStr">
        <is>
          <t>Övriga Aktiebolag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12301-2025</t>
        </is>
      </c>
      <c r="B1055" s="1" t="n">
        <v>45729.7271875</v>
      </c>
      <c r="C1055" s="1" t="n">
        <v>45922</v>
      </c>
      <c r="D1055" t="inlineStr">
        <is>
          <t>STOCKHOLMS LÄN</t>
        </is>
      </c>
      <c r="E1055" t="inlineStr">
        <is>
          <t>NORRTÄLJE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24350-2025</t>
        </is>
      </c>
      <c r="B1056" s="1" t="n">
        <v>45797.58350694444</v>
      </c>
      <c r="C1056" s="1" t="n">
        <v>45922</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24351-2025</t>
        </is>
      </c>
      <c r="B1057" s="1" t="n">
        <v>45797.58399305555</v>
      </c>
      <c r="C1057" s="1" t="n">
        <v>45922</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13283-2025</t>
        </is>
      </c>
      <c r="B1058" s="1" t="n">
        <v>45735</v>
      </c>
      <c r="C1058" s="1" t="n">
        <v>45922</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24687-2025</t>
        </is>
      </c>
      <c r="B1059" s="1" t="n">
        <v>45798.66767361111</v>
      </c>
      <c r="C1059" s="1" t="n">
        <v>45922</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24683-2025</t>
        </is>
      </c>
      <c r="B1060" s="1" t="n">
        <v>45798.66104166667</v>
      </c>
      <c r="C1060" s="1" t="n">
        <v>45922</v>
      </c>
      <c r="D1060" t="inlineStr">
        <is>
          <t>STOCKHOLMS LÄN</t>
        </is>
      </c>
      <c r="E1060" t="inlineStr">
        <is>
          <t>NORRTÄLJE</t>
        </is>
      </c>
      <c r="G1060" t="n">
        <v>7.9</v>
      </c>
      <c r="H1060" t="n">
        <v>0</v>
      </c>
      <c r="I1060" t="n">
        <v>0</v>
      </c>
      <c r="J1060" t="n">
        <v>0</v>
      </c>
      <c r="K1060" t="n">
        <v>0</v>
      </c>
      <c r="L1060" t="n">
        <v>0</v>
      </c>
      <c r="M1060" t="n">
        <v>0</v>
      </c>
      <c r="N1060" t="n">
        <v>0</v>
      </c>
      <c r="O1060" t="n">
        <v>0</v>
      </c>
      <c r="P1060" t="n">
        <v>0</v>
      </c>
      <c r="Q1060" t="n">
        <v>0</v>
      </c>
      <c r="R1060" s="2" t="inlineStr"/>
    </row>
    <row r="1061">
      <c r="A1061" t="inlineStr">
        <is>
          <t>A 24638-2025</t>
        </is>
      </c>
      <c r="B1061" s="1" t="n">
        <v>45798</v>
      </c>
      <c r="C1061" s="1" t="n">
        <v>45922</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2025-09-22T20:26:00Z</dcterms:created>
  <dcterms:modified xmlns:dcterms="http://purl.org/dc/terms/" xmlns:xsi="http://www.w3.org/2001/XMLSchema-instance" xsi:type="dcterms:W3CDTF">2025-09-22T20:26:00Z</dcterms:modified>
</cp:coreProperties>
</file>