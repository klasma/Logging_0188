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45349</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45349</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45349</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45349</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45349</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45349</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45349</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45349</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45349</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45349</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45349</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45349</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45349</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45349</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45349</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45349</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45349</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45349</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45349</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45349</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45349</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45349</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45349</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45349</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45349</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45349</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45349</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45349</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45349</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45349</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45349</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45349</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45349</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45349</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45349</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45349</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45349</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45349</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45349</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45349</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45349</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45349</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45349</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45349</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45349</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45349</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45349</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45349</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45349</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45349</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45349</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45349</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45349</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45349</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45349</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45349</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45349</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45349</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45349</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45349</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45349</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45349</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45349</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45349</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45349</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45349</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45349</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45349</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45349</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45349</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45349</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45349</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45349</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45349</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45349</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45349</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45349</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52011-2023</t>
        </is>
      </c>
      <c r="B79" s="1" t="n">
        <v>45223</v>
      </c>
      <c r="C79" s="1" t="n">
        <v>45349</v>
      </c>
      <c r="D79" t="inlineStr">
        <is>
          <t>STOCKHOLMS LÄN</t>
        </is>
      </c>
      <c r="E79" t="inlineStr">
        <is>
          <t>NORRTÄLJE</t>
        </is>
      </c>
      <c r="F79" t="inlineStr">
        <is>
          <t>Övriga Aktiebolag</t>
        </is>
      </c>
      <c r="G79" t="n">
        <v>16.6</v>
      </c>
      <c r="H79" t="n">
        <v>0</v>
      </c>
      <c r="I79" t="n">
        <v>2</v>
      </c>
      <c r="J79" t="n">
        <v>1</v>
      </c>
      <c r="K79" t="n">
        <v>0</v>
      </c>
      <c r="L79" t="n">
        <v>0</v>
      </c>
      <c r="M79" t="n">
        <v>0</v>
      </c>
      <c r="N79" t="n">
        <v>0</v>
      </c>
      <c r="O79" t="n">
        <v>1</v>
      </c>
      <c r="P79" t="n">
        <v>0</v>
      </c>
      <c r="Q79" t="n">
        <v>3</v>
      </c>
      <c r="R79" s="2" t="inlineStr">
        <is>
          <t>Vedtrappmossa
Mörk husmossa
Skogshakmossa</t>
        </is>
      </c>
      <c r="S79">
        <f>HYPERLINK("https://klasma.github.io/Logging_0188/artfynd/A 52011-2023 artfynd.xlsx", "A 52011-2023")</f>
        <v/>
      </c>
      <c r="T79">
        <f>HYPERLINK("https://klasma.github.io/Logging_0188/kartor/A 52011-2023 karta.png", "A 52011-2023")</f>
        <v/>
      </c>
      <c r="V79">
        <f>HYPERLINK("https://klasma.github.io/Logging_0188/klagomål/A 52011-2023 FSC-klagomål.docx", "A 52011-2023")</f>
        <v/>
      </c>
      <c r="W79">
        <f>HYPERLINK("https://klasma.github.io/Logging_0188/klagomålsmail/A 52011-2023 FSC-klagomål mail.docx", "A 52011-2023")</f>
        <v/>
      </c>
      <c r="X79">
        <f>HYPERLINK("https://klasma.github.io/Logging_0188/tillsyn/A 52011-2023 tillsynsbegäran.docx", "A 52011-2023")</f>
        <v/>
      </c>
      <c r="Y79">
        <f>HYPERLINK("https://klasma.github.io/Logging_0188/tillsynsmail/A 52011-2023 tillsynsbegäran mail.docx", "A 52011-2023")</f>
        <v/>
      </c>
    </row>
    <row r="80" ht="15" customHeight="1">
      <c r="A80" t="inlineStr">
        <is>
          <t>A 745-2019</t>
        </is>
      </c>
      <c r="B80" s="1" t="n">
        <v>43471</v>
      </c>
      <c r="C80" s="1" t="n">
        <v>45349</v>
      </c>
      <c r="D80" t="inlineStr">
        <is>
          <t>STOCKHOLMS LÄN</t>
        </is>
      </c>
      <c r="E80" t="inlineStr">
        <is>
          <t>NORRTÄLJE</t>
        </is>
      </c>
      <c r="G80" t="n">
        <v>2.2</v>
      </c>
      <c r="H80" t="n">
        <v>0</v>
      </c>
      <c r="I80" t="n">
        <v>2</v>
      </c>
      <c r="J80" t="n">
        <v>0</v>
      </c>
      <c r="K80" t="n">
        <v>0</v>
      </c>
      <c r="L80" t="n">
        <v>0</v>
      </c>
      <c r="M80" t="n">
        <v>0</v>
      </c>
      <c r="N80" t="n">
        <v>0</v>
      </c>
      <c r="O80" t="n">
        <v>0</v>
      </c>
      <c r="P80" t="n">
        <v>0</v>
      </c>
      <c r="Q80" t="n">
        <v>2</v>
      </c>
      <c r="R80" s="2" t="inlineStr">
        <is>
          <t>Stubbspretmossa
Sårläka</t>
        </is>
      </c>
      <c r="S80">
        <f>HYPERLINK("https://klasma.github.io/Logging_0188/artfynd/A 745-2019 artfynd.xlsx", "A 745-2019")</f>
        <v/>
      </c>
      <c r="T80">
        <f>HYPERLINK("https://klasma.github.io/Logging_0188/kartor/A 745-2019 karta.png", "A 745-2019")</f>
        <v/>
      </c>
      <c r="V80">
        <f>HYPERLINK("https://klasma.github.io/Logging_0188/klagomål/A 745-2019 FSC-klagomål.docx", "A 745-2019")</f>
        <v/>
      </c>
      <c r="W80">
        <f>HYPERLINK("https://klasma.github.io/Logging_0188/klagomålsmail/A 745-2019 FSC-klagomål mail.docx", "A 745-2019")</f>
        <v/>
      </c>
      <c r="X80">
        <f>HYPERLINK("https://klasma.github.io/Logging_0188/tillsyn/A 745-2019 tillsynsbegäran.docx", "A 745-2019")</f>
        <v/>
      </c>
      <c r="Y80">
        <f>HYPERLINK("https://klasma.github.io/Logging_0188/tillsynsmail/A 745-2019 tillsynsbegäran mail.docx", "A 745-2019")</f>
        <v/>
      </c>
    </row>
    <row r="81" ht="15" customHeight="1">
      <c r="A81" t="inlineStr">
        <is>
          <t>A 7137-2019</t>
        </is>
      </c>
      <c r="B81" s="1" t="n">
        <v>43489</v>
      </c>
      <c r="C81" s="1" t="n">
        <v>45349</v>
      </c>
      <c r="D81" t="inlineStr">
        <is>
          <t>STOCKHOLMS LÄN</t>
        </is>
      </c>
      <c r="E81" t="inlineStr">
        <is>
          <t>NORRTÄLJE</t>
        </is>
      </c>
      <c r="G81" t="n">
        <v>6.5</v>
      </c>
      <c r="H81" t="n">
        <v>0</v>
      </c>
      <c r="I81" t="n">
        <v>1</v>
      </c>
      <c r="J81" t="n">
        <v>1</v>
      </c>
      <c r="K81" t="n">
        <v>0</v>
      </c>
      <c r="L81" t="n">
        <v>0</v>
      </c>
      <c r="M81" t="n">
        <v>0</v>
      </c>
      <c r="N81" t="n">
        <v>0</v>
      </c>
      <c r="O81" t="n">
        <v>1</v>
      </c>
      <c r="P81" t="n">
        <v>0</v>
      </c>
      <c r="Q81" t="n">
        <v>2</v>
      </c>
      <c r="R81" s="2" t="inlineStr">
        <is>
          <t>Granticka
Scharlakansvårskål agg.</t>
        </is>
      </c>
      <c r="S81">
        <f>HYPERLINK("https://klasma.github.io/Logging_0188/artfynd/A 7137-2019 artfynd.xlsx", "A 7137-2019")</f>
        <v/>
      </c>
      <c r="T81">
        <f>HYPERLINK("https://klasma.github.io/Logging_0188/kartor/A 7137-2019 karta.png", "A 7137-2019")</f>
        <v/>
      </c>
      <c r="V81">
        <f>HYPERLINK("https://klasma.github.io/Logging_0188/klagomål/A 7137-2019 FSC-klagomål.docx", "A 7137-2019")</f>
        <v/>
      </c>
      <c r="W81">
        <f>HYPERLINK("https://klasma.github.io/Logging_0188/klagomålsmail/A 7137-2019 FSC-klagomål mail.docx", "A 7137-2019")</f>
        <v/>
      </c>
      <c r="X81">
        <f>HYPERLINK("https://klasma.github.io/Logging_0188/tillsyn/A 7137-2019 tillsynsbegäran.docx", "A 7137-2019")</f>
        <v/>
      </c>
      <c r="Y81">
        <f>HYPERLINK("https://klasma.github.io/Logging_0188/tillsynsmail/A 7137-2019 tillsynsbegäran mail.docx", "A 7137-2019")</f>
        <v/>
      </c>
    </row>
    <row r="82" ht="15" customHeight="1">
      <c r="A82" t="inlineStr">
        <is>
          <t>A 6072-2019</t>
        </is>
      </c>
      <c r="B82" s="1" t="n">
        <v>43493</v>
      </c>
      <c r="C82" s="1" t="n">
        <v>45349</v>
      </c>
      <c r="D82" t="inlineStr">
        <is>
          <t>STOCKHOLMS LÄN</t>
        </is>
      </c>
      <c r="E82" t="inlineStr">
        <is>
          <t>NORRTÄLJE</t>
        </is>
      </c>
      <c r="G82" t="n">
        <v>2.9</v>
      </c>
      <c r="H82" t="n">
        <v>0</v>
      </c>
      <c r="I82" t="n">
        <v>1</v>
      </c>
      <c r="J82" t="n">
        <v>0</v>
      </c>
      <c r="K82" t="n">
        <v>1</v>
      </c>
      <c r="L82" t="n">
        <v>0</v>
      </c>
      <c r="M82" t="n">
        <v>0</v>
      </c>
      <c r="N82" t="n">
        <v>0</v>
      </c>
      <c r="O82" t="n">
        <v>1</v>
      </c>
      <c r="P82" t="n">
        <v>1</v>
      </c>
      <c r="Q82" t="n">
        <v>2</v>
      </c>
      <c r="R82" s="2" t="inlineStr">
        <is>
          <t>Aspfjädermossa
Skinnlav</t>
        </is>
      </c>
      <c r="S82">
        <f>HYPERLINK("https://klasma.github.io/Logging_0188/artfynd/A 6072-2019 artfynd.xlsx", "A 6072-2019")</f>
        <v/>
      </c>
      <c r="T82">
        <f>HYPERLINK("https://klasma.github.io/Logging_0188/kartor/A 6072-2019 karta.png", "A 6072-2019")</f>
        <v/>
      </c>
      <c r="V82">
        <f>HYPERLINK("https://klasma.github.io/Logging_0188/klagomål/A 6072-2019 FSC-klagomål.docx", "A 6072-2019")</f>
        <v/>
      </c>
      <c r="W82">
        <f>HYPERLINK("https://klasma.github.io/Logging_0188/klagomålsmail/A 6072-2019 FSC-klagomål mail.docx", "A 6072-2019")</f>
        <v/>
      </c>
      <c r="X82">
        <f>HYPERLINK("https://klasma.github.io/Logging_0188/tillsyn/A 6072-2019 tillsynsbegäran.docx", "A 6072-2019")</f>
        <v/>
      </c>
      <c r="Y82">
        <f>HYPERLINK("https://klasma.github.io/Logging_0188/tillsynsmail/A 6072-2019 tillsynsbegäran mail.docx", "A 6072-2019")</f>
        <v/>
      </c>
    </row>
    <row r="83" ht="15" customHeight="1">
      <c r="A83" t="inlineStr">
        <is>
          <t>A 7672-2019</t>
        </is>
      </c>
      <c r="B83" s="1" t="n">
        <v>43500</v>
      </c>
      <c r="C83" s="1" t="n">
        <v>45349</v>
      </c>
      <c r="D83" t="inlineStr">
        <is>
          <t>STOCKHOLMS LÄN</t>
        </is>
      </c>
      <c r="E83" t="inlineStr">
        <is>
          <t>NORRTÄLJE</t>
        </is>
      </c>
      <c r="F83" t="inlineStr">
        <is>
          <t>Holmen skog AB</t>
        </is>
      </c>
      <c r="G83" t="n">
        <v>1</v>
      </c>
      <c r="H83" t="n">
        <v>2</v>
      </c>
      <c r="I83" t="n">
        <v>0</v>
      </c>
      <c r="J83" t="n">
        <v>1</v>
      </c>
      <c r="K83" t="n">
        <v>0</v>
      </c>
      <c r="L83" t="n">
        <v>0</v>
      </c>
      <c r="M83" t="n">
        <v>0</v>
      </c>
      <c r="N83" t="n">
        <v>0</v>
      </c>
      <c r="O83" t="n">
        <v>1</v>
      </c>
      <c r="P83" t="n">
        <v>0</v>
      </c>
      <c r="Q83" t="n">
        <v>2</v>
      </c>
      <c r="R83" s="2" t="inlineStr">
        <is>
          <t>Nordfladdermus
Dvärgpipistrell</t>
        </is>
      </c>
      <c r="S83">
        <f>HYPERLINK("https://klasma.github.io/Logging_0188/artfynd/A 7672-2019 artfynd.xlsx", "A 7672-2019")</f>
        <v/>
      </c>
      <c r="T83">
        <f>HYPERLINK("https://klasma.github.io/Logging_0188/kartor/A 7672-2019 karta.png", "A 7672-2019")</f>
        <v/>
      </c>
      <c r="V83">
        <f>HYPERLINK("https://klasma.github.io/Logging_0188/klagomål/A 7672-2019 FSC-klagomål.docx", "A 7672-2019")</f>
        <v/>
      </c>
      <c r="W83">
        <f>HYPERLINK("https://klasma.github.io/Logging_0188/klagomålsmail/A 7672-2019 FSC-klagomål mail.docx", "A 7672-2019")</f>
        <v/>
      </c>
      <c r="X83">
        <f>HYPERLINK("https://klasma.github.io/Logging_0188/tillsyn/A 7672-2019 tillsynsbegäran.docx", "A 7672-2019")</f>
        <v/>
      </c>
      <c r="Y83">
        <f>HYPERLINK("https://klasma.github.io/Logging_0188/tillsynsmail/A 7672-2019 tillsynsbegäran mail.docx", "A 7672-2019")</f>
        <v/>
      </c>
    </row>
    <row r="84" ht="15" customHeight="1">
      <c r="A84" t="inlineStr">
        <is>
          <t>A 10981-2019</t>
        </is>
      </c>
      <c r="B84" s="1" t="n">
        <v>43515</v>
      </c>
      <c r="C84" s="1" t="n">
        <v>45349</v>
      </c>
      <c r="D84" t="inlineStr">
        <is>
          <t>STOCKHOLMS LÄN</t>
        </is>
      </c>
      <c r="E84" t="inlineStr">
        <is>
          <t>NORRTÄLJE</t>
        </is>
      </c>
      <c r="G84" t="n">
        <v>29.6</v>
      </c>
      <c r="H84" t="n">
        <v>2</v>
      </c>
      <c r="I84" t="n">
        <v>0</v>
      </c>
      <c r="J84" t="n">
        <v>1</v>
      </c>
      <c r="K84" t="n">
        <v>0</v>
      </c>
      <c r="L84" t="n">
        <v>0</v>
      </c>
      <c r="M84" t="n">
        <v>0</v>
      </c>
      <c r="N84" t="n">
        <v>0</v>
      </c>
      <c r="O84" t="n">
        <v>1</v>
      </c>
      <c r="P84" t="n">
        <v>0</v>
      </c>
      <c r="Q84" t="n">
        <v>2</v>
      </c>
      <c r="R84" s="2" t="inlineStr">
        <is>
          <t>Talltita
Bivråk</t>
        </is>
      </c>
      <c r="S84">
        <f>HYPERLINK("https://klasma.github.io/Logging_0188/artfynd/A 10981-2019 artfynd.xlsx", "A 10981-2019")</f>
        <v/>
      </c>
      <c r="T84">
        <f>HYPERLINK("https://klasma.github.io/Logging_0188/kartor/A 10981-2019 karta.png", "A 10981-2019")</f>
        <v/>
      </c>
      <c r="V84">
        <f>HYPERLINK("https://klasma.github.io/Logging_0188/klagomål/A 10981-2019 FSC-klagomål.docx", "A 10981-2019")</f>
        <v/>
      </c>
      <c r="W84">
        <f>HYPERLINK("https://klasma.github.io/Logging_0188/klagomålsmail/A 10981-2019 FSC-klagomål mail.docx", "A 10981-2019")</f>
        <v/>
      </c>
      <c r="X84">
        <f>HYPERLINK("https://klasma.github.io/Logging_0188/tillsyn/A 10981-2019 tillsynsbegäran.docx", "A 10981-2019")</f>
        <v/>
      </c>
      <c r="Y84">
        <f>HYPERLINK("https://klasma.github.io/Logging_0188/tillsynsmail/A 10981-2019 tillsynsbegäran mail.docx", "A 10981-2019")</f>
        <v/>
      </c>
      <c r="Z84">
        <f>HYPERLINK("https://klasma.github.io/Logging_0188/fåglar/A 10981-2019 prioriterade fågelarter.docx", "A 10981-2019")</f>
        <v/>
      </c>
    </row>
    <row r="85" ht="15" customHeight="1">
      <c r="A85" t="inlineStr">
        <is>
          <t>A 14148-2019</t>
        </is>
      </c>
      <c r="B85" s="1" t="n">
        <v>43533</v>
      </c>
      <c r="C85" s="1" t="n">
        <v>45349</v>
      </c>
      <c r="D85" t="inlineStr">
        <is>
          <t>STOCKHOLMS LÄN</t>
        </is>
      </c>
      <c r="E85" t="inlineStr">
        <is>
          <t>NORRTÄLJE</t>
        </is>
      </c>
      <c r="G85" t="n">
        <v>6.1</v>
      </c>
      <c r="H85" t="n">
        <v>1</v>
      </c>
      <c r="I85" t="n">
        <v>0</v>
      </c>
      <c r="J85" t="n">
        <v>2</v>
      </c>
      <c r="K85" t="n">
        <v>0</v>
      </c>
      <c r="L85" t="n">
        <v>0</v>
      </c>
      <c r="M85" t="n">
        <v>0</v>
      </c>
      <c r="N85" t="n">
        <v>0</v>
      </c>
      <c r="O85" t="n">
        <v>2</v>
      </c>
      <c r="P85" t="n">
        <v>0</v>
      </c>
      <c r="Q85" t="n">
        <v>2</v>
      </c>
      <c r="R85" s="2" t="inlineStr">
        <is>
          <t>Havsörn
Tallticka</t>
        </is>
      </c>
      <c r="S85">
        <f>HYPERLINK("https://klasma.github.io/Logging_0188/artfynd/A 14148-2019 artfynd.xlsx", "A 14148-2019")</f>
        <v/>
      </c>
      <c r="T85">
        <f>HYPERLINK("https://klasma.github.io/Logging_0188/kartor/A 14148-2019 karta.png", "A 14148-2019")</f>
        <v/>
      </c>
      <c r="V85">
        <f>HYPERLINK("https://klasma.github.io/Logging_0188/klagomål/A 14148-2019 FSC-klagomål.docx", "A 14148-2019")</f>
        <v/>
      </c>
      <c r="W85">
        <f>HYPERLINK("https://klasma.github.io/Logging_0188/klagomålsmail/A 14148-2019 FSC-klagomål mail.docx", "A 14148-2019")</f>
        <v/>
      </c>
      <c r="X85">
        <f>HYPERLINK("https://klasma.github.io/Logging_0188/tillsyn/A 14148-2019 tillsynsbegäran.docx", "A 14148-2019")</f>
        <v/>
      </c>
      <c r="Y85">
        <f>HYPERLINK("https://klasma.github.io/Logging_0188/tillsynsmail/A 14148-2019 tillsynsbegäran mail.docx", "A 14148-2019")</f>
        <v/>
      </c>
      <c r="Z85">
        <f>HYPERLINK("https://klasma.github.io/Logging_0188/fåglar/A 14148-2019 prioriterade fågelarter.docx", "A 14148-2019")</f>
        <v/>
      </c>
    </row>
    <row r="86" ht="15" customHeight="1">
      <c r="A86" t="inlineStr">
        <is>
          <t>A 15109-2019</t>
        </is>
      </c>
      <c r="B86" s="1" t="n">
        <v>43539</v>
      </c>
      <c r="C86" s="1" t="n">
        <v>45349</v>
      </c>
      <c r="D86" t="inlineStr">
        <is>
          <t>STOCKHOLMS LÄN</t>
        </is>
      </c>
      <c r="E86" t="inlineStr">
        <is>
          <t>NORRTÄLJE</t>
        </is>
      </c>
      <c r="F86" t="inlineStr">
        <is>
          <t>Kommuner</t>
        </is>
      </c>
      <c r="G86" t="n">
        <v>1.8</v>
      </c>
      <c r="H86" t="n">
        <v>1</v>
      </c>
      <c r="I86" t="n">
        <v>1</v>
      </c>
      <c r="J86" t="n">
        <v>0</v>
      </c>
      <c r="K86" t="n">
        <v>0</v>
      </c>
      <c r="L86" t="n">
        <v>0</v>
      </c>
      <c r="M86" t="n">
        <v>0</v>
      </c>
      <c r="N86" t="n">
        <v>0</v>
      </c>
      <c r="O86" t="n">
        <v>0</v>
      </c>
      <c r="P86" t="n">
        <v>0</v>
      </c>
      <c r="Q86" t="n">
        <v>2</v>
      </c>
      <c r="R86" s="2" t="inlineStr">
        <is>
          <t>Vårärt
Blåsippa</t>
        </is>
      </c>
      <c r="S86">
        <f>HYPERLINK("https://klasma.github.io/Logging_0188/artfynd/A 15109-2019 artfynd.xlsx", "A 15109-2019")</f>
        <v/>
      </c>
      <c r="T86">
        <f>HYPERLINK("https://klasma.github.io/Logging_0188/kartor/A 15109-2019 karta.png", "A 15109-2019")</f>
        <v/>
      </c>
      <c r="V86">
        <f>HYPERLINK("https://klasma.github.io/Logging_0188/klagomål/A 15109-2019 FSC-klagomål.docx", "A 15109-2019")</f>
        <v/>
      </c>
      <c r="W86">
        <f>HYPERLINK("https://klasma.github.io/Logging_0188/klagomålsmail/A 15109-2019 FSC-klagomål mail.docx", "A 15109-2019")</f>
        <v/>
      </c>
      <c r="X86">
        <f>HYPERLINK("https://klasma.github.io/Logging_0188/tillsyn/A 15109-2019 tillsynsbegäran.docx", "A 15109-2019")</f>
        <v/>
      </c>
      <c r="Y86">
        <f>HYPERLINK("https://klasma.github.io/Logging_0188/tillsynsmail/A 15109-2019 tillsynsbegäran mail.docx", "A 15109-2019")</f>
        <v/>
      </c>
    </row>
    <row r="87" ht="15" customHeight="1">
      <c r="A87" t="inlineStr">
        <is>
          <t>A 14826-2019</t>
        </is>
      </c>
      <c r="B87" s="1" t="n">
        <v>43539</v>
      </c>
      <c r="C87" s="1" t="n">
        <v>45349</v>
      </c>
      <c r="D87" t="inlineStr">
        <is>
          <t>STOCKHOLMS LÄN</t>
        </is>
      </c>
      <c r="E87" t="inlineStr">
        <is>
          <t>NORRTÄLJE</t>
        </is>
      </c>
      <c r="F87" t="inlineStr">
        <is>
          <t>Kommuner</t>
        </is>
      </c>
      <c r="G87" t="n">
        <v>0.6</v>
      </c>
      <c r="H87" t="n">
        <v>0</v>
      </c>
      <c r="I87" t="n">
        <v>2</v>
      </c>
      <c r="J87" t="n">
        <v>0</v>
      </c>
      <c r="K87" t="n">
        <v>0</v>
      </c>
      <c r="L87" t="n">
        <v>0</v>
      </c>
      <c r="M87" t="n">
        <v>0</v>
      </c>
      <c r="N87" t="n">
        <v>0</v>
      </c>
      <c r="O87" t="n">
        <v>0</v>
      </c>
      <c r="P87" t="n">
        <v>0</v>
      </c>
      <c r="Q87" t="n">
        <v>2</v>
      </c>
      <c r="R87" s="2" t="inlineStr">
        <is>
          <t>Stubbspretmossa
Sårläka</t>
        </is>
      </c>
      <c r="S87">
        <f>HYPERLINK("https://klasma.github.io/Logging_0188/artfynd/A 14826-2019 artfynd.xlsx", "A 14826-2019")</f>
        <v/>
      </c>
      <c r="T87">
        <f>HYPERLINK("https://klasma.github.io/Logging_0188/kartor/A 14826-2019 karta.png", "A 14826-2019")</f>
        <v/>
      </c>
      <c r="V87">
        <f>HYPERLINK("https://klasma.github.io/Logging_0188/klagomål/A 14826-2019 FSC-klagomål.docx", "A 14826-2019")</f>
        <v/>
      </c>
      <c r="W87">
        <f>HYPERLINK("https://klasma.github.io/Logging_0188/klagomålsmail/A 14826-2019 FSC-klagomål mail.docx", "A 14826-2019")</f>
        <v/>
      </c>
      <c r="X87">
        <f>HYPERLINK("https://klasma.github.io/Logging_0188/tillsyn/A 14826-2019 tillsynsbegäran.docx", "A 14826-2019")</f>
        <v/>
      </c>
      <c r="Y87">
        <f>HYPERLINK("https://klasma.github.io/Logging_0188/tillsynsmail/A 14826-2019 tillsynsbegäran mail.docx", "A 14826-2019")</f>
        <v/>
      </c>
    </row>
    <row r="88" ht="15" customHeight="1">
      <c r="A88" t="inlineStr">
        <is>
          <t>A 23830-2019</t>
        </is>
      </c>
      <c r="B88" s="1" t="n">
        <v>43595</v>
      </c>
      <c r="C88" s="1" t="n">
        <v>45349</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45349</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6272-2020</t>
        </is>
      </c>
      <c r="B90" s="1" t="n">
        <v>43866</v>
      </c>
      <c r="C90" s="1" t="n">
        <v>45349</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19565-2020</t>
        </is>
      </c>
      <c r="B91" s="1" t="n">
        <v>43936</v>
      </c>
      <c r="C91" s="1" t="n">
        <v>45349</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45349</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45349</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45349</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45349</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45349</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45349</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45349</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Gök</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52124-2022</t>
        </is>
      </c>
      <c r="B99" s="1" t="n">
        <v>44868</v>
      </c>
      <c r="C99" s="1" t="n">
        <v>45349</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45349</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45349</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45349</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45349</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45349</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45349</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45349</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45349</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45349</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62482-2018</t>
        </is>
      </c>
      <c r="B109" s="1" t="n">
        <v>43415</v>
      </c>
      <c r="C109" s="1" t="n">
        <v>45349</v>
      </c>
      <c r="D109" t="inlineStr">
        <is>
          <t>STOCKHOLMS LÄN</t>
        </is>
      </c>
      <c r="E109" t="inlineStr">
        <is>
          <t>NORRTÄLJE</t>
        </is>
      </c>
      <c r="G109" t="n">
        <v>4.5</v>
      </c>
      <c r="H109" t="n">
        <v>0</v>
      </c>
      <c r="I109" t="n">
        <v>0</v>
      </c>
      <c r="J109" t="n">
        <v>1</v>
      </c>
      <c r="K109" t="n">
        <v>0</v>
      </c>
      <c r="L109" t="n">
        <v>0</v>
      </c>
      <c r="M109" t="n">
        <v>0</v>
      </c>
      <c r="N109" t="n">
        <v>0</v>
      </c>
      <c r="O109" t="n">
        <v>1</v>
      </c>
      <c r="P109" t="n">
        <v>0</v>
      </c>
      <c r="Q109" t="n">
        <v>1</v>
      </c>
      <c r="R109" s="2" t="inlineStr">
        <is>
          <t>Solvända</t>
        </is>
      </c>
      <c r="S109">
        <f>HYPERLINK("https://klasma.github.io/Logging_0188/artfynd/A 62482-2018 artfynd.xlsx", "A 62482-2018")</f>
        <v/>
      </c>
      <c r="T109">
        <f>HYPERLINK("https://klasma.github.io/Logging_0188/kartor/A 62482-2018 karta.png", "A 62482-2018")</f>
        <v/>
      </c>
      <c r="V109">
        <f>HYPERLINK("https://klasma.github.io/Logging_0188/klagomål/A 62482-2018 FSC-klagomål.docx", "A 62482-2018")</f>
        <v/>
      </c>
      <c r="W109">
        <f>HYPERLINK("https://klasma.github.io/Logging_0188/klagomålsmail/A 62482-2018 FSC-klagomål mail.docx", "A 62482-2018")</f>
        <v/>
      </c>
      <c r="X109">
        <f>HYPERLINK("https://klasma.github.io/Logging_0188/tillsyn/A 62482-2018 tillsynsbegäran.docx", "A 62482-2018")</f>
        <v/>
      </c>
      <c r="Y109">
        <f>HYPERLINK("https://klasma.github.io/Logging_0188/tillsynsmail/A 62482-2018 tillsynsbegäran mail.docx", "A 62482-2018")</f>
        <v/>
      </c>
    </row>
    <row r="110" ht="15" customHeight="1">
      <c r="A110" t="inlineStr">
        <is>
          <t>A 62403-2018</t>
        </is>
      </c>
      <c r="B110" s="1" t="n">
        <v>43416</v>
      </c>
      <c r="C110" s="1" t="n">
        <v>45349</v>
      </c>
      <c r="D110" t="inlineStr">
        <is>
          <t>STOCKHOLMS LÄN</t>
        </is>
      </c>
      <c r="E110" t="inlineStr">
        <is>
          <t>NORRTÄLJE</t>
        </is>
      </c>
      <c r="G110" t="n">
        <v>0.3</v>
      </c>
      <c r="H110" t="n">
        <v>0</v>
      </c>
      <c r="I110" t="n">
        <v>0</v>
      </c>
      <c r="J110" t="n">
        <v>1</v>
      </c>
      <c r="K110" t="n">
        <v>0</v>
      </c>
      <c r="L110" t="n">
        <v>0</v>
      </c>
      <c r="M110" t="n">
        <v>0</v>
      </c>
      <c r="N110" t="n">
        <v>0</v>
      </c>
      <c r="O110" t="n">
        <v>1</v>
      </c>
      <c r="P110" t="n">
        <v>0</v>
      </c>
      <c r="Q110" t="n">
        <v>1</v>
      </c>
      <c r="R110" s="2" t="inlineStr">
        <is>
          <t>Smalsprötad bastardsvärmare</t>
        </is>
      </c>
      <c r="S110">
        <f>HYPERLINK("https://klasma.github.io/Logging_0188/artfynd/A 62403-2018 artfynd.xlsx", "A 62403-2018")</f>
        <v/>
      </c>
      <c r="T110">
        <f>HYPERLINK("https://klasma.github.io/Logging_0188/kartor/A 62403-2018 karta.png", "A 62403-2018")</f>
        <v/>
      </c>
      <c r="V110">
        <f>HYPERLINK("https://klasma.github.io/Logging_0188/klagomål/A 62403-2018 FSC-klagomål.docx", "A 62403-2018")</f>
        <v/>
      </c>
      <c r="W110">
        <f>HYPERLINK("https://klasma.github.io/Logging_0188/klagomålsmail/A 62403-2018 FSC-klagomål mail.docx", "A 62403-2018")</f>
        <v/>
      </c>
      <c r="X110">
        <f>HYPERLINK("https://klasma.github.io/Logging_0188/tillsyn/A 62403-2018 tillsynsbegäran.docx", "A 62403-2018")</f>
        <v/>
      </c>
      <c r="Y110">
        <f>HYPERLINK("https://klasma.github.io/Logging_0188/tillsynsmail/A 62403-2018 tillsynsbegäran mail.docx", "A 62403-2018")</f>
        <v/>
      </c>
    </row>
    <row r="111" ht="15" customHeight="1">
      <c r="A111" t="inlineStr">
        <is>
          <t>A 2647-2019</t>
        </is>
      </c>
      <c r="B111" s="1" t="n">
        <v>43478</v>
      </c>
      <c r="C111" s="1" t="n">
        <v>45349</v>
      </c>
      <c r="D111" t="inlineStr">
        <is>
          <t>STOCKHOLMS LÄN</t>
        </is>
      </c>
      <c r="E111" t="inlineStr">
        <is>
          <t>NORRTÄLJE</t>
        </is>
      </c>
      <c r="G111" t="n">
        <v>3.4</v>
      </c>
      <c r="H111" t="n">
        <v>1</v>
      </c>
      <c r="I111" t="n">
        <v>0</v>
      </c>
      <c r="J111" t="n">
        <v>0</v>
      </c>
      <c r="K111" t="n">
        <v>0</v>
      </c>
      <c r="L111" t="n">
        <v>0</v>
      </c>
      <c r="M111" t="n">
        <v>0</v>
      </c>
      <c r="N111" t="n">
        <v>0</v>
      </c>
      <c r="O111" t="n">
        <v>0</v>
      </c>
      <c r="P111" t="n">
        <v>0</v>
      </c>
      <c r="Q111" t="n">
        <v>1</v>
      </c>
      <c r="R111" s="2" t="inlineStr">
        <is>
          <t>Blåsippa</t>
        </is>
      </c>
      <c r="S111">
        <f>HYPERLINK("https://klasma.github.io/Logging_0188/artfynd/A 2647-2019 artfynd.xlsx", "A 2647-2019")</f>
        <v/>
      </c>
      <c r="T111">
        <f>HYPERLINK("https://klasma.github.io/Logging_0188/kartor/A 2647-2019 karta.png", "A 2647-2019")</f>
        <v/>
      </c>
      <c r="V111">
        <f>HYPERLINK("https://klasma.github.io/Logging_0188/klagomål/A 2647-2019 FSC-klagomål.docx", "A 2647-2019")</f>
        <v/>
      </c>
      <c r="W111">
        <f>HYPERLINK("https://klasma.github.io/Logging_0188/klagomålsmail/A 2647-2019 FSC-klagomål mail.docx", "A 2647-2019")</f>
        <v/>
      </c>
      <c r="X111">
        <f>HYPERLINK("https://klasma.github.io/Logging_0188/tillsyn/A 2647-2019 tillsynsbegäran.docx", "A 2647-2019")</f>
        <v/>
      </c>
      <c r="Y111">
        <f>HYPERLINK("https://klasma.github.io/Logging_0188/tillsynsmail/A 2647-2019 tillsynsbegäran mail.docx", "A 2647-2019")</f>
        <v/>
      </c>
    </row>
    <row r="112" ht="15" customHeight="1">
      <c r="A112" t="inlineStr">
        <is>
          <t>A 3309-2019</t>
        </is>
      </c>
      <c r="B112" s="1" t="n">
        <v>43480</v>
      </c>
      <c r="C112" s="1" t="n">
        <v>45349</v>
      </c>
      <c r="D112" t="inlineStr">
        <is>
          <t>STOCKHOLMS LÄN</t>
        </is>
      </c>
      <c r="E112" t="inlineStr">
        <is>
          <t>NORRTÄLJE</t>
        </is>
      </c>
      <c r="G112" t="n">
        <v>12.6</v>
      </c>
      <c r="H112" t="n">
        <v>0</v>
      </c>
      <c r="I112" t="n">
        <v>1</v>
      </c>
      <c r="J112" t="n">
        <v>0</v>
      </c>
      <c r="K112" t="n">
        <v>0</v>
      </c>
      <c r="L112" t="n">
        <v>0</v>
      </c>
      <c r="M112" t="n">
        <v>0</v>
      </c>
      <c r="N112" t="n">
        <v>0</v>
      </c>
      <c r="O112" t="n">
        <v>0</v>
      </c>
      <c r="P112" t="n">
        <v>0</v>
      </c>
      <c r="Q112" t="n">
        <v>1</v>
      </c>
      <c r="R112" s="2" t="inlineStr">
        <is>
          <t>Granbräken</t>
        </is>
      </c>
      <c r="S112">
        <f>HYPERLINK("https://klasma.github.io/Logging_0188/artfynd/A 3309-2019 artfynd.xlsx", "A 3309-2019")</f>
        <v/>
      </c>
      <c r="T112">
        <f>HYPERLINK("https://klasma.github.io/Logging_0188/kartor/A 3309-2019 karta.png", "A 3309-2019")</f>
        <v/>
      </c>
      <c r="V112">
        <f>HYPERLINK("https://klasma.github.io/Logging_0188/klagomål/A 3309-2019 FSC-klagomål.docx", "A 3309-2019")</f>
        <v/>
      </c>
      <c r="W112">
        <f>HYPERLINK("https://klasma.github.io/Logging_0188/klagomålsmail/A 3309-2019 FSC-klagomål mail.docx", "A 3309-2019")</f>
        <v/>
      </c>
      <c r="X112">
        <f>HYPERLINK("https://klasma.github.io/Logging_0188/tillsyn/A 3309-2019 tillsynsbegäran.docx", "A 3309-2019")</f>
        <v/>
      </c>
      <c r="Y112">
        <f>HYPERLINK("https://klasma.github.io/Logging_0188/tillsynsmail/A 3309-2019 tillsynsbegäran mail.docx", "A 3309-2019")</f>
        <v/>
      </c>
    </row>
    <row r="113" ht="15" customHeight="1">
      <c r="A113" t="inlineStr">
        <is>
          <t>A 4067-2019</t>
        </is>
      </c>
      <c r="B113" s="1" t="n">
        <v>43482</v>
      </c>
      <c r="C113" s="1" t="n">
        <v>45349</v>
      </c>
      <c r="D113" t="inlineStr">
        <is>
          <t>STOCKHOLMS LÄN</t>
        </is>
      </c>
      <c r="E113" t="inlineStr">
        <is>
          <t>NORRTÄLJE</t>
        </is>
      </c>
      <c r="G113" t="n">
        <v>6</v>
      </c>
      <c r="H113" t="n">
        <v>0</v>
      </c>
      <c r="I113" t="n">
        <v>1</v>
      </c>
      <c r="J113" t="n">
        <v>0</v>
      </c>
      <c r="K113" t="n">
        <v>0</v>
      </c>
      <c r="L113" t="n">
        <v>0</v>
      </c>
      <c r="M113" t="n">
        <v>0</v>
      </c>
      <c r="N113" t="n">
        <v>0</v>
      </c>
      <c r="O113" t="n">
        <v>0</v>
      </c>
      <c r="P113" t="n">
        <v>0</v>
      </c>
      <c r="Q113" t="n">
        <v>1</v>
      </c>
      <c r="R113" s="2" t="inlineStr">
        <is>
          <t>Grovticka</t>
        </is>
      </c>
      <c r="S113">
        <f>HYPERLINK("https://klasma.github.io/Logging_0188/artfynd/A 4067-2019 artfynd.xlsx", "A 4067-2019")</f>
        <v/>
      </c>
      <c r="T113">
        <f>HYPERLINK("https://klasma.github.io/Logging_0188/kartor/A 4067-2019 karta.png", "A 4067-2019")</f>
        <v/>
      </c>
      <c r="V113">
        <f>HYPERLINK("https://klasma.github.io/Logging_0188/klagomål/A 4067-2019 FSC-klagomål.docx", "A 4067-2019")</f>
        <v/>
      </c>
      <c r="W113">
        <f>HYPERLINK("https://klasma.github.io/Logging_0188/klagomålsmail/A 4067-2019 FSC-klagomål mail.docx", "A 4067-2019")</f>
        <v/>
      </c>
      <c r="X113">
        <f>HYPERLINK("https://klasma.github.io/Logging_0188/tillsyn/A 4067-2019 tillsynsbegäran.docx", "A 4067-2019")</f>
        <v/>
      </c>
      <c r="Y113">
        <f>HYPERLINK("https://klasma.github.io/Logging_0188/tillsynsmail/A 4067-2019 tillsynsbegäran mail.docx", "A 4067-2019")</f>
        <v/>
      </c>
    </row>
    <row r="114" ht="15" customHeight="1">
      <c r="A114" t="inlineStr">
        <is>
          <t>A 5488-2019</t>
        </is>
      </c>
      <c r="B114" s="1" t="n">
        <v>43489</v>
      </c>
      <c r="C114" s="1" t="n">
        <v>45349</v>
      </c>
      <c r="D114" t="inlineStr">
        <is>
          <t>STOCKHOLMS LÄN</t>
        </is>
      </c>
      <c r="E114" t="inlineStr">
        <is>
          <t>NORRTÄLJE</t>
        </is>
      </c>
      <c r="G114" t="n">
        <v>5.5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5488-2019 artfynd.xlsx", "A 5488-2019")</f>
        <v/>
      </c>
      <c r="T114">
        <f>HYPERLINK("https://klasma.github.io/Logging_0188/kartor/A 5488-2019 karta.png", "A 5488-2019")</f>
        <v/>
      </c>
      <c r="V114">
        <f>HYPERLINK("https://klasma.github.io/Logging_0188/klagomål/A 5488-2019 FSC-klagomål.docx", "A 5488-2019")</f>
        <v/>
      </c>
      <c r="W114">
        <f>HYPERLINK("https://klasma.github.io/Logging_0188/klagomålsmail/A 5488-2019 FSC-klagomål mail.docx", "A 5488-2019")</f>
        <v/>
      </c>
      <c r="X114">
        <f>HYPERLINK("https://klasma.github.io/Logging_0188/tillsyn/A 5488-2019 tillsynsbegäran.docx", "A 5488-2019")</f>
        <v/>
      </c>
      <c r="Y114">
        <f>HYPERLINK("https://klasma.github.io/Logging_0188/tillsynsmail/A 5488-2019 tillsynsbegäran mail.docx", "A 5488-2019")</f>
        <v/>
      </c>
    </row>
    <row r="115" ht="15" customHeight="1">
      <c r="A115" t="inlineStr">
        <is>
          <t>A 5502-2019</t>
        </is>
      </c>
      <c r="B115" s="1" t="n">
        <v>43489</v>
      </c>
      <c r="C115" s="1" t="n">
        <v>45349</v>
      </c>
      <c r="D115" t="inlineStr">
        <is>
          <t>STOCKHOLMS LÄN</t>
        </is>
      </c>
      <c r="E115" t="inlineStr">
        <is>
          <t>NORRTÄLJE</t>
        </is>
      </c>
      <c r="G115" t="n">
        <v>37</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5502-2019 artfynd.xlsx", "A 5502-2019")</f>
        <v/>
      </c>
      <c r="T115">
        <f>HYPERLINK("https://klasma.github.io/Logging_0188/kartor/A 5502-2019 karta.png", "A 5502-2019")</f>
        <v/>
      </c>
      <c r="V115">
        <f>HYPERLINK("https://klasma.github.io/Logging_0188/klagomål/A 5502-2019 FSC-klagomål.docx", "A 5502-2019")</f>
        <v/>
      </c>
      <c r="W115">
        <f>HYPERLINK("https://klasma.github.io/Logging_0188/klagomålsmail/A 5502-2019 FSC-klagomål mail.docx", "A 5502-2019")</f>
        <v/>
      </c>
      <c r="X115">
        <f>HYPERLINK("https://klasma.github.io/Logging_0188/tillsyn/A 5502-2019 tillsynsbegäran.docx", "A 5502-2019")</f>
        <v/>
      </c>
      <c r="Y115">
        <f>HYPERLINK("https://klasma.github.io/Logging_0188/tillsynsmail/A 5502-2019 tillsynsbegäran mail.docx", "A 5502-2019")</f>
        <v/>
      </c>
    </row>
    <row r="116" ht="15" customHeight="1">
      <c r="A116" t="inlineStr">
        <is>
          <t>A 6523-2019</t>
        </is>
      </c>
      <c r="B116" s="1" t="n">
        <v>43494</v>
      </c>
      <c r="C116" s="1" t="n">
        <v>45349</v>
      </c>
      <c r="D116" t="inlineStr">
        <is>
          <t>STOCKHOLMS LÄN</t>
        </is>
      </c>
      <c r="E116" t="inlineStr">
        <is>
          <t>NORRTÄLJE</t>
        </is>
      </c>
      <c r="F116" t="inlineStr">
        <is>
          <t>Holmen skog AB</t>
        </is>
      </c>
      <c r="G116" t="n">
        <v>1.1</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6523-2019 artfynd.xlsx", "A 6523-2019")</f>
        <v/>
      </c>
      <c r="T116">
        <f>HYPERLINK("https://klasma.github.io/Logging_0188/kartor/A 6523-2019 karta.png", "A 6523-2019")</f>
        <v/>
      </c>
      <c r="V116">
        <f>HYPERLINK("https://klasma.github.io/Logging_0188/klagomål/A 6523-2019 FSC-klagomål.docx", "A 6523-2019")</f>
        <v/>
      </c>
      <c r="W116">
        <f>HYPERLINK("https://klasma.github.io/Logging_0188/klagomålsmail/A 6523-2019 FSC-klagomål mail.docx", "A 6523-2019")</f>
        <v/>
      </c>
      <c r="X116">
        <f>HYPERLINK("https://klasma.github.io/Logging_0188/tillsyn/A 6523-2019 tillsynsbegäran.docx", "A 6523-2019")</f>
        <v/>
      </c>
      <c r="Y116">
        <f>HYPERLINK("https://klasma.github.io/Logging_0188/tillsynsmail/A 6523-2019 tillsynsbegäran mail.docx", "A 6523-2019")</f>
        <v/>
      </c>
    </row>
    <row r="117" ht="15" customHeight="1">
      <c r="A117" t="inlineStr">
        <is>
          <t>A 7739-2019</t>
        </is>
      </c>
      <c r="B117" s="1" t="n">
        <v>43500</v>
      </c>
      <c r="C117" s="1" t="n">
        <v>45349</v>
      </c>
      <c r="D117" t="inlineStr">
        <is>
          <t>STOCKHOLMS LÄN</t>
        </is>
      </c>
      <c r="E117" t="inlineStr">
        <is>
          <t>NORRTÄLJE</t>
        </is>
      </c>
      <c r="G117" t="n">
        <v>10.7</v>
      </c>
      <c r="H117" t="n">
        <v>0</v>
      </c>
      <c r="I117" t="n">
        <v>0</v>
      </c>
      <c r="J117" t="n">
        <v>1</v>
      </c>
      <c r="K117" t="n">
        <v>0</v>
      </c>
      <c r="L117" t="n">
        <v>0</v>
      </c>
      <c r="M117" t="n">
        <v>0</v>
      </c>
      <c r="N117" t="n">
        <v>0</v>
      </c>
      <c r="O117" t="n">
        <v>1</v>
      </c>
      <c r="P117" t="n">
        <v>0</v>
      </c>
      <c r="Q117" t="n">
        <v>1</v>
      </c>
      <c r="R117" s="2" t="inlineStr">
        <is>
          <t>Brunklöver</t>
        </is>
      </c>
      <c r="S117">
        <f>HYPERLINK("https://klasma.github.io/Logging_0188/artfynd/A 7739-2019 artfynd.xlsx", "A 7739-2019")</f>
        <v/>
      </c>
      <c r="T117">
        <f>HYPERLINK("https://klasma.github.io/Logging_0188/kartor/A 7739-2019 karta.png", "A 7739-2019")</f>
        <v/>
      </c>
      <c r="V117">
        <f>HYPERLINK("https://klasma.github.io/Logging_0188/klagomål/A 7739-2019 FSC-klagomål.docx", "A 7739-2019")</f>
        <v/>
      </c>
      <c r="W117">
        <f>HYPERLINK("https://klasma.github.io/Logging_0188/klagomålsmail/A 7739-2019 FSC-klagomål mail.docx", "A 7739-2019")</f>
        <v/>
      </c>
      <c r="X117">
        <f>HYPERLINK("https://klasma.github.io/Logging_0188/tillsyn/A 7739-2019 tillsynsbegäran.docx", "A 7739-2019")</f>
        <v/>
      </c>
      <c r="Y117">
        <f>HYPERLINK("https://klasma.github.io/Logging_0188/tillsynsmail/A 7739-2019 tillsynsbegäran mail.docx", "A 7739-2019")</f>
        <v/>
      </c>
    </row>
    <row r="118" ht="15" customHeight="1">
      <c r="A118" t="inlineStr">
        <is>
          <t>A 8742-2019</t>
        </is>
      </c>
      <c r="B118" s="1" t="n">
        <v>43503</v>
      </c>
      <c r="C118" s="1" t="n">
        <v>45349</v>
      </c>
      <c r="D118" t="inlineStr">
        <is>
          <t>STOCKHOLMS LÄN</t>
        </is>
      </c>
      <c r="E118" t="inlineStr">
        <is>
          <t>NORRTÄLJE</t>
        </is>
      </c>
      <c r="G118" t="n">
        <v>5.2</v>
      </c>
      <c r="H118" t="n">
        <v>0</v>
      </c>
      <c r="I118" t="n">
        <v>0</v>
      </c>
      <c r="J118" t="n">
        <v>0</v>
      </c>
      <c r="K118" t="n">
        <v>0</v>
      </c>
      <c r="L118" t="n">
        <v>1</v>
      </c>
      <c r="M118" t="n">
        <v>0</v>
      </c>
      <c r="N118" t="n">
        <v>0</v>
      </c>
      <c r="O118" t="n">
        <v>1</v>
      </c>
      <c r="P118" t="n">
        <v>1</v>
      </c>
      <c r="Q118" t="n">
        <v>1</v>
      </c>
      <c r="R118" s="2" t="inlineStr">
        <is>
          <t>Ask</t>
        </is>
      </c>
      <c r="S118">
        <f>HYPERLINK("https://klasma.github.io/Logging_0188/artfynd/A 8742-2019 artfynd.xlsx", "A 8742-2019")</f>
        <v/>
      </c>
      <c r="T118">
        <f>HYPERLINK("https://klasma.github.io/Logging_0188/kartor/A 8742-2019 karta.png", "A 8742-2019")</f>
        <v/>
      </c>
      <c r="V118">
        <f>HYPERLINK("https://klasma.github.io/Logging_0188/klagomål/A 8742-2019 FSC-klagomål.docx", "A 8742-2019")</f>
        <v/>
      </c>
      <c r="W118">
        <f>HYPERLINK("https://klasma.github.io/Logging_0188/klagomålsmail/A 8742-2019 FSC-klagomål mail.docx", "A 8742-2019")</f>
        <v/>
      </c>
      <c r="X118">
        <f>HYPERLINK("https://klasma.github.io/Logging_0188/tillsyn/A 8742-2019 tillsynsbegäran.docx", "A 8742-2019")</f>
        <v/>
      </c>
      <c r="Y118">
        <f>HYPERLINK("https://klasma.github.io/Logging_0188/tillsynsmail/A 8742-2019 tillsynsbegäran mail.docx", "A 8742-2019")</f>
        <v/>
      </c>
    </row>
    <row r="119" ht="15" customHeight="1">
      <c r="A119" t="inlineStr">
        <is>
          <t>A 9041-2019</t>
        </is>
      </c>
      <c r="B119" s="1" t="n">
        <v>43504</v>
      </c>
      <c r="C119" s="1" t="n">
        <v>45349</v>
      </c>
      <c r="D119" t="inlineStr">
        <is>
          <t>STOCKHOLMS LÄN</t>
        </is>
      </c>
      <c r="E119" t="inlineStr">
        <is>
          <t>NORRTÄLJE</t>
        </is>
      </c>
      <c r="F119" t="inlineStr">
        <is>
          <t>Holmen skog AB</t>
        </is>
      </c>
      <c r="G119" t="n">
        <v>3.5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9041-2019 artfynd.xlsx", "A 9041-2019")</f>
        <v/>
      </c>
      <c r="T119">
        <f>HYPERLINK("https://klasma.github.io/Logging_0188/kartor/A 9041-2019 karta.png", "A 9041-2019")</f>
        <v/>
      </c>
      <c r="V119">
        <f>HYPERLINK("https://klasma.github.io/Logging_0188/klagomål/A 9041-2019 FSC-klagomål.docx", "A 9041-2019")</f>
        <v/>
      </c>
      <c r="W119">
        <f>HYPERLINK("https://klasma.github.io/Logging_0188/klagomålsmail/A 9041-2019 FSC-klagomål mail.docx", "A 9041-2019")</f>
        <v/>
      </c>
      <c r="X119">
        <f>HYPERLINK("https://klasma.github.io/Logging_0188/tillsyn/A 9041-2019 tillsynsbegäran.docx", "A 9041-2019")</f>
        <v/>
      </c>
      <c r="Y119">
        <f>HYPERLINK("https://klasma.github.io/Logging_0188/tillsynsmail/A 9041-2019 tillsynsbegäran mail.docx", "A 9041-2019")</f>
        <v/>
      </c>
    </row>
    <row r="120" ht="15" customHeight="1">
      <c r="A120" t="inlineStr">
        <is>
          <t>A 9689-2019</t>
        </is>
      </c>
      <c r="B120" s="1" t="n">
        <v>43508</v>
      </c>
      <c r="C120" s="1" t="n">
        <v>45349</v>
      </c>
      <c r="D120" t="inlineStr">
        <is>
          <t>STOCKHOLMS LÄN</t>
        </is>
      </c>
      <c r="E120" t="inlineStr">
        <is>
          <t>NORRTÄLJE</t>
        </is>
      </c>
      <c r="F120" t="inlineStr">
        <is>
          <t>Övriga statliga verk och myndigheter</t>
        </is>
      </c>
      <c r="G120" t="n">
        <v>10</v>
      </c>
      <c r="H120" t="n">
        <v>0</v>
      </c>
      <c r="I120" t="n">
        <v>0</v>
      </c>
      <c r="J120" t="n">
        <v>0</v>
      </c>
      <c r="K120" t="n">
        <v>1</v>
      </c>
      <c r="L120" t="n">
        <v>0</v>
      </c>
      <c r="M120" t="n">
        <v>0</v>
      </c>
      <c r="N120" t="n">
        <v>0</v>
      </c>
      <c r="O120" t="n">
        <v>1</v>
      </c>
      <c r="P120" t="n">
        <v>1</v>
      </c>
      <c r="Q120" t="n">
        <v>1</v>
      </c>
      <c r="R120" s="2" t="inlineStr">
        <is>
          <t>Trubbdaggkåpa</t>
        </is>
      </c>
      <c r="S120">
        <f>HYPERLINK("https://klasma.github.io/Logging_0188/artfynd/A 9689-2019 artfynd.xlsx", "A 9689-2019")</f>
        <v/>
      </c>
      <c r="T120">
        <f>HYPERLINK("https://klasma.github.io/Logging_0188/kartor/A 9689-2019 karta.png", "A 9689-2019")</f>
        <v/>
      </c>
      <c r="V120">
        <f>HYPERLINK("https://klasma.github.io/Logging_0188/klagomål/A 9689-2019 FSC-klagomål.docx", "A 9689-2019")</f>
        <v/>
      </c>
      <c r="W120">
        <f>HYPERLINK("https://klasma.github.io/Logging_0188/klagomålsmail/A 9689-2019 FSC-klagomål mail.docx", "A 9689-2019")</f>
        <v/>
      </c>
      <c r="X120">
        <f>HYPERLINK("https://klasma.github.io/Logging_0188/tillsyn/A 9689-2019 tillsynsbegäran.docx", "A 9689-2019")</f>
        <v/>
      </c>
      <c r="Y120">
        <f>HYPERLINK("https://klasma.github.io/Logging_0188/tillsynsmail/A 9689-2019 tillsynsbegäran mail.docx", "A 9689-2019")</f>
        <v/>
      </c>
    </row>
    <row r="121" ht="15" customHeight="1">
      <c r="A121" t="inlineStr">
        <is>
          <t>A 9917-2019</t>
        </is>
      </c>
      <c r="B121" s="1" t="n">
        <v>43509</v>
      </c>
      <c r="C121" s="1" t="n">
        <v>45349</v>
      </c>
      <c r="D121" t="inlineStr">
        <is>
          <t>STOCKHOLMS LÄN</t>
        </is>
      </c>
      <c r="E121" t="inlineStr">
        <is>
          <t>NORRTÄLJE</t>
        </is>
      </c>
      <c r="G121" t="n">
        <v>1.7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9917-2019 artfynd.xlsx", "A 9917-2019")</f>
        <v/>
      </c>
      <c r="T121">
        <f>HYPERLINK("https://klasma.github.io/Logging_0188/kartor/A 9917-2019 karta.png", "A 9917-2019")</f>
        <v/>
      </c>
      <c r="V121">
        <f>HYPERLINK("https://klasma.github.io/Logging_0188/klagomål/A 9917-2019 FSC-klagomål.docx", "A 9917-2019")</f>
        <v/>
      </c>
      <c r="W121">
        <f>HYPERLINK("https://klasma.github.io/Logging_0188/klagomålsmail/A 9917-2019 FSC-klagomål mail.docx", "A 9917-2019")</f>
        <v/>
      </c>
      <c r="X121">
        <f>HYPERLINK("https://klasma.github.io/Logging_0188/tillsyn/A 9917-2019 tillsynsbegäran.docx", "A 9917-2019")</f>
        <v/>
      </c>
      <c r="Y121">
        <f>HYPERLINK("https://klasma.github.io/Logging_0188/tillsynsmail/A 9917-2019 tillsynsbegäran mail.docx", "A 9917-2019")</f>
        <v/>
      </c>
    </row>
    <row r="122" ht="15" customHeight="1">
      <c r="A122" t="inlineStr">
        <is>
          <t>A 10426-2019</t>
        </is>
      </c>
      <c r="B122" s="1" t="n">
        <v>43511</v>
      </c>
      <c r="C122" s="1" t="n">
        <v>45349</v>
      </c>
      <c r="D122" t="inlineStr">
        <is>
          <t>STOCKHOLMS LÄN</t>
        </is>
      </c>
      <c r="E122" t="inlineStr">
        <is>
          <t>NORRTÄLJE</t>
        </is>
      </c>
      <c r="G122" t="n">
        <v>19</v>
      </c>
      <c r="H122" t="n">
        <v>1</v>
      </c>
      <c r="I122" t="n">
        <v>0</v>
      </c>
      <c r="J122" t="n">
        <v>0</v>
      </c>
      <c r="K122" t="n">
        <v>0</v>
      </c>
      <c r="L122" t="n">
        <v>0</v>
      </c>
      <c r="M122" t="n">
        <v>0</v>
      </c>
      <c r="N122" t="n">
        <v>0</v>
      </c>
      <c r="O122" t="n">
        <v>0</v>
      </c>
      <c r="P122" t="n">
        <v>0</v>
      </c>
      <c r="Q122" t="n">
        <v>1</v>
      </c>
      <c r="R122" s="2" t="inlineStr">
        <is>
          <t>Grönvit nattviol</t>
        </is>
      </c>
      <c r="S122">
        <f>HYPERLINK("https://klasma.github.io/Logging_0188/artfynd/A 10426-2019 artfynd.xlsx", "A 10426-2019")</f>
        <v/>
      </c>
      <c r="T122">
        <f>HYPERLINK("https://klasma.github.io/Logging_0188/kartor/A 10426-2019 karta.png", "A 10426-2019")</f>
        <v/>
      </c>
      <c r="V122">
        <f>HYPERLINK("https://klasma.github.io/Logging_0188/klagomål/A 10426-2019 FSC-klagomål.docx", "A 10426-2019")</f>
        <v/>
      </c>
      <c r="W122">
        <f>HYPERLINK("https://klasma.github.io/Logging_0188/klagomålsmail/A 10426-2019 FSC-klagomål mail.docx", "A 10426-2019")</f>
        <v/>
      </c>
      <c r="X122">
        <f>HYPERLINK("https://klasma.github.io/Logging_0188/tillsyn/A 10426-2019 tillsynsbegäran.docx", "A 10426-2019")</f>
        <v/>
      </c>
      <c r="Y122">
        <f>HYPERLINK("https://klasma.github.io/Logging_0188/tillsynsmail/A 10426-2019 tillsynsbegäran mail.docx", "A 10426-2019")</f>
        <v/>
      </c>
    </row>
    <row r="123" ht="15" customHeight="1">
      <c r="A123" t="inlineStr">
        <is>
          <t>A 11462-2019</t>
        </is>
      </c>
      <c r="B123" s="1" t="n">
        <v>43517</v>
      </c>
      <c r="C123" s="1" t="n">
        <v>45349</v>
      </c>
      <c r="D123" t="inlineStr">
        <is>
          <t>STOCKHOLMS LÄN</t>
        </is>
      </c>
      <c r="E123" t="inlineStr">
        <is>
          <t>NORRTÄLJE</t>
        </is>
      </c>
      <c r="G123" t="n">
        <v>3.4</v>
      </c>
      <c r="H123" t="n">
        <v>0</v>
      </c>
      <c r="I123" t="n">
        <v>0</v>
      </c>
      <c r="J123" t="n">
        <v>1</v>
      </c>
      <c r="K123" t="n">
        <v>0</v>
      </c>
      <c r="L123" t="n">
        <v>0</v>
      </c>
      <c r="M123" t="n">
        <v>0</v>
      </c>
      <c r="N123" t="n">
        <v>0</v>
      </c>
      <c r="O123" t="n">
        <v>1</v>
      </c>
      <c r="P123" t="n">
        <v>0</v>
      </c>
      <c r="Q123" t="n">
        <v>1</v>
      </c>
      <c r="R123" s="2" t="inlineStr">
        <is>
          <t>Åkerkulla</t>
        </is>
      </c>
      <c r="S123">
        <f>HYPERLINK("https://klasma.github.io/Logging_0188/artfynd/A 11462-2019 artfynd.xlsx", "A 11462-2019")</f>
        <v/>
      </c>
      <c r="T123">
        <f>HYPERLINK("https://klasma.github.io/Logging_0188/kartor/A 11462-2019 karta.png", "A 11462-2019")</f>
        <v/>
      </c>
      <c r="V123">
        <f>HYPERLINK("https://klasma.github.io/Logging_0188/klagomål/A 11462-2019 FSC-klagomål.docx", "A 11462-2019")</f>
        <v/>
      </c>
      <c r="W123">
        <f>HYPERLINK("https://klasma.github.io/Logging_0188/klagomålsmail/A 11462-2019 FSC-klagomål mail.docx", "A 11462-2019")</f>
        <v/>
      </c>
      <c r="X123">
        <f>HYPERLINK("https://klasma.github.io/Logging_0188/tillsyn/A 11462-2019 tillsynsbegäran.docx", "A 11462-2019")</f>
        <v/>
      </c>
      <c r="Y123">
        <f>HYPERLINK("https://klasma.github.io/Logging_0188/tillsynsmail/A 11462-2019 tillsynsbegäran mail.docx", "A 11462-2019")</f>
        <v/>
      </c>
    </row>
    <row r="124" ht="15" customHeight="1">
      <c r="A124" t="inlineStr">
        <is>
          <t>A 11815-2019</t>
        </is>
      </c>
      <c r="B124" s="1" t="n">
        <v>43521</v>
      </c>
      <c r="C124" s="1" t="n">
        <v>45349</v>
      </c>
      <c r="D124" t="inlineStr">
        <is>
          <t>STOCKHOLMS LÄN</t>
        </is>
      </c>
      <c r="E124" t="inlineStr">
        <is>
          <t>NORRTÄLJE</t>
        </is>
      </c>
      <c r="G124" t="n">
        <v>3</v>
      </c>
      <c r="H124" t="n">
        <v>0</v>
      </c>
      <c r="I124" t="n">
        <v>1</v>
      </c>
      <c r="J124" t="n">
        <v>0</v>
      </c>
      <c r="K124" t="n">
        <v>0</v>
      </c>
      <c r="L124" t="n">
        <v>0</v>
      </c>
      <c r="M124" t="n">
        <v>0</v>
      </c>
      <c r="N124" t="n">
        <v>0</v>
      </c>
      <c r="O124" t="n">
        <v>0</v>
      </c>
      <c r="P124" t="n">
        <v>0</v>
      </c>
      <c r="Q124" t="n">
        <v>1</v>
      </c>
      <c r="R124" s="2" t="inlineStr">
        <is>
          <t>Fjällig taggsvamp s.str.</t>
        </is>
      </c>
      <c r="S124">
        <f>HYPERLINK("https://klasma.github.io/Logging_0188/artfynd/A 11815-2019 artfynd.xlsx", "A 11815-2019")</f>
        <v/>
      </c>
      <c r="T124">
        <f>HYPERLINK("https://klasma.github.io/Logging_0188/kartor/A 11815-2019 karta.png", "A 11815-2019")</f>
        <v/>
      </c>
      <c r="V124">
        <f>HYPERLINK("https://klasma.github.io/Logging_0188/klagomål/A 11815-2019 FSC-klagomål.docx", "A 11815-2019")</f>
        <v/>
      </c>
      <c r="W124">
        <f>HYPERLINK("https://klasma.github.io/Logging_0188/klagomålsmail/A 11815-2019 FSC-klagomål mail.docx", "A 11815-2019")</f>
        <v/>
      </c>
      <c r="X124">
        <f>HYPERLINK("https://klasma.github.io/Logging_0188/tillsyn/A 11815-2019 tillsynsbegäran.docx", "A 11815-2019")</f>
        <v/>
      </c>
      <c r="Y124">
        <f>HYPERLINK("https://klasma.github.io/Logging_0188/tillsynsmail/A 11815-2019 tillsynsbegäran mail.docx", "A 11815-2019")</f>
        <v/>
      </c>
    </row>
    <row r="125" ht="15" customHeight="1">
      <c r="A125" t="inlineStr">
        <is>
          <t>A 13207-2019</t>
        </is>
      </c>
      <c r="B125" s="1" t="n">
        <v>43528</v>
      </c>
      <c r="C125" s="1" t="n">
        <v>45349</v>
      </c>
      <c r="D125" t="inlineStr">
        <is>
          <t>STOCKHOLMS LÄN</t>
        </is>
      </c>
      <c r="E125" t="inlineStr">
        <is>
          <t>NORRTÄLJE</t>
        </is>
      </c>
      <c r="G125" t="n">
        <v>2.5</v>
      </c>
      <c r="H125" t="n">
        <v>1</v>
      </c>
      <c r="I125" t="n">
        <v>0</v>
      </c>
      <c r="J125" t="n">
        <v>0</v>
      </c>
      <c r="K125" t="n">
        <v>1</v>
      </c>
      <c r="L125" t="n">
        <v>0</v>
      </c>
      <c r="M125" t="n">
        <v>0</v>
      </c>
      <c r="N125" t="n">
        <v>0</v>
      </c>
      <c r="O125" t="n">
        <v>1</v>
      </c>
      <c r="P125" t="n">
        <v>1</v>
      </c>
      <c r="Q125" t="n">
        <v>1</v>
      </c>
      <c r="R125" s="2" t="inlineStr">
        <is>
          <t>Hällebräcka</t>
        </is>
      </c>
      <c r="S125">
        <f>HYPERLINK("https://klasma.github.io/Logging_0188/artfynd/A 13207-2019 artfynd.xlsx", "A 13207-2019")</f>
        <v/>
      </c>
      <c r="T125">
        <f>HYPERLINK("https://klasma.github.io/Logging_0188/kartor/A 13207-2019 karta.png", "A 13207-2019")</f>
        <v/>
      </c>
      <c r="V125">
        <f>HYPERLINK("https://klasma.github.io/Logging_0188/klagomål/A 13207-2019 FSC-klagomål.docx", "A 13207-2019")</f>
        <v/>
      </c>
      <c r="W125">
        <f>HYPERLINK("https://klasma.github.io/Logging_0188/klagomålsmail/A 13207-2019 FSC-klagomål mail.docx", "A 13207-2019")</f>
        <v/>
      </c>
      <c r="X125">
        <f>HYPERLINK("https://klasma.github.io/Logging_0188/tillsyn/A 13207-2019 tillsynsbegäran.docx", "A 13207-2019")</f>
        <v/>
      </c>
      <c r="Y125">
        <f>HYPERLINK("https://klasma.github.io/Logging_0188/tillsynsmail/A 13207-2019 tillsynsbegäran mail.docx", "A 13207-2019")</f>
        <v/>
      </c>
    </row>
    <row r="126" ht="15" customHeight="1">
      <c r="A126" t="inlineStr">
        <is>
          <t>A 13444-2019</t>
        </is>
      </c>
      <c r="B126" s="1" t="n">
        <v>43529</v>
      </c>
      <c r="C126" s="1" t="n">
        <v>45349</v>
      </c>
      <c r="D126" t="inlineStr">
        <is>
          <t>STOCKHOLMS LÄN</t>
        </is>
      </c>
      <c r="E126" t="inlineStr">
        <is>
          <t>NORRTÄLJE</t>
        </is>
      </c>
      <c r="F126" t="inlineStr">
        <is>
          <t>Kommuner</t>
        </is>
      </c>
      <c r="G126" t="n">
        <v>1</v>
      </c>
      <c r="H126" t="n">
        <v>0</v>
      </c>
      <c r="I126" t="n">
        <v>0</v>
      </c>
      <c r="J126" t="n">
        <v>1</v>
      </c>
      <c r="K126" t="n">
        <v>0</v>
      </c>
      <c r="L126" t="n">
        <v>0</v>
      </c>
      <c r="M126" t="n">
        <v>0</v>
      </c>
      <c r="N126" t="n">
        <v>0</v>
      </c>
      <c r="O126" t="n">
        <v>1</v>
      </c>
      <c r="P126" t="n">
        <v>0</v>
      </c>
      <c r="Q126" t="n">
        <v>1</v>
      </c>
      <c r="R126" s="2" t="inlineStr">
        <is>
          <t>Ullticka</t>
        </is>
      </c>
      <c r="S126">
        <f>HYPERLINK("https://klasma.github.io/Logging_0188/artfynd/A 13444-2019 artfynd.xlsx", "A 13444-2019")</f>
        <v/>
      </c>
      <c r="T126">
        <f>HYPERLINK("https://klasma.github.io/Logging_0188/kartor/A 13444-2019 karta.png", "A 13444-2019")</f>
        <v/>
      </c>
      <c r="V126">
        <f>HYPERLINK("https://klasma.github.io/Logging_0188/klagomål/A 13444-2019 FSC-klagomål.docx", "A 13444-2019")</f>
        <v/>
      </c>
      <c r="W126">
        <f>HYPERLINK("https://klasma.github.io/Logging_0188/klagomålsmail/A 13444-2019 FSC-klagomål mail.docx", "A 13444-2019")</f>
        <v/>
      </c>
      <c r="X126">
        <f>HYPERLINK("https://klasma.github.io/Logging_0188/tillsyn/A 13444-2019 tillsynsbegäran.docx", "A 13444-2019")</f>
        <v/>
      </c>
      <c r="Y126">
        <f>HYPERLINK("https://klasma.github.io/Logging_0188/tillsynsmail/A 13444-2019 tillsynsbegäran mail.docx", "A 13444-2019")</f>
        <v/>
      </c>
    </row>
    <row r="127" ht="15" customHeight="1">
      <c r="A127" t="inlineStr">
        <is>
          <t>A 15113-2019</t>
        </is>
      </c>
      <c r="B127" s="1" t="n">
        <v>43539</v>
      </c>
      <c r="C127" s="1" t="n">
        <v>45349</v>
      </c>
      <c r="D127" t="inlineStr">
        <is>
          <t>STOCKHOLMS LÄN</t>
        </is>
      </c>
      <c r="E127" t="inlineStr">
        <is>
          <t>NORRTÄLJE</t>
        </is>
      </c>
      <c r="F127" t="inlineStr">
        <is>
          <t>Kommuner</t>
        </is>
      </c>
      <c r="G127" t="n">
        <v>0.7</v>
      </c>
      <c r="H127" t="n">
        <v>0</v>
      </c>
      <c r="I127" t="n">
        <v>0</v>
      </c>
      <c r="J127" t="n">
        <v>1</v>
      </c>
      <c r="K127" t="n">
        <v>0</v>
      </c>
      <c r="L127" t="n">
        <v>0</v>
      </c>
      <c r="M127" t="n">
        <v>0</v>
      </c>
      <c r="N127" t="n">
        <v>0</v>
      </c>
      <c r="O127" t="n">
        <v>1</v>
      </c>
      <c r="P127" t="n">
        <v>0</v>
      </c>
      <c r="Q127" t="n">
        <v>1</v>
      </c>
      <c r="R127" s="2" t="inlineStr">
        <is>
          <t>Blå taggsvamp</t>
        </is>
      </c>
      <c r="S127">
        <f>HYPERLINK("https://klasma.github.io/Logging_0188/artfynd/A 15113-2019 artfynd.xlsx", "A 15113-2019")</f>
        <v/>
      </c>
      <c r="T127">
        <f>HYPERLINK("https://klasma.github.io/Logging_0188/kartor/A 15113-2019 karta.png", "A 15113-2019")</f>
        <v/>
      </c>
      <c r="V127">
        <f>HYPERLINK("https://klasma.github.io/Logging_0188/klagomål/A 15113-2019 FSC-klagomål.docx", "A 15113-2019")</f>
        <v/>
      </c>
      <c r="W127">
        <f>HYPERLINK("https://klasma.github.io/Logging_0188/klagomålsmail/A 15113-2019 FSC-klagomål mail.docx", "A 15113-2019")</f>
        <v/>
      </c>
      <c r="X127">
        <f>HYPERLINK("https://klasma.github.io/Logging_0188/tillsyn/A 15113-2019 tillsynsbegäran.docx", "A 15113-2019")</f>
        <v/>
      </c>
      <c r="Y127">
        <f>HYPERLINK("https://klasma.github.io/Logging_0188/tillsynsmail/A 15113-2019 tillsynsbegäran mail.docx", "A 15113-2019")</f>
        <v/>
      </c>
    </row>
    <row r="128" ht="15" customHeight="1">
      <c r="A128" t="inlineStr">
        <is>
          <t>A 17526-2019</t>
        </is>
      </c>
      <c r="B128" s="1" t="n">
        <v>43553</v>
      </c>
      <c r="C128" s="1" t="n">
        <v>45349</v>
      </c>
      <c r="D128" t="inlineStr">
        <is>
          <t>STOCKHOLMS LÄN</t>
        </is>
      </c>
      <c r="E128" t="inlineStr">
        <is>
          <t>NORRTÄLJE</t>
        </is>
      </c>
      <c r="G128" t="n">
        <v>2.1</v>
      </c>
      <c r="H128" t="n">
        <v>0</v>
      </c>
      <c r="I128" t="n">
        <v>0</v>
      </c>
      <c r="J128" t="n">
        <v>1</v>
      </c>
      <c r="K128" t="n">
        <v>0</v>
      </c>
      <c r="L128" t="n">
        <v>0</v>
      </c>
      <c r="M128" t="n">
        <v>0</v>
      </c>
      <c r="N128" t="n">
        <v>0</v>
      </c>
      <c r="O128" t="n">
        <v>1</v>
      </c>
      <c r="P128" t="n">
        <v>0</v>
      </c>
      <c r="Q128" t="n">
        <v>1</v>
      </c>
      <c r="R128" s="2" t="inlineStr">
        <is>
          <t>Leptoporus erubescens</t>
        </is>
      </c>
      <c r="S128">
        <f>HYPERLINK("https://klasma.github.io/Logging_0188/artfynd/A 17526-2019 artfynd.xlsx", "A 17526-2019")</f>
        <v/>
      </c>
      <c r="T128">
        <f>HYPERLINK("https://klasma.github.io/Logging_0188/kartor/A 17526-2019 karta.png", "A 17526-2019")</f>
        <v/>
      </c>
      <c r="V128">
        <f>HYPERLINK("https://klasma.github.io/Logging_0188/klagomål/A 17526-2019 FSC-klagomål.docx", "A 17526-2019")</f>
        <v/>
      </c>
      <c r="W128">
        <f>HYPERLINK("https://klasma.github.io/Logging_0188/klagomålsmail/A 17526-2019 FSC-klagomål mail.docx", "A 17526-2019")</f>
        <v/>
      </c>
      <c r="X128">
        <f>HYPERLINK("https://klasma.github.io/Logging_0188/tillsyn/A 17526-2019 tillsynsbegäran.docx", "A 17526-2019")</f>
        <v/>
      </c>
      <c r="Y128">
        <f>HYPERLINK("https://klasma.github.io/Logging_0188/tillsynsmail/A 17526-2019 tillsynsbegäran mail.docx", "A 17526-2019")</f>
        <v/>
      </c>
    </row>
    <row r="129" ht="15" customHeight="1">
      <c r="A129" t="inlineStr">
        <is>
          <t>A 20740-2019</t>
        </is>
      </c>
      <c r="B129" s="1" t="n">
        <v>43573</v>
      </c>
      <c r="C129" s="1" t="n">
        <v>45349</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45349</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45349</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45349</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64849-2019</t>
        </is>
      </c>
      <c r="B133" s="1" t="n">
        <v>43801</v>
      </c>
      <c r="C133" s="1" t="n">
        <v>45349</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2796-2020</t>
        </is>
      </c>
      <c r="B134" s="1" t="n">
        <v>43850</v>
      </c>
      <c r="C134" s="1" t="n">
        <v>45349</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45349</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45349</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45349</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45349</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45349</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45349</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33302-2021</t>
        </is>
      </c>
      <c r="B141" s="1" t="n">
        <v>44377</v>
      </c>
      <c r="C141" s="1" t="n">
        <v>45349</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45349</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45349</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45349</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45349</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45349</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45349</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45349</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45349</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45349</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45349</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45349</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45349</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45349</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45349</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38597-2022</t>
        </is>
      </c>
      <c r="B156" s="1" t="n">
        <v>44813</v>
      </c>
      <c r="C156" s="1" t="n">
        <v>45349</v>
      </c>
      <c r="D156" t="inlineStr">
        <is>
          <t>STOCKHOLMS LÄN</t>
        </is>
      </c>
      <c r="E156" t="inlineStr">
        <is>
          <t>NORRTÄLJE</t>
        </is>
      </c>
      <c r="G156" t="n">
        <v>13.2</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38597-2022 artfynd.xlsx", "A 38597-2022")</f>
        <v/>
      </c>
      <c r="T156">
        <f>HYPERLINK("https://klasma.github.io/Logging_0188/kartor/A 38597-2022 karta.png", "A 38597-2022")</f>
        <v/>
      </c>
      <c r="V156">
        <f>HYPERLINK("https://klasma.github.io/Logging_0188/klagomål/A 38597-2022 FSC-klagomål.docx", "A 38597-2022")</f>
        <v/>
      </c>
      <c r="W156">
        <f>HYPERLINK("https://klasma.github.io/Logging_0188/klagomålsmail/A 38597-2022 FSC-klagomål mail.docx", "A 38597-2022")</f>
        <v/>
      </c>
      <c r="X156">
        <f>HYPERLINK("https://klasma.github.io/Logging_0188/tillsyn/A 38597-2022 tillsynsbegäran.docx", "A 38597-2022")</f>
        <v/>
      </c>
      <c r="Y156">
        <f>HYPERLINK("https://klasma.github.io/Logging_0188/tillsynsmail/A 38597-2022 tillsynsbegäran mail.docx", "A 38597-2022")</f>
        <v/>
      </c>
    </row>
    <row r="157" ht="15" customHeight="1">
      <c r="A157" t="inlineStr">
        <is>
          <t>A 40672-2022</t>
        </is>
      </c>
      <c r="B157" s="1" t="n">
        <v>44824</v>
      </c>
      <c r="C157" s="1" t="n">
        <v>45349</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45349</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45349</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45349</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45349</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45349</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4595-2023</t>
        </is>
      </c>
      <c r="B163" s="1" t="n">
        <v>44956</v>
      </c>
      <c r="C163" s="1" t="n">
        <v>45349</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45349</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45349</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45349</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45349</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45349</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45349</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45349</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45349</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45349</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45349</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45349</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45349</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45349</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45349</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39255-2023</t>
        </is>
      </c>
      <c r="B178" s="1" t="n">
        <v>45166</v>
      </c>
      <c r="C178" s="1" t="n">
        <v>45349</v>
      </c>
      <c r="D178" t="inlineStr">
        <is>
          <t>STOCKHOLMS LÄN</t>
        </is>
      </c>
      <c r="E178" t="inlineStr">
        <is>
          <t>NORRTÄLJE</t>
        </is>
      </c>
      <c r="G178" t="n">
        <v>14.2</v>
      </c>
      <c r="H178" t="n">
        <v>1</v>
      </c>
      <c r="I178" t="n">
        <v>0</v>
      </c>
      <c r="J178" t="n">
        <v>0</v>
      </c>
      <c r="K178" t="n">
        <v>0</v>
      </c>
      <c r="L178" t="n">
        <v>0</v>
      </c>
      <c r="M178" t="n">
        <v>0</v>
      </c>
      <c r="N178" t="n">
        <v>0</v>
      </c>
      <c r="O178" t="n">
        <v>0</v>
      </c>
      <c r="P178" t="n">
        <v>0</v>
      </c>
      <c r="Q178" t="n">
        <v>1</v>
      </c>
      <c r="R178" s="2" t="inlineStr">
        <is>
          <t>Lopplummer</t>
        </is>
      </c>
      <c r="S178">
        <f>HYPERLINK("https://klasma.github.io/Logging_0188/artfynd/A 39255-2023 artfynd.xlsx", "A 39255-2023")</f>
        <v/>
      </c>
      <c r="T178">
        <f>HYPERLINK("https://klasma.github.io/Logging_0188/kartor/A 39255-2023 karta.png", "A 39255-2023")</f>
        <v/>
      </c>
      <c r="V178">
        <f>HYPERLINK("https://klasma.github.io/Logging_0188/klagomål/A 39255-2023 FSC-klagomål.docx", "A 39255-2023")</f>
        <v/>
      </c>
      <c r="W178">
        <f>HYPERLINK("https://klasma.github.io/Logging_0188/klagomålsmail/A 39255-2023 FSC-klagomål mail.docx", "A 39255-2023")</f>
        <v/>
      </c>
      <c r="X178">
        <f>HYPERLINK("https://klasma.github.io/Logging_0188/tillsyn/A 39255-2023 tillsynsbegäran.docx", "A 39255-2023")</f>
        <v/>
      </c>
      <c r="Y178">
        <f>HYPERLINK("https://klasma.github.io/Logging_0188/tillsynsmail/A 39255-2023 tillsynsbegäran mail.docx", "A 39255-2023")</f>
        <v/>
      </c>
    </row>
    <row r="179" ht="15" customHeight="1">
      <c r="A179" t="inlineStr">
        <is>
          <t>A 43178-2023</t>
        </is>
      </c>
      <c r="B179" s="1" t="n">
        <v>45183</v>
      </c>
      <c r="C179" s="1" t="n">
        <v>45349</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45349</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45349</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45349</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45349</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45349</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51695-2023</t>
        </is>
      </c>
      <c r="B185" s="1" t="n">
        <v>45222</v>
      </c>
      <c r="C185" s="1" t="n">
        <v>45349</v>
      </c>
      <c r="D185" t="inlineStr">
        <is>
          <t>STOCKHOLMS LÄN</t>
        </is>
      </c>
      <c r="E185" t="inlineStr">
        <is>
          <t>NORRTÄLJE</t>
        </is>
      </c>
      <c r="G185" t="n">
        <v>4.9</v>
      </c>
      <c r="H185" t="n">
        <v>0</v>
      </c>
      <c r="I185" t="n">
        <v>1</v>
      </c>
      <c r="J185" t="n">
        <v>0</v>
      </c>
      <c r="K185" t="n">
        <v>0</v>
      </c>
      <c r="L185" t="n">
        <v>0</v>
      </c>
      <c r="M185" t="n">
        <v>0</v>
      </c>
      <c r="N185" t="n">
        <v>0</v>
      </c>
      <c r="O185" t="n">
        <v>0</v>
      </c>
      <c r="P185" t="n">
        <v>0</v>
      </c>
      <c r="Q185" t="n">
        <v>1</v>
      </c>
      <c r="R185" s="2" t="inlineStr">
        <is>
          <t>Fjällig taggsvamp s.str.</t>
        </is>
      </c>
      <c r="S185">
        <f>HYPERLINK("https://klasma.github.io/Logging_0188/artfynd/A 51695-2023 artfynd.xlsx", "A 51695-2023")</f>
        <v/>
      </c>
      <c r="T185">
        <f>HYPERLINK("https://klasma.github.io/Logging_0188/kartor/A 51695-2023 karta.png", "A 51695-2023")</f>
        <v/>
      </c>
      <c r="V185">
        <f>HYPERLINK("https://klasma.github.io/Logging_0188/klagomål/A 51695-2023 FSC-klagomål.docx", "A 51695-2023")</f>
        <v/>
      </c>
      <c r="W185">
        <f>HYPERLINK("https://klasma.github.io/Logging_0188/klagomålsmail/A 51695-2023 FSC-klagomål mail.docx", "A 51695-2023")</f>
        <v/>
      </c>
      <c r="X185">
        <f>HYPERLINK("https://klasma.github.io/Logging_0188/tillsyn/A 51695-2023 tillsynsbegäran.docx", "A 51695-2023")</f>
        <v/>
      </c>
      <c r="Y185">
        <f>HYPERLINK("https://klasma.github.io/Logging_0188/tillsynsmail/A 51695-2023 tillsynsbegäran mail.docx", "A 51695-2023")</f>
        <v/>
      </c>
    </row>
    <row r="186" ht="15" customHeight="1">
      <c r="A186" t="inlineStr">
        <is>
          <t>A 51909-2023</t>
        </is>
      </c>
      <c r="B186" s="1" t="n">
        <v>45223</v>
      </c>
      <c r="C186" s="1" t="n">
        <v>45349</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45349</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45349</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45349</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64456-2023</t>
        </is>
      </c>
      <c r="B190" s="1" t="n">
        <v>45280</v>
      </c>
      <c r="C190" s="1" t="n">
        <v>45349</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6950-2024</t>
        </is>
      </c>
      <c r="B191" s="1" t="n">
        <v>45343</v>
      </c>
      <c r="C191" s="1" t="n">
        <v>45349</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34215-2018</t>
        </is>
      </c>
      <c r="B192" s="1" t="n">
        <v>43318</v>
      </c>
      <c r="C192" s="1" t="n">
        <v>45349</v>
      </c>
      <c r="D192" t="inlineStr">
        <is>
          <t>STOCKHOLMS LÄN</t>
        </is>
      </c>
      <c r="E192" t="inlineStr">
        <is>
          <t>NORRTÄLJE</t>
        </is>
      </c>
      <c r="G192" t="n">
        <v>4.1</v>
      </c>
      <c r="H192" t="n">
        <v>0</v>
      </c>
      <c r="I192" t="n">
        <v>0</v>
      </c>
      <c r="J192" t="n">
        <v>0</v>
      </c>
      <c r="K192" t="n">
        <v>0</v>
      </c>
      <c r="L192" t="n">
        <v>0</v>
      </c>
      <c r="M192" t="n">
        <v>0</v>
      </c>
      <c r="N192" t="n">
        <v>0</v>
      </c>
      <c r="O192" t="n">
        <v>0</v>
      </c>
      <c r="P192" t="n">
        <v>0</v>
      </c>
      <c r="Q192" t="n">
        <v>0</v>
      </c>
      <c r="R192" s="2" t="inlineStr"/>
    </row>
    <row r="193" ht="15" customHeight="1">
      <c r="A193" t="inlineStr">
        <is>
          <t>A 41609-2018</t>
        </is>
      </c>
      <c r="B193" s="1" t="n">
        <v>43349</v>
      </c>
      <c r="C193" s="1" t="n">
        <v>45349</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44575-2018</t>
        </is>
      </c>
      <c r="B194" s="1" t="n">
        <v>43361</v>
      </c>
      <c r="C194" s="1" t="n">
        <v>45349</v>
      </c>
      <c r="D194" t="inlineStr">
        <is>
          <t>STOCKHOLMS LÄN</t>
        </is>
      </c>
      <c r="E194" t="inlineStr">
        <is>
          <t>NORRTÄLJE</t>
        </is>
      </c>
      <c r="G194" t="n">
        <v>9.9</v>
      </c>
      <c r="H194" t="n">
        <v>0</v>
      </c>
      <c r="I194" t="n">
        <v>0</v>
      </c>
      <c r="J194" t="n">
        <v>0</v>
      </c>
      <c r="K194" t="n">
        <v>0</v>
      </c>
      <c r="L194" t="n">
        <v>0</v>
      </c>
      <c r="M194" t="n">
        <v>0</v>
      </c>
      <c r="N194" t="n">
        <v>0</v>
      </c>
      <c r="O194" t="n">
        <v>0</v>
      </c>
      <c r="P194" t="n">
        <v>0</v>
      </c>
      <c r="Q194" t="n">
        <v>0</v>
      </c>
      <c r="R194" s="2" t="inlineStr"/>
    </row>
    <row r="195" ht="15" customHeight="1">
      <c r="A195" t="inlineStr">
        <is>
          <t>A 44554-2018</t>
        </is>
      </c>
      <c r="B195" s="1" t="n">
        <v>43361</v>
      </c>
      <c r="C195" s="1" t="n">
        <v>45349</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55474-2018</t>
        </is>
      </c>
      <c r="B196" s="1" t="n">
        <v>43391</v>
      </c>
      <c r="C196" s="1" t="n">
        <v>45349</v>
      </c>
      <c r="D196" t="inlineStr">
        <is>
          <t>STOCKHOLMS LÄN</t>
        </is>
      </c>
      <c r="E196" t="inlineStr">
        <is>
          <t>NORRTÄLJE</t>
        </is>
      </c>
      <c r="G196" t="n">
        <v>1.5</v>
      </c>
      <c r="H196" t="n">
        <v>0</v>
      </c>
      <c r="I196" t="n">
        <v>0</v>
      </c>
      <c r="J196" t="n">
        <v>0</v>
      </c>
      <c r="K196" t="n">
        <v>0</v>
      </c>
      <c r="L196" t="n">
        <v>0</v>
      </c>
      <c r="M196" t="n">
        <v>0</v>
      </c>
      <c r="N196" t="n">
        <v>0</v>
      </c>
      <c r="O196" t="n">
        <v>0</v>
      </c>
      <c r="P196" t="n">
        <v>0</v>
      </c>
      <c r="Q196" t="n">
        <v>0</v>
      </c>
      <c r="R196" s="2" t="inlineStr"/>
    </row>
    <row r="197" ht="15" customHeight="1">
      <c r="A197" t="inlineStr">
        <is>
          <t>A 59037-2018</t>
        </is>
      </c>
      <c r="B197" s="1" t="n">
        <v>43402</v>
      </c>
      <c r="C197" s="1" t="n">
        <v>45349</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59531-2018</t>
        </is>
      </c>
      <c r="B198" s="1" t="n">
        <v>43404</v>
      </c>
      <c r="C198" s="1" t="n">
        <v>45349</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59257-2018</t>
        </is>
      </c>
      <c r="B199" s="1" t="n">
        <v>43404</v>
      </c>
      <c r="C199" s="1" t="n">
        <v>45349</v>
      </c>
      <c r="D199" t="inlineStr">
        <is>
          <t>STOCKHOLMS LÄN</t>
        </is>
      </c>
      <c r="E199" t="inlineStr">
        <is>
          <t>NORRTÄLJE</t>
        </is>
      </c>
      <c r="G199" t="n">
        <v>6</v>
      </c>
      <c r="H199" t="n">
        <v>0</v>
      </c>
      <c r="I199" t="n">
        <v>0</v>
      </c>
      <c r="J199" t="n">
        <v>0</v>
      </c>
      <c r="K199" t="n">
        <v>0</v>
      </c>
      <c r="L199" t="n">
        <v>0</v>
      </c>
      <c r="M199" t="n">
        <v>0</v>
      </c>
      <c r="N199" t="n">
        <v>0</v>
      </c>
      <c r="O199" t="n">
        <v>0</v>
      </c>
      <c r="P199" t="n">
        <v>0</v>
      </c>
      <c r="Q199" t="n">
        <v>0</v>
      </c>
      <c r="R199" s="2" t="inlineStr"/>
    </row>
    <row r="200" ht="15" customHeight="1">
      <c r="A200" t="inlineStr">
        <is>
          <t>A 59205-2018</t>
        </is>
      </c>
      <c r="B200" s="1" t="n">
        <v>43404</v>
      </c>
      <c r="C200" s="1" t="n">
        <v>45349</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57788-2018</t>
        </is>
      </c>
      <c r="B201" s="1" t="n">
        <v>43405</v>
      </c>
      <c r="C201" s="1" t="n">
        <v>45349</v>
      </c>
      <c r="D201" t="inlineStr">
        <is>
          <t>STOCKHOLMS LÄN</t>
        </is>
      </c>
      <c r="E201" t="inlineStr">
        <is>
          <t>NORRTÄLJE</t>
        </is>
      </c>
      <c r="G201" t="n">
        <v>5.3</v>
      </c>
      <c r="H201" t="n">
        <v>0</v>
      </c>
      <c r="I201" t="n">
        <v>0</v>
      </c>
      <c r="J201" t="n">
        <v>0</v>
      </c>
      <c r="K201" t="n">
        <v>0</v>
      </c>
      <c r="L201" t="n">
        <v>0</v>
      </c>
      <c r="M201" t="n">
        <v>0</v>
      </c>
      <c r="N201" t="n">
        <v>0</v>
      </c>
      <c r="O201" t="n">
        <v>0</v>
      </c>
      <c r="P201" t="n">
        <v>0</v>
      </c>
      <c r="Q201" t="n">
        <v>0</v>
      </c>
      <c r="R201" s="2" t="inlineStr"/>
    </row>
    <row r="202" ht="15" customHeight="1">
      <c r="A202" t="inlineStr">
        <is>
          <t>A 59554-2018</t>
        </is>
      </c>
      <c r="B202" s="1" t="n">
        <v>43405</v>
      </c>
      <c r="C202" s="1" t="n">
        <v>45349</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64973-2018</t>
        </is>
      </c>
      <c r="B203" s="1" t="n">
        <v>43405</v>
      </c>
      <c r="C203" s="1" t="n">
        <v>45349</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58116-2018</t>
        </is>
      </c>
      <c r="B204" s="1" t="n">
        <v>43406</v>
      </c>
      <c r="C204" s="1" t="n">
        <v>45349</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58894-2018</t>
        </is>
      </c>
      <c r="B205" s="1" t="n">
        <v>43410</v>
      </c>
      <c r="C205" s="1" t="n">
        <v>45349</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62408-2018</t>
        </is>
      </c>
      <c r="B206" s="1" t="n">
        <v>43416</v>
      </c>
      <c r="C206" s="1" t="n">
        <v>45349</v>
      </c>
      <c r="D206" t="inlineStr">
        <is>
          <t>STOCKHOLMS LÄN</t>
        </is>
      </c>
      <c r="E206" t="inlineStr">
        <is>
          <t>NORRTÄLJE</t>
        </is>
      </c>
      <c r="G206" t="n">
        <v>0.2</v>
      </c>
      <c r="H206" t="n">
        <v>0</v>
      </c>
      <c r="I206" t="n">
        <v>0</v>
      </c>
      <c r="J206" t="n">
        <v>0</v>
      </c>
      <c r="K206" t="n">
        <v>0</v>
      </c>
      <c r="L206" t="n">
        <v>0</v>
      </c>
      <c r="M206" t="n">
        <v>0</v>
      </c>
      <c r="N206" t="n">
        <v>0</v>
      </c>
      <c r="O206" t="n">
        <v>0</v>
      </c>
      <c r="P206" t="n">
        <v>0</v>
      </c>
      <c r="Q206" t="n">
        <v>0</v>
      </c>
      <c r="R206" s="2" t="inlineStr"/>
    </row>
    <row r="207" ht="15" customHeight="1">
      <c r="A207" t="inlineStr">
        <is>
          <t>A 59363-2018</t>
        </is>
      </c>
      <c r="B207" s="1" t="n">
        <v>43418</v>
      </c>
      <c r="C207" s="1" t="n">
        <v>45349</v>
      </c>
      <c r="D207" t="inlineStr">
        <is>
          <t>STOCKHOLMS LÄN</t>
        </is>
      </c>
      <c r="E207" t="inlineStr">
        <is>
          <t>NORRTÄLJE</t>
        </is>
      </c>
      <c r="G207" t="n">
        <v>4.5</v>
      </c>
      <c r="H207" t="n">
        <v>0</v>
      </c>
      <c r="I207" t="n">
        <v>0</v>
      </c>
      <c r="J207" t="n">
        <v>0</v>
      </c>
      <c r="K207" t="n">
        <v>0</v>
      </c>
      <c r="L207" t="n">
        <v>0</v>
      </c>
      <c r="M207" t="n">
        <v>0</v>
      </c>
      <c r="N207" t="n">
        <v>0</v>
      </c>
      <c r="O207" t="n">
        <v>0</v>
      </c>
      <c r="P207" t="n">
        <v>0</v>
      </c>
      <c r="Q207" t="n">
        <v>0</v>
      </c>
      <c r="R207" s="2" t="inlineStr"/>
    </row>
    <row r="208" ht="15" customHeight="1">
      <c r="A208" t="inlineStr">
        <is>
          <t>A 61000-2018</t>
        </is>
      </c>
      <c r="B208" s="1" t="n">
        <v>43419</v>
      </c>
      <c r="C208" s="1" t="n">
        <v>45349</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61574-2018</t>
        </is>
      </c>
      <c r="B209" s="1" t="n">
        <v>43424</v>
      </c>
      <c r="C209" s="1" t="n">
        <v>45349</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63233-2018</t>
        </is>
      </c>
      <c r="B210" s="1" t="n">
        <v>43426</v>
      </c>
      <c r="C210" s="1" t="n">
        <v>45349</v>
      </c>
      <c r="D210" t="inlineStr">
        <is>
          <t>STOCKHOLMS LÄN</t>
        </is>
      </c>
      <c r="E210" t="inlineStr">
        <is>
          <t>NORRTÄLJE</t>
        </is>
      </c>
      <c r="G210" t="n">
        <v>6.4</v>
      </c>
      <c r="H210" t="n">
        <v>0</v>
      </c>
      <c r="I210" t="n">
        <v>0</v>
      </c>
      <c r="J210" t="n">
        <v>0</v>
      </c>
      <c r="K210" t="n">
        <v>0</v>
      </c>
      <c r="L210" t="n">
        <v>0</v>
      </c>
      <c r="M210" t="n">
        <v>0</v>
      </c>
      <c r="N210" t="n">
        <v>0</v>
      </c>
      <c r="O210" t="n">
        <v>0</v>
      </c>
      <c r="P210" t="n">
        <v>0</v>
      </c>
      <c r="Q210" t="n">
        <v>0</v>
      </c>
      <c r="R210" s="2" t="inlineStr"/>
    </row>
    <row r="211" ht="15" customHeight="1">
      <c r="A211" t="inlineStr">
        <is>
          <t>A 63230-2018</t>
        </is>
      </c>
      <c r="B211" s="1" t="n">
        <v>43426</v>
      </c>
      <c r="C211" s="1" t="n">
        <v>45349</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65027-2018</t>
        </is>
      </c>
      <c r="B212" s="1" t="n">
        <v>43432</v>
      </c>
      <c r="C212" s="1" t="n">
        <v>45349</v>
      </c>
      <c r="D212" t="inlineStr">
        <is>
          <t>STOCKHOLMS LÄN</t>
        </is>
      </c>
      <c r="E212" t="inlineStr">
        <is>
          <t>NORRTÄLJE</t>
        </is>
      </c>
      <c r="G212" t="n">
        <v>2.7</v>
      </c>
      <c r="H212" t="n">
        <v>0</v>
      </c>
      <c r="I212" t="n">
        <v>0</v>
      </c>
      <c r="J212" t="n">
        <v>0</v>
      </c>
      <c r="K212" t="n">
        <v>0</v>
      </c>
      <c r="L212" t="n">
        <v>0</v>
      </c>
      <c r="M212" t="n">
        <v>0</v>
      </c>
      <c r="N212" t="n">
        <v>0</v>
      </c>
      <c r="O212" t="n">
        <v>0</v>
      </c>
      <c r="P212" t="n">
        <v>0</v>
      </c>
      <c r="Q212" t="n">
        <v>0</v>
      </c>
      <c r="R212" s="2" t="inlineStr"/>
    </row>
    <row r="213" ht="15" customHeight="1">
      <c r="A213" t="inlineStr">
        <is>
          <t>A 65015-2018</t>
        </is>
      </c>
      <c r="B213" s="1" t="n">
        <v>43432</v>
      </c>
      <c r="C213" s="1" t="n">
        <v>45349</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65566-2018</t>
        </is>
      </c>
      <c r="B214" s="1" t="n">
        <v>43433</v>
      </c>
      <c r="C214" s="1" t="n">
        <v>45349</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66351-2018</t>
        </is>
      </c>
      <c r="B215" s="1" t="n">
        <v>43436</v>
      </c>
      <c r="C215" s="1" t="n">
        <v>45349</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66350-2018</t>
        </is>
      </c>
      <c r="B216" s="1" t="n">
        <v>43436</v>
      </c>
      <c r="C216" s="1" t="n">
        <v>45349</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67951-2018</t>
        </is>
      </c>
      <c r="B217" s="1" t="n">
        <v>43440</v>
      </c>
      <c r="C217" s="1" t="n">
        <v>45349</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70310-2018</t>
        </is>
      </c>
      <c r="B218" s="1" t="n">
        <v>43445</v>
      </c>
      <c r="C218" s="1" t="n">
        <v>45349</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69025-2018</t>
        </is>
      </c>
      <c r="B219" s="1" t="n">
        <v>43445</v>
      </c>
      <c r="C219" s="1" t="n">
        <v>45349</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row>
    <row r="220" ht="15" customHeight="1">
      <c r="A220" t="inlineStr">
        <is>
          <t>A 71399-2018</t>
        </is>
      </c>
      <c r="B220" s="1" t="n">
        <v>43453</v>
      </c>
      <c r="C220" s="1" t="n">
        <v>45349</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72278-2018</t>
        </is>
      </c>
      <c r="B221" s="1" t="n">
        <v>43455</v>
      </c>
      <c r="C221" s="1" t="n">
        <v>45349</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72281-2018</t>
        </is>
      </c>
      <c r="B222" s="1" t="n">
        <v>43455</v>
      </c>
      <c r="C222" s="1" t="n">
        <v>45349</v>
      </c>
      <c r="D222" t="inlineStr">
        <is>
          <t>STOCKHOLMS LÄN</t>
        </is>
      </c>
      <c r="E222" t="inlineStr">
        <is>
          <t>NORRTÄLJE</t>
        </is>
      </c>
      <c r="G222" t="n">
        <v>1.2</v>
      </c>
      <c r="H222" t="n">
        <v>0</v>
      </c>
      <c r="I222" t="n">
        <v>0</v>
      </c>
      <c r="J222" t="n">
        <v>0</v>
      </c>
      <c r="K222" t="n">
        <v>0</v>
      </c>
      <c r="L222" t="n">
        <v>0</v>
      </c>
      <c r="M222" t="n">
        <v>0</v>
      </c>
      <c r="N222" t="n">
        <v>0</v>
      </c>
      <c r="O222" t="n">
        <v>0</v>
      </c>
      <c r="P222" t="n">
        <v>0</v>
      </c>
      <c r="Q222" t="n">
        <v>0</v>
      </c>
      <c r="R222" s="2" t="inlineStr"/>
    </row>
    <row r="223" ht="15" customHeight="1">
      <c r="A223" t="inlineStr">
        <is>
          <t>A 72328-2018</t>
        </is>
      </c>
      <c r="B223" s="1" t="n">
        <v>43459</v>
      </c>
      <c r="C223" s="1" t="n">
        <v>45349</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72453-2018</t>
        </is>
      </c>
      <c r="B224" s="1" t="n">
        <v>43461</v>
      </c>
      <c r="C224" s="1" t="n">
        <v>45349</v>
      </c>
      <c r="D224" t="inlineStr">
        <is>
          <t>STOCKHOLMS LÄN</t>
        </is>
      </c>
      <c r="E224" t="inlineStr">
        <is>
          <t>NORRTÄLJE</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72408-2018</t>
        </is>
      </c>
      <c r="B225" s="1" t="n">
        <v>43461</v>
      </c>
      <c r="C225" s="1" t="n">
        <v>45349</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248-2019</t>
        </is>
      </c>
      <c r="B226" s="1" t="n">
        <v>43467</v>
      </c>
      <c r="C226" s="1" t="n">
        <v>45349</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441-2019</t>
        </is>
      </c>
      <c r="B227" s="1" t="n">
        <v>43468</v>
      </c>
      <c r="C227" s="1" t="n">
        <v>45349</v>
      </c>
      <c r="D227" t="inlineStr">
        <is>
          <t>STOCKHOLMS LÄN</t>
        </is>
      </c>
      <c r="E227" t="inlineStr">
        <is>
          <t>NORRTÄLJE</t>
        </is>
      </c>
      <c r="G227" t="n">
        <v>7.2</v>
      </c>
      <c r="H227" t="n">
        <v>0</v>
      </c>
      <c r="I227" t="n">
        <v>0</v>
      </c>
      <c r="J227" t="n">
        <v>0</v>
      </c>
      <c r="K227" t="n">
        <v>0</v>
      </c>
      <c r="L227" t="n">
        <v>0</v>
      </c>
      <c r="M227" t="n">
        <v>0</v>
      </c>
      <c r="N227" t="n">
        <v>0</v>
      </c>
      <c r="O227" t="n">
        <v>0</v>
      </c>
      <c r="P227" t="n">
        <v>0</v>
      </c>
      <c r="Q227" t="n">
        <v>0</v>
      </c>
      <c r="R227" s="2" t="inlineStr"/>
    </row>
    <row r="228" ht="15" customHeight="1">
      <c r="A228" t="inlineStr">
        <is>
          <t>A 694-2019</t>
        </is>
      </c>
      <c r="B228" s="1" t="n">
        <v>43469</v>
      </c>
      <c r="C228" s="1" t="n">
        <v>45349</v>
      </c>
      <c r="D228" t="inlineStr">
        <is>
          <t>STOCKHOLMS LÄN</t>
        </is>
      </c>
      <c r="E228" t="inlineStr">
        <is>
          <t>NORRTÄLJE</t>
        </is>
      </c>
      <c r="G228" t="n">
        <v>9.4</v>
      </c>
      <c r="H228" t="n">
        <v>0</v>
      </c>
      <c r="I228" t="n">
        <v>0</v>
      </c>
      <c r="J228" t="n">
        <v>0</v>
      </c>
      <c r="K228" t="n">
        <v>0</v>
      </c>
      <c r="L228" t="n">
        <v>0</v>
      </c>
      <c r="M228" t="n">
        <v>0</v>
      </c>
      <c r="N228" t="n">
        <v>0</v>
      </c>
      <c r="O228" t="n">
        <v>0</v>
      </c>
      <c r="P228" t="n">
        <v>0</v>
      </c>
      <c r="Q228" t="n">
        <v>0</v>
      </c>
      <c r="R228" s="2" t="inlineStr"/>
    </row>
    <row r="229" ht="15" customHeight="1">
      <c r="A229" t="inlineStr">
        <is>
          <t>A 649-2019</t>
        </is>
      </c>
      <c r="B229" s="1" t="n">
        <v>43469</v>
      </c>
      <c r="C229" s="1" t="n">
        <v>45349</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708-2019</t>
        </is>
      </c>
      <c r="B230" s="1" t="n">
        <v>43470</v>
      </c>
      <c r="C230" s="1" t="n">
        <v>45349</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738-2019</t>
        </is>
      </c>
      <c r="B231" s="1" t="n">
        <v>43471</v>
      </c>
      <c r="C231" s="1" t="n">
        <v>45349</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753-2019</t>
        </is>
      </c>
      <c r="B232" s="1" t="n">
        <v>43471</v>
      </c>
      <c r="C232" s="1" t="n">
        <v>45349</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728-2019</t>
        </is>
      </c>
      <c r="B233" s="1" t="n">
        <v>43471</v>
      </c>
      <c r="C233" s="1" t="n">
        <v>45349</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740-2019</t>
        </is>
      </c>
      <c r="B234" s="1" t="n">
        <v>43471</v>
      </c>
      <c r="C234" s="1" t="n">
        <v>45349</v>
      </c>
      <c r="D234" t="inlineStr">
        <is>
          <t>STOCKHOLMS LÄN</t>
        </is>
      </c>
      <c r="E234" t="inlineStr">
        <is>
          <t>NORRTÄLJE</t>
        </is>
      </c>
      <c r="G234" t="n">
        <v>11.4</v>
      </c>
      <c r="H234" t="n">
        <v>0</v>
      </c>
      <c r="I234" t="n">
        <v>0</v>
      </c>
      <c r="J234" t="n">
        <v>0</v>
      </c>
      <c r="K234" t="n">
        <v>0</v>
      </c>
      <c r="L234" t="n">
        <v>0</v>
      </c>
      <c r="M234" t="n">
        <v>0</v>
      </c>
      <c r="N234" t="n">
        <v>0</v>
      </c>
      <c r="O234" t="n">
        <v>0</v>
      </c>
      <c r="P234" t="n">
        <v>0</v>
      </c>
      <c r="Q234" t="n">
        <v>0</v>
      </c>
      <c r="R234" s="2" t="inlineStr"/>
    </row>
    <row r="235" ht="15" customHeight="1">
      <c r="A235" t="inlineStr">
        <is>
          <t>A 761-2019</t>
        </is>
      </c>
      <c r="B235" s="1" t="n">
        <v>43471</v>
      </c>
      <c r="C235" s="1" t="n">
        <v>45349</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750-2019</t>
        </is>
      </c>
      <c r="B236" s="1" t="n">
        <v>43471</v>
      </c>
      <c r="C236" s="1" t="n">
        <v>45349</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725-2019</t>
        </is>
      </c>
      <c r="B237" s="1" t="n">
        <v>43471</v>
      </c>
      <c r="C237" s="1" t="n">
        <v>45349</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751-2019</t>
        </is>
      </c>
      <c r="B238" s="1" t="n">
        <v>43471</v>
      </c>
      <c r="C238" s="1" t="n">
        <v>45349</v>
      </c>
      <c r="D238" t="inlineStr">
        <is>
          <t>STOCKHOLMS LÄN</t>
        </is>
      </c>
      <c r="E238" t="inlineStr">
        <is>
          <t>NORRTÄLJE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743-2019</t>
        </is>
      </c>
      <c r="B239" s="1" t="n">
        <v>43471</v>
      </c>
      <c r="C239" s="1" t="n">
        <v>45349</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726-2019</t>
        </is>
      </c>
      <c r="B240" s="1" t="n">
        <v>43471</v>
      </c>
      <c r="C240" s="1" t="n">
        <v>45349</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744-2019</t>
        </is>
      </c>
      <c r="B241" s="1" t="n">
        <v>43471</v>
      </c>
      <c r="C241" s="1" t="n">
        <v>45349</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758-2019</t>
        </is>
      </c>
      <c r="B242" s="1" t="n">
        <v>43471</v>
      </c>
      <c r="C242" s="1" t="n">
        <v>45349</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727-2019</t>
        </is>
      </c>
      <c r="B243" s="1" t="n">
        <v>43471</v>
      </c>
      <c r="C243" s="1" t="n">
        <v>45349</v>
      </c>
      <c r="D243" t="inlineStr">
        <is>
          <t>STOCKHOLMS LÄN</t>
        </is>
      </c>
      <c r="E243" t="inlineStr">
        <is>
          <t>NORRTÄLJE</t>
        </is>
      </c>
      <c r="G243" t="n">
        <v>4.9</v>
      </c>
      <c r="H243" t="n">
        <v>0</v>
      </c>
      <c r="I243" t="n">
        <v>0</v>
      </c>
      <c r="J243" t="n">
        <v>0</v>
      </c>
      <c r="K243" t="n">
        <v>0</v>
      </c>
      <c r="L243" t="n">
        <v>0</v>
      </c>
      <c r="M243" t="n">
        <v>0</v>
      </c>
      <c r="N243" t="n">
        <v>0</v>
      </c>
      <c r="O243" t="n">
        <v>0</v>
      </c>
      <c r="P243" t="n">
        <v>0</v>
      </c>
      <c r="Q243" t="n">
        <v>0</v>
      </c>
      <c r="R243" s="2" t="inlineStr"/>
    </row>
    <row r="244" ht="15" customHeight="1">
      <c r="A244" t="inlineStr">
        <is>
          <t>A 891-2019</t>
        </is>
      </c>
      <c r="B244" s="1" t="n">
        <v>43472</v>
      </c>
      <c r="C244" s="1" t="n">
        <v>45349</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1093-2019</t>
        </is>
      </c>
      <c r="B245" s="1" t="n">
        <v>43472</v>
      </c>
      <c r="C245" s="1" t="n">
        <v>45349</v>
      </c>
      <c r="D245" t="inlineStr">
        <is>
          <t>STOCKHOLMS LÄN</t>
        </is>
      </c>
      <c r="E245" t="inlineStr">
        <is>
          <t>NORRTÄLJE</t>
        </is>
      </c>
      <c r="G245" t="n">
        <v>3.5</v>
      </c>
      <c r="H245" t="n">
        <v>0</v>
      </c>
      <c r="I245" t="n">
        <v>0</v>
      </c>
      <c r="J245" t="n">
        <v>0</v>
      </c>
      <c r="K245" t="n">
        <v>0</v>
      </c>
      <c r="L245" t="n">
        <v>0</v>
      </c>
      <c r="M245" t="n">
        <v>0</v>
      </c>
      <c r="N245" t="n">
        <v>0</v>
      </c>
      <c r="O245" t="n">
        <v>0</v>
      </c>
      <c r="P245" t="n">
        <v>0</v>
      </c>
      <c r="Q245" t="n">
        <v>0</v>
      </c>
      <c r="R245" s="2" t="inlineStr"/>
    </row>
    <row r="246" ht="15" customHeight="1">
      <c r="A246" t="inlineStr">
        <is>
          <t>A 1099-2019</t>
        </is>
      </c>
      <c r="B246" s="1" t="n">
        <v>43472</v>
      </c>
      <c r="C246" s="1" t="n">
        <v>45349</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1336-2019</t>
        </is>
      </c>
      <c r="B247" s="1" t="n">
        <v>43473</v>
      </c>
      <c r="C247" s="1" t="n">
        <v>45349</v>
      </c>
      <c r="D247" t="inlineStr">
        <is>
          <t>STOCKHOLMS LÄN</t>
        </is>
      </c>
      <c r="E247" t="inlineStr">
        <is>
          <t>NORRTÄLJE</t>
        </is>
      </c>
      <c r="G247" t="n">
        <v>4.8</v>
      </c>
      <c r="H247" t="n">
        <v>0</v>
      </c>
      <c r="I247" t="n">
        <v>0</v>
      </c>
      <c r="J247" t="n">
        <v>0</v>
      </c>
      <c r="K247" t="n">
        <v>0</v>
      </c>
      <c r="L247" t="n">
        <v>0</v>
      </c>
      <c r="M247" t="n">
        <v>0</v>
      </c>
      <c r="N247" t="n">
        <v>0</v>
      </c>
      <c r="O247" t="n">
        <v>0</v>
      </c>
      <c r="P247" t="n">
        <v>0</v>
      </c>
      <c r="Q247" t="n">
        <v>0</v>
      </c>
      <c r="R247" s="2" t="inlineStr"/>
    </row>
    <row r="248" ht="15" customHeight="1">
      <c r="A248" t="inlineStr">
        <is>
          <t>A 1349-2019</t>
        </is>
      </c>
      <c r="B248" s="1" t="n">
        <v>43473</v>
      </c>
      <c r="C248" s="1" t="n">
        <v>45349</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1252-2019</t>
        </is>
      </c>
      <c r="B249" s="1" t="n">
        <v>43473</v>
      </c>
      <c r="C249" s="1" t="n">
        <v>45349</v>
      </c>
      <c r="D249" t="inlineStr">
        <is>
          <t>STOCKHOLMS LÄN</t>
        </is>
      </c>
      <c r="E249" t="inlineStr">
        <is>
          <t>NORRTÄLJE</t>
        </is>
      </c>
      <c r="G249" t="n">
        <v>3.7</v>
      </c>
      <c r="H249" t="n">
        <v>0</v>
      </c>
      <c r="I249" t="n">
        <v>0</v>
      </c>
      <c r="J249" t="n">
        <v>0</v>
      </c>
      <c r="K249" t="n">
        <v>0</v>
      </c>
      <c r="L249" t="n">
        <v>0</v>
      </c>
      <c r="M249" t="n">
        <v>0</v>
      </c>
      <c r="N249" t="n">
        <v>0</v>
      </c>
      <c r="O249" t="n">
        <v>0</v>
      </c>
      <c r="P249" t="n">
        <v>0</v>
      </c>
      <c r="Q249" t="n">
        <v>0</v>
      </c>
      <c r="R249" s="2" t="inlineStr"/>
    </row>
    <row r="250" ht="15" customHeight="1">
      <c r="A250" t="inlineStr">
        <is>
          <t>A 3688-2019</t>
        </is>
      </c>
      <c r="B250" s="1" t="n">
        <v>43473</v>
      </c>
      <c r="C250" s="1" t="n">
        <v>45349</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3042-2019</t>
        </is>
      </c>
      <c r="B251" s="1" t="n">
        <v>43473</v>
      </c>
      <c r="C251" s="1" t="n">
        <v>45349</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2215-2019</t>
        </is>
      </c>
      <c r="B252" s="1" t="n">
        <v>43475</v>
      </c>
      <c r="C252" s="1" t="n">
        <v>45349</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2281-2019</t>
        </is>
      </c>
      <c r="B253" s="1" t="n">
        <v>43475</v>
      </c>
      <c r="C253" s="1" t="n">
        <v>45349</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1996-2019</t>
        </is>
      </c>
      <c r="B254" s="1" t="n">
        <v>43475</v>
      </c>
      <c r="C254" s="1" t="n">
        <v>45349</v>
      </c>
      <c r="D254" t="inlineStr">
        <is>
          <t>STOCKHOLMS LÄN</t>
        </is>
      </c>
      <c r="E254" t="inlineStr">
        <is>
          <t>NORRTÄLJE</t>
        </is>
      </c>
      <c r="G254" t="n">
        <v>3.3</v>
      </c>
      <c r="H254" t="n">
        <v>0</v>
      </c>
      <c r="I254" t="n">
        <v>0</v>
      </c>
      <c r="J254" t="n">
        <v>0</v>
      </c>
      <c r="K254" t="n">
        <v>0</v>
      </c>
      <c r="L254" t="n">
        <v>0</v>
      </c>
      <c r="M254" t="n">
        <v>0</v>
      </c>
      <c r="N254" t="n">
        <v>0</v>
      </c>
      <c r="O254" t="n">
        <v>0</v>
      </c>
      <c r="P254" t="n">
        <v>0</v>
      </c>
      <c r="Q254" t="n">
        <v>0</v>
      </c>
      <c r="R254" s="2" t="inlineStr"/>
    </row>
    <row r="255" ht="15" customHeight="1">
      <c r="A255" t="inlineStr">
        <is>
          <t>A 2143-2019</t>
        </is>
      </c>
      <c r="B255" s="1" t="n">
        <v>43475</v>
      </c>
      <c r="C255" s="1" t="n">
        <v>45349</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2011-2019</t>
        </is>
      </c>
      <c r="B256" s="1" t="n">
        <v>43475</v>
      </c>
      <c r="C256" s="1" t="n">
        <v>45349</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2259-2019</t>
        </is>
      </c>
      <c r="B257" s="1" t="n">
        <v>43475</v>
      </c>
      <c r="C257" s="1" t="n">
        <v>45349</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2251-2019</t>
        </is>
      </c>
      <c r="B258" s="1" t="n">
        <v>43475</v>
      </c>
      <c r="C258" s="1" t="n">
        <v>45349</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2200-2019</t>
        </is>
      </c>
      <c r="B259" s="1" t="n">
        <v>43475</v>
      </c>
      <c r="C259" s="1" t="n">
        <v>45349</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2137-2019</t>
        </is>
      </c>
      <c r="B260" s="1" t="n">
        <v>43475</v>
      </c>
      <c r="C260" s="1" t="n">
        <v>45349</v>
      </c>
      <c r="D260" t="inlineStr">
        <is>
          <t>STOCKHOLMS LÄN</t>
        </is>
      </c>
      <c r="E260" t="inlineStr">
        <is>
          <t>NORRTÄLJE</t>
        </is>
      </c>
      <c r="G260" t="n">
        <v>4.3</v>
      </c>
      <c r="H260" t="n">
        <v>0</v>
      </c>
      <c r="I260" t="n">
        <v>0</v>
      </c>
      <c r="J260" t="n">
        <v>0</v>
      </c>
      <c r="K260" t="n">
        <v>0</v>
      </c>
      <c r="L260" t="n">
        <v>0</v>
      </c>
      <c r="M260" t="n">
        <v>0</v>
      </c>
      <c r="N260" t="n">
        <v>0</v>
      </c>
      <c r="O260" t="n">
        <v>0</v>
      </c>
      <c r="P260" t="n">
        <v>0</v>
      </c>
      <c r="Q260" t="n">
        <v>0</v>
      </c>
      <c r="R260" s="2" t="inlineStr"/>
    </row>
    <row r="261" ht="15" customHeight="1">
      <c r="A261" t="inlineStr">
        <is>
          <t>A 3848-2019</t>
        </is>
      </c>
      <c r="B261" s="1" t="n">
        <v>43475</v>
      </c>
      <c r="C261" s="1" t="n">
        <v>45349</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2568-2019</t>
        </is>
      </c>
      <c r="B262" s="1" t="n">
        <v>43476</v>
      </c>
      <c r="C262" s="1" t="n">
        <v>45349</v>
      </c>
      <c r="D262" t="inlineStr">
        <is>
          <t>STOCKHOLMS LÄN</t>
        </is>
      </c>
      <c r="E262" t="inlineStr">
        <is>
          <t>NORRTÄLJE</t>
        </is>
      </c>
      <c r="G262" t="n">
        <v>7.4</v>
      </c>
      <c r="H262" t="n">
        <v>0</v>
      </c>
      <c r="I262" t="n">
        <v>0</v>
      </c>
      <c r="J262" t="n">
        <v>0</v>
      </c>
      <c r="K262" t="n">
        <v>0</v>
      </c>
      <c r="L262" t="n">
        <v>0</v>
      </c>
      <c r="M262" t="n">
        <v>0</v>
      </c>
      <c r="N262" t="n">
        <v>0</v>
      </c>
      <c r="O262" t="n">
        <v>0</v>
      </c>
      <c r="P262" t="n">
        <v>0</v>
      </c>
      <c r="Q262" t="n">
        <v>0</v>
      </c>
      <c r="R262" s="2" t="inlineStr"/>
    </row>
    <row r="263" ht="15" customHeight="1">
      <c r="A263" t="inlineStr">
        <is>
          <t>A 2571-2019</t>
        </is>
      </c>
      <c r="B263" s="1" t="n">
        <v>43476</v>
      </c>
      <c r="C263" s="1" t="n">
        <v>45349</v>
      </c>
      <c r="D263" t="inlineStr">
        <is>
          <t>STOCKHOLMS LÄN</t>
        </is>
      </c>
      <c r="E263" t="inlineStr">
        <is>
          <t>NORRTÄLJE</t>
        </is>
      </c>
      <c r="G263" t="n">
        <v>16.5</v>
      </c>
      <c r="H263" t="n">
        <v>0</v>
      </c>
      <c r="I263" t="n">
        <v>0</v>
      </c>
      <c r="J263" t="n">
        <v>0</v>
      </c>
      <c r="K263" t="n">
        <v>0</v>
      </c>
      <c r="L263" t="n">
        <v>0</v>
      </c>
      <c r="M263" t="n">
        <v>0</v>
      </c>
      <c r="N263" t="n">
        <v>0</v>
      </c>
      <c r="O263" t="n">
        <v>0</v>
      </c>
      <c r="P263" t="n">
        <v>0</v>
      </c>
      <c r="Q263" t="n">
        <v>0</v>
      </c>
      <c r="R263" s="2" t="inlineStr"/>
    </row>
    <row r="264" ht="15" customHeight="1">
      <c r="A264" t="inlineStr">
        <is>
          <t>A 2628-2019</t>
        </is>
      </c>
      <c r="B264" s="1" t="n">
        <v>43477</v>
      </c>
      <c r="C264" s="1" t="n">
        <v>45349</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2626-2019</t>
        </is>
      </c>
      <c r="B265" s="1" t="n">
        <v>43477</v>
      </c>
      <c r="C265" s="1" t="n">
        <v>45349</v>
      </c>
      <c r="D265" t="inlineStr">
        <is>
          <t>STOCKHOLMS LÄN</t>
        </is>
      </c>
      <c r="E265" t="inlineStr">
        <is>
          <t>NORRTÄLJE</t>
        </is>
      </c>
      <c r="G265" t="n">
        <v>4.5</v>
      </c>
      <c r="H265" t="n">
        <v>0</v>
      </c>
      <c r="I265" t="n">
        <v>0</v>
      </c>
      <c r="J265" t="n">
        <v>0</v>
      </c>
      <c r="K265" t="n">
        <v>0</v>
      </c>
      <c r="L265" t="n">
        <v>0</v>
      </c>
      <c r="M265" t="n">
        <v>0</v>
      </c>
      <c r="N265" t="n">
        <v>0</v>
      </c>
      <c r="O265" t="n">
        <v>0</v>
      </c>
      <c r="P265" t="n">
        <v>0</v>
      </c>
      <c r="Q265" t="n">
        <v>0</v>
      </c>
      <c r="R265" s="2" t="inlineStr"/>
    </row>
    <row r="266" ht="15" customHeight="1">
      <c r="A266" t="inlineStr">
        <is>
          <t>A 2634-2019</t>
        </is>
      </c>
      <c r="B266" s="1" t="n">
        <v>43478</v>
      </c>
      <c r="C266" s="1" t="n">
        <v>45349</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2659-2019</t>
        </is>
      </c>
      <c r="B267" s="1" t="n">
        <v>43478</v>
      </c>
      <c r="C267" s="1" t="n">
        <v>45349</v>
      </c>
      <c r="D267" t="inlineStr">
        <is>
          <t>STOCKHOLMS LÄN</t>
        </is>
      </c>
      <c r="E267" t="inlineStr">
        <is>
          <t>NORRTÄLJE</t>
        </is>
      </c>
      <c r="G267" t="n">
        <v>6.8</v>
      </c>
      <c r="H267" t="n">
        <v>0</v>
      </c>
      <c r="I267" t="n">
        <v>0</v>
      </c>
      <c r="J267" t="n">
        <v>0</v>
      </c>
      <c r="K267" t="n">
        <v>0</v>
      </c>
      <c r="L267" t="n">
        <v>0</v>
      </c>
      <c r="M267" t="n">
        <v>0</v>
      </c>
      <c r="N267" t="n">
        <v>0</v>
      </c>
      <c r="O267" t="n">
        <v>0</v>
      </c>
      <c r="P267" t="n">
        <v>0</v>
      </c>
      <c r="Q267" t="n">
        <v>0</v>
      </c>
      <c r="R267" s="2" t="inlineStr"/>
    </row>
    <row r="268" ht="15" customHeight="1">
      <c r="A268" t="inlineStr">
        <is>
          <t>A 2646-2019</t>
        </is>
      </c>
      <c r="B268" s="1" t="n">
        <v>43478</v>
      </c>
      <c r="C268" s="1" t="n">
        <v>45349</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2657-2019</t>
        </is>
      </c>
      <c r="B269" s="1" t="n">
        <v>43478</v>
      </c>
      <c r="C269" s="1" t="n">
        <v>45349</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2651-2019</t>
        </is>
      </c>
      <c r="B270" s="1" t="n">
        <v>43478</v>
      </c>
      <c r="C270" s="1" t="n">
        <v>45349</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2635-2019</t>
        </is>
      </c>
      <c r="B271" s="1" t="n">
        <v>43478</v>
      </c>
      <c r="C271" s="1" t="n">
        <v>45349</v>
      </c>
      <c r="D271" t="inlineStr">
        <is>
          <t>STOCKHOLMS LÄN</t>
        </is>
      </c>
      <c r="E271" t="inlineStr">
        <is>
          <t>NORRTÄLJE</t>
        </is>
      </c>
      <c r="G271" t="n">
        <v>5</v>
      </c>
      <c r="H271" t="n">
        <v>0</v>
      </c>
      <c r="I271" t="n">
        <v>0</v>
      </c>
      <c r="J271" t="n">
        <v>0</v>
      </c>
      <c r="K271" t="n">
        <v>0</v>
      </c>
      <c r="L271" t="n">
        <v>0</v>
      </c>
      <c r="M271" t="n">
        <v>0</v>
      </c>
      <c r="N271" t="n">
        <v>0</v>
      </c>
      <c r="O271" t="n">
        <v>0</v>
      </c>
      <c r="P271" t="n">
        <v>0</v>
      </c>
      <c r="Q271" t="n">
        <v>0</v>
      </c>
      <c r="R271" s="2" t="inlineStr"/>
    </row>
    <row r="272" ht="15" customHeight="1">
      <c r="A272" t="inlineStr">
        <is>
          <t>A 2655-2019</t>
        </is>
      </c>
      <c r="B272" s="1" t="n">
        <v>43478</v>
      </c>
      <c r="C272" s="1" t="n">
        <v>45349</v>
      </c>
      <c r="D272" t="inlineStr">
        <is>
          <t>STOCKHOLMS LÄN</t>
        </is>
      </c>
      <c r="E272" t="inlineStr">
        <is>
          <t>NORRTÄLJE</t>
        </is>
      </c>
      <c r="G272" t="n">
        <v>3.6</v>
      </c>
      <c r="H272" t="n">
        <v>0</v>
      </c>
      <c r="I272" t="n">
        <v>0</v>
      </c>
      <c r="J272" t="n">
        <v>0</v>
      </c>
      <c r="K272" t="n">
        <v>0</v>
      </c>
      <c r="L272" t="n">
        <v>0</v>
      </c>
      <c r="M272" t="n">
        <v>0</v>
      </c>
      <c r="N272" t="n">
        <v>0</v>
      </c>
      <c r="O272" t="n">
        <v>0</v>
      </c>
      <c r="P272" t="n">
        <v>0</v>
      </c>
      <c r="Q272" t="n">
        <v>0</v>
      </c>
      <c r="R272" s="2" t="inlineStr"/>
    </row>
    <row r="273" ht="15" customHeight="1">
      <c r="A273" t="inlineStr">
        <is>
          <t>A 2658-2019</t>
        </is>
      </c>
      <c r="B273" s="1" t="n">
        <v>43478</v>
      </c>
      <c r="C273" s="1" t="n">
        <v>45349</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2823-2019</t>
        </is>
      </c>
      <c r="B274" s="1" t="n">
        <v>43479</v>
      </c>
      <c r="C274" s="1" t="n">
        <v>45349</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2796-2019</t>
        </is>
      </c>
      <c r="B275" s="1" t="n">
        <v>43479</v>
      </c>
      <c r="C275" s="1" t="n">
        <v>45349</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2833-2019</t>
        </is>
      </c>
      <c r="B276" s="1" t="n">
        <v>43479</v>
      </c>
      <c r="C276" s="1" t="n">
        <v>45349</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2966-2019</t>
        </is>
      </c>
      <c r="B277" s="1" t="n">
        <v>43479</v>
      </c>
      <c r="C277" s="1" t="n">
        <v>45349</v>
      </c>
      <c r="D277" t="inlineStr">
        <is>
          <t>STOCKHOLMS LÄN</t>
        </is>
      </c>
      <c r="E277" t="inlineStr">
        <is>
          <t>NORRTÄLJE</t>
        </is>
      </c>
      <c r="G277" t="n">
        <v>4.2</v>
      </c>
      <c r="H277" t="n">
        <v>0</v>
      </c>
      <c r="I277" t="n">
        <v>0</v>
      </c>
      <c r="J277" t="n">
        <v>0</v>
      </c>
      <c r="K277" t="n">
        <v>0</v>
      </c>
      <c r="L277" t="n">
        <v>0</v>
      </c>
      <c r="M277" t="n">
        <v>0</v>
      </c>
      <c r="N277" t="n">
        <v>0</v>
      </c>
      <c r="O277" t="n">
        <v>0</v>
      </c>
      <c r="P277" t="n">
        <v>0</v>
      </c>
      <c r="Q277" t="n">
        <v>0</v>
      </c>
      <c r="R277" s="2" t="inlineStr"/>
    </row>
    <row r="278" ht="15" customHeight="1">
      <c r="A278" t="inlineStr">
        <is>
          <t>A 3079-2019</t>
        </is>
      </c>
      <c r="B278" s="1" t="n">
        <v>43479</v>
      </c>
      <c r="C278" s="1" t="n">
        <v>45349</v>
      </c>
      <c r="D278" t="inlineStr">
        <is>
          <t>STOCKHOLMS LÄN</t>
        </is>
      </c>
      <c r="E278" t="inlineStr">
        <is>
          <t>NORRTÄLJE</t>
        </is>
      </c>
      <c r="G278" t="n">
        <v>13.6</v>
      </c>
      <c r="H278" t="n">
        <v>0</v>
      </c>
      <c r="I278" t="n">
        <v>0</v>
      </c>
      <c r="J278" t="n">
        <v>0</v>
      </c>
      <c r="K278" t="n">
        <v>0</v>
      </c>
      <c r="L278" t="n">
        <v>0</v>
      </c>
      <c r="M278" t="n">
        <v>0</v>
      </c>
      <c r="N278" t="n">
        <v>0</v>
      </c>
      <c r="O278" t="n">
        <v>0</v>
      </c>
      <c r="P278" t="n">
        <v>0</v>
      </c>
      <c r="Q278" t="n">
        <v>0</v>
      </c>
      <c r="R278" s="2" t="inlineStr"/>
    </row>
    <row r="279" ht="15" customHeight="1">
      <c r="A279" t="inlineStr">
        <is>
          <t>A 2839-2019</t>
        </is>
      </c>
      <c r="B279" s="1" t="n">
        <v>43479</v>
      </c>
      <c r="C279" s="1" t="n">
        <v>45349</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4731-2019</t>
        </is>
      </c>
      <c r="B280" s="1" t="n">
        <v>43479</v>
      </c>
      <c r="C280" s="1" t="n">
        <v>45349</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3088-2019</t>
        </is>
      </c>
      <c r="B281" s="1" t="n">
        <v>43479</v>
      </c>
      <c r="C281" s="1" t="n">
        <v>45349</v>
      </c>
      <c r="D281" t="inlineStr">
        <is>
          <t>STOCKHOLMS LÄN</t>
        </is>
      </c>
      <c r="E281" t="inlineStr">
        <is>
          <t>NORRTÄLJE</t>
        </is>
      </c>
      <c r="G281" t="n">
        <v>5.2</v>
      </c>
      <c r="H281" t="n">
        <v>0</v>
      </c>
      <c r="I281" t="n">
        <v>0</v>
      </c>
      <c r="J281" t="n">
        <v>0</v>
      </c>
      <c r="K281" t="n">
        <v>0</v>
      </c>
      <c r="L281" t="n">
        <v>0</v>
      </c>
      <c r="M281" t="n">
        <v>0</v>
      </c>
      <c r="N281" t="n">
        <v>0</v>
      </c>
      <c r="O281" t="n">
        <v>0</v>
      </c>
      <c r="P281" t="n">
        <v>0</v>
      </c>
      <c r="Q281" t="n">
        <v>0</v>
      </c>
      <c r="R281" s="2" t="inlineStr"/>
    </row>
    <row r="282" ht="15" customHeight="1">
      <c r="A282" t="inlineStr">
        <is>
          <t>A 3133-2019</t>
        </is>
      </c>
      <c r="B282" s="1" t="n">
        <v>43480</v>
      </c>
      <c r="C282" s="1" t="n">
        <v>45349</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3376-2019</t>
        </is>
      </c>
      <c r="B283" s="1" t="n">
        <v>43480</v>
      </c>
      <c r="C283" s="1" t="n">
        <v>45349</v>
      </c>
      <c r="D283" t="inlineStr">
        <is>
          <t>STOCKHOLMS LÄN</t>
        </is>
      </c>
      <c r="E283" t="inlineStr">
        <is>
          <t>NORRTÄLJE</t>
        </is>
      </c>
      <c r="G283" t="n">
        <v>4.9</v>
      </c>
      <c r="H283" t="n">
        <v>0</v>
      </c>
      <c r="I283" t="n">
        <v>0</v>
      </c>
      <c r="J283" t="n">
        <v>0</v>
      </c>
      <c r="K283" t="n">
        <v>0</v>
      </c>
      <c r="L283" t="n">
        <v>0</v>
      </c>
      <c r="M283" t="n">
        <v>0</v>
      </c>
      <c r="N283" t="n">
        <v>0</v>
      </c>
      <c r="O283" t="n">
        <v>0</v>
      </c>
      <c r="P283" t="n">
        <v>0</v>
      </c>
      <c r="Q283" t="n">
        <v>0</v>
      </c>
      <c r="R283" s="2" t="inlineStr"/>
    </row>
    <row r="284" ht="15" customHeight="1">
      <c r="A284" t="inlineStr">
        <is>
          <t>A 3361-2019</t>
        </is>
      </c>
      <c r="B284" s="1" t="n">
        <v>43480</v>
      </c>
      <c r="C284" s="1" t="n">
        <v>45349</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3372-2019</t>
        </is>
      </c>
      <c r="B285" s="1" t="n">
        <v>43480</v>
      </c>
      <c r="C285" s="1" t="n">
        <v>45349</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3232-2019</t>
        </is>
      </c>
      <c r="B286" s="1" t="n">
        <v>43480</v>
      </c>
      <c r="C286" s="1" t="n">
        <v>45349</v>
      </c>
      <c r="D286" t="inlineStr">
        <is>
          <t>STOCKHOLMS LÄN</t>
        </is>
      </c>
      <c r="E286" t="inlineStr">
        <is>
          <t>NORRTÄLJE</t>
        </is>
      </c>
      <c r="G286" t="n">
        <v>9.1</v>
      </c>
      <c r="H286" t="n">
        <v>0</v>
      </c>
      <c r="I286" t="n">
        <v>0</v>
      </c>
      <c r="J286" t="n">
        <v>0</v>
      </c>
      <c r="K286" t="n">
        <v>0</v>
      </c>
      <c r="L286" t="n">
        <v>0</v>
      </c>
      <c r="M286" t="n">
        <v>0</v>
      </c>
      <c r="N286" t="n">
        <v>0</v>
      </c>
      <c r="O286" t="n">
        <v>0</v>
      </c>
      <c r="P286" t="n">
        <v>0</v>
      </c>
      <c r="Q286" t="n">
        <v>0</v>
      </c>
      <c r="R286" s="2" t="inlineStr"/>
    </row>
    <row r="287" ht="15" customHeight="1">
      <c r="A287" t="inlineStr">
        <is>
          <t>A 3156-2019</t>
        </is>
      </c>
      <c r="B287" s="1" t="n">
        <v>43480</v>
      </c>
      <c r="C287" s="1" t="n">
        <v>45349</v>
      </c>
      <c r="D287" t="inlineStr">
        <is>
          <t>STOCKHOLMS LÄN</t>
        </is>
      </c>
      <c r="E287" t="inlineStr">
        <is>
          <t>NORRTÄLJE</t>
        </is>
      </c>
      <c r="G287" t="n">
        <v>0.1</v>
      </c>
      <c r="H287" t="n">
        <v>0</v>
      </c>
      <c r="I287" t="n">
        <v>0</v>
      </c>
      <c r="J287" t="n">
        <v>0</v>
      </c>
      <c r="K287" t="n">
        <v>0</v>
      </c>
      <c r="L287" t="n">
        <v>0</v>
      </c>
      <c r="M287" t="n">
        <v>0</v>
      </c>
      <c r="N287" t="n">
        <v>0</v>
      </c>
      <c r="O287" t="n">
        <v>0</v>
      </c>
      <c r="P287" t="n">
        <v>0</v>
      </c>
      <c r="Q287" t="n">
        <v>0</v>
      </c>
      <c r="R287" s="2" t="inlineStr"/>
    </row>
    <row r="288" ht="15" customHeight="1">
      <c r="A288" t="inlineStr">
        <is>
          <t>A 3475-2019</t>
        </is>
      </c>
      <c r="B288" s="1" t="n">
        <v>43481</v>
      </c>
      <c r="C288" s="1" t="n">
        <v>45349</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3480-2019</t>
        </is>
      </c>
      <c r="B289" s="1" t="n">
        <v>43481</v>
      </c>
      <c r="C289" s="1" t="n">
        <v>45349</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3741-2019</t>
        </is>
      </c>
      <c r="B290" s="1" t="n">
        <v>43481</v>
      </c>
      <c r="C290" s="1" t="n">
        <v>45349</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3743-2019</t>
        </is>
      </c>
      <c r="B291" s="1" t="n">
        <v>43481</v>
      </c>
      <c r="C291" s="1" t="n">
        <v>45349</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3456-2019</t>
        </is>
      </c>
      <c r="B292" s="1" t="n">
        <v>43481</v>
      </c>
      <c r="C292" s="1" t="n">
        <v>45349</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3502-2019</t>
        </is>
      </c>
      <c r="B293" s="1" t="n">
        <v>43481</v>
      </c>
      <c r="C293" s="1" t="n">
        <v>45349</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4107-2019</t>
        </is>
      </c>
      <c r="B294" s="1" t="n">
        <v>43482</v>
      </c>
      <c r="C294" s="1" t="n">
        <v>45349</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3879-2019</t>
        </is>
      </c>
      <c r="B295" s="1" t="n">
        <v>43482</v>
      </c>
      <c r="C295" s="1" t="n">
        <v>45349</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4040-2019</t>
        </is>
      </c>
      <c r="B296" s="1" t="n">
        <v>43482</v>
      </c>
      <c r="C296" s="1" t="n">
        <v>45349</v>
      </c>
      <c r="D296" t="inlineStr">
        <is>
          <t>STOCKHOLMS LÄN</t>
        </is>
      </c>
      <c r="E296" t="inlineStr">
        <is>
          <t>NORRTÄLJE</t>
        </is>
      </c>
      <c r="F296" t="inlineStr">
        <is>
          <t>Övriga statliga verk och myndigheter</t>
        </is>
      </c>
      <c r="G296" t="n">
        <v>10.7</v>
      </c>
      <c r="H296" t="n">
        <v>0</v>
      </c>
      <c r="I296" t="n">
        <v>0</v>
      </c>
      <c r="J296" t="n">
        <v>0</v>
      </c>
      <c r="K296" t="n">
        <v>0</v>
      </c>
      <c r="L296" t="n">
        <v>0</v>
      </c>
      <c r="M296" t="n">
        <v>0</v>
      </c>
      <c r="N296" t="n">
        <v>0</v>
      </c>
      <c r="O296" t="n">
        <v>0</v>
      </c>
      <c r="P296" t="n">
        <v>0</v>
      </c>
      <c r="Q296" t="n">
        <v>0</v>
      </c>
      <c r="R296" s="2" t="inlineStr"/>
    </row>
    <row r="297" ht="15" customHeight="1">
      <c r="A297" t="inlineStr">
        <is>
          <t>A 4036-2019</t>
        </is>
      </c>
      <c r="B297" s="1" t="n">
        <v>43482</v>
      </c>
      <c r="C297" s="1" t="n">
        <v>45349</v>
      </c>
      <c r="D297" t="inlineStr">
        <is>
          <t>STOCKHOLMS LÄN</t>
        </is>
      </c>
      <c r="E297" t="inlineStr">
        <is>
          <t>NORRTÄLJE</t>
        </is>
      </c>
      <c r="G297" t="n">
        <v>6</v>
      </c>
      <c r="H297" t="n">
        <v>0</v>
      </c>
      <c r="I297" t="n">
        <v>0</v>
      </c>
      <c r="J297" t="n">
        <v>0</v>
      </c>
      <c r="K297" t="n">
        <v>0</v>
      </c>
      <c r="L297" t="n">
        <v>0</v>
      </c>
      <c r="M297" t="n">
        <v>0</v>
      </c>
      <c r="N297" t="n">
        <v>0</v>
      </c>
      <c r="O297" t="n">
        <v>0</v>
      </c>
      <c r="P297" t="n">
        <v>0</v>
      </c>
      <c r="Q297" t="n">
        <v>0</v>
      </c>
      <c r="R297" s="2" t="inlineStr"/>
    </row>
    <row r="298" ht="15" customHeight="1">
      <c r="A298" t="inlineStr">
        <is>
          <t>A 4037-2019</t>
        </is>
      </c>
      <c r="B298" s="1" t="n">
        <v>43482</v>
      </c>
      <c r="C298" s="1" t="n">
        <v>45349</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4027-2019</t>
        </is>
      </c>
      <c r="B299" s="1" t="n">
        <v>43482</v>
      </c>
      <c r="C299" s="1" t="n">
        <v>45349</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3864-2019</t>
        </is>
      </c>
      <c r="B300" s="1" t="n">
        <v>43482</v>
      </c>
      <c r="C300" s="1" t="n">
        <v>45349</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4133-2019</t>
        </is>
      </c>
      <c r="B301" s="1" t="n">
        <v>43483</v>
      </c>
      <c r="C301" s="1" t="n">
        <v>45349</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4397-2019</t>
        </is>
      </c>
      <c r="B302" s="1" t="n">
        <v>43484</v>
      </c>
      <c r="C302" s="1" t="n">
        <v>45349</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4393-2019</t>
        </is>
      </c>
      <c r="B303" s="1" t="n">
        <v>43484</v>
      </c>
      <c r="C303" s="1" t="n">
        <v>45349</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4395-2019</t>
        </is>
      </c>
      <c r="B304" s="1" t="n">
        <v>43484</v>
      </c>
      <c r="C304" s="1" t="n">
        <v>45349</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4394-2019</t>
        </is>
      </c>
      <c r="B305" s="1" t="n">
        <v>43484</v>
      </c>
      <c r="C305" s="1" t="n">
        <v>45349</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4457-2019</t>
        </is>
      </c>
      <c r="B306" s="1" t="n">
        <v>43485</v>
      </c>
      <c r="C306" s="1" t="n">
        <v>45349</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4548-2019</t>
        </is>
      </c>
      <c r="B307" s="1" t="n">
        <v>43486</v>
      </c>
      <c r="C307" s="1" t="n">
        <v>45349</v>
      </c>
      <c r="D307" t="inlineStr">
        <is>
          <t>STOCKHOLMS LÄN</t>
        </is>
      </c>
      <c r="E307" t="inlineStr">
        <is>
          <t>NORRTÄLJE</t>
        </is>
      </c>
      <c r="F307" t="inlineStr">
        <is>
          <t>Kommuner</t>
        </is>
      </c>
      <c r="G307" t="n">
        <v>2</v>
      </c>
      <c r="H307" t="n">
        <v>0</v>
      </c>
      <c r="I307" t="n">
        <v>0</v>
      </c>
      <c r="J307" t="n">
        <v>0</v>
      </c>
      <c r="K307" t="n">
        <v>0</v>
      </c>
      <c r="L307" t="n">
        <v>0</v>
      </c>
      <c r="M307" t="n">
        <v>0</v>
      </c>
      <c r="N307" t="n">
        <v>0</v>
      </c>
      <c r="O307" t="n">
        <v>0</v>
      </c>
      <c r="P307" t="n">
        <v>0</v>
      </c>
      <c r="Q307" t="n">
        <v>0</v>
      </c>
      <c r="R307" s="2" t="inlineStr"/>
    </row>
    <row r="308" ht="15" customHeight="1">
      <c r="A308" t="inlineStr">
        <is>
          <t>A 4528-2019</t>
        </is>
      </c>
      <c r="B308" s="1" t="n">
        <v>43486</v>
      </c>
      <c r="C308" s="1" t="n">
        <v>45349</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4885-2019</t>
        </is>
      </c>
      <c r="B309" s="1" t="n">
        <v>43486</v>
      </c>
      <c r="C309" s="1" t="n">
        <v>45349</v>
      </c>
      <c r="D309" t="inlineStr">
        <is>
          <t>STOCKHOLMS LÄN</t>
        </is>
      </c>
      <c r="E309" t="inlineStr">
        <is>
          <t>NORRTÄLJE</t>
        </is>
      </c>
      <c r="G309" t="n">
        <v>11.4</v>
      </c>
      <c r="H309" t="n">
        <v>0</v>
      </c>
      <c r="I309" t="n">
        <v>0</v>
      </c>
      <c r="J309" t="n">
        <v>0</v>
      </c>
      <c r="K309" t="n">
        <v>0</v>
      </c>
      <c r="L309" t="n">
        <v>0</v>
      </c>
      <c r="M309" t="n">
        <v>0</v>
      </c>
      <c r="N309" t="n">
        <v>0</v>
      </c>
      <c r="O309" t="n">
        <v>0</v>
      </c>
      <c r="P309" t="n">
        <v>0</v>
      </c>
      <c r="Q309" t="n">
        <v>0</v>
      </c>
      <c r="R309" s="2" t="inlineStr"/>
    </row>
    <row r="310" ht="15" customHeight="1">
      <c r="A310" t="inlineStr">
        <is>
          <t>A 4833-2019</t>
        </is>
      </c>
      <c r="B310" s="1" t="n">
        <v>43486</v>
      </c>
      <c r="C310" s="1" t="n">
        <v>45349</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4862-2019</t>
        </is>
      </c>
      <c r="B311" s="1" t="n">
        <v>43486</v>
      </c>
      <c r="C311" s="1" t="n">
        <v>45349</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4947-2019</t>
        </is>
      </c>
      <c r="B312" s="1" t="n">
        <v>43487</v>
      </c>
      <c r="C312" s="1" t="n">
        <v>45349</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5109-2019</t>
        </is>
      </c>
      <c r="B313" s="1" t="n">
        <v>43487</v>
      </c>
      <c r="C313" s="1" t="n">
        <v>45349</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4857-2019</t>
        </is>
      </c>
      <c r="B314" s="1" t="n">
        <v>43487</v>
      </c>
      <c r="C314" s="1" t="n">
        <v>45349</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5106-2019</t>
        </is>
      </c>
      <c r="B315" s="1" t="n">
        <v>43487</v>
      </c>
      <c r="C315" s="1" t="n">
        <v>45349</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6606-2019</t>
        </is>
      </c>
      <c r="B316" s="1" t="n">
        <v>43487</v>
      </c>
      <c r="C316" s="1" t="n">
        <v>45349</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5080-2019</t>
        </is>
      </c>
      <c r="B317" s="1" t="n">
        <v>43487</v>
      </c>
      <c r="C317" s="1" t="n">
        <v>45349</v>
      </c>
      <c r="D317" t="inlineStr">
        <is>
          <t>STOCKHOLMS LÄN</t>
        </is>
      </c>
      <c r="E317" t="inlineStr">
        <is>
          <t>NORRTÄLJE</t>
        </is>
      </c>
      <c r="G317" t="n">
        <v>2.6</v>
      </c>
      <c r="H317" t="n">
        <v>0</v>
      </c>
      <c r="I317" t="n">
        <v>0</v>
      </c>
      <c r="J317" t="n">
        <v>0</v>
      </c>
      <c r="K317" t="n">
        <v>0</v>
      </c>
      <c r="L317" t="n">
        <v>0</v>
      </c>
      <c r="M317" t="n">
        <v>0</v>
      </c>
      <c r="N317" t="n">
        <v>0</v>
      </c>
      <c r="O317" t="n">
        <v>0</v>
      </c>
      <c r="P317" t="n">
        <v>0</v>
      </c>
      <c r="Q317" t="n">
        <v>0</v>
      </c>
      <c r="R317" s="2" t="inlineStr"/>
    </row>
    <row r="318" ht="15" customHeight="1">
      <c r="A318" t="inlineStr">
        <is>
          <t>A 5386-2019</t>
        </is>
      </c>
      <c r="B318" s="1" t="n">
        <v>43488</v>
      </c>
      <c r="C318" s="1" t="n">
        <v>45349</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5314-2019</t>
        </is>
      </c>
      <c r="B319" s="1" t="n">
        <v>43488</v>
      </c>
      <c r="C319" s="1" t="n">
        <v>45349</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5517-2019</t>
        </is>
      </c>
      <c r="B320" s="1" t="n">
        <v>43489</v>
      </c>
      <c r="C320" s="1" t="n">
        <v>45349</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5548-2019</t>
        </is>
      </c>
      <c r="B321" s="1" t="n">
        <v>43489</v>
      </c>
      <c r="C321" s="1" t="n">
        <v>45349</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5580-2019</t>
        </is>
      </c>
      <c r="B322" s="1" t="n">
        <v>43489</v>
      </c>
      <c r="C322" s="1" t="n">
        <v>45349</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5486-2019</t>
        </is>
      </c>
      <c r="B323" s="1" t="n">
        <v>43489</v>
      </c>
      <c r="C323" s="1" t="n">
        <v>45349</v>
      </c>
      <c r="D323" t="inlineStr">
        <is>
          <t>STOCKHOLMS LÄN</t>
        </is>
      </c>
      <c r="E323" t="inlineStr">
        <is>
          <t>NORRTÄLJE</t>
        </is>
      </c>
      <c r="F323" t="inlineStr">
        <is>
          <t>Övriga Aktiebolag</t>
        </is>
      </c>
      <c r="G323" t="n">
        <v>3.9</v>
      </c>
      <c r="H323" t="n">
        <v>0</v>
      </c>
      <c r="I323" t="n">
        <v>0</v>
      </c>
      <c r="J323" t="n">
        <v>0</v>
      </c>
      <c r="K323" t="n">
        <v>0</v>
      </c>
      <c r="L323" t="n">
        <v>0</v>
      </c>
      <c r="M323" t="n">
        <v>0</v>
      </c>
      <c r="N323" t="n">
        <v>0</v>
      </c>
      <c r="O323" t="n">
        <v>0</v>
      </c>
      <c r="P323" t="n">
        <v>0</v>
      </c>
      <c r="Q323" t="n">
        <v>0</v>
      </c>
      <c r="R323" s="2" t="inlineStr"/>
    </row>
    <row r="324" ht="15" customHeight="1">
      <c r="A324" t="inlineStr">
        <is>
          <t>A 5640-2019</t>
        </is>
      </c>
      <c r="B324" s="1" t="n">
        <v>43489</v>
      </c>
      <c r="C324" s="1" t="n">
        <v>45349</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5664-2019</t>
        </is>
      </c>
      <c r="B325" s="1" t="n">
        <v>43489</v>
      </c>
      <c r="C325" s="1" t="n">
        <v>45349</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5504-2019</t>
        </is>
      </c>
      <c r="B326" s="1" t="n">
        <v>43489</v>
      </c>
      <c r="C326" s="1" t="n">
        <v>45349</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5919-2019</t>
        </is>
      </c>
      <c r="B327" s="1" t="n">
        <v>43490</v>
      </c>
      <c r="C327" s="1" t="n">
        <v>45349</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5959-2019</t>
        </is>
      </c>
      <c r="B328" s="1" t="n">
        <v>43492</v>
      </c>
      <c r="C328" s="1" t="n">
        <v>45349</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6187-2019</t>
        </is>
      </c>
      <c r="B329" s="1" t="n">
        <v>43493</v>
      </c>
      <c r="C329" s="1" t="n">
        <v>45349</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6184-2019</t>
        </is>
      </c>
      <c r="B330" s="1" t="n">
        <v>43493</v>
      </c>
      <c r="C330" s="1" t="n">
        <v>45349</v>
      </c>
      <c r="D330" t="inlineStr">
        <is>
          <t>STOCKHOLMS LÄN</t>
        </is>
      </c>
      <c r="E330" t="inlineStr">
        <is>
          <t>NORRTÄLJE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6121-2019</t>
        </is>
      </c>
      <c r="B331" s="1" t="n">
        <v>43493</v>
      </c>
      <c r="C331" s="1" t="n">
        <v>45349</v>
      </c>
      <c r="D331" t="inlineStr">
        <is>
          <t>STOCKHOLMS LÄN</t>
        </is>
      </c>
      <c r="E331" t="inlineStr">
        <is>
          <t>NORRTÄLJE</t>
        </is>
      </c>
      <c r="G331" t="n">
        <v>4.8</v>
      </c>
      <c r="H331" t="n">
        <v>0</v>
      </c>
      <c r="I331" t="n">
        <v>0</v>
      </c>
      <c r="J331" t="n">
        <v>0</v>
      </c>
      <c r="K331" t="n">
        <v>0</v>
      </c>
      <c r="L331" t="n">
        <v>0</v>
      </c>
      <c r="M331" t="n">
        <v>0</v>
      </c>
      <c r="N331" t="n">
        <v>0</v>
      </c>
      <c r="O331" t="n">
        <v>0</v>
      </c>
      <c r="P331" t="n">
        <v>0</v>
      </c>
      <c r="Q331" t="n">
        <v>0</v>
      </c>
      <c r="R331" s="2" t="inlineStr"/>
    </row>
    <row r="332" ht="15" customHeight="1">
      <c r="A332" t="inlineStr">
        <is>
          <t>A 6170-2019</t>
        </is>
      </c>
      <c r="B332" s="1" t="n">
        <v>43493</v>
      </c>
      <c r="C332" s="1" t="n">
        <v>45349</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6496-2019</t>
        </is>
      </c>
      <c r="B333" s="1" t="n">
        <v>43494</v>
      </c>
      <c r="C333" s="1" t="n">
        <v>45349</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6563-2019</t>
        </is>
      </c>
      <c r="B334" s="1" t="n">
        <v>43494</v>
      </c>
      <c r="C334" s="1" t="n">
        <v>45349</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6560-2019</t>
        </is>
      </c>
      <c r="B335" s="1" t="n">
        <v>43494</v>
      </c>
      <c r="C335" s="1" t="n">
        <v>45349</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6740-2019</t>
        </is>
      </c>
      <c r="B336" s="1" t="n">
        <v>43494</v>
      </c>
      <c r="C336" s="1" t="n">
        <v>45349</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6530-2019</t>
        </is>
      </c>
      <c r="B337" s="1" t="n">
        <v>43494</v>
      </c>
      <c r="C337" s="1" t="n">
        <v>45349</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6545-2019</t>
        </is>
      </c>
      <c r="B338" s="1" t="n">
        <v>43494</v>
      </c>
      <c r="C338" s="1" t="n">
        <v>45349</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6921-2019</t>
        </is>
      </c>
      <c r="B339" s="1" t="n">
        <v>43495</v>
      </c>
      <c r="C339" s="1" t="n">
        <v>45349</v>
      </c>
      <c r="D339" t="inlineStr">
        <is>
          <t>STOCKHOLMS LÄN</t>
        </is>
      </c>
      <c r="E339" t="inlineStr">
        <is>
          <t>NORRTÄLJE</t>
        </is>
      </c>
      <c r="G339" t="n">
        <v>5.8</v>
      </c>
      <c r="H339" t="n">
        <v>0</v>
      </c>
      <c r="I339" t="n">
        <v>0</v>
      </c>
      <c r="J339" t="n">
        <v>0</v>
      </c>
      <c r="K339" t="n">
        <v>0</v>
      </c>
      <c r="L339" t="n">
        <v>0</v>
      </c>
      <c r="M339" t="n">
        <v>0</v>
      </c>
      <c r="N339" t="n">
        <v>0</v>
      </c>
      <c r="O339" t="n">
        <v>0</v>
      </c>
      <c r="P339" t="n">
        <v>0</v>
      </c>
      <c r="Q339" t="n">
        <v>0</v>
      </c>
      <c r="R339" s="2" t="inlineStr"/>
    </row>
    <row r="340" ht="15" customHeight="1">
      <c r="A340" t="inlineStr">
        <is>
          <t>A 7041-2019</t>
        </is>
      </c>
      <c r="B340" s="1" t="n">
        <v>43495</v>
      </c>
      <c r="C340" s="1" t="n">
        <v>45349</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7040-2019</t>
        </is>
      </c>
      <c r="B341" s="1" t="n">
        <v>43495</v>
      </c>
      <c r="C341" s="1" t="n">
        <v>45349</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7003-2019</t>
        </is>
      </c>
      <c r="B342" s="1" t="n">
        <v>43495</v>
      </c>
      <c r="C342" s="1" t="n">
        <v>45349</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6985-2019</t>
        </is>
      </c>
      <c r="B343" s="1" t="n">
        <v>43495</v>
      </c>
      <c r="C343" s="1" t="n">
        <v>45349</v>
      </c>
      <c r="D343" t="inlineStr">
        <is>
          <t>STOCKHOLMS LÄN</t>
        </is>
      </c>
      <c r="E343" t="inlineStr">
        <is>
          <t>NORRTÄLJE</t>
        </is>
      </c>
      <c r="G343" t="n">
        <v>75.09999999999999</v>
      </c>
      <c r="H343" t="n">
        <v>0</v>
      </c>
      <c r="I343" t="n">
        <v>0</v>
      </c>
      <c r="J343" t="n">
        <v>0</v>
      </c>
      <c r="K343" t="n">
        <v>0</v>
      </c>
      <c r="L343" t="n">
        <v>0</v>
      </c>
      <c r="M343" t="n">
        <v>0</v>
      </c>
      <c r="N343" t="n">
        <v>0</v>
      </c>
      <c r="O343" t="n">
        <v>0</v>
      </c>
      <c r="P343" t="n">
        <v>0</v>
      </c>
      <c r="Q343" t="n">
        <v>0</v>
      </c>
      <c r="R343" s="2" t="inlineStr"/>
    </row>
    <row r="344" ht="15" customHeight="1">
      <c r="A344" t="inlineStr">
        <is>
          <t>A 6970-2019</t>
        </is>
      </c>
      <c r="B344" s="1" t="n">
        <v>43495</v>
      </c>
      <c r="C344" s="1" t="n">
        <v>45349</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7090-2019</t>
        </is>
      </c>
      <c r="B345" s="1" t="n">
        <v>43495</v>
      </c>
      <c r="C345" s="1" t="n">
        <v>45349</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7015-2019</t>
        </is>
      </c>
      <c r="B346" s="1" t="n">
        <v>43495</v>
      </c>
      <c r="C346" s="1" t="n">
        <v>45349</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7117-2019</t>
        </is>
      </c>
      <c r="B347" s="1" t="n">
        <v>43496</v>
      </c>
      <c r="C347" s="1" t="n">
        <v>45349</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7288-2019</t>
        </is>
      </c>
      <c r="B348" s="1" t="n">
        <v>43496</v>
      </c>
      <c r="C348" s="1" t="n">
        <v>45349</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7278-2019</t>
        </is>
      </c>
      <c r="B349" s="1" t="n">
        <v>43496</v>
      </c>
      <c r="C349" s="1" t="n">
        <v>45349</v>
      </c>
      <c r="D349" t="inlineStr">
        <is>
          <t>STOCKHOLMS LÄN</t>
        </is>
      </c>
      <c r="E349" t="inlineStr">
        <is>
          <t>NORRTÄLJE</t>
        </is>
      </c>
      <c r="G349" t="n">
        <v>13.6</v>
      </c>
      <c r="H349" t="n">
        <v>0</v>
      </c>
      <c r="I349" t="n">
        <v>0</v>
      </c>
      <c r="J349" t="n">
        <v>0</v>
      </c>
      <c r="K349" t="n">
        <v>0</v>
      </c>
      <c r="L349" t="n">
        <v>0</v>
      </c>
      <c r="M349" t="n">
        <v>0</v>
      </c>
      <c r="N349" t="n">
        <v>0</v>
      </c>
      <c r="O349" t="n">
        <v>0</v>
      </c>
      <c r="P349" t="n">
        <v>0</v>
      </c>
      <c r="Q349" t="n">
        <v>0</v>
      </c>
      <c r="R349" s="2" t="inlineStr"/>
    </row>
    <row r="350" ht="15" customHeight="1">
      <c r="A350" t="inlineStr">
        <is>
          <t>A 7255-2019</t>
        </is>
      </c>
      <c r="B350" s="1" t="n">
        <v>43496</v>
      </c>
      <c r="C350" s="1" t="n">
        <v>45349</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7285-2019</t>
        </is>
      </c>
      <c r="B351" s="1" t="n">
        <v>43496</v>
      </c>
      <c r="C351" s="1" t="n">
        <v>45349</v>
      </c>
      <c r="D351" t="inlineStr">
        <is>
          <t>STOCKHOLMS LÄN</t>
        </is>
      </c>
      <c r="E351" t="inlineStr">
        <is>
          <t>NORRTÄLJE</t>
        </is>
      </c>
      <c r="G351" t="n">
        <v>7.8</v>
      </c>
      <c r="H351" t="n">
        <v>0</v>
      </c>
      <c r="I351" t="n">
        <v>0</v>
      </c>
      <c r="J351" t="n">
        <v>0</v>
      </c>
      <c r="K351" t="n">
        <v>0</v>
      </c>
      <c r="L351" t="n">
        <v>0</v>
      </c>
      <c r="M351" t="n">
        <v>0</v>
      </c>
      <c r="N351" t="n">
        <v>0</v>
      </c>
      <c r="O351" t="n">
        <v>0</v>
      </c>
      <c r="P351" t="n">
        <v>0</v>
      </c>
      <c r="Q351" t="n">
        <v>0</v>
      </c>
      <c r="R351" s="2" t="inlineStr"/>
    </row>
    <row r="352" ht="15" customHeight="1">
      <c r="A352" t="inlineStr">
        <is>
          <t>A 7176-2019</t>
        </is>
      </c>
      <c r="B352" s="1" t="n">
        <v>43496</v>
      </c>
      <c r="C352" s="1" t="n">
        <v>45349</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7170-2019</t>
        </is>
      </c>
      <c r="B353" s="1" t="n">
        <v>43496</v>
      </c>
      <c r="C353" s="1" t="n">
        <v>45349</v>
      </c>
      <c r="D353" t="inlineStr">
        <is>
          <t>STOCKHOLMS LÄN</t>
        </is>
      </c>
      <c r="E353" t="inlineStr">
        <is>
          <t>NORRTÄLJE</t>
        </is>
      </c>
      <c r="F353" t="inlineStr">
        <is>
          <t>Holmen skog AB</t>
        </is>
      </c>
      <c r="G353" t="n">
        <v>14.6</v>
      </c>
      <c r="H353" t="n">
        <v>0</v>
      </c>
      <c r="I353" t="n">
        <v>0</v>
      </c>
      <c r="J353" t="n">
        <v>0</v>
      </c>
      <c r="K353" t="n">
        <v>0</v>
      </c>
      <c r="L353" t="n">
        <v>0</v>
      </c>
      <c r="M353" t="n">
        <v>0</v>
      </c>
      <c r="N353" t="n">
        <v>0</v>
      </c>
      <c r="O353" t="n">
        <v>0</v>
      </c>
      <c r="P353" t="n">
        <v>0</v>
      </c>
      <c r="Q353" t="n">
        <v>0</v>
      </c>
      <c r="R353" s="2" t="inlineStr"/>
    </row>
    <row r="354" ht="15" customHeight="1">
      <c r="A354" t="inlineStr">
        <is>
          <t>A 7343-2019</t>
        </is>
      </c>
      <c r="B354" s="1" t="n">
        <v>43496</v>
      </c>
      <c r="C354" s="1" t="n">
        <v>45349</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7174-2019</t>
        </is>
      </c>
      <c r="B355" s="1" t="n">
        <v>43496</v>
      </c>
      <c r="C355" s="1" t="n">
        <v>45349</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7502-2019</t>
        </is>
      </c>
      <c r="B356" s="1" t="n">
        <v>43497</v>
      </c>
      <c r="C356" s="1" t="n">
        <v>45349</v>
      </c>
      <c r="D356" t="inlineStr">
        <is>
          <t>STOCKHOLMS LÄN</t>
        </is>
      </c>
      <c r="E356" t="inlineStr">
        <is>
          <t>NORRTÄLJE</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7426-2019</t>
        </is>
      </c>
      <c r="B357" s="1" t="n">
        <v>43497</v>
      </c>
      <c r="C357" s="1" t="n">
        <v>45349</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7568-2019</t>
        </is>
      </c>
      <c r="B358" s="1" t="n">
        <v>43497</v>
      </c>
      <c r="C358" s="1" t="n">
        <v>45349</v>
      </c>
      <c r="D358" t="inlineStr">
        <is>
          <t>STOCKHOLMS LÄN</t>
        </is>
      </c>
      <c r="E358" t="inlineStr">
        <is>
          <t>NORRTÄLJE</t>
        </is>
      </c>
      <c r="G358" t="n">
        <v>4.2</v>
      </c>
      <c r="H358" t="n">
        <v>0</v>
      </c>
      <c r="I358" t="n">
        <v>0</v>
      </c>
      <c r="J358" t="n">
        <v>0</v>
      </c>
      <c r="K358" t="n">
        <v>0</v>
      </c>
      <c r="L358" t="n">
        <v>0</v>
      </c>
      <c r="M358" t="n">
        <v>0</v>
      </c>
      <c r="N358" t="n">
        <v>0</v>
      </c>
      <c r="O358" t="n">
        <v>0</v>
      </c>
      <c r="P358" t="n">
        <v>0</v>
      </c>
      <c r="Q358" t="n">
        <v>0</v>
      </c>
      <c r="R358" s="2" t="inlineStr"/>
    </row>
    <row r="359" ht="15" customHeight="1">
      <c r="A359" t="inlineStr">
        <is>
          <t>A 7403-2019</t>
        </is>
      </c>
      <c r="B359" s="1" t="n">
        <v>43497</v>
      </c>
      <c r="C359" s="1" t="n">
        <v>45349</v>
      </c>
      <c r="D359" t="inlineStr">
        <is>
          <t>STOCKHOLMS LÄN</t>
        </is>
      </c>
      <c r="E359" t="inlineStr">
        <is>
          <t>NORRTÄLJE</t>
        </is>
      </c>
      <c r="G359" t="n">
        <v>6.1</v>
      </c>
      <c r="H359" t="n">
        <v>0</v>
      </c>
      <c r="I359" t="n">
        <v>0</v>
      </c>
      <c r="J359" t="n">
        <v>0</v>
      </c>
      <c r="K359" t="n">
        <v>0</v>
      </c>
      <c r="L359" t="n">
        <v>0</v>
      </c>
      <c r="M359" t="n">
        <v>0</v>
      </c>
      <c r="N359" t="n">
        <v>0</v>
      </c>
      <c r="O359" t="n">
        <v>0</v>
      </c>
      <c r="P359" t="n">
        <v>0</v>
      </c>
      <c r="Q359" t="n">
        <v>0</v>
      </c>
      <c r="R359" s="2" t="inlineStr"/>
    </row>
    <row r="360" ht="15" customHeight="1">
      <c r="A360" t="inlineStr">
        <is>
          <t>A 7429-2019</t>
        </is>
      </c>
      <c r="B360" s="1" t="n">
        <v>43497</v>
      </c>
      <c r="C360" s="1" t="n">
        <v>45349</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7579-2019</t>
        </is>
      </c>
      <c r="B361" s="1" t="n">
        <v>43498</v>
      </c>
      <c r="C361" s="1" t="n">
        <v>45349</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7608-2019</t>
        </is>
      </c>
      <c r="B362" s="1" t="n">
        <v>43499</v>
      </c>
      <c r="C362" s="1" t="n">
        <v>45349</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7606-2019</t>
        </is>
      </c>
      <c r="B363" s="1" t="n">
        <v>43499</v>
      </c>
      <c r="C363" s="1" t="n">
        <v>45349</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7607-2019</t>
        </is>
      </c>
      <c r="B364" s="1" t="n">
        <v>43499</v>
      </c>
      <c r="C364" s="1" t="n">
        <v>45349</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7650-2019</t>
        </is>
      </c>
      <c r="B365" s="1" t="n">
        <v>43500</v>
      </c>
      <c r="C365" s="1" t="n">
        <v>45349</v>
      </c>
      <c r="D365" t="inlineStr">
        <is>
          <t>STOCKHOLMS LÄN</t>
        </is>
      </c>
      <c r="E365" t="inlineStr">
        <is>
          <t>NORRTÄLJE</t>
        </is>
      </c>
      <c r="F365" t="inlineStr">
        <is>
          <t>Övriga Aktiebolag</t>
        </is>
      </c>
      <c r="G365" t="n">
        <v>3.8</v>
      </c>
      <c r="H365" t="n">
        <v>0</v>
      </c>
      <c r="I365" t="n">
        <v>0</v>
      </c>
      <c r="J365" t="n">
        <v>0</v>
      </c>
      <c r="K365" t="n">
        <v>0</v>
      </c>
      <c r="L365" t="n">
        <v>0</v>
      </c>
      <c r="M365" t="n">
        <v>0</v>
      </c>
      <c r="N365" t="n">
        <v>0</v>
      </c>
      <c r="O365" t="n">
        <v>0</v>
      </c>
      <c r="P365" t="n">
        <v>0</v>
      </c>
      <c r="Q365" t="n">
        <v>0</v>
      </c>
      <c r="R365" s="2" t="inlineStr"/>
    </row>
    <row r="366" ht="15" customHeight="1">
      <c r="A366" t="inlineStr">
        <is>
          <t>A 8039-2019</t>
        </is>
      </c>
      <c r="B366" s="1" t="n">
        <v>43501</v>
      </c>
      <c r="C366" s="1" t="n">
        <v>45349</v>
      </c>
      <c r="D366" t="inlineStr">
        <is>
          <t>STOCKHOLMS LÄN</t>
        </is>
      </c>
      <c r="E366" t="inlineStr">
        <is>
          <t>NORRTÄLJE</t>
        </is>
      </c>
      <c r="G366" t="n">
        <v>16.8</v>
      </c>
      <c r="H366" t="n">
        <v>0</v>
      </c>
      <c r="I366" t="n">
        <v>0</v>
      </c>
      <c r="J366" t="n">
        <v>0</v>
      </c>
      <c r="K366" t="n">
        <v>0</v>
      </c>
      <c r="L366" t="n">
        <v>0</v>
      </c>
      <c r="M366" t="n">
        <v>0</v>
      </c>
      <c r="N366" t="n">
        <v>0</v>
      </c>
      <c r="O366" t="n">
        <v>0</v>
      </c>
      <c r="P366" t="n">
        <v>0</v>
      </c>
      <c r="Q366" t="n">
        <v>0</v>
      </c>
      <c r="R366" s="2" t="inlineStr"/>
    </row>
    <row r="367" ht="15" customHeight="1">
      <c r="A367" t="inlineStr">
        <is>
          <t>A 8256-2019</t>
        </is>
      </c>
      <c r="B367" s="1" t="n">
        <v>43501</v>
      </c>
      <c r="C367" s="1" t="n">
        <v>45349</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8452-2019</t>
        </is>
      </c>
      <c r="B368" s="1" t="n">
        <v>43502</v>
      </c>
      <c r="C368" s="1" t="n">
        <v>45349</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8586-2019</t>
        </is>
      </c>
      <c r="B369" s="1" t="n">
        <v>43502</v>
      </c>
      <c r="C369" s="1" t="n">
        <v>45349</v>
      </c>
      <c r="D369" t="inlineStr">
        <is>
          <t>STOCKHOLMS LÄN</t>
        </is>
      </c>
      <c r="E369" t="inlineStr">
        <is>
          <t>NORRTÄLJE</t>
        </is>
      </c>
      <c r="G369" t="n">
        <v>12.4</v>
      </c>
      <c r="H369" t="n">
        <v>0</v>
      </c>
      <c r="I369" t="n">
        <v>0</v>
      </c>
      <c r="J369" t="n">
        <v>0</v>
      </c>
      <c r="K369" t="n">
        <v>0</v>
      </c>
      <c r="L369" t="n">
        <v>0</v>
      </c>
      <c r="M369" t="n">
        <v>0</v>
      </c>
      <c r="N369" t="n">
        <v>0</v>
      </c>
      <c r="O369" t="n">
        <v>0</v>
      </c>
      <c r="P369" t="n">
        <v>0</v>
      </c>
      <c r="Q369" t="n">
        <v>0</v>
      </c>
      <c r="R369" s="2" t="inlineStr"/>
    </row>
    <row r="370" ht="15" customHeight="1">
      <c r="A370" t="inlineStr">
        <is>
          <t>A 8574-2019</t>
        </is>
      </c>
      <c r="B370" s="1" t="n">
        <v>43502</v>
      </c>
      <c r="C370" s="1" t="n">
        <v>45349</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8678-2019</t>
        </is>
      </c>
      <c r="B371" s="1" t="n">
        <v>43503</v>
      </c>
      <c r="C371" s="1" t="n">
        <v>45349</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8701-2019</t>
        </is>
      </c>
      <c r="B372" s="1" t="n">
        <v>43503</v>
      </c>
      <c r="C372" s="1" t="n">
        <v>45349</v>
      </c>
      <c r="D372" t="inlineStr">
        <is>
          <t>STOCKHOLMS LÄN</t>
        </is>
      </c>
      <c r="E372" t="inlineStr">
        <is>
          <t>NORRTÄLJE</t>
        </is>
      </c>
      <c r="G372" t="n">
        <v>15.3</v>
      </c>
      <c r="H372" t="n">
        <v>0</v>
      </c>
      <c r="I372" t="n">
        <v>0</v>
      </c>
      <c r="J372" t="n">
        <v>0</v>
      </c>
      <c r="K372" t="n">
        <v>0</v>
      </c>
      <c r="L372" t="n">
        <v>0</v>
      </c>
      <c r="M372" t="n">
        <v>0</v>
      </c>
      <c r="N372" t="n">
        <v>0</v>
      </c>
      <c r="O372" t="n">
        <v>0</v>
      </c>
      <c r="P372" t="n">
        <v>0</v>
      </c>
      <c r="Q372" t="n">
        <v>0</v>
      </c>
      <c r="R372" s="2" t="inlineStr"/>
    </row>
    <row r="373" ht="15" customHeight="1">
      <c r="A373" t="inlineStr">
        <is>
          <t>A 8719-2019</t>
        </is>
      </c>
      <c r="B373" s="1" t="n">
        <v>43503</v>
      </c>
      <c r="C373" s="1" t="n">
        <v>45349</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8721-2019</t>
        </is>
      </c>
      <c r="B374" s="1" t="n">
        <v>43503</v>
      </c>
      <c r="C374" s="1" t="n">
        <v>45349</v>
      </c>
      <c r="D374" t="inlineStr">
        <is>
          <t>STOCKHOLMS LÄN</t>
        </is>
      </c>
      <c r="E374" t="inlineStr">
        <is>
          <t>NORRTÄLJE</t>
        </is>
      </c>
      <c r="G374" t="n">
        <v>5.2</v>
      </c>
      <c r="H374" t="n">
        <v>0</v>
      </c>
      <c r="I374" t="n">
        <v>0</v>
      </c>
      <c r="J374" t="n">
        <v>0</v>
      </c>
      <c r="K374" t="n">
        <v>0</v>
      </c>
      <c r="L374" t="n">
        <v>0</v>
      </c>
      <c r="M374" t="n">
        <v>0</v>
      </c>
      <c r="N374" t="n">
        <v>0</v>
      </c>
      <c r="O374" t="n">
        <v>0</v>
      </c>
      <c r="P374" t="n">
        <v>0</v>
      </c>
      <c r="Q374" t="n">
        <v>0</v>
      </c>
      <c r="R374" s="2" t="inlineStr"/>
    </row>
    <row r="375" ht="15" customHeight="1">
      <c r="A375" t="inlineStr">
        <is>
          <t>A 8818-2019</t>
        </is>
      </c>
      <c r="B375" s="1" t="n">
        <v>43503</v>
      </c>
      <c r="C375" s="1" t="n">
        <v>45349</v>
      </c>
      <c r="D375" t="inlineStr">
        <is>
          <t>STOCKHOLMS LÄN</t>
        </is>
      </c>
      <c r="E375" t="inlineStr">
        <is>
          <t>NORRTÄLJE</t>
        </is>
      </c>
      <c r="F375" t="inlineStr">
        <is>
          <t>Övriga statliga verk och myndigheter</t>
        </is>
      </c>
      <c r="G375" t="n">
        <v>2.7</v>
      </c>
      <c r="H375" t="n">
        <v>0</v>
      </c>
      <c r="I375" t="n">
        <v>0</v>
      </c>
      <c r="J375" t="n">
        <v>0</v>
      </c>
      <c r="K375" t="n">
        <v>0</v>
      </c>
      <c r="L375" t="n">
        <v>0</v>
      </c>
      <c r="M375" t="n">
        <v>0</v>
      </c>
      <c r="N375" t="n">
        <v>0</v>
      </c>
      <c r="O375" t="n">
        <v>0</v>
      </c>
      <c r="P375" t="n">
        <v>0</v>
      </c>
      <c r="Q375" t="n">
        <v>0</v>
      </c>
      <c r="R375" s="2" t="inlineStr"/>
    </row>
    <row r="376" ht="15" customHeight="1">
      <c r="A376" t="inlineStr">
        <is>
          <t>A 8692-2019</t>
        </is>
      </c>
      <c r="B376" s="1" t="n">
        <v>43503</v>
      </c>
      <c r="C376" s="1" t="n">
        <v>45349</v>
      </c>
      <c r="D376" t="inlineStr">
        <is>
          <t>STOCKHOLMS LÄN</t>
        </is>
      </c>
      <c r="E376" t="inlineStr">
        <is>
          <t>NORRTÄLJE</t>
        </is>
      </c>
      <c r="G376" t="n">
        <v>6.8</v>
      </c>
      <c r="H376" t="n">
        <v>0</v>
      </c>
      <c r="I376" t="n">
        <v>0</v>
      </c>
      <c r="J376" t="n">
        <v>0</v>
      </c>
      <c r="K376" t="n">
        <v>0</v>
      </c>
      <c r="L376" t="n">
        <v>0</v>
      </c>
      <c r="M376" t="n">
        <v>0</v>
      </c>
      <c r="N376" t="n">
        <v>0</v>
      </c>
      <c r="O376" t="n">
        <v>0</v>
      </c>
      <c r="P376" t="n">
        <v>0</v>
      </c>
      <c r="Q376" t="n">
        <v>0</v>
      </c>
      <c r="R376" s="2" t="inlineStr"/>
    </row>
    <row r="377" ht="15" customHeight="1">
      <c r="A377" t="inlineStr">
        <is>
          <t>A 9090-2019</t>
        </is>
      </c>
      <c r="B377" s="1" t="n">
        <v>43504</v>
      </c>
      <c r="C377" s="1" t="n">
        <v>45349</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9154-2019</t>
        </is>
      </c>
      <c r="B378" s="1" t="n">
        <v>43504</v>
      </c>
      <c r="C378" s="1" t="n">
        <v>45349</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9216-2019</t>
        </is>
      </c>
      <c r="B379" s="1" t="n">
        <v>43506</v>
      </c>
      <c r="C379" s="1" t="n">
        <v>45349</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9452-2019</t>
        </is>
      </c>
      <c r="B380" s="1" t="n">
        <v>43507</v>
      </c>
      <c r="C380" s="1" t="n">
        <v>45349</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9507-2019</t>
        </is>
      </c>
      <c r="B381" s="1" t="n">
        <v>43507</v>
      </c>
      <c r="C381" s="1" t="n">
        <v>45349</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9500-2019</t>
        </is>
      </c>
      <c r="B382" s="1" t="n">
        <v>43507</v>
      </c>
      <c r="C382" s="1" t="n">
        <v>45349</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9505-2019</t>
        </is>
      </c>
      <c r="B383" s="1" t="n">
        <v>43507</v>
      </c>
      <c r="C383" s="1" t="n">
        <v>45349</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9462-2019</t>
        </is>
      </c>
      <c r="B384" s="1" t="n">
        <v>43507</v>
      </c>
      <c r="C384" s="1" t="n">
        <v>45349</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9504-2019</t>
        </is>
      </c>
      <c r="B385" s="1" t="n">
        <v>43507</v>
      </c>
      <c r="C385" s="1" t="n">
        <v>45349</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9447-2019</t>
        </is>
      </c>
      <c r="B386" s="1" t="n">
        <v>43507</v>
      </c>
      <c r="C386" s="1" t="n">
        <v>45349</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9506-2019</t>
        </is>
      </c>
      <c r="B387" s="1" t="n">
        <v>43507</v>
      </c>
      <c r="C387" s="1" t="n">
        <v>45349</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9432-2019</t>
        </is>
      </c>
      <c r="B388" s="1" t="n">
        <v>43507</v>
      </c>
      <c r="C388" s="1" t="n">
        <v>45349</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9712-2019</t>
        </is>
      </c>
      <c r="B389" s="1" t="n">
        <v>43508</v>
      </c>
      <c r="C389" s="1" t="n">
        <v>45349</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9577-2019</t>
        </is>
      </c>
      <c r="B390" s="1" t="n">
        <v>43508</v>
      </c>
      <c r="C390" s="1" t="n">
        <v>45349</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9687-2019</t>
        </is>
      </c>
      <c r="B391" s="1" t="n">
        <v>43508</v>
      </c>
      <c r="C391" s="1" t="n">
        <v>45349</v>
      </c>
      <c r="D391" t="inlineStr">
        <is>
          <t>STOCKHOLMS LÄN</t>
        </is>
      </c>
      <c r="E391" t="inlineStr">
        <is>
          <t>NORRTÄLJE</t>
        </is>
      </c>
      <c r="F391" t="inlineStr">
        <is>
          <t>Övriga statliga verk och myndigheter</t>
        </is>
      </c>
      <c r="G391" t="n">
        <v>10</v>
      </c>
      <c r="H391" t="n">
        <v>0</v>
      </c>
      <c r="I391" t="n">
        <v>0</v>
      </c>
      <c r="J391" t="n">
        <v>0</v>
      </c>
      <c r="K391" t="n">
        <v>0</v>
      </c>
      <c r="L391" t="n">
        <v>0</v>
      </c>
      <c r="M391" t="n">
        <v>0</v>
      </c>
      <c r="N391" t="n">
        <v>0</v>
      </c>
      <c r="O391" t="n">
        <v>0</v>
      </c>
      <c r="P391" t="n">
        <v>0</v>
      </c>
      <c r="Q391" t="n">
        <v>0</v>
      </c>
      <c r="R391" s="2" t="inlineStr"/>
    </row>
    <row r="392" ht="15" customHeight="1">
      <c r="A392" t="inlineStr">
        <is>
          <t>A 9693-2019</t>
        </is>
      </c>
      <c r="B392" s="1" t="n">
        <v>43508</v>
      </c>
      <c r="C392" s="1" t="n">
        <v>45349</v>
      </c>
      <c r="D392" t="inlineStr">
        <is>
          <t>STOCKHOLMS LÄN</t>
        </is>
      </c>
      <c r="E392" t="inlineStr">
        <is>
          <t>NORRTÄLJE</t>
        </is>
      </c>
      <c r="F392" t="inlineStr">
        <is>
          <t>Övriga statliga verk och myndigheter</t>
        </is>
      </c>
      <c r="G392" t="n">
        <v>3</v>
      </c>
      <c r="H392" t="n">
        <v>0</v>
      </c>
      <c r="I392" t="n">
        <v>0</v>
      </c>
      <c r="J392" t="n">
        <v>0</v>
      </c>
      <c r="K392" t="n">
        <v>0</v>
      </c>
      <c r="L392" t="n">
        <v>0</v>
      </c>
      <c r="M392" t="n">
        <v>0</v>
      </c>
      <c r="N392" t="n">
        <v>0</v>
      </c>
      <c r="O392" t="n">
        <v>0</v>
      </c>
      <c r="P392" t="n">
        <v>0</v>
      </c>
      <c r="Q392" t="n">
        <v>0</v>
      </c>
      <c r="R392" s="2" t="inlineStr"/>
    </row>
    <row r="393" ht="15" customHeight="1">
      <c r="A393" t="inlineStr">
        <is>
          <t>A 9927-2019</t>
        </is>
      </c>
      <c r="B393" s="1" t="n">
        <v>43509</v>
      </c>
      <c r="C393" s="1" t="n">
        <v>45349</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10062-2019</t>
        </is>
      </c>
      <c r="B394" s="1" t="n">
        <v>43510</v>
      </c>
      <c r="C394" s="1" t="n">
        <v>45349</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10207-2019</t>
        </is>
      </c>
      <c r="B395" s="1" t="n">
        <v>43510</v>
      </c>
      <c r="C395" s="1" t="n">
        <v>45349</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10150-2019</t>
        </is>
      </c>
      <c r="B396" s="1" t="n">
        <v>43510</v>
      </c>
      <c r="C396" s="1" t="n">
        <v>45349</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10225-2019</t>
        </is>
      </c>
      <c r="B397" s="1" t="n">
        <v>43510</v>
      </c>
      <c r="C397" s="1" t="n">
        <v>45349</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10100-2019</t>
        </is>
      </c>
      <c r="B398" s="1" t="n">
        <v>43510</v>
      </c>
      <c r="C398" s="1" t="n">
        <v>45349</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10055-2019</t>
        </is>
      </c>
      <c r="B399" s="1" t="n">
        <v>43510</v>
      </c>
      <c r="C399" s="1" t="n">
        <v>45349</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10049-2019</t>
        </is>
      </c>
      <c r="B400" s="1" t="n">
        <v>43510</v>
      </c>
      <c r="C400" s="1" t="n">
        <v>45349</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10168-2019</t>
        </is>
      </c>
      <c r="B401" s="1" t="n">
        <v>43510</v>
      </c>
      <c r="C401" s="1" t="n">
        <v>45349</v>
      </c>
      <c r="D401" t="inlineStr">
        <is>
          <t>STOCKHOLMS LÄN</t>
        </is>
      </c>
      <c r="E401" t="inlineStr">
        <is>
          <t>NORRTÄLJE</t>
        </is>
      </c>
      <c r="G401" t="n">
        <v>3.4</v>
      </c>
      <c r="H401" t="n">
        <v>0</v>
      </c>
      <c r="I401" t="n">
        <v>0</v>
      </c>
      <c r="J401" t="n">
        <v>0</v>
      </c>
      <c r="K401" t="n">
        <v>0</v>
      </c>
      <c r="L401" t="n">
        <v>0</v>
      </c>
      <c r="M401" t="n">
        <v>0</v>
      </c>
      <c r="N401" t="n">
        <v>0</v>
      </c>
      <c r="O401" t="n">
        <v>0</v>
      </c>
      <c r="P401" t="n">
        <v>0</v>
      </c>
      <c r="Q401" t="n">
        <v>0</v>
      </c>
      <c r="R401" s="2" t="inlineStr"/>
    </row>
    <row r="402" ht="15" customHeight="1">
      <c r="A402" t="inlineStr">
        <is>
          <t>A 10071-2019</t>
        </is>
      </c>
      <c r="B402" s="1" t="n">
        <v>43510</v>
      </c>
      <c r="C402" s="1" t="n">
        <v>45349</v>
      </c>
      <c r="D402" t="inlineStr">
        <is>
          <t>STOCKHOLMS LÄN</t>
        </is>
      </c>
      <c r="E402" t="inlineStr">
        <is>
          <t>NORRTÄLJE</t>
        </is>
      </c>
      <c r="G402" t="n">
        <v>11.8</v>
      </c>
      <c r="H402" t="n">
        <v>0</v>
      </c>
      <c r="I402" t="n">
        <v>0</v>
      </c>
      <c r="J402" t="n">
        <v>0</v>
      </c>
      <c r="K402" t="n">
        <v>0</v>
      </c>
      <c r="L402" t="n">
        <v>0</v>
      </c>
      <c r="M402" t="n">
        <v>0</v>
      </c>
      <c r="N402" t="n">
        <v>0</v>
      </c>
      <c r="O402" t="n">
        <v>0</v>
      </c>
      <c r="P402" t="n">
        <v>0</v>
      </c>
      <c r="Q402" t="n">
        <v>0</v>
      </c>
      <c r="R402" s="2" t="inlineStr"/>
    </row>
    <row r="403" ht="15" customHeight="1">
      <c r="A403" t="inlineStr">
        <is>
          <t>A 10277-2019</t>
        </is>
      </c>
      <c r="B403" s="1" t="n">
        <v>43511</v>
      </c>
      <c r="C403" s="1" t="n">
        <v>45349</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10458-2019</t>
        </is>
      </c>
      <c r="B404" s="1" t="n">
        <v>43511</v>
      </c>
      <c r="C404" s="1" t="n">
        <v>45349</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10314-2019</t>
        </is>
      </c>
      <c r="B405" s="1" t="n">
        <v>43511</v>
      </c>
      <c r="C405" s="1" t="n">
        <v>45349</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10540-2019</t>
        </is>
      </c>
      <c r="B406" s="1" t="n">
        <v>43511</v>
      </c>
      <c r="C406" s="1" t="n">
        <v>45349</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10504-2019</t>
        </is>
      </c>
      <c r="B407" s="1" t="n">
        <v>43512</v>
      </c>
      <c r="C407" s="1" t="n">
        <v>45349</v>
      </c>
      <c r="D407" t="inlineStr">
        <is>
          <t>STOCKHOLMS LÄN</t>
        </is>
      </c>
      <c r="E407" t="inlineStr">
        <is>
          <t>NORRTÄLJE</t>
        </is>
      </c>
      <c r="G407" t="n">
        <v>2.8</v>
      </c>
      <c r="H407" t="n">
        <v>0</v>
      </c>
      <c r="I407" t="n">
        <v>0</v>
      </c>
      <c r="J407" t="n">
        <v>0</v>
      </c>
      <c r="K407" t="n">
        <v>0</v>
      </c>
      <c r="L407" t="n">
        <v>0</v>
      </c>
      <c r="M407" t="n">
        <v>0</v>
      </c>
      <c r="N407" t="n">
        <v>0</v>
      </c>
      <c r="O407" t="n">
        <v>0</v>
      </c>
      <c r="P407" t="n">
        <v>0</v>
      </c>
      <c r="Q407" t="n">
        <v>0</v>
      </c>
      <c r="R407" s="2" t="inlineStr"/>
    </row>
    <row r="408" ht="15" customHeight="1">
      <c r="A408" t="inlineStr">
        <is>
          <t>A 10794-2019</t>
        </is>
      </c>
      <c r="B408" s="1" t="n">
        <v>43514</v>
      </c>
      <c r="C408" s="1" t="n">
        <v>45349</v>
      </c>
      <c r="D408" t="inlineStr">
        <is>
          <t>STOCKHOLMS LÄN</t>
        </is>
      </c>
      <c r="E408" t="inlineStr">
        <is>
          <t>NORRTÄLJE</t>
        </is>
      </c>
      <c r="G408" t="n">
        <v>11.3</v>
      </c>
      <c r="H408" t="n">
        <v>0</v>
      </c>
      <c r="I408" t="n">
        <v>0</v>
      </c>
      <c r="J408" t="n">
        <v>0</v>
      </c>
      <c r="K408" t="n">
        <v>0</v>
      </c>
      <c r="L408" t="n">
        <v>0</v>
      </c>
      <c r="M408" t="n">
        <v>0</v>
      </c>
      <c r="N408" t="n">
        <v>0</v>
      </c>
      <c r="O408" t="n">
        <v>0</v>
      </c>
      <c r="P408" t="n">
        <v>0</v>
      </c>
      <c r="Q408" t="n">
        <v>0</v>
      </c>
      <c r="R408" s="2" t="inlineStr"/>
    </row>
    <row r="409" ht="15" customHeight="1">
      <c r="A409" t="inlineStr">
        <is>
          <t>A 10542-2019</t>
        </is>
      </c>
      <c r="B409" s="1" t="n">
        <v>43514</v>
      </c>
      <c r="C409" s="1" t="n">
        <v>45349</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10616-2019</t>
        </is>
      </c>
      <c r="B410" s="1" t="n">
        <v>43514</v>
      </c>
      <c r="C410" s="1" t="n">
        <v>45349</v>
      </c>
      <c r="D410" t="inlineStr">
        <is>
          <t>STOCKHOLMS LÄN</t>
        </is>
      </c>
      <c r="E410" t="inlineStr">
        <is>
          <t>NORRTÄLJE</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10597-2019</t>
        </is>
      </c>
      <c r="B411" s="1" t="n">
        <v>43514</v>
      </c>
      <c r="C411" s="1" t="n">
        <v>45349</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10790-2019</t>
        </is>
      </c>
      <c r="B412" s="1" t="n">
        <v>43514</v>
      </c>
      <c r="C412" s="1" t="n">
        <v>45349</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10904-2019</t>
        </is>
      </c>
      <c r="B413" s="1" t="n">
        <v>43515</v>
      </c>
      <c r="C413" s="1" t="n">
        <v>45349</v>
      </c>
      <c r="D413" t="inlineStr">
        <is>
          <t>STOCKHOLMS LÄN</t>
        </is>
      </c>
      <c r="E413" t="inlineStr">
        <is>
          <t>NORRTÄLJE</t>
        </is>
      </c>
      <c r="G413" t="n">
        <v>5.3</v>
      </c>
      <c r="H413" t="n">
        <v>0</v>
      </c>
      <c r="I413" t="n">
        <v>0</v>
      </c>
      <c r="J413" t="n">
        <v>0</v>
      </c>
      <c r="K413" t="n">
        <v>0</v>
      </c>
      <c r="L413" t="n">
        <v>0</v>
      </c>
      <c r="M413" t="n">
        <v>0</v>
      </c>
      <c r="N413" t="n">
        <v>0</v>
      </c>
      <c r="O413" t="n">
        <v>0</v>
      </c>
      <c r="P413" t="n">
        <v>0</v>
      </c>
      <c r="Q413" t="n">
        <v>0</v>
      </c>
      <c r="R413" s="2" t="inlineStr"/>
    </row>
    <row r="414" ht="15" customHeight="1">
      <c r="A414" t="inlineStr">
        <is>
          <t>A 10960-2019</t>
        </is>
      </c>
      <c r="B414" s="1" t="n">
        <v>43515</v>
      </c>
      <c r="C414" s="1" t="n">
        <v>45349</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11010-2019</t>
        </is>
      </c>
      <c r="B415" s="1" t="n">
        <v>43515</v>
      </c>
      <c r="C415" s="1" t="n">
        <v>45349</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11076-2019</t>
        </is>
      </c>
      <c r="B416" s="1" t="n">
        <v>43515</v>
      </c>
      <c r="C416" s="1" t="n">
        <v>45349</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11031-2019</t>
        </is>
      </c>
      <c r="B417" s="1" t="n">
        <v>43515</v>
      </c>
      <c r="C417" s="1" t="n">
        <v>45349</v>
      </c>
      <c r="D417" t="inlineStr">
        <is>
          <t>STOCKHOLMS LÄN</t>
        </is>
      </c>
      <c r="E417" t="inlineStr">
        <is>
          <t>NORRTÄLJE</t>
        </is>
      </c>
      <c r="F417" t="inlineStr">
        <is>
          <t>Kommuner</t>
        </is>
      </c>
      <c r="G417" t="n">
        <v>0.8</v>
      </c>
      <c r="H417" t="n">
        <v>0</v>
      </c>
      <c r="I417" t="n">
        <v>0</v>
      </c>
      <c r="J417" t="n">
        <v>0</v>
      </c>
      <c r="K417" t="n">
        <v>0</v>
      </c>
      <c r="L417" t="n">
        <v>0</v>
      </c>
      <c r="M417" t="n">
        <v>0</v>
      </c>
      <c r="N417" t="n">
        <v>0</v>
      </c>
      <c r="O417" t="n">
        <v>0</v>
      </c>
      <c r="P417" t="n">
        <v>0</v>
      </c>
      <c r="Q417" t="n">
        <v>0</v>
      </c>
      <c r="R417" s="2" t="inlineStr"/>
    </row>
    <row r="418" ht="15" customHeight="1">
      <c r="A418" t="inlineStr">
        <is>
          <t>A 10987-2019</t>
        </is>
      </c>
      <c r="B418" s="1" t="n">
        <v>43515</v>
      </c>
      <c r="C418" s="1" t="n">
        <v>45349</v>
      </c>
      <c r="D418" t="inlineStr">
        <is>
          <t>STOCKHOLMS LÄN</t>
        </is>
      </c>
      <c r="E418" t="inlineStr">
        <is>
          <t>NORRTÄLJE</t>
        </is>
      </c>
      <c r="G418" t="n">
        <v>33.9</v>
      </c>
      <c r="H418" t="n">
        <v>0</v>
      </c>
      <c r="I418" t="n">
        <v>0</v>
      </c>
      <c r="J418" t="n">
        <v>0</v>
      </c>
      <c r="K418" t="n">
        <v>0</v>
      </c>
      <c r="L418" t="n">
        <v>0</v>
      </c>
      <c r="M418" t="n">
        <v>0</v>
      </c>
      <c r="N418" t="n">
        <v>0</v>
      </c>
      <c r="O418" t="n">
        <v>0</v>
      </c>
      <c r="P418" t="n">
        <v>0</v>
      </c>
      <c r="Q418" t="n">
        <v>0</v>
      </c>
      <c r="R418" s="2" t="inlineStr"/>
    </row>
    <row r="419" ht="15" customHeight="1">
      <c r="A419" t="inlineStr">
        <is>
          <t>A 10934-2019</t>
        </is>
      </c>
      <c r="B419" s="1" t="n">
        <v>43515</v>
      </c>
      <c r="C419" s="1" t="n">
        <v>45349</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11286-2019</t>
        </is>
      </c>
      <c r="B420" s="1" t="n">
        <v>43516</v>
      </c>
      <c r="C420" s="1" t="n">
        <v>45349</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11260-2019</t>
        </is>
      </c>
      <c r="B421" s="1" t="n">
        <v>43516</v>
      </c>
      <c r="C421" s="1" t="n">
        <v>45349</v>
      </c>
      <c r="D421" t="inlineStr">
        <is>
          <t>STOCKHOLMS LÄN</t>
        </is>
      </c>
      <c r="E421" t="inlineStr">
        <is>
          <t>NORRTÄLJE</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11243-2019</t>
        </is>
      </c>
      <c r="B422" s="1" t="n">
        <v>43516</v>
      </c>
      <c r="C422" s="1" t="n">
        <v>45349</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11242-2019</t>
        </is>
      </c>
      <c r="B423" s="1" t="n">
        <v>43516</v>
      </c>
      <c r="C423" s="1" t="n">
        <v>45349</v>
      </c>
      <c r="D423" t="inlineStr">
        <is>
          <t>STOCKHOLMS LÄN</t>
        </is>
      </c>
      <c r="E423" t="inlineStr">
        <is>
          <t>NORRTÄLJE</t>
        </is>
      </c>
      <c r="G423" t="n">
        <v>3.1</v>
      </c>
      <c r="H423" t="n">
        <v>0</v>
      </c>
      <c r="I423" t="n">
        <v>0</v>
      </c>
      <c r="J423" t="n">
        <v>0</v>
      </c>
      <c r="K423" t="n">
        <v>0</v>
      </c>
      <c r="L423" t="n">
        <v>0</v>
      </c>
      <c r="M423" t="n">
        <v>0</v>
      </c>
      <c r="N423" t="n">
        <v>0</v>
      </c>
      <c r="O423" t="n">
        <v>0</v>
      </c>
      <c r="P423" t="n">
        <v>0</v>
      </c>
      <c r="Q423" t="n">
        <v>0</v>
      </c>
      <c r="R423" s="2" t="inlineStr"/>
    </row>
    <row r="424" ht="15" customHeight="1">
      <c r="A424" t="inlineStr">
        <is>
          <t>A 11321-2019</t>
        </is>
      </c>
      <c r="B424" s="1" t="n">
        <v>43517</v>
      </c>
      <c r="C424" s="1" t="n">
        <v>45349</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11356-2019</t>
        </is>
      </c>
      <c r="B425" s="1" t="n">
        <v>43517</v>
      </c>
      <c r="C425" s="1" t="n">
        <v>45349</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11361-2019</t>
        </is>
      </c>
      <c r="B426" s="1" t="n">
        <v>43517</v>
      </c>
      <c r="C426" s="1" t="n">
        <v>45349</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11320-2019</t>
        </is>
      </c>
      <c r="B427" s="1" t="n">
        <v>43517</v>
      </c>
      <c r="C427" s="1" t="n">
        <v>45349</v>
      </c>
      <c r="D427" t="inlineStr">
        <is>
          <t>STOCKHOLMS LÄN</t>
        </is>
      </c>
      <c r="E427" t="inlineStr">
        <is>
          <t>NORRTÄLJE</t>
        </is>
      </c>
      <c r="G427" t="n">
        <v>6.7</v>
      </c>
      <c r="H427" t="n">
        <v>0</v>
      </c>
      <c r="I427" t="n">
        <v>0</v>
      </c>
      <c r="J427" t="n">
        <v>0</v>
      </c>
      <c r="K427" t="n">
        <v>0</v>
      </c>
      <c r="L427" t="n">
        <v>0</v>
      </c>
      <c r="M427" t="n">
        <v>0</v>
      </c>
      <c r="N427" t="n">
        <v>0</v>
      </c>
      <c r="O427" t="n">
        <v>0</v>
      </c>
      <c r="P427" t="n">
        <v>0</v>
      </c>
      <c r="Q427" t="n">
        <v>0</v>
      </c>
      <c r="R427" s="2" t="inlineStr"/>
    </row>
    <row r="428" ht="15" customHeight="1">
      <c r="A428" t="inlineStr">
        <is>
          <t>A 11328-2019</t>
        </is>
      </c>
      <c r="B428" s="1" t="n">
        <v>43517</v>
      </c>
      <c r="C428" s="1" t="n">
        <v>45349</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11465-2019</t>
        </is>
      </c>
      <c r="B429" s="1" t="n">
        <v>43517</v>
      </c>
      <c r="C429" s="1" t="n">
        <v>45349</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11487-2019</t>
        </is>
      </c>
      <c r="B430" s="1" t="n">
        <v>43517</v>
      </c>
      <c r="C430" s="1" t="n">
        <v>45349</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11430-2019</t>
        </is>
      </c>
      <c r="B431" s="1" t="n">
        <v>43517</v>
      </c>
      <c r="C431" s="1" t="n">
        <v>45349</v>
      </c>
      <c r="D431" t="inlineStr">
        <is>
          <t>STOCKHOLMS LÄN</t>
        </is>
      </c>
      <c r="E431" t="inlineStr">
        <is>
          <t>NORRTÄLJE</t>
        </is>
      </c>
      <c r="G431" t="n">
        <v>4.5</v>
      </c>
      <c r="H431" t="n">
        <v>0</v>
      </c>
      <c r="I431" t="n">
        <v>0</v>
      </c>
      <c r="J431" t="n">
        <v>0</v>
      </c>
      <c r="K431" t="n">
        <v>0</v>
      </c>
      <c r="L431" t="n">
        <v>0</v>
      </c>
      <c r="M431" t="n">
        <v>0</v>
      </c>
      <c r="N431" t="n">
        <v>0</v>
      </c>
      <c r="O431" t="n">
        <v>0</v>
      </c>
      <c r="P431" t="n">
        <v>0</v>
      </c>
      <c r="Q431" t="n">
        <v>0</v>
      </c>
      <c r="R431" s="2" t="inlineStr"/>
    </row>
    <row r="432" ht="15" customHeight="1">
      <c r="A432" t="inlineStr">
        <is>
          <t>A 11452-2019</t>
        </is>
      </c>
      <c r="B432" s="1" t="n">
        <v>43517</v>
      </c>
      <c r="C432" s="1" t="n">
        <v>45349</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11997-2019</t>
        </is>
      </c>
      <c r="B433" s="1" t="n">
        <v>43521</v>
      </c>
      <c r="C433" s="1" t="n">
        <v>45349</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11996-2019</t>
        </is>
      </c>
      <c r="B434" s="1" t="n">
        <v>43521</v>
      </c>
      <c r="C434" s="1" t="n">
        <v>45349</v>
      </c>
      <c r="D434" t="inlineStr">
        <is>
          <t>STOCKHOLMS LÄN</t>
        </is>
      </c>
      <c r="E434" t="inlineStr">
        <is>
          <t>NORRTÄLJE</t>
        </is>
      </c>
      <c r="G434" t="n">
        <v>5.7</v>
      </c>
      <c r="H434" t="n">
        <v>0</v>
      </c>
      <c r="I434" t="n">
        <v>0</v>
      </c>
      <c r="J434" t="n">
        <v>0</v>
      </c>
      <c r="K434" t="n">
        <v>0</v>
      </c>
      <c r="L434" t="n">
        <v>0</v>
      </c>
      <c r="M434" t="n">
        <v>0</v>
      </c>
      <c r="N434" t="n">
        <v>0</v>
      </c>
      <c r="O434" t="n">
        <v>0</v>
      </c>
      <c r="P434" t="n">
        <v>0</v>
      </c>
      <c r="Q434" t="n">
        <v>0</v>
      </c>
      <c r="R434" s="2" t="inlineStr"/>
    </row>
    <row r="435" ht="15" customHeight="1">
      <c r="A435" t="inlineStr">
        <is>
          <t>A 11992-2019</t>
        </is>
      </c>
      <c r="B435" s="1" t="n">
        <v>43521</v>
      </c>
      <c r="C435" s="1" t="n">
        <v>45349</v>
      </c>
      <c r="D435" t="inlineStr">
        <is>
          <t>STOCKHOLMS LÄN</t>
        </is>
      </c>
      <c r="E435" t="inlineStr">
        <is>
          <t>NORRTÄLJE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11987-2019</t>
        </is>
      </c>
      <c r="B436" s="1" t="n">
        <v>43521</v>
      </c>
      <c r="C436" s="1" t="n">
        <v>45349</v>
      </c>
      <c r="D436" t="inlineStr">
        <is>
          <t>STOCKHOLMS LÄN</t>
        </is>
      </c>
      <c r="E436" t="inlineStr">
        <is>
          <t>NORRTÄLJE</t>
        </is>
      </c>
      <c r="G436" t="n">
        <v>15.6</v>
      </c>
      <c r="H436" t="n">
        <v>0</v>
      </c>
      <c r="I436" t="n">
        <v>0</v>
      </c>
      <c r="J436" t="n">
        <v>0</v>
      </c>
      <c r="K436" t="n">
        <v>0</v>
      </c>
      <c r="L436" t="n">
        <v>0</v>
      </c>
      <c r="M436" t="n">
        <v>0</v>
      </c>
      <c r="N436" t="n">
        <v>0</v>
      </c>
      <c r="O436" t="n">
        <v>0</v>
      </c>
      <c r="P436" t="n">
        <v>0</v>
      </c>
      <c r="Q436" t="n">
        <v>0</v>
      </c>
      <c r="R436" s="2" t="inlineStr"/>
    </row>
    <row r="437" ht="15" customHeight="1">
      <c r="A437" t="inlineStr">
        <is>
          <t>A 11797-2019</t>
        </is>
      </c>
      <c r="B437" s="1" t="n">
        <v>43521</v>
      </c>
      <c r="C437" s="1" t="n">
        <v>45349</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12061-2019</t>
        </is>
      </c>
      <c r="B438" s="1" t="n">
        <v>43522</v>
      </c>
      <c r="C438" s="1" t="n">
        <v>45349</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12351-2019</t>
        </is>
      </c>
      <c r="B439" s="1" t="n">
        <v>43523</v>
      </c>
      <c r="C439" s="1" t="n">
        <v>45349</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12418-2019</t>
        </is>
      </c>
      <c r="B440" s="1" t="n">
        <v>43523</v>
      </c>
      <c r="C440" s="1" t="n">
        <v>45349</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12668-2019</t>
        </is>
      </c>
      <c r="B441" s="1" t="n">
        <v>43524</v>
      </c>
      <c r="C441" s="1" t="n">
        <v>45349</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12564-2019</t>
        </is>
      </c>
      <c r="B442" s="1" t="n">
        <v>43524</v>
      </c>
      <c r="C442" s="1" t="n">
        <v>45349</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12577-2019</t>
        </is>
      </c>
      <c r="B443" s="1" t="n">
        <v>43524</v>
      </c>
      <c r="C443" s="1" t="n">
        <v>45349</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12580-2019</t>
        </is>
      </c>
      <c r="B444" s="1" t="n">
        <v>43524</v>
      </c>
      <c r="C444" s="1" t="n">
        <v>45349</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12569-2019</t>
        </is>
      </c>
      <c r="B445" s="1" t="n">
        <v>43524</v>
      </c>
      <c r="C445" s="1" t="n">
        <v>45349</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12804-2019</t>
        </is>
      </c>
      <c r="B446" s="1" t="n">
        <v>43525</v>
      </c>
      <c r="C446" s="1" t="n">
        <v>45349</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12817-2019</t>
        </is>
      </c>
      <c r="B447" s="1" t="n">
        <v>43525</v>
      </c>
      <c r="C447" s="1" t="n">
        <v>45349</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12811-2019</t>
        </is>
      </c>
      <c r="B448" s="1" t="n">
        <v>43525</v>
      </c>
      <c r="C448" s="1" t="n">
        <v>45349</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12805-2019</t>
        </is>
      </c>
      <c r="B449" s="1" t="n">
        <v>43525</v>
      </c>
      <c r="C449" s="1" t="n">
        <v>45349</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12839-2019</t>
        </is>
      </c>
      <c r="B450" s="1" t="n">
        <v>43525</v>
      </c>
      <c r="C450" s="1" t="n">
        <v>45349</v>
      </c>
      <c r="D450" t="inlineStr">
        <is>
          <t>STOCKHOLMS LÄN</t>
        </is>
      </c>
      <c r="E450" t="inlineStr">
        <is>
          <t>NORRTÄLJE</t>
        </is>
      </c>
      <c r="G450" t="n">
        <v>3.1</v>
      </c>
      <c r="H450" t="n">
        <v>0</v>
      </c>
      <c r="I450" t="n">
        <v>0</v>
      </c>
      <c r="J450" t="n">
        <v>0</v>
      </c>
      <c r="K450" t="n">
        <v>0</v>
      </c>
      <c r="L450" t="n">
        <v>0</v>
      </c>
      <c r="M450" t="n">
        <v>0</v>
      </c>
      <c r="N450" t="n">
        <v>0</v>
      </c>
      <c r="O450" t="n">
        <v>0</v>
      </c>
      <c r="P450" t="n">
        <v>0</v>
      </c>
      <c r="Q450" t="n">
        <v>0</v>
      </c>
      <c r="R450" s="2" t="inlineStr"/>
    </row>
    <row r="451" ht="15" customHeight="1">
      <c r="A451" t="inlineStr">
        <is>
          <t>A 12919-2019</t>
        </is>
      </c>
      <c r="B451" s="1" t="n">
        <v>43525</v>
      </c>
      <c r="C451" s="1" t="n">
        <v>45349</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12790-2019</t>
        </is>
      </c>
      <c r="B452" s="1" t="n">
        <v>43525</v>
      </c>
      <c r="C452" s="1" t="n">
        <v>45349</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12765-2019</t>
        </is>
      </c>
      <c r="B453" s="1" t="n">
        <v>43525</v>
      </c>
      <c r="C453" s="1" t="n">
        <v>45349</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17037-2019</t>
        </is>
      </c>
      <c r="B454" s="1" t="n">
        <v>43525</v>
      </c>
      <c r="C454" s="1" t="n">
        <v>45349</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12797-2019</t>
        </is>
      </c>
      <c r="B455" s="1" t="n">
        <v>43525</v>
      </c>
      <c r="C455" s="1" t="n">
        <v>45349</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17033-2019</t>
        </is>
      </c>
      <c r="B456" s="1" t="n">
        <v>43525</v>
      </c>
      <c r="C456" s="1" t="n">
        <v>45349</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12964-2019</t>
        </is>
      </c>
      <c r="B457" s="1" t="n">
        <v>43526</v>
      </c>
      <c r="C457" s="1" t="n">
        <v>45349</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12979-2019</t>
        </is>
      </c>
      <c r="B458" s="1" t="n">
        <v>43527</v>
      </c>
      <c r="C458" s="1" t="n">
        <v>45349</v>
      </c>
      <c r="D458" t="inlineStr">
        <is>
          <t>STOCKHOLMS LÄN</t>
        </is>
      </c>
      <c r="E458" t="inlineStr">
        <is>
          <t>NORRTÄLJE</t>
        </is>
      </c>
      <c r="F458" t="inlineStr">
        <is>
          <t>Kommuner</t>
        </is>
      </c>
      <c r="G458" t="n">
        <v>2.3</v>
      </c>
      <c r="H458" t="n">
        <v>0</v>
      </c>
      <c r="I458" t="n">
        <v>0</v>
      </c>
      <c r="J458" t="n">
        <v>0</v>
      </c>
      <c r="K458" t="n">
        <v>0</v>
      </c>
      <c r="L458" t="n">
        <v>0</v>
      </c>
      <c r="M458" t="n">
        <v>0</v>
      </c>
      <c r="N458" t="n">
        <v>0</v>
      </c>
      <c r="O458" t="n">
        <v>0</v>
      </c>
      <c r="P458" t="n">
        <v>0</v>
      </c>
      <c r="Q458" t="n">
        <v>0</v>
      </c>
      <c r="R458" s="2" t="inlineStr"/>
    </row>
    <row r="459" ht="15" customHeight="1">
      <c r="A459" t="inlineStr">
        <is>
          <t>A 13096-2019</t>
        </is>
      </c>
      <c r="B459" s="1" t="n">
        <v>43528</v>
      </c>
      <c r="C459" s="1" t="n">
        <v>45349</v>
      </c>
      <c r="D459" t="inlineStr">
        <is>
          <t>STOCKHOLMS LÄN</t>
        </is>
      </c>
      <c r="E459" t="inlineStr">
        <is>
          <t>NORRTÄLJE</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13210-2019</t>
        </is>
      </c>
      <c r="B460" s="1" t="n">
        <v>43528</v>
      </c>
      <c r="C460" s="1" t="n">
        <v>45349</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13353-2019</t>
        </is>
      </c>
      <c r="B461" s="1" t="n">
        <v>43529</v>
      </c>
      <c r="C461" s="1" t="n">
        <v>45349</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13356-2019</t>
        </is>
      </c>
      <c r="B462" s="1" t="n">
        <v>43529</v>
      </c>
      <c r="C462" s="1" t="n">
        <v>45349</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13354-2019</t>
        </is>
      </c>
      <c r="B463" s="1" t="n">
        <v>43529</v>
      </c>
      <c r="C463" s="1" t="n">
        <v>45349</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13315-2019</t>
        </is>
      </c>
      <c r="B464" s="1" t="n">
        <v>43529</v>
      </c>
      <c r="C464" s="1" t="n">
        <v>45349</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13289-2019</t>
        </is>
      </c>
      <c r="B465" s="1" t="n">
        <v>43529</v>
      </c>
      <c r="C465" s="1" t="n">
        <v>45349</v>
      </c>
      <c r="D465" t="inlineStr">
        <is>
          <t>STOCKHOLMS LÄN</t>
        </is>
      </c>
      <c r="E465" t="inlineStr">
        <is>
          <t>NORRTÄLJE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13566-2019</t>
        </is>
      </c>
      <c r="B466" s="1" t="n">
        <v>43530</v>
      </c>
      <c r="C466" s="1" t="n">
        <v>45349</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13676-2019</t>
        </is>
      </c>
      <c r="B467" s="1" t="n">
        <v>43530</v>
      </c>
      <c r="C467" s="1" t="n">
        <v>45349</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13851-2019</t>
        </is>
      </c>
      <c r="B468" s="1" t="n">
        <v>43531</v>
      </c>
      <c r="C468" s="1" t="n">
        <v>45349</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13940-2019</t>
        </is>
      </c>
      <c r="B469" s="1" t="n">
        <v>43531</v>
      </c>
      <c r="C469" s="1" t="n">
        <v>45349</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13828-2019</t>
        </is>
      </c>
      <c r="B470" s="1" t="n">
        <v>43531</v>
      </c>
      <c r="C470" s="1" t="n">
        <v>45349</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14027-2019</t>
        </is>
      </c>
      <c r="B471" s="1" t="n">
        <v>43532</v>
      </c>
      <c r="C471" s="1" t="n">
        <v>45349</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14049-2019</t>
        </is>
      </c>
      <c r="B472" s="1" t="n">
        <v>43532</v>
      </c>
      <c r="C472" s="1" t="n">
        <v>45349</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14147-2019</t>
        </is>
      </c>
      <c r="B473" s="1" t="n">
        <v>43532</v>
      </c>
      <c r="C473" s="1" t="n">
        <v>45349</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14145-2019</t>
        </is>
      </c>
      <c r="B474" s="1" t="n">
        <v>43532</v>
      </c>
      <c r="C474" s="1" t="n">
        <v>45349</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14146-2019</t>
        </is>
      </c>
      <c r="B475" s="1" t="n">
        <v>43532</v>
      </c>
      <c r="C475" s="1" t="n">
        <v>45349</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14020-2019</t>
        </is>
      </c>
      <c r="B476" s="1" t="n">
        <v>43532</v>
      </c>
      <c r="C476" s="1" t="n">
        <v>45349</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14161-2019</t>
        </is>
      </c>
      <c r="B477" s="1" t="n">
        <v>43533</v>
      </c>
      <c r="C477" s="1" t="n">
        <v>45349</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14294-2019</t>
        </is>
      </c>
      <c r="B478" s="1" t="n">
        <v>43535</v>
      </c>
      <c r="C478" s="1" t="n">
        <v>45349</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14258-2019</t>
        </is>
      </c>
      <c r="B479" s="1" t="n">
        <v>43535</v>
      </c>
      <c r="C479" s="1" t="n">
        <v>45349</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14297-2019</t>
        </is>
      </c>
      <c r="B480" s="1" t="n">
        <v>43535</v>
      </c>
      <c r="C480" s="1" t="n">
        <v>45349</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14330-2019</t>
        </is>
      </c>
      <c r="B481" s="1" t="n">
        <v>43535</v>
      </c>
      <c r="C481" s="1" t="n">
        <v>45349</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14293-2019</t>
        </is>
      </c>
      <c r="B482" s="1" t="n">
        <v>43535</v>
      </c>
      <c r="C482" s="1" t="n">
        <v>45349</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14239-2019</t>
        </is>
      </c>
      <c r="B483" s="1" t="n">
        <v>43536</v>
      </c>
      <c r="C483" s="1" t="n">
        <v>45349</v>
      </c>
      <c r="D483" t="inlineStr">
        <is>
          <t>STOCKHOLMS LÄN</t>
        </is>
      </c>
      <c r="E483" t="inlineStr">
        <is>
          <t>NORRTÄLJE</t>
        </is>
      </c>
      <c r="G483" t="n">
        <v>3.4</v>
      </c>
      <c r="H483" t="n">
        <v>0</v>
      </c>
      <c r="I483" t="n">
        <v>0</v>
      </c>
      <c r="J483" t="n">
        <v>0</v>
      </c>
      <c r="K483" t="n">
        <v>0</v>
      </c>
      <c r="L483" t="n">
        <v>0</v>
      </c>
      <c r="M483" t="n">
        <v>0</v>
      </c>
      <c r="N483" t="n">
        <v>0</v>
      </c>
      <c r="O483" t="n">
        <v>0</v>
      </c>
      <c r="P483" t="n">
        <v>0</v>
      </c>
      <c r="Q483" t="n">
        <v>0</v>
      </c>
      <c r="R483" s="2" t="inlineStr"/>
    </row>
    <row r="484" ht="15" customHeight="1">
      <c r="A484" t="inlineStr">
        <is>
          <t>A 14229-2019</t>
        </is>
      </c>
      <c r="B484" s="1" t="n">
        <v>43536</v>
      </c>
      <c r="C484" s="1" t="n">
        <v>45349</v>
      </c>
      <c r="D484" t="inlineStr">
        <is>
          <t>STOCKHOLMS LÄN</t>
        </is>
      </c>
      <c r="E484" t="inlineStr">
        <is>
          <t>NORRTÄLJE</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14946-2019</t>
        </is>
      </c>
      <c r="B485" s="1" t="n">
        <v>43537</v>
      </c>
      <c r="C485" s="1" t="n">
        <v>45349</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14958-2019</t>
        </is>
      </c>
      <c r="B486" s="1" t="n">
        <v>43538</v>
      </c>
      <c r="C486" s="1" t="n">
        <v>45349</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14840-2019</t>
        </is>
      </c>
      <c r="B487" s="1" t="n">
        <v>43538</v>
      </c>
      <c r="C487" s="1" t="n">
        <v>45349</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15085-2019</t>
        </is>
      </c>
      <c r="B488" s="1" t="n">
        <v>43538</v>
      </c>
      <c r="C488" s="1" t="n">
        <v>45349</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14995-2019</t>
        </is>
      </c>
      <c r="B489" s="1" t="n">
        <v>43538</v>
      </c>
      <c r="C489" s="1" t="n">
        <v>45349</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15017-2019</t>
        </is>
      </c>
      <c r="B490" s="1" t="n">
        <v>43538</v>
      </c>
      <c r="C490" s="1" t="n">
        <v>45349</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14849-2019</t>
        </is>
      </c>
      <c r="B491" s="1" t="n">
        <v>43539</v>
      </c>
      <c r="C491" s="1" t="n">
        <v>45349</v>
      </c>
      <c r="D491" t="inlineStr">
        <is>
          <t>STOCKHOLMS LÄN</t>
        </is>
      </c>
      <c r="E491" t="inlineStr">
        <is>
          <t>NORRTÄLJE</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15237-2019</t>
        </is>
      </c>
      <c r="B492" s="1" t="n">
        <v>43539</v>
      </c>
      <c r="C492" s="1" t="n">
        <v>45349</v>
      </c>
      <c r="D492" t="inlineStr">
        <is>
          <t>STOCKHOLMS LÄN</t>
        </is>
      </c>
      <c r="E492" t="inlineStr">
        <is>
          <t>NORRTÄLJE</t>
        </is>
      </c>
      <c r="G492" t="n">
        <v>3.4</v>
      </c>
      <c r="H492" t="n">
        <v>0</v>
      </c>
      <c r="I492" t="n">
        <v>0</v>
      </c>
      <c r="J492" t="n">
        <v>0</v>
      </c>
      <c r="K492" t="n">
        <v>0</v>
      </c>
      <c r="L492" t="n">
        <v>0</v>
      </c>
      <c r="M492" t="n">
        <v>0</v>
      </c>
      <c r="N492" t="n">
        <v>0</v>
      </c>
      <c r="O492" t="n">
        <v>0</v>
      </c>
      <c r="P492" t="n">
        <v>0</v>
      </c>
      <c r="Q492" t="n">
        <v>0</v>
      </c>
      <c r="R492" s="2" t="inlineStr"/>
    </row>
    <row r="493" ht="15" customHeight="1">
      <c r="A493" t="inlineStr">
        <is>
          <t>A 15453-2019</t>
        </is>
      </c>
      <c r="B493" s="1" t="n">
        <v>43539</v>
      </c>
      <c r="C493" s="1" t="n">
        <v>45349</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15098-2019</t>
        </is>
      </c>
      <c r="B494" s="1" t="n">
        <v>43539</v>
      </c>
      <c r="C494" s="1" t="n">
        <v>45349</v>
      </c>
      <c r="D494" t="inlineStr">
        <is>
          <t>STOCKHOLMS LÄN</t>
        </is>
      </c>
      <c r="E494" t="inlineStr">
        <is>
          <t>NORRTÄLJE</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14804-2019</t>
        </is>
      </c>
      <c r="B495" s="1" t="n">
        <v>43539</v>
      </c>
      <c r="C495" s="1" t="n">
        <v>45349</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15541-2019</t>
        </is>
      </c>
      <c r="B496" s="1" t="n">
        <v>43542</v>
      </c>
      <c r="C496" s="1" t="n">
        <v>45349</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15500-2019</t>
        </is>
      </c>
      <c r="B497" s="1" t="n">
        <v>43542</v>
      </c>
      <c r="C497" s="1" t="n">
        <v>45349</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15727-2019</t>
        </is>
      </c>
      <c r="B498" s="1" t="n">
        <v>43543</v>
      </c>
      <c r="C498" s="1" t="n">
        <v>45349</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15710-2019</t>
        </is>
      </c>
      <c r="B499" s="1" t="n">
        <v>43543</v>
      </c>
      <c r="C499" s="1" t="n">
        <v>45349</v>
      </c>
      <c r="D499" t="inlineStr">
        <is>
          <t>STOCKHOLMS LÄN</t>
        </is>
      </c>
      <c r="E499" t="inlineStr">
        <is>
          <t>NORRTÄLJE</t>
        </is>
      </c>
      <c r="G499" t="n">
        <v>15.8</v>
      </c>
      <c r="H499" t="n">
        <v>0</v>
      </c>
      <c r="I499" t="n">
        <v>0</v>
      </c>
      <c r="J499" t="n">
        <v>0</v>
      </c>
      <c r="K499" t="n">
        <v>0</v>
      </c>
      <c r="L499" t="n">
        <v>0</v>
      </c>
      <c r="M499" t="n">
        <v>0</v>
      </c>
      <c r="N499" t="n">
        <v>0</v>
      </c>
      <c r="O499" t="n">
        <v>0</v>
      </c>
      <c r="P499" t="n">
        <v>0</v>
      </c>
      <c r="Q499" t="n">
        <v>0</v>
      </c>
      <c r="R499" s="2" t="inlineStr"/>
    </row>
    <row r="500" ht="15" customHeight="1">
      <c r="A500" t="inlineStr">
        <is>
          <t>A 15728-2019</t>
        </is>
      </c>
      <c r="B500" s="1" t="n">
        <v>43543</v>
      </c>
      <c r="C500" s="1" t="n">
        <v>45349</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15673-2019</t>
        </is>
      </c>
      <c r="B501" s="1" t="n">
        <v>43543</v>
      </c>
      <c r="C501" s="1" t="n">
        <v>45349</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15736-2019</t>
        </is>
      </c>
      <c r="B502" s="1" t="n">
        <v>43543</v>
      </c>
      <c r="C502" s="1" t="n">
        <v>45349</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15702-2019</t>
        </is>
      </c>
      <c r="B503" s="1" t="n">
        <v>43543</v>
      </c>
      <c r="C503" s="1" t="n">
        <v>45349</v>
      </c>
      <c r="D503" t="inlineStr">
        <is>
          <t>STOCKHOLMS LÄN</t>
        </is>
      </c>
      <c r="E503" t="inlineStr">
        <is>
          <t>NORRTÄLJE</t>
        </is>
      </c>
      <c r="G503" t="n">
        <v>21.3</v>
      </c>
      <c r="H503" t="n">
        <v>0</v>
      </c>
      <c r="I503" t="n">
        <v>0</v>
      </c>
      <c r="J503" t="n">
        <v>0</v>
      </c>
      <c r="K503" t="n">
        <v>0</v>
      </c>
      <c r="L503" t="n">
        <v>0</v>
      </c>
      <c r="M503" t="n">
        <v>0</v>
      </c>
      <c r="N503" t="n">
        <v>0</v>
      </c>
      <c r="O503" t="n">
        <v>0</v>
      </c>
      <c r="P503" t="n">
        <v>0</v>
      </c>
      <c r="Q503" t="n">
        <v>0</v>
      </c>
      <c r="R503" s="2" t="inlineStr"/>
    </row>
    <row r="504" ht="15" customHeight="1">
      <c r="A504" t="inlineStr">
        <is>
          <t>A 16186-2019</t>
        </is>
      </c>
      <c r="B504" s="1" t="n">
        <v>43545</v>
      </c>
      <c r="C504" s="1" t="n">
        <v>45349</v>
      </c>
      <c r="D504" t="inlineStr">
        <is>
          <t>STOCKHOLMS LÄN</t>
        </is>
      </c>
      <c r="E504" t="inlineStr">
        <is>
          <t>NORRTÄLJE</t>
        </is>
      </c>
      <c r="G504" t="n">
        <v>5.7</v>
      </c>
      <c r="H504" t="n">
        <v>0</v>
      </c>
      <c r="I504" t="n">
        <v>0</v>
      </c>
      <c r="J504" t="n">
        <v>0</v>
      </c>
      <c r="K504" t="n">
        <v>0</v>
      </c>
      <c r="L504" t="n">
        <v>0</v>
      </c>
      <c r="M504" t="n">
        <v>0</v>
      </c>
      <c r="N504" t="n">
        <v>0</v>
      </c>
      <c r="O504" t="n">
        <v>0</v>
      </c>
      <c r="P504" t="n">
        <v>0</v>
      </c>
      <c r="Q504" t="n">
        <v>0</v>
      </c>
      <c r="R504" s="2" t="inlineStr"/>
    </row>
    <row r="505" ht="15" customHeight="1">
      <c r="A505" t="inlineStr">
        <is>
          <t>A 16211-2019</t>
        </is>
      </c>
      <c r="B505" s="1" t="n">
        <v>43545</v>
      </c>
      <c r="C505" s="1" t="n">
        <v>45349</v>
      </c>
      <c r="D505" t="inlineStr">
        <is>
          <t>STOCKHOLMS LÄN</t>
        </is>
      </c>
      <c r="E505" t="inlineStr">
        <is>
          <t>NORRTÄLJE</t>
        </is>
      </c>
      <c r="G505" t="n">
        <v>14.2</v>
      </c>
      <c r="H505" t="n">
        <v>0</v>
      </c>
      <c r="I505" t="n">
        <v>0</v>
      </c>
      <c r="J505" t="n">
        <v>0</v>
      </c>
      <c r="K505" t="n">
        <v>0</v>
      </c>
      <c r="L505" t="n">
        <v>0</v>
      </c>
      <c r="M505" t="n">
        <v>0</v>
      </c>
      <c r="N505" t="n">
        <v>0</v>
      </c>
      <c r="O505" t="n">
        <v>0</v>
      </c>
      <c r="P505" t="n">
        <v>0</v>
      </c>
      <c r="Q505" t="n">
        <v>0</v>
      </c>
      <c r="R505" s="2" t="inlineStr"/>
    </row>
    <row r="506" ht="15" customHeight="1">
      <c r="A506" t="inlineStr">
        <is>
          <t>A 16318-2019</t>
        </is>
      </c>
      <c r="B506" s="1" t="n">
        <v>43545</v>
      </c>
      <c r="C506" s="1" t="n">
        <v>45349</v>
      </c>
      <c r="D506" t="inlineStr">
        <is>
          <t>STOCKHOLMS LÄN</t>
        </is>
      </c>
      <c r="E506" t="inlineStr">
        <is>
          <t>NORRTÄLJE</t>
        </is>
      </c>
      <c r="F506" t="inlineStr">
        <is>
          <t>Kyrkan</t>
        </is>
      </c>
      <c r="G506" t="n">
        <v>0.5</v>
      </c>
      <c r="H506" t="n">
        <v>0</v>
      </c>
      <c r="I506" t="n">
        <v>0</v>
      </c>
      <c r="J506" t="n">
        <v>0</v>
      </c>
      <c r="K506" t="n">
        <v>0</v>
      </c>
      <c r="L506" t="n">
        <v>0</v>
      </c>
      <c r="M506" t="n">
        <v>0</v>
      </c>
      <c r="N506" t="n">
        <v>0</v>
      </c>
      <c r="O506" t="n">
        <v>0</v>
      </c>
      <c r="P506" t="n">
        <v>0</v>
      </c>
      <c r="Q506" t="n">
        <v>0</v>
      </c>
      <c r="R506" s="2" t="inlineStr"/>
    </row>
    <row r="507" ht="15" customHeight="1">
      <c r="A507" t="inlineStr">
        <is>
          <t>A 16258-2019</t>
        </is>
      </c>
      <c r="B507" s="1" t="n">
        <v>43545</v>
      </c>
      <c r="C507" s="1" t="n">
        <v>45349</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16533-2019</t>
        </is>
      </c>
      <c r="B508" s="1" t="n">
        <v>43546</v>
      </c>
      <c r="C508" s="1" t="n">
        <v>45349</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16575-2019</t>
        </is>
      </c>
      <c r="B509" s="1" t="n">
        <v>43547</v>
      </c>
      <c r="C509" s="1" t="n">
        <v>45349</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16584-2019</t>
        </is>
      </c>
      <c r="B510" s="1" t="n">
        <v>43548</v>
      </c>
      <c r="C510" s="1" t="n">
        <v>45349</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16581-2019</t>
        </is>
      </c>
      <c r="B511" s="1" t="n">
        <v>43548</v>
      </c>
      <c r="C511" s="1" t="n">
        <v>45349</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16579-2019</t>
        </is>
      </c>
      <c r="B512" s="1" t="n">
        <v>43548</v>
      </c>
      <c r="C512" s="1" t="n">
        <v>45349</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16881-2019</t>
        </is>
      </c>
      <c r="B513" s="1" t="n">
        <v>43550</v>
      </c>
      <c r="C513" s="1" t="n">
        <v>45349</v>
      </c>
      <c r="D513" t="inlineStr">
        <is>
          <t>STOCKHOLMS LÄN</t>
        </is>
      </c>
      <c r="E513" t="inlineStr">
        <is>
          <t>NORRTÄLJE</t>
        </is>
      </c>
      <c r="F513" t="inlineStr">
        <is>
          <t>Övriga Aktiebolag</t>
        </is>
      </c>
      <c r="G513" t="n">
        <v>6.3</v>
      </c>
      <c r="H513" t="n">
        <v>0</v>
      </c>
      <c r="I513" t="n">
        <v>0</v>
      </c>
      <c r="J513" t="n">
        <v>0</v>
      </c>
      <c r="K513" t="n">
        <v>0</v>
      </c>
      <c r="L513" t="n">
        <v>0</v>
      </c>
      <c r="M513" t="n">
        <v>0</v>
      </c>
      <c r="N513" t="n">
        <v>0</v>
      </c>
      <c r="O513" t="n">
        <v>0</v>
      </c>
      <c r="P513" t="n">
        <v>0</v>
      </c>
      <c r="Q513" t="n">
        <v>0</v>
      </c>
      <c r="R513" s="2" t="inlineStr"/>
    </row>
    <row r="514" ht="15" customHeight="1">
      <c r="A514" t="inlineStr">
        <is>
          <t>A 17233-2019</t>
        </is>
      </c>
      <c r="B514" s="1" t="n">
        <v>43550</v>
      </c>
      <c r="C514" s="1" t="n">
        <v>45349</v>
      </c>
      <c r="D514" t="inlineStr">
        <is>
          <t>STOCKHOLMS LÄN</t>
        </is>
      </c>
      <c r="E514" t="inlineStr">
        <is>
          <t>NORRTÄLJE</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16984-2019</t>
        </is>
      </c>
      <c r="B515" s="1" t="n">
        <v>43550</v>
      </c>
      <c r="C515" s="1" t="n">
        <v>45349</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16918-2019</t>
        </is>
      </c>
      <c r="B516" s="1" t="n">
        <v>43550</v>
      </c>
      <c r="C516" s="1" t="n">
        <v>45349</v>
      </c>
      <c r="D516" t="inlineStr">
        <is>
          <t>STOCKHOLMS LÄN</t>
        </is>
      </c>
      <c r="E516" t="inlineStr">
        <is>
          <t>NORRTÄLJE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17060-2019</t>
        </is>
      </c>
      <c r="B517" s="1" t="n">
        <v>43551</v>
      </c>
      <c r="C517" s="1" t="n">
        <v>45349</v>
      </c>
      <c r="D517" t="inlineStr">
        <is>
          <t>STOCKHOLMS LÄN</t>
        </is>
      </c>
      <c r="E517" t="inlineStr">
        <is>
          <t>NORRTÄLJE</t>
        </is>
      </c>
      <c r="F517" t="inlineStr">
        <is>
          <t>Kommuner</t>
        </is>
      </c>
      <c r="G517" t="n">
        <v>1.5</v>
      </c>
      <c r="H517" t="n">
        <v>0</v>
      </c>
      <c r="I517" t="n">
        <v>0</v>
      </c>
      <c r="J517" t="n">
        <v>0</v>
      </c>
      <c r="K517" t="n">
        <v>0</v>
      </c>
      <c r="L517" t="n">
        <v>0</v>
      </c>
      <c r="M517" t="n">
        <v>0</v>
      </c>
      <c r="N517" t="n">
        <v>0</v>
      </c>
      <c r="O517" t="n">
        <v>0</v>
      </c>
      <c r="P517" t="n">
        <v>0</v>
      </c>
      <c r="Q517" t="n">
        <v>0</v>
      </c>
      <c r="R517" s="2" t="inlineStr"/>
    </row>
    <row r="518" ht="15" customHeight="1">
      <c r="A518" t="inlineStr">
        <is>
          <t>A 17149-2019</t>
        </is>
      </c>
      <c r="B518" s="1" t="n">
        <v>43551</v>
      </c>
      <c r="C518" s="1" t="n">
        <v>45349</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17061-2019</t>
        </is>
      </c>
      <c r="B519" s="1" t="n">
        <v>43551</v>
      </c>
      <c r="C519" s="1" t="n">
        <v>45349</v>
      </c>
      <c r="D519" t="inlineStr">
        <is>
          <t>STOCKHOLMS LÄN</t>
        </is>
      </c>
      <c r="E519" t="inlineStr">
        <is>
          <t>NORRTÄLJE</t>
        </is>
      </c>
      <c r="F519" t="inlineStr">
        <is>
          <t>Kommuner</t>
        </is>
      </c>
      <c r="G519" t="n">
        <v>3.7</v>
      </c>
      <c r="H519" t="n">
        <v>0</v>
      </c>
      <c r="I519" t="n">
        <v>0</v>
      </c>
      <c r="J519" t="n">
        <v>0</v>
      </c>
      <c r="K519" t="n">
        <v>0</v>
      </c>
      <c r="L519" t="n">
        <v>0</v>
      </c>
      <c r="M519" t="n">
        <v>0</v>
      </c>
      <c r="N519" t="n">
        <v>0</v>
      </c>
      <c r="O519" t="n">
        <v>0</v>
      </c>
      <c r="P519" t="n">
        <v>0</v>
      </c>
      <c r="Q519" t="n">
        <v>0</v>
      </c>
      <c r="R519" s="2" t="inlineStr"/>
    </row>
    <row r="520" ht="15" customHeight="1">
      <c r="A520" t="inlineStr">
        <is>
          <t>A 17350-2019</t>
        </is>
      </c>
      <c r="B520" s="1" t="n">
        <v>43552</v>
      </c>
      <c r="C520" s="1" t="n">
        <v>45349</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17240-2019</t>
        </is>
      </c>
      <c r="B521" s="1" t="n">
        <v>43552</v>
      </c>
      <c r="C521" s="1" t="n">
        <v>45349</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17272-2019</t>
        </is>
      </c>
      <c r="B522" s="1" t="n">
        <v>43552</v>
      </c>
      <c r="C522" s="1" t="n">
        <v>45349</v>
      </c>
      <c r="D522" t="inlineStr">
        <is>
          <t>STOCKHOLMS LÄN</t>
        </is>
      </c>
      <c r="E522" t="inlineStr">
        <is>
          <t>NORRTÄLJE</t>
        </is>
      </c>
      <c r="G522" t="n">
        <v>5.8</v>
      </c>
      <c r="H522" t="n">
        <v>0</v>
      </c>
      <c r="I522" t="n">
        <v>0</v>
      </c>
      <c r="J522" t="n">
        <v>0</v>
      </c>
      <c r="K522" t="n">
        <v>0</v>
      </c>
      <c r="L522" t="n">
        <v>0</v>
      </c>
      <c r="M522" t="n">
        <v>0</v>
      </c>
      <c r="N522" t="n">
        <v>0</v>
      </c>
      <c r="O522" t="n">
        <v>0</v>
      </c>
      <c r="P522" t="n">
        <v>0</v>
      </c>
      <c r="Q522" t="n">
        <v>0</v>
      </c>
      <c r="R522" s="2" t="inlineStr"/>
    </row>
    <row r="523" ht="15" customHeight="1">
      <c r="A523" t="inlineStr">
        <is>
          <t>A 17378-2019</t>
        </is>
      </c>
      <c r="B523" s="1" t="n">
        <v>43552</v>
      </c>
      <c r="C523" s="1" t="n">
        <v>45349</v>
      </c>
      <c r="D523" t="inlineStr">
        <is>
          <t>STOCKHOLMS LÄN</t>
        </is>
      </c>
      <c r="E523" t="inlineStr">
        <is>
          <t>NORRTÄLJE</t>
        </is>
      </c>
      <c r="G523" t="n">
        <v>8.1</v>
      </c>
      <c r="H523" t="n">
        <v>0</v>
      </c>
      <c r="I523" t="n">
        <v>0</v>
      </c>
      <c r="J523" t="n">
        <v>0</v>
      </c>
      <c r="K523" t="n">
        <v>0</v>
      </c>
      <c r="L523" t="n">
        <v>0</v>
      </c>
      <c r="M523" t="n">
        <v>0</v>
      </c>
      <c r="N523" t="n">
        <v>0</v>
      </c>
      <c r="O523" t="n">
        <v>0</v>
      </c>
      <c r="P523" t="n">
        <v>0</v>
      </c>
      <c r="Q523" t="n">
        <v>0</v>
      </c>
      <c r="R523" s="2" t="inlineStr"/>
    </row>
    <row r="524" ht="15" customHeight="1">
      <c r="A524" t="inlineStr">
        <is>
          <t>A 17297-2019</t>
        </is>
      </c>
      <c r="B524" s="1" t="n">
        <v>43552</v>
      </c>
      <c r="C524" s="1" t="n">
        <v>45349</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17389-2019</t>
        </is>
      </c>
      <c r="B525" s="1" t="n">
        <v>43552</v>
      </c>
      <c r="C525" s="1" t="n">
        <v>45349</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17292-2019</t>
        </is>
      </c>
      <c r="B526" s="1" t="n">
        <v>43552</v>
      </c>
      <c r="C526" s="1" t="n">
        <v>45349</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17390-2019</t>
        </is>
      </c>
      <c r="B527" s="1" t="n">
        <v>43552</v>
      </c>
      <c r="C527" s="1" t="n">
        <v>45349</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17582-2019</t>
        </is>
      </c>
      <c r="B528" s="1" t="n">
        <v>43553</v>
      </c>
      <c r="C528" s="1" t="n">
        <v>45349</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17552-2019</t>
        </is>
      </c>
      <c r="B529" s="1" t="n">
        <v>43553</v>
      </c>
      <c r="C529" s="1" t="n">
        <v>45349</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17752-2019</t>
        </is>
      </c>
      <c r="B530" s="1" t="n">
        <v>43556</v>
      </c>
      <c r="C530" s="1" t="n">
        <v>45349</v>
      </c>
      <c r="D530" t="inlineStr">
        <is>
          <t>STOCKHOLMS LÄN</t>
        </is>
      </c>
      <c r="E530" t="inlineStr">
        <is>
          <t>NORRTÄLJE</t>
        </is>
      </c>
      <c r="G530" t="n">
        <v>3</v>
      </c>
      <c r="H530" t="n">
        <v>0</v>
      </c>
      <c r="I530" t="n">
        <v>0</v>
      </c>
      <c r="J530" t="n">
        <v>0</v>
      </c>
      <c r="K530" t="n">
        <v>0</v>
      </c>
      <c r="L530" t="n">
        <v>0</v>
      </c>
      <c r="M530" t="n">
        <v>0</v>
      </c>
      <c r="N530" t="n">
        <v>0</v>
      </c>
      <c r="O530" t="n">
        <v>0</v>
      </c>
      <c r="P530" t="n">
        <v>0</v>
      </c>
      <c r="Q530" t="n">
        <v>0</v>
      </c>
      <c r="R530" s="2" t="inlineStr"/>
    </row>
    <row r="531" ht="15" customHeight="1">
      <c r="A531" t="inlineStr">
        <is>
          <t>A 17795-2019</t>
        </is>
      </c>
      <c r="B531" s="1" t="n">
        <v>43556</v>
      </c>
      <c r="C531" s="1" t="n">
        <v>45349</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17757-2019</t>
        </is>
      </c>
      <c r="B532" s="1" t="n">
        <v>43556</v>
      </c>
      <c r="C532" s="1" t="n">
        <v>45349</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17963-2019</t>
        </is>
      </c>
      <c r="B533" s="1" t="n">
        <v>43557</v>
      </c>
      <c r="C533" s="1" t="n">
        <v>45349</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18378-2019</t>
        </is>
      </c>
      <c r="B534" s="1" t="n">
        <v>43559</v>
      </c>
      <c r="C534" s="1" t="n">
        <v>45349</v>
      </c>
      <c r="D534" t="inlineStr">
        <is>
          <t>STOCKHOLMS LÄN</t>
        </is>
      </c>
      <c r="E534" t="inlineStr">
        <is>
          <t>NORRTÄLJE</t>
        </is>
      </c>
      <c r="G534" t="n">
        <v>5.8</v>
      </c>
      <c r="H534" t="n">
        <v>0</v>
      </c>
      <c r="I534" t="n">
        <v>0</v>
      </c>
      <c r="J534" t="n">
        <v>0</v>
      </c>
      <c r="K534" t="n">
        <v>0</v>
      </c>
      <c r="L534" t="n">
        <v>0</v>
      </c>
      <c r="M534" t="n">
        <v>0</v>
      </c>
      <c r="N534" t="n">
        <v>0</v>
      </c>
      <c r="O534" t="n">
        <v>0</v>
      </c>
      <c r="P534" t="n">
        <v>0</v>
      </c>
      <c r="Q534" t="n">
        <v>0</v>
      </c>
      <c r="R534" s="2" t="inlineStr"/>
    </row>
    <row r="535" ht="15" customHeight="1">
      <c r="A535" t="inlineStr">
        <is>
          <t>A 18664-2019</t>
        </is>
      </c>
      <c r="B535" s="1" t="n">
        <v>43560</v>
      </c>
      <c r="C535" s="1" t="n">
        <v>45349</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18767-2019</t>
        </is>
      </c>
      <c r="B536" s="1" t="n">
        <v>43560</v>
      </c>
      <c r="C536" s="1" t="n">
        <v>45349</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18820-2019</t>
        </is>
      </c>
      <c r="B537" s="1" t="n">
        <v>43563</v>
      </c>
      <c r="C537" s="1" t="n">
        <v>45349</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18890-2019</t>
        </is>
      </c>
      <c r="B538" s="1" t="n">
        <v>43563</v>
      </c>
      <c r="C538" s="1" t="n">
        <v>45349</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18909-2019</t>
        </is>
      </c>
      <c r="B539" s="1" t="n">
        <v>43563</v>
      </c>
      <c r="C539" s="1" t="n">
        <v>45349</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19026-2019</t>
        </is>
      </c>
      <c r="B540" s="1" t="n">
        <v>43563</v>
      </c>
      <c r="C540" s="1" t="n">
        <v>45349</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19014-2019</t>
        </is>
      </c>
      <c r="B541" s="1" t="n">
        <v>43563</v>
      </c>
      <c r="C541" s="1" t="n">
        <v>45349</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19247-2019</t>
        </is>
      </c>
      <c r="B542" s="1" t="n">
        <v>43564</v>
      </c>
      <c r="C542" s="1" t="n">
        <v>45349</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19255-2019</t>
        </is>
      </c>
      <c r="B543" s="1" t="n">
        <v>43564</v>
      </c>
      <c r="C543" s="1" t="n">
        <v>45349</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19302-2019</t>
        </is>
      </c>
      <c r="B544" s="1" t="n">
        <v>43565</v>
      </c>
      <c r="C544" s="1" t="n">
        <v>45349</v>
      </c>
      <c r="D544" t="inlineStr">
        <is>
          <t>STOCKHOLMS LÄN</t>
        </is>
      </c>
      <c r="E544" t="inlineStr">
        <is>
          <t>NORRTÄLJE</t>
        </is>
      </c>
      <c r="F544" t="inlineStr">
        <is>
          <t>Kommuner</t>
        </is>
      </c>
      <c r="G544" t="n">
        <v>4.2</v>
      </c>
      <c r="H544" t="n">
        <v>0</v>
      </c>
      <c r="I544" t="n">
        <v>0</v>
      </c>
      <c r="J544" t="n">
        <v>0</v>
      </c>
      <c r="K544" t="n">
        <v>0</v>
      </c>
      <c r="L544" t="n">
        <v>0</v>
      </c>
      <c r="M544" t="n">
        <v>0</v>
      </c>
      <c r="N544" t="n">
        <v>0</v>
      </c>
      <c r="O544" t="n">
        <v>0</v>
      </c>
      <c r="P544" t="n">
        <v>0</v>
      </c>
      <c r="Q544" t="n">
        <v>0</v>
      </c>
      <c r="R544" s="2" t="inlineStr"/>
    </row>
    <row r="545" ht="15" customHeight="1">
      <c r="A545" t="inlineStr">
        <is>
          <t>A 19301-2019</t>
        </is>
      </c>
      <c r="B545" s="1" t="n">
        <v>43565</v>
      </c>
      <c r="C545" s="1" t="n">
        <v>45349</v>
      </c>
      <c r="D545" t="inlineStr">
        <is>
          <t>STOCKHOLMS LÄN</t>
        </is>
      </c>
      <c r="E545" t="inlineStr">
        <is>
          <t>NORRTÄLJE</t>
        </is>
      </c>
      <c r="F545" t="inlineStr">
        <is>
          <t>Kommuner</t>
        </is>
      </c>
      <c r="G545" t="n">
        <v>3.9</v>
      </c>
      <c r="H545" t="n">
        <v>0</v>
      </c>
      <c r="I545" t="n">
        <v>0</v>
      </c>
      <c r="J545" t="n">
        <v>0</v>
      </c>
      <c r="K545" t="n">
        <v>0</v>
      </c>
      <c r="L545" t="n">
        <v>0</v>
      </c>
      <c r="M545" t="n">
        <v>0</v>
      </c>
      <c r="N545" t="n">
        <v>0</v>
      </c>
      <c r="O545" t="n">
        <v>0</v>
      </c>
      <c r="P545" t="n">
        <v>0</v>
      </c>
      <c r="Q545" t="n">
        <v>0</v>
      </c>
      <c r="R545" s="2" t="inlineStr"/>
    </row>
    <row r="546" ht="15" customHeight="1">
      <c r="A546" t="inlineStr">
        <is>
          <t>A 19297-2019</t>
        </is>
      </c>
      <c r="B546" s="1" t="n">
        <v>43565</v>
      </c>
      <c r="C546" s="1" t="n">
        <v>45349</v>
      </c>
      <c r="D546" t="inlineStr">
        <is>
          <t>STOCKHOLMS LÄN</t>
        </is>
      </c>
      <c r="E546" t="inlineStr">
        <is>
          <t>NORRTÄLJE</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19537-2019</t>
        </is>
      </c>
      <c r="B547" s="1" t="n">
        <v>43565</v>
      </c>
      <c r="C547" s="1" t="n">
        <v>45349</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19539-2019</t>
        </is>
      </c>
      <c r="B548" s="1" t="n">
        <v>43565</v>
      </c>
      <c r="C548" s="1" t="n">
        <v>45349</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19540-2019</t>
        </is>
      </c>
      <c r="B549" s="1" t="n">
        <v>43565</v>
      </c>
      <c r="C549" s="1" t="n">
        <v>45349</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19638-2019</t>
        </is>
      </c>
      <c r="B550" s="1" t="n">
        <v>43566</v>
      </c>
      <c r="C550" s="1" t="n">
        <v>45349</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19593-2019</t>
        </is>
      </c>
      <c r="B551" s="1" t="n">
        <v>43566</v>
      </c>
      <c r="C551" s="1" t="n">
        <v>45349</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19872-2019</t>
        </is>
      </c>
      <c r="B552" s="1" t="n">
        <v>43567</v>
      </c>
      <c r="C552" s="1" t="n">
        <v>45349</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19811-2019</t>
        </is>
      </c>
      <c r="B553" s="1" t="n">
        <v>43567</v>
      </c>
      <c r="C553" s="1" t="n">
        <v>45349</v>
      </c>
      <c r="D553" t="inlineStr">
        <is>
          <t>STOCKHOLMS LÄN</t>
        </is>
      </c>
      <c r="E553" t="inlineStr">
        <is>
          <t>NORRTÄLJE</t>
        </is>
      </c>
      <c r="F553" t="inlineStr">
        <is>
          <t>Kommuner</t>
        </is>
      </c>
      <c r="G553" t="n">
        <v>1.6</v>
      </c>
      <c r="H553" t="n">
        <v>0</v>
      </c>
      <c r="I553" t="n">
        <v>0</v>
      </c>
      <c r="J553" t="n">
        <v>0</v>
      </c>
      <c r="K553" t="n">
        <v>0</v>
      </c>
      <c r="L553" t="n">
        <v>0</v>
      </c>
      <c r="M553" t="n">
        <v>0</v>
      </c>
      <c r="N553" t="n">
        <v>0</v>
      </c>
      <c r="O553" t="n">
        <v>0</v>
      </c>
      <c r="P553" t="n">
        <v>0</v>
      </c>
      <c r="Q553" t="n">
        <v>0</v>
      </c>
      <c r="R553" s="2" t="inlineStr"/>
    </row>
    <row r="554" ht="15" customHeight="1">
      <c r="A554" t="inlineStr">
        <is>
          <t>A 19812-2019</t>
        </is>
      </c>
      <c r="B554" s="1" t="n">
        <v>43567</v>
      </c>
      <c r="C554" s="1" t="n">
        <v>45349</v>
      </c>
      <c r="D554" t="inlineStr">
        <is>
          <t>STOCKHOLMS LÄN</t>
        </is>
      </c>
      <c r="E554" t="inlineStr">
        <is>
          <t>NORRTÄLJE</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19931-2019</t>
        </is>
      </c>
      <c r="B555" s="1" t="n">
        <v>43568</v>
      </c>
      <c r="C555" s="1" t="n">
        <v>45349</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20033-2019</t>
        </is>
      </c>
      <c r="B556" s="1" t="n">
        <v>43570</v>
      </c>
      <c r="C556" s="1" t="n">
        <v>45349</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20020-2019</t>
        </is>
      </c>
      <c r="B557" s="1" t="n">
        <v>43570</v>
      </c>
      <c r="C557" s="1" t="n">
        <v>45349</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20051-2019</t>
        </is>
      </c>
      <c r="B558" s="1" t="n">
        <v>43570</v>
      </c>
      <c r="C558" s="1" t="n">
        <v>45349</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20137-2019</t>
        </is>
      </c>
      <c r="B559" s="1" t="n">
        <v>43570</v>
      </c>
      <c r="C559" s="1" t="n">
        <v>45349</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20007-2019</t>
        </is>
      </c>
      <c r="B560" s="1" t="n">
        <v>43570</v>
      </c>
      <c r="C560" s="1" t="n">
        <v>45349</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20052-2019</t>
        </is>
      </c>
      <c r="B561" s="1" t="n">
        <v>43570</v>
      </c>
      <c r="C561" s="1" t="n">
        <v>45349</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20159-2019</t>
        </is>
      </c>
      <c r="B562" s="1" t="n">
        <v>43570</v>
      </c>
      <c r="C562" s="1" t="n">
        <v>45349</v>
      </c>
      <c r="D562" t="inlineStr">
        <is>
          <t>STOCKHOLMS LÄN</t>
        </is>
      </c>
      <c r="E562" t="inlineStr">
        <is>
          <t>NORRTÄLJE</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20181-2019</t>
        </is>
      </c>
      <c r="B563" s="1" t="n">
        <v>43570</v>
      </c>
      <c r="C563" s="1" t="n">
        <v>45349</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20184-2019</t>
        </is>
      </c>
      <c r="B564" s="1" t="n">
        <v>43570</v>
      </c>
      <c r="C564" s="1" t="n">
        <v>45349</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20193-2019</t>
        </is>
      </c>
      <c r="B565" s="1" t="n">
        <v>43570</v>
      </c>
      <c r="C565" s="1" t="n">
        <v>45349</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20090-2019</t>
        </is>
      </c>
      <c r="B566" s="1" t="n">
        <v>43570</v>
      </c>
      <c r="C566" s="1" t="n">
        <v>45349</v>
      </c>
      <c r="D566" t="inlineStr">
        <is>
          <t>STOCKHOLMS LÄN</t>
        </is>
      </c>
      <c r="E566" t="inlineStr">
        <is>
          <t>NORRTÄLJE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20165-2019</t>
        </is>
      </c>
      <c r="B567" s="1" t="n">
        <v>43570</v>
      </c>
      <c r="C567" s="1" t="n">
        <v>45349</v>
      </c>
      <c r="D567" t="inlineStr">
        <is>
          <t>STOCKHOLMS LÄN</t>
        </is>
      </c>
      <c r="E567" t="inlineStr">
        <is>
          <t>NORRTÄLJE</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20023-2019</t>
        </is>
      </c>
      <c r="B568" s="1" t="n">
        <v>43570</v>
      </c>
      <c r="C568" s="1" t="n">
        <v>45349</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20531-2019</t>
        </is>
      </c>
      <c r="B569" s="1" t="n">
        <v>43572</v>
      </c>
      <c r="C569" s="1" t="n">
        <v>45349</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20743-2019</t>
        </is>
      </c>
      <c r="B570" s="1" t="n">
        <v>43573</v>
      </c>
      <c r="C570" s="1" t="n">
        <v>45349</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20809-2019</t>
        </is>
      </c>
      <c r="B571" s="1" t="n">
        <v>43573</v>
      </c>
      <c r="C571" s="1" t="n">
        <v>45349</v>
      </c>
      <c r="D571" t="inlineStr">
        <is>
          <t>STOCKHOLMS LÄN</t>
        </is>
      </c>
      <c r="E571" t="inlineStr">
        <is>
          <t>NORRTÄLJE</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20925-2019</t>
        </is>
      </c>
      <c r="B572" s="1" t="n">
        <v>43578</v>
      </c>
      <c r="C572" s="1" t="n">
        <v>45349</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21062-2019</t>
        </is>
      </c>
      <c r="B573" s="1" t="n">
        <v>43578</v>
      </c>
      <c r="C573" s="1" t="n">
        <v>45349</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21441-2019</t>
        </is>
      </c>
      <c r="B574" s="1" t="n">
        <v>43580</v>
      </c>
      <c r="C574" s="1" t="n">
        <v>45349</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21521-2019</t>
        </is>
      </c>
      <c r="B575" s="1" t="n">
        <v>43580</v>
      </c>
      <c r="C575" s="1" t="n">
        <v>45349</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21508-2019</t>
        </is>
      </c>
      <c r="B576" s="1" t="n">
        <v>43580</v>
      </c>
      <c r="C576" s="1" t="n">
        <v>45349</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21457-2019</t>
        </is>
      </c>
      <c r="B577" s="1" t="n">
        <v>43580</v>
      </c>
      <c r="C577" s="1" t="n">
        <v>45349</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21501-2019</t>
        </is>
      </c>
      <c r="B578" s="1" t="n">
        <v>43580</v>
      </c>
      <c r="C578" s="1" t="n">
        <v>45349</v>
      </c>
      <c r="D578" t="inlineStr">
        <is>
          <t>STOCKHOLMS LÄN</t>
        </is>
      </c>
      <c r="E578" t="inlineStr">
        <is>
          <t>NORRTÄLJE</t>
        </is>
      </c>
      <c r="G578" t="n">
        <v>3.6</v>
      </c>
      <c r="H578" t="n">
        <v>0</v>
      </c>
      <c r="I578" t="n">
        <v>0</v>
      </c>
      <c r="J578" t="n">
        <v>0</v>
      </c>
      <c r="K578" t="n">
        <v>0</v>
      </c>
      <c r="L578" t="n">
        <v>0</v>
      </c>
      <c r="M578" t="n">
        <v>0</v>
      </c>
      <c r="N578" t="n">
        <v>0</v>
      </c>
      <c r="O578" t="n">
        <v>0</v>
      </c>
      <c r="P578" t="n">
        <v>0</v>
      </c>
      <c r="Q578" t="n">
        <v>0</v>
      </c>
      <c r="R578" s="2" t="inlineStr"/>
    </row>
    <row r="579" ht="15" customHeight="1">
      <c r="A579" t="inlineStr">
        <is>
          <t>A 21616-2019</t>
        </is>
      </c>
      <c r="B579" s="1" t="n">
        <v>43581</v>
      </c>
      <c r="C579" s="1" t="n">
        <v>45349</v>
      </c>
      <c r="D579" t="inlineStr">
        <is>
          <t>STOCKHOLMS LÄN</t>
        </is>
      </c>
      <c r="E579" t="inlineStr">
        <is>
          <t>NORRTÄLJE</t>
        </is>
      </c>
      <c r="G579" t="n">
        <v>5.3</v>
      </c>
      <c r="H579" t="n">
        <v>0</v>
      </c>
      <c r="I579" t="n">
        <v>0</v>
      </c>
      <c r="J579" t="n">
        <v>0</v>
      </c>
      <c r="K579" t="n">
        <v>0</v>
      </c>
      <c r="L579" t="n">
        <v>0</v>
      </c>
      <c r="M579" t="n">
        <v>0</v>
      </c>
      <c r="N579" t="n">
        <v>0</v>
      </c>
      <c r="O579" t="n">
        <v>0</v>
      </c>
      <c r="P579" t="n">
        <v>0</v>
      </c>
      <c r="Q579" t="n">
        <v>0</v>
      </c>
      <c r="R579" s="2" t="inlineStr"/>
    </row>
    <row r="580" ht="15" customHeight="1">
      <c r="A580" t="inlineStr">
        <is>
          <t>A 21662-2019</t>
        </is>
      </c>
      <c r="B580" s="1" t="n">
        <v>43581</v>
      </c>
      <c r="C580" s="1" t="n">
        <v>45349</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21720-2019</t>
        </is>
      </c>
      <c r="B581" s="1" t="n">
        <v>43581</v>
      </c>
      <c r="C581" s="1" t="n">
        <v>45349</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21692-2019</t>
        </is>
      </c>
      <c r="B582" s="1" t="n">
        <v>43581</v>
      </c>
      <c r="C582" s="1" t="n">
        <v>45349</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21811-2019</t>
        </is>
      </c>
      <c r="B583" s="1" t="n">
        <v>43582</v>
      </c>
      <c r="C583" s="1" t="n">
        <v>45349</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22207-2019</t>
        </is>
      </c>
      <c r="B584" s="1" t="n">
        <v>43585</v>
      </c>
      <c r="C584" s="1" t="n">
        <v>45349</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22211-2019</t>
        </is>
      </c>
      <c r="B585" s="1" t="n">
        <v>43585</v>
      </c>
      <c r="C585" s="1" t="n">
        <v>45349</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22254-2019</t>
        </is>
      </c>
      <c r="B586" s="1" t="n">
        <v>43585</v>
      </c>
      <c r="C586" s="1" t="n">
        <v>45349</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22218-2019</t>
        </is>
      </c>
      <c r="B587" s="1" t="n">
        <v>43585</v>
      </c>
      <c r="C587" s="1" t="n">
        <v>45349</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22331-2019</t>
        </is>
      </c>
      <c r="B588" s="1" t="n">
        <v>43586</v>
      </c>
      <c r="C588" s="1" t="n">
        <v>45349</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22359-2019</t>
        </is>
      </c>
      <c r="B589" s="1" t="n">
        <v>43587</v>
      </c>
      <c r="C589" s="1" t="n">
        <v>45349</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22422-2019</t>
        </is>
      </c>
      <c r="B590" s="1" t="n">
        <v>43587</v>
      </c>
      <c r="C590" s="1" t="n">
        <v>45349</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22490-2019</t>
        </is>
      </c>
      <c r="B591" s="1" t="n">
        <v>43587</v>
      </c>
      <c r="C591" s="1" t="n">
        <v>45349</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22496-2019</t>
        </is>
      </c>
      <c r="B592" s="1" t="n">
        <v>43587</v>
      </c>
      <c r="C592" s="1" t="n">
        <v>45349</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23711-2019</t>
        </is>
      </c>
      <c r="B593" s="1" t="n">
        <v>43594</v>
      </c>
      <c r="C593" s="1" t="n">
        <v>45349</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23710-2019</t>
        </is>
      </c>
      <c r="B594" s="1" t="n">
        <v>43594</v>
      </c>
      <c r="C594" s="1" t="n">
        <v>45349</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23862-2019</t>
        </is>
      </c>
      <c r="B595" s="1" t="n">
        <v>43595</v>
      </c>
      <c r="C595" s="1" t="n">
        <v>45349</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23878-2019</t>
        </is>
      </c>
      <c r="B596" s="1" t="n">
        <v>43595</v>
      </c>
      <c r="C596" s="1" t="n">
        <v>45349</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23961-2019</t>
        </is>
      </c>
      <c r="B597" s="1" t="n">
        <v>43597</v>
      </c>
      <c r="C597" s="1" t="n">
        <v>45349</v>
      </c>
      <c r="D597" t="inlineStr">
        <is>
          <t>STOCKHOLMS LÄN</t>
        </is>
      </c>
      <c r="E597" t="inlineStr">
        <is>
          <t>NORRTÄLJE</t>
        </is>
      </c>
      <c r="G597" t="n">
        <v>17.6</v>
      </c>
      <c r="H597" t="n">
        <v>0</v>
      </c>
      <c r="I597" t="n">
        <v>0</v>
      </c>
      <c r="J597" t="n">
        <v>0</v>
      </c>
      <c r="K597" t="n">
        <v>0</v>
      </c>
      <c r="L597" t="n">
        <v>0</v>
      </c>
      <c r="M597" t="n">
        <v>0</v>
      </c>
      <c r="N597" t="n">
        <v>0</v>
      </c>
      <c r="O597" t="n">
        <v>0</v>
      </c>
      <c r="P597" t="n">
        <v>0</v>
      </c>
      <c r="Q597" t="n">
        <v>0</v>
      </c>
      <c r="R597" s="2" t="inlineStr"/>
    </row>
    <row r="598" ht="15" customHeight="1">
      <c r="A598" t="inlineStr">
        <is>
          <t>A 23965-2019</t>
        </is>
      </c>
      <c r="B598" s="1" t="n">
        <v>43597</v>
      </c>
      <c r="C598" s="1" t="n">
        <v>45349</v>
      </c>
      <c r="D598" t="inlineStr">
        <is>
          <t>STOCKHOLMS LÄN</t>
        </is>
      </c>
      <c r="E598" t="inlineStr">
        <is>
          <t>NORRTÄLJE</t>
        </is>
      </c>
      <c r="G598" t="n">
        <v>6.1</v>
      </c>
      <c r="H598" t="n">
        <v>0</v>
      </c>
      <c r="I598" t="n">
        <v>0</v>
      </c>
      <c r="J598" t="n">
        <v>0</v>
      </c>
      <c r="K598" t="n">
        <v>0</v>
      </c>
      <c r="L598" t="n">
        <v>0</v>
      </c>
      <c r="M598" t="n">
        <v>0</v>
      </c>
      <c r="N598" t="n">
        <v>0</v>
      </c>
      <c r="O598" t="n">
        <v>0</v>
      </c>
      <c r="P598" t="n">
        <v>0</v>
      </c>
      <c r="Q598" t="n">
        <v>0</v>
      </c>
      <c r="R598" s="2" t="inlineStr"/>
    </row>
    <row r="599" ht="15" customHeight="1">
      <c r="A599" t="inlineStr">
        <is>
          <t>A 23963-2019</t>
        </is>
      </c>
      <c r="B599" s="1" t="n">
        <v>43597</v>
      </c>
      <c r="C599" s="1" t="n">
        <v>45349</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24124-2019</t>
        </is>
      </c>
      <c r="B600" s="1" t="n">
        <v>43598</v>
      </c>
      <c r="C600" s="1" t="n">
        <v>45349</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24058-2019</t>
        </is>
      </c>
      <c r="B601" s="1" t="n">
        <v>43598</v>
      </c>
      <c r="C601" s="1" t="n">
        <v>45349</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24562-2019</t>
        </is>
      </c>
      <c r="B602" s="1" t="n">
        <v>43600</v>
      </c>
      <c r="C602" s="1" t="n">
        <v>45349</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24721-2019</t>
        </is>
      </c>
      <c r="B603" s="1" t="n">
        <v>43601</v>
      </c>
      <c r="C603" s="1" t="n">
        <v>45349</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25284-2019</t>
        </is>
      </c>
      <c r="B604" s="1" t="n">
        <v>43605</v>
      </c>
      <c r="C604" s="1" t="n">
        <v>45349</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25535-2019</t>
        </is>
      </c>
      <c r="B605" s="1" t="n">
        <v>43606</v>
      </c>
      <c r="C605" s="1" t="n">
        <v>45349</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25316-2019</t>
        </is>
      </c>
      <c r="B606" s="1" t="n">
        <v>43606</v>
      </c>
      <c r="C606" s="1" t="n">
        <v>45349</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26374-2019</t>
        </is>
      </c>
      <c r="B607" s="1" t="n">
        <v>43606</v>
      </c>
      <c r="C607" s="1" t="n">
        <v>45349</v>
      </c>
      <c r="D607" t="inlineStr">
        <is>
          <t>STOCKHOLMS LÄN</t>
        </is>
      </c>
      <c r="E607" t="inlineStr">
        <is>
          <t>NORRTÄLJE</t>
        </is>
      </c>
      <c r="G607" t="n">
        <v>11.6</v>
      </c>
      <c r="H607" t="n">
        <v>0</v>
      </c>
      <c r="I607" t="n">
        <v>0</v>
      </c>
      <c r="J607" t="n">
        <v>0</v>
      </c>
      <c r="K607" t="n">
        <v>0</v>
      </c>
      <c r="L607" t="n">
        <v>0</v>
      </c>
      <c r="M607" t="n">
        <v>0</v>
      </c>
      <c r="N607" t="n">
        <v>0</v>
      </c>
      <c r="O607" t="n">
        <v>0</v>
      </c>
      <c r="P607" t="n">
        <v>0</v>
      </c>
      <c r="Q607" t="n">
        <v>0</v>
      </c>
      <c r="R607" s="2" t="inlineStr"/>
    </row>
    <row r="608" ht="15" customHeight="1">
      <c r="A608" t="inlineStr">
        <is>
          <t>A 25315-2019</t>
        </is>
      </c>
      <c r="B608" s="1" t="n">
        <v>43606</v>
      </c>
      <c r="C608" s="1" t="n">
        <v>45349</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25625-2019</t>
        </is>
      </c>
      <c r="B609" s="1" t="n">
        <v>43607</v>
      </c>
      <c r="C609" s="1" t="n">
        <v>45349</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26272-2019</t>
        </is>
      </c>
      <c r="B610" s="1" t="n">
        <v>43611</v>
      </c>
      <c r="C610" s="1" t="n">
        <v>45349</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26620-2019</t>
        </is>
      </c>
      <c r="B611" s="1" t="n">
        <v>43612</v>
      </c>
      <c r="C611" s="1" t="n">
        <v>45349</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26391-2019</t>
        </is>
      </c>
      <c r="B612" s="1" t="n">
        <v>43612</v>
      </c>
      <c r="C612" s="1" t="n">
        <v>45349</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26933-2019</t>
        </is>
      </c>
      <c r="B613" s="1" t="n">
        <v>43613</v>
      </c>
      <c r="C613" s="1" t="n">
        <v>45349</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26830-2019</t>
        </is>
      </c>
      <c r="B614" s="1" t="n">
        <v>43613</v>
      </c>
      <c r="C614" s="1" t="n">
        <v>45349</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27095-2019</t>
        </is>
      </c>
      <c r="B615" s="1" t="n">
        <v>43614</v>
      </c>
      <c r="C615" s="1" t="n">
        <v>45349</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28157-2019</t>
        </is>
      </c>
      <c r="B616" s="1" t="n">
        <v>43614</v>
      </c>
      <c r="C616" s="1" t="n">
        <v>45349</v>
      </c>
      <c r="D616" t="inlineStr">
        <is>
          <t>STOCKHOLMS LÄN</t>
        </is>
      </c>
      <c r="E616" t="inlineStr">
        <is>
          <t>NORRTÄLJE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27264-2019</t>
        </is>
      </c>
      <c r="B617" s="1" t="n">
        <v>43615</v>
      </c>
      <c r="C617" s="1" t="n">
        <v>45349</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45349</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45349</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45349</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45349</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45349</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45349</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45349</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45349</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45349</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45349</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45349</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45349</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45349</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31017-2019</t>
        </is>
      </c>
      <c r="B631" s="1" t="n">
        <v>43640</v>
      </c>
      <c r="C631" s="1" t="n">
        <v>45349</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45349</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32725-2019</t>
        </is>
      </c>
      <c r="B633" s="1" t="n">
        <v>43647</v>
      </c>
      <c r="C633" s="1" t="n">
        <v>45349</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32726-2019</t>
        </is>
      </c>
      <c r="B634" s="1" t="n">
        <v>43647</v>
      </c>
      <c r="C634" s="1" t="n">
        <v>45349</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33207-2019</t>
        </is>
      </c>
      <c r="B635" s="1" t="n">
        <v>43649</v>
      </c>
      <c r="C635" s="1" t="n">
        <v>45349</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33955-2019</t>
        </is>
      </c>
      <c r="B636" s="1" t="n">
        <v>43654</v>
      </c>
      <c r="C636" s="1" t="n">
        <v>45349</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33966-2019</t>
        </is>
      </c>
      <c r="B637" s="1" t="n">
        <v>43654</v>
      </c>
      <c r="C637" s="1" t="n">
        <v>45349</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35247-2019</t>
        </is>
      </c>
      <c r="B638" s="1" t="n">
        <v>43656</v>
      </c>
      <c r="C638" s="1" t="n">
        <v>45349</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35244-2019</t>
        </is>
      </c>
      <c r="B639" s="1" t="n">
        <v>43656</v>
      </c>
      <c r="C639" s="1" t="n">
        <v>45349</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35249-2019</t>
        </is>
      </c>
      <c r="B640" s="1" t="n">
        <v>43656</v>
      </c>
      <c r="C640" s="1" t="n">
        <v>45349</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35251-2019</t>
        </is>
      </c>
      <c r="B641" s="1" t="n">
        <v>43656</v>
      </c>
      <c r="C641" s="1" t="n">
        <v>45349</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35492-2019</t>
        </is>
      </c>
      <c r="B642" s="1" t="n">
        <v>43663</v>
      </c>
      <c r="C642" s="1" t="n">
        <v>45349</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35770-2019</t>
        </is>
      </c>
      <c r="B643" s="1" t="n">
        <v>43665</v>
      </c>
      <c r="C643" s="1" t="n">
        <v>45349</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35766-2019</t>
        </is>
      </c>
      <c r="B644" s="1" t="n">
        <v>43665</v>
      </c>
      <c r="C644" s="1" t="n">
        <v>45349</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36418-2019</t>
        </is>
      </c>
      <c r="B645" s="1" t="n">
        <v>43670</v>
      </c>
      <c r="C645" s="1" t="n">
        <v>45349</v>
      </c>
      <c r="D645" t="inlineStr">
        <is>
          <t>STOCKHOLMS LÄN</t>
        </is>
      </c>
      <c r="E645" t="inlineStr">
        <is>
          <t>NORRTÄLJE</t>
        </is>
      </c>
      <c r="G645" t="n">
        <v>16.8</v>
      </c>
      <c r="H645" t="n">
        <v>0</v>
      </c>
      <c r="I645" t="n">
        <v>0</v>
      </c>
      <c r="J645" t="n">
        <v>0</v>
      </c>
      <c r="K645" t="n">
        <v>0</v>
      </c>
      <c r="L645" t="n">
        <v>0</v>
      </c>
      <c r="M645" t="n">
        <v>0</v>
      </c>
      <c r="N645" t="n">
        <v>0</v>
      </c>
      <c r="O645" t="n">
        <v>0</v>
      </c>
      <c r="P645" t="n">
        <v>0</v>
      </c>
      <c r="Q645" t="n">
        <v>0</v>
      </c>
      <c r="R645" s="2" t="inlineStr"/>
    </row>
    <row r="646" ht="15" customHeight="1">
      <c r="A646" t="inlineStr">
        <is>
          <t>A 37401-2019</t>
        </is>
      </c>
      <c r="B646" s="1" t="n">
        <v>43678</v>
      </c>
      <c r="C646" s="1" t="n">
        <v>45349</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37662-2019</t>
        </is>
      </c>
      <c r="B647" s="1" t="n">
        <v>43682</v>
      </c>
      <c r="C647" s="1" t="n">
        <v>45349</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38144-2019</t>
        </is>
      </c>
      <c r="B648" s="1" t="n">
        <v>43684</v>
      </c>
      <c r="C648" s="1" t="n">
        <v>45349</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38139-2019</t>
        </is>
      </c>
      <c r="B649" s="1" t="n">
        <v>43684</v>
      </c>
      <c r="C649" s="1" t="n">
        <v>45349</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38145-2019</t>
        </is>
      </c>
      <c r="B650" s="1" t="n">
        <v>43684</v>
      </c>
      <c r="C650" s="1" t="n">
        <v>45349</v>
      </c>
      <c r="D650" t="inlineStr">
        <is>
          <t>STOCKHOLMS LÄN</t>
        </is>
      </c>
      <c r="E650" t="inlineStr">
        <is>
          <t>NORRTÄLJE</t>
        </is>
      </c>
      <c r="G650" t="n">
        <v>9.9</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45349</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45349</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45349</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45349</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45349</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40571-2019</t>
        </is>
      </c>
      <c r="B656" s="1" t="n">
        <v>43696</v>
      </c>
      <c r="C656" s="1" t="n">
        <v>45349</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42330-2019</t>
        </is>
      </c>
      <c r="B657" s="1" t="n">
        <v>43703</v>
      </c>
      <c r="C657" s="1" t="n">
        <v>45349</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43379-2019</t>
        </is>
      </c>
      <c r="B658" s="1" t="n">
        <v>43703</v>
      </c>
      <c r="C658" s="1" t="n">
        <v>45349</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43296-2019</t>
        </is>
      </c>
      <c r="B659" s="1" t="n">
        <v>43706</v>
      </c>
      <c r="C659" s="1" t="n">
        <v>45349</v>
      </c>
      <c r="D659" t="inlineStr">
        <is>
          <t>STOCKHOLMS LÄN</t>
        </is>
      </c>
      <c r="E659" t="inlineStr">
        <is>
          <t>NORRTÄLJE</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44643-2019</t>
        </is>
      </c>
      <c r="B660" s="1" t="n">
        <v>43712</v>
      </c>
      <c r="C660" s="1" t="n">
        <v>45349</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45463-2019</t>
        </is>
      </c>
      <c r="B661" s="1" t="n">
        <v>43714</v>
      </c>
      <c r="C661" s="1" t="n">
        <v>45349</v>
      </c>
      <c r="D661" t="inlineStr">
        <is>
          <t>STOCKHOLMS LÄN</t>
        </is>
      </c>
      <c r="E661" t="inlineStr">
        <is>
          <t>NORRTÄLJE</t>
        </is>
      </c>
      <c r="F661" t="inlineStr">
        <is>
          <t>Övriga statliga verk och myndigheter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45477-2019</t>
        </is>
      </c>
      <c r="B662" s="1" t="n">
        <v>43714</v>
      </c>
      <c r="C662" s="1" t="n">
        <v>45349</v>
      </c>
      <c r="D662" t="inlineStr">
        <is>
          <t>STOCKHOLMS LÄN</t>
        </is>
      </c>
      <c r="E662" t="inlineStr">
        <is>
          <t>NORRTÄLJE</t>
        </is>
      </c>
      <c r="F662" t="inlineStr">
        <is>
          <t>Övriga statliga verk och myndigheter</t>
        </is>
      </c>
      <c r="G662" t="n">
        <v>8.9</v>
      </c>
      <c r="H662" t="n">
        <v>0</v>
      </c>
      <c r="I662" t="n">
        <v>0</v>
      </c>
      <c r="J662" t="n">
        <v>0</v>
      </c>
      <c r="K662" t="n">
        <v>0</v>
      </c>
      <c r="L662" t="n">
        <v>0</v>
      </c>
      <c r="M662" t="n">
        <v>0</v>
      </c>
      <c r="N662" t="n">
        <v>0</v>
      </c>
      <c r="O662" t="n">
        <v>0</v>
      </c>
      <c r="P662" t="n">
        <v>0</v>
      </c>
      <c r="Q662" t="n">
        <v>0</v>
      </c>
      <c r="R662" s="2" t="inlineStr"/>
    </row>
    <row r="663" ht="15" customHeight="1">
      <c r="A663" t="inlineStr">
        <is>
          <t>A 46327-2019</t>
        </is>
      </c>
      <c r="B663" s="1" t="n">
        <v>43718</v>
      </c>
      <c r="C663" s="1" t="n">
        <v>45349</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47876-2019</t>
        </is>
      </c>
      <c r="B664" s="1" t="n">
        <v>43725</v>
      </c>
      <c r="C664" s="1" t="n">
        <v>45349</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47877-2019</t>
        </is>
      </c>
      <c r="B665" s="1" t="n">
        <v>43725</v>
      </c>
      <c r="C665" s="1" t="n">
        <v>45349</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47903-2019</t>
        </is>
      </c>
      <c r="B666" s="1" t="n">
        <v>43725</v>
      </c>
      <c r="C666" s="1" t="n">
        <v>45349</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47901-2019</t>
        </is>
      </c>
      <c r="B667" s="1" t="n">
        <v>43725</v>
      </c>
      <c r="C667" s="1" t="n">
        <v>45349</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47939-2019</t>
        </is>
      </c>
      <c r="B668" s="1" t="n">
        <v>43725</v>
      </c>
      <c r="C668" s="1" t="n">
        <v>45349</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47941-2019</t>
        </is>
      </c>
      <c r="B669" s="1" t="n">
        <v>43725</v>
      </c>
      <c r="C669" s="1" t="n">
        <v>45349</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47879-2019</t>
        </is>
      </c>
      <c r="B670" s="1" t="n">
        <v>43725</v>
      </c>
      <c r="C670" s="1" t="n">
        <v>45349</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48730-2019</t>
        </is>
      </c>
      <c r="B671" s="1" t="n">
        <v>43728</v>
      </c>
      <c r="C671" s="1" t="n">
        <v>45349</v>
      </c>
      <c r="D671" t="inlineStr">
        <is>
          <t>STOCKHOLMS LÄN</t>
        </is>
      </c>
      <c r="E671" t="inlineStr">
        <is>
          <t>NORRTÄLJE</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49252-2019</t>
        </is>
      </c>
      <c r="B672" s="1" t="n">
        <v>43731</v>
      </c>
      <c r="C672" s="1" t="n">
        <v>45349</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51940-2019</t>
        </is>
      </c>
      <c r="B673" s="1" t="n">
        <v>43741</v>
      </c>
      <c r="C673" s="1" t="n">
        <v>45349</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51942-2019</t>
        </is>
      </c>
      <c r="B674" s="1" t="n">
        <v>43741</v>
      </c>
      <c r="C674" s="1" t="n">
        <v>45349</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55481-2019</t>
        </is>
      </c>
      <c r="B675" s="1" t="n">
        <v>43759</v>
      </c>
      <c r="C675" s="1" t="n">
        <v>45349</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55891-2019</t>
        </is>
      </c>
      <c r="B676" s="1" t="n">
        <v>43761</v>
      </c>
      <c r="C676" s="1" t="n">
        <v>45349</v>
      </c>
      <c r="D676" t="inlineStr">
        <is>
          <t>STOCKHOLMS LÄN</t>
        </is>
      </c>
      <c r="E676" t="inlineStr">
        <is>
          <t>NORRTÄLJE</t>
        </is>
      </c>
      <c r="G676" t="n">
        <v>7.6</v>
      </c>
      <c r="H676" t="n">
        <v>0</v>
      </c>
      <c r="I676" t="n">
        <v>0</v>
      </c>
      <c r="J676" t="n">
        <v>0</v>
      </c>
      <c r="K676" t="n">
        <v>0</v>
      </c>
      <c r="L676" t="n">
        <v>0</v>
      </c>
      <c r="M676" t="n">
        <v>0</v>
      </c>
      <c r="N676" t="n">
        <v>0</v>
      </c>
      <c r="O676" t="n">
        <v>0</v>
      </c>
      <c r="P676" t="n">
        <v>0</v>
      </c>
      <c r="Q676" t="n">
        <v>0</v>
      </c>
      <c r="R676" s="2" t="inlineStr"/>
    </row>
    <row r="677" ht="15" customHeight="1">
      <c r="A677" t="inlineStr">
        <is>
          <t>A 56349-2019</t>
        </is>
      </c>
      <c r="B677" s="1" t="n">
        <v>43762</v>
      </c>
      <c r="C677" s="1" t="n">
        <v>45349</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57759-2019</t>
        </is>
      </c>
      <c r="B678" s="1" t="n">
        <v>43763</v>
      </c>
      <c r="C678" s="1" t="n">
        <v>45349</v>
      </c>
      <c r="D678" t="inlineStr">
        <is>
          <t>STOCKHOLMS LÄN</t>
        </is>
      </c>
      <c r="E678" t="inlineStr">
        <is>
          <t>NORRTÄLJE</t>
        </is>
      </c>
      <c r="F678" t="inlineStr">
        <is>
          <t>Övriga Aktiebolag</t>
        </is>
      </c>
      <c r="G678" t="n">
        <v>7.3</v>
      </c>
      <c r="H678" t="n">
        <v>0</v>
      </c>
      <c r="I678" t="n">
        <v>0</v>
      </c>
      <c r="J678" t="n">
        <v>0</v>
      </c>
      <c r="K678" t="n">
        <v>0</v>
      </c>
      <c r="L678" t="n">
        <v>0</v>
      </c>
      <c r="M678" t="n">
        <v>0</v>
      </c>
      <c r="N678" t="n">
        <v>0</v>
      </c>
      <c r="O678" t="n">
        <v>0</v>
      </c>
      <c r="P678" t="n">
        <v>0</v>
      </c>
      <c r="Q678" t="n">
        <v>0</v>
      </c>
      <c r="R678" s="2" t="inlineStr"/>
    </row>
    <row r="679" ht="15" customHeight="1">
      <c r="A679" t="inlineStr">
        <is>
          <t>A 57063-2019</t>
        </is>
      </c>
      <c r="B679" s="1" t="n">
        <v>43766</v>
      </c>
      <c r="C679" s="1" t="n">
        <v>45349</v>
      </c>
      <c r="D679" t="inlineStr">
        <is>
          <t>STOCKHOLMS LÄN</t>
        </is>
      </c>
      <c r="E679" t="inlineStr">
        <is>
          <t>NORRTÄLJE</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56950-2019</t>
        </is>
      </c>
      <c r="B680" s="1" t="n">
        <v>43766</v>
      </c>
      <c r="C680" s="1" t="n">
        <v>45349</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57605-2019</t>
        </is>
      </c>
      <c r="B681" s="1" t="n">
        <v>43768</v>
      </c>
      <c r="C681" s="1" t="n">
        <v>45349</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58064-2019</t>
        </is>
      </c>
      <c r="B682" s="1" t="n">
        <v>43769</v>
      </c>
      <c r="C682" s="1" t="n">
        <v>45349</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58631-2019</t>
        </is>
      </c>
      <c r="B683" s="1" t="n">
        <v>43773</v>
      </c>
      <c r="C683" s="1" t="n">
        <v>45349</v>
      </c>
      <c r="D683" t="inlineStr">
        <is>
          <t>STOCKHOLMS LÄN</t>
        </is>
      </c>
      <c r="E683" t="inlineStr">
        <is>
          <t>NORRTÄLJE</t>
        </is>
      </c>
      <c r="G683" t="n">
        <v>6</v>
      </c>
      <c r="H683" t="n">
        <v>0</v>
      </c>
      <c r="I683" t="n">
        <v>0</v>
      </c>
      <c r="J683" t="n">
        <v>0</v>
      </c>
      <c r="K683" t="n">
        <v>0</v>
      </c>
      <c r="L683" t="n">
        <v>0</v>
      </c>
      <c r="M683" t="n">
        <v>0</v>
      </c>
      <c r="N683" t="n">
        <v>0</v>
      </c>
      <c r="O683" t="n">
        <v>0</v>
      </c>
      <c r="P683" t="n">
        <v>0</v>
      </c>
      <c r="Q683" t="n">
        <v>0</v>
      </c>
      <c r="R683" s="2" t="inlineStr"/>
    </row>
    <row r="684" ht="15" customHeight="1">
      <c r="A684" t="inlineStr">
        <is>
          <t>A 60214-2019</t>
        </is>
      </c>
      <c r="B684" s="1" t="n">
        <v>43780</v>
      </c>
      <c r="C684" s="1" t="n">
        <v>45349</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60208-2019</t>
        </is>
      </c>
      <c r="B685" s="1" t="n">
        <v>43780</v>
      </c>
      <c r="C685" s="1" t="n">
        <v>45349</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60842-2019</t>
        </is>
      </c>
      <c r="B686" s="1" t="n">
        <v>43781</v>
      </c>
      <c r="C686" s="1" t="n">
        <v>45349</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60844-2019</t>
        </is>
      </c>
      <c r="B687" s="1" t="n">
        <v>43781</v>
      </c>
      <c r="C687" s="1" t="n">
        <v>45349</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61657-2019</t>
        </is>
      </c>
      <c r="B688" s="1" t="n">
        <v>43784</v>
      </c>
      <c r="C688" s="1" t="n">
        <v>45349</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62848-2019</t>
        </is>
      </c>
      <c r="B689" s="1" t="n">
        <v>43790</v>
      </c>
      <c r="C689" s="1" t="n">
        <v>45349</v>
      </c>
      <c r="D689" t="inlineStr">
        <is>
          <t>STOCKHOLMS LÄN</t>
        </is>
      </c>
      <c r="E689" t="inlineStr">
        <is>
          <t>NORRTÄLJE</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62980-2019</t>
        </is>
      </c>
      <c r="B690" s="1" t="n">
        <v>43790</v>
      </c>
      <c r="C690" s="1" t="n">
        <v>45349</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63513-2019</t>
        </is>
      </c>
      <c r="B691" s="1" t="n">
        <v>43794</v>
      </c>
      <c r="C691" s="1" t="n">
        <v>45349</v>
      </c>
      <c r="D691" t="inlineStr">
        <is>
          <t>STOCKHOLMS LÄN</t>
        </is>
      </c>
      <c r="E691" t="inlineStr">
        <is>
          <t>NORRTÄLJE</t>
        </is>
      </c>
      <c r="G691" t="n">
        <v>9</v>
      </c>
      <c r="H691" t="n">
        <v>0</v>
      </c>
      <c r="I691" t="n">
        <v>0</v>
      </c>
      <c r="J691" t="n">
        <v>0</v>
      </c>
      <c r="K691" t="n">
        <v>0</v>
      </c>
      <c r="L691" t="n">
        <v>0</v>
      </c>
      <c r="M691" t="n">
        <v>0</v>
      </c>
      <c r="N691" t="n">
        <v>0</v>
      </c>
      <c r="O691" t="n">
        <v>0</v>
      </c>
      <c r="P691" t="n">
        <v>0</v>
      </c>
      <c r="Q691" t="n">
        <v>0</v>
      </c>
      <c r="R691" s="2" t="inlineStr"/>
    </row>
    <row r="692" ht="15" customHeight="1">
      <c r="A692" t="inlineStr">
        <is>
          <t>A 63529-2019</t>
        </is>
      </c>
      <c r="B692" s="1" t="n">
        <v>43794</v>
      </c>
      <c r="C692" s="1" t="n">
        <v>45349</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63495-2019</t>
        </is>
      </c>
      <c r="B693" s="1" t="n">
        <v>43794</v>
      </c>
      <c r="C693" s="1" t="n">
        <v>45349</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63504-2019</t>
        </is>
      </c>
      <c r="B694" s="1" t="n">
        <v>43794</v>
      </c>
      <c r="C694" s="1" t="n">
        <v>45349</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63528-2019</t>
        </is>
      </c>
      <c r="B695" s="1" t="n">
        <v>43794</v>
      </c>
      <c r="C695" s="1" t="n">
        <v>45349</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63515-2019</t>
        </is>
      </c>
      <c r="B696" s="1" t="n">
        <v>43794</v>
      </c>
      <c r="C696" s="1" t="n">
        <v>45349</v>
      </c>
      <c r="D696" t="inlineStr">
        <is>
          <t>STOCKHOLMS LÄN</t>
        </is>
      </c>
      <c r="E696" t="inlineStr">
        <is>
          <t>NORRTÄLJE</t>
        </is>
      </c>
      <c r="G696" t="n">
        <v>7.1</v>
      </c>
      <c r="H696" t="n">
        <v>0</v>
      </c>
      <c r="I696" t="n">
        <v>0</v>
      </c>
      <c r="J696" t="n">
        <v>0</v>
      </c>
      <c r="K696" t="n">
        <v>0</v>
      </c>
      <c r="L696" t="n">
        <v>0</v>
      </c>
      <c r="M696" t="n">
        <v>0</v>
      </c>
      <c r="N696" t="n">
        <v>0</v>
      </c>
      <c r="O696" t="n">
        <v>0</v>
      </c>
      <c r="P696" t="n">
        <v>0</v>
      </c>
      <c r="Q696" t="n">
        <v>0</v>
      </c>
      <c r="R696" s="2" t="inlineStr"/>
    </row>
    <row r="697" ht="15" customHeight="1">
      <c r="A697" t="inlineStr">
        <is>
          <t>A 64293-2019</t>
        </is>
      </c>
      <c r="B697" s="1" t="n">
        <v>43797</v>
      </c>
      <c r="C697" s="1" t="n">
        <v>45349</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65640-2019</t>
        </is>
      </c>
      <c r="B698" s="1" t="n">
        <v>43804</v>
      </c>
      <c r="C698" s="1" t="n">
        <v>45349</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65998-2019</t>
        </is>
      </c>
      <c r="B699" s="1" t="n">
        <v>43805</v>
      </c>
      <c r="C699" s="1" t="n">
        <v>45349</v>
      </c>
      <c r="D699" t="inlineStr">
        <is>
          <t>STOCKHOLMS LÄN</t>
        </is>
      </c>
      <c r="E699" t="inlineStr">
        <is>
          <t>NORRTÄLJE</t>
        </is>
      </c>
      <c r="G699" t="n">
        <v>6.5</v>
      </c>
      <c r="H699" t="n">
        <v>0</v>
      </c>
      <c r="I699" t="n">
        <v>0</v>
      </c>
      <c r="J699" t="n">
        <v>0</v>
      </c>
      <c r="K699" t="n">
        <v>0</v>
      </c>
      <c r="L699" t="n">
        <v>0</v>
      </c>
      <c r="M699" t="n">
        <v>0</v>
      </c>
      <c r="N699" t="n">
        <v>0</v>
      </c>
      <c r="O699" t="n">
        <v>0</v>
      </c>
      <c r="P699" t="n">
        <v>0</v>
      </c>
      <c r="Q699" t="n">
        <v>0</v>
      </c>
      <c r="R699" s="2" t="inlineStr"/>
    </row>
    <row r="700" ht="15" customHeight="1">
      <c r="A700" t="inlineStr">
        <is>
          <t>A 66604-2019</t>
        </is>
      </c>
      <c r="B700" s="1" t="n">
        <v>43809</v>
      </c>
      <c r="C700" s="1" t="n">
        <v>45349</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67158-2019</t>
        </is>
      </c>
      <c r="B701" s="1" t="n">
        <v>43811</v>
      </c>
      <c r="C701" s="1" t="n">
        <v>45349</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67324-2019</t>
        </is>
      </c>
      <c r="B702" s="1" t="n">
        <v>43812</v>
      </c>
      <c r="C702" s="1" t="n">
        <v>45349</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68865-2019</t>
        </is>
      </c>
      <c r="B703" s="1" t="n">
        <v>43821</v>
      </c>
      <c r="C703" s="1" t="n">
        <v>45349</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1099-2020</t>
        </is>
      </c>
      <c r="B704" s="1" t="n">
        <v>43822</v>
      </c>
      <c r="C704" s="1" t="n">
        <v>45349</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4475-2020</t>
        </is>
      </c>
      <c r="B705" s="1" t="n">
        <v>43849</v>
      </c>
      <c r="C705" s="1" t="n">
        <v>45349</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2808-2020</t>
        </is>
      </c>
      <c r="B706" s="1" t="n">
        <v>43850</v>
      </c>
      <c r="C706" s="1" t="n">
        <v>45349</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2810-2020</t>
        </is>
      </c>
      <c r="B707" s="1" t="n">
        <v>43850</v>
      </c>
      <c r="C707" s="1" t="n">
        <v>45349</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2803-2020</t>
        </is>
      </c>
      <c r="B708" s="1" t="n">
        <v>43850</v>
      </c>
      <c r="C708" s="1" t="n">
        <v>45349</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3882-2020</t>
        </is>
      </c>
      <c r="B709" s="1" t="n">
        <v>43854</v>
      </c>
      <c r="C709" s="1" t="n">
        <v>45349</v>
      </c>
      <c r="D709" t="inlineStr">
        <is>
          <t>STOCKHOLMS LÄN</t>
        </is>
      </c>
      <c r="E709" t="inlineStr">
        <is>
          <t>NORRTÄLJE</t>
        </is>
      </c>
      <c r="G709" t="n">
        <v>5.9</v>
      </c>
      <c r="H709" t="n">
        <v>0</v>
      </c>
      <c r="I709" t="n">
        <v>0</v>
      </c>
      <c r="J709" t="n">
        <v>0</v>
      </c>
      <c r="K709" t="n">
        <v>0</v>
      </c>
      <c r="L709" t="n">
        <v>0</v>
      </c>
      <c r="M709" t="n">
        <v>0</v>
      </c>
      <c r="N709" t="n">
        <v>0</v>
      </c>
      <c r="O709" t="n">
        <v>0</v>
      </c>
      <c r="P709" t="n">
        <v>0</v>
      </c>
      <c r="Q709" t="n">
        <v>0</v>
      </c>
      <c r="R709" s="2" t="inlineStr"/>
    </row>
    <row r="710" ht="15" customHeight="1">
      <c r="A710" t="inlineStr">
        <is>
          <t>A 4094-2020</t>
        </is>
      </c>
      <c r="B710" s="1" t="n">
        <v>43857</v>
      </c>
      <c r="C710" s="1" t="n">
        <v>45349</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4950-2020</t>
        </is>
      </c>
      <c r="B711" s="1" t="n">
        <v>43859</v>
      </c>
      <c r="C711" s="1" t="n">
        <v>45349</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5084-2020</t>
        </is>
      </c>
      <c r="B712" s="1" t="n">
        <v>43859</v>
      </c>
      <c r="C712" s="1" t="n">
        <v>45349</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4952-2020</t>
        </is>
      </c>
      <c r="B713" s="1" t="n">
        <v>43859</v>
      </c>
      <c r="C713" s="1" t="n">
        <v>45349</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5735-2020</t>
        </is>
      </c>
      <c r="B714" s="1" t="n">
        <v>43863</v>
      </c>
      <c r="C714" s="1" t="n">
        <v>45349</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5733-2020</t>
        </is>
      </c>
      <c r="B715" s="1" t="n">
        <v>43863</v>
      </c>
      <c r="C715" s="1" t="n">
        <v>45349</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5739-2020</t>
        </is>
      </c>
      <c r="B716" s="1" t="n">
        <v>43863</v>
      </c>
      <c r="C716" s="1" t="n">
        <v>45349</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7471-2020</t>
        </is>
      </c>
      <c r="B717" s="1" t="n">
        <v>43871</v>
      </c>
      <c r="C717" s="1" t="n">
        <v>45349</v>
      </c>
      <c r="D717" t="inlineStr">
        <is>
          <t>STOCKHOLMS LÄN</t>
        </is>
      </c>
      <c r="E717" t="inlineStr">
        <is>
          <t>NORRTÄLJE</t>
        </is>
      </c>
      <c r="G717" t="n">
        <v>7.8</v>
      </c>
      <c r="H717" t="n">
        <v>0</v>
      </c>
      <c r="I717" t="n">
        <v>0</v>
      </c>
      <c r="J717" t="n">
        <v>0</v>
      </c>
      <c r="K717" t="n">
        <v>0</v>
      </c>
      <c r="L717" t="n">
        <v>0</v>
      </c>
      <c r="M717" t="n">
        <v>0</v>
      </c>
      <c r="N717" t="n">
        <v>0</v>
      </c>
      <c r="O717" t="n">
        <v>0</v>
      </c>
      <c r="P717" t="n">
        <v>0</v>
      </c>
      <c r="Q717" t="n">
        <v>0</v>
      </c>
      <c r="R717" s="2" t="inlineStr"/>
    </row>
    <row r="718" ht="15" customHeight="1">
      <c r="A718" t="inlineStr">
        <is>
          <t>A 9845-2020</t>
        </is>
      </c>
      <c r="B718" s="1" t="n">
        <v>43881</v>
      </c>
      <c r="C718" s="1" t="n">
        <v>45349</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10618-2020</t>
        </is>
      </c>
      <c r="B719" s="1" t="n">
        <v>43887</v>
      </c>
      <c r="C719" s="1" t="n">
        <v>45349</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11184-2020</t>
        </is>
      </c>
      <c r="B720" s="1" t="n">
        <v>43892</v>
      </c>
      <c r="C720" s="1" t="n">
        <v>45349</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11576-2020</t>
        </is>
      </c>
      <c r="B721" s="1" t="n">
        <v>43893</v>
      </c>
      <c r="C721" s="1" t="n">
        <v>45349</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12113-2020</t>
        </is>
      </c>
      <c r="B722" s="1" t="n">
        <v>43895</v>
      </c>
      <c r="C722" s="1" t="n">
        <v>45349</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12970-2020</t>
        </is>
      </c>
      <c r="B723" s="1" t="n">
        <v>43900</v>
      </c>
      <c r="C723" s="1" t="n">
        <v>45349</v>
      </c>
      <c r="D723" t="inlineStr">
        <is>
          <t>STOCKHOLMS LÄN</t>
        </is>
      </c>
      <c r="E723" t="inlineStr">
        <is>
          <t>NORRTÄLJE</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13230-2020</t>
        </is>
      </c>
      <c r="B724" s="1" t="n">
        <v>43901</v>
      </c>
      <c r="C724" s="1" t="n">
        <v>45349</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13287-2020</t>
        </is>
      </c>
      <c r="B725" s="1" t="n">
        <v>43901</v>
      </c>
      <c r="C725" s="1" t="n">
        <v>45349</v>
      </c>
      <c r="D725" t="inlineStr">
        <is>
          <t>STOCKHOLMS LÄN</t>
        </is>
      </c>
      <c r="E725" t="inlineStr">
        <is>
          <t>NORRTÄLJE</t>
        </is>
      </c>
      <c r="F725" t="inlineStr">
        <is>
          <t>Kommuner</t>
        </is>
      </c>
      <c r="G725" t="n">
        <v>3.2</v>
      </c>
      <c r="H725" t="n">
        <v>0</v>
      </c>
      <c r="I725" t="n">
        <v>0</v>
      </c>
      <c r="J725" t="n">
        <v>0</v>
      </c>
      <c r="K725" t="n">
        <v>0</v>
      </c>
      <c r="L725" t="n">
        <v>0</v>
      </c>
      <c r="M725" t="n">
        <v>0</v>
      </c>
      <c r="N725" t="n">
        <v>0</v>
      </c>
      <c r="O725" t="n">
        <v>0</v>
      </c>
      <c r="P725" t="n">
        <v>0</v>
      </c>
      <c r="Q725" t="n">
        <v>0</v>
      </c>
      <c r="R725" s="2" t="inlineStr"/>
    </row>
    <row r="726" ht="15" customHeight="1">
      <c r="A726" t="inlineStr">
        <is>
          <t>A 13281-2020</t>
        </is>
      </c>
      <c r="B726" s="1" t="n">
        <v>43901</v>
      </c>
      <c r="C726" s="1" t="n">
        <v>45349</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13501-2020</t>
        </is>
      </c>
      <c r="B727" s="1" t="n">
        <v>43902</v>
      </c>
      <c r="C727" s="1" t="n">
        <v>45349</v>
      </c>
      <c r="D727" t="inlineStr">
        <is>
          <t>STOCKHOLMS LÄN</t>
        </is>
      </c>
      <c r="E727" t="inlineStr">
        <is>
          <t>NORRTÄLJE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13506-2020</t>
        </is>
      </c>
      <c r="B728" s="1" t="n">
        <v>43902</v>
      </c>
      <c r="C728" s="1" t="n">
        <v>45349</v>
      </c>
      <c r="D728" t="inlineStr">
        <is>
          <t>STOCKHOLMS LÄN</t>
        </is>
      </c>
      <c r="E728" t="inlineStr">
        <is>
          <t>NORRTÄLJE</t>
        </is>
      </c>
      <c r="G728" t="n">
        <v>5.7</v>
      </c>
      <c r="H728" t="n">
        <v>0</v>
      </c>
      <c r="I728" t="n">
        <v>0</v>
      </c>
      <c r="J728" t="n">
        <v>0</v>
      </c>
      <c r="K728" t="n">
        <v>0</v>
      </c>
      <c r="L728" t="n">
        <v>0</v>
      </c>
      <c r="M728" t="n">
        <v>0</v>
      </c>
      <c r="N728" t="n">
        <v>0</v>
      </c>
      <c r="O728" t="n">
        <v>0</v>
      </c>
      <c r="P728" t="n">
        <v>0</v>
      </c>
      <c r="Q728" t="n">
        <v>0</v>
      </c>
      <c r="R728" s="2" t="inlineStr"/>
    </row>
    <row r="729" ht="15" customHeight="1">
      <c r="A729" t="inlineStr">
        <is>
          <t>A 14525-2020</t>
        </is>
      </c>
      <c r="B729" s="1" t="n">
        <v>43908</v>
      </c>
      <c r="C729" s="1" t="n">
        <v>45349</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14565-2020</t>
        </is>
      </c>
      <c r="B730" s="1" t="n">
        <v>43908</v>
      </c>
      <c r="C730" s="1" t="n">
        <v>45349</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14831-2020</t>
        </is>
      </c>
      <c r="B731" s="1" t="n">
        <v>43909</v>
      </c>
      <c r="C731" s="1" t="n">
        <v>45349</v>
      </c>
      <c r="D731" t="inlineStr">
        <is>
          <t>STOCKHOLMS LÄN</t>
        </is>
      </c>
      <c r="E731" t="inlineStr">
        <is>
          <t>NORRTÄLJE</t>
        </is>
      </c>
      <c r="G731" t="n">
        <v>11.4</v>
      </c>
      <c r="H731" t="n">
        <v>0</v>
      </c>
      <c r="I731" t="n">
        <v>0</v>
      </c>
      <c r="J731" t="n">
        <v>0</v>
      </c>
      <c r="K731" t="n">
        <v>0</v>
      </c>
      <c r="L731" t="n">
        <v>0</v>
      </c>
      <c r="M731" t="n">
        <v>0</v>
      </c>
      <c r="N731" t="n">
        <v>0</v>
      </c>
      <c r="O731" t="n">
        <v>0</v>
      </c>
      <c r="P731" t="n">
        <v>0</v>
      </c>
      <c r="Q731" t="n">
        <v>0</v>
      </c>
      <c r="R731" s="2" t="inlineStr"/>
    </row>
    <row r="732" ht="15" customHeight="1">
      <c r="A732" t="inlineStr">
        <is>
          <t>A 15663-2020</t>
        </is>
      </c>
      <c r="B732" s="1" t="n">
        <v>43915</v>
      </c>
      <c r="C732" s="1" t="n">
        <v>45349</v>
      </c>
      <c r="D732" t="inlineStr">
        <is>
          <t>STOCKHOLMS LÄN</t>
        </is>
      </c>
      <c r="E732" t="inlineStr">
        <is>
          <t>NORRTÄLJE</t>
        </is>
      </c>
      <c r="G732" t="n">
        <v>11.1</v>
      </c>
      <c r="H732" t="n">
        <v>0</v>
      </c>
      <c r="I732" t="n">
        <v>0</v>
      </c>
      <c r="J732" t="n">
        <v>0</v>
      </c>
      <c r="K732" t="n">
        <v>0</v>
      </c>
      <c r="L732" t="n">
        <v>0</v>
      </c>
      <c r="M732" t="n">
        <v>0</v>
      </c>
      <c r="N732" t="n">
        <v>0</v>
      </c>
      <c r="O732" t="n">
        <v>0</v>
      </c>
      <c r="P732" t="n">
        <v>0</v>
      </c>
      <c r="Q732" t="n">
        <v>0</v>
      </c>
      <c r="R732" s="2" t="inlineStr"/>
    </row>
    <row r="733" ht="15" customHeight="1">
      <c r="A733" t="inlineStr">
        <is>
          <t>A 16273-2020</t>
        </is>
      </c>
      <c r="B733" s="1" t="n">
        <v>43917</v>
      </c>
      <c r="C733" s="1" t="n">
        <v>45349</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17965-2020</t>
        </is>
      </c>
      <c r="B734" s="1" t="n">
        <v>43925</v>
      </c>
      <c r="C734" s="1" t="n">
        <v>45349</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19258-2020</t>
        </is>
      </c>
      <c r="B735" s="1" t="n">
        <v>43937</v>
      </c>
      <c r="C735" s="1" t="n">
        <v>45349</v>
      </c>
      <c r="D735" t="inlineStr">
        <is>
          <t>STOCKHOLMS LÄN</t>
        </is>
      </c>
      <c r="E735" t="inlineStr">
        <is>
          <t>NORRTÄLJE</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20257-2020</t>
        </is>
      </c>
      <c r="B736" s="1" t="n">
        <v>43944</v>
      </c>
      <c r="C736" s="1" t="n">
        <v>45349</v>
      </c>
      <c r="D736" t="inlineStr">
        <is>
          <t>STOCKHOLMS LÄN</t>
        </is>
      </c>
      <c r="E736" t="inlineStr">
        <is>
          <t>NORRTÄLJE</t>
        </is>
      </c>
      <c r="G736" t="n">
        <v>80.09999999999999</v>
      </c>
      <c r="H736" t="n">
        <v>0</v>
      </c>
      <c r="I736" t="n">
        <v>0</v>
      </c>
      <c r="J736" t="n">
        <v>0</v>
      </c>
      <c r="K736" t="n">
        <v>0</v>
      </c>
      <c r="L736" t="n">
        <v>0</v>
      </c>
      <c r="M736" t="n">
        <v>0</v>
      </c>
      <c r="N736" t="n">
        <v>0</v>
      </c>
      <c r="O736" t="n">
        <v>0</v>
      </c>
      <c r="P736" t="n">
        <v>0</v>
      </c>
      <c r="Q736" t="n">
        <v>0</v>
      </c>
      <c r="R736" s="2" t="inlineStr"/>
    </row>
    <row r="737" ht="15" customHeight="1">
      <c r="A737" t="inlineStr">
        <is>
          <t>A 21849-2020</t>
        </is>
      </c>
      <c r="B737" s="1" t="n">
        <v>43958</v>
      </c>
      <c r="C737" s="1" t="n">
        <v>45349</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21875-2020</t>
        </is>
      </c>
      <c r="B738" s="1" t="n">
        <v>43958</v>
      </c>
      <c r="C738" s="1" t="n">
        <v>45349</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23751-2020</t>
        </is>
      </c>
      <c r="B739" s="1" t="n">
        <v>43970</v>
      </c>
      <c r="C739" s="1" t="n">
        <v>45349</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24136-2020</t>
        </is>
      </c>
      <c r="B740" s="1" t="n">
        <v>43973</v>
      </c>
      <c r="C740" s="1" t="n">
        <v>45349</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25584-2020</t>
        </is>
      </c>
      <c r="B741" s="1" t="n">
        <v>43983</v>
      </c>
      <c r="C741" s="1" t="n">
        <v>45349</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25589-2020</t>
        </is>
      </c>
      <c r="B742" s="1" t="n">
        <v>43983</v>
      </c>
      <c r="C742" s="1" t="n">
        <v>45349</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25897-2020</t>
        </is>
      </c>
      <c r="B743" s="1" t="n">
        <v>43984</v>
      </c>
      <c r="C743" s="1" t="n">
        <v>45349</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28495-2020</t>
        </is>
      </c>
      <c r="B744" s="1" t="n">
        <v>43999</v>
      </c>
      <c r="C744" s="1" t="n">
        <v>45349</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30600-2020</t>
        </is>
      </c>
      <c r="B745" s="1" t="n">
        <v>44008</v>
      </c>
      <c r="C745" s="1" t="n">
        <v>45349</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31783-2020</t>
        </is>
      </c>
      <c r="B746" s="1" t="n">
        <v>44014</v>
      </c>
      <c r="C746" s="1" t="n">
        <v>45349</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33749-2020</t>
        </is>
      </c>
      <c r="B747" s="1" t="n">
        <v>44026</v>
      </c>
      <c r="C747" s="1" t="n">
        <v>45349</v>
      </c>
      <c r="D747" t="inlineStr">
        <is>
          <t>STOCKHOLMS LÄN</t>
        </is>
      </c>
      <c r="E747" t="inlineStr">
        <is>
          <t>NORRTÄLJE</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34651-2020</t>
        </is>
      </c>
      <c r="B748" s="1" t="n">
        <v>44034</v>
      </c>
      <c r="C748" s="1" t="n">
        <v>45349</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34650-2020</t>
        </is>
      </c>
      <c r="B749" s="1" t="n">
        <v>44034</v>
      </c>
      <c r="C749" s="1" t="n">
        <v>45349</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36314-2020</t>
        </is>
      </c>
      <c r="B750" s="1" t="n">
        <v>44049</v>
      </c>
      <c r="C750" s="1" t="n">
        <v>45349</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36359-2020</t>
        </is>
      </c>
      <c r="B751" s="1" t="n">
        <v>44049</v>
      </c>
      <c r="C751" s="1" t="n">
        <v>45349</v>
      </c>
      <c r="D751" t="inlineStr">
        <is>
          <t>STOCKHOLMS LÄN</t>
        </is>
      </c>
      <c r="E751" t="inlineStr">
        <is>
          <t>NORRTÄLJE</t>
        </is>
      </c>
      <c r="G751" t="n">
        <v>6.5</v>
      </c>
      <c r="H751" t="n">
        <v>0</v>
      </c>
      <c r="I751" t="n">
        <v>0</v>
      </c>
      <c r="J751" t="n">
        <v>0</v>
      </c>
      <c r="K751" t="n">
        <v>0</v>
      </c>
      <c r="L751" t="n">
        <v>0</v>
      </c>
      <c r="M751" t="n">
        <v>0</v>
      </c>
      <c r="N751" t="n">
        <v>0</v>
      </c>
      <c r="O751" t="n">
        <v>0</v>
      </c>
      <c r="P751" t="n">
        <v>0</v>
      </c>
      <c r="Q751" t="n">
        <v>0</v>
      </c>
      <c r="R751" s="2" t="inlineStr"/>
    </row>
    <row r="752" ht="15" customHeight="1">
      <c r="A752" t="inlineStr">
        <is>
          <t>A 40837-2020</t>
        </is>
      </c>
      <c r="B752" s="1" t="n">
        <v>44067</v>
      </c>
      <c r="C752" s="1" t="n">
        <v>45349</v>
      </c>
      <c r="D752" t="inlineStr">
        <is>
          <t>STOCKHOLMS LÄN</t>
        </is>
      </c>
      <c r="E752" t="inlineStr">
        <is>
          <t>NORRTÄLJE</t>
        </is>
      </c>
      <c r="G752" t="n">
        <v>20.6</v>
      </c>
      <c r="H752" t="n">
        <v>0</v>
      </c>
      <c r="I752" t="n">
        <v>0</v>
      </c>
      <c r="J752" t="n">
        <v>0</v>
      </c>
      <c r="K752" t="n">
        <v>0</v>
      </c>
      <c r="L752" t="n">
        <v>0</v>
      </c>
      <c r="M752" t="n">
        <v>0</v>
      </c>
      <c r="N752" t="n">
        <v>0</v>
      </c>
      <c r="O752" t="n">
        <v>0</v>
      </c>
      <c r="P752" t="n">
        <v>0</v>
      </c>
      <c r="Q752" t="n">
        <v>0</v>
      </c>
      <c r="R752" s="2" t="inlineStr"/>
    </row>
    <row r="753" ht="15" customHeight="1">
      <c r="A753" t="inlineStr">
        <is>
          <t>A 40661-2020</t>
        </is>
      </c>
      <c r="B753" s="1" t="n">
        <v>44069</v>
      </c>
      <c r="C753" s="1" t="n">
        <v>45349</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42247-2020</t>
        </is>
      </c>
      <c r="B754" s="1" t="n">
        <v>44074</v>
      </c>
      <c r="C754" s="1" t="n">
        <v>45349</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42256-2020</t>
        </is>
      </c>
      <c r="B755" s="1" t="n">
        <v>44074</v>
      </c>
      <c r="C755" s="1" t="n">
        <v>45349</v>
      </c>
      <c r="D755" t="inlineStr">
        <is>
          <t>STOCKHOLMS LÄN</t>
        </is>
      </c>
      <c r="E755" t="inlineStr">
        <is>
          <t>NORRTÄLJE</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41694-2020</t>
        </is>
      </c>
      <c r="B756" s="1" t="n">
        <v>44074</v>
      </c>
      <c r="C756" s="1" t="n">
        <v>45349</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42365-2020</t>
        </is>
      </c>
      <c r="B757" s="1" t="n">
        <v>44076</v>
      </c>
      <c r="C757" s="1" t="n">
        <v>45349</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42361-2020</t>
        </is>
      </c>
      <c r="B758" s="1" t="n">
        <v>44076</v>
      </c>
      <c r="C758" s="1" t="n">
        <v>45349</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42455-2020</t>
        </is>
      </c>
      <c r="B759" s="1" t="n">
        <v>44076</v>
      </c>
      <c r="C759" s="1" t="n">
        <v>45349</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43751-2020</t>
        </is>
      </c>
      <c r="B760" s="1" t="n">
        <v>44082</v>
      </c>
      <c r="C760" s="1" t="n">
        <v>45349</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44096-2020</t>
        </is>
      </c>
      <c r="B761" s="1" t="n">
        <v>44083</v>
      </c>
      <c r="C761" s="1" t="n">
        <v>45349</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44071-2020</t>
        </is>
      </c>
      <c r="B762" s="1" t="n">
        <v>44083</v>
      </c>
      <c r="C762" s="1" t="n">
        <v>45349</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44183-2020</t>
        </is>
      </c>
      <c r="B763" s="1" t="n">
        <v>44083</v>
      </c>
      <c r="C763" s="1" t="n">
        <v>45349</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44792-2020</t>
        </is>
      </c>
      <c r="B764" s="1" t="n">
        <v>44085</v>
      </c>
      <c r="C764" s="1" t="n">
        <v>45349</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45988-2020</t>
        </is>
      </c>
      <c r="B765" s="1" t="n">
        <v>44091</v>
      </c>
      <c r="C765" s="1" t="n">
        <v>45349</v>
      </c>
      <c r="D765" t="inlineStr">
        <is>
          <t>STOCKHOLMS LÄN</t>
        </is>
      </c>
      <c r="E765" t="inlineStr">
        <is>
          <t>NORRTÄLJE</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46556-2020</t>
        </is>
      </c>
      <c r="B766" s="1" t="n">
        <v>44095</v>
      </c>
      <c r="C766" s="1" t="n">
        <v>45349</v>
      </c>
      <c r="D766" t="inlineStr">
        <is>
          <t>STOCKHOLMS LÄN</t>
        </is>
      </c>
      <c r="E766" t="inlineStr">
        <is>
          <t>NORRTÄLJE</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47291-2020</t>
        </is>
      </c>
      <c r="B767" s="1" t="n">
        <v>44097</v>
      </c>
      <c r="C767" s="1" t="n">
        <v>45349</v>
      </c>
      <c r="D767" t="inlineStr">
        <is>
          <t>STOCKHOLMS LÄN</t>
        </is>
      </c>
      <c r="E767" t="inlineStr">
        <is>
          <t>NORRTÄLJE</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48392-2020</t>
        </is>
      </c>
      <c r="B768" s="1" t="n">
        <v>44097</v>
      </c>
      <c r="C768" s="1" t="n">
        <v>45349</v>
      </c>
      <c r="D768" t="inlineStr">
        <is>
          <t>STOCKHOLMS LÄN</t>
        </is>
      </c>
      <c r="E768" t="inlineStr">
        <is>
          <t>NORRTÄLJE</t>
        </is>
      </c>
      <c r="G768" t="n">
        <v>12.5</v>
      </c>
      <c r="H768" t="n">
        <v>0</v>
      </c>
      <c r="I768" t="n">
        <v>0</v>
      </c>
      <c r="J768" t="n">
        <v>0</v>
      </c>
      <c r="K768" t="n">
        <v>0</v>
      </c>
      <c r="L768" t="n">
        <v>0</v>
      </c>
      <c r="M768" t="n">
        <v>0</v>
      </c>
      <c r="N768" t="n">
        <v>0</v>
      </c>
      <c r="O768" t="n">
        <v>0</v>
      </c>
      <c r="P768" t="n">
        <v>0</v>
      </c>
      <c r="Q768" t="n">
        <v>0</v>
      </c>
      <c r="R768" s="2" t="inlineStr"/>
    </row>
    <row r="769" ht="15" customHeight="1">
      <c r="A769" t="inlineStr">
        <is>
          <t>A 47869-2020</t>
        </is>
      </c>
      <c r="B769" s="1" t="n">
        <v>44098</v>
      </c>
      <c r="C769" s="1" t="n">
        <v>45349</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47868-2020</t>
        </is>
      </c>
      <c r="B770" s="1" t="n">
        <v>44098</v>
      </c>
      <c r="C770" s="1" t="n">
        <v>45349</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48066-2020</t>
        </is>
      </c>
      <c r="B771" s="1" t="n">
        <v>44100</v>
      </c>
      <c r="C771" s="1" t="n">
        <v>45349</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48071-2020</t>
        </is>
      </c>
      <c r="B772" s="1" t="n">
        <v>44100</v>
      </c>
      <c r="C772" s="1" t="n">
        <v>45349</v>
      </c>
      <c r="D772" t="inlineStr">
        <is>
          <t>STOCKHOLMS LÄN</t>
        </is>
      </c>
      <c r="E772" t="inlineStr">
        <is>
          <t>NORRTÄLJE</t>
        </is>
      </c>
      <c r="G772" t="n">
        <v>6.8</v>
      </c>
      <c r="H772" t="n">
        <v>0</v>
      </c>
      <c r="I772" t="n">
        <v>0</v>
      </c>
      <c r="J772" t="n">
        <v>0</v>
      </c>
      <c r="K772" t="n">
        <v>0</v>
      </c>
      <c r="L772" t="n">
        <v>0</v>
      </c>
      <c r="M772" t="n">
        <v>0</v>
      </c>
      <c r="N772" t="n">
        <v>0</v>
      </c>
      <c r="O772" t="n">
        <v>0</v>
      </c>
      <c r="P772" t="n">
        <v>0</v>
      </c>
      <c r="Q772" t="n">
        <v>0</v>
      </c>
      <c r="R772" s="2" t="inlineStr"/>
    </row>
    <row r="773" ht="15" customHeight="1">
      <c r="A773" t="inlineStr">
        <is>
          <t>A 48496-2020</t>
        </is>
      </c>
      <c r="B773" s="1" t="n">
        <v>44103</v>
      </c>
      <c r="C773" s="1" t="n">
        <v>45349</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48522-2020</t>
        </is>
      </c>
      <c r="B774" s="1" t="n">
        <v>44103</v>
      </c>
      <c r="C774" s="1" t="n">
        <v>45349</v>
      </c>
      <c r="D774" t="inlineStr">
        <is>
          <t>STOCKHOLMS LÄN</t>
        </is>
      </c>
      <c r="E774" t="inlineStr">
        <is>
          <t>NORRTÄLJE</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49334-2020</t>
        </is>
      </c>
      <c r="B775" s="1" t="n">
        <v>44105</v>
      </c>
      <c r="C775" s="1" t="n">
        <v>45349</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49327-2020</t>
        </is>
      </c>
      <c r="B776" s="1" t="n">
        <v>44105</v>
      </c>
      <c r="C776" s="1" t="n">
        <v>45349</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49898-2020</t>
        </is>
      </c>
      <c r="B777" s="1" t="n">
        <v>44108</v>
      </c>
      <c r="C777" s="1" t="n">
        <v>45349</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50497-2020</t>
        </is>
      </c>
      <c r="B778" s="1" t="n">
        <v>44110</v>
      </c>
      <c r="C778" s="1" t="n">
        <v>45349</v>
      </c>
      <c r="D778" t="inlineStr">
        <is>
          <t>STOCKHOLMS LÄN</t>
        </is>
      </c>
      <c r="E778" t="inlineStr">
        <is>
          <t>NORRTÄLJE</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50738-2020</t>
        </is>
      </c>
      <c r="B779" s="1" t="n">
        <v>44111</v>
      </c>
      <c r="C779" s="1" t="n">
        <v>45349</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50746-2020</t>
        </is>
      </c>
      <c r="B780" s="1" t="n">
        <v>44111</v>
      </c>
      <c r="C780" s="1" t="n">
        <v>45349</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50742-2020</t>
        </is>
      </c>
      <c r="B781" s="1" t="n">
        <v>44111</v>
      </c>
      <c r="C781" s="1" t="n">
        <v>45349</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51720-2020</t>
        </is>
      </c>
      <c r="B782" s="1" t="n">
        <v>44113</v>
      </c>
      <c r="C782" s="1" t="n">
        <v>45349</v>
      </c>
      <c r="D782" t="inlineStr">
        <is>
          <t>STOCKHOLMS LÄN</t>
        </is>
      </c>
      <c r="E782" t="inlineStr">
        <is>
          <t>NORRTÄLJE</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51787-2020</t>
        </is>
      </c>
      <c r="B783" s="1" t="n">
        <v>44116</v>
      </c>
      <c r="C783" s="1" t="n">
        <v>45349</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51798-2020</t>
        </is>
      </c>
      <c r="B784" s="1" t="n">
        <v>44116</v>
      </c>
      <c r="C784" s="1" t="n">
        <v>45349</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53768-2020</t>
        </is>
      </c>
      <c r="B785" s="1" t="n">
        <v>44123</v>
      </c>
      <c r="C785" s="1" t="n">
        <v>45349</v>
      </c>
      <c r="D785" t="inlineStr">
        <is>
          <t>STOCKHOLMS LÄN</t>
        </is>
      </c>
      <c r="E785" t="inlineStr">
        <is>
          <t>NORRTÄLJE</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53652-2020</t>
        </is>
      </c>
      <c r="B786" s="1" t="n">
        <v>44124</v>
      </c>
      <c r="C786" s="1" t="n">
        <v>45349</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53690-2020</t>
        </is>
      </c>
      <c r="B787" s="1" t="n">
        <v>44124</v>
      </c>
      <c r="C787" s="1" t="n">
        <v>45349</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45349</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55089-2020</t>
        </is>
      </c>
      <c r="B789" s="1" t="n">
        <v>44130</v>
      </c>
      <c r="C789" s="1" t="n">
        <v>45349</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55895-2020</t>
        </is>
      </c>
      <c r="B790" s="1" t="n">
        <v>44132</v>
      </c>
      <c r="C790" s="1" t="n">
        <v>45349</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55890-2020</t>
        </is>
      </c>
      <c r="B791" s="1" t="n">
        <v>44132</v>
      </c>
      <c r="C791" s="1" t="n">
        <v>45349</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55982-2020</t>
        </is>
      </c>
      <c r="B792" s="1" t="n">
        <v>44132</v>
      </c>
      <c r="C792" s="1" t="n">
        <v>45349</v>
      </c>
      <c r="D792" t="inlineStr">
        <is>
          <t>STOCKHOLMS LÄN</t>
        </is>
      </c>
      <c r="E792" t="inlineStr">
        <is>
          <t>NORRTÄLJE</t>
        </is>
      </c>
      <c r="G792" t="n">
        <v>11.3</v>
      </c>
      <c r="H792" t="n">
        <v>0</v>
      </c>
      <c r="I792" t="n">
        <v>0</v>
      </c>
      <c r="J792" t="n">
        <v>0</v>
      </c>
      <c r="K792" t="n">
        <v>0</v>
      </c>
      <c r="L792" t="n">
        <v>0</v>
      </c>
      <c r="M792" t="n">
        <v>0</v>
      </c>
      <c r="N792" t="n">
        <v>0</v>
      </c>
      <c r="O792" t="n">
        <v>0</v>
      </c>
      <c r="P792" t="n">
        <v>0</v>
      </c>
      <c r="Q792" t="n">
        <v>0</v>
      </c>
      <c r="R792" s="2" t="inlineStr"/>
    </row>
    <row r="793" ht="15" customHeight="1">
      <c r="A793" t="inlineStr">
        <is>
          <t>A 56166-2020</t>
        </is>
      </c>
      <c r="B793" s="1" t="n">
        <v>44133</v>
      </c>
      <c r="C793" s="1" t="n">
        <v>45349</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56323-2020</t>
        </is>
      </c>
      <c r="B794" s="1" t="n">
        <v>44134</v>
      </c>
      <c r="C794" s="1" t="n">
        <v>45349</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57216-2020</t>
        </is>
      </c>
      <c r="B795" s="1" t="n">
        <v>44139</v>
      </c>
      <c r="C795" s="1" t="n">
        <v>45349</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57957-2020</t>
        </is>
      </c>
      <c r="B796" s="1" t="n">
        <v>44143</v>
      </c>
      <c r="C796" s="1" t="n">
        <v>45349</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57987-2020</t>
        </is>
      </c>
      <c r="B797" s="1" t="n">
        <v>44143</v>
      </c>
      <c r="C797" s="1" t="n">
        <v>45349</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58493-2020</t>
        </is>
      </c>
      <c r="B798" s="1" t="n">
        <v>44145</v>
      </c>
      <c r="C798" s="1" t="n">
        <v>45349</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58661-2020</t>
        </is>
      </c>
      <c r="B799" s="1" t="n">
        <v>44145</v>
      </c>
      <c r="C799" s="1" t="n">
        <v>45349</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58665-2020</t>
        </is>
      </c>
      <c r="B800" s="1" t="n">
        <v>44145</v>
      </c>
      <c r="C800" s="1" t="n">
        <v>45349</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58888-2020</t>
        </is>
      </c>
      <c r="B801" s="1" t="n">
        <v>44146</v>
      </c>
      <c r="C801" s="1" t="n">
        <v>45349</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60321-2020</t>
        </is>
      </c>
      <c r="B802" s="1" t="n">
        <v>44152</v>
      </c>
      <c r="C802" s="1" t="n">
        <v>45349</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60542-2020</t>
        </is>
      </c>
      <c r="B803" s="1" t="n">
        <v>44153</v>
      </c>
      <c r="C803" s="1" t="n">
        <v>45349</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60977-2020</t>
        </is>
      </c>
      <c r="B804" s="1" t="n">
        <v>44154</v>
      </c>
      <c r="C804" s="1" t="n">
        <v>45349</v>
      </c>
      <c r="D804" t="inlineStr">
        <is>
          <t>STOCKHOLMS LÄN</t>
        </is>
      </c>
      <c r="E804" t="inlineStr">
        <is>
          <t>NORRTÄLJE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60891-2020</t>
        </is>
      </c>
      <c r="B805" s="1" t="n">
        <v>44154</v>
      </c>
      <c r="C805" s="1" t="n">
        <v>45349</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60961-2020</t>
        </is>
      </c>
      <c r="B806" s="1" t="n">
        <v>44154</v>
      </c>
      <c r="C806" s="1" t="n">
        <v>45349</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61195-2020</t>
        </is>
      </c>
      <c r="B807" s="1" t="n">
        <v>44155</v>
      </c>
      <c r="C807" s="1" t="n">
        <v>45349</v>
      </c>
      <c r="D807" t="inlineStr">
        <is>
          <t>STOCKHOLMS LÄN</t>
        </is>
      </c>
      <c r="E807" t="inlineStr">
        <is>
          <t>NORRTÄLJE</t>
        </is>
      </c>
      <c r="G807" t="n">
        <v>7.8</v>
      </c>
      <c r="H807" t="n">
        <v>0</v>
      </c>
      <c r="I807" t="n">
        <v>0</v>
      </c>
      <c r="J807" t="n">
        <v>0</v>
      </c>
      <c r="K807" t="n">
        <v>0</v>
      </c>
      <c r="L807" t="n">
        <v>0</v>
      </c>
      <c r="M807" t="n">
        <v>0</v>
      </c>
      <c r="N807" t="n">
        <v>0</v>
      </c>
      <c r="O807" t="n">
        <v>0</v>
      </c>
      <c r="P807" t="n">
        <v>0</v>
      </c>
      <c r="Q807" t="n">
        <v>0</v>
      </c>
      <c r="R807" s="2" t="inlineStr"/>
    </row>
    <row r="808" ht="15" customHeight="1">
      <c r="A808" t="inlineStr">
        <is>
          <t>A 61221-2020</t>
        </is>
      </c>
      <c r="B808" s="1" t="n">
        <v>44155</v>
      </c>
      <c r="C808" s="1" t="n">
        <v>45349</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61363-2020</t>
        </is>
      </c>
      <c r="B809" s="1" t="n">
        <v>44155</v>
      </c>
      <c r="C809" s="1" t="n">
        <v>45349</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61469-2020</t>
        </is>
      </c>
      <c r="B810" s="1" t="n">
        <v>44155</v>
      </c>
      <c r="C810" s="1" t="n">
        <v>45349</v>
      </c>
      <c r="D810" t="inlineStr">
        <is>
          <t>STOCKHOLMS LÄN</t>
        </is>
      </c>
      <c r="E810" t="inlineStr">
        <is>
          <t>NORRTÄLJE</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61192-2020</t>
        </is>
      </c>
      <c r="B811" s="1" t="n">
        <v>44155</v>
      </c>
      <c r="C811" s="1" t="n">
        <v>45349</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62460-2020</t>
        </is>
      </c>
      <c r="B812" s="1" t="n">
        <v>44160</v>
      </c>
      <c r="C812" s="1" t="n">
        <v>45349</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62854-2020</t>
        </is>
      </c>
      <c r="B813" s="1" t="n">
        <v>44161</v>
      </c>
      <c r="C813" s="1" t="n">
        <v>45349</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63824-2020</t>
        </is>
      </c>
      <c r="B814" s="1" t="n">
        <v>44162</v>
      </c>
      <c r="C814" s="1" t="n">
        <v>45349</v>
      </c>
      <c r="D814" t="inlineStr">
        <is>
          <t>STOCKHOLMS LÄN</t>
        </is>
      </c>
      <c r="E814" t="inlineStr">
        <is>
          <t>NORRTÄLJE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66372-2020</t>
        </is>
      </c>
      <c r="B815" s="1" t="n">
        <v>44176</v>
      </c>
      <c r="C815" s="1" t="n">
        <v>45349</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66907-2020</t>
        </is>
      </c>
      <c r="B816" s="1" t="n">
        <v>44176</v>
      </c>
      <c r="C816" s="1" t="n">
        <v>45349</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67393-2020</t>
        </is>
      </c>
      <c r="B817" s="1" t="n">
        <v>44181</v>
      </c>
      <c r="C817" s="1" t="n">
        <v>45349</v>
      </c>
      <c r="D817" t="inlineStr">
        <is>
          <t>STOCKHOLMS LÄN</t>
        </is>
      </c>
      <c r="E817" t="inlineStr">
        <is>
          <t>NORRTÄLJE</t>
        </is>
      </c>
      <c r="G817" t="n">
        <v>5.5</v>
      </c>
      <c r="H817" t="n">
        <v>0</v>
      </c>
      <c r="I817" t="n">
        <v>0</v>
      </c>
      <c r="J817" t="n">
        <v>0</v>
      </c>
      <c r="K817" t="n">
        <v>0</v>
      </c>
      <c r="L817" t="n">
        <v>0</v>
      </c>
      <c r="M817" t="n">
        <v>0</v>
      </c>
      <c r="N817" t="n">
        <v>0</v>
      </c>
      <c r="O817" t="n">
        <v>0</v>
      </c>
      <c r="P817" t="n">
        <v>0</v>
      </c>
      <c r="Q817" t="n">
        <v>0</v>
      </c>
      <c r="R817" s="2" t="inlineStr"/>
    </row>
    <row r="818" ht="15" customHeight="1">
      <c r="A818" t="inlineStr">
        <is>
          <t>A 68081-2020</t>
        </is>
      </c>
      <c r="B818" s="1" t="n">
        <v>44183</v>
      </c>
      <c r="C818" s="1" t="n">
        <v>45349</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367-2021</t>
        </is>
      </c>
      <c r="B819" s="1" t="n">
        <v>44201</v>
      </c>
      <c r="C819" s="1" t="n">
        <v>45349</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348-2021</t>
        </is>
      </c>
      <c r="B820" s="1" t="n">
        <v>44201</v>
      </c>
      <c r="C820" s="1" t="n">
        <v>45349</v>
      </c>
      <c r="D820" t="inlineStr">
        <is>
          <t>STOCKHOLMS LÄN</t>
        </is>
      </c>
      <c r="E820" t="inlineStr">
        <is>
          <t>NORRTÄLJE</t>
        </is>
      </c>
      <c r="G820" t="n">
        <v>0.1</v>
      </c>
      <c r="H820" t="n">
        <v>0</v>
      </c>
      <c r="I820" t="n">
        <v>0</v>
      </c>
      <c r="J820" t="n">
        <v>0</v>
      </c>
      <c r="K820" t="n">
        <v>0</v>
      </c>
      <c r="L820" t="n">
        <v>0</v>
      </c>
      <c r="M820" t="n">
        <v>0</v>
      </c>
      <c r="N820" t="n">
        <v>0</v>
      </c>
      <c r="O820" t="n">
        <v>0</v>
      </c>
      <c r="P820" t="n">
        <v>0</v>
      </c>
      <c r="Q820" t="n">
        <v>0</v>
      </c>
      <c r="R820" s="2" t="inlineStr"/>
    </row>
    <row r="821" ht="15" customHeight="1">
      <c r="A821" t="inlineStr">
        <is>
          <t>A 1637-2021</t>
        </is>
      </c>
      <c r="B821" s="1" t="n">
        <v>44209</v>
      </c>
      <c r="C821" s="1" t="n">
        <v>45349</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1970-2021</t>
        </is>
      </c>
      <c r="B822" s="1" t="n">
        <v>44210</v>
      </c>
      <c r="C822" s="1" t="n">
        <v>45349</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2447-2021</t>
        </is>
      </c>
      <c r="B823" s="1" t="n">
        <v>44214</v>
      </c>
      <c r="C823" s="1" t="n">
        <v>45349</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2976-2021</t>
        </is>
      </c>
      <c r="B824" s="1" t="n">
        <v>44216</v>
      </c>
      <c r="C824" s="1" t="n">
        <v>45349</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3143-2021</t>
        </is>
      </c>
      <c r="B825" s="1" t="n">
        <v>44217</v>
      </c>
      <c r="C825" s="1" t="n">
        <v>45349</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3386-2021</t>
        </is>
      </c>
      <c r="B826" s="1" t="n">
        <v>44218</v>
      </c>
      <c r="C826" s="1" t="n">
        <v>45349</v>
      </c>
      <c r="D826" t="inlineStr">
        <is>
          <t>STOCKHOLMS LÄN</t>
        </is>
      </c>
      <c r="E826" t="inlineStr">
        <is>
          <t>NORRTÄLJE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4634-2021</t>
        </is>
      </c>
      <c r="B827" s="1" t="n">
        <v>44224</v>
      </c>
      <c r="C827" s="1" t="n">
        <v>45349</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4632-2021</t>
        </is>
      </c>
      <c r="B828" s="1" t="n">
        <v>44224</v>
      </c>
      <c r="C828" s="1" t="n">
        <v>45349</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5037-2021</t>
        </is>
      </c>
      <c r="B829" s="1" t="n">
        <v>44228</v>
      </c>
      <c r="C829" s="1" t="n">
        <v>45349</v>
      </c>
      <c r="D829" t="inlineStr">
        <is>
          <t>STOCKHOLMS LÄN</t>
        </is>
      </c>
      <c r="E829" t="inlineStr">
        <is>
          <t>NORRTÄLJE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5562-2021</t>
        </is>
      </c>
      <c r="B830" s="1" t="n">
        <v>44230</v>
      </c>
      <c r="C830" s="1" t="n">
        <v>45349</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5566-2021</t>
        </is>
      </c>
      <c r="B831" s="1" t="n">
        <v>44230</v>
      </c>
      <c r="C831" s="1" t="n">
        <v>45349</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45349</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6049-2021</t>
        </is>
      </c>
      <c r="B833" s="1" t="n">
        <v>44231</v>
      </c>
      <c r="C833" s="1" t="n">
        <v>45349</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7903-2021</t>
        </is>
      </c>
      <c r="B834" s="1" t="n">
        <v>44243</v>
      </c>
      <c r="C834" s="1" t="n">
        <v>45349</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7999-2021</t>
        </is>
      </c>
      <c r="B835" s="1" t="n">
        <v>44243</v>
      </c>
      <c r="C835" s="1" t="n">
        <v>45349</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8338-2021</t>
        </is>
      </c>
      <c r="B836" s="1" t="n">
        <v>44244</v>
      </c>
      <c r="C836" s="1" t="n">
        <v>45349</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9467-2021</t>
        </is>
      </c>
      <c r="B837" s="1" t="n">
        <v>44251</v>
      </c>
      <c r="C837" s="1" t="n">
        <v>45349</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45349</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9446-2021</t>
        </is>
      </c>
      <c r="B839" s="1" t="n">
        <v>44251</v>
      </c>
      <c r="C839" s="1" t="n">
        <v>45349</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9719-2021</t>
        </is>
      </c>
      <c r="B840" s="1" t="n">
        <v>44252</v>
      </c>
      <c r="C840" s="1" t="n">
        <v>45349</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45349</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10687-2021</t>
        </is>
      </c>
      <c r="B842" s="1" t="n">
        <v>44258</v>
      </c>
      <c r="C842" s="1" t="n">
        <v>45349</v>
      </c>
      <c r="D842" t="inlineStr">
        <is>
          <t>STOCKHOLMS LÄN</t>
        </is>
      </c>
      <c r="E842" t="inlineStr">
        <is>
          <t>NORRTÄLJE</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10684-2021</t>
        </is>
      </c>
      <c r="B843" s="1" t="n">
        <v>44258</v>
      </c>
      <c r="C843" s="1" t="n">
        <v>45349</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45349</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11438-2021</t>
        </is>
      </c>
      <c r="B845" s="1" t="n">
        <v>44263</v>
      </c>
      <c r="C845" s="1" t="n">
        <v>45349</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11988-2021</t>
        </is>
      </c>
      <c r="B846" s="1" t="n">
        <v>44266</v>
      </c>
      <c r="C846" s="1" t="n">
        <v>45349</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12031-2021</t>
        </is>
      </c>
      <c r="B847" s="1" t="n">
        <v>44266</v>
      </c>
      <c r="C847" s="1" t="n">
        <v>45349</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12111-2021</t>
        </is>
      </c>
      <c r="B848" s="1" t="n">
        <v>44266</v>
      </c>
      <c r="C848" s="1" t="n">
        <v>45349</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45349</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12564-2021</t>
        </is>
      </c>
      <c r="B850" s="1" t="n">
        <v>44270</v>
      </c>
      <c r="C850" s="1" t="n">
        <v>45349</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12779-2021</t>
        </is>
      </c>
      <c r="B851" s="1" t="n">
        <v>44270</v>
      </c>
      <c r="C851" s="1" t="n">
        <v>45349</v>
      </c>
      <c r="D851" t="inlineStr">
        <is>
          <t>STOCKHOLMS LÄN</t>
        </is>
      </c>
      <c r="E851" t="inlineStr">
        <is>
          <t>NORRTÄLJE</t>
        </is>
      </c>
      <c r="G851" t="n">
        <v>10.8</v>
      </c>
      <c r="H851" t="n">
        <v>0</v>
      </c>
      <c r="I851" t="n">
        <v>0</v>
      </c>
      <c r="J851" t="n">
        <v>0</v>
      </c>
      <c r="K851" t="n">
        <v>0</v>
      </c>
      <c r="L851" t="n">
        <v>0</v>
      </c>
      <c r="M851" t="n">
        <v>0</v>
      </c>
      <c r="N851" t="n">
        <v>0</v>
      </c>
      <c r="O851" t="n">
        <v>0</v>
      </c>
      <c r="P851" t="n">
        <v>0</v>
      </c>
      <c r="Q851" t="n">
        <v>0</v>
      </c>
      <c r="R851" s="2" t="inlineStr"/>
    </row>
    <row r="852" ht="15" customHeight="1">
      <c r="A852" t="inlineStr">
        <is>
          <t>A 12782-2021</t>
        </is>
      </c>
      <c r="B852" s="1" t="n">
        <v>44270</v>
      </c>
      <c r="C852" s="1" t="n">
        <v>45349</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13051-2021</t>
        </is>
      </c>
      <c r="B853" s="1" t="n">
        <v>44272</v>
      </c>
      <c r="C853" s="1" t="n">
        <v>45349</v>
      </c>
      <c r="D853" t="inlineStr">
        <is>
          <t>STOCKHOLMS LÄN</t>
        </is>
      </c>
      <c r="E853" t="inlineStr">
        <is>
          <t>NORRTÄLJE</t>
        </is>
      </c>
      <c r="G853" t="n">
        <v>9.1</v>
      </c>
      <c r="H853" t="n">
        <v>0</v>
      </c>
      <c r="I853" t="n">
        <v>0</v>
      </c>
      <c r="J853" t="n">
        <v>0</v>
      </c>
      <c r="K853" t="n">
        <v>0</v>
      </c>
      <c r="L853" t="n">
        <v>0</v>
      </c>
      <c r="M853" t="n">
        <v>0</v>
      </c>
      <c r="N853" t="n">
        <v>0</v>
      </c>
      <c r="O853" t="n">
        <v>0</v>
      </c>
      <c r="P853" t="n">
        <v>0</v>
      </c>
      <c r="Q853" t="n">
        <v>0</v>
      </c>
      <c r="R853" s="2" t="inlineStr"/>
    </row>
    <row r="854" ht="15" customHeight="1">
      <c r="A854" t="inlineStr">
        <is>
          <t>A 13148-2021</t>
        </is>
      </c>
      <c r="B854" s="1" t="n">
        <v>44272</v>
      </c>
      <c r="C854" s="1" t="n">
        <v>45349</v>
      </c>
      <c r="D854" t="inlineStr">
        <is>
          <t>STOCKHOLMS LÄN</t>
        </is>
      </c>
      <c r="E854" t="inlineStr">
        <is>
          <t>NORRTÄLJE</t>
        </is>
      </c>
      <c r="G854" t="n">
        <v>12.4</v>
      </c>
      <c r="H854" t="n">
        <v>0</v>
      </c>
      <c r="I854" t="n">
        <v>0</v>
      </c>
      <c r="J854" t="n">
        <v>0</v>
      </c>
      <c r="K854" t="n">
        <v>0</v>
      </c>
      <c r="L854" t="n">
        <v>0</v>
      </c>
      <c r="M854" t="n">
        <v>0</v>
      </c>
      <c r="N854" t="n">
        <v>0</v>
      </c>
      <c r="O854" t="n">
        <v>0</v>
      </c>
      <c r="P854" t="n">
        <v>0</v>
      </c>
      <c r="Q854" t="n">
        <v>0</v>
      </c>
      <c r="R854" s="2" t="inlineStr"/>
    </row>
    <row r="855" ht="15" customHeight="1">
      <c r="A855" t="inlineStr">
        <is>
          <t>A 13736-2021</t>
        </is>
      </c>
      <c r="B855" s="1" t="n">
        <v>44274</v>
      </c>
      <c r="C855" s="1" t="n">
        <v>45349</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13752-2021</t>
        </is>
      </c>
      <c r="B856" s="1" t="n">
        <v>44274</v>
      </c>
      <c r="C856" s="1" t="n">
        <v>45349</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14381-2021</t>
        </is>
      </c>
      <c r="B857" s="1" t="n">
        <v>44279</v>
      </c>
      <c r="C857" s="1" t="n">
        <v>45349</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14922-2021</t>
        </is>
      </c>
      <c r="B858" s="1" t="n">
        <v>44281</v>
      </c>
      <c r="C858" s="1" t="n">
        <v>45349</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14933-2021</t>
        </is>
      </c>
      <c r="B859" s="1" t="n">
        <v>44281</v>
      </c>
      <c r="C859" s="1" t="n">
        <v>45349</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15289-2021</t>
        </is>
      </c>
      <c r="B860" s="1" t="n">
        <v>44284</v>
      </c>
      <c r="C860" s="1" t="n">
        <v>45349</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15441-2021</t>
        </is>
      </c>
      <c r="B861" s="1" t="n">
        <v>44284</v>
      </c>
      <c r="C861" s="1" t="n">
        <v>45349</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15552-2021</t>
        </is>
      </c>
      <c r="B862" s="1" t="n">
        <v>44285</v>
      </c>
      <c r="C862" s="1" t="n">
        <v>45349</v>
      </c>
      <c r="D862" t="inlineStr">
        <is>
          <t>STOCKHOLMS LÄN</t>
        </is>
      </c>
      <c r="E862" t="inlineStr">
        <is>
          <t>NORRTÄLJE</t>
        </is>
      </c>
      <c r="G862" t="n">
        <v>10</v>
      </c>
      <c r="H862" t="n">
        <v>0</v>
      </c>
      <c r="I862" t="n">
        <v>0</v>
      </c>
      <c r="J862" t="n">
        <v>0</v>
      </c>
      <c r="K862" t="n">
        <v>0</v>
      </c>
      <c r="L862" t="n">
        <v>0</v>
      </c>
      <c r="M862" t="n">
        <v>0</v>
      </c>
      <c r="N862" t="n">
        <v>0</v>
      </c>
      <c r="O862" t="n">
        <v>0</v>
      </c>
      <c r="P862" t="n">
        <v>0</v>
      </c>
      <c r="Q862" t="n">
        <v>0</v>
      </c>
      <c r="R862" s="2" t="inlineStr"/>
    </row>
    <row r="863" ht="15" customHeight="1">
      <c r="A863" t="inlineStr">
        <is>
          <t>A 16668-2021</t>
        </is>
      </c>
      <c r="B863" s="1" t="n">
        <v>44294</v>
      </c>
      <c r="C863" s="1" t="n">
        <v>45349</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17460-2021</t>
        </is>
      </c>
      <c r="B864" s="1" t="n">
        <v>44299</v>
      </c>
      <c r="C864" s="1" t="n">
        <v>45349</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17703-2021</t>
        </is>
      </c>
      <c r="B865" s="1" t="n">
        <v>44300</v>
      </c>
      <c r="C865" s="1" t="n">
        <v>45349</v>
      </c>
      <c r="D865" t="inlineStr">
        <is>
          <t>STOCKHOLMS LÄN</t>
        </is>
      </c>
      <c r="E865" t="inlineStr">
        <is>
          <t>NORRTÄLJE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18580-2021</t>
        </is>
      </c>
      <c r="B866" s="1" t="n">
        <v>44306</v>
      </c>
      <c r="C866" s="1" t="n">
        <v>45349</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18609-2021</t>
        </is>
      </c>
      <c r="B867" s="1" t="n">
        <v>44306</v>
      </c>
      <c r="C867" s="1" t="n">
        <v>45349</v>
      </c>
      <c r="D867" t="inlineStr">
        <is>
          <t>STOCKHOLMS LÄN</t>
        </is>
      </c>
      <c r="E867" t="inlineStr">
        <is>
          <t>NORRTÄLJE</t>
        </is>
      </c>
      <c r="G867" t="n">
        <v>9.5</v>
      </c>
      <c r="H867" t="n">
        <v>0</v>
      </c>
      <c r="I867" t="n">
        <v>0</v>
      </c>
      <c r="J867" t="n">
        <v>0</v>
      </c>
      <c r="K867" t="n">
        <v>0</v>
      </c>
      <c r="L867" t="n">
        <v>0</v>
      </c>
      <c r="M867" t="n">
        <v>0</v>
      </c>
      <c r="N867" t="n">
        <v>0</v>
      </c>
      <c r="O867" t="n">
        <v>0</v>
      </c>
      <c r="P867" t="n">
        <v>0</v>
      </c>
      <c r="Q867" t="n">
        <v>0</v>
      </c>
      <c r="R867" s="2" t="inlineStr"/>
    </row>
    <row r="868" ht="15" customHeight="1">
      <c r="A868" t="inlineStr">
        <is>
          <t>A 18539-2021</t>
        </is>
      </c>
      <c r="B868" s="1" t="n">
        <v>44306</v>
      </c>
      <c r="C868" s="1" t="n">
        <v>45349</v>
      </c>
      <c r="D868" t="inlineStr">
        <is>
          <t>STOCKHOLMS LÄN</t>
        </is>
      </c>
      <c r="E868" t="inlineStr">
        <is>
          <t>NORRTÄLJE</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18570-2021</t>
        </is>
      </c>
      <c r="B869" s="1" t="n">
        <v>44306</v>
      </c>
      <c r="C869" s="1" t="n">
        <v>45349</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19283-2021</t>
        </is>
      </c>
      <c r="B870" s="1" t="n">
        <v>44309</v>
      </c>
      <c r="C870" s="1" t="n">
        <v>45349</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19400-2021</t>
        </is>
      </c>
      <c r="B871" s="1" t="n">
        <v>44309</v>
      </c>
      <c r="C871" s="1" t="n">
        <v>45349</v>
      </c>
      <c r="D871" t="inlineStr">
        <is>
          <t>STOCKHOLMS LÄN</t>
        </is>
      </c>
      <c r="E871" t="inlineStr">
        <is>
          <t>NORRTÄLJE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19307-2021</t>
        </is>
      </c>
      <c r="B872" s="1" t="n">
        <v>44309</v>
      </c>
      <c r="C872" s="1" t="n">
        <v>45349</v>
      </c>
      <c r="D872" t="inlineStr">
        <is>
          <t>STOCKHOLMS LÄN</t>
        </is>
      </c>
      <c r="E872" t="inlineStr">
        <is>
          <t>NORRTÄLJE</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19398-2021</t>
        </is>
      </c>
      <c r="B873" s="1" t="n">
        <v>44309</v>
      </c>
      <c r="C873" s="1" t="n">
        <v>45349</v>
      </c>
      <c r="D873" t="inlineStr">
        <is>
          <t>STOCKHOLMS LÄN</t>
        </is>
      </c>
      <c r="E873" t="inlineStr">
        <is>
          <t>NORRTÄLJE</t>
        </is>
      </c>
      <c r="F873" t="inlineStr">
        <is>
          <t>Kommuner</t>
        </is>
      </c>
      <c r="G873" t="n">
        <v>2.1</v>
      </c>
      <c r="H873" t="n">
        <v>0</v>
      </c>
      <c r="I873" t="n">
        <v>0</v>
      </c>
      <c r="J873" t="n">
        <v>0</v>
      </c>
      <c r="K873" t="n">
        <v>0</v>
      </c>
      <c r="L873" t="n">
        <v>0</v>
      </c>
      <c r="M873" t="n">
        <v>0</v>
      </c>
      <c r="N873" t="n">
        <v>0</v>
      </c>
      <c r="O873" t="n">
        <v>0</v>
      </c>
      <c r="P873" t="n">
        <v>0</v>
      </c>
      <c r="Q873" t="n">
        <v>0</v>
      </c>
      <c r="R873" s="2" t="inlineStr"/>
    </row>
    <row r="874" ht="15" customHeight="1">
      <c r="A874" t="inlineStr">
        <is>
          <t>A 20073-2021</t>
        </is>
      </c>
      <c r="B874" s="1" t="n">
        <v>44314</v>
      </c>
      <c r="C874" s="1" t="n">
        <v>45349</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45349</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21291-2021</t>
        </is>
      </c>
      <c r="B876" s="1" t="n">
        <v>44319</v>
      </c>
      <c r="C876" s="1" t="n">
        <v>45349</v>
      </c>
      <c r="D876" t="inlineStr">
        <is>
          <t>STOCKHOLMS LÄN</t>
        </is>
      </c>
      <c r="E876" t="inlineStr">
        <is>
          <t>NORRTÄLJE</t>
        </is>
      </c>
      <c r="G876" t="n">
        <v>12.7</v>
      </c>
      <c r="H876" t="n">
        <v>0</v>
      </c>
      <c r="I876" t="n">
        <v>0</v>
      </c>
      <c r="J876" t="n">
        <v>0</v>
      </c>
      <c r="K876" t="n">
        <v>0</v>
      </c>
      <c r="L876" t="n">
        <v>0</v>
      </c>
      <c r="M876" t="n">
        <v>0</v>
      </c>
      <c r="N876" t="n">
        <v>0</v>
      </c>
      <c r="O876" t="n">
        <v>0</v>
      </c>
      <c r="P876" t="n">
        <v>0</v>
      </c>
      <c r="Q876" t="n">
        <v>0</v>
      </c>
      <c r="R876" s="2" t="inlineStr"/>
    </row>
    <row r="877" ht="15" customHeight="1">
      <c r="A877" t="inlineStr">
        <is>
          <t>A 21529-2021</t>
        </is>
      </c>
      <c r="B877" s="1" t="n">
        <v>44321</v>
      </c>
      <c r="C877" s="1" t="n">
        <v>45349</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45349</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45349</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22369-2021</t>
        </is>
      </c>
      <c r="B880" s="1" t="n">
        <v>44326</v>
      </c>
      <c r="C880" s="1" t="n">
        <v>45349</v>
      </c>
      <c r="D880" t="inlineStr">
        <is>
          <t>STOCKHOLMS LÄN</t>
        </is>
      </c>
      <c r="E880" t="inlineStr">
        <is>
          <t>NORRTÄLJE</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22421-2021</t>
        </is>
      </c>
      <c r="B881" s="1" t="n">
        <v>44326</v>
      </c>
      <c r="C881" s="1" t="n">
        <v>45349</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22412-2021</t>
        </is>
      </c>
      <c r="B882" s="1" t="n">
        <v>44326</v>
      </c>
      <c r="C882" s="1" t="n">
        <v>45349</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23123-2021</t>
        </is>
      </c>
      <c r="B883" s="1" t="n">
        <v>44330</v>
      </c>
      <c r="C883" s="1" t="n">
        <v>45349</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23096-2021</t>
        </is>
      </c>
      <c r="B884" s="1" t="n">
        <v>44330</v>
      </c>
      <c r="C884" s="1" t="n">
        <v>45349</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23122-2021</t>
        </is>
      </c>
      <c r="B885" s="1" t="n">
        <v>44330</v>
      </c>
      <c r="C885" s="1" t="n">
        <v>45349</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23453-2021</t>
        </is>
      </c>
      <c r="B886" s="1" t="n">
        <v>44333</v>
      </c>
      <c r="C886" s="1" t="n">
        <v>45349</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24082-2021</t>
        </is>
      </c>
      <c r="B887" s="1" t="n">
        <v>44336</v>
      </c>
      <c r="C887" s="1" t="n">
        <v>45349</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25463-2021</t>
        </is>
      </c>
      <c r="B888" s="1" t="n">
        <v>44342</v>
      </c>
      <c r="C888" s="1" t="n">
        <v>45349</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27217-2021</t>
        </is>
      </c>
      <c r="B889" s="1" t="n">
        <v>44350</v>
      </c>
      <c r="C889" s="1" t="n">
        <v>45349</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27214-2021</t>
        </is>
      </c>
      <c r="B890" s="1" t="n">
        <v>44350</v>
      </c>
      <c r="C890" s="1" t="n">
        <v>45349</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29357-2021</t>
        </is>
      </c>
      <c r="B891" s="1" t="n">
        <v>44361</v>
      </c>
      <c r="C891" s="1" t="n">
        <v>45349</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29680-2021</t>
        </is>
      </c>
      <c r="B892" s="1" t="n">
        <v>44362</v>
      </c>
      <c r="C892" s="1" t="n">
        <v>45349</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29684-2021</t>
        </is>
      </c>
      <c r="B893" s="1" t="n">
        <v>44362</v>
      </c>
      <c r="C893" s="1" t="n">
        <v>45349</v>
      </c>
      <c r="D893" t="inlineStr">
        <is>
          <t>STOCKHOLMS LÄN</t>
        </is>
      </c>
      <c r="E893" t="inlineStr">
        <is>
          <t>NORRTÄLJE</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30129-2021</t>
        </is>
      </c>
      <c r="B894" s="1" t="n">
        <v>44363</v>
      </c>
      <c r="C894" s="1" t="n">
        <v>45349</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30138-2021</t>
        </is>
      </c>
      <c r="B895" s="1" t="n">
        <v>44363</v>
      </c>
      <c r="C895" s="1" t="n">
        <v>45349</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31688-2021</t>
        </is>
      </c>
      <c r="B896" s="1" t="n">
        <v>44369</v>
      </c>
      <c r="C896" s="1" t="n">
        <v>45349</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32002-2021</t>
        </is>
      </c>
      <c r="B897" s="1" t="n">
        <v>44370</v>
      </c>
      <c r="C897" s="1" t="n">
        <v>45349</v>
      </c>
      <c r="D897" t="inlineStr">
        <is>
          <t>STOCKHOLMS LÄN</t>
        </is>
      </c>
      <c r="E897" t="inlineStr">
        <is>
          <t>NORRTÄLJE</t>
        </is>
      </c>
      <c r="F897" t="inlineStr">
        <is>
          <t>Övriga Aktiebolag</t>
        </is>
      </c>
      <c r="G897" t="n">
        <v>4</v>
      </c>
      <c r="H897" t="n">
        <v>0</v>
      </c>
      <c r="I897" t="n">
        <v>0</v>
      </c>
      <c r="J897" t="n">
        <v>0</v>
      </c>
      <c r="K897" t="n">
        <v>0</v>
      </c>
      <c r="L897" t="n">
        <v>0</v>
      </c>
      <c r="M897" t="n">
        <v>0</v>
      </c>
      <c r="N897" t="n">
        <v>0</v>
      </c>
      <c r="O897" t="n">
        <v>0</v>
      </c>
      <c r="P897" t="n">
        <v>0</v>
      </c>
      <c r="Q897" t="n">
        <v>0</v>
      </c>
      <c r="R897" s="2" t="inlineStr"/>
    </row>
    <row r="898" ht="15" customHeight="1">
      <c r="A898" t="inlineStr">
        <is>
          <t>A 32051-2021</t>
        </is>
      </c>
      <c r="B898" s="1" t="n">
        <v>44370</v>
      </c>
      <c r="C898" s="1" t="n">
        <v>45349</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32055-2021</t>
        </is>
      </c>
      <c r="B899" s="1" t="n">
        <v>44370</v>
      </c>
      <c r="C899" s="1" t="n">
        <v>45349</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32561-2021</t>
        </is>
      </c>
      <c r="B900" s="1" t="n">
        <v>44375</v>
      </c>
      <c r="C900" s="1" t="n">
        <v>45349</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32857-2021</t>
        </is>
      </c>
      <c r="B901" s="1" t="n">
        <v>44375</v>
      </c>
      <c r="C901" s="1" t="n">
        <v>45349</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45349</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33046-2021</t>
        </is>
      </c>
      <c r="B903" s="1" t="n">
        <v>44376</v>
      </c>
      <c r="C903" s="1" t="n">
        <v>45349</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33040-2021</t>
        </is>
      </c>
      <c r="B904" s="1" t="n">
        <v>44376</v>
      </c>
      <c r="C904" s="1" t="n">
        <v>45349</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34520-2021</t>
        </is>
      </c>
      <c r="B905" s="1" t="n">
        <v>44379</v>
      </c>
      <c r="C905" s="1" t="n">
        <v>45349</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34432-2021</t>
        </is>
      </c>
      <c r="B906" s="1" t="n">
        <v>44380</v>
      </c>
      <c r="C906" s="1" t="n">
        <v>45349</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34431-2021</t>
        </is>
      </c>
      <c r="B907" s="1" t="n">
        <v>44380</v>
      </c>
      <c r="C907" s="1" t="n">
        <v>45349</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34436-2021</t>
        </is>
      </c>
      <c r="B908" s="1" t="n">
        <v>44380</v>
      </c>
      <c r="C908" s="1" t="n">
        <v>45349</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34731-2021</t>
        </is>
      </c>
      <c r="B909" s="1" t="n">
        <v>44382</v>
      </c>
      <c r="C909" s="1" t="n">
        <v>45349</v>
      </c>
      <c r="D909" t="inlineStr">
        <is>
          <t>STOCKHOLMS LÄN</t>
        </is>
      </c>
      <c r="E909" t="inlineStr">
        <is>
          <t>NORRTÄLJE</t>
        </is>
      </c>
      <c r="G909" t="n">
        <v>0.2</v>
      </c>
      <c r="H909" t="n">
        <v>0</v>
      </c>
      <c r="I909" t="n">
        <v>0</v>
      </c>
      <c r="J909" t="n">
        <v>0</v>
      </c>
      <c r="K909" t="n">
        <v>0</v>
      </c>
      <c r="L909" t="n">
        <v>0</v>
      </c>
      <c r="M909" t="n">
        <v>0</v>
      </c>
      <c r="N909" t="n">
        <v>0</v>
      </c>
      <c r="O909" t="n">
        <v>0</v>
      </c>
      <c r="P909" t="n">
        <v>0</v>
      </c>
      <c r="Q909" t="n">
        <v>0</v>
      </c>
      <c r="R909" s="2" t="inlineStr"/>
    </row>
    <row r="910" ht="15" customHeight="1">
      <c r="A910" t="inlineStr">
        <is>
          <t>A 34792-2021</t>
        </is>
      </c>
      <c r="B910" s="1" t="n">
        <v>44383</v>
      </c>
      <c r="C910" s="1" t="n">
        <v>45349</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36246-2021</t>
        </is>
      </c>
      <c r="B911" s="1" t="n">
        <v>44390</v>
      </c>
      <c r="C911" s="1" t="n">
        <v>45349</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36565-2021</t>
        </is>
      </c>
      <c r="B912" s="1" t="n">
        <v>44391</v>
      </c>
      <c r="C912" s="1" t="n">
        <v>45349</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37085-2021</t>
        </is>
      </c>
      <c r="B913" s="1" t="n">
        <v>44395</v>
      </c>
      <c r="C913" s="1" t="n">
        <v>45349</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37344-2021</t>
        </is>
      </c>
      <c r="B914" s="1" t="n">
        <v>44397</v>
      </c>
      <c r="C914" s="1" t="n">
        <v>45349</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37415-2021</t>
        </is>
      </c>
      <c r="B915" s="1" t="n">
        <v>44397</v>
      </c>
      <c r="C915" s="1" t="n">
        <v>45349</v>
      </c>
      <c r="D915" t="inlineStr">
        <is>
          <t>STOCKHOLMS LÄN</t>
        </is>
      </c>
      <c r="E915" t="inlineStr">
        <is>
          <t>NORRTÄLJE</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37444-2021</t>
        </is>
      </c>
      <c r="B916" s="1" t="n">
        <v>44398</v>
      </c>
      <c r="C916" s="1" t="n">
        <v>45349</v>
      </c>
      <c r="D916" t="inlineStr">
        <is>
          <t>STOCKHOLMS LÄN</t>
        </is>
      </c>
      <c r="E916" t="inlineStr">
        <is>
          <t>NORRTÄLJE</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37462-2021</t>
        </is>
      </c>
      <c r="B917" s="1" t="n">
        <v>44398</v>
      </c>
      <c r="C917" s="1" t="n">
        <v>45349</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37530-2021</t>
        </is>
      </c>
      <c r="B918" s="1" t="n">
        <v>44399</v>
      </c>
      <c r="C918" s="1" t="n">
        <v>45349</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37522-2021</t>
        </is>
      </c>
      <c r="B919" s="1" t="n">
        <v>44399</v>
      </c>
      <c r="C919" s="1" t="n">
        <v>45349</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37525-2021</t>
        </is>
      </c>
      <c r="B920" s="1" t="n">
        <v>44399</v>
      </c>
      <c r="C920" s="1" t="n">
        <v>45349</v>
      </c>
      <c r="D920" t="inlineStr">
        <is>
          <t>STOCKHOLMS LÄN</t>
        </is>
      </c>
      <c r="E920" t="inlineStr">
        <is>
          <t>NORRTÄLJE</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37712-2021</t>
        </is>
      </c>
      <c r="B921" s="1" t="n">
        <v>44400</v>
      </c>
      <c r="C921" s="1" t="n">
        <v>45349</v>
      </c>
      <c r="D921" t="inlineStr">
        <is>
          <t>STOCKHOLMS LÄN</t>
        </is>
      </c>
      <c r="E921" t="inlineStr">
        <is>
          <t>NORRTÄLJE</t>
        </is>
      </c>
      <c r="G921" t="n">
        <v>22.9</v>
      </c>
      <c r="H921" t="n">
        <v>0</v>
      </c>
      <c r="I921" t="n">
        <v>0</v>
      </c>
      <c r="J921" t="n">
        <v>0</v>
      </c>
      <c r="K921" t="n">
        <v>0</v>
      </c>
      <c r="L921" t="n">
        <v>0</v>
      </c>
      <c r="M921" t="n">
        <v>0</v>
      </c>
      <c r="N921" t="n">
        <v>0</v>
      </c>
      <c r="O921" t="n">
        <v>0</v>
      </c>
      <c r="P921" t="n">
        <v>0</v>
      </c>
      <c r="Q921" t="n">
        <v>0</v>
      </c>
      <c r="R921" s="2" t="inlineStr"/>
    </row>
    <row r="922" ht="15" customHeight="1">
      <c r="A922" t="inlineStr">
        <is>
          <t>A 37859-2021</t>
        </is>
      </c>
      <c r="B922" s="1" t="n">
        <v>44403</v>
      </c>
      <c r="C922" s="1" t="n">
        <v>45349</v>
      </c>
      <c r="D922" t="inlineStr">
        <is>
          <t>STOCKHOLMS LÄN</t>
        </is>
      </c>
      <c r="E922" t="inlineStr">
        <is>
          <t>NORRTÄLJE</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39157-2021</t>
        </is>
      </c>
      <c r="B923" s="1" t="n">
        <v>44412</v>
      </c>
      <c r="C923" s="1" t="n">
        <v>45349</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39496-2021</t>
        </is>
      </c>
      <c r="B924" s="1" t="n">
        <v>44414</v>
      </c>
      <c r="C924" s="1" t="n">
        <v>45349</v>
      </c>
      <c r="D924" t="inlineStr">
        <is>
          <t>STOCKHOLMS LÄN</t>
        </is>
      </c>
      <c r="E924" t="inlineStr">
        <is>
          <t>NORRTÄLJE</t>
        </is>
      </c>
      <c r="G924" t="n">
        <v>4.6</v>
      </c>
      <c r="H924" t="n">
        <v>0</v>
      </c>
      <c r="I924" t="n">
        <v>0</v>
      </c>
      <c r="J924" t="n">
        <v>0</v>
      </c>
      <c r="K924" t="n">
        <v>0</v>
      </c>
      <c r="L924" t="n">
        <v>0</v>
      </c>
      <c r="M924" t="n">
        <v>0</v>
      </c>
      <c r="N924" t="n">
        <v>0</v>
      </c>
      <c r="O924" t="n">
        <v>0</v>
      </c>
      <c r="P924" t="n">
        <v>0</v>
      </c>
      <c r="Q924" t="n">
        <v>0</v>
      </c>
      <c r="R924" s="2" t="inlineStr"/>
    </row>
    <row r="925" ht="15" customHeight="1">
      <c r="A925" t="inlineStr">
        <is>
          <t>A 39497-2021</t>
        </is>
      </c>
      <c r="B925" s="1" t="n">
        <v>44414</v>
      </c>
      <c r="C925" s="1" t="n">
        <v>45349</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40425-2021</t>
        </is>
      </c>
      <c r="B926" s="1" t="n">
        <v>44419</v>
      </c>
      <c r="C926" s="1" t="n">
        <v>45349</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40542-2021</t>
        </is>
      </c>
      <c r="B927" s="1" t="n">
        <v>44420</v>
      </c>
      <c r="C927" s="1" t="n">
        <v>45349</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40546-2021</t>
        </is>
      </c>
      <c r="B928" s="1" t="n">
        <v>44420</v>
      </c>
      <c r="C928" s="1" t="n">
        <v>45349</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41595-2021</t>
        </is>
      </c>
      <c r="B929" s="1" t="n">
        <v>44425</v>
      </c>
      <c r="C929" s="1" t="n">
        <v>45349</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41823-2021</t>
        </is>
      </c>
      <c r="B930" s="1" t="n">
        <v>44425</v>
      </c>
      <c r="C930" s="1" t="n">
        <v>45349</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41822-2021</t>
        </is>
      </c>
      <c r="B931" s="1" t="n">
        <v>44425</v>
      </c>
      <c r="C931" s="1" t="n">
        <v>45349</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42396-2021</t>
        </is>
      </c>
      <c r="B932" s="1" t="n">
        <v>44427</v>
      </c>
      <c r="C932" s="1" t="n">
        <v>45349</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43478-2021</t>
        </is>
      </c>
      <c r="B933" s="1" t="n">
        <v>44432</v>
      </c>
      <c r="C933" s="1" t="n">
        <v>45349</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44274-2021</t>
        </is>
      </c>
      <c r="B934" s="1" t="n">
        <v>44435</v>
      </c>
      <c r="C934" s="1" t="n">
        <v>45349</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47344-2021</t>
        </is>
      </c>
      <c r="B935" s="1" t="n">
        <v>44447</v>
      </c>
      <c r="C935" s="1" t="n">
        <v>45349</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47349-2021</t>
        </is>
      </c>
      <c r="B936" s="1" t="n">
        <v>44447</v>
      </c>
      <c r="C936" s="1" t="n">
        <v>45349</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47691-2021</t>
        </is>
      </c>
      <c r="B937" s="1" t="n">
        <v>44448</v>
      </c>
      <c r="C937" s="1" t="n">
        <v>45349</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48384-2021</t>
        </is>
      </c>
      <c r="B938" s="1" t="n">
        <v>44451</v>
      </c>
      <c r="C938" s="1" t="n">
        <v>45349</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48798-2021</t>
        </is>
      </c>
      <c r="B939" s="1" t="n">
        <v>44452</v>
      </c>
      <c r="C939" s="1" t="n">
        <v>45349</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48932-2021</t>
        </is>
      </c>
      <c r="B940" s="1" t="n">
        <v>44453</v>
      </c>
      <c r="C940" s="1" t="n">
        <v>45349</v>
      </c>
      <c r="D940" t="inlineStr">
        <is>
          <t>STOCKHOLMS LÄN</t>
        </is>
      </c>
      <c r="E940" t="inlineStr">
        <is>
          <t>NORRTÄLJE</t>
        </is>
      </c>
      <c r="G940" t="n">
        <v>11.2</v>
      </c>
      <c r="H940" t="n">
        <v>0</v>
      </c>
      <c r="I940" t="n">
        <v>0</v>
      </c>
      <c r="J940" t="n">
        <v>0</v>
      </c>
      <c r="K940" t="n">
        <v>0</v>
      </c>
      <c r="L940" t="n">
        <v>0</v>
      </c>
      <c r="M940" t="n">
        <v>0</v>
      </c>
      <c r="N940" t="n">
        <v>0</v>
      </c>
      <c r="O940" t="n">
        <v>0</v>
      </c>
      <c r="P940" t="n">
        <v>0</v>
      </c>
      <c r="Q940" t="n">
        <v>0</v>
      </c>
      <c r="R940" s="2" t="inlineStr"/>
    </row>
    <row r="941" ht="15" customHeight="1">
      <c r="A941" t="inlineStr">
        <is>
          <t>A 49113-2021</t>
        </is>
      </c>
      <c r="B941" s="1" t="n">
        <v>44453</v>
      </c>
      <c r="C941" s="1" t="n">
        <v>45349</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50038-2021</t>
        </is>
      </c>
      <c r="B942" s="1" t="n">
        <v>44456</v>
      </c>
      <c r="C942" s="1" t="n">
        <v>45349</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45349</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50252-2021</t>
        </is>
      </c>
      <c r="B944" s="1" t="n">
        <v>44458</v>
      </c>
      <c r="C944" s="1" t="n">
        <v>45349</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50602-2021</t>
        </is>
      </c>
      <c r="B945" s="1" t="n">
        <v>44459</v>
      </c>
      <c r="C945" s="1" t="n">
        <v>45349</v>
      </c>
      <c r="D945" t="inlineStr">
        <is>
          <t>STOCKHOLMS LÄN</t>
        </is>
      </c>
      <c r="E945" t="inlineStr">
        <is>
          <t>NORRTÄLJE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51279-2021</t>
        </is>
      </c>
      <c r="B946" s="1" t="n">
        <v>44461</v>
      </c>
      <c r="C946" s="1" t="n">
        <v>45349</v>
      </c>
      <c r="D946" t="inlineStr">
        <is>
          <t>STOCKHOLMS LÄN</t>
        </is>
      </c>
      <c r="E946" t="inlineStr">
        <is>
          <t>NORRTÄLJE</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51315-2021</t>
        </is>
      </c>
      <c r="B947" s="1" t="n">
        <v>44461</v>
      </c>
      <c r="C947" s="1" t="n">
        <v>45349</v>
      </c>
      <c r="D947" t="inlineStr">
        <is>
          <t>STOCKHOLMS LÄN</t>
        </is>
      </c>
      <c r="E947" t="inlineStr">
        <is>
          <t>NORRTÄLJE</t>
        </is>
      </c>
      <c r="F947" t="inlineStr">
        <is>
          <t>Holmen skog AB</t>
        </is>
      </c>
      <c r="G947" t="n">
        <v>2.2</v>
      </c>
      <c r="H947" t="n">
        <v>0</v>
      </c>
      <c r="I947" t="n">
        <v>0</v>
      </c>
      <c r="J947" t="n">
        <v>0</v>
      </c>
      <c r="K947" t="n">
        <v>0</v>
      </c>
      <c r="L947" t="n">
        <v>0</v>
      </c>
      <c r="M947" t="n">
        <v>0</v>
      </c>
      <c r="N947" t="n">
        <v>0</v>
      </c>
      <c r="O947" t="n">
        <v>0</v>
      </c>
      <c r="P947" t="n">
        <v>0</v>
      </c>
      <c r="Q947" t="n">
        <v>0</v>
      </c>
      <c r="R947" s="2" t="inlineStr"/>
    </row>
    <row r="948" ht="15" customHeight="1">
      <c r="A948" t="inlineStr">
        <is>
          <t>A 52090-2021</t>
        </is>
      </c>
      <c r="B948" s="1" t="n">
        <v>44463</v>
      </c>
      <c r="C948" s="1" t="n">
        <v>45349</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52449-2021</t>
        </is>
      </c>
      <c r="B949" s="1" t="n">
        <v>44466</v>
      </c>
      <c r="C949" s="1" t="n">
        <v>45349</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54276-2021</t>
        </is>
      </c>
      <c r="B950" s="1" t="n">
        <v>44470</v>
      </c>
      <c r="C950" s="1" t="n">
        <v>45349</v>
      </c>
      <c r="D950" t="inlineStr">
        <is>
          <t>STOCKHOLMS LÄN</t>
        </is>
      </c>
      <c r="E950" t="inlineStr">
        <is>
          <t>NORRTÄLJE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54273-2021</t>
        </is>
      </c>
      <c r="B951" s="1" t="n">
        <v>44470</v>
      </c>
      <c r="C951" s="1" t="n">
        <v>45349</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54272-2021</t>
        </is>
      </c>
      <c r="B952" s="1" t="n">
        <v>44470</v>
      </c>
      <c r="C952" s="1" t="n">
        <v>45349</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54396-2021</t>
        </is>
      </c>
      <c r="B953" s="1" t="n">
        <v>44472</v>
      </c>
      <c r="C953" s="1" t="n">
        <v>45349</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55058-2021</t>
        </is>
      </c>
      <c r="B954" s="1" t="n">
        <v>44474</v>
      </c>
      <c r="C954" s="1" t="n">
        <v>45349</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56219-2021</t>
        </is>
      </c>
      <c r="B955" s="1" t="n">
        <v>44477</v>
      </c>
      <c r="C955" s="1" t="n">
        <v>45349</v>
      </c>
      <c r="D955" t="inlineStr">
        <is>
          <t>STOCKHOLMS LÄN</t>
        </is>
      </c>
      <c r="E955" t="inlineStr">
        <is>
          <t>NORRTÄLJE</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56225-2021</t>
        </is>
      </c>
      <c r="B956" s="1" t="n">
        <v>44478</v>
      </c>
      <c r="C956" s="1" t="n">
        <v>45349</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56878-2021</t>
        </is>
      </c>
      <c r="B957" s="1" t="n">
        <v>44481</v>
      </c>
      <c r="C957" s="1" t="n">
        <v>45349</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57442-2021</t>
        </is>
      </c>
      <c r="B958" s="1" t="n">
        <v>44483</v>
      </c>
      <c r="C958" s="1" t="n">
        <v>45349</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57507-2021</t>
        </is>
      </c>
      <c r="B959" s="1" t="n">
        <v>44483</v>
      </c>
      <c r="C959" s="1" t="n">
        <v>45349</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v>
      </c>
      <c r="C960" s="1" t="n">
        <v>45349</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58990-2021</t>
        </is>
      </c>
      <c r="B961" s="1" t="n">
        <v>44490</v>
      </c>
      <c r="C961" s="1" t="n">
        <v>45349</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v>
      </c>
      <c r="C962" s="1" t="n">
        <v>45349</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60184-2021</t>
        </is>
      </c>
      <c r="B963" s="1" t="n">
        <v>44495</v>
      </c>
      <c r="C963" s="1" t="n">
        <v>45349</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60186-2021</t>
        </is>
      </c>
      <c r="B964" s="1" t="n">
        <v>44495</v>
      </c>
      <c r="C964" s="1" t="n">
        <v>45349</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60209-2021</t>
        </is>
      </c>
      <c r="B965" s="1" t="n">
        <v>44495</v>
      </c>
      <c r="C965" s="1" t="n">
        <v>45349</v>
      </c>
      <c r="D965" t="inlineStr">
        <is>
          <t>STOCKHOLMS LÄN</t>
        </is>
      </c>
      <c r="E965" t="inlineStr">
        <is>
          <t>NORRTÄLJE</t>
        </is>
      </c>
      <c r="G965" t="n">
        <v>4.3</v>
      </c>
      <c r="H965" t="n">
        <v>0</v>
      </c>
      <c r="I965" t="n">
        <v>0</v>
      </c>
      <c r="J965" t="n">
        <v>0</v>
      </c>
      <c r="K965" t="n">
        <v>0</v>
      </c>
      <c r="L965" t="n">
        <v>0</v>
      </c>
      <c r="M965" t="n">
        <v>0</v>
      </c>
      <c r="N965" t="n">
        <v>0</v>
      </c>
      <c r="O965" t="n">
        <v>0</v>
      </c>
      <c r="P965" t="n">
        <v>0</v>
      </c>
      <c r="Q965" t="n">
        <v>0</v>
      </c>
      <c r="R965" s="2" t="inlineStr"/>
    </row>
    <row r="966" ht="15" customHeight="1">
      <c r="A966" t="inlineStr">
        <is>
          <t>A 60671-2021</t>
        </is>
      </c>
      <c r="B966" s="1" t="n">
        <v>44496</v>
      </c>
      <c r="C966" s="1" t="n">
        <v>45349</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60733-2021</t>
        </is>
      </c>
      <c r="B967" s="1" t="n">
        <v>44496</v>
      </c>
      <c r="C967" s="1" t="n">
        <v>45349</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60813-2021</t>
        </is>
      </c>
      <c r="B968" s="1" t="n">
        <v>44496</v>
      </c>
      <c r="C968" s="1" t="n">
        <v>45349</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60822-2021</t>
        </is>
      </c>
      <c r="B969" s="1" t="n">
        <v>44496</v>
      </c>
      <c r="C969" s="1" t="n">
        <v>45349</v>
      </c>
      <c r="D969" t="inlineStr">
        <is>
          <t>STOCKHOLMS LÄN</t>
        </is>
      </c>
      <c r="E969" t="inlineStr">
        <is>
          <t>NORRTÄLJE</t>
        </is>
      </c>
      <c r="G969" t="n">
        <v>7.6</v>
      </c>
      <c r="H969" t="n">
        <v>0</v>
      </c>
      <c r="I969" t="n">
        <v>0</v>
      </c>
      <c r="J969" t="n">
        <v>0</v>
      </c>
      <c r="K969" t="n">
        <v>0</v>
      </c>
      <c r="L969" t="n">
        <v>0</v>
      </c>
      <c r="M969" t="n">
        <v>0</v>
      </c>
      <c r="N969" t="n">
        <v>0</v>
      </c>
      <c r="O969" t="n">
        <v>0</v>
      </c>
      <c r="P969" t="n">
        <v>0</v>
      </c>
      <c r="Q969" t="n">
        <v>0</v>
      </c>
      <c r="R969" s="2" t="inlineStr"/>
    </row>
    <row r="970" ht="15" customHeight="1">
      <c r="A970" t="inlineStr">
        <is>
          <t>A 62030-2021</t>
        </is>
      </c>
      <c r="B970" s="1" t="n">
        <v>44502</v>
      </c>
      <c r="C970" s="1" t="n">
        <v>45349</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63530-2021</t>
        </is>
      </c>
      <c r="B971" s="1" t="n">
        <v>44508</v>
      </c>
      <c r="C971" s="1" t="n">
        <v>45349</v>
      </c>
      <c r="D971" t="inlineStr">
        <is>
          <t>STOCKHOLMS LÄN</t>
        </is>
      </c>
      <c r="E971" t="inlineStr">
        <is>
          <t>NORRTÄLJE</t>
        </is>
      </c>
      <c r="G971" t="n">
        <v>8.9</v>
      </c>
      <c r="H971" t="n">
        <v>0</v>
      </c>
      <c r="I971" t="n">
        <v>0</v>
      </c>
      <c r="J971" t="n">
        <v>0</v>
      </c>
      <c r="K971" t="n">
        <v>0</v>
      </c>
      <c r="L971" t="n">
        <v>0</v>
      </c>
      <c r="M971" t="n">
        <v>0</v>
      </c>
      <c r="N971" t="n">
        <v>0</v>
      </c>
      <c r="O971" t="n">
        <v>0</v>
      </c>
      <c r="P971" t="n">
        <v>0</v>
      </c>
      <c r="Q971" t="n">
        <v>0</v>
      </c>
      <c r="R971" s="2" t="inlineStr"/>
    </row>
    <row r="972" ht="15" customHeight="1">
      <c r="A972" t="inlineStr">
        <is>
          <t>A 64137-2021</t>
        </is>
      </c>
      <c r="B972" s="1" t="n">
        <v>44510</v>
      </c>
      <c r="C972" s="1" t="n">
        <v>45349</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64212-2021</t>
        </is>
      </c>
      <c r="B973" s="1" t="n">
        <v>44510</v>
      </c>
      <c r="C973" s="1" t="n">
        <v>45349</v>
      </c>
      <c r="D973" t="inlineStr">
        <is>
          <t>STOCKHOLMS LÄN</t>
        </is>
      </c>
      <c r="E973" t="inlineStr">
        <is>
          <t>NORRTÄLJE</t>
        </is>
      </c>
      <c r="G973" t="n">
        <v>28.7</v>
      </c>
      <c r="H973" t="n">
        <v>0</v>
      </c>
      <c r="I973" t="n">
        <v>0</v>
      </c>
      <c r="J973" t="n">
        <v>0</v>
      </c>
      <c r="K973" t="n">
        <v>0</v>
      </c>
      <c r="L973" t="n">
        <v>0</v>
      </c>
      <c r="M973" t="n">
        <v>0</v>
      </c>
      <c r="N973" t="n">
        <v>0</v>
      </c>
      <c r="O973" t="n">
        <v>0</v>
      </c>
      <c r="P973" t="n">
        <v>0</v>
      </c>
      <c r="Q973" t="n">
        <v>0</v>
      </c>
      <c r="R973" s="2" t="inlineStr"/>
    </row>
    <row r="974" ht="15" customHeight="1">
      <c r="A974" t="inlineStr">
        <is>
          <t>A 64074-2021</t>
        </is>
      </c>
      <c r="B974" s="1" t="n">
        <v>44510</v>
      </c>
      <c r="C974" s="1" t="n">
        <v>45349</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64145-2021</t>
        </is>
      </c>
      <c r="B975" s="1" t="n">
        <v>44510</v>
      </c>
      <c r="C975" s="1" t="n">
        <v>45349</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64600-2021</t>
        </is>
      </c>
      <c r="B976" s="1" t="n">
        <v>44511</v>
      </c>
      <c r="C976" s="1" t="n">
        <v>45349</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64599-2021</t>
        </is>
      </c>
      <c r="B977" s="1" t="n">
        <v>44511</v>
      </c>
      <c r="C977" s="1" t="n">
        <v>45349</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64628-2021</t>
        </is>
      </c>
      <c r="B978" s="1" t="n">
        <v>44511</v>
      </c>
      <c r="C978" s="1" t="n">
        <v>45349</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64915-2021</t>
        </is>
      </c>
      <c r="B979" s="1" t="n">
        <v>44512</v>
      </c>
      <c r="C979" s="1" t="n">
        <v>45349</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65359-2021</t>
        </is>
      </c>
      <c r="B980" s="1" t="n">
        <v>44515</v>
      </c>
      <c r="C980" s="1" t="n">
        <v>45349</v>
      </c>
      <c r="D980" t="inlineStr">
        <is>
          <t>STOCKHOLMS LÄN</t>
        </is>
      </c>
      <c r="E980" t="inlineStr">
        <is>
          <t>NORRTÄLJE</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45349</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65513-2021</t>
        </is>
      </c>
      <c r="B982" s="1" t="n">
        <v>44516</v>
      </c>
      <c r="C982" s="1" t="n">
        <v>45349</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65511-2021</t>
        </is>
      </c>
      <c r="B983" s="1" t="n">
        <v>44516</v>
      </c>
      <c r="C983" s="1" t="n">
        <v>45349</v>
      </c>
      <c r="D983" t="inlineStr">
        <is>
          <t>STOCKHOLMS LÄN</t>
        </is>
      </c>
      <c r="E983" t="inlineStr">
        <is>
          <t>NORRTÄLJE</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65501-2021</t>
        </is>
      </c>
      <c r="B984" s="1" t="n">
        <v>44516</v>
      </c>
      <c r="C984" s="1" t="n">
        <v>45349</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65509-2021</t>
        </is>
      </c>
      <c r="B985" s="1" t="n">
        <v>44516</v>
      </c>
      <c r="C985" s="1" t="n">
        <v>45349</v>
      </c>
      <c r="D985" t="inlineStr">
        <is>
          <t>STOCKHOLMS LÄN</t>
        </is>
      </c>
      <c r="E985" t="inlineStr">
        <is>
          <t>NORRTÄLJE</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65611-2021</t>
        </is>
      </c>
      <c r="B986" s="1" t="n">
        <v>44516</v>
      </c>
      <c r="C986" s="1" t="n">
        <v>45349</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65737-2021</t>
        </is>
      </c>
      <c r="B987" s="1" t="n">
        <v>44516</v>
      </c>
      <c r="C987" s="1" t="n">
        <v>45349</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66450-2021</t>
        </is>
      </c>
      <c r="B988" s="1" t="n">
        <v>44518</v>
      </c>
      <c r="C988" s="1" t="n">
        <v>45349</v>
      </c>
      <c r="D988" t="inlineStr">
        <is>
          <t>STOCKHOLMS LÄN</t>
        </is>
      </c>
      <c r="E988" t="inlineStr">
        <is>
          <t>NORRTÄLJE</t>
        </is>
      </c>
      <c r="G988" t="n">
        <v>9.1</v>
      </c>
      <c r="H988" t="n">
        <v>0</v>
      </c>
      <c r="I988" t="n">
        <v>0</v>
      </c>
      <c r="J988" t="n">
        <v>0</v>
      </c>
      <c r="K988" t="n">
        <v>0</v>
      </c>
      <c r="L988" t="n">
        <v>0</v>
      </c>
      <c r="M988" t="n">
        <v>0</v>
      </c>
      <c r="N988" t="n">
        <v>0</v>
      </c>
      <c r="O988" t="n">
        <v>0</v>
      </c>
      <c r="P988" t="n">
        <v>0</v>
      </c>
      <c r="Q988" t="n">
        <v>0</v>
      </c>
      <c r="R988" s="2" t="inlineStr"/>
    </row>
    <row r="989" ht="15" customHeight="1">
      <c r="A989" t="inlineStr">
        <is>
          <t>A 66608-2021</t>
        </is>
      </c>
      <c r="B989" s="1" t="n">
        <v>44519</v>
      </c>
      <c r="C989" s="1" t="n">
        <v>45349</v>
      </c>
      <c r="D989" t="inlineStr">
        <is>
          <t>STOCKHOLMS LÄN</t>
        </is>
      </c>
      <c r="E989" t="inlineStr">
        <is>
          <t>NORRTÄLJE</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66592-2021</t>
        </is>
      </c>
      <c r="B990" s="1" t="n">
        <v>44519</v>
      </c>
      <c r="C990" s="1" t="n">
        <v>45349</v>
      </c>
      <c r="D990" t="inlineStr">
        <is>
          <t>STOCKHOLMS LÄN</t>
        </is>
      </c>
      <c r="E990" t="inlineStr">
        <is>
          <t>NORRTÄLJE</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66769-2021</t>
        </is>
      </c>
      <c r="B991" s="1" t="n">
        <v>44521</v>
      </c>
      <c r="C991" s="1" t="n">
        <v>45349</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67285-2021</t>
        </is>
      </c>
      <c r="B992" s="1" t="n">
        <v>44523</v>
      </c>
      <c r="C992" s="1" t="n">
        <v>45349</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67525-2021</t>
        </is>
      </c>
      <c r="B993" s="1" t="n">
        <v>44524</v>
      </c>
      <c r="C993" s="1" t="n">
        <v>45349</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67598-2021</t>
        </is>
      </c>
      <c r="B994" s="1" t="n">
        <v>44524</v>
      </c>
      <c r="C994" s="1" t="n">
        <v>45349</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67921-2021</t>
        </is>
      </c>
      <c r="B995" s="1" t="n">
        <v>44525</v>
      </c>
      <c r="C995" s="1" t="n">
        <v>45349</v>
      </c>
      <c r="D995" t="inlineStr">
        <is>
          <t>STOCKHOLMS LÄN</t>
        </is>
      </c>
      <c r="E995" t="inlineStr">
        <is>
          <t>NORRTÄLJE</t>
        </is>
      </c>
      <c r="G995" t="n">
        <v>6.3</v>
      </c>
      <c r="H995" t="n">
        <v>0</v>
      </c>
      <c r="I995" t="n">
        <v>0</v>
      </c>
      <c r="J995" t="n">
        <v>0</v>
      </c>
      <c r="K995" t="n">
        <v>0</v>
      </c>
      <c r="L995" t="n">
        <v>0</v>
      </c>
      <c r="M995" t="n">
        <v>0</v>
      </c>
      <c r="N995" t="n">
        <v>0</v>
      </c>
      <c r="O995" t="n">
        <v>0</v>
      </c>
      <c r="P995" t="n">
        <v>0</v>
      </c>
      <c r="Q995" t="n">
        <v>0</v>
      </c>
      <c r="R995" s="2" t="inlineStr"/>
    </row>
    <row r="996" ht="15" customHeight="1">
      <c r="A996" t="inlineStr">
        <is>
          <t>A 67990-2021</t>
        </is>
      </c>
      <c r="B996" s="1" t="n">
        <v>44525</v>
      </c>
      <c r="C996" s="1" t="n">
        <v>45349</v>
      </c>
      <c r="D996" t="inlineStr">
        <is>
          <t>STOCKHOLMS LÄN</t>
        </is>
      </c>
      <c r="E996" t="inlineStr">
        <is>
          <t>NORRTÄLJE</t>
        </is>
      </c>
      <c r="F996" t="inlineStr">
        <is>
          <t>Sveaskog</t>
        </is>
      </c>
      <c r="G996" t="n">
        <v>7.8</v>
      </c>
      <c r="H996" t="n">
        <v>0</v>
      </c>
      <c r="I996" t="n">
        <v>0</v>
      </c>
      <c r="J996" t="n">
        <v>0</v>
      </c>
      <c r="K996" t="n">
        <v>0</v>
      </c>
      <c r="L996" t="n">
        <v>0</v>
      </c>
      <c r="M996" t="n">
        <v>0</v>
      </c>
      <c r="N996" t="n">
        <v>0</v>
      </c>
      <c r="O996" t="n">
        <v>0</v>
      </c>
      <c r="P996" t="n">
        <v>0</v>
      </c>
      <c r="Q996" t="n">
        <v>0</v>
      </c>
      <c r="R996" s="2" t="inlineStr"/>
    </row>
    <row r="997" ht="15" customHeight="1">
      <c r="A997" t="inlineStr">
        <is>
          <t>A 67992-2021</t>
        </is>
      </c>
      <c r="B997" s="1" t="n">
        <v>44525</v>
      </c>
      <c r="C997" s="1" t="n">
        <v>45349</v>
      </c>
      <c r="D997" t="inlineStr">
        <is>
          <t>STOCKHOLMS LÄN</t>
        </is>
      </c>
      <c r="E997" t="inlineStr">
        <is>
          <t>NORRTÄLJE</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67993-2021</t>
        </is>
      </c>
      <c r="B998" s="1" t="n">
        <v>44525</v>
      </c>
      <c r="C998" s="1" t="n">
        <v>45349</v>
      </c>
      <c r="D998" t="inlineStr">
        <is>
          <t>STOCKHOLMS LÄN</t>
        </is>
      </c>
      <c r="E998" t="inlineStr">
        <is>
          <t>NORRTÄLJE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68273-2021</t>
        </is>
      </c>
      <c r="B999" s="1" t="n">
        <v>44526</v>
      </c>
      <c r="C999" s="1" t="n">
        <v>45349</v>
      </c>
      <c r="D999" t="inlineStr">
        <is>
          <t>STOCKHOLMS LÄN</t>
        </is>
      </c>
      <c r="E999" t="inlineStr">
        <is>
          <t>NORRTÄLJE</t>
        </is>
      </c>
      <c r="G999" t="n">
        <v>5.3</v>
      </c>
      <c r="H999" t="n">
        <v>0</v>
      </c>
      <c r="I999" t="n">
        <v>0</v>
      </c>
      <c r="J999" t="n">
        <v>0</v>
      </c>
      <c r="K999" t="n">
        <v>0</v>
      </c>
      <c r="L999" t="n">
        <v>0</v>
      </c>
      <c r="M999" t="n">
        <v>0</v>
      </c>
      <c r="N999" t="n">
        <v>0</v>
      </c>
      <c r="O999" t="n">
        <v>0</v>
      </c>
      <c r="P999" t="n">
        <v>0</v>
      </c>
      <c r="Q999" t="n">
        <v>0</v>
      </c>
      <c r="R999" s="2" t="inlineStr"/>
    </row>
    <row r="1000" ht="15" customHeight="1">
      <c r="A1000" t="inlineStr">
        <is>
          <t>A 68361-2021</t>
        </is>
      </c>
      <c r="B1000" s="1" t="n">
        <v>44528</v>
      </c>
      <c r="C1000" s="1" t="n">
        <v>45349</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69034-2021</t>
        </is>
      </c>
      <c r="B1001" s="1" t="n">
        <v>44529</v>
      </c>
      <c r="C1001" s="1" t="n">
        <v>45349</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69539-2021</t>
        </is>
      </c>
      <c r="B1002" s="1" t="n">
        <v>44531</v>
      </c>
      <c r="C1002" s="1" t="n">
        <v>45349</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69723-2021</t>
        </is>
      </c>
      <c r="B1003" s="1" t="n">
        <v>44532</v>
      </c>
      <c r="C1003" s="1" t="n">
        <v>45349</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69816-2021</t>
        </is>
      </c>
      <c r="B1004" s="1" t="n">
        <v>44532</v>
      </c>
      <c r="C1004" s="1" t="n">
        <v>45349</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70170-2021</t>
        </is>
      </c>
      <c r="B1005" s="1" t="n">
        <v>44533</v>
      </c>
      <c r="C1005" s="1" t="n">
        <v>45349</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69988-2021</t>
        </is>
      </c>
      <c r="B1006" s="1" t="n">
        <v>44533</v>
      </c>
      <c r="C1006" s="1" t="n">
        <v>45349</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70469-2021</t>
        </is>
      </c>
      <c r="B1007" s="1" t="n">
        <v>44536</v>
      </c>
      <c r="C1007" s="1" t="n">
        <v>45349</v>
      </c>
      <c r="D1007" t="inlineStr">
        <is>
          <t>STOCKHOLMS LÄN</t>
        </is>
      </c>
      <c r="E1007" t="inlineStr">
        <is>
          <t>NORRTÄLJE</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71325-2021</t>
        </is>
      </c>
      <c r="B1008" s="1" t="n">
        <v>44539</v>
      </c>
      <c r="C1008" s="1" t="n">
        <v>45349</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71552-2021</t>
        </is>
      </c>
      <c r="B1009" s="1" t="n">
        <v>44540</v>
      </c>
      <c r="C1009" s="1" t="n">
        <v>45349</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71479-2021</t>
        </is>
      </c>
      <c r="B1010" s="1" t="n">
        <v>44540</v>
      </c>
      <c r="C1010" s="1" t="n">
        <v>45349</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71543-2021</t>
        </is>
      </c>
      <c r="B1011" s="1" t="n">
        <v>44540</v>
      </c>
      <c r="C1011" s="1" t="n">
        <v>45349</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71873-2021</t>
        </is>
      </c>
      <c r="B1012" s="1" t="n">
        <v>44543</v>
      </c>
      <c r="C1012" s="1" t="n">
        <v>45349</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71876-2021</t>
        </is>
      </c>
      <c r="B1013" s="1" t="n">
        <v>44543</v>
      </c>
      <c r="C1013" s="1" t="n">
        <v>45349</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71880-2021</t>
        </is>
      </c>
      <c r="B1014" s="1" t="n">
        <v>44543</v>
      </c>
      <c r="C1014" s="1" t="n">
        <v>45349</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71871-2021</t>
        </is>
      </c>
      <c r="B1015" s="1" t="n">
        <v>44543</v>
      </c>
      <c r="C1015" s="1" t="n">
        <v>45349</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71878-2021</t>
        </is>
      </c>
      <c r="B1016" s="1" t="n">
        <v>44543</v>
      </c>
      <c r="C1016" s="1" t="n">
        <v>45349</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72085-2021</t>
        </is>
      </c>
      <c r="B1017" s="1" t="n">
        <v>44544</v>
      </c>
      <c r="C1017" s="1" t="n">
        <v>45349</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72202-2021</t>
        </is>
      </c>
      <c r="B1018" s="1" t="n">
        <v>44544</v>
      </c>
      <c r="C1018" s="1" t="n">
        <v>45349</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72308-2021</t>
        </is>
      </c>
      <c r="B1019" s="1" t="n">
        <v>44545</v>
      </c>
      <c r="C1019" s="1" t="n">
        <v>45349</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72343-2021</t>
        </is>
      </c>
      <c r="B1020" s="1" t="n">
        <v>44545</v>
      </c>
      <c r="C1020" s="1" t="n">
        <v>45349</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72357-2021</t>
        </is>
      </c>
      <c r="B1021" s="1" t="n">
        <v>44545</v>
      </c>
      <c r="C1021" s="1" t="n">
        <v>45349</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72355-2021</t>
        </is>
      </c>
      <c r="B1022" s="1" t="n">
        <v>44545</v>
      </c>
      <c r="C1022" s="1" t="n">
        <v>45349</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72353-2021</t>
        </is>
      </c>
      <c r="B1023" s="1" t="n">
        <v>44545</v>
      </c>
      <c r="C1023" s="1" t="n">
        <v>45349</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72747-2021</t>
        </is>
      </c>
      <c r="B1024" s="1" t="n">
        <v>44546</v>
      </c>
      <c r="C1024" s="1" t="n">
        <v>45349</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72704-2021</t>
        </is>
      </c>
      <c r="B1025" s="1" t="n">
        <v>44546</v>
      </c>
      <c r="C1025" s="1" t="n">
        <v>45349</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72890-2021</t>
        </is>
      </c>
      <c r="B1026" s="1" t="n">
        <v>44547</v>
      </c>
      <c r="C1026" s="1" t="n">
        <v>45349</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73311-2021</t>
        </is>
      </c>
      <c r="B1027" s="1" t="n">
        <v>44549</v>
      </c>
      <c r="C1027" s="1" t="n">
        <v>45349</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45349</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73271-2021</t>
        </is>
      </c>
      <c r="B1029" s="1" t="n">
        <v>44550</v>
      </c>
      <c r="C1029" s="1" t="n">
        <v>45349</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73504-2021</t>
        </is>
      </c>
      <c r="B1030" s="1" t="n">
        <v>44551</v>
      </c>
      <c r="C1030" s="1" t="n">
        <v>45349</v>
      </c>
      <c r="D1030" t="inlineStr">
        <is>
          <t>STOCKHOLMS LÄN</t>
        </is>
      </c>
      <c r="E1030" t="inlineStr">
        <is>
          <t>NORRTÄLJE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73855-2021</t>
        </is>
      </c>
      <c r="B1031" s="1" t="n">
        <v>44552</v>
      </c>
      <c r="C1031" s="1" t="n">
        <v>45349</v>
      </c>
      <c r="D1031" t="inlineStr">
        <is>
          <t>STOCKHOLMS LÄN</t>
        </is>
      </c>
      <c r="E1031" t="inlineStr">
        <is>
          <t>NORRTÄLJE</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73992-2021</t>
        </is>
      </c>
      <c r="B1032" s="1" t="n">
        <v>44556</v>
      </c>
      <c r="C1032" s="1" t="n">
        <v>45349</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73993-2021</t>
        </is>
      </c>
      <c r="B1033" s="1" t="n">
        <v>44556</v>
      </c>
      <c r="C1033" s="1" t="n">
        <v>45349</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74468-2021</t>
        </is>
      </c>
      <c r="B1034" s="1" t="n">
        <v>44560</v>
      </c>
      <c r="C1034" s="1" t="n">
        <v>45349</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185-2022</t>
        </is>
      </c>
      <c r="B1035" s="1" t="n">
        <v>44564</v>
      </c>
      <c r="C1035" s="1" t="n">
        <v>45349</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190-2022</t>
        </is>
      </c>
      <c r="B1036" s="1" t="n">
        <v>44564</v>
      </c>
      <c r="C1036" s="1" t="n">
        <v>45349</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187-2022</t>
        </is>
      </c>
      <c r="B1037" s="1" t="n">
        <v>44564</v>
      </c>
      <c r="C1037" s="1" t="n">
        <v>45349</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77-2022</t>
        </is>
      </c>
      <c r="B1038" s="1" t="n">
        <v>44564</v>
      </c>
      <c r="C1038" s="1" t="n">
        <v>45349</v>
      </c>
      <c r="D1038" t="inlineStr">
        <is>
          <t>STOCKHOLMS LÄN</t>
        </is>
      </c>
      <c r="E1038" t="inlineStr">
        <is>
          <t>NORRTÄLJE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459-2022</t>
        </is>
      </c>
      <c r="B1039" s="1" t="n">
        <v>44565</v>
      </c>
      <c r="C1039" s="1" t="n">
        <v>45349</v>
      </c>
      <c r="D1039" t="inlineStr">
        <is>
          <t>STOCKHOLMS LÄN</t>
        </is>
      </c>
      <c r="E1039" t="inlineStr">
        <is>
          <t>NORRTÄLJE</t>
        </is>
      </c>
      <c r="F1039" t="inlineStr">
        <is>
          <t>Övriga Aktiebolag</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1058-2022</t>
        </is>
      </c>
      <c r="B1040" s="1" t="n">
        <v>44571</v>
      </c>
      <c r="C1040" s="1" t="n">
        <v>45349</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1051-2022</t>
        </is>
      </c>
      <c r="B1041" s="1" t="n">
        <v>44571</v>
      </c>
      <c r="C1041" s="1" t="n">
        <v>45349</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1054-2022</t>
        </is>
      </c>
      <c r="B1042" s="1" t="n">
        <v>44571</v>
      </c>
      <c r="C1042" s="1" t="n">
        <v>45349</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1229-2022</t>
        </is>
      </c>
      <c r="B1043" s="1" t="n">
        <v>44572</v>
      </c>
      <c r="C1043" s="1" t="n">
        <v>45349</v>
      </c>
      <c r="D1043" t="inlineStr">
        <is>
          <t>STOCKHOLMS LÄN</t>
        </is>
      </c>
      <c r="E1043" t="inlineStr">
        <is>
          <t>NORRTÄLJE</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1704-2022</t>
        </is>
      </c>
      <c r="B1044" s="1" t="n">
        <v>44574</v>
      </c>
      <c r="C1044" s="1" t="n">
        <v>45349</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1968-2022</t>
        </is>
      </c>
      <c r="B1045" s="1" t="n">
        <v>44575</v>
      </c>
      <c r="C1045" s="1" t="n">
        <v>45349</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2182-2022</t>
        </is>
      </c>
      <c r="B1046" s="1" t="n">
        <v>44578</v>
      </c>
      <c r="C1046" s="1" t="n">
        <v>45349</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2549-2022</t>
        </is>
      </c>
      <c r="B1047" s="1" t="n">
        <v>44580</v>
      </c>
      <c r="C1047" s="1" t="n">
        <v>45349</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2732-2022</t>
        </is>
      </c>
      <c r="B1048" s="1" t="n">
        <v>44580</v>
      </c>
      <c r="C1048" s="1" t="n">
        <v>45349</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2888-2022</t>
        </is>
      </c>
      <c r="B1049" s="1" t="n">
        <v>44581</v>
      </c>
      <c r="C1049" s="1" t="n">
        <v>45349</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2977-2022</t>
        </is>
      </c>
      <c r="B1050" s="1" t="n">
        <v>44581</v>
      </c>
      <c r="C1050" s="1" t="n">
        <v>45349</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3300-2022</t>
        </is>
      </c>
      <c r="B1051" s="1" t="n">
        <v>44584</v>
      </c>
      <c r="C1051" s="1" t="n">
        <v>45349</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3310-2022</t>
        </is>
      </c>
      <c r="B1052" s="1" t="n">
        <v>44584</v>
      </c>
      <c r="C1052" s="1" t="n">
        <v>45349</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3396-2022</t>
        </is>
      </c>
      <c r="B1053" s="1" t="n">
        <v>44585</v>
      </c>
      <c r="C1053" s="1" t="n">
        <v>45349</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3509-2022</t>
        </is>
      </c>
      <c r="B1054" s="1" t="n">
        <v>44585</v>
      </c>
      <c r="C1054" s="1" t="n">
        <v>45349</v>
      </c>
      <c r="D1054" t="inlineStr">
        <is>
          <t>STOCKHOLMS LÄN</t>
        </is>
      </c>
      <c r="E1054" t="inlineStr">
        <is>
          <t>NORRTÄLJE</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4860-2022</t>
        </is>
      </c>
      <c r="B1055" s="1" t="n">
        <v>44592</v>
      </c>
      <c r="C1055" s="1" t="n">
        <v>45349</v>
      </c>
      <c r="D1055" t="inlineStr">
        <is>
          <t>STOCKHOLMS LÄN</t>
        </is>
      </c>
      <c r="E1055" t="inlineStr">
        <is>
          <t>NORRTÄLJE</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5351-2022</t>
        </is>
      </c>
      <c r="B1056" s="1" t="n">
        <v>44594</v>
      </c>
      <c r="C1056" s="1" t="n">
        <v>45349</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5513-2022</t>
        </is>
      </c>
      <c r="B1057" s="1" t="n">
        <v>44595</v>
      </c>
      <c r="C1057" s="1" t="n">
        <v>45349</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5611-2022</t>
        </is>
      </c>
      <c r="B1058" s="1" t="n">
        <v>44595</v>
      </c>
      <c r="C1058" s="1" t="n">
        <v>45349</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5831-2022</t>
        </is>
      </c>
      <c r="B1059" s="1" t="n">
        <v>44596</v>
      </c>
      <c r="C1059" s="1" t="n">
        <v>45349</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5867-2022</t>
        </is>
      </c>
      <c r="B1060" s="1" t="n">
        <v>44596</v>
      </c>
      <c r="C1060" s="1" t="n">
        <v>45349</v>
      </c>
      <c r="D1060" t="inlineStr">
        <is>
          <t>STOCKHOLMS LÄN</t>
        </is>
      </c>
      <c r="E1060" t="inlineStr">
        <is>
          <t>NORRTÄLJE</t>
        </is>
      </c>
      <c r="F1060" t="inlineStr">
        <is>
          <t>Naturvårdsverket</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6070-2022</t>
        </is>
      </c>
      <c r="B1061" s="1" t="n">
        <v>44599</v>
      </c>
      <c r="C1061" s="1" t="n">
        <v>45349</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6332-2022</t>
        </is>
      </c>
      <c r="B1062" s="1" t="n">
        <v>44600</v>
      </c>
      <c r="C1062" s="1" t="n">
        <v>45349</v>
      </c>
      <c r="D1062" t="inlineStr">
        <is>
          <t>STOCKHOLMS LÄN</t>
        </is>
      </c>
      <c r="E1062" t="inlineStr">
        <is>
          <t>NORRTÄLJE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7301-2022</t>
        </is>
      </c>
      <c r="B1063" s="1" t="n">
        <v>44606</v>
      </c>
      <c r="C1063" s="1" t="n">
        <v>45349</v>
      </c>
      <c r="D1063" t="inlineStr">
        <is>
          <t>STOCKHOLMS LÄN</t>
        </is>
      </c>
      <c r="E1063" t="inlineStr">
        <is>
          <t>NORRTÄLJE</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7565-2022</t>
        </is>
      </c>
      <c r="B1064" s="1" t="n">
        <v>44607</v>
      </c>
      <c r="C1064" s="1" t="n">
        <v>45349</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8024-2022</t>
        </is>
      </c>
      <c r="B1065" s="1" t="n">
        <v>44609</v>
      </c>
      <c r="C1065" s="1" t="n">
        <v>45349</v>
      </c>
      <c r="D1065" t="inlineStr">
        <is>
          <t>STOCKHOLMS LÄN</t>
        </is>
      </c>
      <c r="E1065" t="inlineStr">
        <is>
          <t>NORRTÄLJE</t>
        </is>
      </c>
      <c r="F1065" t="inlineStr">
        <is>
          <t>Kyrkan</t>
        </is>
      </c>
      <c r="G1065" t="n">
        <v>28.2</v>
      </c>
      <c r="H1065" t="n">
        <v>0</v>
      </c>
      <c r="I1065" t="n">
        <v>0</v>
      </c>
      <c r="J1065" t="n">
        <v>0</v>
      </c>
      <c r="K1065" t="n">
        <v>0</v>
      </c>
      <c r="L1065" t="n">
        <v>0</v>
      </c>
      <c r="M1065" t="n">
        <v>0</v>
      </c>
      <c r="N1065" t="n">
        <v>0</v>
      </c>
      <c r="O1065" t="n">
        <v>0</v>
      </c>
      <c r="P1065" t="n">
        <v>0</v>
      </c>
      <c r="Q1065" t="n">
        <v>0</v>
      </c>
      <c r="R1065" s="2" t="inlineStr"/>
    </row>
    <row r="1066" ht="15" customHeight="1">
      <c r="A1066" t="inlineStr">
        <is>
          <t>A 8049-2022</t>
        </is>
      </c>
      <c r="B1066" s="1" t="n">
        <v>44609</v>
      </c>
      <c r="C1066" s="1" t="n">
        <v>45349</v>
      </c>
      <c r="D1066" t="inlineStr">
        <is>
          <t>STOCKHOLMS LÄN</t>
        </is>
      </c>
      <c r="E1066" t="inlineStr">
        <is>
          <t>NORRTÄLJE</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8160-2022</t>
        </is>
      </c>
      <c r="B1067" s="1" t="n">
        <v>44609</v>
      </c>
      <c r="C1067" s="1" t="n">
        <v>45349</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8433-2022</t>
        </is>
      </c>
      <c r="B1068" s="1" t="n">
        <v>44611</v>
      </c>
      <c r="C1068" s="1" t="n">
        <v>45349</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9668-2022</t>
        </is>
      </c>
      <c r="B1069" s="1" t="n">
        <v>44617</v>
      </c>
      <c r="C1069" s="1" t="n">
        <v>45349</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9654-2022</t>
        </is>
      </c>
      <c r="B1070" s="1" t="n">
        <v>44617</v>
      </c>
      <c r="C1070" s="1" t="n">
        <v>45349</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9749-2022</t>
        </is>
      </c>
      <c r="B1071" s="1" t="n">
        <v>44618</v>
      </c>
      <c r="C1071" s="1" t="n">
        <v>45349</v>
      </c>
      <c r="D1071" t="inlineStr">
        <is>
          <t>STOCKHOLMS LÄN</t>
        </is>
      </c>
      <c r="E1071" t="inlineStr">
        <is>
          <t>NORRTÄLJE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9988-2022</t>
        </is>
      </c>
      <c r="B1072" s="1" t="n">
        <v>44621</v>
      </c>
      <c r="C1072" s="1" t="n">
        <v>45349</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10090-2022</t>
        </is>
      </c>
      <c r="B1073" s="1" t="n">
        <v>44621</v>
      </c>
      <c r="C1073" s="1" t="n">
        <v>45349</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10098-2022</t>
        </is>
      </c>
      <c r="B1074" s="1" t="n">
        <v>44621</v>
      </c>
      <c r="C1074" s="1" t="n">
        <v>45349</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10521-2022</t>
        </is>
      </c>
      <c r="B1075" s="1" t="n">
        <v>44623</v>
      </c>
      <c r="C1075" s="1" t="n">
        <v>45349</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10653-2022</t>
        </is>
      </c>
      <c r="B1076" s="1" t="n">
        <v>44624</v>
      </c>
      <c r="C1076" s="1" t="n">
        <v>45349</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10710-2022</t>
        </is>
      </c>
      <c r="B1077" s="1" t="n">
        <v>44626</v>
      </c>
      <c r="C1077" s="1" t="n">
        <v>45349</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10711-2022</t>
        </is>
      </c>
      <c r="B1078" s="1" t="n">
        <v>44626</v>
      </c>
      <c r="C1078" s="1" t="n">
        <v>45349</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11150-2022</t>
        </is>
      </c>
      <c r="B1079" s="1" t="n">
        <v>44629</v>
      </c>
      <c r="C1079" s="1" t="n">
        <v>45349</v>
      </c>
      <c r="D1079" t="inlineStr">
        <is>
          <t>STOCKHOLMS LÄN</t>
        </is>
      </c>
      <c r="E1079" t="inlineStr">
        <is>
          <t>NORRTÄLJE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11229-2022</t>
        </is>
      </c>
      <c r="B1080" s="1" t="n">
        <v>44629</v>
      </c>
      <c r="C1080" s="1" t="n">
        <v>45349</v>
      </c>
      <c r="D1080" t="inlineStr">
        <is>
          <t>STOCKHOLMS LÄN</t>
        </is>
      </c>
      <c r="E1080" t="inlineStr">
        <is>
          <t>NORRTÄLJE</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11533-2022</t>
        </is>
      </c>
      <c r="B1081" s="1" t="n">
        <v>44631</v>
      </c>
      <c r="C1081" s="1" t="n">
        <v>45349</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11821-2022</t>
        </is>
      </c>
      <c r="B1082" s="1" t="n">
        <v>44634</v>
      </c>
      <c r="C1082" s="1" t="n">
        <v>45349</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11900-2022</t>
        </is>
      </c>
      <c r="B1083" s="1" t="n">
        <v>44635</v>
      </c>
      <c r="C1083" s="1" t="n">
        <v>45349</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12355-2022</t>
        </is>
      </c>
      <c r="B1084" s="1" t="n">
        <v>44637</v>
      </c>
      <c r="C1084" s="1" t="n">
        <v>45349</v>
      </c>
      <c r="D1084" t="inlineStr">
        <is>
          <t>STOCKHOLMS LÄN</t>
        </is>
      </c>
      <c r="E1084" t="inlineStr">
        <is>
          <t>NORRTÄLJE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12270-2022</t>
        </is>
      </c>
      <c r="B1085" s="1" t="n">
        <v>44637</v>
      </c>
      <c r="C1085" s="1" t="n">
        <v>45349</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12314-2022</t>
        </is>
      </c>
      <c r="B1086" s="1" t="n">
        <v>44637</v>
      </c>
      <c r="C1086" s="1" t="n">
        <v>45349</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12268-2022</t>
        </is>
      </c>
      <c r="B1087" s="1" t="n">
        <v>44637</v>
      </c>
      <c r="C1087" s="1" t="n">
        <v>45349</v>
      </c>
      <c r="D1087" t="inlineStr">
        <is>
          <t>STOCKHOLMS LÄN</t>
        </is>
      </c>
      <c r="E1087" t="inlineStr">
        <is>
          <t>NORRTÄLJE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12357-2022</t>
        </is>
      </c>
      <c r="B1088" s="1" t="n">
        <v>44637</v>
      </c>
      <c r="C1088" s="1" t="n">
        <v>45349</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62765-2022</t>
        </is>
      </c>
      <c r="B1089" s="1" t="n">
        <v>44637</v>
      </c>
      <c r="C1089" s="1" t="n">
        <v>45349</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12874-2022</t>
        </is>
      </c>
      <c r="B1090" s="1" t="n">
        <v>44642</v>
      </c>
      <c r="C1090" s="1" t="n">
        <v>45349</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12816-2022</t>
        </is>
      </c>
      <c r="B1091" s="1" t="n">
        <v>44642</v>
      </c>
      <c r="C1091" s="1" t="n">
        <v>45349</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12877-2022</t>
        </is>
      </c>
      <c r="B1092" s="1" t="n">
        <v>44642</v>
      </c>
      <c r="C1092" s="1" t="n">
        <v>45349</v>
      </c>
      <c r="D1092" t="inlineStr">
        <is>
          <t>STOCKHOLMS LÄN</t>
        </is>
      </c>
      <c r="E1092" t="inlineStr">
        <is>
          <t>NORRTÄLJE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12875-2022</t>
        </is>
      </c>
      <c r="B1093" s="1" t="n">
        <v>44642</v>
      </c>
      <c r="C1093" s="1" t="n">
        <v>45349</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13077-2022</t>
        </is>
      </c>
      <c r="B1094" s="1" t="n">
        <v>44643</v>
      </c>
      <c r="C1094" s="1" t="n">
        <v>45349</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45349</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13089-2022</t>
        </is>
      </c>
      <c r="B1096" s="1" t="n">
        <v>44643</v>
      </c>
      <c r="C1096" s="1" t="n">
        <v>45349</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13106-2022</t>
        </is>
      </c>
      <c r="B1097" s="1" t="n">
        <v>44644</v>
      </c>
      <c r="C1097" s="1" t="n">
        <v>45349</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13278-2022</t>
        </is>
      </c>
      <c r="B1098" s="1" t="n">
        <v>44644</v>
      </c>
      <c r="C1098" s="1" t="n">
        <v>45349</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13276-2022</t>
        </is>
      </c>
      <c r="B1099" s="1" t="n">
        <v>44644</v>
      </c>
      <c r="C1099" s="1" t="n">
        <v>45349</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13395-2022</t>
        </is>
      </c>
      <c r="B1100" s="1" t="n">
        <v>44645</v>
      </c>
      <c r="C1100" s="1" t="n">
        <v>45349</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13696-2022</t>
        </is>
      </c>
      <c r="B1101" s="1" t="n">
        <v>44648</v>
      </c>
      <c r="C1101" s="1" t="n">
        <v>45349</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13701-2022</t>
        </is>
      </c>
      <c r="B1102" s="1" t="n">
        <v>44648</v>
      </c>
      <c r="C1102" s="1" t="n">
        <v>45349</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13718-2022</t>
        </is>
      </c>
      <c r="B1103" s="1" t="n">
        <v>44649</v>
      </c>
      <c r="C1103" s="1" t="n">
        <v>45349</v>
      </c>
      <c r="D1103" t="inlineStr">
        <is>
          <t>STOCKHOLMS LÄN</t>
        </is>
      </c>
      <c r="E1103" t="inlineStr">
        <is>
          <t>NORRTÄLJE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14036-2022</t>
        </is>
      </c>
      <c r="B1104" s="1" t="n">
        <v>44650</v>
      </c>
      <c r="C1104" s="1" t="n">
        <v>45349</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14033-2022</t>
        </is>
      </c>
      <c r="B1105" s="1" t="n">
        <v>44650</v>
      </c>
      <c r="C1105" s="1" t="n">
        <v>45349</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14034-2022</t>
        </is>
      </c>
      <c r="B1106" s="1" t="n">
        <v>44650</v>
      </c>
      <c r="C1106" s="1" t="n">
        <v>45349</v>
      </c>
      <c r="D1106" t="inlineStr">
        <is>
          <t>STOCKHOLMS LÄN</t>
        </is>
      </c>
      <c r="E1106" t="inlineStr">
        <is>
          <t>NORRTÄLJE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14051-2022</t>
        </is>
      </c>
      <c r="B1107" s="1" t="n">
        <v>44651</v>
      </c>
      <c r="C1107" s="1" t="n">
        <v>45349</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14166-2022</t>
        </is>
      </c>
      <c r="B1108" s="1" t="n">
        <v>44651</v>
      </c>
      <c r="C1108" s="1" t="n">
        <v>45349</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14543-2022</t>
        </is>
      </c>
      <c r="B1109" s="1" t="n">
        <v>44655</v>
      </c>
      <c r="C1109" s="1" t="n">
        <v>45349</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14724-2022</t>
        </is>
      </c>
      <c r="B1110" s="1" t="n">
        <v>44656</v>
      </c>
      <c r="C1110" s="1" t="n">
        <v>45349</v>
      </c>
      <c r="D1110" t="inlineStr">
        <is>
          <t>STOCKHOLMS LÄN</t>
        </is>
      </c>
      <c r="E1110" t="inlineStr">
        <is>
          <t>NORRTÄLJE</t>
        </is>
      </c>
      <c r="F1110" t="inlineStr">
        <is>
          <t>Sveaskog</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14716-2022</t>
        </is>
      </c>
      <c r="B1111" s="1" t="n">
        <v>44656</v>
      </c>
      <c r="C1111" s="1" t="n">
        <v>45349</v>
      </c>
      <c r="D1111" t="inlineStr">
        <is>
          <t>STOCKHOLMS LÄN</t>
        </is>
      </c>
      <c r="E1111" t="inlineStr">
        <is>
          <t>NORRTÄLJE</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14869-2022</t>
        </is>
      </c>
      <c r="B1112" s="1" t="n">
        <v>44656</v>
      </c>
      <c r="C1112" s="1" t="n">
        <v>45349</v>
      </c>
      <c r="D1112" t="inlineStr">
        <is>
          <t>STOCKHOLMS LÄN</t>
        </is>
      </c>
      <c r="E1112" t="inlineStr">
        <is>
          <t>NORRTÄLJE</t>
        </is>
      </c>
      <c r="F1112" t="inlineStr">
        <is>
          <t>Holmen skog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15225-2022</t>
        </is>
      </c>
      <c r="B1113" s="1" t="n">
        <v>44658</v>
      </c>
      <c r="C1113" s="1" t="n">
        <v>45349</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15226-2022</t>
        </is>
      </c>
      <c r="B1114" s="1" t="n">
        <v>44658</v>
      </c>
      <c r="C1114" s="1" t="n">
        <v>45349</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15861-2022</t>
        </is>
      </c>
      <c r="B1115" s="1" t="n">
        <v>44664</v>
      </c>
      <c r="C1115" s="1" t="n">
        <v>45349</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16117-2022</t>
        </is>
      </c>
      <c r="B1116" s="1" t="n">
        <v>44665</v>
      </c>
      <c r="C1116" s="1" t="n">
        <v>45349</v>
      </c>
      <c r="D1116" t="inlineStr">
        <is>
          <t>STOCKHOLMS LÄN</t>
        </is>
      </c>
      <c r="E1116" t="inlineStr">
        <is>
          <t>NORRTÄLJE</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16119-2022</t>
        </is>
      </c>
      <c r="B1117" s="1" t="n">
        <v>44665</v>
      </c>
      <c r="C1117" s="1" t="n">
        <v>45349</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16132-2022</t>
        </is>
      </c>
      <c r="B1118" s="1" t="n">
        <v>44665</v>
      </c>
      <c r="C1118" s="1" t="n">
        <v>45349</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16224-2022</t>
        </is>
      </c>
      <c r="B1119" s="1" t="n">
        <v>44670</v>
      </c>
      <c r="C1119" s="1" t="n">
        <v>45349</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16202-2022</t>
        </is>
      </c>
      <c r="B1120" s="1" t="n">
        <v>44670</v>
      </c>
      <c r="C1120" s="1" t="n">
        <v>45349</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16229-2022</t>
        </is>
      </c>
      <c r="B1121" s="1" t="n">
        <v>44670</v>
      </c>
      <c r="C1121" s="1" t="n">
        <v>45349</v>
      </c>
      <c r="D1121" t="inlineStr">
        <is>
          <t>STOCKHOLMS LÄN</t>
        </is>
      </c>
      <c r="E1121" t="inlineStr">
        <is>
          <t>NORRTÄLJE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16442-2022</t>
        </is>
      </c>
      <c r="B1122" s="1" t="n">
        <v>44671</v>
      </c>
      <c r="C1122" s="1" t="n">
        <v>45349</v>
      </c>
      <c r="D1122" t="inlineStr">
        <is>
          <t>STOCKHOLMS LÄN</t>
        </is>
      </c>
      <c r="E1122" t="inlineStr">
        <is>
          <t>NORRTÄLJE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16534-2022</t>
        </is>
      </c>
      <c r="B1123" s="1" t="n">
        <v>44672</v>
      </c>
      <c r="C1123" s="1" t="n">
        <v>45349</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16835-2022</t>
        </is>
      </c>
      <c r="B1124" s="1" t="n">
        <v>44673</v>
      </c>
      <c r="C1124" s="1" t="n">
        <v>45349</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17391-2022</t>
        </is>
      </c>
      <c r="B1125" s="1" t="n">
        <v>44678</v>
      </c>
      <c r="C1125" s="1" t="n">
        <v>45349</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17388-2022</t>
        </is>
      </c>
      <c r="B1126" s="1" t="n">
        <v>44678</v>
      </c>
      <c r="C1126" s="1" t="n">
        <v>45349</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17390-2022</t>
        </is>
      </c>
      <c r="B1127" s="1" t="n">
        <v>44678</v>
      </c>
      <c r="C1127" s="1" t="n">
        <v>45349</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17612-2022</t>
        </is>
      </c>
      <c r="B1128" s="1" t="n">
        <v>44680</v>
      </c>
      <c r="C1128" s="1" t="n">
        <v>45349</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17629-2022</t>
        </is>
      </c>
      <c r="B1129" s="1" t="n">
        <v>44680</v>
      </c>
      <c r="C1129" s="1" t="n">
        <v>45349</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17771-2022</t>
        </is>
      </c>
      <c r="B1130" s="1" t="n">
        <v>44682</v>
      </c>
      <c r="C1130" s="1" t="n">
        <v>45349</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17775-2022</t>
        </is>
      </c>
      <c r="B1131" s="1" t="n">
        <v>44682</v>
      </c>
      <c r="C1131" s="1" t="n">
        <v>45349</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17773-2022</t>
        </is>
      </c>
      <c r="B1132" s="1" t="n">
        <v>44682</v>
      </c>
      <c r="C1132" s="1" t="n">
        <v>45349</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17772-2022</t>
        </is>
      </c>
      <c r="B1133" s="1" t="n">
        <v>44682</v>
      </c>
      <c r="C1133" s="1" t="n">
        <v>45349</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17777-2022</t>
        </is>
      </c>
      <c r="B1134" s="1" t="n">
        <v>44682</v>
      </c>
      <c r="C1134" s="1" t="n">
        <v>45349</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17803-2022</t>
        </is>
      </c>
      <c r="B1135" s="1" t="n">
        <v>44683</v>
      </c>
      <c r="C1135" s="1" t="n">
        <v>45349</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17952-2022</t>
        </is>
      </c>
      <c r="B1136" s="1" t="n">
        <v>44683</v>
      </c>
      <c r="C1136" s="1" t="n">
        <v>45349</v>
      </c>
      <c r="D1136" t="inlineStr">
        <is>
          <t>STOCKHOLMS LÄN</t>
        </is>
      </c>
      <c r="E1136" t="inlineStr">
        <is>
          <t>NORRTÄLJE</t>
        </is>
      </c>
      <c r="G1136" t="n">
        <v>51.1</v>
      </c>
      <c r="H1136" t="n">
        <v>0</v>
      </c>
      <c r="I1136" t="n">
        <v>0</v>
      </c>
      <c r="J1136" t="n">
        <v>0</v>
      </c>
      <c r="K1136" t="n">
        <v>0</v>
      </c>
      <c r="L1136" t="n">
        <v>0</v>
      </c>
      <c r="M1136" t="n">
        <v>0</v>
      </c>
      <c r="N1136" t="n">
        <v>0</v>
      </c>
      <c r="O1136" t="n">
        <v>0</v>
      </c>
      <c r="P1136" t="n">
        <v>0</v>
      </c>
      <c r="Q1136" t="n">
        <v>0</v>
      </c>
      <c r="R1136" s="2" t="inlineStr"/>
    </row>
    <row r="1137" ht="15" customHeight="1">
      <c r="A1137" t="inlineStr">
        <is>
          <t>A 18092-2022</t>
        </is>
      </c>
      <c r="B1137" s="1" t="n">
        <v>44684</v>
      </c>
      <c r="C1137" s="1" t="n">
        <v>45349</v>
      </c>
      <c r="D1137" t="inlineStr">
        <is>
          <t>STOCKHOLMS LÄN</t>
        </is>
      </c>
      <c r="E1137" t="inlineStr">
        <is>
          <t>NORRTÄLJE</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18103-2022</t>
        </is>
      </c>
      <c r="B1138" s="1" t="n">
        <v>44684</v>
      </c>
      <c r="C1138" s="1" t="n">
        <v>45349</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18350-2022</t>
        </is>
      </c>
      <c r="B1139" s="1" t="n">
        <v>44685</v>
      </c>
      <c r="C1139" s="1" t="n">
        <v>45349</v>
      </c>
      <c r="D1139" t="inlineStr">
        <is>
          <t>STOCKHOLMS LÄN</t>
        </is>
      </c>
      <c r="E1139" t="inlineStr">
        <is>
          <t>NORRTÄLJE</t>
        </is>
      </c>
      <c r="F1139" t="inlineStr">
        <is>
          <t>Holmen skog AB</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18546-2022</t>
        </is>
      </c>
      <c r="B1140" s="1" t="n">
        <v>44686</v>
      </c>
      <c r="C1140" s="1" t="n">
        <v>45349</v>
      </c>
      <c r="D1140" t="inlineStr">
        <is>
          <t>STOCKHOLMS LÄN</t>
        </is>
      </c>
      <c r="E1140" t="inlineStr">
        <is>
          <t>NORRTÄLJE</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18665-2022</t>
        </is>
      </c>
      <c r="B1141" s="1" t="n">
        <v>44687</v>
      </c>
      <c r="C1141" s="1" t="n">
        <v>45349</v>
      </c>
      <c r="D1141" t="inlineStr">
        <is>
          <t>STOCKHOLMS LÄN</t>
        </is>
      </c>
      <c r="E1141" t="inlineStr">
        <is>
          <t>NORRTÄLJE</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18787-2022</t>
        </is>
      </c>
      <c r="B1142" s="1" t="n">
        <v>44687</v>
      </c>
      <c r="C1142" s="1" t="n">
        <v>45349</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18846-2022</t>
        </is>
      </c>
      <c r="B1143" s="1" t="n">
        <v>44690</v>
      </c>
      <c r="C1143" s="1" t="n">
        <v>45349</v>
      </c>
      <c r="D1143" t="inlineStr">
        <is>
          <t>STOCKHOLMS LÄN</t>
        </is>
      </c>
      <c r="E1143" t="inlineStr">
        <is>
          <t>NORRTÄLJE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18905-2022</t>
        </is>
      </c>
      <c r="B1144" s="1" t="n">
        <v>44690</v>
      </c>
      <c r="C1144" s="1" t="n">
        <v>45349</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18894-2022</t>
        </is>
      </c>
      <c r="B1145" s="1" t="n">
        <v>44690</v>
      </c>
      <c r="C1145" s="1" t="n">
        <v>45349</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19116-2022</t>
        </is>
      </c>
      <c r="B1146" s="1" t="n">
        <v>44691</v>
      </c>
      <c r="C1146" s="1" t="n">
        <v>45349</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19118-2022</t>
        </is>
      </c>
      <c r="B1147" s="1" t="n">
        <v>44691</v>
      </c>
      <c r="C1147" s="1" t="n">
        <v>45349</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45349</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19729-2022</t>
        </is>
      </c>
      <c r="B1149" s="1" t="n">
        <v>44694</v>
      </c>
      <c r="C1149" s="1" t="n">
        <v>45349</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19728-2022</t>
        </is>
      </c>
      <c r="B1150" s="1" t="n">
        <v>44694</v>
      </c>
      <c r="C1150" s="1" t="n">
        <v>45349</v>
      </c>
      <c r="D1150" t="inlineStr">
        <is>
          <t>STOCKHOLMS LÄN</t>
        </is>
      </c>
      <c r="E1150" t="inlineStr">
        <is>
          <t>NORRTÄLJE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19982-2022</t>
        </is>
      </c>
      <c r="B1151" s="1" t="n">
        <v>44697</v>
      </c>
      <c r="C1151" s="1" t="n">
        <v>45349</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19983-2022</t>
        </is>
      </c>
      <c r="B1152" s="1" t="n">
        <v>44697</v>
      </c>
      <c r="C1152" s="1" t="n">
        <v>45349</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20121-2022</t>
        </is>
      </c>
      <c r="B1153" s="1" t="n">
        <v>44698</v>
      </c>
      <c r="C1153" s="1" t="n">
        <v>45349</v>
      </c>
      <c r="D1153" t="inlineStr">
        <is>
          <t>STOCKHOLMS LÄN</t>
        </is>
      </c>
      <c r="E1153" t="inlineStr">
        <is>
          <t>NORRTÄLJE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20129-2022</t>
        </is>
      </c>
      <c r="B1154" s="1" t="n">
        <v>44698</v>
      </c>
      <c r="C1154" s="1" t="n">
        <v>45349</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20291-2022</t>
        </is>
      </c>
      <c r="B1155" s="1" t="n">
        <v>44698</v>
      </c>
      <c r="C1155" s="1" t="n">
        <v>45349</v>
      </c>
      <c r="D1155" t="inlineStr">
        <is>
          <t>STOCKHOLMS LÄN</t>
        </is>
      </c>
      <c r="E1155" t="inlineStr">
        <is>
          <t>NORRTÄLJE</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20294-2022</t>
        </is>
      </c>
      <c r="B1156" s="1" t="n">
        <v>44698</v>
      </c>
      <c r="C1156" s="1" t="n">
        <v>45349</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20295-2022</t>
        </is>
      </c>
      <c r="B1157" s="1" t="n">
        <v>44698</v>
      </c>
      <c r="C1157" s="1" t="n">
        <v>45349</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20618-2022</t>
        </is>
      </c>
      <c r="B1158" s="1" t="n">
        <v>44700</v>
      </c>
      <c r="C1158" s="1" t="n">
        <v>45349</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21102-2022</t>
        </is>
      </c>
      <c r="B1159" s="1" t="n">
        <v>44704</v>
      </c>
      <c r="C1159" s="1" t="n">
        <v>45349</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21158-2022</t>
        </is>
      </c>
      <c r="B1160" s="1" t="n">
        <v>44704</v>
      </c>
      <c r="C1160" s="1" t="n">
        <v>45349</v>
      </c>
      <c r="D1160" t="inlineStr">
        <is>
          <t>STOCKHOLMS LÄN</t>
        </is>
      </c>
      <c r="E1160" t="inlineStr">
        <is>
          <t>NORRTÄLJE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21174-2022</t>
        </is>
      </c>
      <c r="B1161" s="1" t="n">
        <v>44704</v>
      </c>
      <c r="C1161" s="1" t="n">
        <v>45349</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21480-2022</t>
        </is>
      </c>
      <c r="B1162" s="1" t="n">
        <v>44704</v>
      </c>
      <c r="C1162" s="1" t="n">
        <v>45349</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21178-2022</t>
        </is>
      </c>
      <c r="B1163" s="1" t="n">
        <v>44704</v>
      </c>
      <c r="C1163" s="1" t="n">
        <v>45349</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21329-2022</t>
        </is>
      </c>
      <c r="B1164" s="1" t="n">
        <v>44705</v>
      </c>
      <c r="C1164" s="1" t="n">
        <v>45349</v>
      </c>
      <c r="D1164" t="inlineStr">
        <is>
          <t>STOCKHOLMS LÄN</t>
        </is>
      </c>
      <c r="E1164" t="inlineStr">
        <is>
          <t>NORRTÄLJE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21739-2022</t>
        </is>
      </c>
      <c r="B1165" s="1" t="n">
        <v>44708</v>
      </c>
      <c r="C1165" s="1" t="n">
        <v>45349</v>
      </c>
      <c r="D1165" t="inlineStr">
        <is>
          <t>STOCKHOLMS LÄN</t>
        </is>
      </c>
      <c r="E1165" t="inlineStr">
        <is>
          <t>NORRTÄLJE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21723-2022</t>
        </is>
      </c>
      <c r="B1166" s="1" t="n">
        <v>44708</v>
      </c>
      <c r="C1166" s="1" t="n">
        <v>45349</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21726-2022</t>
        </is>
      </c>
      <c r="B1167" s="1" t="n">
        <v>44708</v>
      </c>
      <c r="C1167" s="1" t="n">
        <v>45349</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21803-2022</t>
        </is>
      </c>
      <c r="B1168" s="1" t="n">
        <v>44708</v>
      </c>
      <c r="C1168" s="1" t="n">
        <v>45349</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21970-2022</t>
        </is>
      </c>
      <c r="B1169" s="1" t="n">
        <v>44711</v>
      </c>
      <c r="C1169" s="1" t="n">
        <v>45349</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22072-2022</t>
        </is>
      </c>
      <c r="B1170" s="1" t="n">
        <v>44711</v>
      </c>
      <c r="C1170" s="1" t="n">
        <v>45349</v>
      </c>
      <c r="D1170" t="inlineStr">
        <is>
          <t>STOCKHOLMS LÄN</t>
        </is>
      </c>
      <c r="E1170" t="inlineStr">
        <is>
          <t>NORRTÄLJE</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22071-2022</t>
        </is>
      </c>
      <c r="B1171" s="1" t="n">
        <v>44711</v>
      </c>
      <c r="C1171" s="1" t="n">
        <v>45349</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22269-2022</t>
        </is>
      </c>
      <c r="B1172" s="1" t="n">
        <v>44712</v>
      </c>
      <c r="C1172" s="1" t="n">
        <v>45349</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22316-2022</t>
        </is>
      </c>
      <c r="B1173" s="1" t="n">
        <v>44712</v>
      </c>
      <c r="C1173" s="1" t="n">
        <v>45349</v>
      </c>
      <c r="D1173" t="inlineStr">
        <is>
          <t>STOCKHOLMS LÄN</t>
        </is>
      </c>
      <c r="E1173" t="inlineStr">
        <is>
          <t>NORRTÄLJE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22503-2022</t>
        </is>
      </c>
      <c r="B1174" s="1" t="n">
        <v>44713</v>
      </c>
      <c r="C1174" s="1" t="n">
        <v>45349</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22697-2022</t>
        </is>
      </c>
      <c r="B1175" s="1" t="n">
        <v>44714</v>
      </c>
      <c r="C1175" s="1" t="n">
        <v>45349</v>
      </c>
      <c r="D1175" t="inlineStr">
        <is>
          <t>STOCKHOLMS LÄN</t>
        </is>
      </c>
      <c r="E1175" t="inlineStr">
        <is>
          <t>NORRTÄLJE</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22628-2022</t>
        </is>
      </c>
      <c r="B1176" s="1" t="n">
        <v>44714</v>
      </c>
      <c r="C1176" s="1" t="n">
        <v>45349</v>
      </c>
      <c r="D1176" t="inlineStr">
        <is>
          <t>STOCKHOLMS LÄN</t>
        </is>
      </c>
      <c r="E1176" t="inlineStr">
        <is>
          <t>NORRTÄLJE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22636-2022</t>
        </is>
      </c>
      <c r="B1177" s="1" t="n">
        <v>44714</v>
      </c>
      <c r="C1177" s="1" t="n">
        <v>45349</v>
      </c>
      <c r="D1177" t="inlineStr">
        <is>
          <t>STOCKHOLMS LÄN</t>
        </is>
      </c>
      <c r="E1177" t="inlineStr">
        <is>
          <t>NORRTÄLJE</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22716-2022</t>
        </is>
      </c>
      <c r="B1178" s="1" t="n">
        <v>44714</v>
      </c>
      <c r="C1178" s="1" t="n">
        <v>45349</v>
      </c>
      <c r="D1178" t="inlineStr">
        <is>
          <t>STOCKHOLMS LÄN</t>
        </is>
      </c>
      <c r="E1178" t="inlineStr">
        <is>
          <t>NORRTÄLJE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22756-2022</t>
        </is>
      </c>
      <c r="B1179" s="1" t="n">
        <v>44715</v>
      </c>
      <c r="C1179" s="1" t="n">
        <v>45349</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23125-2022</t>
        </is>
      </c>
      <c r="B1180" s="1" t="n">
        <v>44719</v>
      </c>
      <c r="C1180" s="1" t="n">
        <v>45349</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23770-2022</t>
        </is>
      </c>
      <c r="B1181" s="1" t="n">
        <v>44722</v>
      </c>
      <c r="C1181" s="1" t="n">
        <v>45349</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23801-2022</t>
        </is>
      </c>
      <c r="B1182" s="1" t="n">
        <v>44722</v>
      </c>
      <c r="C1182" s="1" t="n">
        <v>45349</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24101-2022</t>
        </is>
      </c>
      <c r="B1183" s="1" t="n">
        <v>44725</v>
      </c>
      <c r="C1183" s="1" t="n">
        <v>45349</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24162-2022</t>
        </is>
      </c>
      <c r="B1184" s="1" t="n">
        <v>44725</v>
      </c>
      <c r="C1184" s="1" t="n">
        <v>45349</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24167-2022</t>
        </is>
      </c>
      <c r="B1185" s="1" t="n">
        <v>44725</v>
      </c>
      <c r="C1185" s="1" t="n">
        <v>45349</v>
      </c>
      <c r="D1185" t="inlineStr">
        <is>
          <t>STOCKHOLMS LÄN</t>
        </is>
      </c>
      <c r="E1185" t="inlineStr">
        <is>
          <t>NORRTÄLJE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24152-2022</t>
        </is>
      </c>
      <c r="B1186" s="1" t="n">
        <v>44725</v>
      </c>
      <c r="C1186" s="1" t="n">
        <v>45349</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24534-2022</t>
        </is>
      </c>
      <c r="B1187" s="1" t="n">
        <v>44727</v>
      </c>
      <c r="C1187" s="1" t="n">
        <v>45349</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24977-2022</t>
        </is>
      </c>
      <c r="B1188" s="1" t="n">
        <v>44728</v>
      </c>
      <c r="C1188" s="1" t="n">
        <v>45349</v>
      </c>
      <c r="D1188" t="inlineStr">
        <is>
          <t>STOCKHOLMS LÄN</t>
        </is>
      </c>
      <c r="E1188" t="inlineStr">
        <is>
          <t>NORRTÄLJE</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25525-2022</t>
        </is>
      </c>
      <c r="B1189" s="1" t="n">
        <v>44732</v>
      </c>
      <c r="C1189" s="1" t="n">
        <v>45349</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25621-2022</t>
        </is>
      </c>
      <c r="B1190" s="1" t="n">
        <v>44732</v>
      </c>
      <c r="C1190" s="1" t="n">
        <v>45349</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25619-2022</t>
        </is>
      </c>
      <c r="B1191" s="1" t="n">
        <v>44732</v>
      </c>
      <c r="C1191" s="1" t="n">
        <v>45349</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26328-2022</t>
        </is>
      </c>
      <c r="B1192" s="1" t="n">
        <v>44735</v>
      </c>
      <c r="C1192" s="1" t="n">
        <v>45349</v>
      </c>
      <c r="D1192" t="inlineStr">
        <is>
          <t>STOCKHOLMS LÄN</t>
        </is>
      </c>
      <c r="E1192" t="inlineStr">
        <is>
          <t>NORRTÄLJE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26335-2022</t>
        </is>
      </c>
      <c r="B1193" s="1" t="n">
        <v>44735</v>
      </c>
      <c r="C1193" s="1" t="n">
        <v>45349</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27538-2022</t>
        </is>
      </c>
      <c r="B1194" s="1" t="n">
        <v>44742</v>
      </c>
      <c r="C1194" s="1" t="n">
        <v>45349</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27715-2022</t>
        </is>
      </c>
      <c r="B1195" s="1" t="n">
        <v>44743</v>
      </c>
      <c r="C1195" s="1" t="n">
        <v>45349</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27827-2022</t>
        </is>
      </c>
      <c r="B1196" s="1" t="n">
        <v>44743</v>
      </c>
      <c r="C1196" s="1" t="n">
        <v>45349</v>
      </c>
      <c r="D1196" t="inlineStr">
        <is>
          <t>STOCKHOLMS LÄN</t>
        </is>
      </c>
      <c r="E1196" t="inlineStr">
        <is>
          <t>NORRTÄLJE</t>
        </is>
      </c>
      <c r="F1196" t="inlineStr">
        <is>
          <t>Holmen skog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27870-2022</t>
        </is>
      </c>
      <c r="B1197" s="1" t="n">
        <v>44743</v>
      </c>
      <c r="C1197" s="1" t="n">
        <v>45349</v>
      </c>
      <c r="D1197" t="inlineStr">
        <is>
          <t>STOCKHOLMS LÄN</t>
        </is>
      </c>
      <c r="E1197" t="inlineStr">
        <is>
          <t>NORRTÄLJE</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27828-2022</t>
        </is>
      </c>
      <c r="B1198" s="1" t="n">
        <v>44743</v>
      </c>
      <c r="C1198" s="1" t="n">
        <v>45349</v>
      </c>
      <c r="D1198" t="inlineStr">
        <is>
          <t>STOCKHOLMS LÄN</t>
        </is>
      </c>
      <c r="E1198" t="inlineStr">
        <is>
          <t>NORRTÄLJE</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27824-2022</t>
        </is>
      </c>
      <c r="B1199" s="1" t="n">
        <v>44743</v>
      </c>
      <c r="C1199" s="1" t="n">
        <v>45349</v>
      </c>
      <c r="D1199" t="inlineStr">
        <is>
          <t>STOCKHOLMS LÄN</t>
        </is>
      </c>
      <c r="E1199" t="inlineStr">
        <is>
          <t>NORRTÄLJE</t>
        </is>
      </c>
      <c r="F1199" t="inlineStr">
        <is>
          <t>Kommuner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27831-2022</t>
        </is>
      </c>
      <c r="B1200" s="1" t="n">
        <v>44743</v>
      </c>
      <c r="C1200" s="1" t="n">
        <v>45349</v>
      </c>
      <c r="D1200" t="inlineStr">
        <is>
          <t>STOCKHOLMS LÄN</t>
        </is>
      </c>
      <c r="E1200" t="inlineStr">
        <is>
          <t>NORRTÄLJE</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27885-2022</t>
        </is>
      </c>
      <c r="B1201" s="1" t="n">
        <v>44743</v>
      </c>
      <c r="C1201" s="1" t="n">
        <v>45349</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27867-2022</t>
        </is>
      </c>
      <c r="B1202" s="1" t="n">
        <v>44743</v>
      </c>
      <c r="C1202" s="1" t="n">
        <v>45349</v>
      </c>
      <c r="D1202" t="inlineStr">
        <is>
          <t>STOCKHOLMS LÄN</t>
        </is>
      </c>
      <c r="E1202" t="inlineStr">
        <is>
          <t>NORRTÄLJE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28042-2022</t>
        </is>
      </c>
      <c r="B1203" s="1" t="n">
        <v>44744</v>
      </c>
      <c r="C1203" s="1" t="n">
        <v>45349</v>
      </c>
      <c r="D1203" t="inlineStr">
        <is>
          <t>STOCKHOLMS LÄN</t>
        </is>
      </c>
      <c r="E1203" t="inlineStr">
        <is>
          <t>NORRTÄLJE</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28100-2022</t>
        </is>
      </c>
      <c r="B1204" s="1" t="n">
        <v>44746</v>
      </c>
      <c r="C1204" s="1" t="n">
        <v>45349</v>
      </c>
      <c r="D1204" t="inlineStr">
        <is>
          <t>STOCKHOLMS LÄN</t>
        </is>
      </c>
      <c r="E1204" t="inlineStr">
        <is>
          <t>NORRTÄLJE</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28182-2022</t>
        </is>
      </c>
      <c r="B1205" s="1" t="n">
        <v>44746</v>
      </c>
      <c r="C1205" s="1" t="n">
        <v>45349</v>
      </c>
      <c r="D1205" t="inlineStr">
        <is>
          <t>STOCKHOLMS LÄN</t>
        </is>
      </c>
      <c r="E1205" t="inlineStr">
        <is>
          <t>NORRTÄLJE</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28209-2022</t>
        </is>
      </c>
      <c r="B1206" s="1" t="n">
        <v>44746</v>
      </c>
      <c r="C1206" s="1" t="n">
        <v>45349</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28365-2022</t>
        </is>
      </c>
      <c r="B1207" s="1" t="n">
        <v>44747</v>
      </c>
      <c r="C1207" s="1" t="n">
        <v>45349</v>
      </c>
      <c r="D1207" t="inlineStr">
        <is>
          <t>STOCKHOLMS LÄN</t>
        </is>
      </c>
      <c r="E1207" t="inlineStr">
        <is>
          <t>NORRTÄLJE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28900-2022</t>
        </is>
      </c>
      <c r="B1208" s="1" t="n">
        <v>44749</v>
      </c>
      <c r="C1208" s="1" t="n">
        <v>45349</v>
      </c>
      <c r="D1208" t="inlineStr">
        <is>
          <t>STOCKHOLMS LÄN</t>
        </is>
      </c>
      <c r="E1208" t="inlineStr">
        <is>
          <t>NORRTÄLJE</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28959-2022</t>
        </is>
      </c>
      <c r="B1209" s="1" t="n">
        <v>44749</v>
      </c>
      <c r="C1209" s="1" t="n">
        <v>45349</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29070-2022</t>
        </is>
      </c>
      <c r="B1210" s="1" t="n">
        <v>44750</v>
      </c>
      <c r="C1210" s="1" t="n">
        <v>45349</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29266-2022</t>
        </is>
      </c>
      <c r="B1211" s="1" t="n">
        <v>44750</v>
      </c>
      <c r="C1211" s="1" t="n">
        <v>45349</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29278-2022</t>
        </is>
      </c>
      <c r="B1212" s="1" t="n">
        <v>44750</v>
      </c>
      <c r="C1212" s="1" t="n">
        <v>45349</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29362-2022</t>
        </is>
      </c>
      <c r="B1213" s="1" t="n">
        <v>44753</v>
      </c>
      <c r="C1213" s="1" t="n">
        <v>45349</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29395-2022</t>
        </is>
      </c>
      <c r="B1214" s="1" t="n">
        <v>44753</v>
      </c>
      <c r="C1214" s="1" t="n">
        <v>45349</v>
      </c>
      <c r="D1214" t="inlineStr">
        <is>
          <t>STOCKHOLMS LÄN</t>
        </is>
      </c>
      <c r="E1214" t="inlineStr">
        <is>
          <t>NORRTÄLJE</t>
        </is>
      </c>
      <c r="F1214" t="inlineStr">
        <is>
          <t>Holmen skog AB</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29868-2022</t>
        </is>
      </c>
      <c r="B1215" s="1" t="n">
        <v>44756</v>
      </c>
      <c r="C1215" s="1" t="n">
        <v>45349</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30151-2022</t>
        </is>
      </c>
      <c r="B1216" s="1" t="n">
        <v>44757</v>
      </c>
      <c r="C1216" s="1" t="n">
        <v>45349</v>
      </c>
      <c r="D1216" t="inlineStr">
        <is>
          <t>STOCKHOLMS LÄN</t>
        </is>
      </c>
      <c r="E1216" t="inlineStr">
        <is>
          <t>NORRTÄLJE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30164-2022</t>
        </is>
      </c>
      <c r="B1217" s="1" t="n">
        <v>44757</v>
      </c>
      <c r="C1217" s="1" t="n">
        <v>45349</v>
      </c>
      <c r="D1217" t="inlineStr">
        <is>
          <t>STOCKHOLMS LÄN</t>
        </is>
      </c>
      <c r="E1217" t="inlineStr">
        <is>
          <t>NORRTÄLJE</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30171-2022</t>
        </is>
      </c>
      <c r="B1218" s="1" t="n">
        <v>44757</v>
      </c>
      <c r="C1218" s="1" t="n">
        <v>45349</v>
      </c>
      <c r="D1218" t="inlineStr">
        <is>
          <t>STOCKHOLMS LÄN</t>
        </is>
      </c>
      <c r="E1218" t="inlineStr">
        <is>
          <t>NORRTÄLJE</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30283-2022</t>
        </is>
      </c>
      <c r="B1219" s="1" t="n">
        <v>44760</v>
      </c>
      <c r="C1219" s="1" t="n">
        <v>45349</v>
      </c>
      <c r="D1219" t="inlineStr">
        <is>
          <t>STOCKHOLMS LÄN</t>
        </is>
      </c>
      <c r="E1219" t="inlineStr">
        <is>
          <t>NORRTÄLJE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30338-2022</t>
        </is>
      </c>
      <c r="B1220" s="1" t="n">
        <v>44760</v>
      </c>
      <c r="C1220" s="1" t="n">
        <v>45349</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30286-2022</t>
        </is>
      </c>
      <c r="B1221" s="1" t="n">
        <v>44760</v>
      </c>
      <c r="C1221" s="1" t="n">
        <v>45349</v>
      </c>
      <c r="D1221" t="inlineStr">
        <is>
          <t>STOCKHOLMS LÄN</t>
        </is>
      </c>
      <c r="E1221" t="inlineStr">
        <is>
          <t>NORRTÄLJE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30290-2022</t>
        </is>
      </c>
      <c r="B1222" s="1" t="n">
        <v>44760</v>
      </c>
      <c r="C1222" s="1" t="n">
        <v>45349</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30620-2022</t>
        </is>
      </c>
      <c r="B1223" s="1" t="n">
        <v>44763</v>
      </c>
      <c r="C1223" s="1" t="n">
        <v>45349</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30624-2022</t>
        </is>
      </c>
      <c r="B1224" s="1" t="n">
        <v>44763</v>
      </c>
      <c r="C1224" s="1" t="n">
        <v>45349</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30758-2022</t>
        </is>
      </c>
      <c r="B1225" s="1" t="n">
        <v>44764</v>
      </c>
      <c r="C1225" s="1" t="n">
        <v>45349</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30740-2022</t>
        </is>
      </c>
      <c r="B1226" s="1" t="n">
        <v>44764</v>
      </c>
      <c r="C1226" s="1" t="n">
        <v>45349</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30750-2022</t>
        </is>
      </c>
      <c r="B1227" s="1" t="n">
        <v>44764</v>
      </c>
      <c r="C1227" s="1" t="n">
        <v>45349</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30802-2022</t>
        </is>
      </c>
      <c r="B1228" s="1" t="n">
        <v>44764</v>
      </c>
      <c r="C1228" s="1" t="n">
        <v>45349</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30886-2022</t>
        </is>
      </c>
      <c r="B1229" s="1" t="n">
        <v>44767</v>
      </c>
      <c r="C1229" s="1" t="n">
        <v>45349</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31102-2022</t>
        </is>
      </c>
      <c r="B1230" s="1" t="n">
        <v>44769</v>
      </c>
      <c r="C1230" s="1" t="n">
        <v>45349</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31092-2022</t>
        </is>
      </c>
      <c r="B1231" s="1" t="n">
        <v>44769</v>
      </c>
      <c r="C1231" s="1" t="n">
        <v>45349</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31052-2022</t>
        </is>
      </c>
      <c r="B1232" s="1" t="n">
        <v>44769</v>
      </c>
      <c r="C1232" s="1" t="n">
        <v>45349</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31105-2022</t>
        </is>
      </c>
      <c r="B1233" s="1" t="n">
        <v>44769</v>
      </c>
      <c r="C1233" s="1" t="n">
        <v>45349</v>
      </c>
      <c r="D1233" t="inlineStr">
        <is>
          <t>STOCKHOLMS LÄN</t>
        </is>
      </c>
      <c r="E1233" t="inlineStr">
        <is>
          <t>NORRTÄLJE</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31107-2022</t>
        </is>
      </c>
      <c r="B1234" s="1" t="n">
        <v>44769</v>
      </c>
      <c r="C1234" s="1" t="n">
        <v>45349</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31057-2022</t>
        </is>
      </c>
      <c r="B1235" s="1" t="n">
        <v>44769</v>
      </c>
      <c r="C1235" s="1" t="n">
        <v>45349</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45349</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45349</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31283-2022</t>
        </is>
      </c>
      <c r="B1238" s="1" t="n">
        <v>44771</v>
      </c>
      <c r="C1238" s="1" t="n">
        <v>45349</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31559-2022</t>
        </is>
      </c>
      <c r="B1239" s="1" t="n">
        <v>44775</v>
      </c>
      <c r="C1239" s="1" t="n">
        <v>45349</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31807-2022</t>
        </is>
      </c>
      <c r="B1240" s="1" t="n">
        <v>44776</v>
      </c>
      <c r="C1240" s="1" t="n">
        <v>45349</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31938-2022</t>
        </is>
      </c>
      <c r="B1241" s="1" t="n">
        <v>44777</v>
      </c>
      <c r="C1241" s="1" t="n">
        <v>45349</v>
      </c>
      <c r="D1241" t="inlineStr">
        <is>
          <t>STOCKHOLMS LÄN</t>
        </is>
      </c>
      <c r="E1241" t="inlineStr">
        <is>
          <t>NORRTÄLJE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31936-2022</t>
        </is>
      </c>
      <c r="B1242" s="1" t="n">
        <v>44777</v>
      </c>
      <c r="C1242" s="1" t="n">
        <v>45349</v>
      </c>
      <c r="D1242" t="inlineStr">
        <is>
          <t>STOCKHOLMS LÄN</t>
        </is>
      </c>
      <c r="E1242" t="inlineStr">
        <is>
          <t>NORRTÄLJE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31924-2022</t>
        </is>
      </c>
      <c r="B1243" s="1" t="n">
        <v>44777</v>
      </c>
      <c r="C1243" s="1" t="n">
        <v>45349</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31939-2022</t>
        </is>
      </c>
      <c r="B1244" s="1" t="n">
        <v>44777</v>
      </c>
      <c r="C1244" s="1" t="n">
        <v>45349</v>
      </c>
      <c r="D1244" t="inlineStr">
        <is>
          <t>STOCKHOLMS LÄN</t>
        </is>
      </c>
      <c r="E1244" t="inlineStr">
        <is>
          <t>NORRTÄLJE</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31926-2022</t>
        </is>
      </c>
      <c r="B1245" s="1" t="n">
        <v>44777</v>
      </c>
      <c r="C1245" s="1" t="n">
        <v>45349</v>
      </c>
      <c r="D1245" t="inlineStr">
        <is>
          <t>STOCKHOLMS LÄN</t>
        </is>
      </c>
      <c r="E1245" t="inlineStr">
        <is>
          <t>NORRTÄLJE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31934-2022</t>
        </is>
      </c>
      <c r="B1246" s="1" t="n">
        <v>44777</v>
      </c>
      <c r="C1246" s="1" t="n">
        <v>45349</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32103-2022</t>
        </is>
      </c>
      <c r="B1247" s="1" t="n">
        <v>44778</v>
      </c>
      <c r="C1247" s="1" t="n">
        <v>45349</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32111-2022</t>
        </is>
      </c>
      <c r="B1248" s="1" t="n">
        <v>44779</v>
      </c>
      <c r="C1248" s="1" t="n">
        <v>45349</v>
      </c>
      <c r="D1248" t="inlineStr">
        <is>
          <t>STOCKHOLMS LÄN</t>
        </is>
      </c>
      <c r="E1248" t="inlineStr">
        <is>
          <t>NORRTÄLJE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32101-2022</t>
        </is>
      </c>
      <c r="B1249" s="1" t="n">
        <v>44778</v>
      </c>
      <c r="C1249" s="1" t="n">
        <v>45349</v>
      </c>
      <c r="D1249" t="inlineStr">
        <is>
          <t>STOCKHOLMS LÄN</t>
        </is>
      </c>
      <c r="E1249" t="inlineStr">
        <is>
          <t>NORRTÄLJE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32100-2022</t>
        </is>
      </c>
      <c r="B1250" s="1" t="n">
        <v>44778</v>
      </c>
      <c r="C1250" s="1" t="n">
        <v>45349</v>
      </c>
      <c r="D1250" t="inlineStr">
        <is>
          <t>STOCKHOLMS LÄN</t>
        </is>
      </c>
      <c r="E1250" t="inlineStr">
        <is>
          <t>NORRTÄLJE</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32102-2022</t>
        </is>
      </c>
      <c r="B1251" s="1" t="n">
        <v>44778</v>
      </c>
      <c r="C1251" s="1" t="n">
        <v>45349</v>
      </c>
      <c r="D1251" t="inlineStr">
        <is>
          <t>STOCKHOLMS LÄN</t>
        </is>
      </c>
      <c r="E1251" t="inlineStr">
        <is>
          <t>NORRTÄLJE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32514-2022</t>
        </is>
      </c>
      <c r="B1252" s="1" t="n">
        <v>44782</v>
      </c>
      <c r="C1252" s="1" t="n">
        <v>45349</v>
      </c>
      <c r="D1252" t="inlineStr">
        <is>
          <t>STOCKHOLMS LÄN</t>
        </is>
      </c>
      <c r="E1252" t="inlineStr">
        <is>
          <t>NORRTÄLJE</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32705-2022</t>
        </is>
      </c>
      <c r="B1253" s="1" t="n">
        <v>44783</v>
      </c>
      <c r="C1253" s="1" t="n">
        <v>45349</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33055-2022</t>
        </is>
      </c>
      <c r="B1254" s="1" t="n">
        <v>44785</v>
      </c>
      <c r="C1254" s="1" t="n">
        <v>45349</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33149-2022</t>
        </is>
      </c>
      <c r="B1255" s="1" t="n">
        <v>44785</v>
      </c>
      <c r="C1255" s="1" t="n">
        <v>45349</v>
      </c>
      <c r="D1255" t="inlineStr">
        <is>
          <t>STOCKHOLMS LÄN</t>
        </is>
      </c>
      <c r="E1255" t="inlineStr">
        <is>
          <t>NORRTÄLJE</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33445-2022</t>
        </is>
      </c>
      <c r="B1256" s="1" t="n">
        <v>44788</v>
      </c>
      <c r="C1256" s="1" t="n">
        <v>45349</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33793-2022</t>
        </is>
      </c>
      <c r="B1257" s="1" t="n">
        <v>44790</v>
      </c>
      <c r="C1257" s="1" t="n">
        <v>45349</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33895-2022</t>
        </is>
      </c>
      <c r="B1258" s="1" t="n">
        <v>44790</v>
      </c>
      <c r="C1258" s="1" t="n">
        <v>45349</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34773-2022</t>
        </is>
      </c>
      <c r="B1259" s="1" t="n">
        <v>44795</v>
      </c>
      <c r="C1259" s="1" t="n">
        <v>45349</v>
      </c>
      <c r="D1259" t="inlineStr">
        <is>
          <t>STOCKHOLMS LÄN</t>
        </is>
      </c>
      <c r="E1259" t="inlineStr">
        <is>
          <t>NORRTÄLJE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35121-2022</t>
        </is>
      </c>
      <c r="B1260" s="1" t="n">
        <v>44797</v>
      </c>
      <c r="C1260" s="1" t="n">
        <v>45349</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35161-2022</t>
        </is>
      </c>
      <c r="B1261" s="1" t="n">
        <v>44797</v>
      </c>
      <c r="C1261" s="1" t="n">
        <v>45349</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35156-2022</t>
        </is>
      </c>
      <c r="B1262" s="1" t="n">
        <v>44797</v>
      </c>
      <c r="C1262" s="1" t="n">
        <v>45349</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35708-2022</t>
        </is>
      </c>
      <c r="B1263" s="1" t="n">
        <v>44799</v>
      </c>
      <c r="C1263" s="1" t="n">
        <v>45349</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36269-2022</t>
        </is>
      </c>
      <c r="B1264" s="1" t="n">
        <v>44803</v>
      </c>
      <c r="C1264" s="1" t="n">
        <v>45349</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45349</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36975-2022</t>
        </is>
      </c>
      <c r="B1266" s="1" t="n">
        <v>44806</v>
      </c>
      <c r="C1266" s="1" t="n">
        <v>45349</v>
      </c>
      <c r="D1266" t="inlineStr">
        <is>
          <t>STOCKHOLMS LÄN</t>
        </is>
      </c>
      <c r="E1266" t="inlineStr">
        <is>
          <t>NORRTÄLJE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37550-2022</t>
        </is>
      </c>
      <c r="B1267" s="1" t="n">
        <v>44809</v>
      </c>
      <c r="C1267" s="1" t="n">
        <v>45349</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37679-2022</t>
        </is>
      </c>
      <c r="B1268" s="1" t="n">
        <v>44810</v>
      </c>
      <c r="C1268" s="1" t="n">
        <v>45349</v>
      </c>
      <c r="D1268" t="inlineStr">
        <is>
          <t>STOCKHOLMS LÄN</t>
        </is>
      </c>
      <c r="E1268" t="inlineStr">
        <is>
          <t>NORRTÄLJE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37815-2022</t>
        </is>
      </c>
      <c r="B1269" s="1" t="n">
        <v>44810</v>
      </c>
      <c r="C1269" s="1" t="n">
        <v>45349</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38449-2022</t>
        </is>
      </c>
      <c r="B1270" s="1" t="n">
        <v>44813</v>
      </c>
      <c r="C1270" s="1" t="n">
        <v>45349</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38612-2022</t>
        </is>
      </c>
      <c r="B1271" s="1" t="n">
        <v>44813</v>
      </c>
      <c r="C1271" s="1" t="n">
        <v>45349</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38590-2022</t>
        </is>
      </c>
      <c r="B1272" s="1" t="n">
        <v>44813</v>
      </c>
      <c r="C1272" s="1" t="n">
        <v>45349</v>
      </c>
      <c r="D1272" t="inlineStr">
        <is>
          <t>STOCKHOLMS LÄN</t>
        </is>
      </c>
      <c r="E1272" t="inlineStr">
        <is>
          <t>NORRTÄLJE</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38610-2022</t>
        </is>
      </c>
      <c r="B1273" s="1" t="n">
        <v>44813</v>
      </c>
      <c r="C1273" s="1" t="n">
        <v>45349</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38720-2022</t>
        </is>
      </c>
      <c r="B1274" s="1" t="n">
        <v>44815</v>
      </c>
      <c r="C1274" s="1" t="n">
        <v>45349</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38721-2022</t>
        </is>
      </c>
      <c r="B1275" s="1" t="n">
        <v>44815</v>
      </c>
      <c r="C1275" s="1" t="n">
        <v>45349</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38927-2022</t>
        </is>
      </c>
      <c r="B1276" s="1" t="n">
        <v>44816</v>
      </c>
      <c r="C1276" s="1" t="n">
        <v>45349</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38759-2022</t>
        </is>
      </c>
      <c r="B1277" s="1" t="n">
        <v>44816</v>
      </c>
      <c r="C1277" s="1" t="n">
        <v>45349</v>
      </c>
      <c r="D1277" t="inlineStr">
        <is>
          <t>STOCKHOLMS LÄN</t>
        </is>
      </c>
      <c r="E1277" t="inlineStr">
        <is>
          <t>NORRTÄLJE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38990-2022</t>
        </is>
      </c>
      <c r="B1278" s="1" t="n">
        <v>44816</v>
      </c>
      <c r="C1278" s="1" t="n">
        <v>45349</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38991-2022</t>
        </is>
      </c>
      <c r="B1279" s="1" t="n">
        <v>44816</v>
      </c>
      <c r="C1279" s="1" t="n">
        <v>45349</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38985-2022</t>
        </is>
      </c>
      <c r="B1280" s="1" t="n">
        <v>44816</v>
      </c>
      <c r="C1280" s="1" t="n">
        <v>45349</v>
      </c>
      <c r="D1280" t="inlineStr">
        <is>
          <t>STOCKHOLMS LÄN</t>
        </is>
      </c>
      <c r="E1280" t="inlineStr">
        <is>
          <t>NORRTÄLJE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38992-2022</t>
        </is>
      </c>
      <c r="B1281" s="1" t="n">
        <v>44817</v>
      </c>
      <c r="C1281" s="1" t="n">
        <v>45349</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39213-2022</t>
        </is>
      </c>
      <c r="B1282" s="1" t="n">
        <v>44817</v>
      </c>
      <c r="C1282" s="1" t="n">
        <v>45349</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39319-2022</t>
        </is>
      </c>
      <c r="B1283" s="1" t="n">
        <v>44817</v>
      </c>
      <c r="C1283" s="1" t="n">
        <v>45349</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39318-2022</t>
        </is>
      </c>
      <c r="B1284" s="1" t="n">
        <v>44817</v>
      </c>
      <c r="C1284" s="1" t="n">
        <v>45349</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39854-2022</t>
        </is>
      </c>
      <c r="B1285" s="1" t="n">
        <v>44819</v>
      </c>
      <c r="C1285" s="1" t="n">
        <v>45349</v>
      </c>
      <c r="D1285" t="inlineStr">
        <is>
          <t>STOCKHOLMS LÄN</t>
        </is>
      </c>
      <c r="E1285" t="inlineStr">
        <is>
          <t>NORRTÄLJE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39869-2022</t>
        </is>
      </c>
      <c r="B1286" s="1" t="n">
        <v>44819</v>
      </c>
      <c r="C1286" s="1" t="n">
        <v>45349</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39867-2022</t>
        </is>
      </c>
      <c r="B1287" s="1" t="n">
        <v>44819</v>
      </c>
      <c r="C1287" s="1" t="n">
        <v>45349</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40504-2022</t>
        </is>
      </c>
      <c r="B1288" s="1" t="n">
        <v>44823</v>
      </c>
      <c r="C1288" s="1" t="n">
        <v>45349</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40503-2022</t>
        </is>
      </c>
      <c r="B1289" s="1" t="n">
        <v>44823</v>
      </c>
      <c r="C1289" s="1" t="n">
        <v>45349</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40656-2022</t>
        </is>
      </c>
      <c r="B1290" s="1" t="n">
        <v>44824</v>
      </c>
      <c r="C1290" s="1" t="n">
        <v>45349</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40751-2022</t>
        </is>
      </c>
      <c r="B1291" s="1" t="n">
        <v>44824</v>
      </c>
      <c r="C1291" s="1" t="n">
        <v>45349</v>
      </c>
      <c r="D1291" t="inlineStr">
        <is>
          <t>STOCKHOLMS LÄN</t>
        </is>
      </c>
      <c r="E1291" t="inlineStr">
        <is>
          <t>NORRTÄLJE</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41398-2022</t>
        </is>
      </c>
      <c r="B1292" s="1" t="n">
        <v>44826</v>
      </c>
      <c r="C1292" s="1" t="n">
        <v>45349</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41320-2022</t>
        </is>
      </c>
      <c r="B1293" s="1" t="n">
        <v>44826</v>
      </c>
      <c r="C1293" s="1" t="n">
        <v>45349</v>
      </c>
      <c r="D1293" t="inlineStr">
        <is>
          <t>STOCKHOLMS LÄN</t>
        </is>
      </c>
      <c r="E1293" t="inlineStr">
        <is>
          <t>NORRTÄLJE</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42087-2022</t>
        </is>
      </c>
      <c r="B1294" s="1" t="n">
        <v>44830</v>
      </c>
      <c r="C1294" s="1" t="n">
        <v>45349</v>
      </c>
      <c r="D1294" t="inlineStr">
        <is>
          <t>STOCKHOLMS LÄN</t>
        </is>
      </c>
      <c r="E1294" t="inlineStr">
        <is>
          <t>NORRTÄLJE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42112-2022</t>
        </is>
      </c>
      <c r="B1295" s="1" t="n">
        <v>44830</v>
      </c>
      <c r="C1295" s="1" t="n">
        <v>45349</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42126-2022</t>
        </is>
      </c>
      <c r="B1296" s="1" t="n">
        <v>44830</v>
      </c>
      <c r="C1296" s="1" t="n">
        <v>45349</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42867-2022</t>
        </is>
      </c>
      <c r="B1297" s="1" t="n">
        <v>44832</v>
      </c>
      <c r="C1297" s="1" t="n">
        <v>45349</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42955-2022</t>
        </is>
      </c>
      <c r="B1298" s="1" t="n">
        <v>44833</v>
      </c>
      <c r="C1298" s="1" t="n">
        <v>45349</v>
      </c>
      <c r="D1298" t="inlineStr">
        <is>
          <t>STOCKHOLMS LÄN</t>
        </is>
      </c>
      <c r="E1298" t="inlineStr">
        <is>
          <t>NORRTÄLJE</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43036-2022</t>
        </is>
      </c>
      <c r="B1299" s="1" t="n">
        <v>44833</v>
      </c>
      <c r="C1299" s="1" t="n">
        <v>45349</v>
      </c>
      <c r="D1299" t="inlineStr">
        <is>
          <t>STOCKHOLMS LÄN</t>
        </is>
      </c>
      <c r="E1299" t="inlineStr">
        <is>
          <t>NORRTÄLJE</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43212-2022</t>
        </is>
      </c>
      <c r="B1300" s="1" t="n">
        <v>44834</v>
      </c>
      <c r="C1300" s="1" t="n">
        <v>45349</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43374-2022</t>
        </is>
      </c>
      <c r="B1301" s="1" t="n">
        <v>44834</v>
      </c>
      <c r="C1301" s="1" t="n">
        <v>45349</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43972-2022</t>
        </is>
      </c>
      <c r="B1302" s="1" t="n">
        <v>44838</v>
      </c>
      <c r="C1302" s="1" t="n">
        <v>45349</v>
      </c>
      <c r="D1302" t="inlineStr">
        <is>
          <t>STOCKHOLMS LÄN</t>
        </is>
      </c>
      <c r="E1302" t="inlineStr">
        <is>
          <t>NORRTÄLJE</t>
        </is>
      </c>
      <c r="F1302" t="inlineStr">
        <is>
          <t>Holmen skog AB</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44349-2022</t>
        </is>
      </c>
      <c r="B1303" s="1" t="n">
        <v>44839</v>
      </c>
      <c r="C1303" s="1" t="n">
        <v>45349</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45255-2022</t>
        </is>
      </c>
      <c r="B1304" s="1" t="n">
        <v>44840</v>
      </c>
      <c r="C1304" s="1" t="n">
        <v>45349</v>
      </c>
      <c r="D1304" t="inlineStr">
        <is>
          <t>STOCKHOLMS LÄN</t>
        </is>
      </c>
      <c r="E1304" t="inlineStr">
        <is>
          <t>NORRTÄLJE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44917-2022</t>
        </is>
      </c>
      <c r="B1305" s="1" t="n">
        <v>44841</v>
      </c>
      <c r="C1305" s="1" t="n">
        <v>45349</v>
      </c>
      <c r="D1305" t="inlineStr">
        <is>
          <t>STOCKHOLMS LÄN</t>
        </is>
      </c>
      <c r="E1305" t="inlineStr">
        <is>
          <t>NORRTÄLJE</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45541-2022</t>
        </is>
      </c>
      <c r="B1306" s="1" t="n">
        <v>44845</v>
      </c>
      <c r="C1306" s="1" t="n">
        <v>45349</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45539-2022</t>
        </is>
      </c>
      <c r="B1307" s="1" t="n">
        <v>44845</v>
      </c>
      <c r="C1307" s="1" t="n">
        <v>45349</v>
      </c>
      <c r="D1307" t="inlineStr">
        <is>
          <t>STOCKHOLMS LÄN</t>
        </is>
      </c>
      <c r="E1307" t="inlineStr">
        <is>
          <t>NORRTÄLJE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45549-2022</t>
        </is>
      </c>
      <c r="B1308" s="1" t="n">
        <v>44845</v>
      </c>
      <c r="C1308" s="1" t="n">
        <v>45349</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46914-2022</t>
        </is>
      </c>
      <c r="B1309" s="1" t="n">
        <v>44851</v>
      </c>
      <c r="C1309" s="1" t="n">
        <v>45349</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47076-2022</t>
        </is>
      </c>
      <c r="B1310" s="1" t="n">
        <v>44852</v>
      </c>
      <c r="C1310" s="1" t="n">
        <v>45349</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47079-2022</t>
        </is>
      </c>
      <c r="B1311" s="1" t="n">
        <v>44852</v>
      </c>
      <c r="C1311" s="1" t="n">
        <v>45349</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47626-2022</t>
        </is>
      </c>
      <c r="B1312" s="1" t="n">
        <v>44854</v>
      </c>
      <c r="C1312" s="1" t="n">
        <v>45349</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48316-2022</t>
        </is>
      </c>
      <c r="B1313" s="1" t="n">
        <v>44854</v>
      </c>
      <c r="C1313" s="1" t="n">
        <v>45349</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47929-2022</t>
        </is>
      </c>
      <c r="B1314" s="1" t="n">
        <v>44855</v>
      </c>
      <c r="C1314" s="1" t="n">
        <v>45349</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48490-2022</t>
        </is>
      </c>
      <c r="B1315" s="1" t="n">
        <v>44858</v>
      </c>
      <c r="C1315" s="1" t="n">
        <v>45349</v>
      </c>
      <c r="D1315" t="inlineStr">
        <is>
          <t>STOCKHOLMS LÄN</t>
        </is>
      </c>
      <c r="E1315" t="inlineStr">
        <is>
          <t>NORRTÄLJE</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48161-2022</t>
        </is>
      </c>
      <c r="B1316" s="1" t="n">
        <v>44858</v>
      </c>
      <c r="C1316" s="1" t="n">
        <v>45349</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48453-2022</t>
        </is>
      </c>
      <c r="B1317" s="1" t="n">
        <v>44858</v>
      </c>
      <c r="C1317" s="1" t="n">
        <v>45349</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48492-2022</t>
        </is>
      </c>
      <c r="B1318" s="1" t="n">
        <v>44858</v>
      </c>
      <c r="C1318" s="1" t="n">
        <v>45349</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50065-2022</t>
        </is>
      </c>
      <c r="B1319" s="1" t="n">
        <v>44865</v>
      </c>
      <c r="C1319" s="1" t="n">
        <v>45349</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50469-2022</t>
        </is>
      </c>
      <c r="B1320" s="1" t="n">
        <v>44866</v>
      </c>
      <c r="C1320" s="1" t="n">
        <v>45349</v>
      </c>
      <c r="D1320" t="inlineStr">
        <is>
          <t>STOCKHOLMS LÄN</t>
        </is>
      </c>
      <c r="E1320" t="inlineStr">
        <is>
          <t>NORRTÄLJE</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50481-2022</t>
        </is>
      </c>
      <c r="B1321" s="1" t="n">
        <v>44866</v>
      </c>
      <c r="C1321" s="1" t="n">
        <v>45349</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50465-2022</t>
        </is>
      </c>
      <c r="B1322" s="1" t="n">
        <v>44866</v>
      </c>
      <c r="C1322" s="1" t="n">
        <v>45349</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50488-2022</t>
        </is>
      </c>
      <c r="B1323" s="1" t="n">
        <v>44866</v>
      </c>
      <c r="C1323" s="1" t="n">
        <v>45349</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50563-2022</t>
        </is>
      </c>
      <c r="B1324" s="1" t="n">
        <v>44866</v>
      </c>
      <c r="C1324" s="1" t="n">
        <v>45349</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50569-2022</t>
        </is>
      </c>
      <c r="B1325" s="1" t="n">
        <v>44866</v>
      </c>
      <c r="C1325" s="1" t="n">
        <v>45349</v>
      </c>
      <c r="D1325" t="inlineStr">
        <is>
          <t>STOCKHOLMS LÄN</t>
        </is>
      </c>
      <c r="E1325" t="inlineStr">
        <is>
          <t>NORRTÄLJE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50484-2022</t>
        </is>
      </c>
      <c r="B1326" s="1" t="n">
        <v>44866</v>
      </c>
      <c r="C1326" s="1" t="n">
        <v>45349</v>
      </c>
      <c r="D1326" t="inlineStr">
        <is>
          <t>STOCKHOLMS LÄN</t>
        </is>
      </c>
      <c r="E1326" t="inlineStr">
        <is>
          <t>NORRTÄLJE</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50970-2022</t>
        </is>
      </c>
      <c r="B1327" s="1" t="n">
        <v>44867</v>
      </c>
      <c r="C1327" s="1" t="n">
        <v>45349</v>
      </c>
      <c r="D1327" t="inlineStr">
        <is>
          <t>STOCKHOLMS LÄN</t>
        </is>
      </c>
      <c r="E1327" t="inlineStr">
        <is>
          <t>NORRTÄLJE</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50983-2022</t>
        </is>
      </c>
      <c r="B1328" s="1" t="n">
        <v>44867</v>
      </c>
      <c r="C1328" s="1" t="n">
        <v>45349</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50907-2022</t>
        </is>
      </c>
      <c r="B1329" s="1" t="n">
        <v>44867</v>
      </c>
      <c r="C1329" s="1" t="n">
        <v>45349</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51653-2022</t>
        </is>
      </c>
      <c r="B1330" s="1" t="n">
        <v>44867</v>
      </c>
      <c r="C1330" s="1" t="n">
        <v>45349</v>
      </c>
      <c r="D1330" t="inlineStr">
        <is>
          <t>STOCKHOLMS LÄN</t>
        </is>
      </c>
      <c r="E1330" t="inlineStr">
        <is>
          <t>NORRTÄLJE</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51116-2022</t>
        </is>
      </c>
      <c r="B1331" s="1" t="n">
        <v>44868</v>
      </c>
      <c r="C1331" s="1" t="n">
        <v>45349</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51265-2022</t>
        </is>
      </c>
      <c r="B1332" s="1" t="n">
        <v>44868</v>
      </c>
      <c r="C1332" s="1" t="n">
        <v>45349</v>
      </c>
      <c r="D1332" t="inlineStr">
        <is>
          <t>STOCKHOLMS LÄN</t>
        </is>
      </c>
      <c r="E1332" t="inlineStr">
        <is>
          <t>NORRTÄLJE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52139-2022</t>
        </is>
      </c>
      <c r="B1333" s="1" t="n">
        <v>44868</v>
      </c>
      <c r="C1333" s="1" t="n">
        <v>45349</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52133-2022</t>
        </is>
      </c>
      <c r="B1334" s="1" t="n">
        <v>44868</v>
      </c>
      <c r="C1334" s="1" t="n">
        <v>45349</v>
      </c>
      <c r="D1334" t="inlineStr">
        <is>
          <t>STOCKHOLMS LÄN</t>
        </is>
      </c>
      <c r="E1334" t="inlineStr">
        <is>
          <t>NORRTÄLJE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52260-2022</t>
        </is>
      </c>
      <c r="B1335" s="1" t="n">
        <v>44869</v>
      </c>
      <c r="C1335" s="1" t="n">
        <v>45349</v>
      </c>
      <c r="D1335" t="inlineStr">
        <is>
          <t>STOCKHOLMS LÄN</t>
        </is>
      </c>
      <c r="E1335" t="inlineStr">
        <is>
          <t>NORRTÄLJE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51984-2022</t>
        </is>
      </c>
      <c r="B1336" s="1" t="n">
        <v>44872</v>
      </c>
      <c r="C1336" s="1" t="n">
        <v>45349</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52322-2022</t>
        </is>
      </c>
      <c r="B1337" s="1" t="n">
        <v>44873</v>
      </c>
      <c r="C1337" s="1" t="n">
        <v>45349</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53461-2022</t>
        </is>
      </c>
      <c r="B1338" s="1" t="n">
        <v>44879</v>
      </c>
      <c r="C1338" s="1" t="n">
        <v>45349</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v>
      </c>
      <c r="C1339" s="1" t="n">
        <v>45349</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53459-2022</t>
        </is>
      </c>
      <c r="B1340" s="1" t="n">
        <v>44879</v>
      </c>
      <c r="C1340" s="1" t="n">
        <v>45349</v>
      </c>
      <c r="D1340" t="inlineStr">
        <is>
          <t>STOCKHOLMS LÄN</t>
        </is>
      </c>
      <c r="E1340" t="inlineStr">
        <is>
          <t>NORRTÄLJE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53884-2022</t>
        </is>
      </c>
      <c r="B1341" s="1" t="n">
        <v>44880</v>
      </c>
      <c r="C1341" s="1" t="n">
        <v>45349</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54169-2022</t>
        </is>
      </c>
      <c r="B1342" s="1" t="n">
        <v>44881</v>
      </c>
      <c r="C1342" s="1" t="n">
        <v>45349</v>
      </c>
      <c r="D1342" t="inlineStr">
        <is>
          <t>STOCKHOLMS LÄN</t>
        </is>
      </c>
      <c r="E1342" t="inlineStr">
        <is>
          <t>NORRTÄLJE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54175-2022</t>
        </is>
      </c>
      <c r="B1343" s="1" t="n">
        <v>44881</v>
      </c>
      <c r="C1343" s="1" t="n">
        <v>45349</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54355-2022</t>
        </is>
      </c>
      <c r="B1344" s="1" t="n">
        <v>44882</v>
      </c>
      <c r="C1344" s="1" t="n">
        <v>45349</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54427-2022</t>
        </is>
      </c>
      <c r="B1345" s="1" t="n">
        <v>44882</v>
      </c>
      <c r="C1345" s="1" t="n">
        <v>45349</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54340-2022</t>
        </is>
      </c>
      <c r="B1346" s="1" t="n">
        <v>44882</v>
      </c>
      <c r="C1346" s="1" t="n">
        <v>45349</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54358-2022</t>
        </is>
      </c>
      <c r="B1347" s="1" t="n">
        <v>44882</v>
      </c>
      <c r="C1347" s="1" t="n">
        <v>45349</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54354-2022</t>
        </is>
      </c>
      <c r="B1348" s="1" t="n">
        <v>44882</v>
      </c>
      <c r="C1348" s="1" t="n">
        <v>45349</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55047-2022</t>
        </is>
      </c>
      <c r="B1349" s="1" t="n">
        <v>44886</v>
      </c>
      <c r="C1349" s="1" t="n">
        <v>45349</v>
      </c>
      <c r="D1349" t="inlineStr">
        <is>
          <t>STOCKHOLMS LÄN</t>
        </is>
      </c>
      <c r="E1349" t="inlineStr">
        <is>
          <t>NORRTÄLJE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55696-2022</t>
        </is>
      </c>
      <c r="B1350" s="1" t="n">
        <v>44888</v>
      </c>
      <c r="C1350" s="1" t="n">
        <v>45349</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57037-2022</t>
        </is>
      </c>
      <c r="B1351" s="1" t="n">
        <v>44895</v>
      </c>
      <c r="C1351" s="1" t="n">
        <v>45349</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59767-2022</t>
        </is>
      </c>
      <c r="B1352" s="1" t="n">
        <v>44900</v>
      </c>
      <c r="C1352" s="1" t="n">
        <v>45349</v>
      </c>
      <c r="D1352" t="inlineStr">
        <is>
          <t>STOCKHOLMS LÄN</t>
        </is>
      </c>
      <c r="E1352" t="inlineStr">
        <is>
          <t>NORRTÄLJE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58302-2022</t>
        </is>
      </c>
      <c r="B1353" s="1" t="n">
        <v>44901</v>
      </c>
      <c r="C1353" s="1" t="n">
        <v>45349</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45349</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58543-2022</t>
        </is>
      </c>
      <c r="B1355" s="1" t="n">
        <v>44902</v>
      </c>
      <c r="C1355" s="1" t="n">
        <v>45349</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58993-2022</t>
        </is>
      </c>
      <c r="B1356" s="1" t="n">
        <v>44903</v>
      </c>
      <c r="C1356" s="1" t="n">
        <v>45349</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60525-2022</t>
        </is>
      </c>
      <c r="B1357" s="1" t="n">
        <v>44904</v>
      </c>
      <c r="C1357" s="1" t="n">
        <v>45349</v>
      </c>
      <c r="D1357" t="inlineStr">
        <is>
          <t>STOCKHOLMS LÄN</t>
        </is>
      </c>
      <c r="E1357" t="inlineStr">
        <is>
          <t>NORRTÄLJE</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59717-2022</t>
        </is>
      </c>
      <c r="B1358" s="1" t="n">
        <v>44908</v>
      </c>
      <c r="C1358" s="1" t="n">
        <v>45349</v>
      </c>
      <c r="D1358" t="inlineStr">
        <is>
          <t>STOCKHOLMS LÄN</t>
        </is>
      </c>
      <c r="E1358" t="inlineStr">
        <is>
          <t>NORRTÄLJE</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59893-2022</t>
        </is>
      </c>
      <c r="B1359" s="1" t="n">
        <v>44908</v>
      </c>
      <c r="C1359" s="1" t="n">
        <v>45349</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59892-2022</t>
        </is>
      </c>
      <c r="B1360" s="1" t="n">
        <v>44908</v>
      </c>
      <c r="C1360" s="1" t="n">
        <v>45349</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60840-2022</t>
        </is>
      </c>
      <c r="B1361" s="1" t="n">
        <v>44914</v>
      </c>
      <c r="C1361" s="1" t="n">
        <v>45349</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61016-2022</t>
        </is>
      </c>
      <c r="B1362" s="1" t="n">
        <v>44914</v>
      </c>
      <c r="C1362" s="1" t="n">
        <v>45349</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62206-2022</t>
        </is>
      </c>
      <c r="B1363" s="1" t="n">
        <v>44922</v>
      </c>
      <c r="C1363" s="1" t="n">
        <v>45349</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62398-2022</t>
        </is>
      </c>
      <c r="B1364" s="1" t="n">
        <v>44923</v>
      </c>
      <c r="C1364" s="1" t="n">
        <v>45349</v>
      </c>
      <c r="D1364" t="inlineStr">
        <is>
          <t>STOCKHOLMS LÄN</t>
        </is>
      </c>
      <c r="E1364" t="inlineStr">
        <is>
          <t>NORRTÄLJE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62593-2022</t>
        </is>
      </c>
      <c r="B1365" s="1" t="n">
        <v>44925</v>
      </c>
      <c r="C1365" s="1" t="n">
        <v>45349</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576-2023</t>
        </is>
      </c>
      <c r="B1366" s="1" t="n">
        <v>44925</v>
      </c>
      <c r="C1366" s="1" t="n">
        <v>45349</v>
      </c>
      <c r="D1366" t="inlineStr">
        <is>
          <t>STOCKHOLMS LÄN</t>
        </is>
      </c>
      <c r="E1366" t="inlineStr">
        <is>
          <t>NORRTÄLJE</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574-2023</t>
        </is>
      </c>
      <c r="B1367" s="1" t="n">
        <v>44925</v>
      </c>
      <c r="C1367" s="1" t="n">
        <v>45349</v>
      </c>
      <c r="D1367" t="inlineStr">
        <is>
          <t>STOCKHOLMS LÄN</t>
        </is>
      </c>
      <c r="E1367" t="inlineStr">
        <is>
          <t>NORRTÄLJE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755-2023</t>
        </is>
      </c>
      <c r="B1368" s="1" t="n">
        <v>44931</v>
      </c>
      <c r="C1368" s="1" t="n">
        <v>45349</v>
      </c>
      <c r="D1368" t="inlineStr">
        <is>
          <t>STOCKHOLMS LÄN</t>
        </is>
      </c>
      <c r="E1368" t="inlineStr">
        <is>
          <t>NORRTÄLJE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875-2023</t>
        </is>
      </c>
      <c r="B1369" s="1" t="n">
        <v>44931</v>
      </c>
      <c r="C1369" s="1" t="n">
        <v>45349</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951-2023</t>
        </is>
      </c>
      <c r="B1370" s="1" t="n">
        <v>44934</v>
      </c>
      <c r="C1370" s="1" t="n">
        <v>45349</v>
      </c>
      <c r="D1370" t="inlineStr">
        <is>
          <t>STOCKHOLMS LÄN</t>
        </is>
      </c>
      <c r="E1370" t="inlineStr">
        <is>
          <t>NORRTÄLJE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1183-2023</t>
        </is>
      </c>
      <c r="B1371" s="1" t="n">
        <v>44935</v>
      </c>
      <c r="C1371" s="1" t="n">
        <v>45349</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1335-2023</t>
        </is>
      </c>
      <c r="B1372" s="1" t="n">
        <v>44936</v>
      </c>
      <c r="C1372" s="1" t="n">
        <v>45349</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1373-2023</t>
        </is>
      </c>
      <c r="B1373" s="1" t="n">
        <v>44936</v>
      </c>
      <c r="C1373" s="1" t="n">
        <v>45349</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45349</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1740-2023</t>
        </is>
      </c>
      <c r="B1375" s="1" t="n">
        <v>44938</v>
      </c>
      <c r="C1375" s="1" t="n">
        <v>45349</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1847-2023</t>
        </is>
      </c>
      <c r="B1376" s="1" t="n">
        <v>44938</v>
      </c>
      <c r="C1376" s="1" t="n">
        <v>45349</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2103-2023</t>
        </is>
      </c>
      <c r="B1377" s="1" t="n">
        <v>44939</v>
      </c>
      <c r="C1377" s="1" t="n">
        <v>45349</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2976-2023</t>
        </is>
      </c>
      <c r="B1378" s="1" t="n">
        <v>44945</v>
      </c>
      <c r="C1378" s="1" t="n">
        <v>45349</v>
      </c>
      <c r="D1378" t="inlineStr">
        <is>
          <t>STOCKHOLMS LÄN</t>
        </is>
      </c>
      <c r="E1378" t="inlineStr">
        <is>
          <t>NORRTÄLJE</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2890-2023</t>
        </is>
      </c>
      <c r="B1379" s="1" t="n">
        <v>44945</v>
      </c>
      <c r="C1379" s="1" t="n">
        <v>45349</v>
      </c>
      <c r="D1379" t="inlineStr">
        <is>
          <t>STOCKHOLMS LÄN</t>
        </is>
      </c>
      <c r="E1379" t="inlineStr">
        <is>
          <t>NORRTÄLJE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2982-2023</t>
        </is>
      </c>
      <c r="B1380" s="1" t="n">
        <v>44945</v>
      </c>
      <c r="C1380" s="1" t="n">
        <v>45349</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3383-2023</t>
        </is>
      </c>
      <c r="B1381" s="1" t="n">
        <v>44949</v>
      </c>
      <c r="C1381" s="1" t="n">
        <v>45349</v>
      </c>
      <c r="D1381" t="inlineStr">
        <is>
          <t>STOCKHOLMS LÄN</t>
        </is>
      </c>
      <c r="E1381" t="inlineStr">
        <is>
          <t>NORRTÄLJE</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3444-2023</t>
        </is>
      </c>
      <c r="B1382" s="1" t="n">
        <v>44949</v>
      </c>
      <c r="C1382" s="1" t="n">
        <v>45349</v>
      </c>
      <c r="D1382" t="inlineStr">
        <is>
          <t>STOCKHOLMS LÄN</t>
        </is>
      </c>
      <c r="E1382" t="inlineStr">
        <is>
          <t>NORRTÄLJE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4035-2023</t>
        </is>
      </c>
      <c r="B1383" s="1" t="n">
        <v>44952</v>
      </c>
      <c r="C1383" s="1" t="n">
        <v>45349</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4058-2023</t>
        </is>
      </c>
      <c r="B1384" s="1" t="n">
        <v>44952</v>
      </c>
      <c r="C1384" s="1" t="n">
        <v>45349</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4194-2023</t>
        </is>
      </c>
      <c r="B1385" s="1" t="n">
        <v>44953</v>
      </c>
      <c r="C1385" s="1" t="n">
        <v>45349</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4168-2023</t>
        </is>
      </c>
      <c r="B1386" s="1" t="n">
        <v>44953</v>
      </c>
      <c r="C1386" s="1" t="n">
        <v>45349</v>
      </c>
      <c r="D1386" t="inlineStr">
        <is>
          <t>STOCKHOLMS LÄN</t>
        </is>
      </c>
      <c r="E1386" t="inlineStr">
        <is>
          <t>NORRTÄLJE</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4316-2023</t>
        </is>
      </c>
      <c r="B1387" s="1" t="n">
        <v>44953</v>
      </c>
      <c r="C1387" s="1" t="n">
        <v>45349</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4326-2023</t>
        </is>
      </c>
      <c r="B1388" s="1" t="n">
        <v>44953</v>
      </c>
      <c r="C1388" s="1" t="n">
        <v>45349</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4322-2023</t>
        </is>
      </c>
      <c r="B1389" s="1" t="n">
        <v>44953</v>
      </c>
      <c r="C1389" s="1" t="n">
        <v>45349</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4364-2023</t>
        </is>
      </c>
      <c r="B1390" s="1" t="n">
        <v>44954</v>
      </c>
      <c r="C1390" s="1" t="n">
        <v>45349</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4385-2023</t>
        </is>
      </c>
      <c r="B1391" s="1" t="n">
        <v>44955</v>
      </c>
      <c r="C1391" s="1" t="n">
        <v>45349</v>
      </c>
      <c r="D1391" t="inlineStr">
        <is>
          <t>STOCKHOLMS LÄN</t>
        </is>
      </c>
      <c r="E1391" t="inlineStr">
        <is>
          <t>NORRTÄLJE</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4395-2023</t>
        </is>
      </c>
      <c r="B1392" s="1" t="n">
        <v>44956</v>
      </c>
      <c r="C1392" s="1" t="n">
        <v>45349</v>
      </c>
      <c r="D1392" t="inlineStr">
        <is>
          <t>STOCKHOLMS LÄN</t>
        </is>
      </c>
      <c r="E1392" t="inlineStr">
        <is>
          <t>NORRTÄLJE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4438-2023</t>
        </is>
      </c>
      <c r="B1393" s="1" t="n">
        <v>44956</v>
      </c>
      <c r="C1393" s="1" t="n">
        <v>45349</v>
      </c>
      <c r="D1393" t="inlineStr">
        <is>
          <t>STOCKHOLMS LÄN</t>
        </is>
      </c>
      <c r="E1393" t="inlineStr">
        <is>
          <t>NORRTÄLJE</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4593-2023</t>
        </is>
      </c>
      <c r="B1394" s="1" t="n">
        <v>44956</v>
      </c>
      <c r="C1394" s="1" t="n">
        <v>45349</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4596-2023</t>
        </is>
      </c>
      <c r="B1395" s="1" t="n">
        <v>44956</v>
      </c>
      <c r="C1395" s="1" t="n">
        <v>45349</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4553-2023</t>
        </is>
      </c>
      <c r="B1396" s="1" t="n">
        <v>44956</v>
      </c>
      <c r="C1396" s="1" t="n">
        <v>45349</v>
      </c>
      <c r="D1396" t="inlineStr">
        <is>
          <t>STOCKHOLMS LÄN</t>
        </is>
      </c>
      <c r="E1396" t="inlineStr">
        <is>
          <t>NORRTÄLJE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5137-2023</t>
        </is>
      </c>
      <c r="B1397" s="1" t="n">
        <v>44958</v>
      </c>
      <c r="C1397" s="1" t="n">
        <v>45349</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5207-2023</t>
        </is>
      </c>
      <c r="B1398" s="1" t="n">
        <v>44959</v>
      </c>
      <c r="C1398" s="1" t="n">
        <v>45349</v>
      </c>
      <c r="D1398" t="inlineStr">
        <is>
          <t>STOCKHOLMS LÄN</t>
        </is>
      </c>
      <c r="E1398" t="inlineStr">
        <is>
          <t>NORRTÄLJE</t>
        </is>
      </c>
      <c r="F1398" t="inlineStr">
        <is>
          <t>Holmen skog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5422-2023</t>
        </is>
      </c>
      <c r="B1399" s="1" t="n">
        <v>44959</v>
      </c>
      <c r="C1399" s="1" t="n">
        <v>45349</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5244-2023</t>
        </is>
      </c>
      <c r="B1400" s="1" t="n">
        <v>44959</v>
      </c>
      <c r="C1400" s="1" t="n">
        <v>45349</v>
      </c>
      <c r="D1400" t="inlineStr">
        <is>
          <t>STOCKHOLMS LÄN</t>
        </is>
      </c>
      <c r="E1400" t="inlineStr">
        <is>
          <t>NORRTÄLJE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5423-2023</t>
        </is>
      </c>
      <c r="B1401" s="1" t="n">
        <v>44959</v>
      </c>
      <c r="C1401" s="1" t="n">
        <v>45349</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6312-2023</t>
        </is>
      </c>
      <c r="B1402" s="1" t="n">
        <v>44959</v>
      </c>
      <c r="C1402" s="1" t="n">
        <v>45349</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5645-2023</t>
        </is>
      </c>
      <c r="B1403" s="1" t="n">
        <v>44960</v>
      </c>
      <c r="C1403" s="1" t="n">
        <v>45349</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5501-2023</t>
        </is>
      </c>
      <c r="B1404" s="1" t="n">
        <v>44960</v>
      </c>
      <c r="C1404" s="1" t="n">
        <v>45349</v>
      </c>
      <c r="D1404" t="inlineStr">
        <is>
          <t>STOCKHOLMS LÄN</t>
        </is>
      </c>
      <c r="E1404" t="inlineStr">
        <is>
          <t>NORRTÄLJE</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6496-2023</t>
        </is>
      </c>
      <c r="B1405" s="1" t="n">
        <v>44960</v>
      </c>
      <c r="C1405" s="1" t="n">
        <v>45349</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5732-2023</t>
        </is>
      </c>
      <c r="B1406" s="1" t="n">
        <v>44962</v>
      </c>
      <c r="C1406" s="1" t="n">
        <v>45349</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5823-2023</t>
        </is>
      </c>
      <c r="B1407" s="1" t="n">
        <v>44963</v>
      </c>
      <c r="C1407" s="1" t="n">
        <v>45349</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5839-2023</t>
        </is>
      </c>
      <c r="B1408" s="1" t="n">
        <v>44963</v>
      </c>
      <c r="C1408" s="1" t="n">
        <v>45349</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6433-2023</t>
        </is>
      </c>
      <c r="B1409" s="1" t="n">
        <v>44965</v>
      </c>
      <c r="C1409" s="1" t="n">
        <v>45349</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7230-2023</t>
        </is>
      </c>
      <c r="B1410" s="1" t="n">
        <v>44965</v>
      </c>
      <c r="C1410" s="1" t="n">
        <v>45349</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6437-2023</t>
        </is>
      </c>
      <c r="B1411" s="1" t="n">
        <v>44965</v>
      </c>
      <c r="C1411" s="1" t="n">
        <v>45349</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7093-2023</t>
        </is>
      </c>
      <c r="B1412" s="1" t="n">
        <v>44970</v>
      </c>
      <c r="C1412" s="1" t="n">
        <v>45349</v>
      </c>
      <c r="D1412" t="inlineStr">
        <is>
          <t>STOCKHOLMS LÄN</t>
        </is>
      </c>
      <c r="E1412" t="inlineStr">
        <is>
          <t>NORRTÄLJE</t>
        </is>
      </c>
      <c r="F1412" t="inlineStr">
        <is>
          <t>Sveaskog</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7190-2023</t>
        </is>
      </c>
      <c r="B1413" s="1" t="n">
        <v>44970</v>
      </c>
      <c r="C1413" s="1" t="n">
        <v>45349</v>
      </c>
      <c r="D1413" t="inlineStr">
        <is>
          <t>STOCKHOLMS LÄN</t>
        </is>
      </c>
      <c r="E1413" t="inlineStr">
        <is>
          <t>NORRTÄLJE</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7120-2023</t>
        </is>
      </c>
      <c r="B1414" s="1" t="n">
        <v>44970</v>
      </c>
      <c r="C1414" s="1" t="n">
        <v>45349</v>
      </c>
      <c r="D1414" t="inlineStr">
        <is>
          <t>STOCKHOLMS LÄN</t>
        </is>
      </c>
      <c r="E1414" t="inlineStr">
        <is>
          <t>NORRTÄLJE</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7638-2023</t>
        </is>
      </c>
      <c r="B1415" s="1" t="n">
        <v>44972</v>
      </c>
      <c r="C1415" s="1" t="n">
        <v>45349</v>
      </c>
      <c r="D1415" t="inlineStr">
        <is>
          <t>STOCKHOLMS LÄN</t>
        </is>
      </c>
      <c r="E1415" t="inlineStr">
        <is>
          <t>NORRTÄLJE</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7966-2023</t>
        </is>
      </c>
      <c r="B1416" s="1" t="n">
        <v>44973</v>
      </c>
      <c r="C1416" s="1" t="n">
        <v>45349</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7974-2023</t>
        </is>
      </c>
      <c r="B1417" s="1" t="n">
        <v>44973</v>
      </c>
      <c r="C1417" s="1" t="n">
        <v>45349</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8296-2023</t>
        </is>
      </c>
      <c r="B1418" s="1" t="n">
        <v>44974</v>
      </c>
      <c r="C1418" s="1" t="n">
        <v>45349</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8586-2023</t>
        </is>
      </c>
      <c r="B1419" s="1" t="n">
        <v>44977</v>
      </c>
      <c r="C1419" s="1" t="n">
        <v>45349</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9401-2023</t>
        </is>
      </c>
      <c r="B1420" s="1" t="n">
        <v>44977</v>
      </c>
      <c r="C1420" s="1" t="n">
        <v>45349</v>
      </c>
      <c r="D1420" t="inlineStr">
        <is>
          <t>STOCKHOLMS LÄN</t>
        </is>
      </c>
      <c r="E1420" t="inlineStr">
        <is>
          <t>NORRTÄLJE</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8730-2023</t>
        </is>
      </c>
      <c r="B1421" s="1" t="n">
        <v>44978</v>
      </c>
      <c r="C1421" s="1" t="n">
        <v>45349</v>
      </c>
      <c r="D1421" t="inlineStr">
        <is>
          <t>STOCKHOLMS LÄN</t>
        </is>
      </c>
      <c r="E1421" t="inlineStr">
        <is>
          <t>NORRTÄLJE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8762-2023</t>
        </is>
      </c>
      <c r="B1422" s="1" t="n">
        <v>44978</v>
      </c>
      <c r="C1422" s="1" t="n">
        <v>45349</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8899-2023</t>
        </is>
      </c>
      <c r="B1423" s="1" t="n">
        <v>44979</v>
      </c>
      <c r="C1423" s="1" t="n">
        <v>45349</v>
      </c>
      <c r="D1423" t="inlineStr">
        <is>
          <t>STOCKHOLMS LÄN</t>
        </is>
      </c>
      <c r="E1423" t="inlineStr">
        <is>
          <t>NORRTÄLJE</t>
        </is>
      </c>
      <c r="F1423" t="inlineStr">
        <is>
          <t>Naturvårdsverket</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9189-2023</t>
        </is>
      </c>
      <c r="B1424" s="1" t="n">
        <v>44980</v>
      </c>
      <c r="C1424" s="1" t="n">
        <v>45349</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9184-2023</t>
        </is>
      </c>
      <c r="B1425" s="1" t="n">
        <v>44980</v>
      </c>
      <c r="C1425" s="1" t="n">
        <v>45349</v>
      </c>
      <c r="D1425" t="inlineStr">
        <is>
          <t>STOCKHOLMS LÄN</t>
        </is>
      </c>
      <c r="E1425" t="inlineStr">
        <is>
          <t>NORRTÄLJE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9255-2023</t>
        </is>
      </c>
      <c r="B1426" s="1" t="n">
        <v>44980</v>
      </c>
      <c r="C1426" s="1" t="n">
        <v>45349</v>
      </c>
      <c r="D1426" t="inlineStr">
        <is>
          <t>STOCKHOLMS LÄN</t>
        </is>
      </c>
      <c r="E1426" t="inlineStr">
        <is>
          <t>NORRTÄLJE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45349</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9793-2023</t>
        </is>
      </c>
      <c r="B1428" s="1" t="n">
        <v>44984</v>
      </c>
      <c r="C1428" s="1" t="n">
        <v>45349</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9914-2023</t>
        </is>
      </c>
      <c r="B1429" s="1" t="n">
        <v>44985</v>
      </c>
      <c r="C1429" s="1" t="n">
        <v>45349</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9965-2023</t>
        </is>
      </c>
      <c r="B1430" s="1" t="n">
        <v>44985</v>
      </c>
      <c r="C1430" s="1" t="n">
        <v>45349</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9995-2023</t>
        </is>
      </c>
      <c r="B1431" s="1" t="n">
        <v>44985</v>
      </c>
      <c r="C1431" s="1" t="n">
        <v>45349</v>
      </c>
      <c r="D1431" t="inlineStr">
        <is>
          <t>STOCKHOLMS LÄN</t>
        </is>
      </c>
      <c r="E1431" t="inlineStr">
        <is>
          <t>NORRTÄLJE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10036-2023</t>
        </is>
      </c>
      <c r="B1432" s="1" t="n">
        <v>44985</v>
      </c>
      <c r="C1432" s="1" t="n">
        <v>45349</v>
      </c>
      <c r="D1432" t="inlineStr">
        <is>
          <t>STOCKHOLMS LÄN</t>
        </is>
      </c>
      <c r="E1432" t="inlineStr">
        <is>
          <t>NORRTÄLJE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10039-2023</t>
        </is>
      </c>
      <c r="B1433" s="1" t="n">
        <v>44985</v>
      </c>
      <c r="C1433" s="1" t="n">
        <v>45349</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9945-2023</t>
        </is>
      </c>
      <c r="B1434" s="1" t="n">
        <v>44985</v>
      </c>
      <c r="C1434" s="1" t="n">
        <v>45349</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10105-2023</t>
        </is>
      </c>
      <c r="B1435" s="1" t="n">
        <v>44986</v>
      </c>
      <c r="C1435" s="1" t="n">
        <v>45349</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10215-2023</t>
        </is>
      </c>
      <c r="B1436" s="1" t="n">
        <v>44986</v>
      </c>
      <c r="C1436" s="1" t="n">
        <v>45349</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11280-2023</t>
        </is>
      </c>
      <c r="B1437" s="1" t="n">
        <v>44992</v>
      </c>
      <c r="C1437" s="1" t="n">
        <v>45349</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11499-2023</t>
        </is>
      </c>
      <c r="B1438" s="1" t="n">
        <v>44993</v>
      </c>
      <c r="C1438" s="1" t="n">
        <v>45349</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11844-2023</t>
        </is>
      </c>
      <c r="B1439" s="1" t="n">
        <v>44995</v>
      </c>
      <c r="C1439" s="1" t="n">
        <v>45349</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11940-2023</t>
        </is>
      </c>
      <c r="B1440" s="1" t="n">
        <v>44995</v>
      </c>
      <c r="C1440" s="1" t="n">
        <v>45349</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11852-2023</t>
        </is>
      </c>
      <c r="B1441" s="1" t="n">
        <v>44995</v>
      </c>
      <c r="C1441" s="1" t="n">
        <v>45349</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12609-2023</t>
        </is>
      </c>
      <c r="B1442" s="1" t="n">
        <v>45000</v>
      </c>
      <c r="C1442" s="1" t="n">
        <v>45349</v>
      </c>
      <c r="D1442" t="inlineStr">
        <is>
          <t>STOCKHOLMS LÄN</t>
        </is>
      </c>
      <c r="E1442" t="inlineStr">
        <is>
          <t>NORRTÄLJE</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12756-2023</t>
        </is>
      </c>
      <c r="B1443" s="1" t="n">
        <v>45000</v>
      </c>
      <c r="C1443" s="1" t="n">
        <v>45349</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13072-2023</t>
        </is>
      </c>
      <c r="B1444" s="1" t="n">
        <v>45002</v>
      </c>
      <c r="C1444" s="1" t="n">
        <v>45349</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13354-2023</t>
        </is>
      </c>
      <c r="B1445" s="1" t="n">
        <v>45005</v>
      </c>
      <c r="C1445" s="1" t="n">
        <v>45349</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13360-2023</t>
        </is>
      </c>
      <c r="B1446" s="1" t="n">
        <v>45005</v>
      </c>
      <c r="C1446" s="1" t="n">
        <v>45349</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13860-2023</t>
        </is>
      </c>
      <c r="B1447" s="1" t="n">
        <v>45007</v>
      </c>
      <c r="C1447" s="1" t="n">
        <v>45349</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13957-2023</t>
        </is>
      </c>
      <c r="B1448" s="1" t="n">
        <v>45008</v>
      </c>
      <c r="C1448" s="1" t="n">
        <v>45349</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13947-2023</t>
        </is>
      </c>
      <c r="B1449" s="1" t="n">
        <v>45008</v>
      </c>
      <c r="C1449" s="1" t="n">
        <v>45349</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13977-2023</t>
        </is>
      </c>
      <c r="B1450" s="1" t="n">
        <v>45008</v>
      </c>
      <c r="C1450" s="1" t="n">
        <v>45349</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14135-2023</t>
        </is>
      </c>
      <c r="B1451" s="1" t="n">
        <v>45009</v>
      </c>
      <c r="C1451" s="1" t="n">
        <v>45349</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15217-2023</t>
        </is>
      </c>
      <c r="B1452" s="1" t="n">
        <v>45019</v>
      </c>
      <c r="C1452" s="1" t="n">
        <v>45349</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15256-2023</t>
        </is>
      </c>
      <c r="B1453" s="1" t="n">
        <v>45019</v>
      </c>
      <c r="C1453" s="1" t="n">
        <v>45349</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15447-2023</t>
        </is>
      </c>
      <c r="B1454" s="1" t="n">
        <v>45020</v>
      </c>
      <c r="C1454" s="1" t="n">
        <v>45349</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15459-2023</t>
        </is>
      </c>
      <c r="B1455" s="1" t="n">
        <v>45020</v>
      </c>
      <c r="C1455" s="1" t="n">
        <v>45349</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15655-2023</t>
        </is>
      </c>
      <c r="B1456" s="1" t="n">
        <v>45021</v>
      </c>
      <c r="C1456" s="1" t="n">
        <v>45349</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15905-2023</t>
        </is>
      </c>
      <c r="B1457" s="1" t="n">
        <v>45022</v>
      </c>
      <c r="C1457" s="1" t="n">
        <v>45349</v>
      </c>
      <c r="D1457" t="inlineStr">
        <is>
          <t>STOCKHOLMS LÄN</t>
        </is>
      </c>
      <c r="E1457" t="inlineStr">
        <is>
          <t>NORRTÄLJE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15915-2023</t>
        </is>
      </c>
      <c r="B1458" s="1" t="n">
        <v>45022</v>
      </c>
      <c r="C1458" s="1" t="n">
        <v>45349</v>
      </c>
      <c r="D1458" t="inlineStr">
        <is>
          <t>STOCKHOLMS LÄN</t>
        </is>
      </c>
      <c r="E1458" t="inlineStr">
        <is>
          <t>NORRTÄLJE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15956-2023</t>
        </is>
      </c>
      <c r="B1459" s="1" t="n">
        <v>45022</v>
      </c>
      <c r="C1459" s="1" t="n">
        <v>45349</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15954-2023</t>
        </is>
      </c>
      <c r="B1460" s="1" t="n">
        <v>45022</v>
      </c>
      <c r="C1460" s="1" t="n">
        <v>45349</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16006-2023</t>
        </is>
      </c>
      <c r="B1461" s="1" t="n">
        <v>45025</v>
      </c>
      <c r="C1461" s="1" t="n">
        <v>45349</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16980-2023</t>
        </is>
      </c>
      <c r="B1462" s="1" t="n">
        <v>45033</v>
      </c>
      <c r="C1462" s="1" t="n">
        <v>45349</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16977-2023</t>
        </is>
      </c>
      <c r="B1463" s="1" t="n">
        <v>45033</v>
      </c>
      <c r="C1463" s="1" t="n">
        <v>45349</v>
      </c>
      <c r="D1463" t="inlineStr">
        <is>
          <t>STOCKHOLMS LÄN</t>
        </is>
      </c>
      <c r="E1463" t="inlineStr">
        <is>
          <t>NORRTÄLJE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17140-2023</t>
        </is>
      </c>
      <c r="B1464" s="1" t="n">
        <v>45034</v>
      </c>
      <c r="C1464" s="1" t="n">
        <v>45349</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17133-2023</t>
        </is>
      </c>
      <c r="B1465" s="1" t="n">
        <v>45034</v>
      </c>
      <c r="C1465" s="1" t="n">
        <v>45349</v>
      </c>
      <c r="D1465" t="inlineStr">
        <is>
          <t>STOCKHOLMS LÄN</t>
        </is>
      </c>
      <c r="E1465" t="inlineStr">
        <is>
          <t>NORRTÄLJE</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17919-2023</t>
        </is>
      </c>
      <c r="B1466" s="1" t="n">
        <v>45040</v>
      </c>
      <c r="C1466" s="1" t="n">
        <v>45349</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17939-2023</t>
        </is>
      </c>
      <c r="B1467" s="1" t="n">
        <v>45040</v>
      </c>
      <c r="C1467" s="1" t="n">
        <v>45349</v>
      </c>
      <c r="D1467" t="inlineStr">
        <is>
          <t>STOCKHOLMS LÄN</t>
        </is>
      </c>
      <c r="E1467" t="inlineStr">
        <is>
          <t>NORRTÄLJE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17930-2023</t>
        </is>
      </c>
      <c r="B1468" s="1" t="n">
        <v>45040</v>
      </c>
      <c r="C1468" s="1" t="n">
        <v>45349</v>
      </c>
      <c r="D1468" t="inlineStr">
        <is>
          <t>STOCKHOLMS LÄN</t>
        </is>
      </c>
      <c r="E1468" t="inlineStr">
        <is>
          <t>NORRTÄLJE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17984-2023</t>
        </is>
      </c>
      <c r="B1469" s="1" t="n">
        <v>45040</v>
      </c>
      <c r="C1469" s="1" t="n">
        <v>45349</v>
      </c>
      <c r="D1469" t="inlineStr">
        <is>
          <t>STOCKHOLMS LÄN</t>
        </is>
      </c>
      <c r="E1469" t="inlineStr">
        <is>
          <t>NORRTÄLJE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18023-2023</t>
        </is>
      </c>
      <c r="B1470" s="1" t="n">
        <v>45040</v>
      </c>
      <c r="C1470" s="1" t="n">
        <v>45349</v>
      </c>
      <c r="D1470" t="inlineStr">
        <is>
          <t>STOCKHOLMS LÄN</t>
        </is>
      </c>
      <c r="E1470" t="inlineStr">
        <is>
          <t>NORRTÄLJE</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18541-2023</t>
        </is>
      </c>
      <c r="B1471" s="1" t="n">
        <v>45042</v>
      </c>
      <c r="C1471" s="1" t="n">
        <v>45349</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18540-2023</t>
        </is>
      </c>
      <c r="B1472" s="1" t="n">
        <v>45042</v>
      </c>
      <c r="C1472" s="1" t="n">
        <v>45349</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18895-2023</t>
        </is>
      </c>
      <c r="B1473" s="1" t="n">
        <v>45044</v>
      </c>
      <c r="C1473" s="1" t="n">
        <v>45349</v>
      </c>
      <c r="D1473" t="inlineStr">
        <is>
          <t>STOCKHOLMS LÄN</t>
        </is>
      </c>
      <c r="E1473" t="inlineStr">
        <is>
          <t>NORRTÄLJE</t>
        </is>
      </c>
      <c r="F1473" t="inlineStr">
        <is>
          <t>Kommuner</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19074-2023</t>
        </is>
      </c>
      <c r="B1474" s="1" t="n">
        <v>45048</v>
      </c>
      <c r="C1474" s="1" t="n">
        <v>45349</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19058-2023</t>
        </is>
      </c>
      <c r="B1475" s="1" t="n">
        <v>45048</v>
      </c>
      <c r="C1475" s="1" t="n">
        <v>45349</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19702-2023</t>
        </is>
      </c>
      <c r="B1476" s="1" t="n">
        <v>45051</v>
      </c>
      <c r="C1476" s="1" t="n">
        <v>45349</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19706-2023</t>
        </is>
      </c>
      <c r="B1477" s="1" t="n">
        <v>45051</v>
      </c>
      <c r="C1477" s="1" t="n">
        <v>45349</v>
      </c>
      <c r="D1477" t="inlineStr">
        <is>
          <t>STOCKHOLMS LÄN</t>
        </is>
      </c>
      <c r="E1477" t="inlineStr">
        <is>
          <t>NORRTÄLJE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19719-2023</t>
        </is>
      </c>
      <c r="B1478" s="1" t="n">
        <v>45051</v>
      </c>
      <c r="C1478" s="1" t="n">
        <v>45349</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19951-2023</t>
        </is>
      </c>
      <c r="B1479" s="1" t="n">
        <v>45054</v>
      </c>
      <c r="C1479" s="1" t="n">
        <v>45349</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19971-2023</t>
        </is>
      </c>
      <c r="B1480" s="1" t="n">
        <v>45054</v>
      </c>
      <c r="C1480" s="1" t="n">
        <v>45349</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19994-2023</t>
        </is>
      </c>
      <c r="B1481" s="1" t="n">
        <v>45054</v>
      </c>
      <c r="C1481" s="1" t="n">
        <v>45349</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19952-2023</t>
        </is>
      </c>
      <c r="B1482" s="1" t="n">
        <v>45054</v>
      </c>
      <c r="C1482" s="1" t="n">
        <v>45349</v>
      </c>
      <c r="D1482" t="inlineStr">
        <is>
          <t>STOCKHOLMS LÄN</t>
        </is>
      </c>
      <c r="E1482" t="inlineStr">
        <is>
          <t>NORRTÄLJE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20004-2023</t>
        </is>
      </c>
      <c r="B1483" s="1" t="n">
        <v>45054</v>
      </c>
      <c r="C1483" s="1" t="n">
        <v>45349</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20015-2023</t>
        </is>
      </c>
      <c r="B1484" s="1" t="n">
        <v>45054</v>
      </c>
      <c r="C1484" s="1" t="n">
        <v>45349</v>
      </c>
      <c r="D1484" t="inlineStr">
        <is>
          <t>STOCKHOLMS LÄN</t>
        </is>
      </c>
      <c r="E1484" t="inlineStr">
        <is>
          <t>NORRTÄLJE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20144-2023</t>
        </is>
      </c>
      <c r="B1485" s="1" t="n">
        <v>45055</v>
      </c>
      <c r="C1485" s="1" t="n">
        <v>45349</v>
      </c>
      <c r="D1485" t="inlineStr">
        <is>
          <t>STOCKHOLMS LÄN</t>
        </is>
      </c>
      <c r="E1485" t="inlineStr">
        <is>
          <t>NORRTÄLJE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20304-2023</t>
        </is>
      </c>
      <c r="B1486" s="1" t="n">
        <v>45056</v>
      </c>
      <c r="C1486" s="1" t="n">
        <v>45349</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20535-2023</t>
        </is>
      </c>
      <c r="B1487" s="1" t="n">
        <v>45057</v>
      </c>
      <c r="C1487" s="1" t="n">
        <v>45349</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v>
      </c>
      <c r="C1488" s="1" t="n">
        <v>45349</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21237-2023</t>
        </is>
      </c>
      <c r="B1489" s="1" t="n">
        <v>45062</v>
      </c>
      <c r="C1489" s="1" t="n">
        <v>45349</v>
      </c>
      <c r="D1489" t="inlineStr">
        <is>
          <t>STOCKHOLMS LÄN</t>
        </is>
      </c>
      <c r="E1489" t="inlineStr">
        <is>
          <t>NORRTÄLJE</t>
        </is>
      </c>
      <c r="F1489" t="inlineStr">
        <is>
          <t>Övriga Aktiebolag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21386-2023</t>
        </is>
      </c>
      <c r="B1490" s="1" t="n">
        <v>45063</v>
      </c>
      <c r="C1490" s="1" t="n">
        <v>45349</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21435-2023</t>
        </is>
      </c>
      <c r="B1491" s="1" t="n">
        <v>45063</v>
      </c>
      <c r="C1491" s="1" t="n">
        <v>45349</v>
      </c>
      <c r="D1491" t="inlineStr">
        <is>
          <t>STOCKHOLMS LÄN</t>
        </is>
      </c>
      <c r="E1491" t="inlineStr">
        <is>
          <t>NORRTÄLJE</t>
        </is>
      </c>
      <c r="G1491" t="n">
        <v>19.1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45349</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21733-2023</t>
        </is>
      </c>
      <c r="B1493" s="1" t="n">
        <v>45063</v>
      </c>
      <c r="C1493" s="1" t="n">
        <v>45349</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21731-2023</t>
        </is>
      </c>
      <c r="B1494" s="1" t="n">
        <v>45063</v>
      </c>
      <c r="C1494" s="1" t="n">
        <v>45349</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21718-2023</t>
        </is>
      </c>
      <c r="B1495" s="1" t="n">
        <v>45065</v>
      </c>
      <c r="C1495" s="1" t="n">
        <v>45349</v>
      </c>
      <c r="D1495" t="inlineStr">
        <is>
          <t>STOCKHOLMS LÄN</t>
        </is>
      </c>
      <c r="E1495" t="inlineStr">
        <is>
          <t>NORRTÄLJE</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21719-2023</t>
        </is>
      </c>
      <c r="B1496" s="1" t="n">
        <v>45065</v>
      </c>
      <c r="C1496" s="1" t="n">
        <v>45349</v>
      </c>
      <c r="D1496" t="inlineStr">
        <is>
          <t>STOCKHOLMS LÄN</t>
        </is>
      </c>
      <c r="E1496" t="inlineStr">
        <is>
          <t>NORRTÄLJE</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21745-2023</t>
        </is>
      </c>
      <c r="B1497" s="1" t="n">
        <v>45065</v>
      </c>
      <c r="C1497" s="1" t="n">
        <v>45349</v>
      </c>
      <c r="D1497" t="inlineStr">
        <is>
          <t>STOCKHOLMS LÄN</t>
        </is>
      </c>
      <c r="E1497" t="inlineStr">
        <is>
          <t>NORRTÄLJE</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21720-2023</t>
        </is>
      </c>
      <c r="B1498" s="1" t="n">
        <v>45065</v>
      </c>
      <c r="C1498" s="1" t="n">
        <v>45349</v>
      </c>
      <c r="D1498" t="inlineStr">
        <is>
          <t>STOCKHOLMS LÄN</t>
        </is>
      </c>
      <c r="E1498" t="inlineStr">
        <is>
          <t>NORRTÄLJE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21716-2023</t>
        </is>
      </c>
      <c r="B1499" s="1" t="n">
        <v>45065</v>
      </c>
      <c r="C1499" s="1" t="n">
        <v>45349</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21894-2023</t>
        </is>
      </c>
      <c r="B1500" s="1" t="n">
        <v>45068</v>
      </c>
      <c r="C1500" s="1" t="n">
        <v>45349</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21832-2023</t>
        </is>
      </c>
      <c r="B1501" s="1" t="n">
        <v>45068</v>
      </c>
      <c r="C1501" s="1" t="n">
        <v>45349</v>
      </c>
      <c r="D1501" t="inlineStr">
        <is>
          <t>STOCKHOLMS LÄN</t>
        </is>
      </c>
      <c r="E1501" t="inlineStr">
        <is>
          <t>NORRTÄLJE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21825-2023</t>
        </is>
      </c>
      <c r="B1502" s="1" t="n">
        <v>45068</v>
      </c>
      <c r="C1502" s="1" t="n">
        <v>45349</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21897-2023</t>
        </is>
      </c>
      <c r="B1503" s="1" t="n">
        <v>45068</v>
      </c>
      <c r="C1503" s="1" t="n">
        <v>45349</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21993-2023</t>
        </is>
      </c>
      <c r="B1504" s="1" t="n">
        <v>45068</v>
      </c>
      <c r="C1504" s="1" t="n">
        <v>45349</v>
      </c>
      <c r="D1504" t="inlineStr">
        <is>
          <t>STOCKHOLMS LÄN</t>
        </is>
      </c>
      <c r="E1504" t="inlineStr">
        <is>
          <t>NORRTÄLJE</t>
        </is>
      </c>
      <c r="G1504" t="n">
        <v>17.2</v>
      </c>
      <c r="H1504" t="n">
        <v>0</v>
      </c>
      <c r="I1504" t="n">
        <v>0</v>
      </c>
      <c r="J1504" t="n">
        <v>0</v>
      </c>
      <c r="K1504" t="n">
        <v>0</v>
      </c>
      <c r="L1504" t="n">
        <v>0</v>
      </c>
      <c r="M1504" t="n">
        <v>0</v>
      </c>
      <c r="N1504" t="n">
        <v>0</v>
      </c>
      <c r="O1504" t="n">
        <v>0</v>
      </c>
      <c r="P1504" t="n">
        <v>0</v>
      </c>
      <c r="Q1504" t="n">
        <v>0</v>
      </c>
      <c r="R1504" s="2" t="inlineStr"/>
    </row>
    <row r="1505" ht="15" customHeight="1">
      <c r="A1505" t="inlineStr">
        <is>
          <t>A 21961-2023</t>
        </is>
      </c>
      <c r="B1505" s="1" t="n">
        <v>45068</v>
      </c>
      <c r="C1505" s="1" t="n">
        <v>45349</v>
      </c>
      <c r="D1505" t="inlineStr">
        <is>
          <t>STOCKHOLMS LÄN</t>
        </is>
      </c>
      <c r="E1505" t="inlineStr">
        <is>
          <t>NORRTÄLJE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22157-2023</t>
        </is>
      </c>
      <c r="B1506" s="1" t="n">
        <v>45069</v>
      </c>
      <c r="C1506" s="1" t="n">
        <v>45349</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c r="U1506">
        <f>HYPERLINK("https://klasma.github.io/Logging_0188/knärot/A 22157-2023 karta knärot.png", "A 22157-2023")</f>
        <v/>
      </c>
      <c r="V1506">
        <f>HYPERLINK("https://klasma.github.io/Logging_0188/klagomål/A 22157-2023 FSC-klagomål.docx", "A 22157-2023")</f>
        <v/>
      </c>
      <c r="W1506">
        <f>HYPERLINK("https://klasma.github.io/Logging_0188/klagomålsmail/A 22157-2023 FSC-klagomål mail.docx", "A 22157-2023")</f>
        <v/>
      </c>
      <c r="X1506">
        <f>HYPERLINK("https://klasma.github.io/Logging_0188/tillsyn/A 22157-2023 tillsynsbegäran.docx", "A 22157-2023")</f>
        <v/>
      </c>
      <c r="Y1506">
        <f>HYPERLINK("https://klasma.github.io/Logging_0188/tillsynsmail/A 22157-2023 tillsynsbegäran mail.docx", "A 22157-2023")</f>
        <v/>
      </c>
    </row>
    <row r="1507" ht="15" customHeight="1">
      <c r="A1507" t="inlineStr">
        <is>
          <t>A 22175-2023</t>
        </is>
      </c>
      <c r="B1507" s="1" t="n">
        <v>45069</v>
      </c>
      <c r="C1507" s="1" t="n">
        <v>45349</v>
      </c>
      <c r="D1507" t="inlineStr">
        <is>
          <t>STOCKHOLMS LÄN</t>
        </is>
      </c>
      <c r="E1507" t="inlineStr">
        <is>
          <t>NORRTÄLJE</t>
        </is>
      </c>
      <c r="G1507" t="n">
        <v>32.7</v>
      </c>
      <c r="H1507" t="n">
        <v>0</v>
      </c>
      <c r="I1507" t="n">
        <v>0</v>
      </c>
      <c r="J1507" t="n">
        <v>0</v>
      </c>
      <c r="K1507" t="n">
        <v>0</v>
      </c>
      <c r="L1507" t="n">
        <v>0</v>
      </c>
      <c r="M1507" t="n">
        <v>0</v>
      </c>
      <c r="N1507" t="n">
        <v>0</v>
      </c>
      <c r="O1507" t="n">
        <v>0</v>
      </c>
      <c r="P1507" t="n">
        <v>0</v>
      </c>
      <c r="Q1507" t="n">
        <v>0</v>
      </c>
      <c r="R1507" s="2" t="inlineStr"/>
    </row>
    <row r="1508" ht="15" customHeight="1">
      <c r="A1508" t="inlineStr">
        <is>
          <t>A 22249-2023</t>
        </is>
      </c>
      <c r="B1508" s="1" t="n">
        <v>45070</v>
      </c>
      <c r="C1508" s="1" t="n">
        <v>45349</v>
      </c>
      <c r="D1508" t="inlineStr">
        <is>
          <t>STOCKHOLMS LÄN</t>
        </is>
      </c>
      <c r="E1508" t="inlineStr">
        <is>
          <t>NORRTÄLJE</t>
        </is>
      </c>
      <c r="F1508" t="inlineStr">
        <is>
          <t>Övriga Aktiebolag</t>
        </is>
      </c>
      <c r="G1508" t="n">
        <v>17.7</v>
      </c>
      <c r="H1508" t="n">
        <v>0</v>
      </c>
      <c r="I1508" t="n">
        <v>0</v>
      </c>
      <c r="J1508" t="n">
        <v>0</v>
      </c>
      <c r="K1508" t="n">
        <v>0</v>
      </c>
      <c r="L1508" t="n">
        <v>0</v>
      </c>
      <c r="M1508" t="n">
        <v>0</v>
      </c>
      <c r="N1508" t="n">
        <v>0</v>
      </c>
      <c r="O1508" t="n">
        <v>0</v>
      </c>
      <c r="P1508" t="n">
        <v>0</v>
      </c>
      <c r="Q1508" t="n">
        <v>0</v>
      </c>
      <c r="R1508" s="2" t="inlineStr"/>
    </row>
    <row r="1509" ht="15" customHeight="1">
      <c r="A1509" t="inlineStr">
        <is>
          <t>A 22398-2023</t>
        </is>
      </c>
      <c r="B1509" s="1" t="n">
        <v>45070</v>
      </c>
      <c r="C1509" s="1" t="n">
        <v>45349</v>
      </c>
      <c r="D1509" t="inlineStr">
        <is>
          <t>STOCKHOLMS LÄN</t>
        </is>
      </c>
      <c r="E1509" t="inlineStr">
        <is>
          <t>NORRTÄLJE</t>
        </is>
      </c>
      <c r="F1509" t="inlineStr">
        <is>
          <t>Övriga Aktiebolag</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22376-2023</t>
        </is>
      </c>
      <c r="B1510" s="1" t="n">
        <v>45070</v>
      </c>
      <c r="C1510" s="1" t="n">
        <v>45349</v>
      </c>
      <c r="D1510" t="inlineStr">
        <is>
          <t>STOCKHOLMS LÄN</t>
        </is>
      </c>
      <c r="E1510" t="inlineStr">
        <is>
          <t>NORRTÄLJE</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22456-2023</t>
        </is>
      </c>
      <c r="B1511" s="1" t="n">
        <v>45070</v>
      </c>
      <c r="C1511" s="1" t="n">
        <v>45349</v>
      </c>
      <c r="D1511" t="inlineStr">
        <is>
          <t>STOCKHOLMS LÄN</t>
        </is>
      </c>
      <c r="E1511" t="inlineStr">
        <is>
          <t>NORRTÄLJE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22378-2023</t>
        </is>
      </c>
      <c r="B1512" s="1" t="n">
        <v>45070</v>
      </c>
      <c r="C1512" s="1" t="n">
        <v>45349</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22406-2023</t>
        </is>
      </c>
      <c r="B1513" s="1" t="n">
        <v>45070</v>
      </c>
      <c r="C1513" s="1" t="n">
        <v>45349</v>
      </c>
      <c r="D1513" t="inlineStr">
        <is>
          <t>STOCKHOLMS LÄN</t>
        </is>
      </c>
      <c r="E1513" t="inlineStr">
        <is>
          <t>NORRTÄLJE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22553-2023</t>
        </is>
      </c>
      <c r="B1514" s="1" t="n">
        <v>45071</v>
      </c>
      <c r="C1514" s="1" t="n">
        <v>45349</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22962-2023</t>
        </is>
      </c>
      <c r="B1515" s="1" t="n">
        <v>45072</v>
      </c>
      <c r="C1515" s="1" t="n">
        <v>45349</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23056-2023</t>
        </is>
      </c>
      <c r="B1516" s="1" t="n">
        <v>45075</v>
      </c>
      <c r="C1516" s="1" t="n">
        <v>45349</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23060-2023</t>
        </is>
      </c>
      <c r="B1517" s="1" t="n">
        <v>45075</v>
      </c>
      <c r="C1517" s="1" t="n">
        <v>45349</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23070-2023</t>
        </is>
      </c>
      <c r="B1518" s="1" t="n">
        <v>45075</v>
      </c>
      <c r="C1518" s="1" t="n">
        <v>45349</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23130-2023</t>
        </is>
      </c>
      <c r="B1519" s="1" t="n">
        <v>45075</v>
      </c>
      <c r="C1519" s="1" t="n">
        <v>45349</v>
      </c>
      <c r="D1519" t="inlineStr">
        <is>
          <t>STOCKHOLMS LÄN</t>
        </is>
      </c>
      <c r="E1519" t="inlineStr">
        <is>
          <t>NORRTÄLJE</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23265-2023</t>
        </is>
      </c>
      <c r="B1520" s="1" t="n">
        <v>45075</v>
      </c>
      <c r="C1520" s="1" t="n">
        <v>45349</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23269-2023</t>
        </is>
      </c>
      <c r="B1521" s="1" t="n">
        <v>45075</v>
      </c>
      <c r="C1521" s="1" t="n">
        <v>45349</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23273-2023</t>
        </is>
      </c>
      <c r="B1522" s="1" t="n">
        <v>45076</v>
      </c>
      <c r="C1522" s="1" t="n">
        <v>45349</v>
      </c>
      <c r="D1522" t="inlineStr">
        <is>
          <t>STOCKHOLMS LÄN</t>
        </is>
      </c>
      <c r="E1522" t="inlineStr">
        <is>
          <t>NORRTÄLJE</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23134-2023</t>
        </is>
      </c>
      <c r="B1523" s="1" t="n">
        <v>45075</v>
      </c>
      <c r="C1523" s="1" t="n">
        <v>45349</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23263-2023</t>
        </is>
      </c>
      <c r="B1524" s="1" t="n">
        <v>45075</v>
      </c>
      <c r="C1524" s="1" t="n">
        <v>45349</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23267-2023</t>
        </is>
      </c>
      <c r="B1525" s="1" t="n">
        <v>45075</v>
      </c>
      <c r="C1525" s="1" t="n">
        <v>45349</v>
      </c>
      <c r="D1525" t="inlineStr">
        <is>
          <t>STOCKHOLMS LÄN</t>
        </is>
      </c>
      <c r="E1525" t="inlineStr">
        <is>
          <t>NORRTÄLJE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23271-2023</t>
        </is>
      </c>
      <c r="B1526" s="1" t="n">
        <v>45075</v>
      </c>
      <c r="C1526" s="1" t="n">
        <v>45349</v>
      </c>
      <c r="D1526" t="inlineStr">
        <is>
          <t>STOCKHOLMS LÄN</t>
        </is>
      </c>
      <c r="E1526" t="inlineStr">
        <is>
          <t>NORRTÄLJE</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23264-2023</t>
        </is>
      </c>
      <c r="B1527" s="1" t="n">
        <v>45075</v>
      </c>
      <c r="C1527" s="1" t="n">
        <v>45349</v>
      </c>
      <c r="D1527" t="inlineStr">
        <is>
          <t>STOCKHOLMS LÄN</t>
        </is>
      </c>
      <c r="E1527" t="inlineStr">
        <is>
          <t>NORRTÄLJE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23268-2023</t>
        </is>
      </c>
      <c r="B1528" s="1" t="n">
        <v>45075</v>
      </c>
      <c r="C1528" s="1" t="n">
        <v>45349</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23272-2023</t>
        </is>
      </c>
      <c r="B1529" s="1" t="n">
        <v>45075</v>
      </c>
      <c r="C1529" s="1" t="n">
        <v>45349</v>
      </c>
      <c r="D1529" t="inlineStr">
        <is>
          <t>STOCKHOLMS LÄN</t>
        </is>
      </c>
      <c r="E1529" t="inlineStr">
        <is>
          <t>NORRTÄLJE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23262-2023</t>
        </is>
      </c>
      <c r="B1530" s="1" t="n">
        <v>45075</v>
      </c>
      <c r="C1530" s="1" t="n">
        <v>45349</v>
      </c>
      <c r="D1530" t="inlineStr">
        <is>
          <t>STOCKHOLMS LÄN</t>
        </is>
      </c>
      <c r="E1530" t="inlineStr">
        <is>
          <t>NORRTÄLJE</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23266-2023</t>
        </is>
      </c>
      <c r="B1531" s="1" t="n">
        <v>45075</v>
      </c>
      <c r="C1531" s="1" t="n">
        <v>45349</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23270-2023</t>
        </is>
      </c>
      <c r="B1532" s="1" t="n">
        <v>45075</v>
      </c>
      <c r="C1532" s="1" t="n">
        <v>45349</v>
      </c>
      <c r="D1532" t="inlineStr">
        <is>
          <t>STOCKHOLMS LÄN</t>
        </is>
      </c>
      <c r="E1532" t="inlineStr">
        <is>
          <t>NORRTÄLJE</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23274-2023</t>
        </is>
      </c>
      <c r="B1533" s="1" t="n">
        <v>45076</v>
      </c>
      <c r="C1533" s="1" t="n">
        <v>45349</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23699-2023</t>
        </is>
      </c>
      <c r="B1534" s="1" t="n">
        <v>45077</v>
      </c>
      <c r="C1534" s="1" t="n">
        <v>45349</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24129-2023</t>
        </is>
      </c>
      <c r="B1535" s="1" t="n">
        <v>45079</v>
      </c>
      <c r="C1535" s="1" t="n">
        <v>45349</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24330-2023</t>
        </is>
      </c>
      <c r="B1536" s="1" t="n">
        <v>45081</v>
      </c>
      <c r="C1536" s="1" t="n">
        <v>45349</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24520-2023</t>
        </is>
      </c>
      <c r="B1537" s="1" t="n">
        <v>45082</v>
      </c>
      <c r="C1537" s="1" t="n">
        <v>45349</v>
      </c>
      <c r="D1537" t="inlineStr">
        <is>
          <t>STOCKHOLMS LÄN</t>
        </is>
      </c>
      <c r="E1537" t="inlineStr">
        <is>
          <t>NORRTÄLJE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24501-2023</t>
        </is>
      </c>
      <c r="B1538" s="1" t="n">
        <v>45082</v>
      </c>
      <c r="C1538" s="1" t="n">
        <v>45349</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24522-2023</t>
        </is>
      </c>
      <c r="B1539" s="1" t="n">
        <v>45082</v>
      </c>
      <c r="C1539" s="1" t="n">
        <v>45349</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v>
      </c>
      <c r="C1540" s="1" t="n">
        <v>45349</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24727-2023</t>
        </is>
      </c>
      <c r="B1541" s="1" t="n">
        <v>45084</v>
      </c>
      <c r="C1541" s="1" t="n">
        <v>45349</v>
      </c>
      <c r="D1541" t="inlineStr">
        <is>
          <t>STOCKHOLMS LÄN</t>
        </is>
      </c>
      <c r="E1541" t="inlineStr">
        <is>
          <t>NORRTÄLJE</t>
        </is>
      </c>
      <c r="F1541" t="inlineStr">
        <is>
          <t>Holmen skog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24788-2023</t>
        </is>
      </c>
      <c r="B1542" s="1" t="n">
        <v>45084</v>
      </c>
      <c r="C1542" s="1" t="n">
        <v>45349</v>
      </c>
      <c r="D1542" t="inlineStr">
        <is>
          <t>STOCKHOLMS LÄN</t>
        </is>
      </c>
      <c r="E1542" t="inlineStr">
        <is>
          <t>NORRTÄLJE</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24789-2023</t>
        </is>
      </c>
      <c r="B1543" s="1" t="n">
        <v>45084</v>
      </c>
      <c r="C1543" s="1" t="n">
        <v>45349</v>
      </c>
      <c r="D1543" t="inlineStr">
        <is>
          <t>STOCKHOLMS LÄN</t>
        </is>
      </c>
      <c r="E1543" t="inlineStr">
        <is>
          <t>NORRTÄLJE</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24887-2023</t>
        </is>
      </c>
      <c r="B1544" s="1" t="n">
        <v>45085</v>
      </c>
      <c r="C1544" s="1" t="n">
        <v>45349</v>
      </c>
      <c r="D1544" t="inlineStr">
        <is>
          <t>STOCKHOLMS LÄN</t>
        </is>
      </c>
      <c r="E1544" t="inlineStr">
        <is>
          <t>NORRTÄLJE</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24933-2023</t>
        </is>
      </c>
      <c r="B1545" s="1" t="n">
        <v>45085</v>
      </c>
      <c r="C1545" s="1" t="n">
        <v>45349</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25174-2023</t>
        </is>
      </c>
      <c r="B1546" s="1" t="n">
        <v>45086</v>
      </c>
      <c r="C1546" s="1" t="n">
        <v>45349</v>
      </c>
      <c r="D1546" t="inlineStr">
        <is>
          <t>STOCKHOLMS LÄN</t>
        </is>
      </c>
      <c r="E1546" t="inlineStr">
        <is>
          <t>NORRTÄLJE</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25094-2023</t>
        </is>
      </c>
      <c r="B1547" s="1" t="n">
        <v>45086</v>
      </c>
      <c r="C1547" s="1" t="n">
        <v>45349</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25257-2023</t>
        </is>
      </c>
      <c r="B1548" s="1" t="n">
        <v>45086</v>
      </c>
      <c r="C1548" s="1" t="n">
        <v>45349</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25614-2023</t>
        </is>
      </c>
      <c r="B1549" s="1" t="n">
        <v>45089</v>
      </c>
      <c r="C1549" s="1" t="n">
        <v>45349</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25625-2023</t>
        </is>
      </c>
      <c r="B1550" s="1" t="n">
        <v>45089</v>
      </c>
      <c r="C1550" s="1" t="n">
        <v>45349</v>
      </c>
      <c r="D1550" t="inlineStr">
        <is>
          <t>STOCKHOLMS LÄN</t>
        </is>
      </c>
      <c r="E1550" t="inlineStr">
        <is>
          <t>NORRTÄLJE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25557-2023</t>
        </is>
      </c>
      <c r="B1551" s="1" t="n">
        <v>45089</v>
      </c>
      <c r="C1551" s="1" t="n">
        <v>45349</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25609-2023</t>
        </is>
      </c>
      <c r="B1552" s="1" t="n">
        <v>45089</v>
      </c>
      <c r="C1552" s="1" t="n">
        <v>45349</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25618-2023</t>
        </is>
      </c>
      <c r="B1553" s="1" t="n">
        <v>45089</v>
      </c>
      <c r="C1553" s="1" t="n">
        <v>45349</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25656-2023</t>
        </is>
      </c>
      <c r="B1554" s="1" t="n">
        <v>45089</v>
      </c>
      <c r="C1554" s="1" t="n">
        <v>45349</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25654-2023</t>
        </is>
      </c>
      <c r="B1555" s="1" t="n">
        <v>45089</v>
      </c>
      <c r="C1555" s="1" t="n">
        <v>45349</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25831-2023</t>
        </is>
      </c>
      <c r="B1556" s="1" t="n">
        <v>45090</v>
      </c>
      <c r="C1556" s="1" t="n">
        <v>45349</v>
      </c>
      <c r="D1556" t="inlineStr">
        <is>
          <t>STOCKHOLMS LÄN</t>
        </is>
      </c>
      <c r="E1556" t="inlineStr">
        <is>
          <t>NORRTÄLJE</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25915-2023</t>
        </is>
      </c>
      <c r="B1557" s="1" t="n">
        <v>45090</v>
      </c>
      <c r="C1557" s="1" t="n">
        <v>45349</v>
      </c>
      <c r="D1557" t="inlineStr">
        <is>
          <t>STOCKHOLMS LÄN</t>
        </is>
      </c>
      <c r="E1557" t="inlineStr">
        <is>
          <t>NORRTÄLJE</t>
        </is>
      </c>
      <c r="F1557" t="inlineStr">
        <is>
          <t>Naturvårdsverket</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26065-2023</t>
        </is>
      </c>
      <c r="B1558" s="1" t="n">
        <v>45091</v>
      </c>
      <c r="C1558" s="1" t="n">
        <v>45349</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26315-2023</t>
        </is>
      </c>
      <c r="B1559" s="1" t="n">
        <v>45091</v>
      </c>
      <c r="C1559" s="1" t="n">
        <v>45349</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26570-2023</t>
        </is>
      </c>
      <c r="B1560" s="1" t="n">
        <v>45092</v>
      </c>
      <c r="C1560" s="1" t="n">
        <v>45349</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26636-2023</t>
        </is>
      </c>
      <c r="B1561" s="1" t="n">
        <v>45092</v>
      </c>
      <c r="C1561" s="1" t="n">
        <v>45349</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26640-2023</t>
        </is>
      </c>
      <c r="B1562" s="1" t="n">
        <v>45092</v>
      </c>
      <c r="C1562" s="1" t="n">
        <v>45349</v>
      </c>
      <c r="D1562" t="inlineStr">
        <is>
          <t>STOCKHOLMS LÄN</t>
        </is>
      </c>
      <c r="E1562" t="inlineStr">
        <is>
          <t>NORRTÄLJE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26637-2023</t>
        </is>
      </c>
      <c r="B1563" s="1" t="n">
        <v>45092</v>
      </c>
      <c r="C1563" s="1" t="n">
        <v>45349</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26639-2023</t>
        </is>
      </c>
      <c r="B1564" s="1" t="n">
        <v>45092</v>
      </c>
      <c r="C1564" s="1" t="n">
        <v>45349</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27651-2023</t>
        </is>
      </c>
      <c r="B1565" s="1" t="n">
        <v>45097</v>
      </c>
      <c r="C1565" s="1" t="n">
        <v>45349</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28281-2023</t>
        </is>
      </c>
      <c r="B1566" s="1" t="n">
        <v>45099</v>
      </c>
      <c r="C1566" s="1" t="n">
        <v>45349</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28820-2023</t>
        </is>
      </c>
      <c r="B1567" s="1" t="n">
        <v>45104</v>
      </c>
      <c r="C1567" s="1" t="n">
        <v>45349</v>
      </c>
      <c r="D1567" t="inlineStr">
        <is>
          <t>STOCKHOLMS LÄN</t>
        </is>
      </c>
      <c r="E1567" t="inlineStr">
        <is>
          <t>NORRTÄLJE</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28813-2023</t>
        </is>
      </c>
      <c r="B1568" s="1" t="n">
        <v>45104</v>
      </c>
      <c r="C1568" s="1" t="n">
        <v>45349</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29003-2023</t>
        </is>
      </c>
      <c r="B1569" s="1" t="n">
        <v>45104</v>
      </c>
      <c r="C1569" s="1" t="n">
        <v>45349</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45349</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28809-2023</t>
        </is>
      </c>
      <c r="B1571" s="1" t="n">
        <v>45104</v>
      </c>
      <c r="C1571" s="1" t="n">
        <v>45349</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29254-2023</t>
        </is>
      </c>
      <c r="B1572" s="1" t="n">
        <v>45105</v>
      </c>
      <c r="C1572" s="1" t="n">
        <v>45349</v>
      </c>
      <c r="D1572" t="inlineStr">
        <is>
          <t>STOCKHOLMS LÄN</t>
        </is>
      </c>
      <c r="E1572" t="inlineStr">
        <is>
          <t>NORRTÄLJE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29433-2023</t>
        </is>
      </c>
      <c r="B1573" s="1" t="n">
        <v>45106</v>
      </c>
      <c r="C1573" s="1" t="n">
        <v>45349</v>
      </c>
      <c r="D1573" t="inlineStr">
        <is>
          <t>STOCKHOLMS LÄN</t>
        </is>
      </c>
      <c r="E1573" t="inlineStr">
        <is>
          <t>NORRTÄLJE</t>
        </is>
      </c>
      <c r="F1573" t="inlineStr">
        <is>
          <t>Övriga Aktiebolag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29681-2023</t>
        </is>
      </c>
      <c r="B1574" s="1" t="n">
        <v>45107</v>
      </c>
      <c r="C1574" s="1" t="n">
        <v>45349</v>
      </c>
      <c r="D1574" t="inlineStr">
        <is>
          <t>STOCKHOLMS LÄN</t>
        </is>
      </c>
      <c r="E1574" t="inlineStr">
        <is>
          <t>NORRTÄLJE</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29710-2023</t>
        </is>
      </c>
      <c r="B1575" s="1" t="n">
        <v>45107</v>
      </c>
      <c r="C1575" s="1" t="n">
        <v>45349</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29714-2023</t>
        </is>
      </c>
      <c r="B1576" s="1" t="n">
        <v>45107</v>
      </c>
      <c r="C1576" s="1" t="n">
        <v>45349</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30116-2023</t>
        </is>
      </c>
      <c r="B1577" s="1" t="n">
        <v>45110</v>
      </c>
      <c r="C1577" s="1" t="n">
        <v>45349</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30281-2023</t>
        </is>
      </c>
      <c r="B1578" s="1" t="n">
        <v>45110</v>
      </c>
      <c r="C1578" s="1" t="n">
        <v>45349</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30508-2023</t>
        </is>
      </c>
      <c r="B1579" s="1" t="n">
        <v>45111</v>
      </c>
      <c r="C1579" s="1" t="n">
        <v>45349</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30496-2023</t>
        </is>
      </c>
      <c r="B1580" s="1" t="n">
        <v>45111</v>
      </c>
      <c r="C1580" s="1" t="n">
        <v>45349</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30516-2023</t>
        </is>
      </c>
      <c r="B1581" s="1" t="n">
        <v>45111</v>
      </c>
      <c r="C1581" s="1" t="n">
        <v>45349</v>
      </c>
      <c r="D1581" t="inlineStr">
        <is>
          <t>STOCKHOLMS LÄN</t>
        </is>
      </c>
      <c r="E1581" t="inlineStr">
        <is>
          <t>NORRTÄLJE</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30525-2023</t>
        </is>
      </c>
      <c r="B1582" s="1" t="n">
        <v>45111</v>
      </c>
      <c r="C1582" s="1" t="n">
        <v>45349</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30424-2023</t>
        </is>
      </c>
      <c r="B1583" s="1" t="n">
        <v>45111</v>
      </c>
      <c r="C1583" s="1" t="n">
        <v>45349</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30425-2023</t>
        </is>
      </c>
      <c r="B1584" s="1" t="n">
        <v>45111</v>
      </c>
      <c r="C1584" s="1" t="n">
        <v>45349</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30731-2023</t>
        </is>
      </c>
      <c r="B1585" s="1" t="n">
        <v>45112</v>
      </c>
      <c r="C1585" s="1" t="n">
        <v>45349</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30663-2023</t>
        </is>
      </c>
      <c r="B1586" s="1" t="n">
        <v>45112</v>
      </c>
      <c r="C1586" s="1" t="n">
        <v>45349</v>
      </c>
      <c r="D1586" t="inlineStr">
        <is>
          <t>STOCKHOLMS LÄN</t>
        </is>
      </c>
      <c r="E1586" t="inlineStr">
        <is>
          <t>NORRTÄLJE</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30780-2023</t>
        </is>
      </c>
      <c r="B1587" s="1" t="n">
        <v>45112</v>
      </c>
      <c r="C1587" s="1" t="n">
        <v>45349</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30773-2023</t>
        </is>
      </c>
      <c r="B1588" s="1" t="n">
        <v>45112</v>
      </c>
      <c r="C1588" s="1" t="n">
        <v>45349</v>
      </c>
      <c r="D1588" t="inlineStr">
        <is>
          <t>STOCKHOLMS LÄN</t>
        </is>
      </c>
      <c r="E1588" t="inlineStr">
        <is>
          <t>NORRTÄLJE</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30924-2023</t>
        </is>
      </c>
      <c r="B1589" s="1" t="n">
        <v>45113</v>
      </c>
      <c r="C1589" s="1" t="n">
        <v>45349</v>
      </c>
      <c r="D1589" t="inlineStr">
        <is>
          <t>STOCKHOLMS LÄN</t>
        </is>
      </c>
      <c r="E1589" t="inlineStr">
        <is>
          <t>NORRTÄLJE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30923-2023</t>
        </is>
      </c>
      <c r="B1590" s="1" t="n">
        <v>45113</v>
      </c>
      <c r="C1590" s="1" t="n">
        <v>45349</v>
      </c>
      <c r="D1590" t="inlineStr">
        <is>
          <t>STOCKHOLMS LÄN</t>
        </is>
      </c>
      <c r="E1590" t="inlineStr">
        <is>
          <t>NORRTÄLJE</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31140-2023</t>
        </is>
      </c>
      <c r="B1591" s="1" t="n">
        <v>45113</v>
      </c>
      <c r="C1591" s="1" t="n">
        <v>45349</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30921-2023</t>
        </is>
      </c>
      <c r="B1592" s="1" t="n">
        <v>45113</v>
      </c>
      <c r="C1592" s="1" t="n">
        <v>45349</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31149-2023</t>
        </is>
      </c>
      <c r="B1593" s="1" t="n">
        <v>45113</v>
      </c>
      <c r="C1593" s="1" t="n">
        <v>45349</v>
      </c>
      <c r="D1593" t="inlineStr">
        <is>
          <t>STOCKHOLMS LÄN</t>
        </is>
      </c>
      <c r="E1593" t="inlineStr">
        <is>
          <t>NORRTÄLJE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31153-2023</t>
        </is>
      </c>
      <c r="B1594" s="1" t="n">
        <v>45113</v>
      </c>
      <c r="C1594" s="1" t="n">
        <v>45349</v>
      </c>
      <c r="D1594" t="inlineStr">
        <is>
          <t>STOCKHOLMS LÄN</t>
        </is>
      </c>
      <c r="E1594" t="inlineStr">
        <is>
          <t>NORRTÄLJE</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31827-2023</t>
        </is>
      </c>
      <c r="B1595" s="1" t="n">
        <v>45118</v>
      </c>
      <c r="C1595" s="1" t="n">
        <v>45349</v>
      </c>
      <c r="D1595" t="inlineStr">
        <is>
          <t>STOCKHOLMS LÄN</t>
        </is>
      </c>
      <c r="E1595" t="inlineStr">
        <is>
          <t>NORRTÄLJE</t>
        </is>
      </c>
      <c r="F1595" t="inlineStr">
        <is>
          <t>Kyrkan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31832-2023</t>
        </is>
      </c>
      <c r="B1596" s="1" t="n">
        <v>45118</v>
      </c>
      <c r="C1596" s="1" t="n">
        <v>45349</v>
      </c>
      <c r="D1596" t="inlineStr">
        <is>
          <t>STOCKHOLMS LÄN</t>
        </is>
      </c>
      <c r="E1596" t="inlineStr">
        <is>
          <t>NORRTÄLJE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32071-2023</t>
        </is>
      </c>
      <c r="B1597" s="1" t="n">
        <v>45119</v>
      </c>
      <c r="C1597" s="1" t="n">
        <v>45349</v>
      </c>
      <c r="D1597" t="inlineStr">
        <is>
          <t>STOCKHOLMS LÄN</t>
        </is>
      </c>
      <c r="E1597" t="inlineStr">
        <is>
          <t>NORRTÄLJE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32621-2023</t>
        </is>
      </c>
      <c r="B1598" s="1" t="n">
        <v>45121</v>
      </c>
      <c r="C1598" s="1" t="n">
        <v>45349</v>
      </c>
      <c r="D1598" t="inlineStr">
        <is>
          <t>STOCKHOLMS LÄN</t>
        </is>
      </c>
      <c r="E1598" t="inlineStr">
        <is>
          <t>NORRTÄLJE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32595-2023</t>
        </is>
      </c>
      <c r="B1599" s="1" t="n">
        <v>45121</v>
      </c>
      <c r="C1599" s="1" t="n">
        <v>45349</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32948-2023</t>
        </is>
      </c>
      <c r="B1600" s="1" t="n">
        <v>45125</v>
      </c>
      <c r="C1600" s="1" t="n">
        <v>45349</v>
      </c>
      <c r="D1600" t="inlineStr">
        <is>
          <t>STOCKHOLMS LÄN</t>
        </is>
      </c>
      <c r="E1600" t="inlineStr">
        <is>
          <t>NORRTÄLJE</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33025-2023</t>
        </is>
      </c>
      <c r="B1601" s="1" t="n">
        <v>45125</v>
      </c>
      <c r="C1601" s="1" t="n">
        <v>45349</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33130-2023</t>
        </is>
      </c>
      <c r="B1602" s="1" t="n">
        <v>45126</v>
      </c>
      <c r="C1602" s="1" t="n">
        <v>45349</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33295-2023</t>
        </is>
      </c>
      <c r="B1603" s="1" t="n">
        <v>45127</v>
      </c>
      <c r="C1603" s="1" t="n">
        <v>45349</v>
      </c>
      <c r="D1603" t="inlineStr">
        <is>
          <t>STOCKHOLMS LÄN</t>
        </is>
      </c>
      <c r="E1603" t="inlineStr">
        <is>
          <t>NORRTÄLJE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33270-2023</t>
        </is>
      </c>
      <c r="B1604" s="1" t="n">
        <v>45127</v>
      </c>
      <c r="C1604" s="1" t="n">
        <v>45349</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33226-2023</t>
        </is>
      </c>
      <c r="B1605" s="1" t="n">
        <v>45127</v>
      </c>
      <c r="C1605" s="1" t="n">
        <v>45349</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33243-2023</t>
        </is>
      </c>
      <c r="B1606" s="1" t="n">
        <v>45127</v>
      </c>
      <c r="C1606" s="1" t="n">
        <v>45349</v>
      </c>
      <c r="D1606" t="inlineStr">
        <is>
          <t>STOCKHOLMS LÄN</t>
        </is>
      </c>
      <c r="E1606" t="inlineStr">
        <is>
          <t>NORRTÄLJE</t>
        </is>
      </c>
      <c r="F1606" t="inlineStr">
        <is>
          <t>Holmen skog AB</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33291-2023</t>
        </is>
      </c>
      <c r="B1607" s="1" t="n">
        <v>45127</v>
      </c>
      <c r="C1607" s="1" t="n">
        <v>45349</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33353-2023</t>
        </is>
      </c>
      <c r="B1608" s="1" t="n">
        <v>45128</v>
      </c>
      <c r="C1608" s="1" t="n">
        <v>45349</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v>
      </c>
      <c r="C1609" s="1" t="n">
        <v>45349</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33646-2023</t>
        </is>
      </c>
      <c r="B1610" s="1" t="n">
        <v>45132</v>
      </c>
      <c r="C1610" s="1" t="n">
        <v>45349</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33641-2023</t>
        </is>
      </c>
      <c r="B1611" s="1" t="n">
        <v>45132</v>
      </c>
      <c r="C1611" s="1" t="n">
        <v>45349</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34085-2023</t>
        </is>
      </c>
      <c r="B1612" s="1" t="n">
        <v>45135</v>
      </c>
      <c r="C1612" s="1" t="n">
        <v>45349</v>
      </c>
      <c r="D1612" t="inlineStr">
        <is>
          <t>STOCKHOLMS LÄN</t>
        </is>
      </c>
      <c r="E1612" t="inlineStr">
        <is>
          <t>NORRTÄLJE</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34084-2023</t>
        </is>
      </c>
      <c r="B1613" s="1" t="n">
        <v>45135</v>
      </c>
      <c r="C1613" s="1" t="n">
        <v>45349</v>
      </c>
      <c r="D1613" t="inlineStr">
        <is>
          <t>STOCKHOLMS LÄN</t>
        </is>
      </c>
      <c r="E1613" t="inlineStr">
        <is>
          <t>NORRTÄLJE</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34132-2023</t>
        </is>
      </c>
      <c r="B1614" s="1" t="n">
        <v>45135</v>
      </c>
      <c r="C1614" s="1" t="n">
        <v>45349</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34391-2023</t>
        </is>
      </c>
      <c r="B1615" s="1" t="n">
        <v>45139</v>
      </c>
      <c r="C1615" s="1" t="n">
        <v>45349</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34461-2023</t>
        </is>
      </c>
      <c r="B1616" s="1" t="n">
        <v>45139</v>
      </c>
      <c r="C1616" s="1" t="n">
        <v>45349</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34462-2023</t>
        </is>
      </c>
      <c r="B1617" s="1" t="n">
        <v>45139</v>
      </c>
      <c r="C1617" s="1" t="n">
        <v>45349</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34825-2023</t>
        </is>
      </c>
      <c r="B1618" s="1" t="n">
        <v>45141</v>
      </c>
      <c r="C1618" s="1" t="n">
        <v>45349</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35215-2023</t>
        </is>
      </c>
      <c r="B1619" s="1" t="n">
        <v>45145</v>
      </c>
      <c r="C1619" s="1" t="n">
        <v>45349</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35219-2023</t>
        </is>
      </c>
      <c r="B1620" s="1" t="n">
        <v>45145</v>
      </c>
      <c r="C1620" s="1" t="n">
        <v>45349</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35127-2023</t>
        </is>
      </c>
      <c r="B1621" s="1" t="n">
        <v>45145</v>
      </c>
      <c r="C1621" s="1" t="n">
        <v>45349</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35131-2023</t>
        </is>
      </c>
      <c r="B1622" s="1" t="n">
        <v>45145</v>
      </c>
      <c r="C1622" s="1" t="n">
        <v>45349</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35128-2023</t>
        </is>
      </c>
      <c r="B1623" s="1" t="n">
        <v>45145</v>
      </c>
      <c r="C1623" s="1" t="n">
        <v>45349</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35210-2023</t>
        </is>
      </c>
      <c r="B1624" s="1" t="n">
        <v>45145</v>
      </c>
      <c r="C1624" s="1" t="n">
        <v>45349</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35438-2023</t>
        </is>
      </c>
      <c r="B1625" s="1" t="n">
        <v>45146</v>
      </c>
      <c r="C1625" s="1" t="n">
        <v>45349</v>
      </c>
      <c r="D1625" t="inlineStr">
        <is>
          <t>STOCKHOLMS LÄN</t>
        </is>
      </c>
      <c r="E1625" t="inlineStr">
        <is>
          <t>NORRTÄLJE</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35698-2023</t>
        </is>
      </c>
      <c r="B1626" s="1" t="n">
        <v>45147</v>
      </c>
      <c r="C1626" s="1" t="n">
        <v>45349</v>
      </c>
      <c r="D1626" t="inlineStr">
        <is>
          <t>STOCKHOLMS LÄN</t>
        </is>
      </c>
      <c r="E1626" t="inlineStr">
        <is>
          <t>NORRTÄLJE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35702-2023</t>
        </is>
      </c>
      <c r="B1627" s="1" t="n">
        <v>45147</v>
      </c>
      <c r="C1627" s="1" t="n">
        <v>45349</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35691-2023</t>
        </is>
      </c>
      <c r="B1628" s="1" t="n">
        <v>45147</v>
      </c>
      <c r="C1628" s="1" t="n">
        <v>45349</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35695-2023</t>
        </is>
      </c>
      <c r="B1629" s="1" t="n">
        <v>45147</v>
      </c>
      <c r="C1629" s="1" t="n">
        <v>45349</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35696-2023</t>
        </is>
      </c>
      <c r="B1630" s="1" t="n">
        <v>45147</v>
      </c>
      <c r="C1630" s="1" t="n">
        <v>45349</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35700-2023</t>
        </is>
      </c>
      <c r="B1631" s="1" t="n">
        <v>45147</v>
      </c>
      <c r="C1631" s="1" t="n">
        <v>45349</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35704-2023</t>
        </is>
      </c>
      <c r="B1632" s="1" t="n">
        <v>45147</v>
      </c>
      <c r="C1632" s="1" t="n">
        <v>45349</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35693-2023</t>
        </is>
      </c>
      <c r="B1633" s="1" t="n">
        <v>45147</v>
      </c>
      <c r="C1633" s="1" t="n">
        <v>45349</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35701-2023</t>
        </is>
      </c>
      <c r="B1634" s="1" t="n">
        <v>45147</v>
      </c>
      <c r="C1634" s="1" t="n">
        <v>45349</v>
      </c>
      <c r="D1634" t="inlineStr">
        <is>
          <t>STOCKHOLMS LÄN</t>
        </is>
      </c>
      <c r="E1634" t="inlineStr">
        <is>
          <t>NORRTÄLJE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35823-2023</t>
        </is>
      </c>
      <c r="B1635" s="1" t="n">
        <v>45148</v>
      </c>
      <c r="C1635" s="1" t="n">
        <v>45349</v>
      </c>
      <c r="D1635" t="inlineStr">
        <is>
          <t>STOCKHOLMS LÄN</t>
        </is>
      </c>
      <c r="E1635" t="inlineStr">
        <is>
          <t>NORRTÄLJE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36253-2023</t>
        </is>
      </c>
      <c r="B1636" s="1" t="n">
        <v>45151</v>
      </c>
      <c r="C1636" s="1" t="n">
        <v>45349</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36257-2023</t>
        </is>
      </c>
      <c r="B1637" s="1" t="n">
        <v>45151</v>
      </c>
      <c r="C1637" s="1" t="n">
        <v>45349</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36259-2023</t>
        </is>
      </c>
      <c r="B1638" s="1" t="n">
        <v>45151</v>
      </c>
      <c r="C1638" s="1" t="n">
        <v>45349</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36254-2023</t>
        </is>
      </c>
      <c r="B1639" s="1" t="n">
        <v>45151</v>
      </c>
      <c r="C1639" s="1" t="n">
        <v>45349</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36258-2023</t>
        </is>
      </c>
      <c r="B1640" s="1" t="n">
        <v>45151</v>
      </c>
      <c r="C1640" s="1" t="n">
        <v>45349</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36689-2023</t>
        </is>
      </c>
      <c r="B1641" s="1" t="n">
        <v>45152</v>
      </c>
      <c r="C1641" s="1" t="n">
        <v>45349</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36865-2023</t>
        </is>
      </c>
      <c r="B1642" s="1" t="n">
        <v>45154</v>
      </c>
      <c r="C1642" s="1" t="n">
        <v>45349</v>
      </c>
      <c r="D1642" t="inlineStr">
        <is>
          <t>STOCKHOLMS LÄN</t>
        </is>
      </c>
      <c r="E1642" t="inlineStr">
        <is>
          <t>NORRTÄLJE</t>
        </is>
      </c>
      <c r="F1642" t="inlineStr">
        <is>
          <t>Kyrkan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37139-2023</t>
        </is>
      </c>
      <c r="B1643" s="1" t="n">
        <v>45155</v>
      </c>
      <c r="C1643" s="1" t="n">
        <v>45349</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37136-2023</t>
        </is>
      </c>
      <c r="B1644" s="1" t="n">
        <v>45155</v>
      </c>
      <c r="C1644" s="1" t="n">
        <v>45349</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37147-2023</t>
        </is>
      </c>
      <c r="B1645" s="1" t="n">
        <v>45155</v>
      </c>
      <c r="C1645" s="1" t="n">
        <v>45349</v>
      </c>
      <c r="D1645" t="inlineStr">
        <is>
          <t>STOCKHOLMS LÄN</t>
        </is>
      </c>
      <c r="E1645" t="inlineStr">
        <is>
          <t>NORRTÄLJE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37670-2023</t>
        </is>
      </c>
      <c r="B1646" s="1" t="n">
        <v>45159</v>
      </c>
      <c r="C1646" s="1" t="n">
        <v>45349</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38049-2023</t>
        </is>
      </c>
      <c r="B1647" s="1" t="n">
        <v>45159</v>
      </c>
      <c r="C1647" s="1" t="n">
        <v>45349</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38022-2023</t>
        </is>
      </c>
      <c r="B1648" s="1" t="n">
        <v>45160</v>
      </c>
      <c r="C1648" s="1" t="n">
        <v>45349</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38482-2023</t>
        </is>
      </c>
      <c r="B1649" s="1" t="n">
        <v>45162</v>
      </c>
      <c r="C1649" s="1" t="n">
        <v>45349</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38487-2023</t>
        </is>
      </c>
      <c r="B1650" s="1" t="n">
        <v>45162</v>
      </c>
      <c r="C1650" s="1" t="n">
        <v>45349</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38591-2023</t>
        </is>
      </c>
      <c r="B1651" s="1" t="n">
        <v>45162</v>
      </c>
      <c r="C1651" s="1" t="n">
        <v>45349</v>
      </c>
      <c r="D1651" t="inlineStr">
        <is>
          <t>STOCKHOLMS LÄN</t>
        </is>
      </c>
      <c r="E1651" t="inlineStr">
        <is>
          <t>NORRTÄLJE</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39229-2023</t>
        </is>
      </c>
      <c r="B1652" s="1" t="n">
        <v>45166</v>
      </c>
      <c r="C1652" s="1" t="n">
        <v>45349</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39879-2023</t>
        </is>
      </c>
      <c r="B1653" s="1" t="n">
        <v>45168</v>
      </c>
      <c r="C1653" s="1" t="n">
        <v>45349</v>
      </c>
      <c r="D1653" t="inlineStr">
        <is>
          <t>STOCKHOLMS LÄN</t>
        </is>
      </c>
      <c r="E1653" t="inlineStr">
        <is>
          <t>NORRTÄLJE</t>
        </is>
      </c>
      <c r="F1653" t="inlineStr">
        <is>
          <t>Holmen skog AB</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39905-2023</t>
        </is>
      </c>
      <c r="B1654" s="1" t="n">
        <v>45168</v>
      </c>
      <c r="C1654" s="1" t="n">
        <v>45349</v>
      </c>
      <c r="D1654" t="inlineStr">
        <is>
          <t>STOCKHOLMS LÄN</t>
        </is>
      </c>
      <c r="E1654" t="inlineStr">
        <is>
          <t>NORRTÄLJE</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40139-2023</t>
        </is>
      </c>
      <c r="B1655" s="1" t="n">
        <v>45169</v>
      </c>
      <c r="C1655" s="1" t="n">
        <v>45349</v>
      </c>
      <c r="D1655" t="inlineStr">
        <is>
          <t>STOCKHOLMS LÄN</t>
        </is>
      </c>
      <c r="E1655" t="inlineStr">
        <is>
          <t>NORRTÄLJE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45349</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40161-2023</t>
        </is>
      </c>
      <c r="B1657" s="1" t="n">
        <v>45169</v>
      </c>
      <c r="C1657" s="1" t="n">
        <v>45349</v>
      </c>
      <c r="D1657" t="inlineStr">
        <is>
          <t>STOCKHOLMS LÄN</t>
        </is>
      </c>
      <c r="E1657" t="inlineStr">
        <is>
          <t>NORRTÄLJE</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40190-2023</t>
        </is>
      </c>
      <c r="B1658" s="1" t="n">
        <v>45169</v>
      </c>
      <c r="C1658" s="1" t="n">
        <v>45349</v>
      </c>
      <c r="D1658" t="inlineStr">
        <is>
          <t>STOCKHOLMS LÄN</t>
        </is>
      </c>
      <c r="E1658" t="inlineStr">
        <is>
          <t>NORRTÄLJE</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40379-2023</t>
        </is>
      </c>
      <c r="B1659" s="1" t="n">
        <v>45169</v>
      </c>
      <c r="C1659" s="1" t="n">
        <v>45349</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41172-2023</t>
        </is>
      </c>
      <c r="B1660" s="1" t="n">
        <v>45170</v>
      </c>
      <c r="C1660" s="1" t="n">
        <v>45349</v>
      </c>
      <c r="D1660" t="inlineStr">
        <is>
          <t>STOCKHOLMS LÄN</t>
        </is>
      </c>
      <c r="E1660" t="inlineStr">
        <is>
          <t>NORRTÄLJE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40995-2023</t>
        </is>
      </c>
      <c r="B1661" s="1" t="n">
        <v>45173</v>
      </c>
      <c r="C1661" s="1" t="n">
        <v>45349</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41335-2023</t>
        </is>
      </c>
      <c r="B1662" s="1" t="n">
        <v>45174</v>
      </c>
      <c r="C1662" s="1" t="n">
        <v>45349</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41587-2023</t>
        </is>
      </c>
      <c r="B1663" s="1" t="n">
        <v>45175</v>
      </c>
      <c r="C1663" s="1" t="n">
        <v>45349</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41716-2023</t>
        </is>
      </c>
      <c r="B1664" s="1" t="n">
        <v>45176</v>
      </c>
      <c r="C1664" s="1" t="n">
        <v>45349</v>
      </c>
      <c r="D1664" t="inlineStr">
        <is>
          <t>STOCKHOLMS LÄN</t>
        </is>
      </c>
      <c r="E1664" t="inlineStr">
        <is>
          <t>NORRTÄLJE</t>
        </is>
      </c>
      <c r="F1664" t="inlineStr">
        <is>
          <t>Kyrkan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41715-2023</t>
        </is>
      </c>
      <c r="B1665" s="1" t="n">
        <v>45176</v>
      </c>
      <c r="C1665" s="1" t="n">
        <v>45349</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41880-2023</t>
        </is>
      </c>
      <c r="B1666" s="1" t="n">
        <v>45176</v>
      </c>
      <c r="C1666" s="1" t="n">
        <v>45349</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42094-2023</t>
        </is>
      </c>
      <c r="B1667" s="1" t="n">
        <v>45177</v>
      </c>
      <c r="C1667" s="1" t="n">
        <v>45349</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42075-2023</t>
        </is>
      </c>
      <c r="B1668" s="1" t="n">
        <v>45177</v>
      </c>
      <c r="C1668" s="1" t="n">
        <v>45349</v>
      </c>
      <c r="D1668" t="inlineStr">
        <is>
          <t>STOCKHOLMS LÄN</t>
        </is>
      </c>
      <c r="E1668" t="inlineStr">
        <is>
          <t>NORRTÄLJE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42199-2023</t>
        </is>
      </c>
      <c r="B1669" s="1" t="n">
        <v>45179</v>
      </c>
      <c r="C1669" s="1" t="n">
        <v>45349</v>
      </c>
      <c r="D1669" t="inlineStr">
        <is>
          <t>STOCKHOLMS LÄN</t>
        </is>
      </c>
      <c r="E1669" t="inlineStr">
        <is>
          <t>NORRTÄLJE</t>
        </is>
      </c>
      <c r="F1669" t="inlineStr">
        <is>
          <t>Sveaskog</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42200-2023</t>
        </is>
      </c>
      <c r="B1670" s="1" t="n">
        <v>45179</v>
      </c>
      <c r="C1670" s="1" t="n">
        <v>45349</v>
      </c>
      <c r="D1670" t="inlineStr">
        <is>
          <t>STOCKHOLMS LÄN</t>
        </is>
      </c>
      <c r="E1670" t="inlineStr">
        <is>
          <t>NORRTÄLJE</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42765-2023</t>
        </is>
      </c>
      <c r="B1671" s="1" t="n">
        <v>45181</v>
      </c>
      <c r="C1671" s="1" t="n">
        <v>45349</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42775-2023</t>
        </is>
      </c>
      <c r="B1672" s="1" t="n">
        <v>45181</v>
      </c>
      <c r="C1672" s="1" t="n">
        <v>45349</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42948-2023</t>
        </is>
      </c>
      <c r="B1673" s="1" t="n">
        <v>45182</v>
      </c>
      <c r="C1673" s="1" t="n">
        <v>45349</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42977-2023</t>
        </is>
      </c>
      <c r="B1674" s="1" t="n">
        <v>45182</v>
      </c>
      <c r="C1674" s="1" t="n">
        <v>45349</v>
      </c>
      <c r="D1674" t="inlineStr">
        <is>
          <t>STOCKHOLMS LÄN</t>
        </is>
      </c>
      <c r="E1674" t="inlineStr">
        <is>
          <t>NORRTÄLJE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43140-2023</t>
        </is>
      </c>
      <c r="B1675" s="1" t="n">
        <v>45183</v>
      </c>
      <c r="C1675" s="1" t="n">
        <v>45349</v>
      </c>
      <c r="D1675" t="inlineStr">
        <is>
          <t>STOCKHOLMS LÄN</t>
        </is>
      </c>
      <c r="E1675" t="inlineStr">
        <is>
          <t>NORRTÄLJE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43207-2023</t>
        </is>
      </c>
      <c r="B1676" s="1" t="n">
        <v>45183</v>
      </c>
      <c r="C1676" s="1" t="n">
        <v>45349</v>
      </c>
      <c r="D1676" t="inlineStr">
        <is>
          <t>STOCKHOLMS LÄN</t>
        </is>
      </c>
      <c r="E1676" t="inlineStr">
        <is>
          <t>NORRTÄLJE</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43150-2023</t>
        </is>
      </c>
      <c r="B1677" s="1" t="n">
        <v>45183</v>
      </c>
      <c r="C1677" s="1" t="n">
        <v>45349</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43170-2023</t>
        </is>
      </c>
      <c r="B1678" s="1" t="n">
        <v>45183</v>
      </c>
      <c r="C1678" s="1" t="n">
        <v>45349</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43289-2023</t>
        </is>
      </c>
      <c r="B1679" s="1" t="n">
        <v>45183</v>
      </c>
      <c r="C1679" s="1" t="n">
        <v>45349</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43300-2023</t>
        </is>
      </c>
      <c r="B1680" s="1" t="n">
        <v>45183</v>
      </c>
      <c r="C1680" s="1" t="n">
        <v>45349</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43638-2023</t>
        </is>
      </c>
      <c r="B1681" s="1" t="n">
        <v>45186</v>
      </c>
      <c r="C1681" s="1" t="n">
        <v>45349</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43684-2023</t>
        </is>
      </c>
      <c r="B1682" s="1" t="n">
        <v>45187</v>
      </c>
      <c r="C1682" s="1" t="n">
        <v>45349</v>
      </c>
      <c r="D1682" t="inlineStr">
        <is>
          <t>STOCKHOLMS LÄN</t>
        </is>
      </c>
      <c r="E1682" t="inlineStr">
        <is>
          <t>NORRTÄLJE</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43836-2023</t>
        </is>
      </c>
      <c r="B1683" s="1" t="n">
        <v>45187</v>
      </c>
      <c r="C1683" s="1" t="n">
        <v>45349</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43710-2023</t>
        </is>
      </c>
      <c r="B1684" s="1" t="n">
        <v>45187</v>
      </c>
      <c r="C1684" s="1" t="n">
        <v>45349</v>
      </c>
      <c r="D1684" t="inlineStr">
        <is>
          <t>STOCKHOLMS LÄN</t>
        </is>
      </c>
      <c r="E1684" t="inlineStr">
        <is>
          <t>NORRTÄLJE</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44891-2023</t>
        </is>
      </c>
      <c r="B1685" s="1" t="n">
        <v>45187</v>
      </c>
      <c r="C1685" s="1" t="n">
        <v>45349</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44885-2023</t>
        </is>
      </c>
      <c r="B1686" s="1" t="n">
        <v>45187</v>
      </c>
      <c r="C1686" s="1" t="n">
        <v>45349</v>
      </c>
      <c r="D1686" t="inlineStr">
        <is>
          <t>STOCKHOLMS LÄN</t>
        </is>
      </c>
      <c r="E1686" t="inlineStr">
        <is>
          <t>NORRTÄLJE</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44075-2023</t>
        </is>
      </c>
      <c r="B1687" s="1" t="n">
        <v>45188</v>
      </c>
      <c r="C1687" s="1" t="n">
        <v>45349</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44154-2023</t>
        </is>
      </c>
      <c r="B1688" s="1" t="n">
        <v>45188</v>
      </c>
      <c r="C1688" s="1" t="n">
        <v>45349</v>
      </c>
      <c r="D1688" t="inlineStr">
        <is>
          <t>STOCKHOLMS LÄN</t>
        </is>
      </c>
      <c r="E1688" t="inlineStr">
        <is>
          <t>NORRTÄLJE</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44571-2023</t>
        </is>
      </c>
      <c r="B1689" s="1" t="n">
        <v>45189</v>
      </c>
      <c r="C1689" s="1" t="n">
        <v>45349</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44836-2023</t>
        </is>
      </c>
      <c r="B1690" s="1" t="n">
        <v>45190</v>
      </c>
      <c r="C1690" s="1" t="n">
        <v>45349</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45349</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45174-2023</t>
        </is>
      </c>
      <c r="B1692" s="1" t="n">
        <v>45191</v>
      </c>
      <c r="C1692" s="1" t="n">
        <v>45349</v>
      </c>
      <c r="D1692" t="inlineStr">
        <is>
          <t>STOCKHOLMS LÄN</t>
        </is>
      </c>
      <c r="E1692" t="inlineStr">
        <is>
          <t>NORRTÄLJE</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46161-2023</t>
        </is>
      </c>
      <c r="B1693" s="1" t="n">
        <v>45196</v>
      </c>
      <c r="C1693" s="1" t="n">
        <v>45349</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46155-2023</t>
        </is>
      </c>
      <c r="B1694" s="1" t="n">
        <v>45196</v>
      </c>
      <c r="C1694" s="1" t="n">
        <v>45349</v>
      </c>
      <c r="D1694" t="inlineStr">
        <is>
          <t>STOCKHOLMS LÄN</t>
        </is>
      </c>
      <c r="E1694" t="inlineStr">
        <is>
          <t>NORRTÄLJE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46621-2023</t>
        </is>
      </c>
      <c r="B1695" s="1" t="n">
        <v>45198</v>
      </c>
      <c r="C1695" s="1" t="n">
        <v>45349</v>
      </c>
      <c r="D1695" t="inlineStr">
        <is>
          <t>STOCKHOLMS LÄN</t>
        </is>
      </c>
      <c r="E1695" t="inlineStr">
        <is>
          <t>NORRTÄLJE</t>
        </is>
      </c>
      <c r="F1695" t="inlineStr">
        <is>
          <t>Holmen skog AB</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47419-2023</t>
        </is>
      </c>
      <c r="B1696" s="1" t="n">
        <v>45202</v>
      </c>
      <c r="C1696" s="1" t="n">
        <v>45349</v>
      </c>
      <c r="D1696" t="inlineStr">
        <is>
          <t>STOCKHOLMS LÄN</t>
        </is>
      </c>
      <c r="E1696" t="inlineStr">
        <is>
          <t>NORRTÄLJE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45349</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47325-2023</t>
        </is>
      </c>
      <c r="B1698" s="1" t="n">
        <v>45202</v>
      </c>
      <c r="C1698" s="1" t="n">
        <v>45349</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47433-2023</t>
        </is>
      </c>
      <c r="B1699" s="1" t="n">
        <v>45202</v>
      </c>
      <c r="C1699" s="1" t="n">
        <v>45349</v>
      </c>
      <c r="D1699" t="inlineStr">
        <is>
          <t>STOCKHOLMS LÄN</t>
        </is>
      </c>
      <c r="E1699" t="inlineStr">
        <is>
          <t>NORRTÄLJE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47388-2023</t>
        </is>
      </c>
      <c r="B1700" s="1" t="n">
        <v>45202</v>
      </c>
      <c r="C1700" s="1" t="n">
        <v>45349</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47430-2023</t>
        </is>
      </c>
      <c r="B1701" s="1" t="n">
        <v>45202</v>
      </c>
      <c r="C1701" s="1" t="n">
        <v>45349</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49775-2023</t>
        </is>
      </c>
      <c r="B1702" s="1" t="n">
        <v>45202</v>
      </c>
      <c r="C1702" s="1" t="n">
        <v>45349</v>
      </c>
      <c r="D1702" t="inlineStr">
        <is>
          <t>STOCKHOLMS LÄN</t>
        </is>
      </c>
      <c r="E1702" t="inlineStr">
        <is>
          <t>NORRTÄLJE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48578-2023</t>
        </is>
      </c>
      <c r="B1703" s="1" t="n">
        <v>45202</v>
      </c>
      <c r="C1703" s="1" t="n">
        <v>45349</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49774-2023</t>
        </is>
      </c>
      <c r="B1704" s="1" t="n">
        <v>45202</v>
      </c>
      <c r="C1704" s="1" t="n">
        <v>45349</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47672-2023</t>
        </is>
      </c>
      <c r="B1705" s="1" t="n">
        <v>45203</v>
      </c>
      <c r="C1705" s="1" t="n">
        <v>45349</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47694-2023</t>
        </is>
      </c>
      <c r="B1706" s="1" t="n">
        <v>45203</v>
      </c>
      <c r="C1706" s="1" t="n">
        <v>45349</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47708-2023</t>
        </is>
      </c>
      <c r="B1707" s="1" t="n">
        <v>45203</v>
      </c>
      <c r="C1707" s="1" t="n">
        <v>45349</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47758-2023</t>
        </is>
      </c>
      <c r="B1708" s="1" t="n">
        <v>45203</v>
      </c>
      <c r="C1708" s="1" t="n">
        <v>45349</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47699-2023</t>
        </is>
      </c>
      <c r="B1709" s="1" t="n">
        <v>45203</v>
      </c>
      <c r="C1709" s="1" t="n">
        <v>45349</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47735-2023</t>
        </is>
      </c>
      <c r="B1710" s="1" t="n">
        <v>45203</v>
      </c>
      <c r="C1710" s="1" t="n">
        <v>45349</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48167-2023</t>
        </is>
      </c>
      <c r="B1711" s="1" t="n">
        <v>45205</v>
      </c>
      <c r="C1711" s="1" t="n">
        <v>45349</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48180-2023</t>
        </is>
      </c>
      <c r="B1712" s="1" t="n">
        <v>45205</v>
      </c>
      <c r="C1712" s="1" t="n">
        <v>45349</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48185-2023</t>
        </is>
      </c>
      <c r="B1713" s="1" t="n">
        <v>45205</v>
      </c>
      <c r="C1713" s="1" t="n">
        <v>45349</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48302-2023</t>
        </is>
      </c>
      <c r="B1714" s="1" t="n">
        <v>45205</v>
      </c>
      <c r="C1714" s="1" t="n">
        <v>45349</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48333-2023</t>
        </is>
      </c>
      <c r="B1715" s="1" t="n">
        <v>45205</v>
      </c>
      <c r="C1715" s="1" t="n">
        <v>45349</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48541-2023</t>
        </is>
      </c>
      <c r="B1716" s="1" t="n">
        <v>45208</v>
      </c>
      <c r="C1716" s="1" t="n">
        <v>45349</v>
      </c>
      <c r="D1716" t="inlineStr">
        <is>
          <t>STOCKHOLMS LÄN</t>
        </is>
      </c>
      <c r="E1716" t="inlineStr">
        <is>
          <t>NORRTÄLJE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48552-2023</t>
        </is>
      </c>
      <c r="B1717" s="1" t="n">
        <v>45208</v>
      </c>
      <c r="C1717" s="1" t="n">
        <v>45349</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48587-2023</t>
        </is>
      </c>
      <c r="B1718" s="1" t="n">
        <v>45208</v>
      </c>
      <c r="C1718" s="1" t="n">
        <v>45349</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48633-2023</t>
        </is>
      </c>
      <c r="B1719" s="1" t="n">
        <v>45208</v>
      </c>
      <c r="C1719" s="1" t="n">
        <v>45349</v>
      </c>
      <c r="D1719" t="inlineStr">
        <is>
          <t>STOCKHOLMS LÄN</t>
        </is>
      </c>
      <c r="E1719" t="inlineStr">
        <is>
          <t>NORRTÄLJE</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48641-2023</t>
        </is>
      </c>
      <c r="B1720" s="1" t="n">
        <v>45208</v>
      </c>
      <c r="C1720" s="1" t="n">
        <v>45349</v>
      </c>
      <c r="D1720" t="inlineStr">
        <is>
          <t>STOCKHOLMS LÄN</t>
        </is>
      </c>
      <c r="E1720" t="inlineStr">
        <is>
          <t>NORRTÄLJE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48686-2023</t>
        </is>
      </c>
      <c r="B1721" s="1" t="n">
        <v>45208</v>
      </c>
      <c r="C1721" s="1" t="n">
        <v>45349</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48629-2023</t>
        </is>
      </c>
      <c r="B1722" s="1" t="n">
        <v>45208</v>
      </c>
      <c r="C1722" s="1" t="n">
        <v>45349</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48668-2023</t>
        </is>
      </c>
      <c r="B1723" s="1" t="n">
        <v>45208</v>
      </c>
      <c r="C1723" s="1" t="n">
        <v>45349</v>
      </c>
      <c r="D1723" t="inlineStr">
        <is>
          <t>STOCKHOLMS LÄN</t>
        </is>
      </c>
      <c r="E1723" t="inlineStr">
        <is>
          <t>NORRTÄLJE</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48685-2023</t>
        </is>
      </c>
      <c r="B1724" s="1" t="n">
        <v>45208</v>
      </c>
      <c r="C1724" s="1" t="n">
        <v>45349</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48691-2023</t>
        </is>
      </c>
      <c r="B1725" s="1" t="n">
        <v>45208</v>
      </c>
      <c r="C1725" s="1" t="n">
        <v>45349</v>
      </c>
      <c r="D1725" t="inlineStr">
        <is>
          <t>STOCKHOLMS LÄN</t>
        </is>
      </c>
      <c r="E1725" t="inlineStr">
        <is>
          <t>NORRTÄLJE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48701-2023</t>
        </is>
      </c>
      <c r="B1726" s="1" t="n">
        <v>45208</v>
      </c>
      <c r="C1726" s="1" t="n">
        <v>45349</v>
      </c>
      <c r="D1726" t="inlineStr">
        <is>
          <t>STOCKHOLMS LÄN</t>
        </is>
      </c>
      <c r="E1726" t="inlineStr">
        <is>
          <t>NORRTÄLJE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48716-2023</t>
        </is>
      </c>
      <c r="B1727" s="1" t="n">
        <v>45208</v>
      </c>
      <c r="C1727" s="1" t="n">
        <v>45349</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48709-2023</t>
        </is>
      </c>
      <c r="B1728" s="1" t="n">
        <v>45208</v>
      </c>
      <c r="C1728" s="1" t="n">
        <v>45349</v>
      </c>
      <c r="D1728" t="inlineStr">
        <is>
          <t>STOCKHOLMS LÄN</t>
        </is>
      </c>
      <c r="E1728" t="inlineStr">
        <is>
          <t>NORRTÄLJE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48722-2023</t>
        </is>
      </c>
      <c r="B1729" s="1" t="n">
        <v>45208</v>
      </c>
      <c r="C1729" s="1" t="n">
        <v>45349</v>
      </c>
      <c r="D1729" t="inlineStr">
        <is>
          <t>STOCKHOLMS LÄN</t>
        </is>
      </c>
      <c r="E1729" t="inlineStr">
        <is>
          <t>NORRTÄLJE</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48726-2023</t>
        </is>
      </c>
      <c r="B1730" s="1" t="n">
        <v>45208</v>
      </c>
      <c r="C1730" s="1" t="n">
        <v>45349</v>
      </c>
      <c r="D1730" t="inlineStr">
        <is>
          <t>STOCKHOLMS LÄN</t>
        </is>
      </c>
      <c r="E1730" t="inlineStr">
        <is>
          <t>NORRTÄLJE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49169-2023</t>
        </is>
      </c>
      <c r="B1731" s="1" t="n">
        <v>45210</v>
      </c>
      <c r="C1731" s="1" t="n">
        <v>45349</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49176-2023</t>
        </is>
      </c>
      <c r="B1732" s="1" t="n">
        <v>45210</v>
      </c>
      <c r="C1732" s="1" t="n">
        <v>45349</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49224-2023</t>
        </is>
      </c>
      <c r="B1733" s="1" t="n">
        <v>45210</v>
      </c>
      <c r="C1733" s="1" t="n">
        <v>45349</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49696-2023</t>
        </is>
      </c>
      <c r="B1734" s="1" t="n">
        <v>45212</v>
      </c>
      <c r="C1734" s="1" t="n">
        <v>45349</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49700-2023</t>
        </is>
      </c>
      <c r="B1735" s="1" t="n">
        <v>45212</v>
      </c>
      <c r="C1735" s="1" t="n">
        <v>45349</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49694-2023</t>
        </is>
      </c>
      <c r="B1736" s="1" t="n">
        <v>45212</v>
      </c>
      <c r="C1736" s="1" t="n">
        <v>45349</v>
      </c>
      <c r="D1736" t="inlineStr">
        <is>
          <t>STOCKHOLMS LÄN</t>
        </is>
      </c>
      <c r="E1736" t="inlineStr">
        <is>
          <t>NORRTÄLJE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50143-2023</t>
        </is>
      </c>
      <c r="B1737" s="1" t="n">
        <v>45215</v>
      </c>
      <c r="C1737" s="1" t="n">
        <v>45349</v>
      </c>
      <c r="D1737" t="inlineStr">
        <is>
          <t>STOCKHOLMS LÄN</t>
        </is>
      </c>
      <c r="E1737" t="inlineStr">
        <is>
          <t>NORRTÄLJE</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50107-2023</t>
        </is>
      </c>
      <c r="B1738" s="1" t="n">
        <v>45215</v>
      </c>
      <c r="C1738" s="1" t="n">
        <v>45349</v>
      </c>
      <c r="D1738" t="inlineStr">
        <is>
          <t>STOCKHOLMS LÄN</t>
        </is>
      </c>
      <c r="E1738" t="inlineStr">
        <is>
          <t>NORRTÄLJE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50033-2023</t>
        </is>
      </c>
      <c r="B1739" s="1" t="n">
        <v>45215</v>
      </c>
      <c r="C1739" s="1" t="n">
        <v>45349</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50136-2023</t>
        </is>
      </c>
      <c r="B1740" s="1" t="n">
        <v>45215</v>
      </c>
      <c r="C1740" s="1" t="n">
        <v>45349</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50150-2023</t>
        </is>
      </c>
      <c r="B1741" s="1" t="n">
        <v>45215</v>
      </c>
      <c r="C1741" s="1" t="n">
        <v>45349</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50289-2023</t>
        </is>
      </c>
      <c r="B1742" s="1" t="n">
        <v>45216</v>
      </c>
      <c r="C1742" s="1" t="n">
        <v>45349</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50436-2023</t>
        </is>
      </c>
      <c r="B1743" s="1" t="n">
        <v>45216</v>
      </c>
      <c r="C1743" s="1" t="n">
        <v>45349</v>
      </c>
      <c r="D1743" t="inlineStr">
        <is>
          <t>STOCKHOLMS LÄN</t>
        </is>
      </c>
      <c r="E1743" t="inlineStr">
        <is>
          <t>NORRTÄLJE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50690-2023</t>
        </is>
      </c>
      <c r="B1744" s="1" t="n">
        <v>45217</v>
      </c>
      <c r="C1744" s="1" t="n">
        <v>45349</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51049-2023</t>
        </is>
      </c>
      <c r="B1745" s="1" t="n">
        <v>45218</v>
      </c>
      <c r="C1745" s="1" t="n">
        <v>45349</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51063-2023</t>
        </is>
      </c>
      <c r="B1746" s="1" t="n">
        <v>45218</v>
      </c>
      <c r="C1746" s="1" t="n">
        <v>45349</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50880-2023</t>
        </is>
      </c>
      <c r="B1747" s="1" t="n">
        <v>45218</v>
      </c>
      <c r="C1747" s="1" t="n">
        <v>45349</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51046-2023</t>
        </is>
      </c>
      <c r="B1748" s="1" t="n">
        <v>45218</v>
      </c>
      <c r="C1748" s="1" t="n">
        <v>45349</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51043-2023</t>
        </is>
      </c>
      <c r="B1749" s="1" t="n">
        <v>45218</v>
      </c>
      <c r="C1749" s="1" t="n">
        <v>45349</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51061-2023</t>
        </is>
      </c>
      <c r="B1750" s="1" t="n">
        <v>45218</v>
      </c>
      <c r="C1750" s="1" t="n">
        <v>45349</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51325-2023</t>
        </is>
      </c>
      <c r="B1751" s="1" t="n">
        <v>45219</v>
      </c>
      <c r="C1751" s="1" t="n">
        <v>45349</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51312-2023</t>
        </is>
      </c>
      <c r="B1752" s="1" t="n">
        <v>45219</v>
      </c>
      <c r="C1752" s="1" t="n">
        <v>45349</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51597-2023</t>
        </is>
      </c>
      <c r="B1753" s="1" t="n">
        <v>45222</v>
      </c>
      <c r="C1753" s="1" t="n">
        <v>45349</v>
      </c>
      <c r="D1753" t="inlineStr">
        <is>
          <t>STOCKHOLMS LÄN</t>
        </is>
      </c>
      <c r="E1753" t="inlineStr">
        <is>
          <t>NORRTÄLJE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51657-2023</t>
        </is>
      </c>
      <c r="B1754" s="1" t="n">
        <v>45222</v>
      </c>
      <c r="C1754" s="1" t="n">
        <v>45349</v>
      </c>
      <c r="D1754" t="inlineStr">
        <is>
          <t>STOCKHOLMS LÄN</t>
        </is>
      </c>
      <c r="E1754" t="inlineStr">
        <is>
          <t>NORRTÄLJE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51903-2023</t>
        </is>
      </c>
      <c r="B1755" s="1" t="n">
        <v>45223</v>
      </c>
      <c r="C1755" s="1" t="n">
        <v>45349</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52095-2023</t>
        </is>
      </c>
      <c r="B1756" s="1" t="n">
        <v>45223</v>
      </c>
      <c r="C1756" s="1" t="n">
        <v>45349</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51978-2023</t>
        </is>
      </c>
      <c r="B1757" s="1" t="n">
        <v>45223</v>
      </c>
      <c r="C1757" s="1" t="n">
        <v>45349</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45349</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45349</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45349</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45349</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45349</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45349</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45349</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45349</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45349</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45349</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45349</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45349</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45349</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45349</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45349</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45349</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45349</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45349</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45349</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45349</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45349</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45349</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45349</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45349</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45349</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45349</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45349</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45349</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45349</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45349</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45349</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45349</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45349</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45349</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45349</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45349</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45349</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45349</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45349</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45349</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45349</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45349</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45349</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45349</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45349</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45349</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45349</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45349</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45349</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45349</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45349</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45349</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45349</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45349</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45349</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45349</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45349</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45349</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45349</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45349</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45349</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45349</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45349</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45349</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45349</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45349</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45349</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45349</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45349</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45349</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45349</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45349</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45349</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45349</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45349</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45349</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45349</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45349</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45349</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45349</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45349</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45349</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45349</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45349</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45349</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45349</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45349</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45349</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45349</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45349</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45349</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45349</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45349</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45349</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45349</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45349</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45349</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45349</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45349</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45349</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4658-2024</t>
        </is>
      </c>
      <c r="B1858" s="1" t="n">
        <v>45328</v>
      </c>
      <c r="C1858" s="1" t="n">
        <v>45349</v>
      </c>
      <c r="D1858" t="inlineStr">
        <is>
          <t>STOCKHOLMS LÄN</t>
        </is>
      </c>
      <c r="E1858" t="inlineStr">
        <is>
          <t>NORRTÄLJE</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4730-2024</t>
        </is>
      </c>
      <c r="B1859" s="1" t="n">
        <v>45328</v>
      </c>
      <c r="C1859" s="1" t="n">
        <v>45349</v>
      </c>
      <c r="D1859" t="inlineStr">
        <is>
          <t>STOCKHOLMS LÄN</t>
        </is>
      </c>
      <c r="E1859" t="inlineStr">
        <is>
          <t>NORRTÄLJE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45349</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5670-2024</t>
        </is>
      </c>
      <c r="B1861" s="1" t="n">
        <v>45334</v>
      </c>
      <c r="C1861" s="1" t="n">
        <v>45349</v>
      </c>
      <c r="D1861" t="inlineStr">
        <is>
          <t>STOCKHOLMS LÄN</t>
        </is>
      </c>
      <c r="E1861" t="inlineStr">
        <is>
          <t>NORRTÄLJE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5664-2024</t>
        </is>
      </c>
      <c r="B1862" s="1" t="n">
        <v>45334</v>
      </c>
      <c r="C1862" s="1" t="n">
        <v>45349</v>
      </c>
      <c r="D1862" t="inlineStr">
        <is>
          <t>STOCKHOLMS LÄN</t>
        </is>
      </c>
      <c r="E1862" t="inlineStr">
        <is>
          <t>NORRTÄLJE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5625-2024</t>
        </is>
      </c>
      <c r="B1863" s="1" t="n">
        <v>45334</v>
      </c>
      <c r="C1863" s="1" t="n">
        <v>45349</v>
      </c>
      <c r="D1863" t="inlineStr">
        <is>
          <t>STOCKHOLMS LÄN</t>
        </is>
      </c>
      <c r="E1863" t="inlineStr">
        <is>
          <t>NORRTÄLJE</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5683-2024</t>
        </is>
      </c>
      <c r="B1864" s="1" t="n">
        <v>45334</v>
      </c>
      <c r="C1864" s="1" t="n">
        <v>45349</v>
      </c>
      <c r="D1864" t="inlineStr">
        <is>
          <t>STOCKHOLMS LÄN</t>
        </is>
      </c>
      <c r="E1864" t="inlineStr">
        <is>
          <t>NORRTÄLJE</t>
        </is>
      </c>
      <c r="G1864" t="n">
        <v>11.3</v>
      </c>
      <c r="H1864" t="n">
        <v>0</v>
      </c>
      <c r="I1864" t="n">
        <v>0</v>
      </c>
      <c r="J1864" t="n">
        <v>0</v>
      </c>
      <c r="K1864" t="n">
        <v>0</v>
      </c>
      <c r="L1864" t="n">
        <v>0</v>
      </c>
      <c r="M1864" t="n">
        <v>0</v>
      </c>
      <c r="N1864" t="n">
        <v>0</v>
      </c>
      <c r="O1864" t="n">
        <v>0</v>
      </c>
      <c r="P1864" t="n">
        <v>0</v>
      </c>
      <c r="Q1864" t="n">
        <v>0</v>
      </c>
      <c r="R1864" s="2" t="inlineStr"/>
    </row>
    <row r="1865" ht="15" customHeight="1">
      <c r="A1865" t="inlineStr">
        <is>
          <t>A 5831-2024</t>
        </is>
      </c>
      <c r="B1865" s="1" t="n">
        <v>45335</v>
      </c>
      <c r="C1865" s="1" t="n">
        <v>45349</v>
      </c>
      <c r="D1865" t="inlineStr">
        <is>
          <t>STOCKHOLMS LÄN</t>
        </is>
      </c>
      <c r="E1865" t="inlineStr">
        <is>
          <t>NORRTÄLJE</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5862-2024</t>
        </is>
      </c>
      <c r="B1866" s="1" t="n">
        <v>45335</v>
      </c>
      <c r="C1866" s="1" t="n">
        <v>45349</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5894-2024</t>
        </is>
      </c>
      <c r="B1867" s="1" t="n">
        <v>45335</v>
      </c>
      <c r="C1867" s="1" t="n">
        <v>45349</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45349</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45349</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45349</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45349</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7329-2024</t>
        </is>
      </c>
      <c r="B1872" s="1" t="n">
        <v>45345</v>
      </c>
      <c r="C1872" s="1" t="n">
        <v>45349</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7385-2024</t>
        </is>
      </c>
      <c r="B1873" s="1" t="n">
        <v>45345</v>
      </c>
      <c r="C1873" s="1" t="n">
        <v>45349</v>
      </c>
      <c r="D1873" t="inlineStr">
        <is>
          <t>STOCKHOLMS LÄN</t>
        </is>
      </c>
      <c r="E1873" t="inlineStr">
        <is>
          <t>NORRTÄLJE</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7573-2024</t>
        </is>
      </c>
      <c r="B1874" s="1" t="n">
        <v>45345</v>
      </c>
      <c r="C1874" s="1" t="n">
        <v>45349</v>
      </c>
      <c r="D1874" t="inlineStr">
        <is>
          <t>STOCKHOLMS LÄN</t>
        </is>
      </c>
      <c r="E1874" t="inlineStr">
        <is>
          <t>NORRTÄLJE</t>
        </is>
      </c>
      <c r="F1874" t="inlineStr">
        <is>
          <t>Övriga Aktiebolag</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7425-2024</t>
        </is>
      </c>
      <c r="B1875" s="1" t="n">
        <v>45345</v>
      </c>
      <c r="C1875" s="1" t="n">
        <v>45349</v>
      </c>
      <c r="D1875" t="inlineStr">
        <is>
          <t>STOCKHOLMS LÄN</t>
        </is>
      </c>
      <c r="E1875" t="inlineStr">
        <is>
          <t>NORRTÄLJE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7408-2024</t>
        </is>
      </c>
      <c r="B1876" s="1" t="n">
        <v>45345</v>
      </c>
      <c r="C1876" s="1" t="n">
        <v>45349</v>
      </c>
      <c r="D1876" t="inlineStr">
        <is>
          <t>STOCKHOLMS LÄN</t>
        </is>
      </c>
      <c r="E1876" t="inlineStr">
        <is>
          <t>NORRTÄLJE</t>
        </is>
      </c>
      <c r="G1876" t="n">
        <v>10</v>
      </c>
      <c r="H1876" t="n">
        <v>0</v>
      </c>
      <c r="I1876" t="n">
        <v>0</v>
      </c>
      <c r="J1876" t="n">
        <v>0</v>
      </c>
      <c r="K1876" t="n">
        <v>0</v>
      </c>
      <c r="L1876" t="n">
        <v>0</v>
      </c>
      <c r="M1876" t="n">
        <v>0</v>
      </c>
      <c r="N1876" t="n">
        <v>0</v>
      </c>
      <c r="O1876" t="n">
        <v>0</v>
      </c>
      <c r="P1876" t="n">
        <v>0</v>
      </c>
      <c r="Q1876" t="n">
        <v>0</v>
      </c>
      <c r="R1876" s="2" t="inlineStr"/>
    </row>
    <row r="1877" ht="15" customHeight="1">
      <c r="A1877" t="inlineStr">
        <is>
          <t>A 7413-2024</t>
        </is>
      </c>
      <c r="B1877" s="1" t="n">
        <v>45345</v>
      </c>
      <c r="C1877" s="1" t="n">
        <v>45349</v>
      </c>
      <c r="D1877" t="inlineStr">
        <is>
          <t>STOCKHOLMS LÄN</t>
        </is>
      </c>
      <c r="E1877" t="inlineStr">
        <is>
          <t>NORRTÄLJE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7483-2024</t>
        </is>
      </c>
      <c r="B1878" s="1" t="n">
        <v>45346</v>
      </c>
      <c r="C1878" s="1" t="n">
        <v>45349</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c r="A1879" t="inlineStr">
        <is>
          <t>A 7571-2024</t>
        </is>
      </c>
      <c r="B1879" s="1" t="n">
        <v>45348</v>
      </c>
      <c r="C1879" s="1" t="n">
        <v>45349</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2024-02-27T13:07:32Z</dcterms:created>
  <dcterms:modified xmlns:dcterms="http://purl.org/dc/terms/" xmlns:xsi="http://www.w3.org/2001/XMLSchema-instance" xsi:type="dcterms:W3CDTF">2024-02-27T13:07:33Z</dcterms:modified>
</cp:coreProperties>
</file>