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30799-2025</t>
        </is>
      </c>
      <c r="B5" s="1" t="n">
        <v>45831.65079861111</v>
      </c>
      <c r="C5" s="1" t="n">
        <v>46106</v>
      </c>
      <c r="D5" t="inlineStr">
        <is>
          <t>STOCKHOLMS LÄN</t>
        </is>
      </c>
      <c r="E5" t="inlineStr">
        <is>
          <t>NORRTÄLJE</t>
        </is>
      </c>
      <c r="F5" t="inlineStr">
        <is>
          <t>Holmen skog AB</t>
        </is>
      </c>
      <c r="G5" t="n">
        <v>7.9</v>
      </c>
      <c r="H5" t="n">
        <v>1</v>
      </c>
      <c r="I5" t="n">
        <v>15</v>
      </c>
      <c r="J5" t="n">
        <v>10</v>
      </c>
      <c r="K5" t="n">
        <v>5</v>
      </c>
      <c r="L5" t="n">
        <v>0</v>
      </c>
      <c r="M5" t="n">
        <v>0</v>
      </c>
      <c r="N5" t="n">
        <v>0</v>
      </c>
      <c r="O5" t="n">
        <v>15</v>
      </c>
      <c r="P5" t="n">
        <v>5</v>
      </c>
      <c r="Q5" t="n">
        <v>31</v>
      </c>
      <c r="R5"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5">
        <f>HYPERLINK("https://klasma.github.io/Logging_0188/artfynd/A 30799-2025 artfynd.xlsx", "A 30799-2025")</f>
        <v/>
      </c>
      <c r="T5">
        <f>HYPERLINK("https://klasma.github.io/Logging_0188/kartor/A 30799-2025 karta.png", "A 30799-2025")</f>
        <v/>
      </c>
      <c r="V5">
        <f>HYPERLINK("https://klasma.github.io/Logging_0188/klagomål/A 30799-2025 FSC-klagomål.docx", "A 30799-2025")</f>
        <v/>
      </c>
      <c r="W5">
        <f>HYPERLINK("https://klasma.github.io/Logging_0188/klagomålsmail/A 30799-2025 FSC-klagomål mail.docx", "A 30799-2025")</f>
        <v/>
      </c>
      <c r="X5">
        <f>HYPERLINK("https://klasma.github.io/Logging_0188/tillsyn/A 30799-2025 tillsynsbegäran.docx", "A 30799-2025")</f>
        <v/>
      </c>
      <c r="Y5">
        <f>HYPERLINK("https://klasma.github.io/Logging_0188/tillsynsmail/A 30799-2025 tillsynsbegäran mail.docx", "A 30799-2025")</f>
        <v/>
      </c>
    </row>
    <row r="6" ht="15" customHeight="1">
      <c r="A6" t="inlineStr">
        <is>
          <t>A 24692-2025</t>
        </is>
      </c>
      <c r="B6" s="1" t="n">
        <v>45798</v>
      </c>
      <c r="C6" s="1" t="n">
        <v>46106</v>
      </c>
      <c r="D6" t="inlineStr">
        <is>
          <t>STOCKHOLMS LÄN</t>
        </is>
      </c>
      <c r="E6" t="inlineStr">
        <is>
          <t>NORRTÄLJE</t>
        </is>
      </c>
      <c r="G6" t="n">
        <v>26.3</v>
      </c>
      <c r="H6" t="n">
        <v>5</v>
      </c>
      <c r="I6" t="n">
        <v>16</v>
      </c>
      <c r="J6" t="n">
        <v>8</v>
      </c>
      <c r="K6" t="n">
        <v>3</v>
      </c>
      <c r="L6" t="n">
        <v>2</v>
      </c>
      <c r="M6" t="n">
        <v>0</v>
      </c>
      <c r="N6" t="n">
        <v>0</v>
      </c>
      <c r="O6" t="n">
        <v>13</v>
      </c>
      <c r="P6" t="n">
        <v>5</v>
      </c>
      <c r="Q6" t="n">
        <v>31</v>
      </c>
      <c r="R6"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6">
        <f>HYPERLINK("https://klasma.github.io/Logging_0188/artfynd/A 24692-2025 artfynd.xlsx", "A 24692-2025")</f>
        <v/>
      </c>
      <c r="T6">
        <f>HYPERLINK("https://klasma.github.io/Logging_0188/kartor/A 24692-2025 karta.png", "A 24692-2025")</f>
        <v/>
      </c>
      <c r="U6">
        <f>HYPERLINK("https://klasma.github.io/Logging_0188/knärot/A 24692-2025 karta knärot.png", "A 24692-2025")</f>
        <v/>
      </c>
      <c r="V6">
        <f>HYPERLINK("https://klasma.github.io/Logging_0188/klagomål/A 24692-2025 FSC-klagomål.docx", "A 24692-2025")</f>
        <v/>
      </c>
      <c r="W6">
        <f>HYPERLINK("https://klasma.github.io/Logging_0188/klagomålsmail/A 24692-2025 FSC-klagomål mail.docx", "A 24692-2025")</f>
        <v/>
      </c>
      <c r="X6">
        <f>HYPERLINK("https://klasma.github.io/Logging_0188/tillsyn/A 24692-2025 tillsynsbegäran.docx", "A 24692-2025")</f>
        <v/>
      </c>
      <c r="Y6">
        <f>HYPERLINK("https://klasma.github.io/Logging_0188/tillsynsmail/A 24692-2025 tillsynsbegäran mail.docx", "A 24692-2025")</f>
        <v/>
      </c>
      <c r="Z6">
        <f>HYPERLINK("https://klasma.github.io/Logging_0188/fåglar/A 24692-2025 prioriterade fågelarter.docx", "A 24692-2025")</f>
        <v/>
      </c>
    </row>
    <row r="7" ht="15" customHeight="1">
      <c r="A7" t="inlineStr">
        <is>
          <t>A 30156-2022</t>
        </is>
      </c>
      <c r="B7" s="1" t="n">
        <v>44757</v>
      </c>
      <c r="C7" s="1" t="n">
        <v>46106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46106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46106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46106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46106</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46106</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46106</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46106</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46106</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46106</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46106</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46106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46106</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46106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46106</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46106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46106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46106</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46106</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46106</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46106</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46106</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46106</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46106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46106</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46106</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46106</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46106</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46106</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46106</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46106</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46106</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46106</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41276-2025</t>
        </is>
      </c>
      <c r="B47" s="1" t="n">
        <v>45898.62723379629</v>
      </c>
      <c r="C47" s="1" t="n">
        <v>46106</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46106</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46106</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46106</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46106</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46106</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46106</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46106</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46106</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46106</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46106</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46106</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29185-2025</t>
        </is>
      </c>
      <c r="B59" s="1" t="n">
        <v>45821</v>
      </c>
      <c r="C59" s="1" t="n">
        <v>46106</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2851-2023</t>
        </is>
      </c>
      <c r="B60" s="1" t="n">
        <v>44945</v>
      </c>
      <c r="C60" s="1" t="n">
        <v>46106</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34524-2025</t>
        </is>
      </c>
      <c r="B61" s="1" t="n">
        <v>45847.47685185185</v>
      </c>
      <c r="C61" s="1" t="n">
        <v>46106</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27870-2022</t>
        </is>
      </c>
      <c r="B62" s="1" t="n">
        <v>44743.64592592593</v>
      </c>
      <c r="C62" s="1" t="n">
        <v>46106</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52726-2025</t>
        </is>
      </c>
      <c r="B63" s="1" t="n">
        <v>45957.34722222222</v>
      </c>
      <c r="C63" s="1" t="n">
        <v>46106</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50618-2022</t>
        </is>
      </c>
      <c r="B64" s="1" t="n">
        <v>44866</v>
      </c>
      <c r="C64" s="1" t="n">
        <v>46106</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20185-2022</t>
        </is>
      </c>
      <c r="B65" s="1" t="n">
        <v>44698</v>
      </c>
      <c r="C65" s="1" t="n">
        <v>46106</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54110-2024</t>
        </is>
      </c>
      <c r="B66" s="1" t="n">
        <v>45616.54866898148</v>
      </c>
      <c r="C66" s="1" t="n">
        <v>46106</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46106</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52133-2022</t>
        </is>
      </c>
      <c r="B68" s="1" t="n">
        <v>44868</v>
      </c>
      <c r="C68" s="1" t="n">
        <v>46106</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46106</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58676-2021</t>
        </is>
      </c>
      <c r="B70" s="1" t="n">
        <v>44489</v>
      </c>
      <c r="C70" s="1" t="n">
        <v>46106</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38991-2022</t>
        </is>
      </c>
      <c r="B71" s="1" t="n">
        <v>44816.89569444444</v>
      </c>
      <c r="C71" s="1" t="n">
        <v>46106</v>
      </c>
      <c r="D71" t="inlineStr">
        <is>
          <t>STOCKHOLMS LÄN</t>
        </is>
      </c>
      <c r="E71" t="inlineStr">
        <is>
          <t>NORRTÄLJE</t>
        </is>
      </c>
      <c r="G71" t="n">
        <v>1.9</v>
      </c>
      <c r="H71" t="n">
        <v>0</v>
      </c>
      <c r="I71" t="n">
        <v>2</v>
      </c>
      <c r="J71" t="n">
        <v>0</v>
      </c>
      <c r="K71" t="n">
        <v>0</v>
      </c>
      <c r="L71" t="n">
        <v>0</v>
      </c>
      <c r="M71" t="n">
        <v>0</v>
      </c>
      <c r="N71" t="n">
        <v>0</v>
      </c>
      <c r="O71" t="n">
        <v>0</v>
      </c>
      <c r="P71" t="n">
        <v>0</v>
      </c>
      <c r="Q71" t="n">
        <v>2</v>
      </c>
      <c r="R71" s="2" t="inlineStr">
        <is>
          <t>Bronshjon
Grovticka</t>
        </is>
      </c>
      <c r="S71">
        <f>HYPERLINK("https://klasma.github.io/Logging_0188/artfynd/A 38991-2022 artfynd.xlsx", "A 38991-2022")</f>
        <v/>
      </c>
      <c r="T71">
        <f>HYPERLINK("https://klasma.github.io/Logging_0188/kartor/A 38991-2022 karta.png", "A 38991-2022")</f>
        <v/>
      </c>
      <c r="V71">
        <f>HYPERLINK("https://klasma.github.io/Logging_0188/klagomål/A 38991-2022 FSC-klagomål.docx", "A 38991-2022")</f>
        <v/>
      </c>
      <c r="W71">
        <f>HYPERLINK("https://klasma.github.io/Logging_0188/klagomålsmail/A 38991-2022 FSC-klagomål mail.docx", "A 38991-2022")</f>
        <v/>
      </c>
      <c r="X71">
        <f>HYPERLINK("https://klasma.github.io/Logging_0188/tillsyn/A 38991-2022 tillsynsbegäran.docx", "A 38991-2022")</f>
        <v/>
      </c>
      <c r="Y71">
        <f>HYPERLINK("https://klasma.github.io/Logging_0188/tillsynsmail/A 38991-2022 tillsynsbegäran mail.docx", "A 38991-2022")</f>
        <v/>
      </c>
    </row>
    <row r="72" ht="15" customHeight="1">
      <c r="A72" t="inlineStr">
        <is>
          <t>A 30693-2022</t>
        </is>
      </c>
      <c r="B72" s="1" t="n">
        <v>44763</v>
      </c>
      <c r="C72" s="1" t="n">
        <v>46106</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11031-2025</t>
        </is>
      </c>
      <c r="B73" s="1" t="n">
        <v>45723</v>
      </c>
      <c r="C73" s="1" t="n">
        <v>46106</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33548-2025</t>
        </is>
      </c>
      <c r="B74" s="1" t="n">
        <v>45841.5721875</v>
      </c>
      <c r="C74" s="1" t="n">
        <v>46106</v>
      </c>
      <c r="D74" t="inlineStr">
        <is>
          <t>STOCKHOLMS LÄN</t>
        </is>
      </c>
      <c r="E74" t="inlineStr">
        <is>
          <t>NORRTÄLJE</t>
        </is>
      </c>
      <c r="G74" t="n">
        <v>12.2</v>
      </c>
      <c r="H74" t="n">
        <v>1</v>
      </c>
      <c r="I74" t="n">
        <v>0</v>
      </c>
      <c r="J74" t="n">
        <v>1</v>
      </c>
      <c r="K74" t="n">
        <v>0</v>
      </c>
      <c r="L74" t="n">
        <v>0</v>
      </c>
      <c r="M74" t="n">
        <v>0</v>
      </c>
      <c r="N74" t="n">
        <v>0</v>
      </c>
      <c r="O74" t="n">
        <v>1</v>
      </c>
      <c r="P74" t="n">
        <v>0</v>
      </c>
      <c r="Q74" t="n">
        <v>2</v>
      </c>
      <c r="R74" s="2" t="inlineStr">
        <is>
          <t>Dofttaggsvamp
Sparvuggla</t>
        </is>
      </c>
      <c r="S74">
        <f>HYPERLINK("https://klasma.github.io/Logging_0188/artfynd/A 33548-2025 artfynd.xlsx", "A 33548-2025")</f>
        <v/>
      </c>
      <c r="T74">
        <f>HYPERLINK("https://klasma.github.io/Logging_0188/kartor/A 33548-2025 karta.png", "A 33548-2025")</f>
        <v/>
      </c>
      <c r="V74">
        <f>HYPERLINK("https://klasma.github.io/Logging_0188/klagomål/A 33548-2025 FSC-klagomål.docx", "A 33548-2025")</f>
        <v/>
      </c>
      <c r="W74">
        <f>HYPERLINK("https://klasma.github.io/Logging_0188/klagomålsmail/A 33548-2025 FSC-klagomål mail.docx", "A 33548-2025")</f>
        <v/>
      </c>
      <c r="X74">
        <f>HYPERLINK("https://klasma.github.io/Logging_0188/tillsyn/A 33548-2025 tillsynsbegäran.docx", "A 33548-2025")</f>
        <v/>
      </c>
      <c r="Y74">
        <f>HYPERLINK("https://klasma.github.io/Logging_0188/tillsynsmail/A 33548-2025 tillsynsbegäran mail.docx", "A 33548-2025")</f>
        <v/>
      </c>
      <c r="Z74">
        <f>HYPERLINK("https://klasma.github.io/Logging_0188/fåglar/A 33548-2025 prioriterade fågelarter.docx", "A 33548-2025")</f>
        <v/>
      </c>
    </row>
    <row r="75" ht="15" customHeight="1">
      <c r="A75" t="inlineStr">
        <is>
          <t>A 22190-2024</t>
        </is>
      </c>
      <c r="B75" s="1" t="n">
        <v>45446.35888888889</v>
      </c>
      <c r="C75" s="1" t="n">
        <v>46106</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46106</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50697-2025</t>
        </is>
      </c>
      <c r="B77" s="1" t="n">
        <v>45945.90854166666</v>
      </c>
      <c r="C77" s="1" t="n">
        <v>46106</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51980-2022</t>
        </is>
      </c>
      <c r="B78" s="1" t="n">
        <v>44872</v>
      </c>
      <c r="C78" s="1" t="n">
        <v>46106</v>
      </c>
      <c r="D78" t="inlineStr">
        <is>
          <t>STOCKHOLMS LÄN</t>
        </is>
      </c>
      <c r="E78" t="inlineStr">
        <is>
          <t>NORRTÄLJE</t>
        </is>
      </c>
      <c r="G78" t="n">
        <v>7.9</v>
      </c>
      <c r="H78" t="n">
        <v>1</v>
      </c>
      <c r="I78" t="n">
        <v>2</v>
      </c>
      <c r="J78" t="n">
        <v>0</v>
      </c>
      <c r="K78" t="n">
        <v>0</v>
      </c>
      <c r="L78" t="n">
        <v>0</v>
      </c>
      <c r="M78" t="n">
        <v>0</v>
      </c>
      <c r="N78" t="n">
        <v>0</v>
      </c>
      <c r="O78" t="n">
        <v>0</v>
      </c>
      <c r="P78" t="n">
        <v>0</v>
      </c>
      <c r="Q78" t="n">
        <v>2</v>
      </c>
      <c r="R78" s="2" t="inlineStr">
        <is>
          <t>Rödgul trumpetsvamp
Skogsknipprot</t>
        </is>
      </c>
      <c r="S78">
        <f>HYPERLINK("https://klasma.github.io/Logging_0188/artfynd/A 51980-2022 artfynd.xlsx", "A 51980-2022")</f>
        <v/>
      </c>
      <c r="T78">
        <f>HYPERLINK("https://klasma.github.io/Logging_0188/kartor/A 51980-2022 karta.png", "A 51980-2022")</f>
        <v/>
      </c>
      <c r="V78">
        <f>HYPERLINK("https://klasma.github.io/Logging_0188/klagomål/A 51980-2022 FSC-klagomål.docx", "A 51980-2022")</f>
        <v/>
      </c>
      <c r="W78">
        <f>HYPERLINK("https://klasma.github.io/Logging_0188/klagomålsmail/A 51980-2022 FSC-klagomål mail.docx", "A 51980-2022")</f>
        <v/>
      </c>
      <c r="X78">
        <f>HYPERLINK("https://klasma.github.io/Logging_0188/tillsyn/A 51980-2022 tillsynsbegäran.docx", "A 51980-2022")</f>
        <v/>
      </c>
      <c r="Y78">
        <f>HYPERLINK("https://klasma.github.io/Logging_0188/tillsynsmail/A 51980-2022 tillsynsbegäran mail.docx", "A 51980-2022")</f>
        <v/>
      </c>
    </row>
    <row r="79" ht="15" customHeight="1">
      <c r="A79" t="inlineStr">
        <is>
          <t>A 51220-2023</t>
        </is>
      </c>
      <c r="B79" s="1" t="n">
        <v>45219</v>
      </c>
      <c r="C79" s="1" t="n">
        <v>46106</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46106</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46106</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46106</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46106</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46106</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1547-2022</t>
        </is>
      </c>
      <c r="B85" s="1" t="n">
        <v>44573</v>
      </c>
      <c r="C85" s="1" t="n">
        <v>46106</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46106</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46106</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46106</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46106</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11429-2023</t>
        </is>
      </c>
      <c r="B90" s="1" t="n">
        <v>44993</v>
      </c>
      <c r="C90" s="1" t="n">
        <v>46106</v>
      </c>
      <c r="D90" t="inlineStr">
        <is>
          <t>STOCKHOLMS LÄN</t>
        </is>
      </c>
      <c r="E90" t="inlineStr">
        <is>
          <t>NORRTÄLJE</t>
        </is>
      </c>
      <c r="G90" t="n">
        <v>2</v>
      </c>
      <c r="H90" t="n">
        <v>0</v>
      </c>
      <c r="I90" t="n">
        <v>0</v>
      </c>
      <c r="J90" t="n">
        <v>1</v>
      </c>
      <c r="K90" t="n">
        <v>0</v>
      </c>
      <c r="L90" t="n">
        <v>0</v>
      </c>
      <c r="M90" t="n">
        <v>0</v>
      </c>
      <c r="N90" t="n">
        <v>0</v>
      </c>
      <c r="O90" t="n">
        <v>1</v>
      </c>
      <c r="P90" t="n">
        <v>0</v>
      </c>
      <c r="Q90" t="n">
        <v>1</v>
      </c>
      <c r="R90" s="2" t="inlineStr">
        <is>
          <t>Skogsklocka</t>
        </is>
      </c>
      <c r="S90">
        <f>HYPERLINK("https://klasma.github.io/Logging_0188/artfynd/A 11429-2023 artfynd.xlsx", "A 11429-2023")</f>
        <v/>
      </c>
      <c r="T90">
        <f>HYPERLINK("https://klasma.github.io/Logging_0188/kartor/A 11429-2023 karta.png", "A 11429-2023")</f>
        <v/>
      </c>
      <c r="V90">
        <f>HYPERLINK("https://klasma.github.io/Logging_0188/klagomål/A 11429-2023 FSC-klagomål.docx", "A 11429-2023")</f>
        <v/>
      </c>
      <c r="W90">
        <f>HYPERLINK("https://klasma.github.io/Logging_0188/klagomålsmail/A 11429-2023 FSC-klagomål mail.docx", "A 11429-2023")</f>
        <v/>
      </c>
      <c r="X90">
        <f>HYPERLINK("https://klasma.github.io/Logging_0188/tillsyn/A 11429-2023 tillsynsbegäran.docx", "A 11429-2023")</f>
        <v/>
      </c>
      <c r="Y90">
        <f>HYPERLINK("https://klasma.github.io/Logging_0188/tillsynsmail/A 11429-2023 tillsynsbegäran mail.docx", "A 11429-2023")</f>
        <v/>
      </c>
    </row>
    <row r="91" ht="15" customHeight="1">
      <c r="A91" t="inlineStr">
        <is>
          <t>A 4595-2023</t>
        </is>
      </c>
      <c r="B91" s="1" t="n">
        <v>44956</v>
      </c>
      <c r="C91" s="1" t="n">
        <v>46106</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31281-2022</t>
        </is>
      </c>
      <c r="B92" s="1" t="n">
        <v>44771</v>
      </c>
      <c r="C92" s="1" t="n">
        <v>46106</v>
      </c>
      <c r="D92" t="inlineStr">
        <is>
          <t>STOCKHOLMS LÄN</t>
        </is>
      </c>
      <c r="E92" t="inlineStr">
        <is>
          <t>NORRTÄLJE</t>
        </is>
      </c>
      <c r="F92" t="inlineStr">
        <is>
          <t>Holmen skog AB</t>
        </is>
      </c>
      <c r="G92" t="n">
        <v>5.2</v>
      </c>
      <c r="H92" t="n">
        <v>1</v>
      </c>
      <c r="I92" t="n">
        <v>0</v>
      </c>
      <c r="J92" t="n">
        <v>1</v>
      </c>
      <c r="K92" t="n">
        <v>0</v>
      </c>
      <c r="L92" t="n">
        <v>0</v>
      </c>
      <c r="M92" t="n">
        <v>0</v>
      </c>
      <c r="N92" t="n">
        <v>0</v>
      </c>
      <c r="O92" t="n">
        <v>1</v>
      </c>
      <c r="P92" t="n">
        <v>0</v>
      </c>
      <c r="Q92" t="n">
        <v>1</v>
      </c>
      <c r="R92" s="2" t="inlineStr">
        <is>
          <t>Kråka</t>
        </is>
      </c>
      <c r="S92">
        <f>HYPERLINK("https://klasma.github.io/Logging_0188/artfynd/A 31281-2022 artfynd.xlsx", "A 31281-2022")</f>
        <v/>
      </c>
      <c r="T92">
        <f>HYPERLINK("https://klasma.github.io/Logging_0188/kartor/A 31281-2022 karta.png", "A 31281-2022")</f>
        <v/>
      </c>
      <c r="V92">
        <f>HYPERLINK("https://klasma.github.io/Logging_0188/klagomål/A 31281-2022 FSC-klagomål.docx", "A 31281-2022")</f>
        <v/>
      </c>
      <c r="W92">
        <f>HYPERLINK("https://klasma.github.io/Logging_0188/klagomålsmail/A 31281-2022 FSC-klagomål mail.docx", "A 31281-2022")</f>
        <v/>
      </c>
      <c r="X92">
        <f>HYPERLINK("https://klasma.github.io/Logging_0188/tillsyn/A 31281-2022 tillsynsbegäran.docx", "A 31281-2022")</f>
        <v/>
      </c>
      <c r="Y92">
        <f>HYPERLINK("https://klasma.github.io/Logging_0188/tillsynsmail/A 31281-2022 tillsynsbegäran mail.docx", "A 31281-2022")</f>
        <v/>
      </c>
      <c r="Z92">
        <f>HYPERLINK("https://klasma.github.io/Logging_0188/fåglar/A 31281-2022 prioriterade fågelarter.docx", "A 31281-2022")</f>
        <v/>
      </c>
    </row>
    <row r="93" ht="15" customHeight="1">
      <c r="A93" t="inlineStr">
        <is>
          <t>A 4532-2025</t>
        </is>
      </c>
      <c r="B93" s="1" t="n">
        <v>45687.34177083334</v>
      </c>
      <c r="C93" s="1" t="n">
        <v>46106</v>
      </c>
      <c r="D93" t="inlineStr">
        <is>
          <t>STOCKHOLMS LÄN</t>
        </is>
      </c>
      <c r="E93" t="inlineStr">
        <is>
          <t>NORRTÄLJE</t>
        </is>
      </c>
      <c r="F93" t="inlineStr">
        <is>
          <t>Holmen skog AB</t>
        </is>
      </c>
      <c r="G93" t="n">
        <v>6.4</v>
      </c>
      <c r="H93" t="n">
        <v>1</v>
      </c>
      <c r="I93" t="n">
        <v>0</v>
      </c>
      <c r="J93" t="n">
        <v>0</v>
      </c>
      <c r="K93" t="n">
        <v>0</v>
      </c>
      <c r="L93" t="n">
        <v>1</v>
      </c>
      <c r="M93" t="n">
        <v>0</v>
      </c>
      <c r="N93" t="n">
        <v>0</v>
      </c>
      <c r="O93" t="n">
        <v>1</v>
      </c>
      <c r="P93" t="n">
        <v>1</v>
      </c>
      <c r="Q93" t="n">
        <v>1</v>
      </c>
      <c r="R93" s="2" t="inlineStr">
        <is>
          <t>Asknätfjäril</t>
        </is>
      </c>
      <c r="S93">
        <f>HYPERLINK("https://klasma.github.io/Logging_0188/artfynd/A 4532-2025 artfynd.xlsx", "A 4532-2025")</f>
        <v/>
      </c>
      <c r="T93">
        <f>HYPERLINK("https://klasma.github.io/Logging_0188/kartor/A 4532-2025 karta.png", "A 4532-2025")</f>
        <v/>
      </c>
      <c r="V93">
        <f>HYPERLINK("https://klasma.github.io/Logging_0188/klagomål/A 4532-2025 FSC-klagomål.docx", "A 4532-2025")</f>
        <v/>
      </c>
      <c r="W93">
        <f>HYPERLINK("https://klasma.github.io/Logging_0188/klagomålsmail/A 4532-2025 FSC-klagomål mail.docx", "A 4532-2025")</f>
        <v/>
      </c>
      <c r="X93">
        <f>HYPERLINK("https://klasma.github.io/Logging_0188/tillsyn/A 4532-2025 tillsynsbegäran.docx", "A 4532-2025")</f>
        <v/>
      </c>
      <c r="Y93">
        <f>HYPERLINK("https://klasma.github.io/Logging_0188/tillsynsmail/A 4532-2025 tillsynsbegäran mail.docx", "A 4532-2025")</f>
        <v/>
      </c>
    </row>
    <row r="94" ht="15" customHeight="1">
      <c r="A94" t="inlineStr">
        <is>
          <t>A 35691-2023</t>
        </is>
      </c>
      <c r="B94" s="1" t="n">
        <v>45147.65222222222</v>
      </c>
      <c r="C94" s="1" t="n">
        <v>46106</v>
      </c>
      <c r="D94" t="inlineStr">
        <is>
          <t>STOCKHOLMS LÄN</t>
        </is>
      </c>
      <c r="E94" t="inlineStr">
        <is>
          <t>NORRTÄLJE</t>
        </is>
      </c>
      <c r="G94" t="n">
        <v>2.3</v>
      </c>
      <c r="H94" t="n">
        <v>1</v>
      </c>
      <c r="I94" t="n">
        <v>0</v>
      </c>
      <c r="J94" t="n">
        <v>0</v>
      </c>
      <c r="K94" t="n">
        <v>0</v>
      </c>
      <c r="L94" t="n">
        <v>0</v>
      </c>
      <c r="M94" t="n">
        <v>0</v>
      </c>
      <c r="N94" t="n">
        <v>0</v>
      </c>
      <c r="O94" t="n">
        <v>0</v>
      </c>
      <c r="P94" t="n">
        <v>0</v>
      </c>
      <c r="Q94" t="n">
        <v>1</v>
      </c>
      <c r="R94" s="2" t="inlineStr">
        <is>
          <t>Kungsfågel</t>
        </is>
      </c>
      <c r="S94">
        <f>HYPERLINK("https://klasma.github.io/Logging_0188/artfynd/A 35691-2023 artfynd.xlsx", "A 35691-2023")</f>
        <v/>
      </c>
      <c r="T94">
        <f>HYPERLINK("https://klasma.github.io/Logging_0188/kartor/A 35691-2023 karta.png", "A 35691-2023")</f>
        <v/>
      </c>
      <c r="V94">
        <f>HYPERLINK("https://klasma.github.io/Logging_0188/klagomål/A 35691-2023 FSC-klagomål.docx", "A 35691-2023")</f>
        <v/>
      </c>
      <c r="W94">
        <f>HYPERLINK("https://klasma.github.io/Logging_0188/klagomålsmail/A 35691-2023 FSC-klagomål mail.docx", "A 35691-2023")</f>
        <v/>
      </c>
      <c r="X94">
        <f>HYPERLINK("https://klasma.github.io/Logging_0188/tillsyn/A 35691-2023 tillsynsbegäran.docx", "A 35691-2023")</f>
        <v/>
      </c>
      <c r="Y94">
        <f>HYPERLINK("https://klasma.github.io/Logging_0188/tillsynsmail/A 35691-2023 tillsynsbegäran mail.docx", "A 35691-2023")</f>
        <v/>
      </c>
      <c r="Z94">
        <f>HYPERLINK("https://klasma.github.io/Logging_0188/fåglar/A 35691-2023 prioriterade fågelarter.docx", "A 35691-2023")</f>
        <v/>
      </c>
    </row>
    <row r="95" ht="15" customHeight="1">
      <c r="A95" t="inlineStr">
        <is>
          <t>A 35693-2023</t>
        </is>
      </c>
      <c r="B95" s="1" t="n">
        <v>45147.65311342593</v>
      </c>
      <c r="C95" s="1" t="n">
        <v>46106</v>
      </c>
      <c r="D95" t="inlineStr">
        <is>
          <t>STOCKHOLMS LÄN</t>
        </is>
      </c>
      <c r="E95" t="inlineStr">
        <is>
          <t>NORRTÄLJE</t>
        </is>
      </c>
      <c r="G95" t="n">
        <v>2.2</v>
      </c>
      <c r="H95" t="n">
        <v>0</v>
      </c>
      <c r="I95" t="n">
        <v>0</v>
      </c>
      <c r="J95" t="n">
        <v>1</v>
      </c>
      <c r="K95" t="n">
        <v>0</v>
      </c>
      <c r="L95" t="n">
        <v>0</v>
      </c>
      <c r="M95" t="n">
        <v>0</v>
      </c>
      <c r="N95" t="n">
        <v>0</v>
      </c>
      <c r="O95" t="n">
        <v>1</v>
      </c>
      <c r="P95" t="n">
        <v>0</v>
      </c>
      <c r="Q95" t="n">
        <v>1</v>
      </c>
      <c r="R95" s="2" t="inlineStr">
        <is>
          <t>Motaggsvamp</t>
        </is>
      </c>
      <c r="S95">
        <f>HYPERLINK("https://klasma.github.io/Logging_0188/artfynd/A 35693-2023 artfynd.xlsx", "A 35693-2023")</f>
        <v/>
      </c>
      <c r="T95">
        <f>HYPERLINK("https://klasma.github.io/Logging_0188/kartor/A 35693-2023 karta.png", "A 35693-2023")</f>
        <v/>
      </c>
      <c r="V95">
        <f>HYPERLINK("https://klasma.github.io/Logging_0188/klagomål/A 35693-2023 FSC-klagomål.docx", "A 35693-2023")</f>
        <v/>
      </c>
      <c r="W95">
        <f>HYPERLINK("https://klasma.github.io/Logging_0188/klagomålsmail/A 35693-2023 FSC-klagomål mail.docx", "A 35693-2023")</f>
        <v/>
      </c>
      <c r="X95">
        <f>HYPERLINK("https://klasma.github.io/Logging_0188/tillsyn/A 35693-2023 tillsynsbegäran.docx", "A 35693-2023")</f>
        <v/>
      </c>
      <c r="Y95">
        <f>HYPERLINK("https://klasma.github.io/Logging_0188/tillsynsmail/A 35693-2023 tillsynsbegäran mail.docx", "A 35693-2023")</f>
        <v/>
      </c>
    </row>
    <row r="96" ht="15" customHeight="1">
      <c r="A96" t="inlineStr">
        <is>
          <t>A 24535-2023</t>
        </is>
      </c>
      <c r="B96" s="1" t="n">
        <v>45082</v>
      </c>
      <c r="C96" s="1" t="n">
        <v>46106</v>
      </c>
      <c r="D96" t="inlineStr">
        <is>
          <t>STOCKHOLMS LÄN</t>
        </is>
      </c>
      <c r="E96" t="inlineStr">
        <is>
          <t>NORRTÄLJE</t>
        </is>
      </c>
      <c r="F96" t="inlineStr">
        <is>
          <t>Kommuner</t>
        </is>
      </c>
      <c r="G96" t="n">
        <v>2</v>
      </c>
      <c r="H96" t="n">
        <v>1</v>
      </c>
      <c r="I96" t="n">
        <v>0</v>
      </c>
      <c r="J96" t="n">
        <v>0</v>
      </c>
      <c r="K96" t="n">
        <v>0</v>
      </c>
      <c r="L96" t="n">
        <v>0</v>
      </c>
      <c r="M96" t="n">
        <v>0</v>
      </c>
      <c r="N96" t="n">
        <v>0</v>
      </c>
      <c r="O96" t="n">
        <v>0</v>
      </c>
      <c r="P96" t="n">
        <v>0</v>
      </c>
      <c r="Q96" t="n">
        <v>1</v>
      </c>
      <c r="R96" s="2" t="inlineStr">
        <is>
          <t>Blåsippa</t>
        </is>
      </c>
      <c r="S96">
        <f>HYPERLINK("https://klasma.github.io/Logging_0188/artfynd/A 24535-2023 artfynd.xlsx", "A 24535-2023")</f>
        <v/>
      </c>
      <c r="T96">
        <f>HYPERLINK("https://klasma.github.io/Logging_0188/kartor/A 24535-2023 karta.png", "A 24535-2023")</f>
        <v/>
      </c>
      <c r="V96">
        <f>HYPERLINK("https://klasma.github.io/Logging_0188/klagomål/A 24535-2023 FSC-klagomål.docx", "A 24535-2023")</f>
        <v/>
      </c>
      <c r="W96">
        <f>HYPERLINK("https://klasma.github.io/Logging_0188/klagomålsmail/A 24535-2023 FSC-klagomål mail.docx", "A 24535-2023")</f>
        <v/>
      </c>
      <c r="X96">
        <f>HYPERLINK("https://klasma.github.io/Logging_0188/tillsyn/A 24535-2023 tillsynsbegäran.docx", "A 24535-2023")</f>
        <v/>
      </c>
      <c r="Y96">
        <f>HYPERLINK("https://klasma.github.io/Logging_0188/tillsynsmail/A 24535-2023 tillsynsbegäran mail.docx", "A 24535-2023")</f>
        <v/>
      </c>
    </row>
    <row r="97" ht="15" customHeight="1">
      <c r="A97" t="inlineStr">
        <is>
          <t>A 6381-2023</t>
        </is>
      </c>
      <c r="B97" s="1" t="n">
        <v>44965</v>
      </c>
      <c r="C97" s="1" t="n">
        <v>46106</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50854-2022</t>
        </is>
      </c>
      <c r="B98" s="1" t="n">
        <v>44863</v>
      </c>
      <c r="C98" s="1" t="n">
        <v>46106</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29946-2025</t>
        </is>
      </c>
      <c r="B99" s="1" t="n">
        <v>45826.46392361111</v>
      </c>
      <c r="C99" s="1" t="n">
        <v>46106</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46106</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46106</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26120-2024</t>
        </is>
      </c>
      <c r="B102" s="1" t="n">
        <v>45468.45995370371</v>
      </c>
      <c r="C102" s="1" t="n">
        <v>46106</v>
      </c>
      <c r="D102" t="inlineStr">
        <is>
          <t>STOCKHOLMS LÄN</t>
        </is>
      </c>
      <c r="E102" t="inlineStr">
        <is>
          <t>NORRTÄLJE</t>
        </is>
      </c>
      <c r="G102" t="n">
        <v>1.8</v>
      </c>
      <c r="H102" t="n">
        <v>0</v>
      </c>
      <c r="I102" t="n">
        <v>0</v>
      </c>
      <c r="J102" t="n">
        <v>1</v>
      </c>
      <c r="K102" t="n">
        <v>0</v>
      </c>
      <c r="L102" t="n">
        <v>0</v>
      </c>
      <c r="M102" t="n">
        <v>0</v>
      </c>
      <c r="N102" t="n">
        <v>0</v>
      </c>
      <c r="O102" t="n">
        <v>1</v>
      </c>
      <c r="P102" t="n">
        <v>0</v>
      </c>
      <c r="Q102" t="n">
        <v>1</v>
      </c>
      <c r="R102" s="2" t="inlineStr">
        <is>
          <t>Majviva</t>
        </is>
      </c>
      <c r="S102">
        <f>HYPERLINK("https://klasma.github.io/Logging_0188/artfynd/A 26120-2024 artfynd.xlsx", "A 26120-2024")</f>
        <v/>
      </c>
      <c r="T102">
        <f>HYPERLINK("https://klasma.github.io/Logging_0188/kartor/A 26120-2024 karta.png", "A 26120-2024")</f>
        <v/>
      </c>
      <c r="V102">
        <f>HYPERLINK("https://klasma.github.io/Logging_0188/klagomål/A 26120-2024 FSC-klagomål.docx", "A 26120-2024")</f>
        <v/>
      </c>
      <c r="W102">
        <f>HYPERLINK("https://klasma.github.io/Logging_0188/klagomålsmail/A 26120-2024 FSC-klagomål mail.docx", "A 26120-2024")</f>
        <v/>
      </c>
      <c r="X102">
        <f>HYPERLINK("https://klasma.github.io/Logging_0188/tillsyn/A 26120-2024 tillsynsbegäran.docx", "A 26120-2024")</f>
        <v/>
      </c>
      <c r="Y102">
        <f>HYPERLINK("https://klasma.github.io/Logging_0188/tillsynsmail/A 26120-2024 tillsynsbegäran mail.docx", "A 26120-2024")</f>
        <v/>
      </c>
    </row>
    <row r="103" ht="15" customHeight="1">
      <c r="A103" t="inlineStr">
        <is>
          <t>A 42313-2025</t>
        </is>
      </c>
      <c r="B103" s="1" t="n">
        <v>45904.6575</v>
      </c>
      <c r="C103" s="1" t="n">
        <v>46106</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13291-2025</t>
        </is>
      </c>
      <c r="B104" s="1" t="n">
        <v>45735</v>
      </c>
      <c r="C104" s="1" t="n">
        <v>46106</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33546-2025</t>
        </is>
      </c>
      <c r="B105" s="1" t="n">
        <v>45841.56996527778</v>
      </c>
      <c r="C105" s="1" t="n">
        <v>46106</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64456-2023</t>
        </is>
      </c>
      <c r="B106" s="1" t="n">
        <v>45280</v>
      </c>
      <c r="C106" s="1" t="n">
        <v>46106</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7734-2026</t>
        </is>
      </c>
      <c r="B107" s="1" t="n">
        <v>46062.52902777777</v>
      </c>
      <c r="C107" s="1" t="n">
        <v>46106</v>
      </c>
      <c r="D107" t="inlineStr">
        <is>
          <t>STOCKHOLMS LÄN</t>
        </is>
      </c>
      <c r="E107" t="inlineStr">
        <is>
          <t>NORRTÄLJE</t>
        </is>
      </c>
      <c r="G107" t="n">
        <v>6.6</v>
      </c>
      <c r="H107" t="n">
        <v>0</v>
      </c>
      <c r="I107" t="n">
        <v>1</v>
      </c>
      <c r="J107" t="n">
        <v>0</v>
      </c>
      <c r="K107" t="n">
        <v>0</v>
      </c>
      <c r="L107" t="n">
        <v>0</v>
      </c>
      <c r="M107" t="n">
        <v>0</v>
      </c>
      <c r="N107" t="n">
        <v>0</v>
      </c>
      <c r="O107" t="n">
        <v>0</v>
      </c>
      <c r="P107" t="n">
        <v>0</v>
      </c>
      <c r="Q107" t="n">
        <v>1</v>
      </c>
      <c r="R107" s="2" t="inlineStr">
        <is>
          <t>Kastanjefjällskivling</t>
        </is>
      </c>
      <c r="S107">
        <f>HYPERLINK("https://klasma.github.io/Logging_0188/artfynd/A 7734-2026 artfynd.xlsx", "A 7734-2026")</f>
        <v/>
      </c>
      <c r="T107">
        <f>HYPERLINK("https://klasma.github.io/Logging_0188/kartor/A 7734-2026 karta.png", "A 7734-2026")</f>
        <v/>
      </c>
      <c r="V107">
        <f>HYPERLINK("https://klasma.github.io/Logging_0188/klagomål/A 7734-2026 FSC-klagomål.docx", "A 7734-2026")</f>
        <v/>
      </c>
      <c r="W107">
        <f>HYPERLINK("https://klasma.github.io/Logging_0188/klagomålsmail/A 7734-2026 FSC-klagomål mail.docx", "A 7734-2026")</f>
        <v/>
      </c>
      <c r="X107">
        <f>HYPERLINK("https://klasma.github.io/Logging_0188/tillsyn/A 7734-2026 tillsynsbegäran.docx", "A 7734-2026")</f>
        <v/>
      </c>
      <c r="Y107">
        <f>HYPERLINK("https://klasma.github.io/Logging_0188/tillsynsmail/A 7734-2026 tillsynsbegäran mail.docx", "A 7734-2026")</f>
        <v/>
      </c>
    </row>
    <row r="108" ht="15" customHeight="1">
      <c r="A108" t="inlineStr">
        <is>
          <t>A 24330-2023</t>
        </is>
      </c>
      <c r="B108" s="1" t="n">
        <v>45081</v>
      </c>
      <c r="C108" s="1" t="n">
        <v>46106</v>
      </c>
      <c r="D108" t="inlineStr">
        <is>
          <t>STOCKHOLMS LÄN</t>
        </is>
      </c>
      <c r="E108" t="inlineStr">
        <is>
          <t>NORRTÄLJE</t>
        </is>
      </c>
      <c r="G108" t="n">
        <v>5</v>
      </c>
      <c r="H108" t="n">
        <v>1</v>
      </c>
      <c r="I108" t="n">
        <v>0</v>
      </c>
      <c r="J108" t="n">
        <v>1</v>
      </c>
      <c r="K108" t="n">
        <v>0</v>
      </c>
      <c r="L108" t="n">
        <v>0</v>
      </c>
      <c r="M108" t="n">
        <v>0</v>
      </c>
      <c r="N108" t="n">
        <v>0</v>
      </c>
      <c r="O108" t="n">
        <v>1</v>
      </c>
      <c r="P108" t="n">
        <v>0</v>
      </c>
      <c r="Q108" t="n">
        <v>1</v>
      </c>
      <c r="R108" s="2" t="inlineStr">
        <is>
          <t>Mindre hackspett</t>
        </is>
      </c>
      <c r="S108">
        <f>HYPERLINK("https://klasma.github.io/Logging_0188/artfynd/A 24330-2023 artfynd.xlsx", "A 24330-2023")</f>
        <v/>
      </c>
      <c r="T108">
        <f>HYPERLINK("https://klasma.github.io/Logging_0188/kartor/A 24330-2023 karta.png", "A 24330-2023")</f>
        <v/>
      </c>
      <c r="V108">
        <f>HYPERLINK("https://klasma.github.io/Logging_0188/klagomål/A 24330-2023 FSC-klagomål.docx", "A 24330-2023")</f>
        <v/>
      </c>
      <c r="W108">
        <f>HYPERLINK("https://klasma.github.io/Logging_0188/klagomålsmail/A 24330-2023 FSC-klagomål mail.docx", "A 24330-2023")</f>
        <v/>
      </c>
      <c r="X108">
        <f>HYPERLINK("https://klasma.github.io/Logging_0188/tillsyn/A 24330-2023 tillsynsbegäran.docx", "A 24330-2023")</f>
        <v/>
      </c>
      <c r="Y108">
        <f>HYPERLINK("https://klasma.github.io/Logging_0188/tillsynsmail/A 24330-2023 tillsynsbegäran mail.docx", "A 24330-2023")</f>
        <v/>
      </c>
      <c r="Z108">
        <f>HYPERLINK("https://klasma.github.io/Logging_0188/fåglar/A 24330-2023 prioriterade fågelarter.docx", "A 24330-2023")</f>
        <v/>
      </c>
    </row>
    <row r="109" ht="15" customHeight="1">
      <c r="A109" t="inlineStr">
        <is>
          <t>A 21744-2023</t>
        </is>
      </c>
      <c r="B109" s="1" t="n">
        <v>45065</v>
      </c>
      <c r="C109" s="1" t="n">
        <v>46106</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39158-2025</t>
        </is>
      </c>
      <c r="B110" s="1" t="n">
        <v>45888</v>
      </c>
      <c r="C110" s="1" t="n">
        <v>46106</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8371-2025</t>
        </is>
      </c>
      <c r="B111" s="1" t="n">
        <v>45708</v>
      </c>
      <c r="C111" s="1" t="n">
        <v>46106</v>
      </c>
      <c r="D111" t="inlineStr">
        <is>
          <t>STOCKHOLMS LÄN</t>
        </is>
      </c>
      <c r="E111" t="inlineStr">
        <is>
          <t>NORRTÄLJE</t>
        </is>
      </c>
      <c r="F111" t="inlineStr">
        <is>
          <t>Övriga Aktiebolag</t>
        </is>
      </c>
      <c r="G111" t="n">
        <v>2.9</v>
      </c>
      <c r="H111" t="n">
        <v>1</v>
      </c>
      <c r="I111" t="n">
        <v>0</v>
      </c>
      <c r="J111" t="n">
        <v>1</v>
      </c>
      <c r="K111" t="n">
        <v>0</v>
      </c>
      <c r="L111" t="n">
        <v>0</v>
      </c>
      <c r="M111" t="n">
        <v>0</v>
      </c>
      <c r="N111" t="n">
        <v>0</v>
      </c>
      <c r="O111" t="n">
        <v>1</v>
      </c>
      <c r="P111" t="n">
        <v>0</v>
      </c>
      <c r="Q111" t="n">
        <v>1</v>
      </c>
      <c r="R111" s="2" t="inlineStr">
        <is>
          <t>Spillkråka</t>
        </is>
      </c>
      <c r="S111">
        <f>HYPERLINK("https://klasma.github.io/Logging_0188/artfynd/A 8371-2025 artfynd.xlsx", "A 8371-2025")</f>
        <v/>
      </c>
      <c r="T111">
        <f>HYPERLINK("https://klasma.github.io/Logging_0188/kartor/A 8371-2025 karta.png", "A 8371-2025")</f>
        <v/>
      </c>
      <c r="V111">
        <f>HYPERLINK("https://klasma.github.io/Logging_0188/klagomål/A 8371-2025 FSC-klagomål.docx", "A 8371-2025")</f>
        <v/>
      </c>
      <c r="W111">
        <f>HYPERLINK("https://klasma.github.io/Logging_0188/klagomålsmail/A 8371-2025 FSC-klagomål mail.docx", "A 8371-2025")</f>
        <v/>
      </c>
      <c r="X111">
        <f>HYPERLINK("https://klasma.github.io/Logging_0188/tillsyn/A 8371-2025 tillsynsbegäran.docx", "A 8371-2025")</f>
        <v/>
      </c>
      <c r="Y111">
        <f>HYPERLINK("https://klasma.github.io/Logging_0188/tillsynsmail/A 8371-2025 tillsynsbegäran mail.docx", "A 8371-2025")</f>
        <v/>
      </c>
      <c r="Z111">
        <f>HYPERLINK("https://klasma.github.io/Logging_0188/fåglar/A 8371-2025 prioriterade fågelarter.docx", "A 8371-2025")</f>
        <v/>
      </c>
    </row>
    <row r="112" ht="15" customHeight="1">
      <c r="A112" t="inlineStr">
        <is>
          <t>A 52611-2024</t>
        </is>
      </c>
      <c r="B112" s="1" t="n">
        <v>45609.83747685186</v>
      </c>
      <c r="C112" s="1" t="n">
        <v>46106</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52775-2025</t>
        </is>
      </c>
      <c r="B113" s="1" t="n">
        <v>45957.41608796296</v>
      </c>
      <c r="C113" s="1" t="n">
        <v>46106</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53716-2025</t>
        </is>
      </c>
      <c r="B114" s="1" t="n">
        <v>45960.61782407408</v>
      </c>
      <c r="C114" s="1" t="n">
        <v>46106</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46106</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46106</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47898-2022</t>
        </is>
      </c>
      <c r="B117" s="1" t="n">
        <v>44855</v>
      </c>
      <c r="C117" s="1" t="n">
        <v>46106</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59682-2025</t>
        </is>
      </c>
      <c r="B118" s="1" t="n">
        <v>45992.47116898148</v>
      </c>
      <c r="C118" s="1" t="n">
        <v>46106</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14365-2025</t>
        </is>
      </c>
      <c r="B119" s="1" t="n">
        <v>45741.38688657407</v>
      </c>
      <c r="C119" s="1" t="n">
        <v>46106</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46106</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62715-2025</t>
        </is>
      </c>
      <c r="B121" s="1" t="n">
        <v>46008.52034722222</v>
      </c>
      <c r="C121" s="1" t="n">
        <v>46106</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63292-2025</t>
        </is>
      </c>
      <c r="B122" s="1" t="n">
        <v>46010.59232638889</v>
      </c>
      <c r="C122" s="1" t="n">
        <v>46106</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4385-2023</t>
        </is>
      </c>
      <c r="B123" s="1" t="n">
        <v>44955.71322916666</v>
      </c>
      <c r="C123" s="1" t="n">
        <v>46106</v>
      </c>
      <c r="D123" t="inlineStr">
        <is>
          <t>STOCKHOLMS LÄN</t>
        </is>
      </c>
      <c r="E123" t="inlineStr">
        <is>
          <t>NORRTÄLJE</t>
        </is>
      </c>
      <c r="G123" t="n">
        <v>7.8</v>
      </c>
      <c r="H123" t="n">
        <v>1</v>
      </c>
      <c r="I123" t="n">
        <v>1</v>
      </c>
      <c r="J123" t="n">
        <v>0</v>
      </c>
      <c r="K123" t="n">
        <v>0</v>
      </c>
      <c r="L123" t="n">
        <v>0</v>
      </c>
      <c r="M123" t="n">
        <v>0</v>
      </c>
      <c r="N123" t="n">
        <v>0</v>
      </c>
      <c r="O123" t="n">
        <v>0</v>
      </c>
      <c r="P123" t="n">
        <v>0</v>
      </c>
      <c r="Q123" t="n">
        <v>1</v>
      </c>
      <c r="R123" s="2" t="inlineStr">
        <is>
          <t>Skogsknipprot</t>
        </is>
      </c>
      <c r="S123">
        <f>HYPERLINK("https://klasma.github.io/Logging_0188/artfynd/A 4385-2023 artfynd.xlsx", "A 4385-2023")</f>
        <v/>
      </c>
      <c r="T123">
        <f>HYPERLINK("https://klasma.github.io/Logging_0188/kartor/A 4385-2023 karta.png", "A 4385-2023")</f>
        <v/>
      </c>
      <c r="V123">
        <f>HYPERLINK("https://klasma.github.io/Logging_0188/klagomål/A 4385-2023 FSC-klagomål.docx", "A 4385-2023")</f>
        <v/>
      </c>
      <c r="W123">
        <f>HYPERLINK("https://klasma.github.io/Logging_0188/klagomålsmail/A 4385-2023 FSC-klagomål mail.docx", "A 4385-2023")</f>
        <v/>
      </c>
      <c r="X123">
        <f>HYPERLINK("https://klasma.github.io/Logging_0188/tillsyn/A 4385-2023 tillsynsbegäran.docx", "A 4385-2023")</f>
        <v/>
      </c>
      <c r="Y123">
        <f>HYPERLINK("https://klasma.github.io/Logging_0188/tillsynsmail/A 4385-2023 tillsynsbegäran mail.docx", "A 4385-2023")</f>
        <v/>
      </c>
    </row>
    <row r="124" ht="15" customHeight="1">
      <c r="A124" t="inlineStr">
        <is>
          <t>A 4860-2022</t>
        </is>
      </c>
      <c r="B124" s="1" t="n">
        <v>44592</v>
      </c>
      <c r="C124" s="1" t="n">
        <v>46106</v>
      </c>
      <c r="D124" t="inlineStr">
        <is>
          <t>STOCKHOLMS LÄN</t>
        </is>
      </c>
      <c r="E124" t="inlineStr">
        <is>
          <t>NORRTÄLJE</t>
        </is>
      </c>
      <c r="G124" t="n">
        <v>22.3</v>
      </c>
      <c r="H124" t="n">
        <v>0</v>
      </c>
      <c r="I124" t="n">
        <v>0</v>
      </c>
      <c r="J124" t="n">
        <v>1</v>
      </c>
      <c r="K124" t="n">
        <v>0</v>
      </c>
      <c r="L124" t="n">
        <v>0</v>
      </c>
      <c r="M124" t="n">
        <v>0</v>
      </c>
      <c r="N124" t="n">
        <v>0</v>
      </c>
      <c r="O124" t="n">
        <v>1</v>
      </c>
      <c r="P124" t="n">
        <v>0</v>
      </c>
      <c r="Q124" t="n">
        <v>1</v>
      </c>
      <c r="R124" s="2" t="inlineStr">
        <is>
          <t>Igelkott</t>
        </is>
      </c>
      <c r="S124">
        <f>HYPERLINK("https://klasma.github.io/Logging_0188/artfynd/A 4860-2022 artfynd.xlsx", "A 4860-2022")</f>
        <v/>
      </c>
      <c r="T124">
        <f>HYPERLINK("https://klasma.github.io/Logging_0188/kartor/A 4860-2022 karta.png", "A 4860-2022")</f>
        <v/>
      </c>
      <c r="V124">
        <f>HYPERLINK("https://klasma.github.io/Logging_0188/klagomål/A 4860-2022 FSC-klagomål.docx", "A 4860-2022")</f>
        <v/>
      </c>
      <c r="W124">
        <f>HYPERLINK("https://klasma.github.io/Logging_0188/klagomålsmail/A 4860-2022 FSC-klagomål mail.docx", "A 4860-2022")</f>
        <v/>
      </c>
      <c r="X124">
        <f>HYPERLINK("https://klasma.github.io/Logging_0188/tillsyn/A 4860-2022 tillsynsbegäran.docx", "A 4860-2022")</f>
        <v/>
      </c>
      <c r="Y124">
        <f>HYPERLINK("https://klasma.github.io/Logging_0188/tillsynsmail/A 4860-2022 tillsynsbegäran mail.docx", "A 4860-2022")</f>
        <v/>
      </c>
    </row>
    <row r="125" ht="15" customHeight="1">
      <c r="A125" t="inlineStr">
        <is>
          <t>A 364-2026</t>
        </is>
      </c>
      <c r="B125" s="1" t="n">
        <v>46027.67134259259</v>
      </c>
      <c r="C125" s="1" t="n">
        <v>46106</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19829-2022</t>
        </is>
      </c>
      <c r="B126" s="1" t="n">
        <v>44695.43527777777</v>
      </c>
      <c r="C126" s="1" t="n">
        <v>46106</v>
      </c>
      <c r="D126" t="inlineStr">
        <is>
          <t>STOCKHOLMS LÄN</t>
        </is>
      </c>
      <c r="E126" t="inlineStr">
        <is>
          <t>NORRTÄLJE</t>
        </is>
      </c>
      <c r="G126" t="n">
        <v>2</v>
      </c>
      <c r="H126" t="n">
        <v>1</v>
      </c>
      <c r="I126" t="n">
        <v>1</v>
      </c>
      <c r="J126" t="n">
        <v>0</v>
      </c>
      <c r="K126" t="n">
        <v>0</v>
      </c>
      <c r="L126" t="n">
        <v>0</v>
      </c>
      <c r="M126" t="n">
        <v>0</v>
      </c>
      <c r="N126" t="n">
        <v>0</v>
      </c>
      <c r="O126" t="n">
        <v>0</v>
      </c>
      <c r="P126" t="n">
        <v>0</v>
      </c>
      <c r="Q126" t="n">
        <v>1</v>
      </c>
      <c r="R126" s="2" t="inlineStr">
        <is>
          <t>Guckusko</t>
        </is>
      </c>
      <c r="S126">
        <f>HYPERLINK("https://klasma.github.io/Logging_0188/artfynd/A 19829-2022 artfynd.xlsx", "A 19829-2022")</f>
        <v/>
      </c>
      <c r="T126">
        <f>HYPERLINK("https://klasma.github.io/Logging_0188/kartor/A 19829-2022 karta.png", "A 19829-2022")</f>
        <v/>
      </c>
      <c r="V126">
        <f>HYPERLINK("https://klasma.github.io/Logging_0188/klagomål/A 19829-2022 FSC-klagomål.docx", "A 19829-2022")</f>
        <v/>
      </c>
      <c r="W126">
        <f>HYPERLINK("https://klasma.github.io/Logging_0188/klagomålsmail/A 19829-2022 FSC-klagomål mail.docx", "A 19829-2022")</f>
        <v/>
      </c>
      <c r="X126">
        <f>HYPERLINK("https://klasma.github.io/Logging_0188/tillsyn/A 19829-2022 tillsynsbegäran.docx", "A 19829-2022")</f>
        <v/>
      </c>
      <c r="Y126">
        <f>HYPERLINK("https://klasma.github.io/Logging_0188/tillsynsmail/A 19829-2022 tillsynsbegäran mail.docx", "A 19829-2022")</f>
        <v/>
      </c>
    </row>
    <row r="127" ht="15" customHeight="1">
      <c r="A127" t="inlineStr">
        <is>
          <t>A 28816-2023</t>
        </is>
      </c>
      <c r="B127" s="1" t="n">
        <v>45104</v>
      </c>
      <c r="C127" s="1" t="n">
        <v>46106</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52508-2023</t>
        </is>
      </c>
      <c r="B128" s="1" t="n">
        <v>45225</v>
      </c>
      <c r="C128" s="1" t="n">
        <v>46106</v>
      </c>
      <c r="D128" t="inlineStr">
        <is>
          <t>STOCKHOLMS LÄN</t>
        </is>
      </c>
      <c r="E128" t="inlineStr">
        <is>
          <t>NORRTÄLJE</t>
        </is>
      </c>
      <c r="G128" t="n">
        <v>19.7</v>
      </c>
      <c r="H128" t="n">
        <v>1</v>
      </c>
      <c r="I128" t="n">
        <v>0</v>
      </c>
      <c r="J128" t="n">
        <v>0</v>
      </c>
      <c r="K128" t="n">
        <v>1</v>
      </c>
      <c r="L128" t="n">
        <v>0</v>
      </c>
      <c r="M128" t="n">
        <v>0</v>
      </c>
      <c r="N128" t="n">
        <v>0</v>
      </c>
      <c r="O128" t="n">
        <v>1</v>
      </c>
      <c r="P128" t="n">
        <v>1</v>
      </c>
      <c r="Q128" t="n">
        <v>1</v>
      </c>
      <c r="R128" s="2" t="inlineStr">
        <is>
          <t>Svärta</t>
        </is>
      </c>
      <c r="S128">
        <f>HYPERLINK("https://klasma.github.io/Logging_0188/artfynd/A 52508-2023 artfynd.xlsx", "A 52508-2023")</f>
        <v/>
      </c>
      <c r="T128">
        <f>HYPERLINK("https://klasma.github.io/Logging_0188/kartor/A 52508-2023 karta.png", "A 52508-2023")</f>
        <v/>
      </c>
      <c r="V128">
        <f>HYPERLINK("https://klasma.github.io/Logging_0188/klagomål/A 52508-2023 FSC-klagomål.docx", "A 52508-2023")</f>
        <v/>
      </c>
      <c r="W128">
        <f>HYPERLINK("https://klasma.github.io/Logging_0188/klagomålsmail/A 52508-2023 FSC-klagomål mail.docx", "A 52508-2023")</f>
        <v/>
      </c>
      <c r="X128">
        <f>HYPERLINK("https://klasma.github.io/Logging_0188/tillsyn/A 52508-2023 tillsynsbegäran.docx", "A 52508-2023")</f>
        <v/>
      </c>
      <c r="Y128">
        <f>HYPERLINK("https://klasma.github.io/Logging_0188/tillsynsmail/A 52508-2023 tillsynsbegäran mail.docx", "A 52508-2023")</f>
        <v/>
      </c>
    </row>
    <row r="129" ht="15" customHeight="1">
      <c r="A129" t="inlineStr">
        <is>
          <t>A 27827-2022</t>
        </is>
      </c>
      <c r="B129" s="1" t="n">
        <v>44743.59504629629</v>
      </c>
      <c r="C129" s="1" t="n">
        <v>46106</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46106</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46106</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46106</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46106</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46106</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46106</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46106</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25669-2025</t>
        </is>
      </c>
      <c r="B137" s="1" t="n">
        <v>45803.62766203703</v>
      </c>
      <c r="C137" s="1" t="n">
        <v>46106</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35764-2024</t>
        </is>
      </c>
      <c r="B138" s="1" t="n">
        <v>45532</v>
      </c>
      <c r="C138" s="1" t="n">
        <v>46106</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25725-2025</t>
        </is>
      </c>
      <c r="B139" s="1" t="n">
        <v>45800</v>
      </c>
      <c r="C139" s="1" t="n">
        <v>46106</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25709-2025</t>
        </is>
      </c>
      <c r="B140" s="1" t="n">
        <v>45800</v>
      </c>
      <c r="C140" s="1" t="n">
        <v>46106</v>
      </c>
      <c r="D140" t="inlineStr">
        <is>
          <t>STOCKHOLMS LÄN</t>
        </is>
      </c>
      <c r="E140" t="inlineStr">
        <is>
          <t>NORRTÄLJE</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HYPERLINK("https://klasma.github.io/Logging_0188/artfynd/A 25709-2025 artfynd.xlsx", "A 25709-2025")</f>
        <v/>
      </c>
      <c r="T140">
        <f>HYPERLINK("https://klasma.github.io/Logging_0188/kartor/A 25709-2025 karta.png", "A 25709-2025")</f>
        <v/>
      </c>
      <c r="V140">
        <f>HYPERLINK("https://klasma.github.io/Logging_0188/klagomål/A 25709-2025 FSC-klagomål.docx", "A 25709-2025")</f>
        <v/>
      </c>
      <c r="W140">
        <f>HYPERLINK("https://klasma.github.io/Logging_0188/klagomålsmail/A 25709-2025 FSC-klagomål mail.docx", "A 25709-2025")</f>
        <v/>
      </c>
      <c r="X140">
        <f>HYPERLINK("https://klasma.github.io/Logging_0188/tillsyn/A 25709-2025 tillsynsbegäran.docx", "A 25709-2025")</f>
        <v/>
      </c>
      <c r="Y140">
        <f>HYPERLINK("https://klasma.github.io/Logging_0188/tillsynsmail/A 25709-2025 tillsynsbegäran mail.docx", "A 25709-2025")</f>
        <v/>
      </c>
    </row>
    <row r="141" ht="15" customHeight="1">
      <c r="A141" t="inlineStr">
        <is>
          <t>A 35649-2023</t>
        </is>
      </c>
      <c r="B141" s="1" t="n">
        <v>45146</v>
      </c>
      <c r="C141" s="1" t="n">
        <v>46106</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18580-2021</t>
        </is>
      </c>
      <c r="B142" s="1" t="n">
        <v>44306</v>
      </c>
      <c r="C142" s="1" t="n">
        <v>46106</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46106</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46106</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46106</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46106</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46106</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46106</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46106</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46106</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46106</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31934-2022</t>
        </is>
      </c>
      <c r="B152" s="1" t="n">
        <v>44777</v>
      </c>
      <c r="C152" s="1" t="n">
        <v>46106</v>
      </c>
      <c r="D152" t="inlineStr">
        <is>
          <t>STOCKHOLMS LÄN</t>
        </is>
      </c>
      <c r="E152" t="inlineStr">
        <is>
          <t>NORRTÄLJE</t>
        </is>
      </c>
      <c r="G152" t="n">
        <v>1.2</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46106</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46106</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46106</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46106</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54272-2021</t>
        </is>
      </c>
      <c r="B157" s="1" t="n">
        <v>44470.72148148148</v>
      </c>
      <c r="C157" s="1" t="n">
        <v>46106</v>
      </c>
      <c r="D157" t="inlineStr">
        <is>
          <t>STOCKHOLMS LÄN</t>
        </is>
      </c>
      <c r="E157" t="inlineStr">
        <is>
          <t>NORRTÄLJE</t>
        </is>
      </c>
      <c r="G157" t="n">
        <v>5.8</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46106</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46106</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46106</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46106</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46106</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1704-2022</t>
        </is>
      </c>
      <c r="B164" s="1" t="n">
        <v>44574.42978009259</v>
      </c>
      <c r="C164" s="1" t="n">
        <v>46106</v>
      </c>
      <c r="D164" t="inlineStr">
        <is>
          <t>STOCKHOLMS LÄN</t>
        </is>
      </c>
      <c r="E164" t="inlineStr">
        <is>
          <t>NORRTÄLJE</t>
        </is>
      </c>
      <c r="G164" t="n">
        <v>6.2</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46106</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46106</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46106</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46106</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46106</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46106</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18905-2022</t>
        </is>
      </c>
      <c r="B171" s="1" t="n">
        <v>44690</v>
      </c>
      <c r="C171" s="1" t="n">
        <v>46106</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46106</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46106</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46106</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46106</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46106</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46106</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46106</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46106</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46106</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46106</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46106</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46106</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46106</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46106</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46106</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46106</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46106</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46106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46106</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46106</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46106</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46106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46106</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46106</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46106</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46106</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46106</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46106</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50970-2022</t>
        </is>
      </c>
      <c r="B202" s="1" t="n">
        <v>44867</v>
      </c>
      <c r="C202" s="1" t="n">
        <v>46106</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49113-2021</t>
        </is>
      </c>
      <c r="B203" s="1" t="n">
        <v>44453</v>
      </c>
      <c r="C203" s="1" t="n">
        <v>46106</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64628-2021</t>
        </is>
      </c>
      <c r="B204" s="1" t="n">
        <v>44511</v>
      </c>
      <c r="C204" s="1" t="n">
        <v>46106</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60209-2021</t>
        </is>
      </c>
      <c r="B205" s="1" t="n">
        <v>44495</v>
      </c>
      <c r="C205" s="1" t="n">
        <v>46106</v>
      </c>
      <c r="D205" t="inlineStr">
        <is>
          <t>STOCKHOLMS LÄN</t>
        </is>
      </c>
      <c r="E205" t="inlineStr">
        <is>
          <t>NORRTÄLJE</t>
        </is>
      </c>
      <c r="G205" t="n">
        <v>4.3</v>
      </c>
      <c r="H205" t="n">
        <v>0</v>
      </c>
      <c r="I205" t="n">
        <v>0</v>
      </c>
      <c r="J205" t="n">
        <v>0</v>
      </c>
      <c r="K205" t="n">
        <v>0</v>
      </c>
      <c r="L205" t="n">
        <v>0</v>
      </c>
      <c r="M205" t="n">
        <v>0</v>
      </c>
      <c r="N205" t="n">
        <v>0</v>
      </c>
      <c r="O205" t="n">
        <v>0</v>
      </c>
      <c r="P205" t="n">
        <v>0</v>
      </c>
      <c r="Q205" t="n">
        <v>0</v>
      </c>
      <c r="R205" s="2" t="inlineStr"/>
    </row>
    <row r="206" ht="15" customHeight="1">
      <c r="A206" t="inlineStr">
        <is>
          <t>A 17803-2022</t>
        </is>
      </c>
      <c r="B206" s="1" t="n">
        <v>44683</v>
      </c>
      <c r="C206" s="1" t="n">
        <v>46106</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46106</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46106</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46106</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46106</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64599-2021</t>
        </is>
      </c>
      <c r="B211" s="1" t="n">
        <v>44511.69885416667</v>
      </c>
      <c r="C211" s="1" t="n">
        <v>46106</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46106</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46106</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46106</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46106</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46106</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46106</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46106</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71871-2021</t>
        </is>
      </c>
      <c r="B219" s="1" t="n">
        <v>44543</v>
      </c>
      <c r="C219" s="1" t="n">
        <v>46106</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71873-2021</t>
        </is>
      </c>
      <c r="B220" s="1" t="n">
        <v>44543</v>
      </c>
      <c r="C220" s="1" t="n">
        <v>46106</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72355-2021</t>
        </is>
      </c>
      <c r="B221" s="1" t="n">
        <v>44545</v>
      </c>
      <c r="C221" s="1" t="n">
        <v>46106</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72357-2021</t>
        </is>
      </c>
      <c r="B222" s="1" t="n">
        <v>44545</v>
      </c>
      <c r="C222" s="1" t="n">
        <v>46106</v>
      </c>
      <c r="D222" t="inlineStr">
        <is>
          <t>STOCKHOLMS LÄN</t>
        </is>
      </c>
      <c r="E222" t="inlineStr">
        <is>
          <t>NORRTÄLJE</t>
        </is>
      </c>
      <c r="G222" t="n">
        <v>5.1</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46106</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60733-2021</t>
        </is>
      </c>
      <c r="B224" s="1" t="n">
        <v>44496.77542824074</v>
      </c>
      <c r="C224" s="1" t="n">
        <v>46106</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53884-2022</t>
        </is>
      </c>
      <c r="B225" s="1" t="n">
        <v>44880.68423611111</v>
      </c>
      <c r="C225" s="1" t="n">
        <v>46106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12357-2022</t>
        </is>
      </c>
      <c r="B226" s="1" t="n">
        <v>44637</v>
      </c>
      <c r="C226" s="1" t="n">
        <v>46106</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26335-2022</t>
        </is>
      </c>
      <c r="B227" s="1" t="n">
        <v>44735</v>
      </c>
      <c r="C227" s="1" t="n">
        <v>46106</v>
      </c>
      <c r="D227" t="inlineStr">
        <is>
          <t>STOCKHOLMS LÄN</t>
        </is>
      </c>
      <c r="E227" t="inlineStr">
        <is>
          <t>NORRTÄLJE</t>
        </is>
      </c>
      <c r="G227" t="n">
        <v>3.3</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46106</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52449-2021</t>
        </is>
      </c>
      <c r="B229" s="1" t="n">
        <v>44466.37496527778</v>
      </c>
      <c r="C229" s="1" t="n">
        <v>46106</v>
      </c>
      <c r="D229" t="inlineStr">
        <is>
          <t>STOCKHOLMS LÄN</t>
        </is>
      </c>
      <c r="E229" t="inlineStr">
        <is>
          <t>NORRTÄLJE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33046-2021</t>
        </is>
      </c>
      <c r="B230" s="1" t="n">
        <v>44376</v>
      </c>
      <c r="C230" s="1" t="n">
        <v>46106</v>
      </c>
      <c r="D230" t="inlineStr">
        <is>
          <t>STOCKHOLMS LÄN</t>
        </is>
      </c>
      <c r="E230" t="inlineStr">
        <is>
          <t>NORRTÄLJE</t>
        </is>
      </c>
      <c r="G230" t="n">
        <v>2.1</v>
      </c>
      <c r="H230" t="n">
        <v>0</v>
      </c>
      <c r="I230" t="n">
        <v>0</v>
      </c>
      <c r="J230" t="n">
        <v>0</v>
      </c>
      <c r="K230" t="n">
        <v>0</v>
      </c>
      <c r="L230" t="n">
        <v>0</v>
      </c>
      <c r="M230" t="n">
        <v>0</v>
      </c>
      <c r="N230" t="n">
        <v>0</v>
      </c>
      <c r="O230" t="n">
        <v>0</v>
      </c>
      <c r="P230" t="n">
        <v>0</v>
      </c>
      <c r="Q230" t="n">
        <v>0</v>
      </c>
      <c r="R230" s="2" t="inlineStr"/>
    </row>
    <row r="231" ht="15" customHeight="1">
      <c r="A231" t="inlineStr">
        <is>
          <t>A 26328-2022</t>
        </is>
      </c>
      <c r="B231" s="1" t="n">
        <v>44735</v>
      </c>
      <c r="C231" s="1" t="n">
        <v>46106</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15441-2021</t>
        </is>
      </c>
      <c r="B232" s="1" t="n">
        <v>44284</v>
      </c>
      <c r="C232" s="1" t="n">
        <v>46106</v>
      </c>
      <c r="D232" t="inlineStr">
        <is>
          <t>STOCKHOLMS LÄN</t>
        </is>
      </c>
      <c r="E232" t="inlineStr">
        <is>
          <t>NORRTÄLJE</t>
        </is>
      </c>
      <c r="G232" t="n">
        <v>27</v>
      </c>
      <c r="H232" t="n">
        <v>0</v>
      </c>
      <c r="I232" t="n">
        <v>0</v>
      </c>
      <c r="J232" t="n">
        <v>0</v>
      </c>
      <c r="K232" t="n">
        <v>0</v>
      </c>
      <c r="L232" t="n">
        <v>0</v>
      </c>
      <c r="M232" t="n">
        <v>0</v>
      </c>
      <c r="N232" t="n">
        <v>0</v>
      </c>
      <c r="O232" t="n">
        <v>0</v>
      </c>
      <c r="P232" t="n">
        <v>0</v>
      </c>
      <c r="Q232" t="n">
        <v>0</v>
      </c>
      <c r="R232" s="2" t="inlineStr"/>
    </row>
    <row r="233" ht="15" customHeight="1">
      <c r="A233" t="inlineStr">
        <is>
          <t>A 67598-2021</t>
        </is>
      </c>
      <c r="B233" s="1" t="n">
        <v>44524</v>
      </c>
      <c r="C233" s="1" t="n">
        <v>46106</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34520-2021</t>
        </is>
      </c>
      <c r="B234" s="1" t="n">
        <v>44379</v>
      </c>
      <c r="C234" s="1" t="n">
        <v>46106</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1968-2022</t>
        </is>
      </c>
      <c r="B235" s="1" t="n">
        <v>44575.52831018518</v>
      </c>
      <c r="C235" s="1" t="n">
        <v>46106</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1229-2022</t>
        </is>
      </c>
      <c r="B236" s="1" t="n">
        <v>44572</v>
      </c>
      <c r="C236" s="1" t="n">
        <v>46106</v>
      </c>
      <c r="D236" t="inlineStr">
        <is>
          <t>STOCKHOLMS LÄN</t>
        </is>
      </c>
      <c r="E236" t="inlineStr">
        <is>
          <t>NORRTÄLJE</t>
        </is>
      </c>
      <c r="G236" t="n">
        <v>11.5</v>
      </c>
      <c r="H236" t="n">
        <v>0</v>
      </c>
      <c r="I236" t="n">
        <v>0</v>
      </c>
      <c r="J236" t="n">
        <v>0</v>
      </c>
      <c r="K236" t="n">
        <v>0</v>
      </c>
      <c r="L236" t="n">
        <v>0</v>
      </c>
      <c r="M236" t="n">
        <v>0</v>
      </c>
      <c r="N236" t="n">
        <v>0</v>
      </c>
      <c r="O236" t="n">
        <v>0</v>
      </c>
      <c r="P236" t="n">
        <v>0</v>
      </c>
      <c r="Q236" t="n">
        <v>0</v>
      </c>
      <c r="R236" s="2" t="inlineStr"/>
    </row>
    <row r="237" ht="15" customHeight="1">
      <c r="A237" t="inlineStr">
        <is>
          <t>A 14051-2022</t>
        </is>
      </c>
      <c r="B237" s="1" t="n">
        <v>44650.92714120371</v>
      </c>
      <c r="C237" s="1" t="n">
        <v>46106</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24167-2022</t>
        </is>
      </c>
      <c r="B238" s="1" t="n">
        <v>44725.49491898148</v>
      </c>
      <c r="C238" s="1" t="n">
        <v>46106</v>
      </c>
      <c r="D238" t="inlineStr">
        <is>
          <t>STOCKHOLMS LÄN</t>
        </is>
      </c>
      <c r="E238" t="inlineStr">
        <is>
          <t>NORRTÄLJE</t>
        </is>
      </c>
      <c r="G238" t="n">
        <v>3.4</v>
      </c>
      <c r="H238" t="n">
        <v>0</v>
      </c>
      <c r="I238" t="n">
        <v>0</v>
      </c>
      <c r="J238" t="n">
        <v>0</v>
      </c>
      <c r="K238" t="n">
        <v>0</v>
      </c>
      <c r="L238" t="n">
        <v>0</v>
      </c>
      <c r="M238" t="n">
        <v>0</v>
      </c>
      <c r="N238" t="n">
        <v>0</v>
      </c>
      <c r="O238" t="n">
        <v>0</v>
      </c>
      <c r="P238" t="n">
        <v>0</v>
      </c>
      <c r="Q238" t="n">
        <v>0</v>
      </c>
      <c r="R238" s="2" t="inlineStr"/>
    </row>
    <row r="239" ht="15" customHeight="1">
      <c r="A239" t="inlineStr">
        <is>
          <t>A 42396-2021</t>
        </is>
      </c>
      <c r="B239" s="1" t="n">
        <v>44427</v>
      </c>
      <c r="C239" s="1" t="n">
        <v>46106</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46106</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46106</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12270-2022</t>
        </is>
      </c>
      <c r="B242" s="1" t="n">
        <v>44637</v>
      </c>
      <c r="C242" s="1" t="n">
        <v>46106</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46106</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46106</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5513-2022</t>
        </is>
      </c>
      <c r="B245" s="1" t="n">
        <v>44595</v>
      </c>
      <c r="C245" s="1" t="n">
        <v>46106</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46106</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41398-2022</t>
        </is>
      </c>
      <c r="B247" s="1" t="n">
        <v>44826</v>
      </c>
      <c r="C247" s="1" t="n">
        <v>46106</v>
      </c>
      <c r="D247" t="inlineStr">
        <is>
          <t>STOCKHOLMS LÄN</t>
        </is>
      </c>
      <c r="E247" t="inlineStr">
        <is>
          <t>NORRTÄLJE</t>
        </is>
      </c>
      <c r="G247" t="n">
        <v>1.4</v>
      </c>
      <c r="H247" t="n">
        <v>0</v>
      </c>
      <c r="I247" t="n">
        <v>0</v>
      </c>
      <c r="J247" t="n">
        <v>0</v>
      </c>
      <c r="K247" t="n">
        <v>0</v>
      </c>
      <c r="L247" t="n">
        <v>0</v>
      </c>
      <c r="M247" t="n">
        <v>0</v>
      </c>
      <c r="N247" t="n">
        <v>0</v>
      </c>
      <c r="O247" t="n">
        <v>0</v>
      </c>
      <c r="P247" t="n">
        <v>0</v>
      </c>
      <c r="Q247" t="n">
        <v>0</v>
      </c>
      <c r="R247" s="2" t="inlineStr"/>
    </row>
    <row r="248" ht="15" customHeight="1">
      <c r="A248" t="inlineStr">
        <is>
          <t>A 22369-2021</t>
        </is>
      </c>
      <c r="B248" s="1" t="n">
        <v>44326</v>
      </c>
      <c r="C248" s="1" t="n">
        <v>46106</v>
      </c>
      <c r="D248" t="inlineStr">
        <is>
          <t>STOCKHOLMS LÄN</t>
        </is>
      </c>
      <c r="E248" t="inlineStr">
        <is>
          <t>NORRTÄLJE</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19398-2021</t>
        </is>
      </c>
      <c r="B249" s="1" t="n">
        <v>44309</v>
      </c>
      <c r="C249" s="1" t="n">
        <v>46106</v>
      </c>
      <c r="D249" t="inlineStr">
        <is>
          <t>STOCKHOLMS LÄN</t>
        </is>
      </c>
      <c r="E249" t="inlineStr">
        <is>
          <t>NORRTÄLJE</t>
        </is>
      </c>
      <c r="F249" t="inlineStr">
        <is>
          <t>Kommuner</t>
        </is>
      </c>
      <c r="G249" t="n">
        <v>2.1</v>
      </c>
      <c r="H249" t="n">
        <v>0</v>
      </c>
      <c r="I249" t="n">
        <v>0</v>
      </c>
      <c r="J249" t="n">
        <v>0</v>
      </c>
      <c r="K249" t="n">
        <v>0</v>
      </c>
      <c r="L249" t="n">
        <v>0</v>
      </c>
      <c r="M249" t="n">
        <v>0</v>
      </c>
      <c r="N249" t="n">
        <v>0</v>
      </c>
      <c r="O249" t="n">
        <v>0</v>
      </c>
      <c r="P249" t="n">
        <v>0</v>
      </c>
      <c r="Q249" t="n">
        <v>0</v>
      </c>
      <c r="R249" s="2" t="inlineStr"/>
    </row>
    <row r="250" ht="15" customHeight="1">
      <c r="A250" t="inlineStr">
        <is>
          <t>A 45541-2022</t>
        </is>
      </c>
      <c r="B250" s="1" t="n">
        <v>44845.47672453704</v>
      </c>
      <c r="C250" s="1" t="n">
        <v>46106</v>
      </c>
      <c r="D250" t="inlineStr">
        <is>
          <t>STOCKHOLMS LÄN</t>
        </is>
      </c>
      <c r="E250" t="inlineStr">
        <is>
          <t>NORRTÄLJE</t>
        </is>
      </c>
      <c r="G250" t="n">
        <v>0.4</v>
      </c>
      <c r="H250" t="n">
        <v>0</v>
      </c>
      <c r="I250" t="n">
        <v>0</v>
      </c>
      <c r="J250" t="n">
        <v>0</v>
      </c>
      <c r="K250" t="n">
        <v>0</v>
      </c>
      <c r="L250" t="n">
        <v>0</v>
      </c>
      <c r="M250" t="n">
        <v>0</v>
      </c>
      <c r="N250" t="n">
        <v>0</v>
      </c>
      <c r="O250" t="n">
        <v>0</v>
      </c>
      <c r="P250" t="n">
        <v>0</v>
      </c>
      <c r="Q250" t="n">
        <v>0</v>
      </c>
      <c r="R250" s="2" t="inlineStr"/>
    </row>
    <row r="251" ht="15" customHeight="1">
      <c r="A251" t="inlineStr">
        <is>
          <t>A 68273-2021</t>
        </is>
      </c>
      <c r="B251" s="1" t="n">
        <v>44526</v>
      </c>
      <c r="C251" s="1" t="n">
        <v>46106</v>
      </c>
      <c r="D251" t="inlineStr">
        <is>
          <t>STOCKHOLMS LÄN</t>
        </is>
      </c>
      <c r="E251" t="inlineStr">
        <is>
          <t>NORRTÄLJE</t>
        </is>
      </c>
      <c r="G251" t="n">
        <v>5.3</v>
      </c>
      <c r="H251" t="n">
        <v>0</v>
      </c>
      <c r="I251" t="n">
        <v>0</v>
      </c>
      <c r="J251" t="n">
        <v>0</v>
      </c>
      <c r="K251" t="n">
        <v>0</v>
      </c>
      <c r="L251" t="n">
        <v>0</v>
      </c>
      <c r="M251" t="n">
        <v>0</v>
      </c>
      <c r="N251" t="n">
        <v>0</v>
      </c>
      <c r="O251" t="n">
        <v>0</v>
      </c>
      <c r="P251" t="n">
        <v>0</v>
      </c>
      <c r="Q251" t="n">
        <v>0</v>
      </c>
      <c r="R251" s="2" t="inlineStr"/>
    </row>
    <row r="252" ht="15" customHeight="1">
      <c r="A252" t="inlineStr">
        <is>
          <t>A 52139-2022</t>
        </is>
      </c>
      <c r="B252" s="1" t="n">
        <v>44868</v>
      </c>
      <c r="C252" s="1" t="n">
        <v>46106</v>
      </c>
      <c r="D252" t="inlineStr">
        <is>
          <t>STOCKHOLMS LÄN</t>
        </is>
      </c>
      <c r="E252" t="inlineStr">
        <is>
          <t>NORRTÄLJE</t>
        </is>
      </c>
      <c r="G252" t="n">
        <v>3.2</v>
      </c>
      <c r="H252" t="n">
        <v>0</v>
      </c>
      <c r="I252" t="n">
        <v>0</v>
      </c>
      <c r="J252" t="n">
        <v>0</v>
      </c>
      <c r="K252" t="n">
        <v>0</v>
      </c>
      <c r="L252" t="n">
        <v>0</v>
      </c>
      <c r="M252" t="n">
        <v>0</v>
      </c>
      <c r="N252" t="n">
        <v>0</v>
      </c>
      <c r="O252" t="n">
        <v>0</v>
      </c>
      <c r="P252" t="n">
        <v>0</v>
      </c>
      <c r="Q252" t="n">
        <v>0</v>
      </c>
      <c r="R252" s="2" t="inlineStr"/>
      <c r="U252">
        <f>HYPERLINK("https://klasma.github.io/Logging_0188/knärot/A 52139-2022 karta knärot.png", "A 52139-2022")</f>
        <v/>
      </c>
      <c r="V252">
        <f>HYPERLINK("https://klasma.github.io/Logging_0188/klagomål/A 52139-2022 FSC-klagomål.docx", "A 52139-2022")</f>
        <v/>
      </c>
      <c r="W252">
        <f>HYPERLINK("https://klasma.github.io/Logging_0188/klagomålsmail/A 52139-2022 FSC-klagomål mail.docx", "A 52139-2022")</f>
        <v/>
      </c>
      <c r="X252">
        <f>HYPERLINK("https://klasma.github.io/Logging_0188/tillsyn/A 52139-2022 tillsynsbegäran.docx", "A 52139-2022")</f>
        <v/>
      </c>
      <c r="Y252">
        <f>HYPERLINK("https://klasma.github.io/Logging_0188/tillsynsmail/A 52139-2022 tillsynsbegäran mail.docx", "A 52139-2022")</f>
        <v/>
      </c>
    </row>
    <row r="253" ht="15" customHeight="1">
      <c r="A253" t="inlineStr">
        <is>
          <t>A 17673-2021</t>
        </is>
      </c>
      <c r="B253" s="1" t="n">
        <v>44300</v>
      </c>
      <c r="C253" s="1" t="n">
        <v>46106</v>
      </c>
      <c r="D253" t="inlineStr">
        <is>
          <t>STOCKHOLMS LÄN</t>
        </is>
      </c>
      <c r="E253" t="inlineStr">
        <is>
          <t>NORRTÄLJE</t>
        </is>
      </c>
      <c r="G253" t="n">
        <v>1.1</v>
      </c>
      <c r="H253" t="n">
        <v>0</v>
      </c>
      <c r="I253" t="n">
        <v>0</v>
      </c>
      <c r="J253" t="n">
        <v>0</v>
      </c>
      <c r="K253" t="n">
        <v>0</v>
      </c>
      <c r="L253" t="n">
        <v>0</v>
      </c>
      <c r="M253" t="n">
        <v>0</v>
      </c>
      <c r="N253" t="n">
        <v>0</v>
      </c>
      <c r="O253" t="n">
        <v>0</v>
      </c>
      <c r="P253" t="n">
        <v>0</v>
      </c>
      <c r="Q253" t="n">
        <v>0</v>
      </c>
      <c r="R253" s="2" t="inlineStr"/>
      <c r="T253">
        <f>HYPERLINK("https://klasma.github.io/Logging_0188/kartor/A 17673-2021 karta.png", "A 17673-2021")</f>
        <v/>
      </c>
      <c r="V253">
        <f>HYPERLINK("https://klasma.github.io/Logging_0188/klagomål/A 17673-2021 FSC-klagomål.docx", "A 17673-2021")</f>
        <v/>
      </c>
      <c r="W253">
        <f>HYPERLINK("https://klasma.github.io/Logging_0188/klagomålsmail/A 17673-2021 FSC-klagomål mail.docx", "A 17673-2021")</f>
        <v/>
      </c>
      <c r="X253">
        <f>HYPERLINK("https://klasma.github.io/Logging_0188/tillsyn/A 17673-2021 tillsynsbegäran.docx", "A 17673-2021")</f>
        <v/>
      </c>
      <c r="Y253">
        <f>HYPERLINK("https://klasma.github.io/Logging_0188/tillsynsmail/A 17673-2021 tillsynsbegäran mail.docx", "A 17673-2021")</f>
        <v/>
      </c>
      <c r="Z253">
        <f>HYPERLINK("https://klasma.github.io/Logging_0188/fåglar/A 17673-2021 prioriterade fågelarter.docx", "A 17673-2021")</f>
        <v/>
      </c>
    </row>
    <row r="254" ht="15" customHeight="1">
      <c r="A254" t="inlineStr">
        <is>
          <t>A 27217-2021</t>
        </is>
      </c>
      <c r="B254" s="1" t="n">
        <v>44350</v>
      </c>
      <c r="C254" s="1" t="n">
        <v>46106</v>
      </c>
      <c r="D254" t="inlineStr">
        <is>
          <t>STOCKHOLMS LÄN</t>
        </is>
      </c>
      <c r="E254" t="inlineStr">
        <is>
          <t>NORRTÄLJE</t>
        </is>
      </c>
      <c r="G254" t="n">
        <v>5.5</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46106</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12875-2022</t>
        </is>
      </c>
      <c r="B256" s="1" t="n">
        <v>44642.55565972222</v>
      </c>
      <c r="C256" s="1" t="n">
        <v>46106</v>
      </c>
      <c r="D256" t="inlineStr">
        <is>
          <t>STOCKHOLMS LÄN</t>
        </is>
      </c>
      <c r="E256" t="inlineStr">
        <is>
          <t>NORRTÄLJE</t>
        </is>
      </c>
      <c r="G256" t="n">
        <v>1.6</v>
      </c>
      <c r="H256" t="n">
        <v>0</v>
      </c>
      <c r="I256" t="n">
        <v>0</v>
      </c>
      <c r="J256" t="n">
        <v>0</v>
      </c>
      <c r="K256" t="n">
        <v>0</v>
      </c>
      <c r="L256" t="n">
        <v>0</v>
      </c>
      <c r="M256" t="n">
        <v>0</v>
      </c>
      <c r="N256" t="n">
        <v>0</v>
      </c>
      <c r="O256" t="n">
        <v>0</v>
      </c>
      <c r="P256" t="n">
        <v>0</v>
      </c>
      <c r="Q256" t="n">
        <v>0</v>
      </c>
      <c r="R256" s="2" t="inlineStr"/>
    </row>
    <row r="257" ht="15" customHeight="1">
      <c r="A257" t="inlineStr">
        <is>
          <t>A 23453-2021</t>
        </is>
      </c>
      <c r="B257" s="1" t="n">
        <v>44333</v>
      </c>
      <c r="C257" s="1" t="n">
        <v>46106</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12355-2022</t>
        </is>
      </c>
      <c r="B258" s="1" t="n">
        <v>44637</v>
      </c>
      <c r="C258" s="1" t="n">
        <v>46106</v>
      </c>
      <c r="D258" t="inlineStr">
        <is>
          <t>STOCKHOLMS LÄN</t>
        </is>
      </c>
      <c r="E258" t="inlineStr">
        <is>
          <t>NORRTÄLJE</t>
        </is>
      </c>
      <c r="G258" t="n">
        <v>10.4</v>
      </c>
      <c r="H258" t="n">
        <v>0</v>
      </c>
      <c r="I258" t="n">
        <v>0</v>
      </c>
      <c r="J258" t="n">
        <v>0</v>
      </c>
      <c r="K258" t="n">
        <v>0</v>
      </c>
      <c r="L258" t="n">
        <v>0</v>
      </c>
      <c r="M258" t="n">
        <v>0</v>
      </c>
      <c r="N258" t="n">
        <v>0</v>
      </c>
      <c r="O258" t="n">
        <v>0</v>
      </c>
      <c r="P258" t="n">
        <v>0</v>
      </c>
      <c r="Q258" t="n">
        <v>0</v>
      </c>
      <c r="R258" s="2" t="inlineStr"/>
    </row>
    <row r="259" ht="15" customHeight="1">
      <c r="A259" t="inlineStr">
        <is>
          <t>A 41822-2021</t>
        </is>
      </c>
      <c r="B259" s="1" t="n">
        <v>44425</v>
      </c>
      <c r="C259" s="1" t="n">
        <v>46106</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41823-2021</t>
        </is>
      </c>
      <c r="B260" s="1" t="n">
        <v>44425</v>
      </c>
      <c r="C260" s="1" t="n">
        <v>46106</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7565-2022</t>
        </is>
      </c>
      <c r="B261" s="1" t="n">
        <v>44607</v>
      </c>
      <c r="C261" s="1" t="n">
        <v>46106</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27214-2021</t>
        </is>
      </c>
      <c r="B262" s="1" t="n">
        <v>44350</v>
      </c>
      <c r="C262" s="1" t="n">
        <v>46106</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20295-2022</t>
        </is>
      </c>
      <c r="B263" s="1" t="n">
        <v>44698</v>
      </c>
      <c r="C263" s="1" t="n">
        <v>46106</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37415-2021</t>
        </is>
      </c>
      <c r="B264" s="1" t="n">
        <v>44397</v>
      </c>
      <c r="C264" s="1" t="n">
        <v>46106</v>
      </c>
      <c r="D264" t="inlineStr">
        <is>
          <t>STOCKHOLMS LÄN</t>
        </is>
      </c>
      <c r="E264" t="inlineStr">
        <is>
          <t>NORRTÄLJE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8160-2022</t>
        </is>
      </c>
      <c r="B265" s="1" t="n">
        <v>44609</v>
      </c>
      <c r="C265" s="1" t="n">
        <v>46106</v>
      </c>
      <c r="D265" t="inlineStr">
        <is>
          <t>STOCKHOLMS LÄN</t>
        </is>
      </c>
      <c r="E265" t="inlineStr">
        <is>
          <t>NORRTÄLJE</t>
        </is>
      </c>
      <c r="G265" t="n">
        <v>3.9</v>
      </c>
      <c r="H265" t="n">
        <v>0</v>
      </c>
      <c r="I265" t="n">
        <v>0</v>
      </c>
      <c r="J265" t="n">
        <v>0</v>
      </c>
      <c r="K265" t="n">
        <v>0</v>
      </c>
      <c r="L265" t="n">
        <v>0</v>
      </c>
      <c r="M265" t="n">
        <v>0</v>
      </c>
      <c r="N265" t="n">
        <v>0</v>
      </c>
      <c r="O265" t="n">
        <v>0</v>
      </c>
      <c r="P265" t="n">
        <v>0</v>
      </c>
      <c r="Q265" t="n">
        <v>0</v>
      </c>
      <c r="R265" s="2" t="inlineStr"/>
    </row>
    <row r="266" ht="15" customHeight="1">
      <c r="A266" t="inlineStr">
        <is>
          <t>A 30286-2022</t>
        </is>
      </c>
      <c r="B266" s="1" t="n">
        <v>44760</v>
      </c>
      <c r="C266" s="1" t="n">
        <v>46106</v>
      </c>
      <c r="D266" t="inlineStr">
        <is>
          <t>STOCKHOLMS LÄN</t>
        </is>
      </c>
      <c r="E266" t="inlineStr">
        <is>
          <t>NORRTÄLJE</t>
        </is>
      </c>
      <c r="G266" t="n">
        <v>0.3</v>
      </c>
      <c r="H266" t="n">
        <v>0</v>
      </c>
      <c r="I266" t="n">
        <v>0</v>
      </c>
      <c r="J266" t="n">
        <v>0</v>
      </c>
      <c r="K266" t="n">
        <v>0</v>
      </c>
      <c r="L266" t="n">
        <v>0</v>
      </c>
      <c r="M266" t="n">
        <v>0</v>
      </c>
      <c r="N266" t="n">
        <v>0</v>
      </c>
      <c r="O266" t="n">
        <v>0</v>
      </c>
      <c r="P266" t="n">
        <v>0</v>
      </c>
      <c r="Q266" t="n">
        <v>0</v>
      </c>
      <c r="R266" s="2" t="inlineStr"/>
    </row>
    <row r="267" ht="15" customHeight="1">
      <c r="A267" t="inlineStr">
        <is>
          <t>A 39319-2022</t>
        </is>
      </c>
      <c r="B267" s="1" t="n">
        <v>44817.70516203704</v>
      </c>
      <c r="C267" s="1" t="n">
        <v>46106</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56219-2021</t>
        </is>
      </c>
      <c r="B268" s="1" t="n">
        <v>44477</v>
      </c>
      <c r="C268" s="1" t="n">
        <v>46106</v>
      </c>
      <c r="D268" t="inlineStr">
        <is>
          <t>STOCKHOLMS LÄN</t>
        </is>
      </c>
      <c r="E268" t="inlineStr">
        <is>
          <t>NORRTÄLJE</t>
        </is>
      </c>
      <c r="F268" t="inlineStr">
        <is>
          <t>Kommuner</t>
        </is>
      </c>
      <c r="G268" t="n">
        <v>2.3</v>
      </c>
      <c r="H268" t="n">
        <v>0</v>
      </c>
      <c r="I268" t="n">
        <v>0</v>
      </c>
      <c r="J268" t="n">
        <v>0</v>
      </c>
      <c r="K268" t="n">
        <v>0</v>
      </c>
      <c r="L268" t="n">
        <v>0</v>
      </c>
      <c r="M268" t="n">
        <v>0</v>
      </c>
      <c r="N268" t="n">
        <v>0</v>
      </c>
      <c r="O268" t="n">
        <v>0</v>
      </c>
      <c r="P268" t="n">
        <v>0</v>
      </c>
      <c r="Q268" t="n">
        <v>0</v>
      </c>
      <c r="R268" s="2" t="inlineStr"/>
    </row>
    <row r="269" ht="15" customHeight="1">
      <c r="A269" t="inlineStr">
        <is>
          <t>A 15226-2022</t>
        </is>
      </c>
      <c r="B269" s="1" t="n">
        <v>44658</v>
      </c>
      <c r="C269" s="1" t="n">
        <v>46106</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46106</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46106</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10521-2022</t>
        </is>
      </c>
      <c r="B272" s="1" t="n">
        <v>44623</v>
      </c>
      <c r="C272" s="1" t="n">
        <v>46106</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46106</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46106</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16117-2022</t>
        </is>
      </c>
      <c r="B275" s="1" t="n">
        <v>44665.65474537037</v>
      </c>
      <c r="C275" s="1" t="n">
        <v>46106</v>
      </c>
      <c r="D275" t="inlineStr">
        <is>
          <t>STOCKHOLMS LÄN</t>
        </is>
      </c>
      <c r="E275" t="inlineStr">
        <is>
          <t>NORRTÄLJE</t>
        </is>
      </c>
      <c r="G275" t="n">
        <v>8.1</v>
      </c>
      <c r="H275" t="n">
        <v>0</v>
      </c>
      <c r="I275" t="n">
        <v>0</v>
      </c>
      <c r="J275" t="n">
        <v>0</v>
      </c>
      <c r="K275" t="n">
        <v>0</v>
      </c>
      <c r="L275" t="n">
        <v>0</v>
      </c>
      <c r="M275" t="n">
        <v>0</v>
      </c>
      <c r="N275" t="n">
        <v>0</v>
      </c>
      <c r="O275" t="n">
        <v>0</v>
      </c>
      <c r="P275" t="n">
        <v>0</v>
      </c>
      <c r="Q275" t="n">
        <v>0</v>
      </c>
      <c r="R275" s="2" t="inlineStr"/>
    </row>
    <row r="276" ht="15" customHeight="1">
      <c r="A276" t="inlineStr">
        <is>
          <t>A 16132-2022</t>
        </is>
      </c>
      <c r="B276" s="1" t="n">
        <v>44665.78351851852</v>
      </c>
      <c r="C276" s="1" t="n">
        <v>46106</v>
      </c>
      <c r="D276" t="inlineStr">
        <is>
          <t>STOCKHOLMS LÄN</t>
        </is>
      </c>
      <c r="E276" t="inlineStr">
        <is>
          <t>NORRTÄLJE</t>
        </is>
      </c>
      <c r="G276" t="n">
        <v>4.4</v>
      </c>
      <c r="H276" t="n">
        <v>0</v>
      </c>
      <c r="I276" t="n">
        <v>0</v>
      </c>
      <c r="J276" t="n">
        <v>0</v>
      </c>
      <c r="K276" t="n">
        <v>0</v>
      </c>
      <c r="L276" t="n">
        <v>0</v>
      </c>
      <c r="M276" t="n">
        <v>0</v>
      </c>
      <c r="N276" t="n">
        <v>0</v>
      </c>
      <c r="O276" t="n">
        <v>0</v>
      </c>
      <c r="P276" t="n">
        <v>0</v>
      </c>
      <c r="Q276" t="n">
        <v>0</v>
      </c>
      <c r="R276" s="2" t="inlineStr"/>
    </row>
    <row r="277" ht="15" customHeight="1">
      <c r="A277" t="inlineStr">
        <is>
          <t>A 25463-2021</t>
        </is>
      </c>
      <c r="B277" s="1" t="n">
        <v>44342</v>
      </c>
      <c r="C277" s="1" t="n">
        <v>46106</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46106</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46106</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21102-2022</t>
        </is>
      </c>
      <c r="B280" s="1" t="n">
        <v>44704</v>
      </c>
      <c r="C280" s="1" t="n">
        <v>46106</v>
      </c>
      <c r="D280" t="inlineStr">
        <is>
          <t>STOCKHOLMS LÄN</t>
        </is>
      </c>
      <c r="E280" t="inlineStr">
        <is>
          <t>NORRTÄLJE</t>
        </is>
      </c>
      <c r="G280" t="n">
        <v>0.2</v>
      </c>
      <c r="H280" t="n">
        <v>0</v>
      </c>
      <c r="I280" t="n">
        <v>0</v>
      </c>
      <c r="J280" t="n">
        <v>0</v>
      </c>
      <c r="K280" t="n">
        <v>0</v>
      </c>
      <c r="L280" t="n">
        <v>0</v>
      </c>
      <c r="M280" t="n">
        <v>0</v>
      </c>
      <c r="N280" t="n">
        <v>0</v>
      </c>
      <c r="O280" t="n">
        <v>0</v>
      </c>
      <c r="P280" t="n">
        <v>0</v>
      </c>
      <c r="Q280" t="n">
        <v>0</v>
      </c>
      <c r="R280" s="2" t="inlineStr"/>
    </row>
    <row r="281" ht="15" customHeight="1">
      <c r="A281" t="inlineStr">
        <is>
          <t>A 24101-2022</t>
        </is>
      </c>
      <c r="B281" s="1" t="n">
        <v>44725</v>
      </c>
      <c r="C281" s="1" t="n">
        <v>46106</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46106</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46106</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46106</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46106</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46106</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46106</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27828-2022</t>
        </is>
      </c>
      <c r="B288" s="1" t="n">
        <v>44743.59765046297</v>
      </c>
      <c r="C288" s="1" t="n">
        <v>46106</v>
      </c>
      <c r="D288" t="inlineStr">
        <is>
          <t>STOCKHOLMS LÄN</t>
        </is>
      </c>
      <c r="E288" t="inlineStr">
        <is>
          <t>NORRTÄLJE</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16229-2022</t>
        </is>
      </c>
      <c r="B289" s="1" t="n">
        <v>44670.4190162037</v>
      </c>
      <c r="C289" s="1" t="n">
        <v>46106</v>
      </c>
      <c r="D289" t="inlineStr">
        <is>
          <t>STOCKHOLMS LÄN</t>
        </is>
      </c>
      <c r="E289" t="inlineStr">
        <is>
          <t>NORRTÄLJE</t>
        </is>
      </c>
      <c r="G289" t="n">
        <v>7.4</v>
      </c>
      <c r="H289" t="n">
        <v>0</v>
      </c>
      <c r="I289" t="n">
        <v>0</v>
      </c>
      <c r="J289" t="n">
        <v>0</v>
      </c>
      <c r="K289" t="n">
        <v>0</v>
      </c>
      <c r="L289" t="n">
        <v>0</v>
      </c>
      <c r="M289" t="n">
        <v>0</v>
      </c>
      <c r="N289" t="n">
        <v>0</v>
      </c>
      <c r="O289" t="n">
        <v>0</v>
      </c>
      <c r="P289" t="n">
        <v>0</v>
      </c>
      <c r="Q289" t="n">
        <v>0</v>
      </c>
      <c r="R289" s="2" t="inlineStr"/>
    </row>
    <row r="290" ht="15" customHeight="1">
      <c r="A290" t="inlineStr">
        <is>
          <t>A 15915-2023</t>
        </is>
      </c>
      <c r="B290" s="1" t="n">
        <v>45022</v>
      </c>
      <c r="C290" s="1" t="n">
        <v>46106</v>
      </c>
      <c r="D290" t="inlineStr">
        <is>
          <t>STOCKHOLMS LÄN</t>
        </is>
      </c>
      <c r="E290" t="inlineStr">
        <is>
          <t>NORRTÄLJE</t>
        </is>
      </c>
      <c r="G290" t="n">
        <v>2.9</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46106</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46106</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55696-2022</t>
        </is>
      </c>
      <c r="B293" s="1" t="n">
        <v>44888</v>
      </c>
      <c r="C293" s="1" t="n">
        <v>46106</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46106</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22412-2021</t>
        </is>
      </c>
      <c r="B295" s="1" t="n">
        <v>44326.61967592593</v>
      </c>
      <c r="C295" s="1" t="n">
        <v>46106</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46106</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46106</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46106</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13053-2022</t>
        </is>
      </c>
      <c r="B299" s="1" t="n">
        <v>44643</v>
      </c>
      <c r="C299" s="1" t="n">
        <v>46106</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46106</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46106</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48716-2023</t>
        </is>
      </c>
      <c r="B302" s="1" t="n">
        <v>45208.69671296296</v>
      </c>
      <c r="C302" s="1" t="n">
        <v>46106</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5027-2025</t>
        </is>
      </c>
      <c r="B303" s="1" t="n">
        <v>45691.41101851852</v>
      </c>
      <c r="C303" s="1" t="n">
        <v>46106</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12268-2022</t>
        </is>
      </c>
      <c r="B304" s="1" t="n">
        <v>44637</v>
      </c>
      <c r="C304" s="1" t="n">
        <v>46106</v>
      </c>
      <c r="D304" t="inlineStr">
        <is>
          <t>STOCKHOLMS LÄN</t>
        </is>
      </c>
      <c r="E304" t="inlineStr">
        <is>
          <t>NORRTÄLJE</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20015-2023</t>
        </is>
      </c>
      <c r="B305" s="1" t="n">
        <v>45054</v>
      </c>
      <c r="C305" s="1" t="n">
        <v>46106</v>
      </c>
      <c r="D305" t="inlineStr">
        <is>
          <t>STOCKHOLMS LÄN</t>
        </is>
      </c>
      <c r="E305" t="inlineStr">
        <is>
          <t>NORRTÄLJE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3273-2025</t>
        </is>
      </c>
      <c r="B306" s="1" t="n">
        <v>45679</v>
      </c>
      <c r="C306" s="1" t="n">
        <v>46106</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24245-2024</t>
        </is>
      </c>
      <c r="B307" s="1" t="n">
        <v>45457</v>
      </c>
      <c r="C307" s="1" t="n">
        <v>46106</v>
      </c>
      <c r="D307" t="inlineStr">
        <is>
          <t>STOCKHOLMS LÄN</t>
        </is>
      </c>
      <c r="E307" t="inlineStr">
        <is>
          <t>NORRTÄLJE</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21291-2021</t>
        </is>
      </c>
      <c r="B308" s="1" t="n">
        <v>44319</v>
      </c>
      <c r="C308" s="1" t="n">
        <v>46106</v>
      </c>
      <c r="D308" t="inlineStr">
        <is>
          <t>STOCKHOLMS LÄN</t>
        </is>
      </c>
      <c r="E308" t="inlineStr">
        <is>
          <t>NORRTÄLJE</t>
        </is>
      </c>
      <c r="G308" t="n">
        <v>12.7</v>
      </c>
      <c r="H308" t="n">
        <v>0</v>
      </c>
      <c r="I308" t="n">
        <v>0</v>
      </c>
      <c r="J308" t="n">
        <v>0</v>
      </c>
      <c r="K308" t="n">
        <v>0</v>
      </c>
      <c r="L308" t="n">
        <v>0</v>
      </c>
      <c r="M308" t="n">
        <v>0</v>
      </c>
      <c r="N308" t="n">
        <v>0</v>
      </c>
      <c r="O308" t="n">
        <v>0</v>
      </c>
      <c r="P308" t="n">
        <v>0</v>
      </c>
      <c r="Q308" t="n">
        <v>0</v>
      </c>
      <c r="R308" s="2" t="inlineStr"/>
    </row>
    <row r="309" ht="15" customHeight="1">
      <c r="A309" t="inlineStr">
        <is>
          <t>A 15256-2023</t>
        </is>
      </c>
      <c r="B309" s="1" t="n">
        <v>45019.3959837963</v>
      </c>
      <c r="C309" s="1" t="n">
        <v>46106</v>
      </c>
      <c r="D309" t="inlineStr">
        <is>
          <t>STOCKHOLMS LÄN</t>
        </is>
      </c>
      <c r="E309" t="inlineStr">
        <is>
          <t>NORRTÄLJE</t>
        </is>
      </c>
      <c r="G309" t="n">
        <v>2.4</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46106</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64145-2021</t>
        </is>
      </c>
      <c r="B311" s="1" t="n">
        <v>44510</v>
      </c>
      <c r="C311" s="1" t="n">
        <v>46106</v>
      </c>
      <c r="D311" t="inlineStr">
        <is>
          <t>STOCKHOLMS LÄN</t>
        </is>
      </c>
      <c r="E311" t="inlineStr">
        <is>
          <t>NORRTÄLJE</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1740-2023</t>
        </is>
      </c>
      <c r="B312" s="1" t="n">
        <v>44938</v>
      </c>
      <c r="C312" s="1" t="n">
        <v>46106</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4596-2023</t>
        </is>
      </c>
      <c r="B313" s="1" t="n">
        <v>44956</v>
      </c>
      <c r="C313" s="1" t="n">
        <v>46106</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13172-2025</t>
        </is>
      </c>
      <c r="B314" s="1" t="n">
        <v>45735.36873842592</v>
      </c>
      <c r="C314" s="1" t="n">
        <v>46106</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22456-2023</t>
        </is>
      </c>
      <c r="B315" s="1" t="n">
        <v>45070</v>
      </c>
      <c r="C315" s="1" t="n">
        <v>46106</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17785-2024</t>
        </is>
      </c>
      <c r="B316" s="1" t="n">
        <v>45418.6968287037</v>
      </c>
      <c r="C316" s="1" t="n">
        <v>46106</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10676-2025</t>
        </is>
      </c>
      <c r="B317" s="1" t="n">
        <v>45721.88684027778</v>
      </c>
      <c r="C317" s="1" t="n">
        <v>46106</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20852-2023</t>
        </is>
      </c>
      <c r="B318" s="1" t="n">
        <v>45058.78607638889</v>
      </c>
      <c r="C318" s="1" t="n">
        <v>46106</v>
      </c>
      <c r="D318" t="inlineStr">
        <is>
          <t>STOCKHOLMS LÄN</t>
        </is>
      </c>
      <c r="E318" t="inlineStr">
        <is>
          <t>NORRTÄLJE</t>
        </is>
      </c>
      <c r="G318" t="n">
        <v>3.5</v>
      </c>
      <c r="H318" t="n">
        <v>0</v>
      </c>
      <c r="I318" t="n">
        <v>0</v>
      </c>
      <c r="J318" t="n">
        <v>0</v>
      </c>
      <c r="K318" t="n">
        <v>0</v>
      </c>
      <c r="L318" t="n">
        <v>0</v>
      </c>
      <c r="M318" t="n">
        <v>0</v>
      </c>
      <c r="N318" t="n">
        <v>0</v>
      </c>
      <c r="O318" t="n">
        <v>0</v>
      </c>
      <c r="P318" t="n">
        <v>0</v>
      </c>
      <c r="Q318" t="n">
        <v>0</v>
      </c>
      <c r="R318" s="2" t="inlineStr"/>
    </row>
    <row r="319" ht="15" customHeight="1">
      <c r="A319" t="inlineStr">
        <is>
          <t>A 19982-2022</t>
        </is>
      </c>
      <c r="B319" s="1" t="n">
        <v>44697</v>
      </c>
      <c r="C319" s="1" t="n">
        <v>46106</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6678-2025</t>
        </is>
      </c>
      <c r="B320" s="1" t="n">
        <v>45700</v>
      </c>
      <c r="C320" s="1" t="n">
        <v>46106</v>
      </c>
      <c r="D320" t="inlineStr">
        <is>
          <t>STOCKHOLMS LÄN</t>
        </is>
      </c>
      <c r="E320" t="inlineStr">
        <is>
          <t>NORRTÄLJE</t>
        </is>
      </c>
      <c r="F320" t="inlineStr">
        <is>
          <t>Övriga Aktiebolag</t>
        </is>
      </c>
      <c r="G320" t="n">
        <v>6.6</v>
      </c>
      <c r="H320" t="n">
        <v>0</v>
      </c>
      <c r="I320" t="n">
        <v>0</v>
      </c>
      <c r="J320" t="n">
        <v>0</v>
      </c>
      <c r="K320" t="n">
        <v>0</v>
      </c>
      <c r="L320" t="n">
        <v>0</v>
      </c>
      <c r="M320" t="n">
        <v>0</v>
      </c>
      <c r="N320" t="n">
        <v>0</v>
      </c>
      <c r="O320" t="n">
        <v>0</v>
      </c>
      <c r="P320" t="n">
        <v>0</v>
      </c>
      <c r="Q320" t="n">
        <v>0</v>
      </c>
      <c r="R320" s="2" t="inlineStr"/>
    </row>
    <row r="321" ht="15" customHeight="1">
      <c r="A321" t="inlineStr">
        <is>
          <t>A 44917-2022</t>
        </is>
      </c>
      <c r="B321" s="1" t="n">
        <v>44841.52804398148</v>
      </c>
      <c r="C321" s="1" t="n">
        <v>46106</v>
      </c>
      <c r="D321" t="inlineStr">
        <is>
          <t>STOCKHOLMS LÄN</t>
        </is>
      </c>
      <c r="E321" t="inlineStr">
        <is>
          <t>NORRTÄLJE</t>
        </is>
      </c>
      <c r="F321" t="inlineStr">
        <is>
          <t>Holmen skog AB</t>
        </is>
      </c>
      <c r="G321" t="n">
        <v>3.3</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46106</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55012-2024</t>
        </is>
      </c>
      <c r="B323" s="1" t="n">
        <v>45621.34813657407</v>
      </c>
      <c r="C323" s="1" t="n">
        <v>46106</v>
      </c>
      <c r="D323" t="inlineStr">
        <is>
          <t>STOCKHOLMS LÄN</t>
        </is>
      </c>
      <c r="E323" t="inlineStr">
        <is>
          <t>NORRTÄLJE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50108-2021</t>
        </is>
      </c>
      <c r="B324" s="1" t="n">
        <v>44456</v>
      </c>
      <c r="C324" s="1" t="n">
        <v>46106</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55058-2021</t>
        </is>
      </c>
      <c r="B325" s="1" t="n">
        <v>44474.62141203704</v>
      </c>
      <c r="C325" s="1" t="n">
        <v>46106</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42867-2022</t>
        </is>
      </c>
      <c r="B326" s="1" t="n">
        <v>44832</v>
      </c>
      <c r="C326" s="1" t="n">
        <v>46106</v>
      </c>
      <c r="D326" t="inlineStr">
        <is>
          <t>STOCKHOLMS LÄN</t>
        </is>
      </c>
      <c r="E326" t="inlineStr">
        <is>
          <t>NORRTÄLJE</t>
        </is>
      </c>
      <c r="G326" t="n">
        <v>6.4</v>
      </c>
      <c r="H326" t="n">
        <v>0</v>
      </c>
      <c r="I326" t="n">
        <v>0</v>
      </c>
      <c r="J326" t="n">
        <v>0</v>
      </c>
      <c r="K326" t="n">
        <v>0</v>
      </c>
      <c r="L326" t="n">
        <v>0</v>
      </c>
      <c r="M326" t="n">
        <v>0</v>
      </c>
      <c r="N326" t="n">
        <v>0</v>
      </c>
      <c r="O326" t="n">
        <v>0</v>
      </c>
      <c r="P326" t="n">
        <v>0</v>
      </c>
      <c r="Q326" t="n">
        <v>0</v>
      </c>
      <c r="R326" s="2" t="inlineStr"/>
    </row>
    <row r="327" ht="15" customHeight="1">
      <c r="A327" t="inlineStr">
        <is>
          <t>A 7413-2024</t>
        </is>
      </c>
      <c r="B327" s="1" t="n">
        <v>45345.6059837963</v>
      </c>
      <c r="C327" s="1" t="n">
        <v>46106</v>
      </c>
      <c r="D327" t="inlineStr">
        <is>
          <t>STOCKHOLMS LÄN</t>
        </is>
      </c>
      <c r="E327" t="inlineStr">
        <is>
          <t>NORRTÄLJE</t>
        </is>
      </c>
      <c r="G327" t="n">
        <v>1.8</v>
      </c>
      <c r="H327" t="n">
        <v>0</v>
      </c>
      <c r="I327" t="n">
        <v>0</v>
      </c>
      <c r="J327" t="n">
        <v>0</v>
      </c>
      <c r="K327" t="n">
        <v>0</v>
      </c>
      <c r="L327" t="n">
        <v>0</v>
      </c>
      <c r="M327" t="n">
        <v>0</v>
      </c>
      <c r="N327" t="n">
        <v>0</v>
      </c>
      <c r="O327" t="n">
        <v>0</v>
      </c>
      <c r="P327" t="n">
        <v>0</v>
      </c>
      <c r="Q327" t="n">
        <v>0</v>
      </c>
      <c r="R327" s="2" t="inlineStr"/>
    </row>
    <row r="328" ht="15" customHeight="1">
      <c r="A328" t="inlineStr">
        <is>
          <t>A 12251-2025</t>
        </is>
      </c>
      <c r="B328" s="1" t="n">
        <v>45729.60859953704</v>
      </c>
      <c r="C328" s="1" t="n">
        <v>46106</v>
      </c>
      <c r="D328" t="inlineStr">
        <is>
          <t>STOCKHOLMS LÄN</t>
        </is>
      </c>
      <c r="E328" t="inlineStr">
        <is>
          <t>NORRTÄLJE</t>
        </is>
      </c>
      <c r="F328" t="inlineStr">
        <is>
          <t>Holmen skog AB</t>
        </is>
      </c>
      <c r="G328" t="n">
        <v>5.9</v>
      </c>
      <c r="H328" t="n">
        <v>0</v>
      </c>
      <c r="I328" t="n">
        <v>0</v>
      </c>
      <c r="J328" t="n">
        <v>0</v>
      </c>
      <c r="K328" t="n">
        <v>0</v>
      </c>
      <c r="L328" t="n">
        <v>0</v>
      </c>
      <c r="M328" t="n">
        <v>0</v>
      </c>
      <c r="N328" t="n">
        <v>0</v>
      </c>
      <c r="O328" t="n">
        <v>0</v>
      </c>
      <c r="P328" t="n">
        <v>0</v>
      </c>
      <c r="Q328" t="n">
        <v>0</v>
      </c>
      <c r="R328" s="2" t="inlineStr"/>
    </row>
    <row r="329" ht="15" customHeight="1">
      <c r="A329" t="inlineStr">
        <is>
          <t>A 58863-2024</t>
        </is>
      </c>
      <c r="B329" s="1" t="n">
        <v>45636.41572916666</v>
      </c>
      <c r="C329" s="1" t="n">
        <v>46106</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11900-2024</t>
        </is>
      </c>
      <c r="B330" s="1" t="n">
        <v>45376.55484953704</v>
      </c>
      <c r="C330" s="1" t="n">
        <v>46106</v>
      </c>
      <c r="D330" t="inlineStr">
        <is>
          <t>STOCKHOLMS LÄN</t>
        </is>
      </c>
      <c r="E330" t="inlineStr">
        <is>
          <t>NORRTÄLJE</t>
        </is>
      </c>
      <c r="G330" t="n">
        <v>4.2</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46106</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58277-2023</t>
        </is>
      </c>
      <c r="B332" s="1" t="n">
        <v>45245</v>
      </c>
      <c r="C332" s="1" t="n">
        <v>46106</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23749-2024</t>
        </is>
      </c>
      <c r="B333" s="1" t="n">
        <v>45455.33037037037</v>
      </c>
      <c r="C333" s="1" t="n">
        <v>46106</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11940-2023</t>
        </is>
      </c>
      <c r="B334" s="1" t="n">
        <v>44995</v>
      </c>
      <c r="C334" s="1" t="n">
        <v>46106</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32705-2022</t>
        </is>
      </c>
      <c r="B335" s="1" t="n">
        <v>44783</v>
      </c>
      <c r="C335" s="1" t="n">
        <v>46106</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39213-2022</t>
        </is>
      </c>
      <c r="B336" s="1" t="n">
        <v>44817.56120370371</v>
      </c>
      <c r="C336" s="1" t="n">
        <v>46106</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2281-2024</t>
        </is>
      </c>
      <c r="B337" s="1" t="n">
        <v>45310.40628472222</v>
      </c>
      <c r="C337" s="1" t="n">
        <v>46106</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50355-2024</t>
        </is>
      </c>
      <c r="B338" s="1" t="n">
        <v>45600.86128472222</v>
      </c>
      <c r="C338" s="1" t="n">
        <v>46106</v>
      </c>
      <c r="D338" t="inlineStr">
        <is>
          <t>STOCKHOLMS LÄN</t>
        </is>
      </c>
      <c r="E338" t="inlineStr">
        <is>
          <t>NORRTÄLJE</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47481-2024</t>
        </is>
      </c>
      <c r="B339" s="1" t="n">
        <v>45587</v>
      </c>
      <c r="C339" s="1" t="n">
        <v>46106</v>
      </c>
      <c r="D339" t="inlineStr">
        <is>
          <t>STOCKHOLMS LÄN</t>
        </is>
      </c>
      <c r="E339" t="inlineStr">
        <is>
          <t>NORRTÄLJE</t>
        </is>
      </c>
      <c r="G339" t="n">
        <v>0.5</v>
      </c>
      <c r="H339" t="n">
        <v>0</v>
      </c>
      <c r="I339" t="n">
        <v>0</v>
      </c>
      <c r="J339" t="n">
        <v>0</v>
      </c>
      <c r="K339" t="n">
        <v>0</v>
      </c>
      <c r="L339" t="n">
        <v>0</v>
      </c>
      <c r="M339" t="n">
        <v>0</v>
      </c>
      <c r="N339" t="n">
        <v>0</v>
      </c>
      <c r="O339" t="n">
        <v>0</v>
      </c>
      <c r="P339" t="n">
        <v>0</v>
      </c>
      <c r="Q339" t="n">
        <v>0</v>
      </c>
      <c r="R339" s="2" t="inlineStr"/>
    </row>
    <row r="340" ht="15" customHeight="1">
      <c r="A340" t="inlineStr">
        <is>
          <t>A 57037-2022</t>
        </is>
      </c>
      <c r="B340" s="1" t="n">
        <v>44895</v>
      </c>
      <c r="C340" s="1" t="n">
        <v>46106</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41976-2024</t>
        </is>
      </c>
      <c r="B341" s="1" t="n">
        <v>45561.62141203704</v>
      </c>
      <c r="C341" s="1" t="n">
        <v>46106</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46106</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60525-2022</t>
        </is>
      </c>
      <c r="B343" s="1" t="n">
        <v>44904</v>
      </c>
      <c r="C343" s="1" t="n">
        <v>46106</v>
      </c>
      <c r="D343" t="inlineStr">
        <is>
          <t>STOCKHOLMS LÄN</t>
        </is>
      </c>
      <c r="E343" t="inlineStr">
        <is>
          <t>NORRTÄLJE</t>
        </is>
      </c>
      <c r="G343" t="n">
        <v>13.4</v>
      </c>
      <c r="H343" t="n">
        <v>0</v>
      </c>
      <c r="I343" t="n">
        <v>0</v>
      </c>
      <c r="J343" t="n">
        <v>0</v>
      </c>
      <c r="K343" t="n">
        <v>0</v>
      </c>
      <c r="L343" t="n">
        <v>0</v>
      </c>
      <c r="M343" t="n">
        <v>0</v>
      </c>
      <c r="N343" t="n">
        <v>0</v>
      </c>
      <c r="O343" t="n">
        <v>0</v>
      </c>
      <c r="P343" t="n">
        <v>0</v>
      </c>
      <c r="Q343" t="n">
        <v>0</v>
      </c>
      <c r="R343" s="2" t="inlineStr"/>
    </row>
    <row r="344" ht="15" customHeight="1">
      <c r="A344" t="inlineStr">
        <is>
          <t>A 59534-2024</t>
        </is>
      </c>
      <c r="B344" s="1" t="n">
        <v>45638.5987037037</v>
      </c>
      <c r="C344" s="1" t="n">
        <v>46106</v>
      </c>
      <c r="D344" t="inlineStr">
        <is>
          <t>STOCKHOLMS LÄN</t>
        </is>
      </c>
      <c r="E344" t="inlineStr">
        <is>
          <t>NORRTÄLJE</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31107-2022</t>
        </is>
      </c>
      <c r="B345" s="1" t="n">
        <v>44769.66864583334</v>
      </c>
      <c r="C345" s="1" t="n">
        <v>46106</v>
      </c>
      <c r="D345" t="inlineStr">
        <is>
          <t>STOCKHOLMS LÄN</t>
        </is>
      </c>
      <c r="E345" t="inlineStr">
        <is>
          <t>NORRTÄLJE</t>
        </is>
      </c>
      <c r="G345" t="n">
        <v>3.8</v>
      </c>
      <c r="H345" t="n">
        <v>0</v>
      </c>
      <c r="I345" t="n">
        <v>0</v>
      </c>
      <c r="J345" t="n">
        <v>0</v>
      </c>
      <c r="K345" t="n">
        <v>0</v>
      </c>
      <c r="L345" t="n">
        <v>0</v>
      </c>
      <c r="M345" t="n">
        <v>0</v>
      </c>
      <c r="N345" t="n">
        <v>0</v>
      </c>
      <c r="O345" t="n">
        <v>0</v>
      </c>
      <c r="P345" t="n">
        <v>0</v>
      </c>
      <c r="Q345" t="n">
        <v>0</v>
      </c>
      <c r="R345" s="2" t="inlineStr"/>
    </row>
    <row r="346" ht="15" customHeight="1">
      <c r="A346" t="inlineStr">
        <is>
          <t>A 13860-2023</t>
        </is>
      </c>
      <c r="B346" s="1" t="n">
        <v>45007</v>
      </c>
      <c r="C346" s="1" t="n">
        <v>46106</v>
      </c>
      <c r="D346" t="inlineStr">
        <is>
          <t>STOCKHOLMS LÄN</t>
        </is>
      </c>
      <c r="E346" t="inlineStr">
        <is>
          <t>NORRTÄLJE</t>
        </is>
      </c>
      <c r="G346" t="n">
        <v>1.6</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46106</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46106</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46106</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23149-2024</t>
        </is>
      </c>
      <c r="B350" s="1" t="n">
        <v>45450.64208333333</v>
      </c>
      <c r="C350" s="1" t="n">
        <v>46106</v>
      </c>
      <c r="D350" t="inlineStr">
        <is>
          <t>STOCKHOLMS LÄN</t>
        </is>
      </c>
      <c r="E350" t="inlineStr">
        <is>
          <t>NORRTÄLJE</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23151-2024</t>
        </is>
      </c>
      <c r="B351" s="1" t="n">
        <v>45450</v>
      </c>
      <c r="C351" s="1" t="n">
        <v>46106</v>
      </c>
      <c r="D351" t="inlineStr">
        <is>
          <t>STOCKHOLMS LÄN</t>
        </is>
      </c>
      <c r="E351" t="inlineStr">
        <is>
          <t>NORRTÄLJE</t>
        </is>
      </c>
      <c r="F351" t="inlineStr">
        <is>
          <t>Kommuner</t>
        </is>
      </c>
      <c r="G351" t="n">
        <v>1.2</v>
      </c>
      <c r="H351" t="n">
        <v>0</v>
      </c>
      <c r="I351" t="n">
        <v>0</v>
      </c>
      <c r="J351" t="n">
        <v>0</v>
      </c>
      <c r="K351" t="n">
        <v>0</v>
      </c>
      <c r="L351" t="n">
        <v>0</v>
      </c>
      <c r="M351" t="n">
        <v>0</v>
      </c>
      <c r="N351" t="n">
        <v>0</v>
      </c>
      <c r="O351" t="n">
        <v>0</v>
      </c>
      <c r="P351" t="n">
        <v>0</v>
      </c>
      <c r="Q351" t="n">
        <v>0</v>
      </c>
      <c r="R351" s="2" t="inlineStr"/>
    </row>
    <row r="352" ht="15" customHeight="1">
      <c r="A352" t="inlineStr">
        <is>
          <t>A 21726-2022</t>
        </is>
      </c>
      <c r="B352" s="1" t="n">
        <v>44708</v>
      </c>
      <c r="C352" s="1" t="n">
        <v>46106</v>
      </c>
      <c r="D352" t="inlineStr">
        <is>
          <t>STOCKHOLMS LÄN</t>
        </is>
      </c>
      <c r="E352" t="inlineStr">
        <is>
          <t>NORRTÄLJE</t>
        </is>
      </c>
      <c r="G352" t="n">
        <v>0.2</v>
      </c>
      <c r="H352" t="n">
        <v>0</v>
      </c>
      <c r="I352" t="n">
        <v>0</v>
      </c>
      <c r="J352" t="n">
        <v>0</v>
      </c>
      <c r="K352" t="n">
        <v>0</v>
      </c>
      <c r="L352" t="n">
        <v>0</v>
      </c>
      <c r="M352" t="n">
        <v>0</v>
      </c>
      <c r="N352" t="n">
        <v>0</v>
      </c>
      <c r="O352" t="n">
        <v>0</v>
      </c>
      <c r="P352" t="n">
        <v>0</v>
      </c>
      <c r="Q352" t="n">
        <v>0</v>
      </c>
      <c r="R352" s="2" t="inlineStr"/>
    </row>
    <row r="353" ht="15" customHeight="1">
      <c r="A353" t="inlineStr">
        <is>
          <t>A 21739-2022</t>
        </is>
      </c>
      <c r="B353" s="1" t="n">
        <v>44708.36708333333</v>
      </c>
      <c r="C353" s="1" t="n">
        <v>46106</v>
      </c>
      <c r="D353" t="inlineStr">
        <is>
          <t>STOCKHOLMS LÄN</t>
        </is>
      </c>
      <c r="E353" t="inlineStr">
        <is>
          <t>NORRTÄLJE</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35210-2023</t>
        </is>
      </c>
      <c r="B354" s="1" t="n">
        <v>45145.63584490741</v>
      </c>
      <c r="C354" s="1" t="n">
        <v>46106</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52001-2023</t>
        </is>
      </c>
      <c r="B355" s="1" t="n">
        <v>45223</v>
      </c>
      <c r="C355" s="1" t="n">
        <v>46106</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50143-2023</t>
        </is>
      </c>
      <c r="B356" s="1" t="n">
        <v>45215</v>
      </c>
      <c r="C356" s="1" t="n">
        <v>46106</v>
      </c>
      <c r="D356" t="inlineStr">
        <is>
          <t>STOCKHOLMS LÄN</t>
        </is>
      </c>
      <c r="E356" t="inlineStr">
        <is>
          <t>NORRTÄLJE</t>
        </is>
      </c>
      <c r="G356" t="n">
        <v>10.3</v>
      </c>
      <c r="H356" t="n">
        <v>0</v>
      </c>
      <c r="I356" t="n">
        <v>0</v>
      </c>
      <c r="J356" t="n">
        <v>0</v>
      </c>
      <c r="K356" t="n">
        <v>0</v>
      </c>
      <c r="L356" t="n">
        <v>0</v>
      </c>
      <c r="M356" t="n">
        <v>0</v>
      </c>
      <c r="N356" t="n">
        <v>0</v>
      </c>
      <c r="O356" t="n">
        <v>0</v>
      </c>
      <c r="P356" t="n">
        <v>0</v>
      </c>
      <c r="Q356" t="n">
        <v>0</v>
      </c>
      <c r="R356" s="2" t="inlineStr"/>
    </row>
    <row r="357" ht="15" customHeight="1">
      <c r="A357" t="inlineStr">
        <is>
          <t>A 59767-2022</t>
        </is>
      </c>
      <c r="B357" s="1" t="n">
        <v>44900</v>
      </c>
      <c r="C357" s="1" t="n">
        <v>46106</v>
      </c>
      <c r="D357" t="inlineStr">
        <is>
          <t>STOCKHOLMS LÄN</t>
        </is>
      </c>
      <c r="E357" t="inlineStr">
        <is>
          <t>NORRTÄLJE</t>
        </is>
      </c>
      <c r="G357" t="n">
        <v>2.2</v>
      </c>
      <c r="H357" t="n">
        <v>0</v>
      </c>
      <c r="I357" t="n">
        <v>0</v>
      </c>
      <c r="J357" t="n">
        <v>0</v>
      </c>
      <c r="K357" t="n">
        <v>0</v>
      </c>
      <c r="L357" t="n">
        <v>0</v>
      </c>
      <c r="M357" t="n">
        <v>0</v>
      </c>
      <c r="N357" t="n">
        <v>0</v>
      </c>
      <c r="O357" t="n">
        <v>0</v>
      </c>
      <c r="P357" t="n">
        <v>0</v>
      </c>
      <c r="Q357" t="n">
        <v>0</v>
      </c>
      <c r="R357" s="2" t="inlineStr"/>
    </row>
    <row r="358" ht="15" customHeight="1">
      <c r="A358" t="inlineStr">
        <is>
          <t>A 60185-2024</t>
        </is>
      </c>
      <c r="B358" s="1" t="n">
        <v>45642.64634259259</v>
      </c>
      <c r="C358" s="1" t="n">
        <v>46106</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29176-2024</t>
        </is>
      </c>
      <c r="B359" s="1" t="n">
        <v>45482.53388888889</v>
      </c>
      <c r="C359" s="1" t="n">
        <v>46106</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36430-2024</t>
        </is>
      </c>
      <c r="B360" s="1" t="n">
        <v>45536</v>
      </c>
      <c r="C360" s="1" t="n">
        <v>46106</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48686-2023</t>
        </is>
      </c>
      <c r="B361" s="1" t="n">
        <v>45208</v>
      </c>
      <c r="C361" s="1" t="n">
        <v>46106</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48691-2023</t>
        </is>
      </c>
      <c r="B362" s="1" t="n">
        <v>45208</v>
      </c>
      <c r="C362" s="1" t="n">
        <v>46106</v>
      </c>
      <c r="D362" t="inlineStr">
        <is>
          <t>STOCKHOLMS LÄN</t>
        </is>
      </c>
      <c r="E362" t="inlineStr">
        <is>
          <t>NORRTÄLJE</t>
        </is>
      </c>
      <c r="G362" t="n">
        <v>5.8</v>
      </c>
      <c r="H362" t="n">
        <v>0</v>
      </c>
      <c r="I362" t="n">
        <v>0</v>
      </c>
      <c r="J362" t="n">
        <v>0</v>
      </c>
      <c r="K362" t="n">
        <v>0</v>
      </c>
      <c r="L362" t="n">
        <v>0</v>
      </c>
      <c r="M362" t="n">
        <v>0</v>
      </c>
      <c r="N362" t="n">
        <v>0</v>
      </c>
      <c r="O362" t="n">
        <v>0</v>
      </c>
      <c r="P362" t="n">
        <v>0</v>
      </c>
      <c r="Q362" t="n">
        <v>0</v>
      </c>
      <c r="R362" s="2" t="inlineStr"/>
    </row>
    <row r="363" ht="15" customHeight="1">
      <c r="A363" t="inlineStr">
        <is>
          <t>A 5823-2023</t>
        </is>
      </c>
      <c r="B363" s="1" t="n">
        <v>44963</v>
      </c>
      <c r="C363" s="1" t="n">
        <v>46106</v>
      </c>
      <c r="D363" t="inlineStr">
        <is>
          <t>STOCKHOLMS LÄN</t>
        </is>
      </c>
      <c r="E363" t="inlineStr">
        <is>
          <t>NORRTÄLJE</t>
        </is>
      </c>
      <c r="G363" t="n">
        <v>0.7</v>
      </c>
      <c r="H363" t="n">
        <v>0</v>
      </c>
      <c r="I363" t="n">
        <v>0</v>
      </c>
      <c r="J363" t="n">
        <v>0</v>
      </c>
      <c r="K363" t="n">
        <v>0</v>
      </c>
      <c r="L363" t="n">
        <v>0</v>
      </c>
      <c r="M363" t="n">
        <v>0</v>
      </c>
      <c r="N363" t="n">
        <v>0</v>
      </c>
      <c r="O363" t="n">
        <v>0</v>
      </c>
      <c r="P363" t="n">
        <v>0</v>
      </c>
      <c r="Q363" t="n">
        <v>0</v>
      </c>
      <c r="R363" s="2" t="inlineStr"/>
    </row>
    <row r="364" ht="15" customHeight="1">
      <c r="A364" t="inlineStr">
        <is>
          <t>A 51312-2023</t>
        </is>
      </c>
      <c r="B364" s="1" t="n">
        <v>45219.56697916667</v>
      </c>
      <c r="C364" s="1" t="n">
        <v>46106</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19915-2024</t>
        </is>
      </c>
      <c r="B365" s="1" t="n">
        <v>45433.58431712963</v>
      </c>
      <c r="C365" s="1" t="n">
        <v>46106</v>
      </c>
      <c r="D365" t="inlineStr">
        <is>
          <t>STOCKHOLMS LÄN</t>
        </is>
      </c>
      <c r="E365" t="inlineStr">
        <is>
          <t>NORRTÄLJE</t>
        </is>
      </c>
      <c r="G365" t="n">
        <v>2</v>
      </c>
      <c r="H365" t="n">
        <v>0</v>
      </c>
      <c r="I365" t="n">
        <v>0</v>
      </c>
      <c r="J365" t="n">
        <v>0</v>
      </c>
      <c r="K365" t="n">
        <v>0</v>
      </c>
      <c r="L365" t="n">
        <v>0</v>
      </c>
      <c r="M365" t="n">
        <v>0</v>
      </c>
      <c r="N365" t="n">
        <v>0</v>
      </c>
      <c r="O365" t="n">
        <v>0</v>
      </c>
      <c r="P365" t="n">
        <v>0</v>
      </c>
      <c r="Q365" t="n">
        <v>0</v>
      </c>
      <c r="R365" s="2" t="inlineStr"/>
    </row>
    <row r="366" ht="15" customHeight="1">
      <c r="A366" t="inlineStr">
        <is>
          <t>A 15217-2023</t>
        </is>
      </c>
      <c r="B366" s="1" t="n">
        <v>45019.28847222222</v>
      </c>
      <c r="C366" s="1" t="n">
        <v>46106</v>
      </c>
      <c r="D366" t="inlineStr">
        <is>
          <t>STOCKHOLMS LÄN</t>
        </is>
      </c>
      <c r="E366" t="inlineStr">
        <is>
          <t>NORRTÄLJE</t>
        </is>
      </c>
      <c r="G366" t="n">
        <v>3.6</v>
      </c>
      <c r="H366" t="n">
        <v>0</v>
      </c>
      <c r="I366" t="n">
        <v>0</v>
      </c>
      <c r="J366" t="n">
        <v>0</v>
      </c>
      <c r="K366" t="n">
        <v>0</v>
      </c>
      <c r="L366" t="n">
        <v>0</v>
      </c>
      <c r="M366" t="n">
        <v>0</v>
      </c>
      <c r="N366" t="n">
        <v>0</v>
      </c>
      <c r="O366" t="n">
        <v>0</v>
      </c>
      <c r="P366" t="n">
        <v>0</v>
      </c>
      <c r="Q366" t="n">
        <v>0</v>
      </c>
      <c r="R366" s="2" t="inlineStr"/>
    </row>
    <row r="367" ht="15" customHeight="1">
      <c r="A367" t="inlineStr">
        <is>
          <t>A 35640-2024</t>
        </is>
      </c>
      <c r="B367" s="1" t="n">
        <v>45531</v>
      </c>
      <c r="C367" s="1" t="n">
        <v>46106</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38990-2022</t>
        </is>
      </c>
      <c r="B368" s="1" t="n">
        <v>44816</v>
      </c>
      <c r="C368" s="1" t="n">
        <v>46106</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43212-2022</t>
        </is>
      </c>
      <c r="B369" s="1" t="n">
        <v>44834.38636574074</v>
      </c>
      <c r="C369" s="1" t="n">
        <v>46106</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4322-2023</t>
        </is>
      </c>
      <c r="B370" s="1" t="n">
        <v>44953.69298611111</v>
      </c>
      <c r="C370" s="1" t="n">
        <v>46106</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51653-2022</t>
        </is>
      </c>
      <c r="B371" s="1" t="n">
        <v>44867</v>
      </c>
      <c r="C371" s="1" t="n">
        <v>46106</v>
      </c>
      <c r="D371" t="inlineStr">
        <is>
          <t>STOCKHOLMS LÄN</t>
        </is>
      </c>
      <c r="E371" t="inlineStr">
        <is>
          <t>NORRTÄLJE</t>
        </is>
      </c>
      <c r="G371" t="n">
        <v>6.6</v>
      </c>
      <c r="H371" t="n">
        <v>0</v>
      </c>
      <c r="I371" t="n">
        <v>0</v>
      </c>
      <c r="J371" t="n">
        <v>0</v>
      </c>
      <c r="K371" t="n">
        <v>0</v>
      </c>
      <c r="L371" t="n">
        <v>0</v>
      </c>
      <c r="M371" t="n">
        <v>0</v>
      </c>
      <c r="N371" t="n">
        <v>0</v>
      </c>
      <c r="O371" t="n">
        <v>0</v>
      </c>
      <c r="P371" t="n">
        <v>0</v>
      </c>
      <c r="Q371" t="n">
        <v>0</v>
      </c>
      <c r="R371" s="2" t="inlineStr"/>
    </row>
    <row r="372" ht="15" customHeight="1">
      <c r="A372" t="inlineStr">
        <is>
          <t>A 17956-2025</t>
        </is>
      </c>
      <c r="B372" s="1" t="n">
        <v>45760.91174768518</v>
      </c>
      <c r="C372" s="1" t="n">
        <v>46106</v>
      </c>
      <c r="D372" t="inlineStr">
        <is>
          <t>STOCKHOLMS LÄN</t>
        </is>
      </c>
      <c r="E372" t="inlineStr">
        <is>
          <t>NORRTÄLJE</t>
        </is>
      </c>
      <c r="G372" t="n">
        <v>4.3</v>
      </c>
      <c r="H372" t="n">
        <v>0</v>
      </c>
      <c r="I372" t="n">
        <v>0</v>
      </c>
      <c r="J372" t="n">
        <v>0</v>
      </c>
      <c r="K372" t="n">
        <v>0</v>
      </c>
      <c r="L372" t="n">
        <v>0</v>
      </c>
      <c r="M372" t="n">
        <v>0</v>
      </c>
      <c r="N372" t="n">
        <v>0</v>
      </c>
      <c r="O372" t="n">
        <v>0</v>
      </c>
      <c r="P372" t="n">
        <v>0</v>
      </c>
      <c r="Q372" t="n">
        <v>0</v>
      </c>
      <c r="R372" s="2" t="inlineStr"/>
    </row>
    <row r="373" ht="15" customHeight="1">
      <c r="A373" t="inlineStr">
        <is>
          <t>A 875-2023</t>
        </is>
      </c>
      <c r="B373" s="1" t="n">
        <v>44931.65626157408</v>
      </c>
      <c r="C373" s="1" t="n">
        <v>46106</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31236-2022</t>
        </is>
      </c>
      <c r="B374" s="1" t="n">
        <v>44771</v>
      </c>
      <c r="C374" s="1" t="n">
        <v>46106</v>
      </c>
      <c r="D374" t="inlineStr">
        <is>
          <t>STOCKHOLMS LÄN</t>
        </is>
      </c>
      <c r="E374" t="inlineStr">
        <is>
          <t>NORRTÄLJE</t>
        </is>
      </c>
      <c r="G374" t="n">
        <v>1.7</v>
      </c>
      <c r="H374" t="n">
        <v>0</v>
      </c>
      <c r="I374" t="n">
        <v>0</v>
      </c>
      <c r="J374" t="n">
        <v>0</v>
      </c>
      <c r="K374" t="n">
        <v>0</v>
      </c>
      <c r="L374" t="n">
        <v>0</v>
      </c>
      <c r="M374" t="n">
        <v>0</v>
      </c>
      <c r="N374" t="n">
        <v>0</v>
      </c>
      <c r="O374" t="n">
        <v>0</v>
      </c>
      <c r="P374" t="n">
        <v>0</v>
      </c>
      <c r="Q374" t="n">
        <v>0</v>
      </c>
      <c r="R374" s="2" t="inlineStr"/>
    </row>
    <row r="375" ht="15" customHeight="1">
      <c r="A375" t="inlineStr">
        <is>
          <t>A 8315-2025</t>
        </is>
      </c>
      <c r="B375" s="1" t="n">
        <v>45708.61761574074</v>
      </c>
      <c r="C375" s="1" t="n">
        <v>46106</v>
      </c>
      <c r="D375" t="inlineStr">
        <is>
          <t>STOCKHOLMS LÄN</t>
        </is>
      </c>
      <c r="E375" t="inlineStr">
        <is>
          <t>NORRTÄLJE</t>
        </is>
      </c>
      <c r="G375" t="n">
        <v>3.9</v>
      </c>
      <c r="H375" t="n">
        <v>0</v>
      </c>
      <c r="I375" t="n">
        <v>0</v>
      </c>
      <c r="J375" t="n">
        <v>0</v>
      </c>
      <c r="K375" t="n">
        <v>0</v>
      </c>
      <c r="L375" t="n">
        <v>0</v>
      </c>
      <c r="M375" t="n">
        <v>0</v>
      </c>
      <c r="N375" t="n">
        <v>0</v>
      </c>
      <c r="O375" t="n">
        <v>0</v>
      </c>
      <c r="P375" t="n">
        <v>0</v>
      </c>
      <c r="Q375" t="n">
        <v>0</v>
      </c>
      <c r="R375" s="2" t="inlineStr"/>
    </row>
    <row r="376" ht="15" customHeight="1">
      <c r="A376" t="inlineStr">
        <is>
          <t>A 18665-2022</t>
        </is>
      </c>
      <c r="B376" s="1" t="n">
        <v>44687</v>
      </c>
      <c r="C376" s="1" t="n">
        <v>46106</v>
      </c>
      <c r="D376" t="inlineStr">
        <is>
          <t>STOCKHOLMS LÄN</t>
        </is>
      </c>
      <c r="E376" t="inlineStr">
        <is>
          <t>NORRTÄLJE</t>
        </is>
      </c>
      <c r="F376" t="inlineStr">
        <is>
          <t>Kyrkan</t>
        </is>
      </c>
      <c r="G376" t="n">
        <v>1.1</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46106</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52686-2024</t>
        </is>
      </c>
      <c r="B378" s="1" t="n">
        <v>45610.39271990741</v>
      </c>
      <c r="C378" s="1" t="n">
        <v>46106</v>
      </c>
      <c r="D378" t="inlineStr">
        <is>
          <t>STOCKHOLMS LÄN</t>
        </is>
      </c>
      <c r="E378" t="inlineStr">
        <is>
          <t>NORRTÄLJE</t>
        </is>
      </c>
      <c r="G378" t="n">
        <v>5.7</v>
      </c>
      <c r="H378" t="n">
        <v>0</v>
      </c>
      <c r="I378" t="n">
        <v>0</v>
      </c>
      <c r="J378" t="n">
        <v>0</v>
      </c>
      <c r="K378" t="n">
        <v>0</v>
      </c>
      <c r="L378" t="n">
        <v>0</v>
      </c>
      <c r="M378" t="n">
        <v>0</v>
      </c>
      <c r="N378" t="n">
        <v>0</v>
      </c>
      <c r="O378" t="n">
        <v>0</v>
      </c>
      <c r="P378" t="n">
        <v>0</v>
      </c>
      <c r="Q378" t="n">
        <v>0</v>
      </c>
      <c r="R378" s="2" t="inlineStr"/>
    </row>
    <row r="379" ht="15" customHeight="1">
      <c r="A379" t="inlineStr">
        <is>
          <t>A 20343-2024</t>
        </is>
      </c>
      <c r="B379" s="1" t="n">
        <v>45435.43466435185</v>
      </c>
      <c r="C379" s="1" t="n">
        <v>46106</v>
      </c>
      <c r="D379" t="inlineStr">
        <is>
          <t>STOCKHOLMS LÄN</t>
        </is>
      </c>
      <c r="E379" t="inlineStr">
        <is>
          <t>NORRTÄLJE</t>
        </is>
      </c>
      <c r="G379" t="n">
        <v>2.8</v>
      </c>
      <c r="H379" t="n">
        <v>0</v>
      </c>
      <c r="I379" t="n">
        <v>0</v>
      </c>
      <c r="J379" t="n">
        <v>0</v>
      </c>
      <c r="K379" t="n">
        <v>0</v>
      </c>
      <c r="L379" t="n">
        <v>0</v>
      </c>
      <c r="M379" t="n">
        <v>0</v>
      </c>
      <c r="N379" t="n">
        <v>0</v>
      </c>
      <c r="O379" t="n">
        <v>0</v>
      </c>
      <c r="P379" t="n">
        <v>0</v>
      </c>
      <c r="Q379" t="n">
        <v>0</v>
      </c>
      <c r="R379" s="2" t="inlineStr"/>
    </row>
    <row r="380" ht="15" customHeight="1">
      <c r="A380" t="inlineStr">
        <is>
          <t>A 20345-2024</t>
        </is>
      </c>
      <c r="B380" s="1" t="n">
        <v>45435.43820601852</v>
      </c>
      <c r="C380" s="1" t="n">
        <v>46106</v>
      </c>
      <c r="D380" t="inlineStr">
        <is>
          <t>STOCKHOLMS LÄN</t>
        </is>
      </c>
      <c r="E380" t="inlineStr">
        <is>
          <t>NORRTÄLJE</t>
        </is>
      </c>
      <c r="G380" t="n">
        <v>3.8</v>
      </c>
      <c r="H380" t="n">
        <v>0</v>
      </c>
      <c r="I380" t="n">
        <v>0</v>
      </c>
      <c r="J380" t="n">
        <v>0</v>
      </c>
      <c r="K380" t="n">
        <v>0</v>
      </c>
      <c r="L380" t="n">
        <v>0</v>
      </c>
      <c r="M380" t="n">
        <v>0</v>
      </c>
      <c r="N380" t="n">
        <v>0</v>
      </c>
      <c r="O380" t="n">
        <v>0</v>
      </c>
      <c r="P380" t="n">
        <v>0</v>
      </c>
      <c r="Q380" t="n">
        <v>0</v>
      </c>
      <c r="R380" s="2" t="inlineStr"/>
    </row>
    <row r="381" ht="15" customHeight="1">
      <c r="A381" t="inlineStr">
        <is>
          <t>A 9765-2024</t>
        </is>
      </c>
      <c r="B381" s="1" t="n">
        <v>45362.62811342593</v>
      </c>
      <c r="C381" s="1" t="n">
        <v>46106</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59875-2024</t>
        </is>
      </c>
      <c r="B382" s="1" t="n">
        <v>45640.58716435185</v>
      </c>
      <c r="C382" s="1" t="n">
        <v>46106</v>
      </c>
      <c r="D382" t="inlineStr">
        <is>
          <t>STOCKHOLMS LÄN</t>
        </is>
      </c>
      <c r="E382" t="inlineStr">
        <is>
          <t>NORRTÄLJE</t>
        </is>
      </c>
      <c r="G382" t="n">
        <v>0.3</v>
      </c>
      <c r="H382" t="n">
        <v>0</v>
      </c>
      <c r="I382" t="n">
        <v>0</v>
      </c>
      <c r="J382" t="n">
        <v>0</v>
      </c>
      <c r="K382" t="n">
        <v>0</v>
      </c>
      <c r="L382" t="n">
        <v>0</v>
      </c>
      <c r="M382" t="n">
        <v>0</v>
      </c>
      <c r="N382" t="n">
        <v>0</v>
      </c>
      <c r="O382" t="n">
        <v>0</v>
      </c>
      <c r="P382" t="n">
        <v>0</v>
      </c>
      <c r="Q382" t="n">
        <v>0</v>
      </c>
      <c r="R382" s="2" t="inlineStr"/>
    </row>
    <row r="383" ht="15" customHeight="1">
      <c r="A383" t="inlineStr">
        <is>
          <t>A 38591-2023</t>
        </is>
      </c>
      <c r="B383" s="1" t="n">
        <v>45162</v>
      </c>
      <c r="C383" s="1" t="n">
        <v>46106</v>
      </c>
      <c r="D383" t="inlineStr">
        <is>
          <t>STOCKHOLMS LÄN</t>
        </is>
      </c>
      <c r="E383" t="inlineStr">
        <is>
          <t>NORRTÄLJE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11-2024</t>
        </is>
      </c>
      <c r="B384" s="1" t="n">
        <v>45293</v>
      </c>
      <c r="C384" s="1" t="n">
        <v>46106</v>
      </c>
      <c r="D384" t="inlineStr">
        <is>
          <t>STOCKHOLMS LÄN</t>
        </is>
      </c>
      <c r="E384" t="inlineStr">
        <is>
          <t>NORRTÄLJE</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14559-2024</t>
        </is>
      </c>
      <c r="B385" s="1" t="n">
        <v>45394.72869212963</v>
      </c>
      <c r="C385" s="1" t="n">
        <v>46106</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30338-2022</t>
        </is>
      </c>
      <c r="B386" s="1" t="n">
        <v>44760</v>
      </c>
      <c r="C386" s="1" t="n">
        <v>46106</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2888-2022</t>
        </is>
      </c>
      <c r="B387" s="1" t="n">
        <v>44581</v>
      </c>
      <c r="C387" s="1" t="n">
        <v>46106</v>
      </c>
      <c r="D387" t="inlineStr">
        <is>
          <t>STOCKHOLMS LÄN</t>
        </is>
      </c>
      <c r="E387" t="inlineStr">
        <is>
          <t>NORRTÄLJE</t>
        </is>
      </c>
      <c r="G387" t="n">
        <v>2.4</v>
      </c>
      <c r="H387" t="n">
        <v>0</v>
      </c>
      <c r="I387" t="n">
        <v>0</v>
      </c>
      <c r="J387" t="n">
        <v>0</v>
      </c>
      <c r="K387" t="n">
        <v>0</v>
      </c>
      <c r="L387" t="n">
        <v>0</v>
      </c>
      <c r="M387" t="n">
        <v>0</v>
      </c>
      <c r="N387" t="n">
        <v>0</v>
      </c>
      <c r="O387" t="n">
        <v>0</v>
      </c>
      <c r="P387" t="n">
        <v>0</v>
      </c>
      <c r="Q387" t="n">
        <v>0</v>
      </c>
      <c r="R387" s="2" t="inlineStr"/>
    </row>
    <row r="388" ht="15" customHeight="1">
      <c r="A388" t="inlineStr">
        <is>
          <t>A 25525-2022</t>
        </is>
      </c>
      <c r="B388" s="1" t="n">
        <v>44732</v>
      </c>
      <c r="C388" s="1" t="n">
        <v>46106</v>
      </c>
      <c r="D388" t="inlineStr">
        <is>
          <t>STOCKHOLMS LÄN</t>
        </is>
      </c>
      <c r="E388" t="inlineStr">
        <is>
          <t>NORRTÄLJE</t>
        </is>
      </c>
      <c r="G388" t="n">
        <v>2.2</v>
      </c>
      <c r="H388" t="n">
        <v>0</v>
      </c>
      <c r="I388" t="n">
        <v>0</v>
      </c>
      <c r="J388" t="n">
        <v>0</v>
      </c>
      <c r="K388" t="n">
        <v>0</v>
      </c>
      <c r="L388" t="n">
        <v>0</v>
      </c>
      <c r="M388" t="n">
        <v>0</v>
      </c>
      <c r="N388" t="n">
        <v>0</v>
      </c>
      <c r="O388" t="n">
        <v>0</v>
      </c>
      <c r="P388" t="n">
        <v>0</v>
      </c>
      <c r="Q388" t="n">
        <v>0</v>
      </c>
      <c r="R388" s="2" t="inlineStr"/>
    </row>
    <row r="389" ht="15" customHeight="1">
      <c r="A389" t="inlineStr">
        <is>
          <t>A 12302-2025</t>
        </is>
      </c>
      <c r="B389" s="1" t="n">
        <v>45729.72851851852</v>
      </c>
      <c r="C389" s="1" t="n">
        <v>46106</v>
      </c>
      <c r="D389" t="inlineStr">
        <is>
          <t>STOCKHOLMS LÄN</t>
        </is>
      </c>
      <c r="E389" t="inlineStr">
        <is>
          <t>NORRTÄLJE</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46106</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38889-2024</t>
        </is>
      </c>
      <c r="B391" s="1" t="n">
        <v>45547</v>
      </c>
      <c r="C391" s="1" t="n">
        <v>46106</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45451-2024</t>
        </is>
      </c>
      <c r="B392" s="1" t="n">
        <v>45576</v>
      </c>
      <c r="C392" s="1" t="n">
        <v>46106</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26644-2024</t>
        </is>
      </c>
      <c r="B393" s="1" t="n">
        <v>45469</v>
      </c>
      <c r="C393" s="1" t="n">
        <v>46106</v>
      </c>
      <c r="D393" t="inlineStr">
        <is>
          <t>STOCKHOLMS LÄN</t>
        </is>
      </c>
      <c r="E393" t="inlineStr">
        <is>
          <t>NORRTÄLJE</t>
        </is>
      </c>
      <c r="G393" t="n">
        <v>4.3</v>
      </c>
      <c r="H393" t="n">
        <v>0</v>
      </c>
      <c r="I393" t="n">
        <v>0</v>
      </c>
      <c r="J393" t="n">
        <v>0</v>
      </c>
      <c r="K393" t="n">
        <v>0</v>
      </c>
      <c r="L393" t="n">
        <v>0</v>
      </c>
      <c r="M393" t="n">
        <v>0</v>
      </c>
      <c r="N393" t="n">
        <v>0</v>
      </c>
      <c r="O393" t="n">
        <v>0</v>
      </c>
      <c r="P393" t="n">
        <v>0</v>
      </c>
      <c r="Q393" t="n">
        <v>0</v>
      </c>
      <c r="R393" s="2" t="inlineStr"/>
    </row>
    <row r="394" ht="15" customHeight="1">
      <c r="A394" t="inlineStr">
        <is>
          <t>A 38720-2025</t>
        </is>
      </c>
      <c r="B394" s="1" t="n">
        <v>45886</v>
      </c>
      <c r="C394" s="1" t="n">
        <v>46106</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27554-2025</t>
        </is>
      </c>
      <c r="B395" s="1" t="n">
        <v>45813.4709375</v>
      </c>
      <c r="C395" s="1" t="n">
        <v>46106</v>
      </c>
      <c r="D395" t="inlineStr">
        <is>
          <t>STOCKHOLMS LÄN</t>
        </is>
      </c>
      <c r="E395" t="inlineStr">
        <is>
          <t>NORRTÄLJE</t>
        </is>
      </c>
      <c r="F395" t="inlineStr">
        <is>
          <t>Övriga Aktiebolag</t>
        </is>
      </c>
      <c r="G395" t="n">
        <v>2.5</v>
      </c>
      <c r="H395" t="n">
        <v>0</v>
      </c>
      <c r="I395" t="n">
        <v>0</v>
      </c>
      <c r="J395" t="n">
        <v>0</v>
      </c>
      <c r="K395" t="n">
        <v>0</v>
      </c>
      <c r="L395" t="n">
        <v>0</v>
      </c>
      <c r="M395" t="n">
        <v>0</v>
      </c>
      <c r="N395" t="n">
        <v>0</v>
      </c>
      <c r="O395" t="n">
        <v>0</v>
      </c>
      <c r="P395" t="n">
        <v>0</v>
      </c>
      <c r="Q395" t="n">
        <v>0</v>
      </c>
      <c r="R395" s="2" t="inlineStr"/>
    </row>
    <row r="396" ht="15" customHeight="1">
      <c r="A396" t="inlineStr">
        <is>
          <t>A 2982-2023</t>
        </is>
      </c>
      <c r="B396" s="1" t="n">
        <v>44945.67409722223</v>
      </c>
      <c r="C396" s="1" t="n">
        <v>46106</v>
      </c>
      <c r="D396" t="inlineStr">
        <is>
          <t>STOCKHOLMS LÄN</t>
        </is>
      </c>
      <c r="E396" t="inlineStr">
        <is>
          <t>NORRTÄLJE</t>
        </is>
      </c>
      <c r="G396" t="n">
        <v>3.3</v>
      </c>
      <c r="H396" t="n">
        <v>0</v>
      </c>
      <c r="I396" t="n">
        <v>0</v>
      </c>
      <c r="J396" t="n">
        <v>0</v>
      </c>
      <c r="K396" t="n">
        <v>0</v>
      </c>
      <c r="L396" t="n">
        <v>0</v>
      </c>
      <c r="M396" t="n">
        <v>0</v>
      </c>
      <c r="N396" t="n">
        <v>0</v>
      </c>
      <c r="O396" t="n">
        <v>0</v>
      </c>
      <c r="P396" t="n">
        <v>0</v>
      </c>
      <c r="Q396" t="n">
        <v>0</v>
      </c>
      <c r="R396" s="2" t="inlineStr"/>
    </row>
    <row r="397" ht="15" customHeight="1">
      <c r="A397" t="inlineStr">
        <is>
          <t>A 12535-2025</t>
        </is>
      </c>
      <c r="B397" s="1" t="n">
        <v>45730.69502314815</v>
      </c>
      <c r="C397" s="1" t="n">
        <v>46106</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6874-2026</t>
        </is>
      </c>
      <c r="B398" s="1" t="n">
        <v>46057.45295138889</v>
      </c>
      <c r="C398" s="1" t="n">
        <v>46106</v>
      </c>
      <c r="D398" t="inlineStr">
        <is>
          <t>STOCKHOLMS LÄN</t>
        </is>
      </c>
      <c r="E398" t="inlineStr">
        <is>
          <t>NORRTÄLJE</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37136-2023</t>
        </is>
      </c>
      <c r="B399" s="1" t="n">
        <v>45155</v>
      </c>
      <c r="C399" s="1" t="n">
        <v>46106</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27700-2025</t>
        </is>
      </c>
      <c r="B400" s="1" t="n">
        <v>45813.6799537037</v>
      </c>
      <c r="C400" s="1" t="n">
        <v>46106</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18787-2022</t>
        </is>
      </c>
      <c r="B401" s="1" t="n">
        <v>44687</v>
      </c>
      <c r="C401" s="1" t="n">
        <v>46106</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13718-2022</t>
        </is>
      </c>
      <c r="B402" s="1" t="n">
        <v>44649</v>
      </c>
      <c r="C402" s="1" t="n">
        <v>46106</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25621-2022</t>
        </is>
      </c>
      <c r="B403" s="1" t="n">
        <v>44732</v>
      </c>
      <c r="C403" s="1" t="n">
        <v>46106</v>
      </c>
      <c r="D403" t="inlineStr">
        <is>
          <t>STOCKHOLMS LÄN</t>
        </is>
      </c>
      <c r="E403" t="inlineStr">
        <is>
          <t>NORRTÄLJE</t>
        </is>
      </c>
      <c r="G403" t="n">
        <v>3.1</v>
      </c>
      <c r="H403" t="n">
        <v>0</v>
      </c>
      <c r="I403" t="n">
        <v>0</v>
      </c>
      <c r="J403" t="n">
        <v>0</v>
      </c>
      <c r="K403" t="n">
        <v>0</v>
      </c>
      <c r="L403" t="n">
        <v>0</v>
      </c>
      <c r="M403" t="n">
        <v>0</v>
      </c>
      <c r="N403" t="n">
        <v>0</v>
      </c>
      <c r="O403" t="n">
        <v>0</v>
      </c>
      <c r="P403" t="n">
        <v>0</v>
      </c>
      <c r="Q403" t="n">
        <v>0</v>
      </c>
      <c r="R403" s="2" t="inlineStr"/>
    </row>
    <row r="404" ht="15" customHeight="1">
      <c r="A404" t="inlineStr">
        <is>
          <t>A 6532-2026</t>
        </is>
      </c>
      <c r="B404" s="1" t="n">
        <v>46056.41300925926</v>
      </c>
      <c r="C404" s="1" t="n">
        <v>46106</v>
      </c>
      <c r="D404" t="inlineStr">
        <is>
          <t>STOCKHOLMS LÄN</t>
        </is>
      </c>
      <c r="E404" t="inlineStr">
        <is>
          <t>NORRTÄLJE</t>
        </is>
      </c>
      <c r="G404" t="n">
        <v>2.2</v>
      </c>
      <c r="H404" t="n">
        <v>0</v>
      </c>
      <c r="I404" t="n">
        <v>0</v>
      </c>
      <c r="J404" t="n">
        <v>0</v>
      </c>
      <c r="K404" t="n">
        <v>0</v>
      </c>
      <c r="L404" t="n">
        <v>0</v>
      </c>
      <c r="M404" t="n">
        <v>0</v>
      </c>
      <c r="N404" t="n">
        <v>0</v>
      </c>
      <c r="O404" t="n">
        <v>0</v>
      </c>
      <c r="P404" t="n">
        <v>0</v>
      </c>
      <c r="Q404" t="n">
        <v>0</v>
      </c>
      <c r="R404" s="2" t="inlineStr"/>
    </row>
    <row r="405" ht="15" customHeight="1">
      <c r="A405" t="inlineStr">
        <is>
          <t>A 27697-2025</t>
        </is>
      </c>
      <c r="B405" s="1" t="n">
        <v>45813.66961805556</v>
      </c>
      <c r="C405" s="1" t="n">
        <v>46106</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27802-2025</t>
        </is>
      </c>
      <c r="B406" s="1" t="n">
        <v>45817.2565625</v>
      </c>
      <c r="C406" s="1" t="n">
        <v>46106</v>
      </c>
      <c r="D406" t="inlineStr">
        <is>
          <t>STOCKHOLMS LÄN</t>
        </is>
      </c>
      <c r="E406" t="inlineStr">
        <is>
          <t>NORRTÄLJE</t>
        </is>
      </c>
      <c r="G406" t="n">
        <v>3</v>
      </c>
      <c r="H406" t="n">
        <v>0</v>
      </c>
      <c r="I406" t="n">
        <v>0</v>
      </c>
      <c r="J406" t="n">
        <v>0</v>
      </c>
      <c r="K406" t="n">
        <v>0</v>
      </c>
      <c r="L406" t="n">
        <v>0</v>
      </c>
      <c r="M406" t="n">
        <v>0</v>
      </c>
      <c r="N406" t="n">
        <v>0</v>
      </c>
      <c r="O406" t="n">
        <v>0</v>
      </c>
      <c r="P406" t="n">
        <v>0</v>
      </c>
      <c r="Q406" t="n">
        <v>0</v>
      </c>
      <c r="R406" s="2" t="inlineStr"/>
    </row>
    <row r="407" ht="15" customHeight="1">
      <c r="A407" t="inlineStr">
        <is>
          <t>A 27806-2025</t>
        </is>
      </c>
      <c r="B407" s="1" t="n">
        <v>45817.30329861111</v>
      </c>
      <c r="C407" s="1" t="n">
        <v>46106</v>
      </c>
      <c r="D407" t="inlineStr">
        <is>
          <t>STOCKHOLMS LÄN</t>
        </is>
      </c>
      <c r="E407" t="inlineStr">
        <is>
          <t>NORRTÄLJE</t>
        </is>
      </c>
      <c r="G407" t="n">
        <v>3</v>
      </c>
      <c r="H407" t="n">
        <v>0</v>
      </c>
      <c r="I407" t="n">
        <v>0</v>
      </c>
      <c r="J407" t="n">
        <v>0</v>
      </c>
      <c r="K407" t="n">
        <v>0</v>
      </c>
      <c r="L407" t="n">
        <v>0</v>
      </c>
      <c r="M407" t="n">
        <v>0</v>
      </c>
      <c r="N407" t="n">
        <v>0</v>
      </c>
      <c r="O407" t="n">
        <v>0</v>
      </c>
      <c r="P407" t="n">
        <v>0</v>
      </c>
      <c r="Q407" t="n">
        <v>0</v>
      </c>
      <c r="R407" s="2" t="inlineStr"/>
    </row>
    <row r="408" ht="15" customHeight="1">
      <c r="A408" t="inlineStr">
        <is>
          <t>A 27808-2025</t>
        </is>
      </c>
      <c r="B408" s="1" t="n">
        <v>45817.31085648148</v>
      </c>
      <c r="C408" s="1" t="n">
        <v>46106</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27810-2025</t>
        </is>
      </c>
      <c r="B409" s="1" t="n">
        <v>45817.31708333334</v>
      </c>
      <c r="C409" s="1" t="n">
        <v>46106</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27811-2025</t>
        </is>
      </c>
      <c r="B410" s="1" t="n">
        <v>45817.31986111111</v>
      </c>
      <c r="C410" s="1" t="n">
        <v>46106</v>
      </c>
      <c r="D410" t="inlineStr">
        <is>
          <t>STOCKHOLMS LÄN</t>
        </is>
      </c>
      <c r="E410" t="inlineStr">
        <is>
          <t>NORRTÄLJE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27818-2025</t>
        </is>
      </c>
      <c r="B411" s="1" t="n">
        <v>45817.33503472222</v>
      </c>
      <c r="C411" s="1" t="n">
        <v>46106</v>
      </c>
      <c r="D411" t="inlineStr">
        <is>
          <t>STOCKHOLMS LÄN</t>
        </is>
      </c>
      <c r="E411" t="inlineStr">
        <is>
          <t>NORRTÄLJE</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6701-2026</t>
        </is>
      </c>
      <c r="B412" s="1" t="n">
        <v>46056</v>
      </c>
      <c r="C412" s="1" t="n">
        <v>46106</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36269-2022</t>
        </is>
      </c>
      <c r="B413" s="1" t="n">
        <v>44803</v>
      </c>
      <c r="C413" s="1" t="n">
        <v>46106</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36308-2022</t>
        </is>
      </c>
      <c r="B414" s="1" t="n">
        <v>44803</v>
      </c>
      <c r="C414" s="1" t="n">
        <v>46106</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38593-2025</t>
        </is>
      </c>
      <c r="B415" s="1" t="n">
        <v>45884.48696759259</v>
      </c>
      <c r="C415" s="1" t="n">
        <v>46106</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27801-2025</t>
        </is>
      </c>
      <c r="B416" s="1" t="n">
        <v>45817.25471064815</v>
      </c>
      <c r="C416" s="1" t="n">
        <v>46106</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6919-2025</t>
        </is>
      </c>
      <c r="B417" s="1" t="n">
        <v>45701.44372685185</v>
      </c>
      <c r="C417" s="1" t="n">
        <v>46106</v>
      </c>
      <c r="D417" t="inlineStr">
        <is>
          <t>STOCKHOLMS LÄN</t>
        </is>
      </c>
      <c r="E417" t="inlineStr">
        <is>
          <t>NORRTÄLJE</t>
        </is>
      </c>
      <c r="G417" t="n">
        <v>3.5</v>
      </c>
      <c r="H417" t="n">
        <v>0</v>
      </c>
      <c r="I417" t="n">
        <v>0</v>
      </c>
      <c r="J417" t="n">
        <v>0</v>
      </c>
      <c r="K417" t="n">
        <v>0</v>
      </c>
      <c r="L417" t="n">
        <v>0</v>
      </c>
      <c r="M417" t="n">
        <v>0</v>
      </c>
      <c r="N417" t="n">
        <v>0</v>
      </c>
      <c r="O417" t="n">
        <v>0</v>
      </c>
      <c r="P417" t="n">
        <v>0</v>
      </c>
      <c r="Q417" t="n">
        <v>0</v>
      </c>
      <c r="R417" s="2" t="inlineStr"/>
    </row>
    <row r="418" ht="15" customHeight="1">
      <c r="A418" t="inlineStr">
        <is>
          <t>A 32100-2022</t>
        </is>
      </c>
      <c r="B418" s="1" t="n">
        <v>44778</v>
      </c>
      <c r="C418" s="1" t="n">
        <v>46106</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11332-2025</t>
        </is>
      </c>
      <c r="B419" s="1" t="n">
        <v>45726.48152777777</v>
      </c>
      <c r="C419" s="1" t="n">
        <v>46106</v>
      </c>
      <c r="D419" t="inlineStr">
        <is>
          <t>STOCKHOLMS LÄN</t>
        </is>
      </c>
      <c r="E419" t="inlineStr">
        <is>
          <t>NORRTÄLJE</t>
        </is>
      </c>
      <c r="G419" t="n">
        <v>4.6</v>
      </c>
      <c r="H419" t="n">
        <v>0</v>
      </c>
      <c r="I419" t="n">
        <v>0</v>
      </c>
      <c r="J419" t="n">
        <v>0</v>
      </c>
      <c r="K419" t="n">
        <v>0</v>
      </c>
      <c r="L419" t="n">
        <v>0</v>
      </c>
      <c r="M419" t="n">
        <v>0</v>
      </c>
      <c r="N419" t="n">
        <v>0</v>
      </c>
      <c r="O419" t="n">
        <v>0</v>
      </c>
      <c r="P419" t="n">
        <v>0</v>
      </c>
      <c r="Q419" t="n">
        <v>0</v>
      </c>
      <c r="R419" s="2" t="inlineStr"/>
    </row>
    <row r="420" ht="15" customHeight="1">
      <c r="A420" t="inlineStr">
        <is>
          <t>A 37444-2021</t>
        </is>
      </c>
      <c r="B420" s="1" t="n">
        <v>44398</v>
      </c>
      <c r="C420" s="1" t="n">
        <v>46106</v>
      </c>
      <c r="D420" t="inlineStr">
        <is>
          <t>STOCKHOLMS LÄN</t>
        </is>
      </c>
      <c r="E420" t="inlineStr">
        <is>
          <t>NORRTÄLJE</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30886-2022</t>
        </is>
      </c>
      <c r="B421" s="1" t="n">
        <v>44767.60601851852</v>
      </c>
      <c r="C421" s="1" t="n">
        <v>46106</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27803-2025</t>
        </is>
      </c>
      <c r="B422" s="1" t="n">
        <v>45817.291875</v>
      </c>
      <c r="C422" s="1" t="n">
        <v>46106</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27813-2025</t>
        </is>
      </c>
      <c r="B423" s="1" t="n">
        <v>45817.32538194444</v>
      </c>
      <c r="C423" s="1" t="n">
        <v>46106</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27821-2025</t>
        </is>
      </c>
      <c r="B424" s="1" t="n">
        <v>45817.34083333334</v>
      </c>
      <c r="C424" s="1" t="n">
        <v>46106</v>
      </c>
      <c r="D424" t="inlineStr">
        <is>
          <t>STOCKHOLMS LÄN</t>
        </is>
      </c>
      <c r="E424" t="inlineStr">
        <is>
          <t>NORRTÄLJE</t>
        </is>
      </c>
      <c r="G424" t="n">
        <v>3.2</v>
      </c>
      <c r="H424" t="n">
        <v>0</v>
      </c>
      <c r="I424" t="n">
        <v>0</v>
      </c>
      <c r="J424" t="n">
        <v>0</v>
      </c>
      <c r="K424" t="n">
        <v>0</v>
      </c>
      <c r="L424" t="n">
        <v>0</v>
      </c>
      <c r="M424" t="n">
        <v>0</v>
      </c>
      <c r="N424" t="n">
        <v>0</v>
      </c>
      <c r="O424" t="n">
        <v>0</v>
      </c>
      <c r="P424" t="n">
        <v>0</v>
      </c>
      <c r="Q424" t="n">
        <v>0</v>
      </c>
      <c r="R424" s="2" t="inlineStr"/>
    </row>
    <row r="425" ht="15" customHeight="1">
      <c r="A425" t="inlineStr">
        <is>
          <t>A 9654-2022</t>
        </is>
      </c>
      <c r="B425" s="1" t="n">
        <v>44617</v>
      </c>
      <c r="C425" s="1" t="n">
        <v>46106</v>
      </c>
      <c r="D425" t="inlineStr">
        <is>
          <t>STOCKHOLMS LÄN</t>
        </is>
      </c>
      <c r="E425" t="inlineStr">
        <is>
          <t>NORRTÄLJE</t>
        </is>
      </c>
      <c r="G425" t="n">
        <v>6.4</v>
      </c>
      <c r="H425" t="n">
        <v>0</v>
      </c>
      <c r="I425" t="n">
        <v>0</v>
      </c>
      <c r="J425" t="n">
        <v>0</v>
      </c>
      <c r="K425" t="n">
        <v>0</v>
      </c>
      <c r="L425" t="n">
        <v>0</v>
      </c>
      <c r="M425" t="n">
        <v>0</v>
      </c>
      <c r="N425" t="n">
        <v>0</v>
      </c>
      <c r="O425" t="n">
        <v>0</v>
      </c>
      <c r="P425" t="n">
        <v>0</v>
      </c>
      <c r="Q425" t="n">
        <v>0</v>
      </c>
      <c r="R425" s="2" t="inlineStr"/>
    </row>
    <row r="426" ht="15" customHeight="1">
      <c r="A426" t="inlineStr">
        <is>
          <t>A 1453-2025</t>
        </is>
      </c>
      <c r="B426" s="1" t="n">
        <v>45670.3079050926</v>
      </c>
      <c r="C426" s="1" t="n">
        <v>46106</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5804-2025</t>
        </is>
      </c>
      <c r="B427" s="1" t="n">
        <v>45694.68207175926</v>
      </c>
      <c r="C427" s="1" t="n">
        <v>46106</v>
      </c>
      <c r="D427" t="inlineStr">
        <is>
          <t>STOCKHOLMS LÄN</t>
        </is>
      </c>
      <c r="E427" t="inlineStr">
        <is>
          <t>NORRTÄLJE</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15528-2025</t>
        </is>
      </c>
      <c r="B428" s="1" t="n">
        <v>45747.63471064815</v>
      </c>
      <c r="C428" s="1" t="n">
        <v>46106</v>
      </c>
      <c r="D428" t="inlineStr">
        <is>
          <t>STOCKHOLMS LÄN</t>
        </is>
      </c>
      <c r="E428" t="inlineStr">
        <is>
          <t>NORRTÄLJE</t>
        </is>
      </c>
      <c r="G428" t="n">
        <v>10</v>
      </c>
      <c r="H428" t="n">
        <v>0</v>
      </c>
      <c r="I428" t="n">
        <v>0</v>
      </c>
      <c r="J428" t="n">
        <v>0</v>
      </c>
      <c r="K428" t="n">
        <v>0</v>
      </c>
      <c r="L428" t="n">
        <v>0</v>
      </c>
      <c r="M428" t="n">
        <v>0</v>
      </c>
      <c r="N428" t="n">
        <v>0</v>
      </c>
      <c r="O428" t="n">
        <v>0</v>
      </c>
      <c r="P428" t="n">
        <v>0</v>
      </c>
      <c r="Q428" t="n">
        <v>0</v>
      </c>
      <c r="R428" s="2" t="inlineStr"/>
    </row>
    <row r="429" ht="15" customHeight="1">
      <c r="A429" t="inlineStr">
        <is>
          <t>A 11901-2024</t>
        </is>
      </c>
      <c r="B429" s="1" t="n">
        <v>45376.55638888889</v>
      </c>
      <c r="C429" s="1" t="n">
        <v>46106</v>
      </c>
      <c r="D429" t="inlineStr">
        <is>
          <t>STOCKHOLMS LÄN</t>
        </is>
      </c>
      <c r="E429" t="inlineStr">
        <is>
          <t>NORRTÄLJE</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50907-2022</t>
        </is>
      </c>
      <c r="B430" s="1" t="n">
        <v>44867.62090277778</v>
      </c>
      <c r="C430" s="1" t="n">
        <v>46106</v>
      </c>
      <c r="D430" t="inlineStr">
        <is>
          <t>STOCKHOLMS LÄN</t>
        </is>
      </c>
      <c r="E430" t="inlineStr">
        <is>
          <t>NORRTÄLJE</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27677-2025</t>
        </is>
      </c>
      <c r="B431" s="1" t="n">
        <v>45813.63650462963</v>
      </c>
      <c r="C431" s="1" t="n">
        <v>46106</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29003-2023</t>
        </is>
      </c>
      <c r="B432" s="1" t="n">
        <v>45104</v>
      </c>
      <c r="C432" s="1" t="n">
        <v>46106</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39152-2025</t>
        </is>
      </c>
      <c r="B433" s="1" t="n">
        <v>45888</v>
      </c>
      <c r="C433" s="1" t="n">
        <v>46106</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33295-2023</t>
        </is>
      </c>
      <c r="B434" s="1" t="n">
        <v>45127.69371527778</v>
      </c>
      <c r="C434" s="1" t="n">
        <v>46106</v>
      </c>
      <c r="D434" t="inlineStr">
        <is>
          <t>STOCKHOLMS LÄN</t>
        </is>
      </c>
      <c r="E434" t="inlineStr">
        <is>
          <t>NORRTÄLJE</t>
        </is>
      </c>
      <c r="F434" t="inlineStr">
        <is>
          <t>Holmen skog AB</t>
        </is>
      </c>
      <c r="G434" t="n">
        <v>2</v>
      </c>
      <c r="H434" t="n">
        <v>0</v>
      </c>
      <c r="I434" t="n">
        <v>0</v>
      </c>
      <c r="J434" t="n">
        <v>0</v>
      </c>
      <c r="K434" t="n">
        <v>0</v>
      </c>
      <c r="L434" t="n">
        <v>0</v>
      </c>
      <c r="M434" t="n">
        <v>0</v>
      </c>
      <c r="N434" t="n">
        <v>0</v>
      </c>
      <c r="O434" t="n">
        <v>0</v>
      </c>
      <c r="P434" t="n">
        <v>0</v>
      </c>
      <c r="Q434" t="n">
        <v>0</v>
      </c>
      <c r="R434" s="2" t="inlineStr"/>
    </row>
    <row r="435" ht="15" customHeight="1">
      <c r="A435" t="inlineStr">
        <is>
          <t>A 14127-2025</t>
        </is>
      </c>
      <c r="B435" s="1" t="n">
        <v>45740.47055555556</v>
      </c>
      <c r="C435" s="1" t="n">
        <v>46106</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16980-2023</t>
        </is>
      </c>
      <c r="B436" s="1" t="n">
        <v>45033</v>
      </c>
      <c r="C436" s="1" t="n">
        <v>46106</v>
      </c>
      <c r="D436" t="inlineStr">
        <is>
          <t>STOCKHOLMS LÄN</t>
        </is>
      </c>
      <c r="E436" t="inlineStr">
        <is>
          <t>NORRTÄLJE</t>
        </is>
      </c>
      <c r="G436" t="n">
        <v>2.3</v>
      </c>
      <c r="H436" t="n">
        <v>0</v>
      </c>
      <c r="I436" t="n">
        <v>0</v>
      </c>
      <c r="J436" t="n">
        <v>0</v>
      </c>
      <c r="K436" t="n">
        <v>0</v>
      </c>
      <c r="L436" t="n">
        <v>0</v>
      </c>
      <c r="M436" t="n">
        <v>0</v>
      </c>
      <c r="N436" t="n">
        <v>0</v>
      </c>
      <c r="O436" t="n">
        <v>0</v>
      </c>
      <c r="P436" t="n">
        <v>0</v>
      </c>
      <c r="Q436" t="n">
        <v>0</v>
      </c>
      <c r="R436" s="2" t="inlineStr"/>
    </row>
    <row r="437" ht="15" customHeight="1">
      <c r="A437" t="inlineStr">
        <is>
          <t>A 32595-2023</t>
        </is>
      </c>
      <c r="B437" s="1" t="n">
        <v>45121</v>
      </c>
      <c r="C437" s="1" t="n">
        <v>46106</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39149-2025</t>
        </is>
      </c>
      <c r="B438" s="1" t="n">
        <v>45888.60714120371</v>
      </c>
      <c r="C438" s="1" t="n">
        <v>46106</v>
      </c>
      <c r="D438" t="inlineStr">
        <is>
          <t>STOCKHOLMS LÄN</t>
        </is>
      </c>
      <c r="E438" t="inlineStr">
        <is>
          <t>NORRTÄLJE</t>
        </is>
      </c>
      <c r="G438" t="n">
        <v>3.5</v>
      </c>
      <c r="H438" t="n">
        <v>0</v>
      </c>
      <c r="I438" t="n">
        <v>0</v>
      </c>
      <c r="J438" t="n">
        <v>0</v>
      </c>
      <c r="K438" t="n">
        <v>0</v>
      </c>
      <c r="L438" t="n">
        <v>0</v>
      </c>
      <c r="M438" t="n">
        <v>0</v>
      </c>
      <c r="N438" t="n">
        <v>0</v>
      </c>
      <c r="O438" t="n">
        <v>0</v>
      </c>
      <c r="P438" t="n">
        <v>0</v>
      </c>
      <c r="Q438" t="n">
        <v>0</v>
      </c>
      <c r="R438" s="2" t="inlineStr"/>
    </row>
    <row r="439" ht="15" customHeight="1">
      <c r="A439" t="inlineStr">
        <is>
          <t>A 44075-2023</t>
        </is>
      </c>
      <c r="B439" s="1" t="n">
        <v>45188.41637731482</v>
      </c>
      <c r="C439" s="1" t="n">
        <v>46106</v>
      </c>
      <c r="D439" t="inlineStr">
        <is>
          <t>STOCKHOLMS LÄN</t>
        </is>
      </c>
      <c r="E439" t="inlineStr">
        <is>
          <t>NORRTÄLJE</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37550-2022</t>
        </is>
      </c>
      <c r="B440" s="1" t="n">
        <v>44809</v>
      </c>
      <c r="C440" s="1" t="n">
        <v>46106</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39692-2025</t>
        </is>
      </c>
      <c r="B441" s="1" t="n">
        <v>45890.68083333333</v>
      </c>
      <c r="C441" s="1" t="n">
        <v>46106</v>
      </c>
      <c r="D441" t="inlineStr">
        <is>
          <t>STOCKHOLMS LÄN</t>
        </is>
      </c>
      <c r="E441" t="inlineStr">
        <is>
          <t>NORRTÄLJE</t>
        </is>
      </c>
      <c r="G441" t="n">
        <v>10.5</v>
      </c>
      <c r="H441" t="n">
        <v>0</v>
      </c>
      <c r="I441" t="n">
        <v>0</v>
      </c>
      <c r="J441" t="n">
        <v>0</v>
      </c>
      <c r="K441" t="n">
        <v>0</v>
      </c>
      <c r="L441" t="n">
        <v>0</v>
      </c>
      <c r="M441" t="n">
        <v>0</v>
      </c>
      <c r="N441" t="n">
        <v>0</v>
      </c>
      <c r="O441" t="n">
        <v>0</v>
      </c>
      <c r="P441" t="n">
        <v>0</v>
      </c>
      <c r="Q441" t="n">
        <v>0</v>
      </c>
      <c r="R441" s="2" t="inlineStr"/>
    </row>
    <row r="442" ht="15" customHeight="1">
      <c r="A442" t="inlineStr">
        <is>
          <t>A 48161-2022</t>
        </is>
      </c>
      <c r="B442" s="1" t="n">
        <v>44858</v>
      </c>
      <c r="C442" s="1" t="n">
        <v>46106</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48798-2021</t>
        </is>
      </c>
      <c r="B443" s="1" t="n">
        <v>44452</v>
      </c>
      <c r="C443" s="1" t="n">
        <v>46106</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35639-2025</t>
        </is>
      </c>
      <c r="B444" s="1" t="n">
        <v>45859</v>
      </c>
      <c r="C444" s="1" t="n">
        <v>46106</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54776-2023</t>
        </is>
      </c>
      <c r="B445" s="1" t="n">
        <v>45236.46369212963</v>
      </c>
      <c r="C445" s="1" t="n">
        <v>46106</v>
      </c>
      <c r="D445" t="inlineStr">
        <is>
          <t>STOCKHOLMS LÄN</t>
        </is>
      </c>
      <c r="E445" t="inlineStr">
        <is>
          <t>NORRTÄLJE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35636-2025</t>
        </is>
      </c>
      <c r="B446" s="1" t="n">
        <v>45859</v>
      </c>
      <c r="C446" s="1" t="n">
        <v>46106</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57442-2021</t>
        </is>
      </c>
      <c r="B447" s="1" t="n">
        <v>44483</v>
      </c>
      <c r="C447" s="1" t="n">
        <v>46106</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29250-2025</t>
        </is>
      </c>
      <c r="B448" s="1" t="n">
        <v>45824.37275462963</v>
      </c>
      <c r="C448" s="1" t="n">
        <v>46106</v>
      </c>
      <c r="D448" t="inlineStr">
        <is>
          <t>STOCKHOLMS LÄN</t>
        </is>
      </c>
      <c r="E448" t="inlineStr">
        <is>
          <t>NORRTÄLJE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40172-2025</t>
        </is>
      </c>
      <c r="B449" s="1" t="n">
        <v>45894.6353125</v>
      </c>
      <c r="C449" s="1" t="n">
        <v>46106</v>
      </c>
      <c r="D449" t="inlineStr">
        <is>
          <t>STOCKHOLMS LÄN</t>
        </is>
      </c>
      <c r="E449" t="inlineStr">
        <is>
          <t>NORRTÄLJE</t>
        </is>
      </c>
      <c r="G449" t="n">
        <v>6</v>
      </c>
      <c r="H449" t="n">
        <v>0</v>
      </c>
      <c r="I449" t="n">
        <v>0</v>
      </c>
      <c r="J449" t="n">
        <v>0</v>
      </c>
      <c r="K449" t="n">
        <v>0</v>
      </c>
      <c r="L449" t="n">
        <v>0</v>
      </c>
      <c r="M449" t="n">
        <v>0</v>
      </c>
      <c r="N449" t="n">
        <v>0</v>
      </c>
      <c r="O449" t="n">
        <v>0</v>
      </c>
      <c r="P449" t="n">
        <v>0</v>
      </c>
      <c r="Q449" t="n">
        <v>0</v>
      </c>
      <c r="R449" s="2" t="inlineStr"/>
    </row>
    <row r="450" ht="15" customHeight="1">
      <c r="A450" t="inlineStr">
        <is>
          <t>A 55952-2024</t>
        </is>
      </c>
      <c r="B450" s="1" t="n">
        <v>45623.62563657408</v>
      </c>
      <c r="C450" s="1" t="n">
        <v>46106</v>
      </c>
      <c r="D450" t="inlineStr">
        <is>
          <t>STOCKHOLMS LÄN</t>
        </is>
      </c>
      <c r="E450" t="inlineStr">
        <is>
          <t>NORRTÄLJE</t>
        </is>
      </c>
      <c r="F450" t="inlineStr">
        <is>
          <t>Holmen skog AB</t>
        </is>
      </c>
      <c r="G450" t="n">
        <v>2.8</v>
      </c>
      <c r="H450" t="n">
        <v>0</v>
      </c>
      <c r="I450" t="n">
        <v>0</v>
      </c>
      <c r="J450" t="n">
        <v>0</v>
      </c>
      <c r="K450" t="n">
        <v>0</v>
      </c>
      <c r="L450" t="n">
        <v>0</v>
      </c>
      <c r="M450" t="n">
        <v>0</v>
      </c>
      <c r="N450" t="n">
        <v>0</v>
      </c>
      <c r="O450" t="n">
        <v>0</v>
      </c>
      <c r="P450" t="n">
        <v>0</v>
      </c>
      <c r="Q450" t="n">
        <v>0</v>
      </c>
      <c r="R450" s="2" t="inlineStr"/>
    </row>
    <row r="451" ht="15" customHeight="1">
      <c r="A451" t="inlineStr">
        <is>
          <t>A 40033-2025</t>
        </is>
      </c>
      <c r="B451" s="1" t="n">
        <v>45893</v>
      </c>
      <c r="C451" s="1" t="n">
        <v>46106</v>
      </c>
      <c r="D451" t="inlineStr">
        <is>
          <t>STOCKHOLMS LÄN</t>
        </is>
      </c>
      <c r="E451" t="inlineStr">
        <is>
          <t>NORRTÄLJE</t>
        </is>
      </c>
      <c r="G451" t="n">
        <v>1.7</v>
      </c>
      <c r="H451" t="n">
        <v>0</v>
      </c>
      <c r="I451" t="n">
        <v>0</v>
      </c>
      <c r="J451" t="n">
        <v>0</v>
      </c>
      <c r="K451" t="n">
        <v>0</v>
      </c>
      <c r="L451" t="n">
        <v>0</v>
      </c>
      <c r="M451" t="n">
        <v>0</v>
      </c>
      <c r="N451" t="n">
        <v>0</v>
      </c>
      <c r="O451" t="n">
        <v>0</v>
      </c>
      <c r="P451" t="n">
        <v>0</v>
      </c>
      <c r="Q451" t="n">
        <v>0</v>
      </c>
      <c r="R451" s="2" t="inlineStr"/>
    </row>
    <row r="452" ht="15" customHeight="1">
      <c r="A452" t="inlineStr">
        <is>
          <t>A 40032-2025</t>
        </is>
      </c>
      <c r="B452" s="1" t="n">
        <v>45893</v>
      </c>
      <c r="C452" s="1" t="n">
        <v>46106</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8135-2025</t>
        </is>
      </c>
      <c r="B453" s="1" t="n">
        <v>45707.84997685185</v>
      </c>
      <c r="C453" s="1" t="n">
        <v>46106</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3383-2023</t>
        </is>
      </c>
      <c r="B454" s="1" t="n">
        <v>44949</v>
      </c>
      <c r="C454" s="1" t="n">
        <v>46106</v>
      </c>
      <c r="D454" t="inlineStr">
        <is>
          <t>STOCKHOLMS LÄN</t>
        </is>
      </c>
      <c r="E454" t="inlineStr">
        <is>
          <t>NORRTÄLJE</t>
        </is>
      </c>
      <c r="G454" t="n">
        <v>14.6</v>
      </c>
      <c r="H454" t="n">
        <v>0</v>
      </c>
      <c r="I454" t="n">
        <v>0</v>
      </c>
      <c r="J454" t="n">
        <v>0</v>
      </c>
      <c r="K454" t="n">
        <v>0</v>
      </c>
      <c r="L454" t="n">
        <v>0</v>
      </c>
      <c r="M454" t="n">
        <v>0</v>
      </c>
      <c r="N454" t="n">
        <v>0</v>
      </c>
      <c r="O454" t="n">
        <v>0</v>
      </c>
      <c r="P454" t="n">
        <v>0</v>
      </c>
      <c r="Q454" t="n">
        <v>0</v>
      </c>
      <c r="R454" s="2" t="inlineStr"/>
    </row>
    <row r="455" ht="15" customHeight="1">
      <c r="A455" t="inlineStr">
        <is>
          <t>A 40292-2025</t>
        </is>
      </c>
      <c r="B455" s="1" t="n">
        <v>45895.3867824074</v>
      </c>
      <c r="C455" s="1" t="n">
        <v>46106</v>
      </c>
      <c r="D455" t="inlineStr">
        <is>
          <t>STOCKHOLMS LÄN</t>
        </is>
      </c>
      <c r="E455" t="inlineStr">
        <is>
          <t>NORRTÄLJE</t>
        </is>
      </c>
      <c r="G455" t="n">
        <v>3.5</v>
      </c>
      <c r="H455" t="n">
        <v>0</v>
      </c>
      <c r="I455" t="n">
        <v>0</v>
      </c>
      <c r="J455" t="n">
        <v>0</v>
      </c>
      <c r="K455" t="n">
        <v>0</v>
      </c>
      <c r="L455" t="n">
        <v>0</v>
      </c>
      <c r="M455" t="n">
        <v>0</v>
      </c>
      <c r="N455" t="n">
        <v>0</v>
      </c>
      <c r="O455" t="n">
        <v>0</v>
      </c>
      <c r="P455" t="n">
        <v>0</v>
      </c>
      <c r="Q455" t="n">
        <v>0</v>
      </c>
      <c r="R455" s="2" t="inlineStr"/>
    </row>
    <row r="456" ht="15" customHeight="1">
      <c r="A456" t="inlineStr">
        <is>
          <t>A 40294-2025</t>
        </is>
      </c>
      <c r="B456" s="1" t="n">
        <v>45895.38778935185</v>
      </c>
      <c r="C456" s="1" t="n">
        <v>46106</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40228-2025</t>
        </is>
      </c>
      <c r="B457" s="1" t="n">
        <v>45894.70854166667</v>
      </c>
      <c r="C457" s="1" t="n">
        <v>46106</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21732-2023</t>
        </is>
      </c>
      <c r="B458" s="1" t="n">
        <v>45063</v>
      </c>
      <c r="C458" s="1" t="n">
        <v>46106</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23307-2024</t>
        </is>
      </c>
      <c r="B459" s="1" t="n">
        <v>45453</v>
      </c>
      <c r="C459" s="1" t="n">
        <v>46106</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40230-2025</t>
        </is>
      </c>
      <c r="B460" s="1" t="n">
        <v>45894.71101851852</v>
      </c>
      <c r="C460" s="1" t="n">
        <v>46106</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40217-2025</t>
        </is>
      </c>
      <c r="B461" s="1" t="n">
        <v>45894.68864583333</v>
      </c>
      <c r="C461" s="1" t="n">
        <v>46106</v>
      </c>
      <c r="D461" t="inlineStr">
        <is>
          <t>STOCKHOLMS LÄN</t>
        </is>
      </c>
      <c r="E461" t="inlineStr">
        <is>
          <t>NORRTÄLJE</t>
        </is>
      </c>
      <c r="G461" t="n">
        <v>0.8</v>
      </c>
      <c r="H461" t="n">
        <v>0</v>
      </c>
      <c r="I461" t="n">
        <v>0</v>
      </c>
      <c r="J461" t="n">
        <v>0</v>
      </c>
      <c r="K461" t="n">
        <v>0</v>
      </c>
      <c r="L461" t="n">
        <v>0</v>
      </c>
      <c r="M461" t="n">
        <v>0</v>
      </c>
      <c r="N461" t="n">
        <v>0</v>
      </c>
      <c r="O461" t="n">
        <v>0</v>
      </c>
      <c r="P461" t="n">
        <v>0</v>
      </c>
      <c r="Q461" t="n">
        <v>0</v>
      </c>
      <c r="R461" s="2" t="inlineStr"/>
    </row>
    <row r="462" ht="15" customHeight="1">
      <c r="A462" t="inlineStr">
        <is>
          <t>A 40097-2025</t>
        </is>
      </c>
      <c r="B462" s="1" t="n">
        <v>45894.48322916667</v>
      </c>
      <c r="C462" s="1" t="n">
        <v>46106</v>
      </c>
      <c r="D462" t="inlineStr">
        <is>
          <t>STOCKHOLMS LÄN</t>
        </is>
      </c>
      <c r="E462" t="inlineStr">
        <is>
          <t>NORRTÄLJE</t>
        </is>
      </c>
      <c r="G462" t="n">
        <v>3</v>
      </c>
      <c r="H462" t="n">
        <v>0</v>
      </c>
      <c r="I462" t="n">
        <v>0</v>
      </c>
      <c r="J462" t="n">
        <v>0</v>
      </c>
      <c r="K462" t="n">
        <v>0</v>
      </c>
      <c r="L462" t="n">
        <v>0</v>
      </c>
      <c r="M462" t="n">
        <v>0</v>
      </c>
      <c r="N462" t="n">
        <v>0</v>
      </c>
      <c r="O462" t="n">
        <v>0</v>
      </c>
      <c r="P462" t="n">
        <v>0</v>
      </c>
      <c r="Q462" t="n">
        <v>0</v>
      </c>
      <c r="R462" s="2" t="inlineStr"/>
    </row>
    <row r="463" ht="15" customHeight="1">
      <c r="A463" t="inlineStr">
        <is>
          <t>A 14348-2026</t>
        </is>
      </c>
      <c r="B463" s="1" t="n">
        <v>46100.34112268518</v>
      </c>
      <c r="C463" s="1" t="n">
        <v>46106</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40829-2025</t>
        </is>
      </c>
      <c r="B464" s="1" t="n">
        <v>45897.50802083333</v>
      </c>
      <c r="C464" s="1" t="n">
        <v>46106</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40837-2025</t>
        </is>
      </c>
      <c r="B465" s="1" t="n">
        <v>45897.51328703704</v>
      </c>
      <c r="C465" s="1" t="n">
        <v>46106</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7308-2026</t>
        </is>
      </c>
      <c r="B466" s="1" t="n">
        <v>46058.66025462963</v>
      </c>
      <c r="C466" s="1" t="n">
        <v>46106</v>
      </c>
      <c r="D466" t="inlineStr">
        <is>
          <t>STOCKHOLMS LÄN</t>
        </is>
      </c>
      <c r="E466" t="inlineStr">
        <is>
          <t>NORRTÄLJE</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40529-2025</t>
        </is>
      </c>
      <c r="B467" s="1" t="n">
        <v>45896.38466435186</v>
      </c>
      <c r="C467" s="1" t="n">
        <v>46106</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40831-2025</t>
        </is>
      </c>
      <c r="B468" s="1" t="n">
        <v>45897.51077546296</v>
      </c>
      <c r="C468" s="1" t="n">
        <v>46106</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7532-2026</t>
        </is>
      </c>
      <c r="B469" s="1" t="n">
        <v>46059</v>
      </c>
      <c r="C469" s="1" t="n">
        <v>46106</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14475-2026</t>
        </is>
      </c>
      <c r="B470" s="1" t="n">
        <v>46100.57251157407</v>
      </c>
      <c r="C470" s="1" t="n">
        <v>46106</v>
      </c>
      <c r="D470" t="inlineStr">
        <is>
          <t>STOCKHOLMS LÄN</t>
        </is>
      </c>
      <c r="E470" t="inlineStr">
        <is>
          <t>NORRTÄLJE</t>
        </is>
      </c>
      <c r="G470" t="n">
        <v>12.3</v>
      </c>
      <c r="H470" t="n">
        <v>0</v>
      </c>
      <c r="I470" t="n">
        <v>0</v>
      </c>
      <c r="J470" t="n">
        <v>0</v>
      </c>
      <c r="K470" t="n">
        <v>0</v>
      </c>
      <c r="L470" t="n">
        <v>0</v>
      </c>
      <c r="M470" t="n">
        <v>0</v>
      </c>
      <c r="N470" t="n">
        <v>0</v>
      </c>
      <c r="O470" t="n">
        <v>0</v>
      </c>
      <c r="P470" t="n">
        <v>0</v>
      </c>
      <c r="Q470" t="n">
        <v>0</v>
      </c>
      <c r="R470" s="2" t="inlineStr"/>
    </row>
    <row r="471" ht="15" customHeight="1">
      <c r="A471" t="inlineStr">
        <is>
          <t>A 37085-2021</t>
        </is>
      </c>
      <c r="B471" s="1" t="n">
        <v>44395</v>
      </c>
      <c r="C471" s="1" t="n">
        <v>46106</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56428-2023</t>
        </is>
      </c>
      <c r="B472" s="1" t="n">
        <v>45243.45289351852</v>
      </c>
      <c r="C472" s="1" t="n">
        <v>46106</v>
      </c>
      <c r="D472" t="inlineStr">
        <is>
          <t>STOCKHOLMS LÄN</t>
        </is>
      </c>
      <c r="E472" t="inlineStr">
        <is>
          <t>NORRTÄLJE</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17556-2025</t>
        </is>
      </c>
      <c r="B473" s="1" t="n">
        <v>45757.62482638889</v>
      </c>
      <c r="C473" s="1" t="n">
        <v>46106</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41158-2025</t>
        </is>
      </c>
      <c r="B474" s="1" t="n">
        <v>45898.5315625</v>
      </c>
      <c r="C474" s="1" t="n">
        <v>46106</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15733-2025</t>
        </is>
      </c>
      <c r="B475" s="1" t="n">
        <v>45748</v>
      </c>
      <c r="C475" s="1" t="n">
        <v>46106</v>
      </c>
      <c r="D475" t="inlineStr">
        <is>
          <t>STOCKHOLMS LÄN</t>
        </is>
      </c>
      <c r="E475" t="inlineStr">
        <is>
          <t>NORRTÄLJE</t>
        </is>
      </c>
      <c r="G475" t="n">
        <v>13.3</v>
      </c>
      <c r="H475" t="n">
        <v>0</v>
      </c>
      <c r="I475" t="n">
        <v>0</v>
      </c>
      <c r="J475" t="n">
        <v>0</v>
      </c>
      <c r="K475" t="n">
        <v>0</v>
      </c>
      <c r="L475" t="n">
        <v>0</v>
      </c>
      <c r="M475" t="n">
        <v>0</v>
      </c>
      <c r="N475" t="n">
        <v>0</v>
      </c>
      <c r="O475" t="n">
        <v>0</v>
      </c>
      <c r="P475" t="n">
        <v>0</v>
      </c>
      <c r="Q475" t="n">
        <v>0</v>
      </c>
      <c r="R475" s="2" t="inlineStr"/>
    </row>
    <row r="476" ht="15" customHeight="1">
      <c r="A476" t="inlineStr">
        <is>
          <t>A 19058-2024</t>
        </is>
      </c>
      <c r="B476" s="1" t="n">
        <v>45427.89121527778</v>
      </c>
      <c r="C476" s="1" t="n">
        <v>46106</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30639-2025</t>
        </is>
      </c>
      <c r="B477" s="1" t="n">
        <v>45831.4844212963</v>
      </c>
      <c r="C477" s="1" t="n">
        <v>46106</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30668-2025</t>
        </is>
      </c>
      <c r="B478" s="1" t="n">
        <v>45831.51659722222</v>
      </c>
      <c r="C478" s="1" t="n">
        <v>46106</v>
      </c>
      <c r="D478" t="inlineStr">
        <is>
          <t>STOCKHOLMS LÄN</t>
        </is>
      </c>
      <c r="E478" t="inlineStr">
        <is>
          <t>NORRTÄLJE</t>
        </is>
      </c>
      <c r="G478" t="n">
        <v>4.9</v>
      </c>
      <c r="H478" t="n">
        <v>0</v>
      </c>
      <c r="I478" t="n">
        <v>0</v>
      </c>
      <c r="J478" t="n">
        <v>0</v>
      </c>
      <c r="K478" t="n">
        <v>0</v>
      </c>
      <c r="L478" t="n">
        <v>0</v>
      </c>
      <c r="M478" t="n">
        <v>0</v>
      </c>
      <c r="N478" t="n">
        <v>0</v>
      </c>
      <c r="O478" t="n">
        <v>0</v>
      </c>
      <c r="P478" t="n">
        <v>0</v>
      </c>
      <c r="Q478" t="n">
        <v>0</v>
      </c>
      <c r="R478" s="2" t="inlineStr"/>
    </row>
    <row r="479" ht="15" customHeight="1">
      <c r="A479" t="inlineStr">
        <is>
          <t>A 41053-2025</t>
        </is>
      </c>
      <c r="B479" s="1" t="n">
        <v>45898.40480324074</v>
      </c>
      <c r="C479" s="1" t="n">
        <v>46106</v>
      </c>
      <c r="D479" t="inlineStr">
        <is>
          <t>STOCKHOLMS LÄN</t>
        </is>
      </c>
      <c r="E479" t="inlineStr">
        <is>
          <t>NORRTÄLJE</t>
        </is>
      </c>
      <c r="F479" t="inlineStr">
        <is>
          <t>Holmen skog AB</t>
        </is>
      </c>
      <c r="G479" t="n">
        <v>2.5</v>
      </c>
      <c r="H479" t="n">
        <v>0</v>
      </c>
      <c r="I479" t="n">
        <v>0</v>
      </c>
      <c r="J479" t="n">
        <v>0</v>
      </c>
      <c r="K479" t="n">
        <v>0</v>
      </c>
      <c r="L479" t="n">
        <v>0</v>
      </c>
      <c r="M479" t="n">
        <v>0</v>
      </c>
      <c r="N479" t="n">
        <v>0</v>
      </c>
      <c r="O479" t="n">
        <v>0</v>
      </c>
      <c r="P479" t="n">
        <v>0</v>
      </c>
      <c r="Q479" t="n">
        <v>0</v>
      </c>
      <c r="R479" s="2" t="inlineStr"/>
    </row>
    <row r="480" ht="15" customHeight="1">
      <c r="A480" t="inlineStr">
        <is>
          <t>A 42094-2023</t>
        </is>
      </c>
      <c r="B480" s="1" t="n">
        <v>45177.61498842593</v>
      </c>
      <c r="C480" s="1" t="n">
        <v>46106</v>
      </c>
      <c r="D480" t="inlineStr">
        <is>
          <t>STOCKHOLMS LÄN</t>
        </is>
      </c>
      <c r="E480" t="inlineStr">
        <is>
          <t>NORRTÄLJE</t>
        </is>
      </c>
      <c r="G480" t="n">
        <v>0.3</v>
      </c>
      <c r="H480" t="n">
        <v>0</v>
      </c>
      <c r="I480" t="n">
        <v>0</v>
      </c>
      <c r="J480" t="n">
        <v>0</v>
      </c>
      <c r="K480" t="n">
        <v>0</v>
      </c>
      <c r="L480" t="n">
        <v>0</v>
      </c>
      <c r="M480" t="n">
        <v>0</v>
      </c>
      <c r="N480" t="n">
        <v>0</v>
      </c>
      <c r="O480" t="n">
        <v>0</v>
      </c>
      <c r="P480" t="n">
        <v>0</v>
      </c>
      <c r="Q480" t="n">
        <v>0</v>
      </c>
      <c r="R480" s="2" t="inlineStr"/>
    </row>
    <row r="481" ht="15" customHeight="1">
      <c r="A481" t="inlineStr">
        <is>
          <t>A 41275-2025</t>
        </is>
      </c>
      <c r="B481" s="1" t="n">
        <v>45898.62625</v>
      </c>
      <c r="C481" s="1" t="n">
        <v>46106</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41272-2025</t>
        </is>
      </c>
      <c r="B482" s="1" t="n">
        <v>45898.62373842593</v>
      </c>
      <c r="C482" s="1" t="n">
        <v>46106</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46106</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41174-2025</t>
        </is>
      </c>
      <c r="B484" s="1" t="n">
        <v>45898.54921296296</v>
      </c>
      <c r="C484" s="1" t="n">
        <v>46106</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41030-2025</t>
        </is>
      </c>
      <c r="B485" s="1" t="n">
        <v>45898.37636574074</v>
      </c>
      <c r="C485" s="1" t="n">
        <v>46106</v>
      </c>
      <c r="D485" t="inlineStr">
        <is>
          <t>STOCKHOLMS LÄN</t>
        </is>
      </c>
      <c r="E485" t="inlineStr">
        <is>
          <t>NORRTÄLJE</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8370-2025</t>
        </is>
      </c>
      <c r="B486" s="1" t="n">
        <v>45708</v>
      </c>
      <c r="C486" s="1" t="n">
        <v>46106</v>
      </c>
      <c r="D486" t="inlineStr">
        <is>
          <t>STOCKHOLMS LÄN</t>
        </is>
      </c>
      <c r="E486" t="inlineStr">
        <is>
          <t>NORRTÄLJE</t>
        </is>
      </c>
      <c r="F486" t="inlineStr">
        <is>
          <t>Övriga Aktiebolag</t>
        </is>
      </c>
      <c r="G486" t="n">
        <v>5.6</v>
      </c>
      <c r="H486" t="n">
        <v>0</v>
      </c>
      <c r="I486" t="n">
        <v>0</v>
      </c>
      <c r="J486" t="n">
        <v>0</v>
      </c>
      <c r="K486" t="n">
        <v>0</v>
      </c>
      <c r="L486" t="n">
        <v>0</v>
      </c>
      <c r="M486" t="n">
        <v>0</v>
      </c>
      <c r="N486" t="n">
        <v>0</v>
      </c>
      <c r="O486" t="n">
        <v>0</v>
      </c>
      <c r="P486" t="n">
        <v>0</v>
      </c>
      <c r="Q486" t="n">
        <v>0</v>
      </c>
      <c r="R486" s="2" t="inlineStr"/>
    </row>
    <row r="487" ht="15" customHeight="1">
      <c r="A487" t="inlineStr">
        <is>
          <t>A 3299-2022</t>
        </is>
      </c>
      <c r="B487" s="1" t="n">
        <v>44584.91001157407</v>
      </c>
      <c r="C487" s="1" t="n">
        <v>46106</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41036-2025</t>
        </is>
      </c>
      <c r="B488" s="1" t="n">
        <v>45898.38552083333</v>
      </c>
      <c r="C488" s="1" t="n">
        <v>46106</v>
      </c>
      <c r="D488" t="inlineStr">
        <is>
          <t>STOCKHOLMS LÄN</t>
        </is>
      </c>
      <c r="E488" t="inlineStr">
        <is>
          <t>NORRTÄLJE</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41106-2025</t>
        </is>
      </c>
      <c r="B489" s="1" t="n">
        <v>45898.45636574074</v>
      </c>
      <c r="C489" s="1" t="n">
        <v>46106</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41110-2025</t>
        </is>
      </c>
      <c r="B490" s="1" t="n">
        <v>45898.45976851852</v>
      </c>
      <c r="C490" s="1" t="n">
        <v>46106</v>
      </c>
      <c r="D490" t="inlineStr">
        <is>
          <t>STOCKHOLMS LÄN</t>
        </is>
      </c>
      <c r="E490" t="inlineStr">
        <is>
          <t>NORRTÄLJE</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41259-2025</t>
        </is>
      </c>
      <c r="B491" s="1" t="n">
        <v>45898.61054398148</v>
      </c>
      <c r="C491" s="1" t="n">
        <v>46106</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31170-2025</t>
        </is>
      </c>
      <c r="B492" s="1" t="n">
        <v>45832.66385416667</v>
      </c>
      <c r="C492" s="1" t="n">
        <v>46106</v>
      </c>
      <c r="D492" t="inlineStr">
        <is>
          <t>STOCKHOLMS LÄN</t>
        </is>
      </c>
      <c r="E492" t="inlineStr">
        <is>
          <t>NORRTÄLJE</t>
        </is>
      </c>
      <c r="G492" t="n">
        <v>2.7</v>
      </c>
      <c r="H492" t="n">
        <v>0</v>
      </c>
      <c r="I492" t="n">
        <v>0</v>
      </c>
      <c r="J492" t="n">
        <v>0</v>
      </c>
      <c r="K492" t="n">
        <v>0</v>
      </c>
      <c r="L492" t="n">
        <v>0</v>
      </c>
      <c r="M492" t="n">
        <v>0</v>
      </c>
      <c r="N492" t="n">
        <v>0</v>
      </c>
      <c r="O492" t="n">
        <v>0</v>
      </c>
      <c r="P492" t="n">
        <v>0</v>
      </c>
      <c r="Q492" t="n">
        <v>0</v>
      </c>
      <c r="R492" s="2" t="inlineStr"/>
    </row>
    <row r="493" ht="15" customHeight="1">
      <c r="A493" t="inlineStr">
        <is>
          <t>A 12348-2025</t>
        </is>
      </c>
      <c r="B493" s="1" t="n">
        <v>45730.35026620371</v>
      </c>
      <c r="C493" s="1" t="n">
        <v>46106</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10511-2025</t>
        </is>
      </c>
      <c r="B494" s="1" t="n">
        <v>45721.40780092592</v>
      </c>
      <c r="C494" s="1" t="n">
        <v>46106</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19057-2024</t>
        </is>
      </c>
      <c r="B495" s="1" t="n">
        <v>45427.88731481481</v>
      </c>
      <c r="C495" s="1" t="n">
        <v>46106</v>
      </c>
      <c r="D495" t="inlineStr">
        <is>
          <t>STOCKHOLMS LÄN</t>
        </is>
      </c>
      <c r="E495" t="inlineStr">
        <is>
          <t>NORRTÄLJE</t>
        </is>
      </c>
      <c r="G495" t="n">
        <v>3</v>
      </c>
      <c r="H495" t="n">
        <v>0</v>
      </c>
      <c r="I495" t="n">
        <v>0</v>
      </c>
      <c r="J495" t="n">
        <v>0</v>
      </c>
      <c r="K495" t="n">
        <v>0</v>
      </c>
      <c r="L495" t="n">
        <v>0</v>
      </c>
      <c r="M495" t="n">
        <v>0</v>
      </c>
      <c r="N495" t="n">
        <v>0</v>
      </c>
      <c r="O495" t="n">
        <v>0</v>
      </c>
      <c r="P495" t="n">
        <v>0</v>
      </c>
      <c r="Q495" t="n">
        <v>0</v>
      </c>
      <c r="R495" s="2" t="inlineStr"/>
    </row>
    <row r="496" ht="15" customHeight="1">
      <c r="A496" t="inlineStr">
        <is>
          <t>A 17545-2025</t>
        </is>
      </c>
      <c r="B496" s="1" t="n">
        <v>45757.60658564815</v>
      </c>
      <c r="C496" s="1" t="n">
        <v>46106</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31880-2025</t>
        </is>
      </c>
      <c r="B497" s="1" t="n">
        <v>45834.65538194445</v>
      </c>
      <c r="C497" s="1" t="n">
        <v>46106</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25094-2023</t>
        </is>
      </c>
      <c r="B498" s="1" t="n">
        <v>45086.3629050926</v>
      </c>
      <c r="C498" s="1" t="n">
        <v>46106</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36157-2024</t>
        </is>
      </c>
      <c r="B499" s="1" t="n">
        <v>45534.38240740741</v>
      </c>
      <c r="C499" s="1" t="n">
        <v>46106</v>
      </c>
      <c r="D499" t="inlineStr">
        <is>
          <t>STOCKHOLMS LÄN</t>
        </is>
      </c>
      <c r="E499" t="inlineStr">
        <is>
          <t>NORRTÄLJE</t>
        </is>
      </c>
      <c r="F499" t="inlineStr">
        <is>
          <t>Övriga Aktiebolag</t>
        </is>
      </c>
      <c r="G499" t="n">
        <v>1.1</v>
      </c>
      <c r="H499" t="n">
        <v>0</v>
      </c>
      <c r="I499" t="n">
        <v>0</v>
      </c>
      <c r="J499" t="n">
        <v>0</v>
      </c>
      <c r="K499" t="n">
        <v>0</v>
      </c>
      <c r="L499" t="n">
        <v>0</v>
      </c>
      <c r="M499" t="n">
        <v>0</v>
      </c>
      <c r="N499" t="n">
        <v>0</v>
      </c>
      <c r="O499" t="n">
        <v>0</v>
      </c>
      <c r="P499" t="n">
        <v>0</v>
      </c>
      <c r="Q499" t="n">
        <v>0</v>
      </c>
      <c r="R499" s="2" t="inlineStr"/>
    </row>
    <row r="500" ht="15" customHeight="1">
      <c r="A500" t="inlineStr">
        <is>
          <t>A 32122-2025</t>
        </is>
      </c>
      <c r="B500" s="1" t="n">
        <v>45835.4928125</v>
      </c>
      <c r="C500" s="1" t="n">
        <v>46106</v>
      </c>
      <c r="D500" t="inlineStr">
        <is>
          <t>STOCKHOLMS LÄN</t>
        </is>
      </c>
      <c r="E500" t="inlineStr">
        <is>
          <t>NORRTÄLJE</t>
        </is>
      </c>
      <c r="F500" t="inlineStr">
        <is>
          <t>Holmen skog AB</t>
        </is>
      </c>
      <c r="G500" t="n">
        <v>1.9</v>
      </c>
      <c r="H500" t="n">
        <v>0</v>
      </c>
      <c r="I500" t="n">
        <v>0</v>
      </c>
      <c r="J500" t="n">
        <v>0</v>
      </c>
      <c r="K500" t="n">
        <v>0</v>
      </c>
      <c r="L500" t="n">
        <v>0</v>
      </c>
      <c r="M500" t="n">
        <v>0</v>
      </c>
      <c r="N500" t="n">
        <v>0</v>
      </c>
      <c r="O500" t="n">
        <v>0</v>
      </c>
      <c r="P500" t="n">
        <v>0</v>
      </c>
      <c r="Q500" t="n">
        <v>0</v>
      </c>
      <c r="R500" s="2" t="inlineStr"/>
    </row>
    <row r="501" ht="15" customHeight="1">
      <c r="A501" t="inlineStr">
        <is>
          <t>A 31868-2025</t>
        </is>
      </c>
      <c r="B501" s="1" t="n">
        <v>45834.6447337963</v>
      </c>
      <c r="C501" s="1" t="n">
        <v>46106</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41966-2025</t>
        </is>
      </c>
      <c r="B502" s="1" t="n">
        <v>45903.47456018518</v>
      </c>
      <c r="C502" s="1" t="n">
        <v>46106</v>
      </c>
      <c r="D502" t="inlineStr">
        <is>
          <t>STOCKHOLMS LÄN</t>
        </is>
      </c>
      <c r="E502" t="inlineStr">
        <is>
          <t>NORRTÄLJE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6413-2025</t>
        </is>
      </c>
      <c r="B503" s="1" t="n">
        <v>45699.46283564815</v>
      </c>
      <c r="C503" s="1" t="n">
        <v>46106</v>
      </c>
      <c r="D503" t="inlineStr">
        <is>
          <t>STOCKHOLMS LÄN</t>
        </is>
      </c>
      <c r="E503" t="inlineStr">
        <is>
          <t>NORRTÄLJE</t>
        </is>
      </c>
      <c r="G503" t="n">
        <v>3.6</v>
      </c>
      <c r="H503" t="n">
        <v>0</v>
      </c>
      <c r="I503" t="n">
        <v>0</v>
      </c>
      <c r="J503" t="n">
        <v>0</v>
      </c>
      <c r="K503" t="n">
        <v>0</v>
      </c>
      <c r="L503" t="n">
        <v>0</v>
      </c>
      <c r="M503" t="n">
        <v>0</v>
      </c>
      <c r="N503" t="n">
        <v>0</v>
      </c>
      <c r="O503" t="n">
        <v>0</v>
      </c>
      <c r="P503" t="n">
        <v>0</v>
      </c>
      <c r="Q503" t="n">
        <v>0</v>
      </c>
      <c r="R503" s="2" t="inlineStr"/>
    </row>
    <row r="504" ht="15" customHeight="1">
      <c r="A504" t="inlineStr">
        <is>
          <t>A 42038-2025</t>
        </is>
      </c>
      <c r="B504" s="1" t="n">
        <v>45903.61431712963</v>
      </c>
      <c r="C504" s="1" t="n">
        <v>46106</v>
      </c>
      <c r="D504" t="inlineStr">
        <is>
          <t>STOCKHOLMS LÄN</t>
        </is>
      </c>
      <c r="E504" t="inlineStr">
        <is>
          <t>NORRTÄLJE</t>
        </is>
      </c>
      <c r="F504" t="inlineStr">
        <is>
          <t>Sveaskog</t>
        </is>
      </c>
      <c r="G504" t="n">
        <v>6.4</v>
      </c>
      <c r="H504" t="n">
        <v>0</v>
      </c>
      <c r="I504" t="n">
        <v>0</v>
      </c>
      <c r="J504" t="n">
        <v>0</v>
      </c>
      <c r="K504" t="n">
        <v>0</v>
      </c>
      <c r="L504" t="n">
        <v>0</v>
      </c>
      <c r="M504" t="n">
        <v>0</v>
      </c>
      <c r="N504" t="n">
        <v>0</v>
      </c>
      <c r="O504" t="n">
        <v>0</v>
      </c>
      <c r="P504" t="n">
        <v>0</v>
      </c>
      <c r="Q504" t="n">
        <v>0</v>
      </c>
      <c r="R504" s="2" t="inlineStr"/>
    </row>
    <row r="505" ht="15" customHeight="1">
      <c r="A505" t="inlineStr">
        <is>
          <t>A 47694-2023</t>
        </is>
      </c>
      <c r="B505" s="1" t="n">
        <v>45203.63303240741</v>
      </c>
      <c r="C505" s="1" t="n">
        <v>46106</v>
      </c>
      <c r="D505" t="inlineStr">
        <is>
          <t>STOCKHOLMS LÄN</t>
        </is>
      </c>
      <c r="E505" t="inlineStr">
        <is>
          <t>NORRTÄLJE</t>
        </is>
      </c>
      <c r="G505" t="n">
        <v>5.2</v>
      </c>
      <c r="H505" t="n">
        <v>0</v>
      </c>
      <c r="I505" t="n">
        <v>0</v>
      </c>
      <c r="J505" t="n">
        <v>0</v>
      </c>
      <c r="K505" t="n">
        <v>0</v>
      </c>
      <c r="L505" t="n">
        <v>0</v>
      </c>
      <c r="M505" t="n">
        <v>0</v>
      </c>
      <c r="N505" t="n">
        <v>0</v>
      </c>
      <c r="O505" t="n">
        <v>0</v>
      </c>
      <c r="P505" t="n">
        <v>0</v>
      </c>
      <c r="Q505" t="n">
        <v>0</v>
      </c>
      <c r="R505" s="2" t="inlineStr"/>
    </row>
    <row r="506" ht="15" customHeight="1">
      <c r="A506" t="inlineStr">
        <is>
          <t>A 35532-2024</t>
        </is>
      </c>
      <c r="B506" s="1" t="n">
        <v>45531</v>
      </c>
      <c r="C506" s="1" t="n">
        <v>46106</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32016-2025</t>
        </is>
      </c>
      <c r="B507" s="1" t="n">
        <v>45835</v>
      </c>
      <c r="C507" s="1" t="n">
        <v>46106</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1654-2025</t>
        </is>
      </c>
      <c r="B508" s="1" t="n">
        <v>45670.65921296296</v>
      </c>
      <c r="C508" s="1" t="n">
        <v>46106</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62644-2023</t>
        </is>
      </c>
      <c r="B509" s="1" t="n">
        <v>45271</v>
      </c>
      <c r="C509" s="1" t="n">
        <v>46106</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32283-2025</t>
        </is>
      </c>
      <c r="B510" s="1" t="n">
        <v>45835.68076388889</v>
      </c>
      <c r="C510" s="1" t="n">
        <v>46106</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41964-2025</t>
        </is>
      </c>
      <c r="B511" s="1" t="n">
        <v>45903.47270833333</v>
      </c>
      <c r="C511" s="1" t="n">
        <v>46106</v>
      </c>
      <c r="D511" t="inlineStr">
        <is>
          <t>STOCKHOLMS LÄN</t>
        </is>
      </c>
      <c r="E511" t="inlineStr">
        <is>
          <t>NORRTÄLJE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31874-2025</t>
        </is>
      </c>
      <c r="B512" s="1" t="n">
        <v>45834</v>
      </c>
      <c r="C512" s="1" t="n">
        <v>46106</v>
      </c>
      <c r="D512" t="inlineStr">
        <is>
          <t>STOCKHOLMS LÄN</t>
        </is>
      </c>
      <c r="E512" t="inlineStr">
        <is>
          <t>NORRTÄLJE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11229-2022</t>
        </is>
      </c>
      <c r="B513" s="1" t="n">
        <v>44629</v>
      </c>
      <c r="C513" s="1" t="n">
        <v>46106</v>
      </c>
      <c r="D513" t="inlineStr">
        <is>
          <t>STOCKHOLMS LÄN</t>
        </is>
      </c>
      <c r="E513" t="inlineStr">
        <is>
          <t>NORRTÄLJE</t>
        </is>
      </c>
      <c r="F513" t="inlineStr">
        <is>
          <t>Övriga Aktiebolag</t>
        </is>
      </c>
      <c r="G513" t="n">
        <v>4.1</v>
      </c>
      <c r="H513" t="n">
        <v>0</v>
      </c>
      <c r="I513" t="n">
        <v>0</v>
      </c>
      <c r="J513" t="n">
        <v>0</v>
      </c>
      <c r="K513" t="n">
        <v>0</v>
      </c>
      <c r="L513" t="n">
        <v>0</v>
      </c>
      <c r="M513" t="n">
        <v>0</v>
      </c>
      <c r="N513" t="n">
        <v>0</v>
      </c>
      <c r="O513" t="n">
        <v>0</v>
      </c>
      <c r="P513" t="n">
        <v>0</v>
      </c>
      <c r="Q513" t="n">
        <v>0</v>
      </c>
      <c r="R513" s="2" t="inlineStr"/>
    </row>
    <row r="514" ht="15" customHeight="1">
      <c r="A514" t="inlineStr">
        <is>
          <t>A 32094-2025</t>
        </is>
      </c>
      <c r="B514" s="1" t="n">
        <v>45835.46034722222</v>
      </c>
      <c r="C514" s="1" t="n">
        <v>46106</v>
      </c>
      <c r="D514" t="inlineStr">
        <is>
          <t>STOCKHOLMS LÄN</t>
        </is>
      </c>
      <c r="E514" t="inlineStr">
        <is>
          <t>NORRTÄLJE</t>
        </is>
      </c>
      <c r="F514" t="inlineStr">
        <is>
          <t>Holmen skog AB</t>
        </is>
      </c>
      <c r="G514" t="n">
        <v>2.9</v>
      </c>
      <c r="H514" t="n">
        <v>0</v>
      </c>
      <c r="I514" t="n">
        <v>0</v>
      </c>
      <c r="J514" t="n">
        <v>0</v>
      </c>
      <c r="K514" t="n">
        <v>0</v>
      </c>
      <c r="L514" t="n">
        <v>0</v>
      </c>
      <c r="M514" t="n">
        <v>0</v>
      </c>
      <c r="N514" t="n">
        <v>0</v>
      </c>
      <c r="O514" t="n">
        <v>0</v>
      </c>
      <c r="P514" t="n">
        <v>0</v>
      </c>
      <c r="Q514" t="n">
        <v>0</v>
      </c>
      <c r="R514" s="2" t="inlineStr"/>
    </row>
    <row r="515" ht="15" customHeight="1">
      <c r="A515" t="inlineStr">
        <is>
          <t>A 8055-2026</t>
        </is>
      </c>
      <c r="B515" s="1" t="n">
        <v>46063.62002314815</v>
      </c>
      <c r="C515" s="1" t="n">
        <v>46106</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32480-2025</t>
        </is>
      </c>
      <c r="B516" s="1" t="n">
        <v>45838.43261574074</v>
      </c>
      <c r="C516" s="1" t="n">
        <v>46106</v>
      </c>
      <c r="D516" t="inlineStr">
        <is>
          <t>STOCKHOLMS LÄN</t>
        </is>
      </c>
      <c r="E516" t="inlineStr">
        <is>
          <t>NORRTÄLJE</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32872-2025</t>
        </is>
      </c>
      <c r="B517" s="1" t="n">
        <v>45839</v>
      </c>
      <c r="C517" s="1" t="n">
        <v>46106</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32903-2025</t>
        </is>
      </c>
      <c r="B518" s="1" t="n">
        <v>45839.62398148148</v>
      </c>
      <c r="C518" s="1" t="n">
        <v>46106</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30699-2025</t>
        </is>
      </c>
      <c r="B519" s="1" t="n">
        <v>45831.54618055555</v>
      </c>
      <c r="C519" s="1" t="n">
        <v>46106</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32395-2025</t>
        </is>
      </c>
      <c r="B520" s="1" t="n">
        <v>45837.93730324074</v>
      </c>
      <c r="C520" s="1" t="n">
        <v>46106</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32396-2025</t>
        </is>
      </c>
      <c r="B521" s="1" t="n">
        <v>45837</v>
      </c>
      <c r="C521" s="1" t="n">
        <v>46106</v>
      </c>
      <c r="D521" t="inlineStr">
        <is>
          <t>STOCKHOLMS LÄN</t>
        </is>
      </c>
      <c r="E521" t="inlineStr">
        <is>
          <t>NORRTÄLJE</t>
        </is>
      </c>
      <c r="G521" t="n">
        <v>2</v>
      </c>
      <c r="H521" t="n">
        <v>0</v>
      </c>
      <c r="I521" t="n">
        <v>0</v>
      </c>
      <c r="J521" t="n">
        <v>0</v>
      </c>
      <c r="K521" t="n">
        <v>0</v>
      </c>
      <c r="L521" t="n">
        <v>0</v>
      </c>
      <c r="M521" t="n">
        <v>0</v>
      </c>
      <c r="N521" t="n">
        <v>0</v>
      </c>
      <c r="O521" t="n">
        <v>0</v>
      </c>
      <c r="P521" t="n">
        <v>0</v>
      </c>
      <c r="Q521" t="n">
        <v>0</v>
      </c>
      <c r="R521" s="2" t="inlineStr"/>
    </row>
    <row r="522" ht="15" customHeight="1">
      <c r="A522" t="inlineStr">
        <is>
          <t>A 32397-2025</t>
        </is>
      </c>
      <c r="B522" s="1" t="n">
        <v>45837.94081018519</v>
      </c>
      <c r="C522" s="1" t="n">
        <v>46106</v>
      </c>
      <c r="D522" t="inlineStr">
        <is>
          <t>STOCKHOLMS LÄN</t>
        </is>
      </c>
      <c r="E522" t="inlineStr">
        <is>
          <t>NORRTÄLJE</t>
        </is>
      </c>
      <c r="G522" t="n">
        <v>5.9</v>
      </c>
      <c r="H522" t="n">
        <v>0</v>
      </c>
      <c r="I522" t="n">
        <v>0</v>
      </c>
      <c r="J522" t="n">
        <v>0</v>
      </c>
      <c r="K522" t="n">
        <v>0</v>
      </c>
      <c r="L522" t="n">
        <v>0</v>
      </c>
      <c r="M522" t="n">
        <v>0</v>
      </c>
      <c r="N522" t="n">
        <v>0</v>
      </c>
      <c r="O522" t="n">
        <v>0</v>
      </c>
      <c r="P522" t="n">
        <v>0</v>
      </c>
      <c r="Q522" t="n">
        <v>0</v>
      </c>
      <c r="R522" s="2" t="inlineStr"/>
    </row>
    <row r="523" ht="15" customHeight="1">
      <c r="A523" t="inlineStr">
        <is>
          <t>A 57353-2024</t>
        </is>
      </c>
      <c r="B523" s="1" t="n">
        <v>45629.65143518519</v>
      </c>
      <c r="C523" s="1" t="n">
        <v>46106</v>
      </c>
      <c r="D523" t="inlineStr">
        <is>
          <t>STOCKHOLMS LÄN</t>
        </is>
      </c>
      <c r="E523" t="inlineStr">
        <is>
          <t>NORRTÄLJE</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48587-2023</t>
        </is>
      </c>
      <c r="B524" s="1" t="n">
        <v>45208</v>
      </c>
      <c r="C524" s="1" t="n">
        <v>46106</v>
      </c>
      <c r="D524" t="inlineStr">
        <is>
          <t>STOCKHOLMS LÄN</t>
        </is>
      </c>
      <c r="E524" t="inlineStr">
        <is>
          <t>NORRTÄLJE</t>
        </is>
      </c>
      <c r="G524" t="n">
        <v>7</v>
      </c>
      <c r="H524" t="n">
        <v>0</v>
      </c>
      <c r="I524" t="n">
        <v>0</v>
      </c>
      <c r="J524" t="n">
        <v>0</v>
      </c>
      <c r="K524" t="n">
        <v>0</v>
      </c>
      <c r="L524" t="n">
        <v>0</v>
      </c>
      <c r="M524" t="n">
        <v>0</v>
      </c>
      <c r="N524" t="n">
        <v>0</v>
      </c>
      <c r="O524" t="n">
        <v>0</v>
      </c>
      <c r="P524" t="n">
        <v>0</v>
      </c>
      <c r="Q524" t="n">
        <v>0</v>
      </c>
      <c r="R524" s="2" t="inlineStr"/>
    </row>
    <row r="525" ht="15" customHeight="1">
      <c r="A525" t="inlineStr">
        <is>
          <t>A 2549-2022</t>
        </is>
      </c>
      <c r="B525" s="1" t="n">
        <v>44580</v>
      </c>
      <c r="C525" s="1" t="n">
        <v>46106</v>
      </c>
      <c r="D525" t="inlineStr">
        <is>
          <t>STOCKHOLMS LÄN</t>
        </is>
      </c>
      <c r="E525" t="inlineStr">
        <is>
          <t>NORRTÄLJE</t>
        </is>
      </c>
      <c r="G525" t="n">
        <v>1.3</v>
      </c>
      <c r="H525" t="n">
        <v>0</v>
      </c>
      <c r="I525" t="n">
        <v>0</v>
      </c>
      <c r="J525" t="n">
        <v>0</v>
      </c>
      <c r="K525" t="n">
        <v>0</v>
      </c>
      <c r="L525" t="n">
        <v>0</v>
      </c>
      <c r="M525" t="n">
        <v>0</v>
      </c>
      <c r="N525" t="n">
        <v>0</v>
      </c>
      <c r="O525" t="n">
        <v>0</v>
      </c>
      <c r="P525" t="n">
        <v>0</v>
      </c>
      <c r="Q525" t="n">
        <v>0</v>
      </c>
      <c r="R525" s="2" t="inlineStr"/>
    </row>
    <row r="526" ht="15" customHeight="1">
      <c r="A526" t="inlineStr">
        <is>
          <t>A 4438-2023</t>
        </is>
      </c>
      <c r="B526" s="1" t="n">
        <v>44956</v>
      </c>
      <c r="C526" s="1" t="n">
        <v>46106</v>
      </c>
      <c r="D526" t="inlineStr">
        <is>
          <t>STOCKHOLMS LÄN</t>
        </is>
      </c>
      <c r="E526" t="inlineStr">
        <is>
          <t>NORRTÄLJE</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47758-2023</t>
        </is>
      </c>
      <c r="B527" s="1" t="n">
        <v>45203.83891203703</v>
      </c>
      <c r="C527" s="1" t="n">
        <v>46106</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20011-2025</t>
        </is>
      </c>
      <c r="B528" s="1" t="n">
        <v>45772.29622685185</v>
      </c>
      <c r="C528" s="1" t="n">
        <v>46106</v>
      </c>
      <c r="D528" t="inlineStr">
        <is>
          <t>STOCKHOLMS LÄN</t>
        </is>
      </c>
      <c r="E528" t="inlineStr">
        <is>
          <t>NORRTÄLJE</t>
        </is>
      </c>
      <c r="G528" t="n">
        <v>3.5</v>
      </c>
      <c r="H528" t="n">
        <v>0</v>
      </c>
      <c r="I528" t="n">
        <v>0</v>
      </c>
      <c r="J528" t="n">
        <v>0</v>
      </c>
      <c r="K528" t="n">
        <v>0</v>
      </c>
      <c r="L528" t="n">
        <v>0</v>
      </c>
      <c r="M528" t="n">
        <v>0</v>
      </c>
      <c r="N528" t="n">
        <v>0</v>
      </c>
      <c r="O528" t="n">
        <v>0</v>
      </c>
      <c r="P528" t="n">
        <v>0</v>
      </c>
      <c r="Q528" t="n">
        <v>0</v>
      </c>
      <c r="R528" s="2" t="inlineStr"/>
    </row>
    <row r="529" ht="15" customHeight="1">
      <c r="A529" t="inlineStr">
        <is>
          <t>A 42856-2025</t>
        </is>
      </c>
      <c r="B529" s="1" t="n">
        <v>45908</v>
      </c>
      <c r="C529" s="1" t="n">
        <v>46106</v>
      </c>
      <c r="D529" t="inlineStr">
        <is>
          <t>STOCKHOLMS LÄN</t>
        </is>
      </c>
      <c r="E529" t="inlineStr">
        <is>
          <t>NORRTÄLJE</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7793-2026</t>
        </is>
      </c>
      <c r="B530" s="1" t="n">
        <v>46062.59496527778</v>
      </c>
      <c r="C530" s="1" t="n">
        <v>46106</v>
      </c>
      <c r="D530" t="inlineStr">
        <is>
          <t>STOCKHOLMS LÄN</t>
        </is>
      </c>
      <c r="E530" t="inlineStr">
        <is>
          <t>NORRTÄLJE</t>
        </is>
      </c>
      <c r="F530" t="inlineStr">
        <is>
          <t>Holmen skog AB</t>
        </is>
      </c>
      <c r="G530" t="n">
        <v>3.8</v>
      </c>
      <c r="H530" t="n">
        <v>0</v>
      </c>
      <c r="I530" t="n">
        <v>0</v>
      </c>
      <c r="J530" t="n">
        <v>0</v>
      </c>
      <c r="K530" t="n">
        <v>0</v>
      </c>
      <c r="L530" t="n">
        <v>0</v>
      </c>
      <c r="M530" t="n">
        <v>0</v>
      </c>
      <c r="N530" t="n">
        <v>0</v>
      </c>
      <c r="O530" t="n">
        <v>0</v>
      </c>
      <c r="P530" t="n">
        <v>0</v>
      </c>
      <c r="Q530" t="n">
        <v>0</v>
      </c>
      <c r="R530" s="2" t="inlineStr"/>
    </row>
    <row r="531" ht="15" customHeight="1">
      <c r="A531" t="inlineStr">
        <is>
          <t>A 51061-2023</t>
        </is>
      </c>
      <c r="B531" s="1" t="n">
        <v>45218.65849537037</v>
      </c>
      <c r="C531" s="1" t="n">
        <v>46106</v>
      </c>
      <c r="D531" t="inlineStr">
        <is>
          <t>STOCKHOLMS LÄN</t>
        </is>
      </c>
      <c r="E531" t="inlineStr">
        <is>
          <t>NORRTÄLJE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22697-2022</t>
        </is>
      </c>
      <c r="B532" s="1" t="n">
        <v>44714.56040509259</v>
      </c>
      <c r="C532" s="1" t="n">
        <v>46106</v>
      </c>
      <c r="D532" t="inlineStr">
        <is>
          <t>STOCKHOLMS LÄN</t>
        </is>
      </c>
      <c r="E532" t="inlineStr">
        <is>
          <t>NORRTÄLJE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33702-2025</t>
        </is>
      </c>
      <c r="B533" s="1" t="n">
        <v>45841.74596064815</v>
      </c>
      <c r="C533" s="1" t="n">
        <v>46106</v>
      </c>
      <c r="D533" t="inlineStr">
        <is>
          <t>STOCKHOLMS LÄN</t>
        </is>
      </c>
      <c r="E533" t="inlineStr">
        <is>
          <t>NORRTÄLJE</t>
        </is>
      </c>
      <c r="G533" t="n">
        <v>0.5</v>
      </c>
      <c r="H533" t="n">
        <v>0</v>
      </c>
      <c r="I533" t="n">
        <v>0</v>
      </c>
      <c r="J533" t="n">
        <v>0</v>
      </c>
      <c r="K533" t="n">
        <v>0</v>
      </c>
      <c r="L533" t="n">
        <v>0</v>
      </c>
      <c r="M533" t="n">
        <v>0</v>
      </c>
      <c r="N533" t="n">
        <v>0</v>
      </c>
      <c r="O533" t="n">
        <v>0</v>
      </c>
      <c r="P533" t="n">
        <v>0</v>
      </c>
      <c r="Q533" t="n">
        <v>0</v>
      </c>
      <c r="R533" s="2" t="inlineStr"/>
    </row>
    <row r="534" ht="15" customHeight="1">
      <c r="A534" t="inlineStr">
        <is>
          <t>A 45549-2022</t>
        </is>
      </c>
      <c r="B534" s="1" t="n">
        <v>44845.48064814815</v>
      </c>
      <c r="C534" s="1" t="n">
        <v>46106</v>
      </c>
      <c r="D534" t="inlineStr">
        <is>
          <t>STOCKHOLMS LÄN</t>
        </is>
      </c>
      <c r="E534" t="inlineStr">
        <is>
          <t>NORRTÄLJE</t>
        </is>
      </c>
      <c r="G534" t="n">
        <v>0.8</v>
      </c>
      <c r="H534" t="n">
        <v>0</v>
      </c>
      <c r="I534" t="n">
        <v>0</v>
      </c>
      <c r="J534" t="n">
        <v>0</v>
      </c>
      <c r="K534" t="n">
        <v>0</v>
      </c>
      <c r="L534" t="n">
        <v>0</v>
      </c>
      <c r="M534" t="n">
        <v>0</v>
      </c>
      <c r="N534" t="n">
        <v>0</v>
      </c>
      <c r="O534" t="n">
        <v>0</v>
      </c>
      <c r="P534" t="n">
        <v>0</v>
      </c>
      <c r="Q534" t="n">
        <v>0</v>
      </c>
      <c r="R534" s="2" t="inlineStr"/>
    </row>
    <row r="535" ht="15" customHeight="1">
      <c r="A535" t="inlineStr">
        <is>
          <t>A 33211-2025</t>
        </is>
      </c>
      <c r="B535" s="1" t="n">
        <v>45840.62755787037</v>
      </c>
      <c r="C535" s="1" t="n">
        <v>46106</v>
      </c>
      <c r="D535" t="inlineStr">
        <is>
          <t>STOCKHOLMS LÄN</t>
        </is>
      </c>
      <c r="E535" t="inlineStr">
        <is>
          <t>NORRTÄLJE</t>
        </is>
      </c>
      <c r="G535" t="n">
        <v>5.1</v>
      </c>
      <c r="H535" t="n">
        <v>0</v>
      </c>
      <c r="I535" t="n">
        <v>0</v>
      </c>
      <c r="J535" t="n">
        <v>0</v>
      </c>
      <c r="K535" t="n">
        <v>0</v>
      </c>
      <c r="L535" t="n">
        <v>0</v>
      </c>
      <c r="M535" t="n">
        <v>0</v>
      </c>
      <c r="N535" t="n">
        <v>0</v>
      </c>
      <c r="O535" t="n">
        <v>0</v>
      </c>
      <c r="P535" t="n">
        <v>0</v>
      </c>
      <c r="Q535" t="n">
        <v>0</v>
      </c>
      <c r="R535" s="2" t="inlineStr"/>
    </row>
    <row r="536" ht="15" customHeight="1">
      <c r="A536" t="inlineStr">
        <is>
          <t>A 54396-2021</t>
        </is>
      </c>
      <c r="B536" s="1" t="n">
        <v>44472</v>
      </c>
      <c r="C536" s="1" t="n">
        <v>46106</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24727-2023</t>
        </is>
      </c>
      <c r="B537" s="1" t="n">
        <v>45084.57695601852</v>
      </c>
      <c r="C537" s="1" t="n">
        <v>46106</v>
      </c>
      <c r="D537" t="inlineStr">
        <is>
          <t>STOCKHOLMS LÄN</t>
        </is>
      </c>
      <c r="E537" t="inlineStr">
        <is>
          <t>NORRTÄLJE</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33265-2025</t>
        </is>
      </c>
      <c r="B538" s="1" t="n">
        <v>45840.67829861111</v>
      </c>
      <c r="C538" s="1" t="n">
        <v>46106</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48722-2023</t>
        </is>
      </c>
      <c r="B539" s="1" t="n">
        <v>45208.70996527778</v>
      </c>
      <c r="C539" s="1" t="n">
        <v>46106</v>
      </c>
      <c r="D539" t="inlineStr">
        <is>
          <t>STOCKHOLMS LÄN</t>
        </is>
      </c>
      <c r="E539" t="inlineStr">
        <is>
          <t>NORRTÄLJE</t>
        </is>
      </c>
      <c r="G539" t="n">
        <v>0.3</v>
      </c>
      <c r="H539" t="n">
        <v>0</v>
      </c>
      <c r="I539" t="n">
        <v>0</v>
      </c>
      <c r="J539" t="n">
        <v>0</v>
      </c>
      <c r="K539" t="n">
        <v>0</v>
      </c>
      <c r="L539" t="n">
        <v>0</v>
      </c>
      <c r="M539" t="n">
        <v>0</v>
      </c>
      <c r="N539" t="n">
        <v>0</v>
      </c>
      <c r="O539" t="n">
        <v>0</v>
      </c>
      <c r="P539" t="n">
        <v>0</v>
      </c>
      <c r="Q539" t="n">
        <v>0</v>
      </c>
      <c r="R539" s="2" t="inlineStr"/>
    </row>
    <row r="540" ht="15" customHeight="1">
      <c r="A540" t="inlineStr">
        <is>
          <t>A 33552-2025</t>
        </is>
      </c>
      <c r="B540" s="1" t="n">
        <v>45841.5737962963</v>
      </c>
      <c r="C540" s="1" t="n">
        <v>46106</v>
      </c>
      <c r="D540" t="inlineStr">
        <is>
          <t>STOCKHOLMS LÄN</t>
        </is>
      </c>
      <c r="E540" t="inlineStr">
        <is>
          <t>NORRTÄLJE</t>
        </is>
      </c>
      <c r="G540" t="n">
        <v>8.9</v>
      </c>
      <c r="H540" t="n">
        <v>0</v>
      </c>
      <c r="I540" t="n">
        <v>0</v>
      </c>
      <c r="J540" t="n">
        <v>0</v>
      </c>
      <c r="K540" t="n">
        <v>0</v>
      </c>
      <c r="L540" t="n">
        <v>0</v>
      </c>
      <c r="M540" t="n">
        <v>0</v>
      </c>
      <c r="N540" t="n">
        <v>0</v>
      </c>
      <c r="O540" t="n">
        <v>0</v>
      </c>
      <c r="P540" t="n">
        <v>0</v>
      </c>
      <c r="Q540" t="n">
        <v>0</v>
      </c>
      <c r="R540" s="2" t="inlineStr"/>
    </row>
    <row r="541" ht="15" customHeight="1">
      <c r="A541" t="inlineStr">
        <is>
          <t>A 33336-2025</t>
        </is>
      </c>
      <c r="B541" s="1" t="n">
        <v>45841.35611111111</v>
      </c>
      <c r="C541" s="1" t="n">
        <v>46106</v>
      </c>
      <c r="D541" t="inlineStr">
        <is>
          <t>STOCKHOLMS LÄN</t>
        </is>
      </c>
      <c r="E541" t="inlineStr">
        <is>
          <t>NORRTÄLJE</t>
        </is>
      </c>
      <c r="G541" t="n">
        <v>2.4</v>
      </c>
      <c r="H541" t="n">
        <v>0</v>
      </c>
      <c r="I541" t="n">
        <v>0</v>
      </c>
      <c r="J541" t="n">
        <v>0</v>
      </c>
      <c r="K541" t="n">
        <v>0</v>
      </c>
      <c r="L541" t="n">
        <v>0</v>
      </c>
      <c r="M541" t="n">
        <v>0</v>
      </c>
      <c r="N541" t="n">
        <v>0</v>
      </c>
      <c r="O541" t="n">
        <v>0</v>
      </c>
      <c r="P541" t="n">
        <v>0</v>
      </c>
      <c r="Q541" t="n">
        <v>0</v>
      </c>
      <c r="R541" s="2" t="inlineStr"/>
    </row>
    <row r="542" ht="15" customHeight="1">
      <c r="A542" t="inlineStr">
        <is>
          <t>A 33824-2025</t>
        </is>
      </c>
      <c r="B542" s="1" t="n">
        <v>45842.46885416667</v>
      </c>
      <c r="C542" s="1" t="n">
        <v>46106</v>
      </c>
      <c r="D542" t="inlineStr">
        <is>
          <t>STOCKHOLMS LÄN</t>
        </is>
      </c>
      <c r="E542" t="inlineStr">
        <is>
          <t>NORRTÄLJE</t>
        </is>
      </c>
      <c r="G542" t="n">
        <v>1.9</v>
      </c>
      <c r="H542" t="n">
        <v>0</v>
      </c>
      <c r="I542" t="n">
        <v>0</v>
      </c>
      <c r="J542" t="n">
        <v>0</v>
      </c>
      <c r="K542" t="n">
        <v>0</v>
      </c>
      <c r="L542" t="n">
        <v>0</v>
      </c>
      <c r="M542" t="n">
        <v>0</v>
      </c>
      <c r="N542" t="n">
        <v>0</v>
      </c>
      <c r="O542" t="n">
        <v>0</v>
      </c>
      <c r="P542" t="n">
        <v>0</v>
      </c>
      <c r="Q542" t="n">
        <v>0</v>
      </c>
      <c r="R542" s="2" t="inlineStr"/>
    </row>
    <row r="543" ht="15" customHeight="1">
      <c r="A543" t="inlineStr">
        <is>
          <t>A 35235-2024</t>
        </is>
      </c>
      <c r="B543" s="1" t="n">
        <v>45530</v>
      </c>
      <c r="C543" s="1" t="n">
        <v>46106</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1448-2023</t>
        </is>
      </c>
      <c r="B544" s="1" t="n">
        <v>44937</v>
      </c>
      <c r="C544" s="1" t="n">
        <v>46106</v>
      </c>
      <c r="D544" t="inlineStr">
        <is>
          <t>STOCKHOLMS LÄN</t>
        </is>
      </c>
      <c r="E544" t="inlineStr">
        <is>
          <t>NORRTÄLJE</t>
        </is>
      </c>
      <c r="G544" t="n">
        <v>1.9</v>
      </c>
      <c r="H544" t="n">
        <v>0</v>
      </c>
      <c r="I544" t="n">
        <v>0</v>
      </c>
      <c r="J544" t="n">
        <v>0</v>
      </c>
      <c r="K544" t="n">
        <v>0</v>
      </c>
      <c r="L544" t="n">
        <v>0</v>
      </c>
      <c r="M544" t="n">
        <v>0</v>
      </c>
      <c r="N544" t="n">
        <v>0</v>
      </c>
      <c r="O544" t="n">
        <v>0</v>
      </c>
      <c r="P544" t="n">
        <v>0</v>
      </c>
      <c r="Q544" t="n">
        <v>0</v>
      </c>
      <c r="R544" s="2" t="inlineStr"/>
    </row>
    <row r="545" ht="15" customHeight="1">
      <c r="A545" t="inlineStr">
        <is>
          <t>A 24835-2025</t>
        </is>
      </c>
      <c r="B545" s="1" t="n">
        <v>45799</v>
      </c>
      <c r="C545" s="1" t="n">
        <v>46106</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34006-2025</t>
        </is>
      </c>
      <c r="B546" s="1" t="n">
        <v>45844.62609953704</v>
      </c>
      <c r="C546" s="1" t="n">
        <v>46106</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34139-2025</t>
        </is>
      </c>
      <c r="B547" s="1" t="n">
        <v>45845</v>
      </c>
      <c r="C547" s="1" t="n">
        <v>46106</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8736-2024</t>
        </is>
      </c>
      <c r="B548" s="1" t="n">
        <v>45356.4722800926</v>
      </c>
      <c r="C548" s="1" t="n">
        <v>46106</v>
      </c>
      <c r="D548" t="inlineStr">
        <is>
          <t>STOCKHOLMS LÄN</t>
        </is>
      </c>
      <c r="E548" t="inlineStr">
        <is>
          <t>NORRTÄLJE</t>
        </is>
      </c>
      <c r="G548" t="n">
        <v>8.9</v>
      </c>
      <c r="H548" t="n">
        <v>0</v>
      </c>
      <c r="I548" t="n">
        <v>0</v>
      </c>
      <c r="J548" t="n">
        <v>0</v>
      </c>
      <c r="K548" t="n">
        <v>0</v>
      </c>
      <c r="L548" t="n">
        <v>0</v>
      </c>
      <c r="M548" t="n">
        <v>0</v>
      </c>
      <c r="N548" t="n">
        <v>0</v>
      </c>
      <c r="O548" t="n">
        <v>0</v>
      </c>
      <c r="P548" t="n">
        <v>0</v>
      </c>
      <c r="Q548" t="n">
        <v>0</v>
      </c>
      <c r="R548" s="2" t="inlineStr"/>
    </row>
    <row r="549" ht="15" customHeight="1">
      <c r="A549" t="inlineStr">
        <is>
          <t>A 34010-2025</t>
        </is>
      </c>
      <c r="B549" s="1" t="n">
        <v>45844.91234953704</v>
      </c>
      <c r="C549" s="1" t="n">
        <v>46106</v>
      </c>
      <c r="D549" t="inlineStr">
        <is>
          <t>STOCKHOLMS LÄN</t>
        </is>
      </c>
      <c r="E549" t="inlineStr">
        <is>
          <t>NORRTÄLJE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43169-2025</t>
        </is>
      </c>
      <c r="B550" s="1" t="n">
        <v>45910</v>
      </c>
      <c r="C550" s="1" t="n">
        <v>46106</v>
      </c>
      <c r="D550" t="inlineStr">
        <is>
          <t>STOCKHOLMS LÄN</t>
        </is>
      </c>
      <c r="E550" t="inlineStr">
        <is>
          <t>NORRTÄLJE</t>
        </is>
      </c>
      <c r="G550" t="n">
        <v>6.9</v>
      </c>
      <c r="H550" t="n">
        <v>0</v>
      </c>
      <c r="I550" t="n">
        <v>0</v>
      </c>
      <c r="J550" t="n">
        <v>0</v>
      </c>
      <c r="K550" t="n">
        <v>0</v>
      </c>
      <c r="L550" t="n">
        <v>0</v>
      </c>
      <c r="M550" t="n">
        <v>0</v>
      </c>
      <c r="N550" t="n">
        <v>0</v>
      </c>
      <c r="O550" t="n">
        <v>0</v>
      </c>
      <c r="P550" t="n">
        <v>0</v>
      </c>
      <c r="Q550" t="n">
        <v>0</v>
      </c>
      <c r="R550" s="2" t="inlineStr"/>
    </row>
    <row r="551" ht="15" customHeight="1">
      <c r="A551" t="inlineStr">
        <is>
          <t>A 33149-2022</t>
        </is>
      </c>
      <c r="B551" s="1" t="n">
        <v>44785</v>
      </c>
      <c r="C551" s="1" t="n">
        <v>46106</v>
      </c>
      <c r="D551" t="inlineStr">
        <is>
          <t>STOCKHOLMS LÄN</t>
        </is>
      </c>
      <c r="E551" t="inlineStr">
        <is>
          <t>NORRTÄLJE</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36689-2023</t>
        </is>
      </c>
      <c r="B552" s="1" t="n">
        <v>45152</v>
      </c>
      <c r="C552" s="1" t="n">
        <v>46106</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46073-2024</t>
        </is>
      </c>
      <c r="B553" s="1" t="n">
        <v>45581</v>
      </c>
      <c r="C553" s="1" t="n">
        <v>46106</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30719-2025</t>
        </is>
      </c>
      <c r="B554" s="1" t="n">
        <v>45831</v>
      </c>
      <c r="C554" s="1" t="n">
        <v>46106</v>
      </c>
      <c r="D554" t="inlineStr">
        <is>
          <t>STOCKHOLMS LÄN</t>
        </is>
      </c>
      <c r="E554" t="inlineStr">
        <is>
          <t>NORRTÄLJE</t>
        </is>
      </c>
      <c r="G554" t="n">
        <v>0.5</v>
      </c>
      <c r="H554" t="n">
        <v>0</v>
      </c>
      <c r="I554" t="n">
        <v>0</v>
      </c>
      <c r="J554" t="n">
        <v>0</v>
      </c>
      <c r="K554" t="n">
        <v>0</v>
      </c>
      <c r="L554" t="n">
        <v>0</v>
      </c>
      <c r="M554" t="n">
        <v>0</v>
      </c>
      <c r="N554" t="n">
        <v>0</v>
      </c>
      <c r="O554" t="n">
        <v>0</v>
      </c>
      <c r="P554" t="n">
        <v>0</v>
      </c>
      <c r="Q554" t="n">
        <v>0</v>
      </c>
      <c r="R554" s="2" t="inlineStr"/>
    </row>
    <row r="555" ht="15" customHeight="1">
      <c r="A555" t="inlineStr">
        <is>
          <t>A 43269-2025</t>
        </is>
      </c>
      <c r="B555" s="1" t="n">
        <v>45910.5819212963</v>
      </c>
      <c r="C555" s="1" t="n">
        <v>46106</v>
      </c>
      <c r="D555" t="inlineStr">
        <is>
          <t>STOCKHOLMS LÄN</t>
        </is>
      </c>
      <c r="E555" t="inlineStr">
        <is>
          <t>NORRTÄLJE</t>
        </is>
      </c>
      <c r="G555" t="n">
        <v>3.7</v>
      </c>
      <c r="H555" t="n">
        <v>0</v>
      </c>
      <c r="I555" t="n">
        <v>0</v>
      </c>
      <c r="J555" t="n">
        <v>0</v>
      </c>
      <c r="K555" t="n">
        <v>0</v>
      </c>
      <c r="L555" t="n">
        <v>0</v>
      </c>
      <c r="M555" t="n">
        <v>0</v>
      </c>
      <c r="N555" t="n">
        <v>0</v>
      </c>
      <c r="O555" t="n">
        <v>0</v>
      </c>
      <c r="P555" t="n">
        <v>0</v>
      </c>
      <c r="Q555" t="n">
        <v>0</v>
      </c>
      <c r="R555" s="2" t="inlineStr"/>
    </row>
    <row r="556" ht="15" customHeight="1">
      <c r="A556" t="inlineStr">
        <is>
          <t>A 8096-2026</t>
        </is>
      </c>
      <c r="B556" s="1" t="n">
        <v>46063.714375</v>
      </c>
      <c r="C556" s="1" t="n">
        <v>46106</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7723-2026</t>
        </is>
      </c>
      <c r="B557" s="1" t="n">
        <v>46062.49905092592</v>
      </c>
      <c r="C557" s="1" t="n">
        <v>46106</v>
      </c>
      <c r="D557" t="inlineStr">
        <is>
          <t>STOCKHOLMS LÄN</t>
        </is>
      </c>
      <c r="E557" t="inlineStr">
        <is>
          <t>NORRTÄLJE</t>
        </is>
      </c>
      <c r="G557" t="n">
        <v>0.8</v>
      </c>
      <c r="H557" t="n">
        <v>0</v>
      </c>
      <c r="I557" t="n">
        <v>0</v>
      </c>
      <c r="J557" t="n">
        <v>0</v>
      </c>
      <c r="K557" t="n">
        <v>0</v>
      </c>
      <c r="L557" t="n">
        <v>0</v>
      </c>
      <c r="M557" t="n">
        <v>0</v>
      </c>
      <c r="N557" t="n">
        <v>0</v>
      </c>
      <c r="O557" t="n">
        <v>0</v>
      </c>
      <c r="P557" t="n">
        <v>0</v>
      </c>
      <c r="Q557" t="n">
        <v>0</v>
      </c>
      <c r="R557" s="2" t="inlineStr"/>
    </row>
    <row r="558" ht="15" customHeight="1">
      <c r="A558" t="inlineStr">
        <is>
          <t>A 7729-2026</t>
        </is>
      </c>
      <c r="B558" s="1" t="n">
        <v>46062.51100694444</v>
      </c>
      <c r="C558" s="1" t="n">
        <v>46106</v>
      </c>
      <c r="D558" t="inlineStr">
        <is>
          <t>STOCKHOLMS LÄN</t>
        </is>
      </c>
      <c r="E558" t="inlineStr">
        <is>
          <t>NORRTÄLJE</t>
        </is>
      </c>
      <c r="G558" t="n">
        <v>6.6</v>
      </c>
      <c r="H558" t="n">
        <v>0</v>
      </c>
      <c r="I558" t="n">
        <v>0</v>
      </c>
      <c r="J558" t="n">
        <v>0</v>
      </c>
      <c r="K558" t="n">
        <v>0</v>
      </c>
      <c r="L558" t="n">
        <v>0</v>
      </c>
      <c r="M558" t="n">
        <v>0</v>
      </c>
      <c r="N558" t="n">
        <v>0</v>
      </c>
      <c r="O558" t="n">
        <v>0</v>
      </c>
      <c r="P558" t="n">
        <v>0</v>
      </c>
      <c r="Q558" t="n">
        <v>0</v>
      </c>
      <c r="R558" s="2" t="inlineStr"/>
    </row>
    <row r="559" ht="15" customHeight="1">
      <c r="A559" t="inlineStr">
        <is>
          <t>A 7582-2026</t>
        </is>
      </c>
      <c r="B559" s="1" t="n">
        <v>46061</v>
      </c>
      <c r="C559" s="1" t="n">
        <v>46106</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43916-2025</t>
        </is>
      </c>
      <c r="B560" s="1" t="n">
        <v>45914.78884259259</v>
      </c>
      <c r="C560" s="1" t="n">
        <v>46106</v>
      </c>
      <c r="D560" t="inlineStr">
        <is>
          <t>STOCKHOLMS LÄN</t>
        </is>
      </c>
      <c r="E560" t="inlineStr">
        <is>
          <t>NORRTÄLJE</t>
        </is>
      </c>
      <c r="G560" t="n">
        <v>1.5</v>
      </c>
      <c r="H560" t="n">
        <v>0</v>
      </c>
      <c r="I560" t="n">
        <v>0</v>
      </c>
      <c r="J560" t="n">
        <v>0</v>
      </c>
      <c r="K560" t="n">
        <v>0</v>
      </c>
      <c r="L560" t="n">
        <v>0</v>
      </c>
      <c r="M560" t="n">
        <v>0</v>
      </c>
      <c r="N560" t="n">
        <v>0</v>
      </c>
      <c r="O560" t="n">
        <v>0</v>
      </c>
      <c r="P560" t="n">
        <v>0</v>
      </c>
      <c r="Q560" t="n">
        <v>0</v>
      </c>
      <c r="R560" s="2" t="inlineStr"/>
    </row>
    <row r="561" ht="15" customHeight="1">
      <c r="A561" t="inlineStr">
        <is>
          <t>A 6537-2024</t>
        </is>
      </c>
      <c r="B561" s="1" t="n">
        <v>45341.39853009259</v>
      </c>
      <c r="C561" s="1" t="n">
        <v>46106</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8091-2026</t>
        </is>
      </c>
      <c r="B562" s="1" t="n">
        <v>46063.70944444444</v>
      </c>
      <c r="C562" s="1" t="n">
        <v>46106</v>
      </c>
      <c r="D562" t="inlineStr">
        <is>
          <t>STOCKHOLMS LÄN</t>
        </is>
      </c>
      <c r="E562" t="inlineStr">
        <is>
          <t>NORRTÄLJE</t>
        </is>
      </c>
      <c r="G562" t="n">
        <v>4.7</v>
      </c>
      <c r="H562" t="n">
        <v>0</v>
      </c>
      <c r="I562" t="n">
        <v>0</v>
      </c>
      <c r="J562" t="n">
        <v>0</v>
      </c>
      <c r="K562" t="n">
        <v>0</v>
      </c>
      <c r="L562" t="n">
        <v>0</v>
      </c>
      <c r="M562" t="n">
        <v>0</v>
      </c>
      <c r="N562" t="n">
        <v>0</v>
      </c>
      <c r="O562" t="n">
        <v>0</v>
      </c>
      <c r="P562" t="n">
        <v>0</v>
      </c>
      <c r="Q562" t="n">
        <v>0</v>
      </c>
      <c r="R562" s="2" t="inlineStr"/>
    </row>
    <row r="563" ht="15" customHeight="1">
      <c r="A563" t="inlineStr">
        <is>
          <t>A 40175-2024</t>
        </is>
      </c>
      <c r="B563" s="1" t="n">
        <v>45554.55707175926</v>
      </c>
      <c r="C563" s="1" t="n">
        <v>46106</v>
      </c>
      <c r="D563" t="inlineStr">
        <is>
          <t>STOCKHOLMS LÄN</t>
        </is>
      </c>
      <c r="E563" t="inlineStr">
        <is>
          <t>NORRTÄLJE</t>
        </is>
      </c>
      <c r="G563" t="n">
        <v>7.7</v>
      </c>
      <c r="H563" t="n">
        <v>0</v>
      </c>
      <c r="I563" t="n">
        <v>0</v>
      </c>
      <c r="J563" t="n">
        <v>0</v>
      </c>
      <c r="K563" t="n">
        <v>0</v>
      </c>
      <c r="L563" t="n">
        <v>0</v>
      </c>
      <c r="M563" t="n">
        <v>0</v>
      </c>
      <c r="N563" t="n">
        <v>0</v>
      </c>
      <c r="O563" t="n">
        <v>0</v>
      </c>
      <c r="P563" t="n">
        <v>0</v>
      </c>
      <c r="Q563" t="n">
        <v>0</v>
      </c>
      <c r="R563" s="2" t="inlineStr"/>
    </row>
    <row r="564" ht="15" customHeight="1">
      <c r="A564" t="inlineStr">
        <is>
          <t>A 54558-2024</t>
        </is>
      </c>
      <c r="B564" s="1" t="n">
        <v>45617.62358796296</v>
      </c>
      <c r="C564" s="1" t="n">
        <v>46106</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23056-2023</t>
        </is>
      </c>
      <c r="B565" s="1" t="n">
        <v>45075</v>
      </c>
      <c r="C565" s="1" t="n">
        <v>46106</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47431-2023</t>
        </is>
      </c>
      <c r="B566" s="1" t="n">
        <v>45202</v>
      </c>
      <c r="C566" s="1" t="n">
        <v>46106</v>
      </c>
      <c r="D566" t="inlineStr">
        <is>
          <t>STOCKHOLMS LÄN</t>
        </is>
      </c>
      <c r="E566" t="inlineStr">
        <is>
          <t>NORRTÄLJE</t>
        </is>
      </c>
      <c r="F566" t="inlineStr">
        <is>
          <t>Naturvårdsverket</t>
        </is>
      </c>
      <c r="G566" t="n">
        <v>1.2</v>
      </c>
      <c r="H566" t="n">
        <v>0</v>
      </c>
      <c r="I566" t="n">
        <v>0</v>
      </c>
      <c r="J566" t="n">
        <v>0</v>
      </c>
      <c r="K566" t="n">
        <v>0</v>
      </c>
      <c r="L566" t="n">
        <v>0</v>
      </c>
      <c r="M566" t="n">
        <v>0</v>
      </c>
      <c r="N566" t="n">
        <v>0</v>
      </c>
      <c r="O566" t="n">
        <v>0</v>
      </c>
      <c r="P566" t="n">
        <v>0</v>
      </c>
      <c r="Q566" t="n">
        <v>0</v>
      </c>
      <c r="R566" s="2" t="inlineStr"/>
    </row>
    <row r="567" ht="15" customHeight="1">
      <c r="A567" t="inlineStr">
        <is>
          <t>A 35110-2025</t>
        </is>
      </c>
      <c r="B567" s="1" t="n">
        <v>45852.58030092593</v>
      </c>
      <c r="C567" s="1" t="n">
        <v>46106</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59499-2023</t>
        </is>
      </c>
      <c r="B568" s="1" t="n">
        <v>45254</v>
      </c>
      <c r="C568" s="1" t="n">
        <v>46106</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44354-2025</t>
        </is>
      </c>
      <c r="B569" s="1" t="n">
        <v>45916.44655092592</v>
      </c>
      <c r="C569" s="1" t="n">
        <v>46106</v>
      </c>
      <c r="D569" t="inlineStr">
        <is>
          <t>STOCKHOLMS LÄN</t>
        </is>
      </c>
      <c r="E569" t="inlineStr">
        <is>
          <t>NORRTÄLJE</t>
        </is>
      </c>
      <c r="G569" t="n">
        <v>2.3</v>
      </c>
      <c r="H569" t="n">
        <v>0</v>
      </c>
      <c r="I569" t="n">
        <v>0</v>
      </c>
      <c r="J569" t="n">
        <v>0</v>
      </c>
      <c r="K569" t="n">
        <v>0</v>
      </c>
      <c r="L569" t="n">
        <v>0</v>
      </c>
      <c r="M569" t="n">
        <v>0</v>
      </c>
      <c r="N569" t="n">
        <v>0</v>
      </c>
      <c r="O569" t="n">
        <v>0</v>
      </c>
      <c r="P569" t="n">
        <v>0</v>
      </c>
      <c r="Q569" t="n">
        <v>0</v>
      </c>
      <c r="R569" s="2" t="inlineStr"/>
    </row>
    <row r="570" ht="15" customHeight="1">
      <c r="A570" t="inlineStr">
        <is>
          <t>A 59468-2023</t>
        </is>
      </c>
      <c r="B570" s="1" t="n">
        <v>45254.41509259259</v>
      </c>
      <c r="C570" s="1" t="n">
        <v>46106</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35254-2025</t>
        </is>
      </c>
      <c r="B571" s="1" t="n">
        <v>45853</v>
      </c>
      <c r="C571" s="1" t="n">
        <v>46106</v>
      </c>
      <c r="D571" t="inlineStr">
        <is>
          <t>STOCKHOLMS LÄN</t>
        </is>
      </c>
      <c r="E571" t="inlineStr">
        <is>
          <t>NORRTÄLJE</t>
        </is>
      </c>
      <c r="G571" t="n">
        <v>6.5</v>
      </c>
      <c r="H571" t="n">
        <v>0</v>
      </c>
      <c r="I571" t="n">
        <v>0</v>
      </c>
      <c r="J571" t="n">
        <v>0</v>
      </c>
      <c r="K571" t="n">
        <v>0</v>
      </c>
      <c r="L571" t="n">
        <v>0</v>
      </c>
      <c r="M571" t="n">
        <v>0</v>
      </c>
      <c r="N571" t="n">
        <v>0</v>
      </c>
      <c r="O571" t="n">
        <v>0</v>
      </c>
      <c r="P571" t="n">
        <v>0</v>
      </c>
      <c r="Q571" t="n">
        <v>0</v>
      </c>
      <c r="R571" s="2" t="inlineStr"/>
    </row>
    <row r="572" ht="15" customHeight="1">
      <c r="A572" t="inlineStr">
        <is>
          <t>A 12532-2025</t>
        </is>
      </c>
      <c r="B572" s="1" t="n">
        <v>45730.69143518519</v>
      </c>
      <c r="C572" s="1" t="n">
        <v>46106</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5732-2023</t>
        </is>
      </c>
      <c r="B573" s="1" t="n">
        <v>44962</v>
      </c>
      <c r="C573" s="1" t="n">
        <v>46106</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10653-2022</t>
        </is>
      </c>
      <c r="B574" s="1" t="n">
        <v>44624.59434027778</v>
      </c>
      <c r="C574" s="1" t="n">
        <v>46106</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35479-2025</t>
        </is>
      </c>
      <c r="B575" s="1" t="n">
        <v>45855.69387731481</v>
      </c>
      <c r="C575" s="1" t="n">
        <v>46106</v>
      </c>
      <c r="D575" t="inlineStr">
        <is>
          <t>STOCKHOLMS LÄN</t>
        </is>
      </c>
      <c r="E575" t="inlineStr">
        <is>
          <t>NORRTÄLJE</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21729-2024</t>
        </is>
      </c>
      <c r="B576" s="1" t="n">
        <v>45442</v>
      </c>
      <c r="C576" s="1" t="n">
        <v>46106</v>
      </c>
      <c r="D576" t="inlineStr">
        <is>
          <t>STOCKHOLMS LÄN</t>
        </is>
      </c>
      <c r="E576" t="inlineStr">
        <is>
          <t>NORRTÄLJE</t>
        </is>
      </c>
      <c r="G576" t="n">
        <v>2.2</v>
      </c>
      <c r="H576" t="n">
        <v>0</v>
      </c>
      <c r="I576" t="n">
        <v>0</v>
      </c>
      <c r="J576" t="n">
        <v>0</v>
      </c>
      <c r="K576" t="n">
        <v>0</v>
      </c>
      <c r="L576" t="n">
        <v>0</v>
      </c>
      <c r="M576" t="n">
        <v>0</v>
      </c>
      <c r="N576" t="n">
        <v>0</v>
      </c>
      <c r="O576" t="n">
        <v>0</v>
      </c>
      <c r="P576" t="n">
        <v>0</v>
      </c>
      <c r="Q576" t="n">
        <v>0</v>
      </c>
      <c r="R576" s="2" t="inlineStr"/>
    </row>
    <row r="577" ht="15" customHeight="1">
      <c r="A577" t="inlineStr">
        <is>
          <t>A 44306-2025</t>
        </is>
      </c>
      <c r="B577" s="1" t="n">
        <v>45916.37736111111</v>
      </c>
      <c r="C577" s="1" t="n">
        <v>46106</v>
      </c>
      <c r="D577" t="inlineStr">
        <is>
          <t>STOCKHOLMS LÄN</t>
        </is>
      </c>
      <c r="E577" t="inlineStr">
        <is>
          <t>NORRTÄLJE</t>
        </is>
      </c>
      <c r="G577" t="n">
        <v>2.8</v>
      </c>
      <c r="H577" t="n">
        <v>0</v>
      </c>
      <c r="I577" t="n">
        <v>0</v>
      </c>
      <c r="J577" t="n">
        <v>0</v>
      </c>
      <c r="K577" t="n">
        <v>0</v>
      </c>
      <c r="L577" t="n">
        <v>0</v>
      </c>
      <c r="M577" t="n">
        <v>0</v>
      </c>
      <c r="N577" t="n">
        <v>0</v>
      </c>
      <c r="O577" t="n">
        <v>0</v>
      </c>
      <c r="P577" t="n">
        <v>0</v>
      </c>
      <c r="Q577" t="n">
        <v>0</v>
      </c>
      <c r="R577" s="2" t="inlineStr"/>
    </row>
    <row r="578" ht="15" customHeight="1">
      <c r="A578" t="inlineStr">
        <is>
          <t>A 44343-2025</t>
        </is>
      </c>
      <c r="B578" s="1" t="n">
        <v>45916.43378472222</v>
      </c>
      <c r="C578" s="1" t="n">
        <v>46106</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44349-2025</t>
        </is>
      </c>
      <c r="B579" s="1" t="n">
        <v>45916.43929398148</v>
      </c>
      <c r="C579" s="1" t="n">
        <v>46106</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35451-2025</t>
        </is>
      </c>
      <c r="B580" s="1" t="n">
        <v>45855.57033564815</v>
      </c>
      <c r="C580" s="1" t="n">
        <v>46106</v>
      </c>
      <c r="D580" t="inlineStr">
        <is>
          <t>STOCKHOLMS LÄN</t>
        </is>
      </c>
      <c r="E580" t="inlineStr">
        <is>
          <t>NORRTÄLJE</t>
        </is>
      </c>
      <c r="F580" t="inlineStr">
        <is>
          <t>Holmen skog AB</t>
        </is>
      </c>
      <c r="G580" t="n">
        <v>7.4</v>
      </c>
      <c r="H580" t="n">
        <v>0</v>
      </c>
      <c r="I580" t="n">
        <v>0</v>
      </c>
      <c r="J580" t="n">
        <v>0</v>
      </c>
      <c r="K580" t="n">
        <v>0</v>
      </c>
      <c r="L580" t="n">
        <v>0</v>
      </c>
      <c r="M580" t="n">
        <v>0</v>
      </c>
      <c r="N580" t="n">
        <v>0</v>
      </c>
      <c r="O580" t="n">
        <v>0</v>
      </c>
      <c r="P580" t="n">
        <v>0</v>
      </c>
      <c r="Q580" t="n">
        <v>0</v>
      </c>
      <c r="R580" s="2" t="inlineStr"/>
    </row>
    <row r="581" ht="15" customHeight="1">
      <c r="A581" t="inlineStr">
        <is>
          <t>A 35478-2025</t>
        </is>
      </c>
      <c r="B581" s="1" t="n">
        <v>45855.68413194444</v>
      </c>
      <c r="C581" s="1" t="n">
        <v>46106</v>
      </c>
      <c r="D581" t="inlineStr">
        <is>
          <t>STOCKHOLMS LÄN</t>
        </is>
      </c>
      <c r="E581" t="inlineStr">
        <is>
          <t>NORRTÄLJE</t>
        </is>
      </c>
      <c r="F581" t="inlineStr">
        <is>
          <t>Holmen skog AB</t>
        </is>
      </c>
      <c r="G581" t="n">
        <v>2.7</v>
      </c>
      <c r="H581" t="n">
        <v>0</v>
      </c>
      <c r="I581" t="n">
        <v>0</v>
      </c>
      <c r="J581" t="n">
        <v>0</v>
      </c>
      <c r="K581" t="n">
        <v>0</v>
      </c>
      <c r="L581" t="n">
        <v>0</v>
      </c>
      <c r="M581" t="n">
        <v>0</v>
      </c>
      <c r="N581" t="n">
        <v>0</v>
      </c>
      <c r="O581" t="n">
        <v>0</v>
      </c>
      <c r="P581" t="n">
        <v>0</v>
      </c>
      <c r="Q581" t="n">
        <v>0</v>
      </c>
      <c r="R581" s="2" t="inlineStr"/>
    </row>
    <row r="582" ht="15" customHeight="1">
      <c r="A582" t="inlineStr">
        <is>
          <t>A 44311-2025</t>
        </is>
      </c>
      <c r="B582" s="1" t="n">
        <v>45916.38394675926</v>
      </c>
      <c r="C582" s="1" t="n">
        <v>46106</v>
      </c>
      <c r="D582" t="inlineStr">
        <is>
          <t>STOCKHOLMS LÄN</t>
        </is>
      </c>
      <c r="E582" t="inlineStr">
        <is>
          <t>NORRTÄLJE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44333-2025</t>
        </is>
      </c>
      <c r="B583" s="1" t="n">
        <v>45916.42293981482</v>
      </c>
      <c r="C583" s="1" t="n">
        <v>46106</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11854-2025</t>
        </is>
      </c>
      <c r="B584" s="1" t="n">
        <v>45728.38924768518</v>
      </c>
      <c r="C584" s="1" t="n">
        <v>46106</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14762-2024</t>
        </is>
      </c>
      <c r="B585" s="1" t="n">
        <v>45397</v>
      </c>
      <c r="C585" s="1" t="n">
        <v>46106</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59712-2024</t>
        </is>
      </c>
      <c r="B586" s="1" t="n">
        <v>45639.45166666667</v>
      </c>
      <c r="C586" s="1" t="n">
        <v>46106</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44937-2025</t>
        </is>
      </c>
      <c r="B587" s="1" t="n">
        <v>45918</v>
      </c>
      <c r="C587" s="1" t="n">
        <v>46106</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35127-2023</t>
        </is>
      </c>
      <c r="B588" s="1" t="n">
        <v>45145.51</v>
      </c>
      <c r="C588" s="1" t="n">
        <v>46106</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34444-2024</t>
        </is>
      </c>
      <c r="B589" s="1" t="n">
        <v>45525</v>
      </c>
      <c r="C589" s="1" t="n">
        <v>46106</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20698-2025</t>
        </is>
      </c>
      <c r="B590" s="1" t="n">
        <v>45776.47122685185</v>
      </c>
      <c r="C590" s="1" t="n">
        <v>46106</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22359-2025</t>
        </is>
      </c>
      <c r="B591" s="1" t="n">
        <v>45786</v>
      </c>
      <c r="C591" s="1" t="n">
        <v>46106</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45255-2022</t>
        </is>
      </c>
      <c r="B592" s="1" t="n">
        <v>44840</v>
      </c>
      <c r="C592" s="1" t="n">
        <v>46106</v>
      </c>
      <c r="D592" t="inlineStr">
        <is>
          <t>STOCKHOLMS LÄN</t>
        </is>
      </c>
      <c r="E592" t="inlineStr">
        <is>
          <t>NORRTÄLJE</t>
        </is>
      </c>
      <c r="G592" t="n">
        <v>4.1</v>
      </c>
      <c r="H592" t="n">
        <v>0</v>
      </c>
      <c r="I592" t="n">
        <v>0</v>
      </c>
      <c r="J592" t="n">
        <v>0</v>
      </c>
      <c r="K592" t="n">
        <v>0</v>
      </c>
      <c r="L592" t="n">
        <v>0</v>
      </c>
      <c r="M592" t="n">
        <v>0</v>
      </c>
      <c r="N592" t="n">
        <v>0</v>
      </c>
      <c r="O592" t="n">
        <v>0</v>
      </c>
      <c r="P592" t="n">
        <v>0</v>
      </c>
      <c r="Q592" t="n">
        <v>0</v>
      </c>
      <c r="R592" s="2" t="inlineStr"/>
    </row>
    <row r="593" ht="15" customHeight="1">
      <c r="A593" t="inlineStr">
        <is>
          <t>A 59893-2022</t>
        </is>
      </c>
      <c r="B593" s="1" t="n">
        <v>44908.77368055555</v>
      </c>
      <c r="C593" s="1" t="n">
        <v>46106</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45697-2025</t>
        </is>
      </c>
      <c r="B594" s="1" t="n">
        <v>45923.39877314815</v>
      </c>
      <c r="C594" s="1" t="n">
        <v>46106</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39905-2023</t>
        </is>
      </c>
      <c r="B595" s="1" t="n">
        <v>45168.44489583333</v>
      </c>
      <c r="C595" s="1" t="n">
        <v>46106</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5645-2023</t>
        </is>
      </c>
      <c r="B596" s="1" t="n">
        <v>44960.60469907407</v>
      </c>
      <c r="C596" s="1" t="n">
        <v>46106</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68361-2021</t>
        </is>
      </c>
      <c r="B597" s="1" t="n">
        <v>44528.91494212963</v>
      </c>
      <c r="C597" s="1" t="n">
        <v>46106</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22232-2024</t>
        </is>
      </c>
      <c r="B598" s="1" t="n">
        <v>45446.4287962963</v>
      </c>
      <c r="C598" s="1" t="n">
        <v>46106</v>
      </c>
      <c r="D598" t="inlineStr">
        <is>
          <t>STOCKHOLMS LÄN</t>
        </is>
      </c>
      <c r="E598" t="inlineStr">
        <is>
          <t>NORRTÄLJE</t>
        </is>
      </c>
      <c r="G598" t="n">
        <v>12.8</v>
      </c>
      <c r="H598" t="n">
        <v>0</v>
      </c>
      <c r="I598" t="n">
        <v>0</v>
      </c>
      <c r="J598" t="n">
        <v>0</v>
      </c>
      <c r="K598" t="n">
        <v>0</v>
      </c>
      <c r="L598" t="n">
        <v>0</v>
      </c>
      <c r="M598" t="n">
        <v>0</v>
      </c>
      <c r="N598" t="n">
        <v>0</v>
      </c>
      <c r="O598" t="n">
        <v>0</v>
      </c>
      <c r="P598" t="n">
        <v>0</v>
      </c>
      <c r="Q598" t="n">
        <v>0</v>
      </c>
      <c r="R598" s="2" t="inlineStr"/>
    </row>
    <row r="599" ht="15" customHeight="1">
      <c r="A599" t="inlineStr">
        <is>
          <t>A 60529-2023</t>
        </is>
      </c>
      <c r="B599" s="1" t="n">
        <v>45259</v>
      </c>
      <c r="C599" s="1" t="n">
        <v>46106</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36396-2025</t>
        </is>
      </c>
      <c r="B600" s="1" t="n">
        <v>45868.62267361111</v>
      </c>
      <c r="C600" s="1" t="n">
        <v>46106</v>
      </c>
      <c r="D600" t="inlineStr">
        <is>
          <t>STOCKHOLMS LÄN</t>
        </is>
      </c>
      <c r="E600" t="inlineStr">
        <is>
          <t>NORRTÄLJE</t>
        </is>
      </c>
      <c r="G600" t="n">
        <v>4.1</v>
      </c>
      <c r="H600" t="n">
        <v>0</v>
      </c>
      <c r="I600" t="n">
        <v>0</v>
      </c>
      <c r="J600" t="n">
        <v>0</v>
      </c>
      <c r="K600" t="n">
        <v>0</v>
      </c>
      <c r="L600" t="n">
        <v>0</v>
      </c>
      <c r="M600" t="n">
        <v>0</v>
      </c>
      <c r="N600" t="n">
        <v>0</v>
      </c>
      <c r="O600" t="n">
        <v>0</v>
      </c>
      <c r="P600" t="n">
        <v>0</v>
      </c>
      <c r="Q600" t="n">
        <v>0</v>
      </c>
      <c r="R600" s="2" t="inlineStr"/>
    </row>
    <row r="601" ht="15" customHeight="1">
      <c r="A601" t="inlineStr">
        <is>
          <t>A 46415-2025</t>
        </is>
      </c>
      <c r="B601" s="1" t="n">
        <v>45925.58636574074</v>
      </c>
      <c r="C601" s="1" t="n">
        <v>46106</v>
      </c>
      <c r="D601" t="inlineStr">
        <is>
          <t>STOCKHOLMS LÄN</t>
        </is>
      </c>
      <c r="E601" t="inlineStr">
        <is>
          <t>NORRTÄLJE</t>
        </is>
      </c>
      <c r="G601" t="n">
        <v>3.8</v>
      </c>
      <c r="H601" t="n">
        <v>0</v>
      </c>
      <c r="I601" t="n">
        <v>0</v>
      </c>
      <c r="J601" t="n">
        <v>0</v>
      </c>
      <c r="K601" t="n">
        <v>0</v>
      </c>
      <c r="L601" t="n">
        <v>0</v>
      </c>
      <c r="M601" t="n">
        <v>0</v>
      </c>
      <c r="N601" t="n">
        <v>0</v>
      </c>
      <c r="O601" t="n">
        <v>0</v>
      </c>
      <c r="P601" t="n">
        <v>0</v>
      </c>
      <c r="Q601" t="n">
        <v>0</v>
      </c>
      <c r="R601" s="2" t="inlineStr"/>
    </row>
    <row r="602" ht="15" customHeight="1">
      <c r="A602" t="inlineStr">
        <is>
          <t>A 19706-2023</t>
        </is>
      </c>
      <c r="B602" s="1" t="n">
        <v>45051.455</v>
      </c>
      <c r="C602" s="1" t="n">
        <v>46106</v>
      </c>
      <c r="D602" t="inlineStr">
        <is>
          <t>STOCKHOLMS LÄN</t>
        </is>
      </c>
      <c r="E602" t="inlineStr">
        <is>
          <t>NORRTÄLJE</t>
        </is>
      </c>
      <c r="G602" t="n">
        <v>0.2</v>
      </c>
      <c r="H602" t="n">
        <v>0</v>
      </c>
      <c r="I602" t="n">
        <v>0</v>
      </c>
      <c r="J602" t="n">
        <v>0</v>
      </c>
      <c r="K602" t="n">
        <v>0</v>
      </c>
      <c r="L602" t="n">
        <v>0</v>
      </c>
      <c r="M602" t="n">
        <v>0</v>
      </c>
      <c r="N602" t="n">
        <v>0</v>
      </c>
      <c r="O602" t="n">
        <v>0</v>
      </c>
      <c r="P602" t="n">
        <v>0</v>
      </c>
      <c r="Q602" t="n">
        <v>0</v>
      </c>
      <c r="R602" s="2" t="inlineStr"/>
    </row>
    <row r="603" ht="15" customHeight="1">
      <c r="A603" t="inlineStr">
        <is>
          <t>A 18539-2021</t>
        </is>
      </c>
      <c r="B603" s="1" t="n">
        <v>44306</v>
      </c>
      <c r="C603" s="1" t="n">
        <v>46106</v>
      </c>
      <c r="D603" t="inlineStr">
        <is>
          <t>STOCKHOLMS LÄN</t>
        </is>
      </c>
      <c r="E603" t="inlineStr">
        <is>
          <t>NORRTÄLJE</t>
        </is>
      </c>
      <c r="F603" t="inlineStr">
        <is>
          <t>Holmen skog AB</t>
        </is>
      </c>
      <c r="G603" t="n">
        <v>5.5</v>
      </c>
      <c r="H603" t="n">
        <v>0</v>
      </c>
      <c r="I603" t="n">
        <v>0</v>
      </c>
      <c r="J603" t="n">
        <v>0</v>
      </c>
      <c r="K603" t="n">
        <v>0</v>
      </c>
      <c r="L603" t="n">
        <v>0</v>
      </c>
      <c r="M603" t="n">
        <v>0</v>
      </c>
      <c r="N603" t="n">
        <v>0</v>
      </c>
      <c r="O603" t="n">
        <v>0</v>
      </c>
      <c r="P603" t="n">
        <v>0</v>
      </c>
      <c r="Q603" t="n">
        <v>0</v>
      </c>
      <c r="R603" s="2" t="inlineStr"/>
    </row>
    <row r="604" ht="15" customHeight="1">
      <c r="A604" t="inlineStr">
        <is>
          <t>A 46900-2025</t>
        </is>
      </c>
      <c r="B604" s="1" t="n">
        <v>45929.38712962963</v>
      </c>
      <c r="C604" s="1" t="n">
        <v>46106</v>
      </c>
      <c r="D604" t="inlineStr">
        <is>
          <t>STOCKHOLMS LÄN</t>
        </is>
      </c>
      <c r="E604" t="inlineStr">
        <is>
          <t>NORRTÄLJE</t>
        </is>
      </c>
      <c r="F604" t="inlineStr">
        <is>
          <t>Holmen skog AB</t>
        </is>
      </c>
      <c r="G604" t="n">
        <v>6.2</v>
      </c>
      <c r="H604" t="n">
        <v>0</v>
      </c>
      <c r="I604" t="n">
        <v>0</v>
      </c>
      <c r="J604" t="n">
        <v>0</v>
      </c>
      <c r="K604" t="n">
        <v>0</v>
      </c>
      <c r="L604" t="n">
        <v>0</v>
      </c>
      <c r="M604" t="n">
        <v>0</v>
      </c>
      <c r="N604" t="n">
        <v>0</v>
      </c>
      <c r="O604" t="n">
        <v>0</v>
      </c>
      <c r="P604" t="n">
        <v>0</v>
      </c>
      <c r="Q604" t="n">
        <v>0</v>
      </c>
      <c r="R604" s="2" t="inlineStr"/>
    </row>
    <row r="605" ht="15" customHeight="1">
      <c r="A605" t="inlineStr">
        <is>
          <t>A 17612-2022</t>
        </is>
      </c>
      <c r="B605" s="1" t="n">
        <v>44680</v>
      </c>
      <c r="C605" s="1" t="n">
        <v>46106</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16835-2022</t>
        </is>
      </c>
      <c r="B606" s="1" t="n">
        <v>44673</v>
      </c>
      <c r="C606" s="1" t="n">
        <v>46106</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62765-2022</t>
        </is>
      </c>
      <c r="B607" s="1" t="n">
        <v>44637</v>
      </c>
      <c r="C607" s="1" t="n">
        <v>46106</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58404-2023</t>
        </is>
      </c>
      <c r="B608" s="1" t="n">
        <v>45245</v>
      </c>
      <c r="C608" s="1" t="n">
        <v>46106</v>
      </c>
      <c r="D608" t="inlineStr">
        <is>
          <t>STOCKHOLMS LÄN</t>
        </is>
      </c>
      <c r="E608" t="inlineStr">
        <is>
          <t>NORRTÄLJE</t>
        </is>
      </c>
      <c r="G608" t="n">
        <v>53.5</v>
      </c>
      <c r="H608" t="n">
        <v>0</v>
      </c>
      <c r="I608" t="n">
        <v>0</v>
      </c>
      <c r="J608" t="n">
        <v>0</v>
      </c>
      <c r="K608" t="n">
        <v>0</v>
      </c>
      <c r="L608" t="n">
        <v>0</v>
      </c>
      <c r="M608" t="n">
        <v>0</v>
      </c>
      <c r="N608" t="n">
        <v>0</v>
      </c>
      <c r="O608" t="n">
        <v>0</v>
      </c>
      <c r="P608" t="n">
        <v>0</v>
      </c>
      <c r="Q608" t="n">
        <v>0</v>
      </c>
      <c r="R608" s="2" t="inlineStr"/>
    </row>
    <row r="609" ht="15" customHeight="1">
      <c r="A609" t="inlineStr">
        <is>
          <t>A 8586-2023</t>
        </is>
      </c>
      <c r="B609" s="1" t="n">
        <v>44977</v>
      </c>
      <c r="C609" s="1" t="n">
        <v>46106</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35256-2025</t>
        </is>
      </c>
      <c r="B610" s="1" t="n">
        <v>45853</v>
      </c>
      <c r="C610" s="1" t="n">
        <v>46106</v>
      </c>
      <c r="D610" t="inlineStr">
        <is>
          <t>STOCKHOLMS LÄN</t>
        </is>
      </c>
      <c r="E610" t="inlineStr">
        <is>
          <t>NORRTÄLJE</t>
        </is>
      </c>
      <c r="G610" t="n">
        <v>6.4</v>
      </c>
      <c r="H610" t="n">
        <v>0</v>
      </c>
      <c r="I610" t="n">
        <v>0</v>
      </c>
      <c r="J610" t="n">
        <v>0</v>
      </c>
      <c r="K610" t="n">
        <v>0</v>
      </c>
      <c r="L610" t="n">
        <v>0</v>
      </c>
      <c r="M610" t="n">
        <v>0</v>
      </c>
      <c r="N610" t="n">
        <v>0</v>
      </c>
      <c r="O610" t="n">
        <v>0</v>
      </c>
      <c r="P610" t="n">
        <v>0</v>
      </c>
      <c r="Q610" t="n">
        <v>0</v>
      </c>
      <c r="R610" s="2" t="inlineStr"/>
    </row>
    <row r="611" ht="15" customHeight="1">
      <c r="A611" t="inlineStr">
        <is>
          <t>A 16202-2022</t>
        </is>
      </c>
      <c r="B611" s="1" t="n">
        <v>44670</v>
      </c>
      <c r="C611" s="1" t="n">
        <v>46106</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55018-2024</t>
        </is>
      </c>
      <c r="B612" s="1" t="n">
        <v>45621.35712962963</v>
      </c>
      <c r="C612" s="1" t="n">
        <v>46106</v>
      </c>
      <c r="D612" t="inlineStr">
        <is>
          <t>STOCKHOLMS LÄN</t>
        </is>
      </c>
      <c r="E612" t="inlineStr">
        <is>
          <t>NORRTÄLJE</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50136-2023</t>
        </is>
      </c>
      <c r="B613" s="1" t="n">
        <v>45215</v>
      </c>
      <c r="C613" s="1" t="n">
        <v>46106</v>
      </c>
      <c r="D613" t="inlineStr">
        <is>
          <t>STOCKHOLMS LÄN</t>
        </is>
      </c>
      <c r="E613" t="inlineStr">
        <is>
          <t>NORRTÄLJE</t>
        </is>
      </c>
      <c r="G613" t="n">
        <v>5.2</v>
      </c>
      <c r="H613" t="n">
        <v>0</v>
      </c>
      <c r="I613" t="n">
        <v>0</v>
      </c>
      <c r="J613" t="n">
        <v>0</v>
      </c>
      <c r="K613" t="n">
        <v>0</v>
      </c>
      <c r="L613" t="n">
        <v>0</v>
      </c>
      <c r="M613" t="n">
        <v>0</v>
      </c>
      <c r="N613" t="n">
        <v>0</v>
      </c>
      <c r="O613" t="n">
        <v>0</v>
      </c>
      <c r="P613" t="n">
        <v>0</v>
      </c>
      <c r="Q613" t="n">
        <v>0</v>
      </c>
      <c r="R613" s="2" t="inlineStr"/>
    </row>
    <row r="614" ht="15" customHeight="1">
      <c r="A614" t="inlineStr">
        <is>
          <t>A 25656-2023</t>
        </is>
      </c>
      <c r="B614" s="1" t="n">
        <v>45089</v>
      </c>
      <c r="C614" s="1" t="n">
        <v>46106</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6003-2025</t>
        </is>
      </c>
      <c r="B615" s="1" t="n">
        <v>45695.57881944445</v>
      </c>
      <c r="C615" s="1" t="n">
        <v>46106</v>
      </c>
      <c r="D615" t="inlineStr">
        <is>
          <t>STOCKHOLMS LÄN</t>
        </is>
      </c>
      <c r="E615" t="inlineStr">
        <is>
          <t>NORRTÄLJE</t>
        </is>
      </c>
      <c r="F615" t="inlineStr">
        <is>
          <t>Holmen skog AB</t>
        </is>
      </c>
      <c r="G615" t="n">
        <v>2.3</v>
      </c>
      <c r="H615" t="n">
        <v>0</v>
      </c>
      <c r="I615" t="n">
        <v>0</v>
      </c>
      <c r="J615" t="n">
        <v>0</v>
      </c>
      <c r="K615" t="n">
        <v>0</v>
      </c>
      <c r="L615" t="n">
        <v>0</v>
      </c>
      <c r="M615" t="n">
        <v>0</v>
      </c>
      <c r="N615" t="n">
        <v>0</v>
      </c>
      <c r="O615" t="n">
        <v>0</v>
      </c>
      <c r="P615" t="n">
        <v>0</v>
      </c>
      <c r="Q615" t="n">
        <v>0</v>
      </c>
      <c r="R615" s="2" t="inlineStr"/>
    </row>
    <row r="616" ht="15" customHeight="1">
      <c r="A616" t="inlineStr">
        <is>
          <t>A 11902-2024</t>
        </is>
      </c>
      <c r="B616" s="1" t="n">
        <v>45376.55704861111</v>
      </c>
      <c r="C616" s="1" t="n">
        <v>46106</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37261-2025</t>
        </is>
      </c>
      <c r="B617" s="1" t="n">
        <v>45876.45253472222</v>
      </c>
      <c r="C617" s="1" t="n">
        <v>46106</v>
      </c>
      <c r="D617" t="inlineStr">
        <is>
          <t>STOCKHOLMS LÄN</t>
        </is>
      </c>
      <c r="E617" t="inlineStr">
        <is>
          <t>NORRTÄLJE</t>
        </is>
      </c>
      <c r="F617" t="inlineStr">
        <is>
          <t>Kommuner</t>
        </is>
      </c>
      <c r="G617" t="n">
        <v>2.2</v>
      </c>
      <c r="H617" t="n">
        <v>0</v>
      </c>
      <c r="I617" t="n">
        <v>0</v>
      </c>
      <c r="J617" t="n">
        <v>0</v>
      </c>
      <c r="K617" t="n">
        <v>0</v>
      </c>
      <c r="L617" t="n">
        <v>0</v>
      </c>
      <c r="M617" t="n">
        <v>0</v>
      </c>
      <c r="N617" t="n">
        <v>0</v>
      </c>
      <c r="O617" t="n">
        <v>0</v>
      </c>
      <c r="P617" t="n">
        <v>0</v>
      </c>
      <c r="Q617" t="n">
        <v>0</v>
      </c>
      <c r="R617" s="2" t="inlineStr"/>
    </row>
    <row r="618" ht="15" customHeight="1">
      <c r="A618" t="inlineStr">
        <is>
          <t>A 38049-2023</t>
        </is>
      </c>
      <c r="B618" s="1" t="n">
        <v>45159</v>
      </c>
      <c r="C618" s="1" t="n">
        <v>46106</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59535-2024</t>
        </is>
      </c>
      <c r="B619" s="1" t="n">
        <v>45638.59979166667</v>
      </c>
      <c r="C619" s="1" t="n">
        <v>46106</v>
      </c>
      <c r="D619" t="inlineStr">
        <is>
          <t>STOCKHOLMS LÄN</t>
        </is>
      </c>
      <c r="E619" t="inlineStr">
        <is>
          <t>NORRTÄLJE</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47498-2025</t>
        </is>
      </c>
      <c r="B620" s="1" t="n">
        <v>45930.8134375</v>
      </c>
      <c r="C620" s="1" t="n">
        <v>46106</v>
      </c>
      <c r="D620" t="inlineStr">
        <is>
          <t>STOCKHOLMS LÄN</t>
        </is>
      </c>
      <c r="E620" t="inlineStr">
        <is>
          <t>NORRTÄLJE</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47460-2025</t>
        </is>
      </c>
      <c r="B621" s="1" t="n">
        <v>45930.66012731481</v>
      </c>
      <c r="C621" s="1" t="n">
        <v>46106</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47496-2025</t>
        </is>
      </c>
      <c r="B622" s="1" t="n">
        <v>45930.79252314815</v>
      </c>
      <c r="C622" s="1" t="n">
        <v>46106</v>
      </c>
      <c r="D622" t="inlineStr">
        <is>
          <t>STOCKHOLMS LÄN</t>
        </is>
      </c>
      <c r="E622" t="inlineStr">
        <is>
          <t>NORRTÄLJE</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47497-2025</t>
        </is>
      </c>
      <c r="B623" s="1" t="n">
        <v>45930.80217592593</v>
      </c>
      <c r="C623" s="1" t="n">
        <v>46106</v>
      </c>
      <c r="D623" t="inlineStr">
        <is>
          <t>STOCKHOLMS LÄN</t>
        </is>
      </c>
      <c r="E623" t="inlineStr">
        <is>
          <t>NORRTÄLJE</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4183-2025</t>
        </is>
      </c>
      <c r="B624" s="1" t="n">
        <v>45685.44592592592</v>
      </c>
      <c r="C624" s="1" t="n">
        <v>46106</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37628-2025</t>
        </is>
      </c>
      <c r="B625" s="1" t="n">
        <v>45880.46189814815</v>
      </c>
      <c r="C625" s="1" t="n">
        <v>46106</v>
      </c>
      <c r="D625" t="inlineStr">
        <is>
          <t>STOCKHOLMS LÄN</t>
        </is>
      </c>
      <c r="E625" t="inlineStr">
        <is>
          <t>NORRTÄLJE</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29369-2024</t>
        </is>
      </c>
      <c r="B626" s="1" t="n">
        <v>45483.57244212963</v>
      </c>
      <c r="C626" s="1" t="n">
        <v>46106</v>
      </c>
      <c r="D626" t="inlineStr">
        <is>
          <t>STOCKHOLMS LÄN</t>
        </is>
      </c>
      <c r="E626" t="inlineStr">
        <is>
          <t>NORRTÄLJE</t>
        </is>
      </c>
      <c r="G626" t="n">
        <v>15.9</v>
      </c>
      <c r="H626" t="n">
        <v>0</v>
      </c>
      <c r="I626" t="n">
        <v>0</v>
      </c>
      <c r="J626" t="n">
        <v>0</v>
      </c>
      <c r="K626" t="n">
        <v>0</v>
      </c>
      <c r="L626" t="n">
        <v>0</v>
      </c>
      <c r="M626" t="n">
        <v>0</v>
      </c>
      <c r="N626" t="n">
        <v>0</v>
      </c>
      <c r="O626" t="n">
        <v>0</v>
      </c>
      <c r="P626" t="n">
        <v>0</v>
      </c>
      <c r="Q626" t="n">
        <v>0</v>
      </c>
      <c r="R626" s="2" t="inlineStr"/>
    </row>
    <row r="627" ht="15" customHeight="1">
      <c r="A627" t="inlineStr">
        <is>
          <t>A 37632-2025</t>
        </is>
      </c>
      <c r="B627" s="1" t="n">
        <v>45880.46524305556</v>
      </c>
      <c r="C627" s="1" t="n">
        <v>46106</v>
      </c>
      <c r="D627" t="inlineStr">
        <is>
          <t>STOCKHOLMS LÄN</t>
        </is>
      </c>
      <c r="E627" t="inlineStr">
        <is>
          <t>NORRTÄLJE</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29841-2024</t>
        </is>
      </c>
      <c r="B628" s="1" t="n">
        <v>45485.60261574074</v>
      </c>
      <c r="C628" s="1" t="n">
        <v>46106</v>
      </c>
      <c r="D628" t="inlineStr">
        <is>
          <t>STOCKHOLMS LÄN</t>
        </is>
      </c>
      <c r="E628" t="inlineStr">
        <is>
          <t>NORRTÄLJE</t>
        </is>
      </c>
      <c r="G628" t="n">
        <v>15.9</v>
      </c>
      <c r="H628" t="n">
        <v>0</v>
      </c>
      <c r="I628" t="n">
        <v>0</v>
      </c>
      <c r="J628" t="n">
        <v>0</v>
      </c>
      <c r="K628" t="n">
        <v>0</v>
      </c>
      <c r="L628" t="n">
        <v>0</v>
      </c>
      <c r="M628" t="n">
        <v>0</v>
      </c>
      <c r="N628" t="n">
        <v>0</v>
      </c>
      <c r="O628" t="n">
        <v>0</v>
      </c>
      <c r="P628" t="n">
        <v>0</v>
      </c>
      <c r="Q628" t="n">
        <v>0</v>
      </c>
      <c r="R628" s="2" t="inlineStr"/>
    </row>
    <row r="629" ht="15" customHeight="1">
      <c r="A629" t="inlineStr">
        <is>
          <t>A 48360-2025</t>
        </is>
      </c>
      <c r="B629" s="1" t="n">
        <v>45933.66253472222</v>
      </c>
      <c r="C629" s="1" t="n">
        <v>46106</v>
      </c>
      <c r="D629" t="inlineStr">
        <is>
          <t>STOCKHOLMS LÄN</t>
        </is>
      </c>
      <c r="E629" t="inlineStr">
        <is>
          <t>NORRTÄLJE</t>
        </is>
      </c>
      <c r="G629" t="n">
        <v>4.1</v>
      </c>
      <c r="H629" t="n">
        <v>0</v>
      </c>
      <c r="I629" t="n">
        <v>0</v>
      </c>
      <c r="J629" t="n">
        <v>0</v>
      </c>
      <c r="K629" t="n">
        <v>0</v>
      </c>
      <c r="L629" t="n">
        <v>0</v>
      </c>
      <c r="M629" t="n">
        <v>0</v>
      </c>
      <c r="N629" t="n">
        <v>0</v>
      </c>
      <c r="O629" t="n">
        <v>0</v>
      </c>
      <c r="P629" t="n">
        <v>0</v>
      </c>
      <c r="Q629" t="n">
        <v>0</v>
      </c>
      <c r="R629" s="2" t="inlineStr"/>
    </row>
    <row r="630" ht="15" customHeight="1">
      <c r="A630" t="inlineStr">
        <is>
          <t>A 48370-2025</t>
        </is>
      </c>
      <c r="B630" s="1" t="n">
        <v>45933.67854166667</v>
      </c>
      <c r="C630" s="1" t="n">
        <v>46106</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9480-2025</t>
        </is>
      </c>
      <c r="B631" s="1" t="n">
        <v>45715</v>
      </c>
      <c r="C631" s="1" t="n">
        <v>46106</v>
      </c>
      <c r="D631" t="inlineStr">
        <is>
          <t>STOCKHOLMS LÄN</t>
        </is>
      </c>
      <c r="E631" t="inlineStr">
        <is>
          <t>NORRTÄLJE</t>
        </is>
      </c>
      <c r="F631" t="inlineStr">
        <is>
          <t>Övriga Aktiebolag</t>
        </is>
      </c>
      <c r="G631" t="n">
        <v>3.9</v>
      </c>
      <c r="H631" t="n">
        <v>0</v>
      </c>
      <c r="I631" t="n">
        <v>0</v>
      </c>
      <c r="J631" t="n">
        <v>0</v>
      </c>
      <c r="K631" t="n">
        <v>0</v>
      </c>
      <c r="L631" t="n">
        <v>0</v>
      </c>
      <c r="M631" t="n">
        <v>0</v>
      </c>
      <c r="N631" t="n">
        <v>0</v>
      </c>
      <c r="O631" t="n">
        <v>0</v>
      </c>
      <c r="P631" t="n">
        <v>0</v>
      </c>
      <c r="Q631" t="n">
        <v>0</v>
      </c>
      <c r="R631" s="2" t="inlineStr"/>
    </row>
    <row r="632" ht="15" customHeight="1">
      <c r="A632" t="inlineStr">
        <is>
          <t>A 20692-2025</t>
        </is>
      </c>
      <c r="B632" s="1" t="n">
        <v>45776.46369212963</v>
      </c>
      <c r="C632" s="1" t="n">
        <v>46106</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48364-2025</t>
        </is>
      </c>
      <c r="B633" s="1" t="n">
        <v>45933.66796296297</v>
      </c>
      <c r="C633" s="1" t="n">
        <v>46106</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37630-2025</t>
        </is>
      </c>
      <c r="B634" s="1" t="n">
        <v>45880.46372685185</v>
      </c>
      <c r="C634" s="1" t="n">
        <v>46106</v>
      </c>
      <c r="D634" t="inlineStr">
        <is>
          <t>STOCKHOLMS LÄN</t>
        </is>
      </c>
      <c r="E634" t="inlineStr">
        <is>
          <t>NORRTÄLJE</t>
        </is>
      </c>
      <c r="F634" t="inlineStr">
        <is>
          <t>Sveaskog</t>
        </is>
      </c>
      <c r="G634" t="n">
        <v>12.9</v>
      </c>
      <c r="H634" t="n">
        <v>0</v>
      </c>
      <c r="I634" t="n">
        <v>0</v>
      </c>
      <c r="J634" t="n">
        <v>0</v>
      </c>
      <c r="K634" t="n">
        <v>0</v>
      </c>
      <c r="L634" t="n">
        <v>0</v>
      </c>
      <c r="M634" t="n">
        <v>0</v>
      </c>
      <c r="N634" t="n">
        <v>0</v>
      </c>
      <c r="O634" t="n">
        <v>0</v>
      </c>
      <c r="P634" t="n">
        <v>0</v>
      </c>
      <c r="Q634" t="n">
        <v>0</v>
      </c>
      <c r="R634" s="2" t="inlineStr"/>
    </row>
    <row r="635" ht="15" customHeight="1">
      <c r="A635" t="inlineStr">
        <is>
          <t>A 48174-2025</t>
        </is>
      </c>
      <c r="B635" s="1" t="n">
        <v>45933.44230324074</v>
      </c>
      <c r="C635" s="1" t="n">
        <v>46106</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48127-2025</t>
        </is>
      </c>
      <c r="B636" s="1" t="n">
        <v>45933.36621527778</v>
      </c>
      <c r="C636" s="1" t="n">
        <v>46106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48179-2025</t>
        </is>
      </c>
      <c r="B637" s="1" t="n">
        <v>45933.44907407407</v>
      </c>
      <c r="C637" s="1" t="n">
        <v>46106</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46071-2024</t>
        </is>
      </c>
      <c r="B638" s="1" t="n">
        <v>45581</v>
      </c>
      <c r="C638" s="1" t="n">
        <v>46106</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24522-2023</t>
        </is>
      </c>
      <c r="B639" s="1" t="n">
        <v>45082.69179398148</v>
      </c>
      <c r="C639" s="1" t="n">
        <v>46106</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25625-2023</t>
        </is>
      </c>
      <c r="B640" s="1" t="n">
        <v>45089</v>
      </c>
      <c r="C640" s="1" t="n">
        <v>46106</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48718-2025</t>
        </is>
      </c>
      <c r="B641" s="1" t="n">
        <v>45936</v>
      </c>
      <c r="C641" s="1" t="n">
        <v>46106</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37147-2023</t>
        </is>
      </c>
      <c r="B642" s="1" t="n">
        <v>45155</v>
      </c>
      <c r="C642" s="1" t="n">
        <v>46106</v>
      </c>
      <c r="D642" t="inlineStr">
        <is>
          <t>STOCKHOLMS LÄN</t>
        </is>
      </c>
      <c r="E642" t="inlineStr">
        <is>
          <t>NORRTÄLJE</t>
        </is>
      </c>
      <c r="G642" t="n">
        <v>8</v>
      </c>
      <c r="H642" t="n">
        <v>0</v>
      </c>
      <c r="I642" t="n">
        <v>0</v>
      </c>
      <c r="J642" t="n">
        <v>0</v>
      </c>
      <c r="K642" t="n">
        <v>0</v>
      </c>
      <c r="L642" t="n">
        <v>0</v>
      </c>
      <c r="M642" t="n">
        <v>0</v>
      </c>
      <c r="N642" t="n">
        <v>0</v>
      </c>
      <c r="O642" t="n">
        <v>0</v>
      </c>
      <c r="P642" t="n">
        <v>0</v>
      </c>
      <c r="Q642" t="n">
        <v>0</v>
      </c>
      <c r="R642" s="2" t="inlineStr"/>
    </row>
    <row r="643" ht="15" customHeight="1">
      <c r="A643" t="inlineStr">
        <is>
          <t>A 7186-2024</t>
        </is>
      </c>
      <c r="B643" s="1" t="n">
        <v>45344</v>
      </c>
      <c r="C643" s="1" t="n">
        <v>46106</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48593-2025</t>
        </is>
      </c>
      <c r="B644" s="1" t="n">
        <v>45936.4627662037</v>
      </c>
      <c r="C644" s="1" t="n">
        <v>46106</v>
      </c>
      <c r="D644" t="inlineStr">
        <is>
          <t>STOCKHOLMS LÄN</t>
        </is>
      </c>
      <c r="E644" t="inlineStr">
        <is>
          <t>NORRTÄLJE</t>
        </is>
      </c>
      <c r="G644" t="n">
        <v>4.2</v>
      </c>
      <c r="H644" t="n">
        <v>0</v>
      </c>
      <c r="I644" t="n">
        <v>0</v>
      </c>
      <c r="J644" t="n">
        <v>0</v>
      </c>
      <c r="K644" t="n">
        <v>0</v>
      </c>
      <c r="L644" t="n">
        <v>0</v>
      </c>
      <c r="M644" t="n">
        <v>0</v>
      </c>
      <c r="N644" t="n">
        <v>0</v>
      </c>
      <c r="O644" t="n">
        <v>0</v>
      </c>
      <c r="P644" t="n">
        <v>0</v>
      </c>
      <c r="Q644" t="n">
        <v>0</v>
      </c>
      <c r="R644" s="2" t="inlineStr"/>
    </row>
    <row r="645" ht="15" customHeight="1">
      <c r="A645" t="inlineStr">
        <is>
          <t>A 57602-2024</t>
        </is>
      </c>
      <c r="B645" s="1" t="n">
        <v>45630.52866898148</v>
      </c>
      <c r="C645" s="1" t="n">
        <v>46106</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64600-2021</t>
        </is>
      </c>
      <c r="B646" s="1" t="n">
        <v>44511.70518518519</v>
      </c>
      <c r="C646" s="1" t="n">
        <v>46106</v>
      </c>
      <c r="D646" t="inlineStr">
        <is>
          <t>STOCKHOLMS LÄN</t>
        </is>
      </c>
      <c r="E646" t="inlineStr">
        <is>
          <t>NORRTÄLJE</t>
        </is>
      </c>
      <c r="G646" t="n">
        <v>6.2</v>
      </c>
      <c r="H646" t="n">
        <v>0</v>
      </c>
      <c r="I646" t="n">
        <v>0</v>
      </c>
      <c r="J646" t="n">
        <v>0</v>
      </c>
      <c r="K646" t="n">
        <v>0</v>
      </c>
      <c r="L646" t="n">
        <v>0</v>
      </c>
      <c r="M646" t="n">
        <v>0</v>
      </c>
      <c r="N646" t="n">
        <v>0</v>
      </c>
      <c r="O646" t="n">
        <v>0</v>
      </c>
      <c r="P646" t="n">
        <v>0</v>
      </c>
      <c r="Q646" t="n">
        <v>0</v>
      </c>
      <c r="R646" s="2" t="inlineStr"/>
    </row>
    <row r="647" ht="15" customHeight="1">
      <c r="A647" t="inlineStr">
        <is>
          <t>A 50602-2021</t>
        </is>
      </c>
      <c r="B647" s="1" t="n">
        <v>44459</v>
      </c>
      <c r="C647" s="1" t="n">
        <v>46106</v>
      </c>
      <c r="D647" t="inlineStr">
        <is>
          <t>STOCKHOLMS LÄN</t>
        </is>
      </c>
      <c r="E647" t="inlineStr">
        <is>
          <t>NORRTÄLJE</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26365-2024</t>
        </is>
      </c>
      <c r="B648" s="1" t="n">
        <v>45469</v>
      </c>
      <c r="C648" s="1" t="n">
        <v>46106</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48443-2025</t>
        </is>
      </c>
      <c r="B649" s="1" t="n">
        <v>45935.55326388889</v>
      </c>
      <c r="C649" s="1" t="n">
        <v>46106</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13137-2024</t>
        </is>
      </c>
      <c r="B650" s="1" t="n">
        <v>45386.34175925926</v>
      </c>
      <c r="C650" s="1" t="n">
        <v>46106</v>
      </c>
      <c r="D650" t="inlineStr">
        <is>
          <t>STOCKHOLMS LÄN</t>
        </is>
      </c>
      <c r="E650" t="inlineStr">
        <is>
          <t>NORRTÄLJE</t>
        </is>
      </c>
      <c r="G650" t="n">
        <v>5</v>
      </c>
      <c r="H650" t="n">
        <v>0</v>
      </c>
      <c r="I650" t="n">
        <v>0</v>
      </c>
      <c r="J650" t="n">
        <v>0</v>
      </c>
      <c r="K650" t="n">
        <v>0</v>
      </c>
      <c r="L650" t="n">
        <v>0</v>
      </c>
      <c r="M650" t="n">
        <v>0</v>
      </c>
      <c r="N650" t="n">
        <v>0</v>
      </c>
      <c r="O650" t="n">
        <v>0</v>
      </c>
      <c r="P650" t="n">
        <v>0</v>
      </c>
      <c r="Q650" t="n">
        <v>0</v>
      </c>
      <c r="R650" s="2" t="inlineStr"/>
    </row>
    <row r="651" ht="15" customHeight="1">
      <c r="A651" t="inlineStr">
        <is>
          <t>A 26640-2023</t>
        </is>
      </c>
      <c r="B651" s="1" t="n">
        <v>45092</v>
      </c>
      <c r="C651" s="1" t="n">
        <v>46106</v>
      </c>
      <c r="D651" t="inlineStr">
        <is>
          <t>STOCKHOLMS LÄN</t>
        </is>
      </c>
      <c r="E651" t="inlineStr">
        <is>
          <t>NORRTÄLJE</t>
        </is>
      </c>
      <c r="G651" t="n">
        <v>5.7</v>
      </c>
      <c r="H651" t="n">
        <v>0</v>
      </c>
      <c r="I651" t="n">
        <v>0</v>
      </c>
      <c r="J651" t="n">
        <v>0</v>
      </c>
      <c r="K651" t="n">
        <v>0</v>
      </c>
      <c r="L651" t="n">
        <v>0</v>
      </c>
      <c r="M651" t="n">
        <v>0</v>
      </c>
      <c r="N651" t="n">
        <v>0</v>
      </c>
      <c r="O651" t="n">
        <v>0</v>
      </c>
      <c r="P651" t="n">
        <v>0</v>
      </c>
      <c r="Q651" t="n">
        <v>0</v>
      </c>
      <c r="R651" s="2" t="inlineStr"/>
    </row>
    <row r="652" ht="15" customHeight="1">
      <c r="A652" t="inlineStr">
        <is>
          <t>A 31827-2023</t>
        </is>
      </c>
      <c r="B652" s="1" t="n">
        <v>45118</v>
      </c>
      <c r="C652" s="1" t="n">
        <v>46106</v>
      </c>
      <c r="D652" t="inlineStr">
        <is>
          <t>STOCKHOLMS LÄN</t>
        </is>
      </c>
      <c r="E652" t="inlineStr">
        <is>
          <t>NORRTÄLJE</t>
        </is>
      </c>
      <c r="F652" t="inlineStr">
        <is>
          <t>Kyrkan</t>
        </is>
      </c>
      <c r="G652" t="n">
        <v>4.9</v>
      </c>
      <c r="H652" t="n">
        <v>0</v>
      </c>
      <c r="I652" t="n">
        <v>0</v>
      </c>
      <c r="J652" t="n">
        <v>0</v>
      </c>
      <c r="K652" t="n">
        <v>0</v>
      </c>
      <c r="L652" t="n">
        <v>0</v>
      </c>
      <c r="M652" t="n">
        <v>0</v>
      </c>
      <c r="N652" t="n">
        <v>0</v>
      </c>
      <c r="O652" t="n">
        <v>0</v>
      </c>
      <c r="P652" t="n">
        <v>0</v>
      </c>
      <c r="Q652" t="n">
        <v>0</v>
      </c>
      <c r="R652" s="2" t="inlineStr"/>
    </row>
    <row r="653" ht="15" customHeight="1">
      <c r="A653" t="inlineStr">
        <is>
          <t>A 58993-2022</t>
        </is>
      </c>
      <c r="B653" s="1" t="n">
        <v>44903</v>
      </c>
      <c r="C653" s="1" t="n">
        <v>46106</v>
      </c>
      <c r="D653" t="inlineStr">
        <is>
          <t>STOCKHOLMS LÄN</t>
        </is>
      </c>
      <c r="E653" t="inlineStr">
        <is>
          <t>NORRTÄLJE</t>
        </is>
      </c>
      <c r="G653" t="n">
        <v>2.3</v>
      </c>
      <c r="H653" t="n">
        <v>0</v>
      </c>
      <c r="I653" t="n">
        <v>0</v>
      </c>
      <c r="J653" t="n">
        <v>0</v>
      </c>
      <c r="K653" t="n">
        <v>0</v>
      </c>
      <c r="L653" t="n">
        <v>0</v>
      </c>
      <c r="M653" t="n">
        <v>0</v>
      </c>
      <c r="N653" t="n">
        <v>0</v>
      </c>
      <c r="O653" t="n">
        <v>0</v>
      </c>
      <c r="P653" t="n">
        <v>0</v>
      </c>
      <c r="Q653" t="n">
        <v>0</v>
      </c>
      <c r="R653" s="2" t="inlineStr"/>
    </row>
    <row r="654" ht="15" customHeight="1">
      <c r="A654" t="inlineStr">
        <is>
          <t>A 24350-2025</t>
        </is>
      </c>
      <c r="B654" s="1" t="n">
        <v>45797.58350694444</v>
      </c>
      <c r="C654" s="1" t="n">
        <v>46106</v>
      </c>
      <c r="D654" t="inlineStr">
        <is>
          <t>STOCKHOLMS LÄN</t>
        </is>
      </c>
      <c r="E654" t="inlineStr">
        <is>
          <t>NORRTÄLJE</t>
        </is>
      </c>
      <c r="G654" t="n">
        <v>4.5</v>
      </c>
      <c r="H654" t="n">
        <v>0</v>
      </c>
      <c r="I654" t="n">
        <v>0</v>
      </c>
      <c r="J654" t="n">
        <v>0</v>
      </c>
      <c r="K654" t="n">
        <v>0</v>
      </c>
      <c r="L654" t="n">
        <v>0</v>
      </c>
      <c r="M654" t="n">
        <v>0</v>
      </c>
      <c r="N654" t="n">
        <v>0</v>
      </c>
      <c r="O654" t="n">
        <v>0</v>
      </c>
      <c r="P654" t="n">
        <v>0</v>
      </c>
      <c r="Q654" t="n">
        <v>0</v>
      </c>
      <c r="R654" s="2" t="inlineStr"/>
    </row>
    <row r="655" ht="15" customHeight="1">
      <c r="A655" t="inlineStr">
        <is>
          <t>A 26703-2025</t>
        </is>
      </c>
      <c r="B655" s="1" t="n">
        <v>45810.45263888889</v>
      </c>
      <c r="C655" s="1" t="n">
        <v>46106</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48780-2025</t>
        </is>
      </c>
      <c r="B656" s="1" t="n">
        <v>45937.30377314815</v>
      </c>
      <c r="C656" s="1" t="n">
        <v>46106</v>
      </c>
      <c r="D656" t="inlineStr">
        <is>
          <t>STOCKHOLMS LÄN</t>
        </is>
      </c>
      <c r="E656" t="inlineStr">
        <is>
          <t>NORRTÄLJE</t>
        </is>
      </c>
      <c r="G656" t="n">
        <v>7.7</v>
      </c>
      <c r="H656" t="n">
        <v>0</v>
      </c>
      <c r="I656" t="n">
        <v>0</v>
      </c>
      <c r="J656" t="n">
        <v>0</v>
      </c>
      <c r="K656" t="n">
        <v>0</v>
      </c>
      <c r="L656" t="n">
        <v>0</v>
      </c>
      <c r="M656" t="n">
        <v>0</v>
      </c>
      <c r="N656" t="n">
        <v>0</v>
      </c>
      <c r="O656" t="n">
        <v>0</v>
      </c>
      <c r="P656" t="n">
        <v>0</v>
      </c>
      <c r="Q656" t="n">
        <v>0</v>
      </c>
      <c r="R656" s="2" t="inlineStr"/>
    </row>
    <row r="657" ht="15" customHeight="1">
      <c r="A657" t="inlineStr">
        <is>
          <t>A 28900-2022</t>
        </is>
      </c>
      <c r="B657" s="1" t="n">
        <v>44749.55258101852</v>
      </c>
      <c r="C657" s="1" t="n">
        <v>46106</v>
      </c>
      <c r="D657" t="inlineStr">
        <is>
          <t>STOCKHOLMS LÄN</t>
        </is>
      </c>
      <c r="E657" t="inlineStr">
        <is>
          <t>NORRTÄLJE</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17574-2025</t>
        </is>
      </c>
      <c r="B658" s="1" t="n">
        <v>45757.65178240741</v>
      </c>
      <c r="C658" s="1" t="n">
        <v>46106</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38153-2025</t>
        </is>
      </c>
      <c r="B659" s="1" t="n">
        <v>45882.59722222222</v>
      </c>
      <c r="C659" s="1" t="n">
        <v>46106</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58297-2023</t>
        </is>
      </c>
      <c r="B660" s="1" t="n">
        <v>45245</v>
      </c>
      <c r="C660" s="1" t="n">
        <v>46106</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20304-2023</t>
        </is>
      </c>
      <c r="B661" s="1" t="n">
        <v>45056</v>
      </c>
      <c r="C661" s="1" t="n">
        <v>46106</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12299-2025</t>
        </is>
      </c>
      <c r="B662" s="1" t="n">
        <v>45729.71065972222</v>
      </c>
      <c r="C662" s="1" t="n">
        <v>46106</v>
      </c>
      <c r="D662" t="inlineStr">
        <is>
          <t>STOCKHOLMS LÄN</t>
        </is>
      </c>
      <c r="E662" t="inlineStr">
        <is>
          <t>NORRTÄLJE</t>
        </is>
      </c>
      <c r="F662" t="inlineStr">
        <is>
          <t>Holmen skog AB</t>
        </is>
      </c>
      <c r="G662" t="n">
        <v>6.9</v>
      </c>
      <c r="H662" t="n">
        <v>0</v>
      </c>
      <c r="I662" t="n">
        <v>0</v>
      </c>
      <c r="J662" t="n">
        <v>0</v>
      </c>
      <c r="K662" t="n">
        <v>0</v>
      </c>
      <c r="L662" t="n">
        <v>0</v>
      </c>
      <c r="M662" t="n">
        <v>0</v>
      </c>
      <c r="N662" t="n">
        <v>0</v>
      </c>
      <c r="O662" t="n">
        <v>0</v>
      </c>
      <c r="P662" t="n">
        <v>0</v>
      </c>
      <c r="Q662" t="n">
        <v>0</v>
      </c>
      <c r="R662" s="2" t="inlineStr"/>
    </row>
    <row r="663" ht="15" customHeight="1">
      <c r="A663" t="inlineStr">
        <is>
          <t>A 22157-2023</t>
        </is>
      </c>
      <c r="B663" s="1" t="n">
        <v>45069</v>
      </c>
      <c r="C663" s="1" t="n">
        <v>46106</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c r="U663">
        <f>HYPERLINK("https://klasma.github.io/Logging_0188/knärot/A 22157-2023 karta knärot.png", "A 22157-2023")</f>
        <v/>
      </c>
      <c r="V663">
        <f>HYPERLINK("https://klasma.github.io/Logging_0188/klagomål/A 22157-2023 FSC-klagomål.docx", "A 22157-2023")</f>
        <v/>
      </c>
      <c r="W663">
        <f>HYPERLINK("https://klasma.github.io/Logging_0188/klagomålsmail/A 22157-2023 FSC-klagomål mail.docx", "A 22157-2023")</f>
        <v/>
      </c>
      <c r="X663">
        <f>HYPERLINK("https://klasma.github.io/Logging_0188/tillsyn/A 22157-2023 tillsynsbegäran.docx", "A 22157-2023")</f>
        <v/>
      </c>
      <c r="Y663">
        <f>HYPERLINK("https://klasma.github.io/Logging_0188/tillsynsmail/A 22157-2023 tillsynsbegäran mail.docx", "A 22157-2023")</f>
        <v/>
      </c>
    </row>
    <row r="664" ht="15" customHeight="1">
      <c r="A664" t="inlineStr">
        <is>
          <t>A 22816-2021</t>
        </is>
      </c>
      <c r="B664" s="1" t="n">
        <v>44325</v>
      </c>
      <c r="C664" s="1" t="n">
        <v>46106</v>
      </c>
      <c r="D664" t="inlineStr">
        <is>
          <t>STOCKHOLMS LÄN</t>
        </is>
      </c>
      <c r="E664" t="inlineStr">
        <is>
          <t>NORRTÄLJE</t>
        </is>
      </c>
      <c r="G664" t="n">
        <v>4.5</v>
      </c>
      <c r="H664" t="n">
        <v>0</v>
      </c>
      <c r="I664" t="n">
        <v>0</v>
      </c>
      <c r="J664" t="n">
        <v>0</v>
      </c>
      <c r="K664" t="n">
        <v>0</v>
      </c>
      <c r="L664" t="n">
        <v>0</v>
      </c>
      <c r="M664" t="n">
        <v>0</v>
      </c>
      <c r="N664" t="n">
        <v>0</v>
      </c>
      <c r="O664" t="n">
        <v>0</v>
      </c>
      <c r="P664" t="n">
        <v>0</v>
      </c>
      <c r="Q664" t="n">
        <v>0</v>
      </c>
      <c r="R664" s="2" t="inlineStr"/>
    </row>
    <row r="665" ht="15" customHeight="1">
      <c r="A665" t="inlineStr">
        <is>
          <t>A 49129-2025</t>
        </is>
      </c>
      <c r="B665" s="1" t="n">
        <v>45937.89517361111</v>
      </c>
      <c r="C665" s="1" t="n">
        <v>46106</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11929-2024</t>
        </is>
      </c>
      <c r="B666" s="1" t="n">
        <v>45376.64532407407</v>
      </c>
      <c r="C666" s="1" t="n">
        <v>46106</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8296-2023</t>
        </is>
      </c>
      <c r="B667" s="1" t="n">
        <v>44974</v>
      </c>
      <c r="C667" s="1" t="n">
        <v>46106</v>
      </c>
      <c r="D667" t="inlineStr">
        <is>
          <t>STOCKHOLMS LÄN</t>
        </is>
      </c>
      <c r="E667" t="inlineStr">
        <is>
          <t>NORRTÄLJE</t>
        </is>
      </c>
      <c r="G667" t="n">
        <v>3.8</v>
      </c>
      <c r="H667" t="n">
        <v>0</v>
      </c>
      <c r="I667" t="n">
        <v>0</v>
      </c>
      <c r="J667" t="n">
        <v>0</v>
      </c>
      <c r="K667" t="n">
        <v>0</v>
      </c>
      <c r="L667" t="n">
        <v>0</v>
      </c>
      <c r="M667" t="n">
        <v>0</v>
      </c>
      <c r="N667" t="n">
        <v>0</v>
      </c>
      <c r="O667" t="n">
        <v>0</v>
      </c>
      <c r="P667" t="n">
        <v>0</v>
      </c>
      <c r="Q667" t="n">
        <v>0</v>
      </c>
      <c r="R667" s="2" t="inlineStr"/>
    </row>
    <row r="668" ht="15" customHeight="1">
      <c r="A668" t="inlineStr">
        <is>
          <t>A 50097-2025</t>
        </is>
      </c>
      <c r="B668" s="1" t="n">
        <v>45943.50207175926</v>
      </c>
      <c r="C668" s="1" t="n">
        <v>46106</v>
      </c>
      <c r="D668" t="inlineStr">
        <is>
          <t>STOCKHOLMS LÄN</t>
        </is>
      </c>
      <c r="E668" t="inlineStr">
        <is>
          <t>NORRTÄLJE</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24575-2024</t>
        </is>
      </c>
      <c r="B669" s="1" t="n">
        <v>45460.45523148148</v>
      </c>
      <c r="C669" s="1" t="n">
        <v>46106</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64899-2023</t>
        </is>
      </c>
      <c r="B670" s="1" t="n">
        <v>45282</v>
      </c>
      <c r="C670" s="1" t="n">
        <v>46106</v>
      </c>
      <c r="D670" t="inlineStr">
        <is>
          <t>STOCKHOLMS LÄN</t>
        </is>
      </c>
      <c r="E670" t="inlineStr">
        <is>
          <t>NORRTÄLJE</t>
        </is>
      </c>
      <c r="G670" t="n">
        <v>6.3</v>
      </c>
      <c r="H670" t="n">
        <v>0</v>
      </c>
      <c r="I670" t="n">
        <v>0</v>
      </c>
      <c r="J670" t="n">
        <v>0</v>
      </c>
      <c r="K670" t="n">
        <v>0</v>
      </c>
      <c r="L670" t="n">
        <v>0</v>
      </c>
      <c r="M670" t="n">
        <v>0</v>
      </c>
      <c r="N670" t="n">
        <v>0</v>
      </c>
      <c r="O670" t="n">
        <v>0</v>
      </c>
      <c r="P670" t="n">
        <v>0</v>
      </c>
      <c r="Q670" t="n">
        <v>0</v>
      </c>
      <c r="R670" s="2" t="inlineStr"/>
    </row>
    <row r="671" ht="15" customHeight="1">
      <c r="A671" t="inlineStr">
        <is>
          <t>A 49836-2025</t>
        </is>
      </c>
      <c r="B671" s="1" t="n">
        <v>45940.46862268518</v>
      </c>
      <c r="C671" s="1" t="n">
        <v>46106</v>
      </c>
      <c r="D671" t="inlineStr">
        <is>
          <t>STOCKHOLMS LÄN</t>
        </is>
      </c>
      <c r="E671" t="inlineStr">
        <is>
          <t>NORRTÄLJE</t>
        </is>
      </c>
      <c r="G671" t="n">
        <v>3.5</v>
      </c>
      <c r="H671" t="n">
        <v>0</v>
      </c>
      <c r="I671" t="n">
        <v>0</v>
      </c>
      <c r="J671" t="n">
        <v>0</v>
      </c>
      <c r="K671" t="n">
        <v>0</v>
      </c>
      <c r="L671" t="n">
        <v>0</v>
      </c>
      <c r="M671" t="n">
        <v>0</v>
      </c>
      <c r="N671" t="n">
        <v>0</v>
      </c>
      <c r="O671" t="n">
        <v>0</v>
      </c>
      <c r="P671" t="n">
        <v>0</v>
      </c>
      <c r="Q671" t="n">
        <v>0</v>
      </c>
      <c r="R671" s="2" t="inlineStr"/>
    </row>
    <row r="672" ht="15" customHeight="1">
      <c r="A672" t="inlineStr">
        <is>
          <t>A 52593-2024</t>
        </is>
      </c>
      <c r="B672" s="1" t="n">
        <v>45609.70778935185</v>
      </c>
      <c r="C672" s="1" t="n">
        <v>46106</v>
      </c>
      <c r="D672" t="inlineStr">
        <is>
          <t>STOCKHOLMS LÄN</t>
        </is>
      </c>
      <c r="E672" t="inlineStr">
        <is>
          <t>NORRTÄLJE</t>
        </is>
      </c>
      <c r="F672" t="inlineStr">
        <is>
          <t>Holmen skog AB</t>
        </is>
      </c>
      <c r="G672" t="n">
        <v>2.4</v>
      </c>
      <c r="H672" t="n">
        <v>0</v>
      </c>
      <c r="I672" t="n">
        <v>0</v>
      </c>
      <c r="J672" t="n">
        <v>0</v>
      </c>
      <c r="K672" t="n">
        <v>0</v>
      </c>
      <c r="L672" t="n">
        <v>0</v>
      </c>
      <c r="M672" t="n">
        <v>0</v>
      </c>
      <c r="N672" t="n">
        <v>0</v>
      </c>
      <c r="O672" t="n">
        <v>0</v>
      </c>
      <c r="P672" t="n">
        <v>0</v>
      </c>
      <c r="Q672" t="n">
        <v>0</v>
      </c>
      <c r="R672" s="2" t="inlineStr"/>
    </row>
    <row r="673" ht="15" customHeight="1">
      <c r="A673" t="inlineStr">
        <is>
          <t>A 52617-2024</t>
        </is>
      </c>
      <c r="B673" s="1" t="n">
        <v>45609.85146990741</v>
      </c>
      <c r="C673" s="1" t="n">
        <v>46106</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46106</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22816-2021</t>
        </is>
      </c>
      <c r="B675" s="1" t="n">
        <v>44325</v>
      </c>
      <c r="C675" s="1" t="n">
        <v>46106</v>
      </c>
      <c r="D675" t="inlineStr">
        <is>
          <t>STOCKHOLMS LÄN</t>
        </is>
      </c>
      <c r="E675" t="inlineStr">
        <is>
          <t>NORRTÄLJE</t>
        </is>
      </c>
      <c r="G675" t="n">
        <v>4.5</v>
      </c>
      <c r="H675" t="n">
        <v>0</v>
      </c>
      <c r="I675" t="n">
        <v>0</v>
      </c>
      <c r="J675" t="n">
        <v>0</v>
      </c>
      <c r="K675" t="n">
        <v>0</v>
      </c>
      <c r="L675" t="n">
        <v>0</v>
      </c>
      <c r="M675" t="n">
        <v>0</v>
      </c>
      <c r="N675" t="n">
        <v>0</v>
      </c>
      <c r="O675" t="n">
        <v>0</v>
      </c>
      <c r="P675" t="n">
        <v>0</v>
      </c>
      <c r="Q675" t="n">
        <v>0</v>
      </c>
      <c r="R675" s="2" t="inlineStr"/>
    </row>
    <row r="676" ht="15" customHeight="1">
      <c r="A676" t="inlineStr">
        <is>
          <t>A 59904-2023</t>
        </is>
      </c>
      <c r="B676" s="1" t="n">
        <v>45257</v>
      </c>
      <c r="C676" s="1" t="n">
        <v>46106</v>
      </c>
      <c r="D676" t="inlineStr">
        <is>
          <t>STOCKHOLMS LÄN</t>
        </is>
      </c>
      <c r="E676" t="inlineStr">
        <is>
          <t>NORRTÄLJE</t>
        </is>
      </c>
      <c r="G676" t="n">
        <v>17.4</v>
      </c>
      <c r="H676" t="n">
        <v>0</v>
      </c>
      <c r="I676" t="n">
        <v>0</v>
      </c>
      <c r="J676" t="n">
        <v>0</v>
      </c>
      <c r="K676" t="n">
        <v>0</v>
      </c>
      <c r="L676" t="n">
        <v>0</v>
      </c>
      <c r="M676" t="n">
        <v>0</v>
      </c>
      <c r="N676" t="n">
        <v>0</v>
      </c>
      <c r="O676" t="n">
        <v>0</v>
      </c>
      <c r="P676" t="n">
        <v>0</v>
      </c>
      <c r="Q676" t="n">
        <v>0</v>
      </c>
      <c r="R676" s="2" t="inlineStr"/>
    </row>
    <row r="677" ht="15" customHeight="1">
      <c r="A677" t="inlineStr">
        <is>
          <t>A 9914-2023</t>
        </is>
      </c>
      <c r="B677" s="1" t="n">
        <v>44985</v>
      </c>
      <c r="C677" s="1" t="n">
        <v>46106</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11062-2024</t>
        </is>
      </c>
      <c r="B678" s="1" t="n">
        <v>45370</v>
      </c>
      <c r="C678" s="1" t="n">
        <v>46106</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row>
    <row r="679" ht="15" customHeight="1">
      <c r="A679" t="inlineStr">
        <is>
          <t>A 33569-2023</t>
        </is>
      </c>
      <c r="B679" s="1" t="n">
        <v>45131.666875</v>
      </c>
      <c r="C679" s="1" t="n">
        <v>46106</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15905-2023</t>
        </is>
      </c>
      <c r="B680" s="1" t="n">
        <v>45022</v>
      </c>
      <c r="C680" s="1" t="n">
        <v>46106</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15956-2023</t>
        </is>
      </c>
      <c r="B681" s="1" t="n">
        <v>45022.61003472222</v>
      </c>
      <c r="C681" s="1" t="n">
        <v>46106</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65499-2021</t>
        </is>
      </c>
      <c r="B682" s="1" t="n">
        <v>44516</v>
      </c>
      <c r="C682" s="1" t="n">
        <v>46106</v>
      </c>
      <c r="D682" t="inlineStr">
        <is>
          <t>STOCKHOLMS LÄN</t>
        </is>
      </c>
      <c r="E682" t="inlineStr">
        <is>
          <t>NORRTÄLJE</t>
        </is>
      </c>
      <c r="F682" t="inlineStr">
        <is>
          <t>Kommuner</t>
        </is>
      </c>
      <c r="G682" t="n">
        <v>5.2</v>
      </c>
      <c r="H682" t="n">
        <v>0</v>
      </c>
      <c r="I682" t="n">
        <v>0</v>
      </c>
      <c r="J682" t="n">
        <v>0</v>
      </c>
      <c r="K682" t="n">
        <v>0</v>
      </c>
      <c r="L682" t="n">
        <v>0</v>
      </c>
      <c r="M682" t="n">
        <v>0</v>
      </c>
      <c r="N682" t="n">
        <v>0</v>
      </c>
      <c r="O682" t="n">
        <v>0</v>
      </c>
      <c r="P682" t="n">
        <v>0</v>
      </c>
      <c r="Q682" t="n">
        <v>0</v>
      </c>
      <c r="R682" s="2" t="inlineStr"/>
    </row>
    <row r="683" ht="15" customHeight="1">
      <c r="A683" t="inlineStr">
        <is>
          <t>A 47626-2022</t>
        </is>
      </c>
      <c r="B683" s="1" t="n">
        <v>44854</v>
      </c>
      <c r="C683" s="1" t="n">
        <v>46106</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50327-2025</t>
        </is>
      </c>
      <c r="B684" s="1" t="n">
        <v>45944.46387731482</v>
      </c>
      <c r="C684" s="1" t="n">
        <v>46106</v>
      </c>
      <c r="D684" t="inlineStr">
        <is>
          <t>STOCKHOLMS LÄN</t>
        </is>
      </c>
      <c r="E684" t="inlineStr">
        <is>
          <t>NORRTÄLJE</t>
        </is>
      </c>
      <c r="G684" t="n">
        <v>0.3</v>
      </c>
      <c r="H684" t="n">
        <v>0</v>
      </c>
      <c r="I684" t="n">
        <v>0</v>
      </c>
      <c r="J684" t="n">
        <v>0</v>
      </c>
      <c r="K684" t="n">
        <v>0</v>
      </c>
      <c r="L684" t="n">
        <v>0</v>
      </c>
      <c r="M684" t="n">
        <v>0</v>
      </c>
      <c r="N684" t="n">
        <v>0</v>
      </c>
      <c r="O684" t="n">
        <v>0</v>
      </c>
      <c r="P684" t="n">
        <v>0</v>
      </c>
      <c r="Q684" t="n">
        <v>0</v>
      </c>
      <c r="R684" s="2" t="inlineStr"/>
    </row>
    <row r="685" ht="15" customHeight="1">
      <c r="A685" t="inlineStr">
        <is>
          <t>A 62206-2022</t>
        </is>
      </c>
      <c r="B685" s="1" t="n">
        <v>44922</v>
      </c>
      <c r="C685" s="1" t="n">
        <v>46106</v>
      </c>
      <c r="D685" t="inlineStr">
        <is>
          <t>STOCKHOLMS LÄN</t>
        </is>
      </c>
      <c r="E685" t="inlineStr">
        <is>
          <t>NORRTÄLJE</t>
        </is>
      </c>
      <c r="G685" t="n">
        <v>2.9</v>
      </c>
      <c r="H685" t="n">
        <v>0</v>
      </c>
      <c r="I685" t="n">
        <v>0</v>
      </c>
      <c r="J685" t="n">
        <v>0</v>
      </c>
      <c r="K685" t="n">
        <v>0</v>
      </c>
      <c r="L685" t="n">
        <v>0</v>
      </c>
      <c r="M685" t="n">
        <v>0</v>
      </c>
      <c r="N685" t="n">
        <v>0</v>
      </c>
      <c r="O685" t="n">
        <v>0</v>
      </c>
      <c r="P685" t="n">
        <v>0</v>
      </c>
      <c r="Q685" t="n">
        <v>0</v>
      </c>
      <c r="R685" s="2" t="inlineStr"/>
    </row>
    <row r="686" ht="15" customHeight="1">
      <c r="A686" t="inlineStr">
        <is>
          <t>A 20618-2022</t>
        </is>
      </c>
      <c r="B686" s="1" t="n">
        <v>44700.50659722222</v>
      </c>
      <c r="C686" s="1" t="n">
        <v>46106</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50563-2025</t>
        </is>
      </c>
      <c r="B687" s="1" t="n">
        <v>45944</v>
      </c>
      <c r="C687" s="1" t="n">
        <v>46106</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40192-2023</t>
        </is>
      </c>
      <c r="B688" s="1" t="n">
        <v>45169</v>
      </c>
      <c r="C688" s="1" t="n">
        <v>46106</v>
      </c>
      <c r="D688" t="inlineStr">
        <is>
          <t>STOCKHOLMS LÄN</t>
        </is>
      </c>
      <c r="E688" t="inlineStr">
        <is>
          <t>NORRTÄLJE</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50333-2025</t>
        </is>
      </c>
      <c r="B689" s="1" t="n">
        <v>45944.47178240741</v>
      </c>
      <c r="C689" s="1" t="n">
        <v>46106</v>
      </c>
      <c r="D689" t="inlineStr">
        <is>
          <t>STOCKHOLMS LÄN</t>
        </is>
      </c>
      <c r="E689" t="inlineStr">
        <is>
          <t>NORRTÄLJE</t>
        </is>
      </c>
      <c r="G689" t="n">
        <v>4.2</v>
      </c>
      <c r="H689" t="n">
        <v>0</v>
      </c>
      <c r="I689" t="n">
        <v>0</v>
      </c>
      <c r="J689" t="n">
        <v>0</v>
      </c>
      <c r="K689" t="n">
        <v>0</v>
      </c>
      <c r="L689" t="n">
        <v>0</v>
      </c>
      <c r="M689" t="n">
        <v>0</v>
      </c>
      <c r="N689" t="n">
        <v>0</v>
      </c>
      <c r="O689" t="n">
        <v>0</v>
      </c>
      <c r="P689" t="n">
        <v>0</v>
      </c>
      <c r="Q689" t="n">
        <v>0</v>
      </c>
      <c r="R689" s="2" t="inlineStr"/>
    </row>
    <row r="690" ht="15" customHeight="1">
      <c r="A690" t="inlineStr">
        <is>
          <t>A 11900-2022</t>
        </is>
      </c>
      <c r="B690" s="1" t="n">
        <v>44635</v>
      </c>
      <c r="C690" s="1" t="n">
        <v>46106</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10973-2025</t>
        </is>
      </c>
      <c r="B691" s="1" t="n">
        <v>45723</v>
      </c>
      <c r="C691" s="1" t="n">
        <v>46106</v>
      </c>
      <c r="D691" t="inlineStr">
        <is>
          <t>STOCKHOLMS LÄN</t>
        </is>
      </c>
      <c r="E691" t="inlineStr">
        <is>
          <t>NORRTÄLJE</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51122-2025</t>
        </is>
      </c>
      <c r="B692" s="1" t="n">
        <v>45947.53693287037</v>
      </c>
      <c r="C692" s="1" t="n">
        <v>46106</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51233-2025</t>
        </is>
      </c>
      <c r="B693" s="1" t="n">
        <v>45947.68232638889</v>
      </c>
      <c r="C693" s="1" t="n">
        <v>46106</v>
      </c>
      <c r="D693" t="inlineStr">
        <is>
          <t>STOCKHOLMS LÄN</t>
        </is>
      </c>
      <c r="E693" t="inlineStr">
        <is>
          <t>NORRTÄLJE</t>
        </is>
      </c>
      <c r="F693" t="inlineStr">
        <is>
          <t>Naturvårdsverket</t>
        </is>
      </c>
      <c r="G693" t="n">
        <v>8.1</v>
      </c>
      <c r="H693" t="n">
        <v>0</v>
      </c>
      <c r="I693" t="n">
        <v>0</v>
      </c>
      <c r="J693" t="n">
        <v>0</v>
      </c>
      <c r="K693" t="n">
        <v>0</v>
      </c>
      <c r="L693" t="n">
        <v>0</v>
      </c>
      <c r="M693" t="n">
        <v>0</v>
      </c>
      <c r="N693" t="n">
        <v>0</v>
      </c>
      <c r="O693" t="n">
        <v>0</v>
      </c>
      <c r="P693" t="n">
        <v>0</v>
      </c>
      <c r="Q693" t="n">
        <v>0</v>
      </c>
      <c r="R693" s="2" t="inlineStr"/>
    </row>
    <row r="694" ht="15" customHeight="1">
      <c r="A694" t="inlineStr">
        <is>
          <t>A 51236-2025</t>
        </is>
      </c>
      <c r="B694" s="1" t="n">
        <v>45947.69078703703</v>
      </c>
      <c r="C694" s="1" t="n">
        <v>46106</v>
      </c>
      <c r="D694" t="inlineStr">
        <is>
          <t>STOCKHOLMS LÄN</t>
        </is>
      </c>
      <c r="E694" t="inlineStr">
        <is>
          <t>NORRTÄLJE</t>
        </is>
      </c>
      <c r="F694" t="inlineStr">
        <is>
          <t>Naturvårdsverket</t>
        </is>
      </c>
      <c r="G694" t="n">
        <v>6.3</v>
      </c>
      <c r="H694" t="n">
        <v>0</v>
      </c>
      <c r="I694" t="n">
        <v>0</v>
      </c>
      <c r="J694" t="n">
        <v>0</v>
      </c>
      <c r="K694" t="n">
        <v>0</v>
      </c>
      <c r="L694" t="n">
        <v>0</v>
      </c>
      <c r="M694" t="n">
        <v>0</v>
      </c>
      <c r="N694" t="n">
        <v>0</v>
      </c>
      <c r="O694" t="n">
        <v>0</v>
      </c>
      <c r="P694" t="n">
        <v>0</v>
      </c>
      <c r="Q694" t="n">
        <v>0</v>
      </c>
      <c r="R694" s="2" t="inlineStr"/>
    </row>
    <row r="695" ht="15" customHeight="1">
      <c r="A695" t="inlineStr">
        <is>
          <t>A 51241-2025</t>
        </is>
      </c>
      <c r="B695" s="1" t="n">
        <v>45947.71726851852</v>
      </c>
      <c r="C695" s="1" t="n">
        <v>46106</v>
      </c>
      <c r="D695" t="inlineStr">
        <is>
          <t>STOCKHOLMS LÄN</t>
        </is>
      </c>
      <c r="E695" t="inlineStr">
        <is>
          <t>NORRTÄLJE</t>
        </is>
      </c>
      <c r="F695" t="inlineStr">
        <is>
          <t>Naturvårdsverket</t>
        </is>
      </c>
      <c r="G695" t="n">
        <v>6.4</v>
      </c>
      <c r="H695" t="n">
        <v>0</v>
      </c>
      <c r="I695" t="n">
        <v>0</v>
      </c>
      <c r="J695" t="n">
        <v>0</v>
      </c>
      <c r="K695" t="n">
        <v>0</v>
      </c>
      <c r="L695" t="n">
        <v>0</v>
      </c>
      <c r="M695" t="n">
        <v>0</v>
      </c>
      <c r="N695" t="n">
        <v>0</v>
      </c>
      <c r="O695" t="n">
        <v>0</v>
      </c>
      <c r="P695" t="n">
        <v>0</v>
      </c>
      <c r="Q695" t="n">
        <v>0</v>
      </c>
      <c r="R695" s="2" t="inlineStr"/>
    </row>
    <row r="696" ht="15" customHeight="1">
      <c r="A696" t="inlineStr">
        <is>
          <t>A 51240-2025</t>
        </is>
      </c>
      <c r="B696" s="1" t="n">
        <v>45947.70420138889</v>
      </c>
      <c r="C696" s="1" t="n">
        <v>46106</v>
      </c>
      <c r="D696" t="inlineStr">
        <is>
          <t>STOCKHOLMS LÄN</t>
        </is>
      </c>
      <c r="E696" t="inlineStr">
        <is>
          <t>NORRTÄLJE</t>
        </is>
      </c>
      <c r="F696" t="inlineStr">
        <is>
          <t>Naturvårdsverket</t>
        </is>
      </c>
      <c r="G696" t="n">
        <v>3</v>
      </c>
      <c r="H696" t="n">
        <v>0</v>
      </c>
      <c r="I696" t="n">
        <v>0</v>
      </c>
      <c r="J696" t="n">
        <v>0</v>
      </c>
      <c r="K696" t="n">
        <v>0</v>
      </c>
      <c r="L696" t="n">
        <v>0</v>
      </c>
      <c r="M696" t="n">
        <v>0</v>
      </c>
      <c r="N696" t="n">
        <v>0</v>
      </c>
      <c r="O696" t="n">
        <v>0</v>
      </c>
      <c r="P696" t="n">
        <v>0</v>
      </c>
      <c r="Q696" t="n">
        <v>0</v>
      </c>
      <c r="R696" s="2" t="inlineStr"/>
    </row>
    <row r="697" ht="15" customHeight="1">
      <c r="A697" t="inlineStr">
        <is>
          <t>A 27885-2022</t>
        </is>
      </c>
      <c r="B697" s="1" t="n">
        <v>44743.67418981482</v>
      </c>
      <c r="C697" s="1" t="n">
        <v>46106</v>
      </c>
      <c r="D697" t="inlineStr">
        <is>
          <t>STOCKHOLMS LÄN</t>
        </is>
      </c>
      <c r="E697" t="inlineStr">
        <is>
          <t>NORRTÄLJE</t>
        </is>
      </c>
      <c r="F697" t="inlineStr">
        <is>
          <t>Holmen skog AB</t>
        </is>
      </c>
      <c r="G697" t="n">
        <v>0.8</v>
      </c>
      <c r="H697" t="n">
        <v>0</v>
      </c>
      <c r="I697" t="n">
        <v>0</v>
      </c>
      <c r="J697" t="n">
        <v>0</v>
      </c>
      <c r="K697" t="n">
        <v>0</v>
      </c>
      <c r="L697" t="n">
        <v>0</v>
      </c>
      <c r="M697" t="n">
        <v>0</v>
      </c>
      <c r="N697" t="n">
        <v>0</v>
      </c>
      <c r="O697" t="n">
        <v>0</v>
      </c>
      <c r="P697" t="n">
        <v>0</v>
      </c>
      <c r="Q697" t="n">
        <v>0</v>
      </c>
      <c r="R697" s="2" t="inlineStr"/>
    </row>
    <row r="698" ht="15" customHeight="1">
      <c r="A698" t="inlineStr">
        <is>
          <t>A 51121-2025</t>
        </is>
      </c>
      <c r="B698" s="1" t="n">
        <v>45947.53293981482</v>
      </c>
      <c r="C698" s="1" t="n">
        <v>46106</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59477-2025</t>
        </is>
      </c>
      <c r="B699" s="1" t="n">
        <v>45989.58679398148</v>
      </c>
      <c r="C699" s="1" t="n">
        <v>46106</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51532-2025</t>
        </is>
      </c>
      <c r="B700" s="1" t="n">
        <v>45950.68297453703</v>
      </c>
      <c r="C700" s="1" t="n">
        <v>46106</v>
      </c>
      <c r="D700" t="inlineStr">
        <is>
          <t>STOCKHOLMS LÄN</t>
        </is>
      </c>
      <c r="E700" t="inlineStr">
        <is>
          <t>NORRTÄLJE</t>
        </is>
      </c>
      <c r="F700" t="inlineStr">
        <is>
          <t>Naturvårdsverket</t>
        </is>
      </c>
      <c r="G700" t="n">
        <v>17.3</v>
      </c>
      <c r="H700" t="n">
        <v>0</v>
      </c>
      <c r="I700" t="n">
        <v>0</v>
      </c>
      <c r="J700" t="n">
        <v>0</v>
      </c>
      <c r="K700" t="n">
        <v>0</v>
      </c>
      <c r="L700" t="n">
        <v>0</v>
      </c>
      <c r="M700" t="n">
        <v>0</v>
      </c>
      <c r="N700" t="n">
        <v>0</v>
      </c>
      <c r="O700" t="n">
        <v>0</v>
      </c>
      <c r="P700" t="n">
        <v>0</v>
      </c>
      <c r="Q700" t="n">
        <v>0</v>
      </c>
      <c r="R700" s="2" t="inlineStr"/>
    </row>
    <row r="701" ht="15" customHeight="1">
      <c r="A701" t="inlineStr">
        <is>
          <t>A 51789-2025</t>
        </is>
      </c>
      <c r="B701" s="1" t="n">
        <v>45951.68046296296</v>
      </c>
      <c r="C701" s="1" t="n">
        <v>46106</v>
      </c>
      <c r="D701" t="inlineStr">
        <is>
          <t>STOCKHOLMS LÄN</t>
        </is>
      </c>
      <c r="E701" t="inlineStr">
        <is>
          <t>NORRTÄLJE</t>
        </is>
      </c>
      <c r="F701" t="inlineStr">
        <is>
          <t>Naturvårdsverket</t>
        </is>
      </c>
      <c r="G701" t="n">
        <v>8.9</v>
      </c>
      <c r="H701" t="n">
        <v>0</v>
      </c>
      <c r="I701" t="n">
        <v>0</v>
      </c>
      <c r="J701" t="n">
        <v>0</v>
      </c>
      <c r="K701" t="n">
        <v>0</v>
      </c>
      <c r="L701" t="n">
        <v>0</v>
      </c>
      <c r="M701" t="n">
        <v>0</v>
      </c>
      <c r="N701" t="n">
        <v>0</v>
      </c>
      <c r="O701" t="n">
        <v>0</v>
      </c>
      <c r="P701" t="n">
        <v>0</v>
      </c>
      <c r="Q701" t="n">
        <v>0</v>
      </c>
      <c r="R701" s="2" t="inlineStr"/>
    </row>
    <row r="702" ht="15" customHeight="1">
      <c r="A702" t="inlineStr">
        <is>
          <t>A 60224-2023</t>
        </is>
      </c>
      <c r="B702" s="1" t="n">
        <v>45257</v>
      </c>
      <c r="C702" s="1" t="n">
        <v>46106</v>
      </c>
      <c r="D702" t="inlineStr">
        <is>
          <t>STOCKHOLMS LÄN</t>
        </is>
      </c>
      <c r="E702" t="inlineStr">
        <is>
          <t>NORRTÄLJE</t>
        </is>
      </c>
      <c r="G702" t="n">
        <v>8.1</v>
      </c>
      <c r="H702" t="n">
        <v>0</v>
      </c>
      <c r="I702" t="n">
        <v>0</v>
      </c>
      <c r="J702" t="n">
        <v>0</v>
      </c>
      <c r="K702" t="n">
        <v>0</v>
      </c>
      <c r="L702" t="n">
        <v>0</v>
      </c>
      <c r="M702" t="n">
        <v>0</v>
      </c>
      <c r="N702" t="n">
        <v>0</v>
      </c>
      <c r="O702" t="n">
        <v>0</v>
      </c>
      <c r="P702" t="n">
        <v>0</v>
      </c>
      <c r="Q702" t="n">
        <v>0</v>
      </c>
      <c r="R702" s="2" t="inlineStr"/>
    </row>
    <row r="703" ht="15" customHeight="1">
      <c r="A703" t="inlineStr">
        <is>
          <t>A 5158-2024</t>
        </is>
      </c>
      <c r="B703" s="1" t="n">
        <v>45330.50098379629</v>
      </c>
      <c r="C703" s="1" t="n">
        <v>46106</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51960-2025</t>
        </is>
      </c>
      <c r="B704" s="1" t="n">
        <v>45952.54755787037</v>
      </c>
      <c r="C704" s="1" t="n">
        <v>46106</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9130-2025</t>
        </is>
      </c>
      <c r="B705" s="1" t="n">
        <v>45713.92623842593</v>
      </c>
      <c r="C705" s="1" t="n">
        <v>46106</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17551-2025</t>
        </is>
      </c>
      <c r="B706" s="1" t="n">
        <v>45757.61421296297</v>
      </c>
      <c r="C706" s="1" t="n">
        <v>46106</v>
      </c>
      <c r="D706" t="inlineStr">
        <is>
          <t>STOCKHOLMS LÄN</t>
        </is>
      </c>
      <c r="E706" t="inlineStr">
        <is>
          <t>NORRTÄLJE</t>
        </is>
      </c>
      <c r="G706" t="n">
        <v>2.8</v>
      </c>
      <c r="H706" t="n">
        <v>0</v>
      </c>
      <c r="I706" t="n">
        <v>0</v>
      </c>
      <c r="J706" t="n">
        <v>0</v>
      </c>
      <c r="K706" t="n">
        <v>0</v>
      </c>
      <c r="L706" t="n">
        <v>0</v>
      </c>
      <c r="M706" t="n">
        <v>0</v>
      </c>
      <c r="N706" t="n">
        <v>0</v>
      </c>
      <c r="O706" t="n">
        <v>0</v>
      </c>
      <c r="P706" t="n">
        <v>0</v>
      </c>
      <c r="Q706" t="n">
        <v>0</v>
      </c>
      <c r="R706" s="2" t="inlineStr"/>
    </row>
    <row r="707" ht="15" customHeight="1">
      <c r="A707" t="inlineStr">
        <is>
          <t>A 51941-2025</t>
        </is>
      </c>
      <c r="B707" s="1" t="n">
        <v>45952.52261574074</v>
      </c>
      <c r="C707" s="1" t="n">
        <v>46106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52061-2025</t>
        </is>
      </c>
      <c r="B708" s="1" t="n">
        <v>45952.63679398148</v>
      </c>
      <c r="C708" s="1" t="n">
        <v>46106</v>
      </c>
      <c r="D708" t="inlineStr">
        <is>
          <t>STOCKHOLMS LÄN</t>
        </is>
      </c>
      <c r="E708" t="inlineStr">
        <is>
          <t>NORRTÄLJE</t>
        </is>
      </c>
      <c r="G708" t="n">
        <v>9.5</v>
      </c>
      <c r="H708" t="n">
        <v>0</v>
      </c>
      <c r="I708" t="n">
        <v>0</v>
      </c>
      <c r="J708" t="n">
        <v>0</v>
      </c>
      <c r="K708" t="n">
        <v>0</v>
      </c>
      <c r="L708" t="n">
        <v>0</v>
      </c>
      <c r="M708" t="n">
        <v>0</v>
      </c>
      <c r="N708" t="n">
        <v>0</v>
      </c>
      <c r="O708" t="n">
        <v>0</v>
      </c>
      <c r="P708" t="n">
        <v>0</v>
      </c>
      <c r="Q708" t="n">
        <v>0</v>
      </c>
      <c r="R708" s="2" t="inlineStr"/>
    </row>
    <row r="709" ht="15" customHeight="1">
      <c r="A709" t="inlineStr">
        <is>
          <t>A 55010-2024</t>
        </is>
      </c>
      <c r="B709" s="1" t="n">
        <v>45621.34425925926</v>
      </c>
      <c r="C709" s="1" t="n">
        <v>46106</v>
      </c>
      <c r="D709" t="inlineStr">
        <is>
          <t>STOCKHOLMS LÄN</t>
        </is>
      </c>
      <c r="E709" t="inlineStr">
        <is>
          <t>NORRTÄLJE</t>
        </is>
      </c>
      <c r="F709" t="inlineStr">
        <is>
          <t>Sveaskog</t>
        </is>
      </c>
      <c r="G709" t="n">
        <v>5.7</v>
      </c>
      <c r="H709" t="n">
        <v>0</v>
      </c>
      <c r="I709" t="n">
        <v>0</v>
      </c>
      <c r="J709" t="n">
        <v>0</v>
      </c>
      <c r="K709" t="n">
        <v>0</v>
      </c>
      <c r="L709" t="n">
        <v>0</v>
      </c>
      <c r="M709" t="n">
        <v>0</v>
      </c>
      <c r="N709" t="n">
        <v>0</v>
      </c>
      <c r="O709" t="n">
        <v>0</v>
      </c>
      <c r="P709" t="n">
        <v>0</v>
      </c>
      <c r="Q709" t="n">
        <v>0</v>
      </c>
      <c r="R709" s="2" t="inlineStr"/>
    </row>
    <row r="710" ht="15" customHeight="1">
      <c r="A710" t="inlineStr">
        <is>
          <t>A 51945-2025</t>
        </is>
      </c>
      <c r="B710" s="1" t="n">
        <v>45952.52679398148</v>
      </c>
      <c r="C710" s="1" t="n">
        <v>46106</v>
      </c>
      <c r="D710" t="inlineStr">
        <is>
          <t>STOCKHOLMS LÄN</t>
        </is>
      </c>
      <c r="E710" t="inlineStr">
        <is>
          <t>NORRTÄLJE</t>
        </is>
      </c>
      <c r="G710" t="n">
        <v>7</v>
      </c>
      <c r="H710" t="n">
        <v>0</v>
      </c>
      <c r="I710" t="n">
        <v>0</v>
      </c>
      <c r="J710" t="n">
        <v>0</v>
      </c>
      <c r="K710" t="n">
        <v>0</v>
      </c>
      <c r="L710" t="n">
        <v>0</v>
      </c>
      <c r="M710" t="n">
        <v>0</v>
      </c>
      <c r="N710" t="n">
        <v>0</v>
      </c>
      <c r="O710" t="n">
        <v>0</v>
      </c>
      <c r="P710" t="n">
        <v>0</v>
      </c>
      <c r="Q710" t="n">
        <v>0</v>
      </c>
      <c r="R710" s="2" t="inlineStr"/>
    </row>
    <row r="711" ht="15" customHeight="1">
      <c r="A711" t="inlineStr">
        <is>
          <t>A 31105-2022</t>
        </is>
      </c>
      <c r="B711" s="1" t="n">
        <v>44769.66039351852</v>
      </c>
      <c r="C711" s="1" t="n">
        <v>46106</v>
      </c>
      <c r="D711" t="inlineStr">
        <is>
          <t>STOCKHOLMS LÄN</t>
        </is>
      </c>
      <c r="E711" t="inlineStr">
        <is>
          <t>NORRTÄLJE</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52251-2025</t>
        </is>
      </c>
      <c r="B712" s="1" t="n">
        <v>45953.49185185185</v>
      </c>
      <c r="C712" s="1" t="n">
        <v>46106</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52254-2025</t>
        </is>
      </c>
      <c r="B713" s="1" t="n">
        <v>45953.49519675926</v>
      </c>
      <c r="C713" s="1" t="n">
        <v>46106</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52773-2025</t>
        </is>
      </c>
      <c r="B714" s="1" t="n">
        <v>45957.41457175926</v>
      </c>
      <c r="C714" s="1" t="n">
        <v>46106</v>
      </c>
      <c r="D714" t="inlineStr">
        <is>
          <t>STOCKHOLMS LÄN</t>
        </is>
      </c>
      <c r="E714" t="inlineStr">
        <is>
          <t>NORRTÄLJE</t>
        </is>
      </c>
      <c r="F714" t="inlineStr">
        <is>
          <t>Sveaskog</t>
        </is>
      </c>
      <c r="G714" t="n">
        <v>10.5</v>
      </c>
      <c r="H714" t="n">
        <v>0</v>
      </c>
      <c r="I714" t="n">
        <v>0</v>
      </c>
      <c r="J714" t="n">
        <v>0</v>
      </c>
      <c r="K714" t="n">
        <v>0</v>
      </c>
      <c r="L714" t="n">
        <v>0</v>
      </c>
      <c r="M714" t="n">
        <v>0</v>
      </c>
      <c r="N714" t="n">
        <v>0</v>
      </c>
      <c r="O714" t="n">
        <v>0</v>
      </c>
      <c r="P714" t="n">
        <v>0</v>
      </c>
      <c r="Q714" t="n">
        <v>0</v>
      </c>
      <c r="R714" s="2" t="inlineStr"/>
    </row>
    <row r="715" ht="15" customHeight="1">
      <c r="A715" t="inlineStr">
        <is>
          <t>A 52777-2025</t>
        </is>
      </c>
      <c r="B715" s="1" t="n">
        <v>45957.41832175926</v>
      </c>
      <c r="C715" s="1" t="n">
        <v>46106</v>
      </c>
      <c r="D715" t="inlineStr">
        <is>
          <t>STOCKHOLMS LÄN</t>
        </is>
      </c>
      <c r="E715" t="inlineStr">
        <is>
          <t>NORRTÄLJE</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52526-2025</t>
        </is>
      </c>
      <c r="B716" s="1" t="n">
        <v>45954.53061342592</v>
      </c>
      <c r="C716" s="1" t="n">
        <v>46106</v>
      </c>
      <c r="D716" t="inlineStr">
        <is>
          <t>STOCKHOLMS LÄN</t>
        </is>
      </c>
      <c r="E716" t="inlineStr">
        <is>
          <t>NORRTÄLJE</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53000-2025</t>
        </is>
      </c>
      <c r="B717" s="1" t="n">
        <v>45957.74357638889</v>
      </c>
      <c r="C717" s="1" t="n">
        <v>46106</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52703-2025</t>
        </is>
      </c>
      <c r="B718" s="1" t="n">
        <v>45956.88643518519</v>
      </c>
      <c r="C718" s="1" t="n">
        <v>46106</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52729-2025</t>
        </is>
      </c>
      <c r="B719" s="1" t="n">
        <v>45957.3636574074</v>
      </c>
      <c r="C719" s="1" t="n">
        <v>46106</v>
      </c>
      <c r="D719" t="inlineStr">
        <is>
          <t>STOCKHOLMS LÄN</t>
        </is>
      </c>
      <c r="E719" t="inlineStr">
        <is>
          <t>NORRTÄLJE</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52734-2025</t>
        </is>
      </c>
      <c r="B720" s="1" t="n">
        <v>45957.3710300926</v>
      </c>
      <c r="C720" s="1" t="n">
        <v>46106</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30620-2022</t>
        </is>
      </c>
      <c r="B721" s="1" t="n">
        <v>44763.40914351852</v>
      </c>
      <c r="C721" s="1" t="n">
        <v>46106</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50113-2024</t>
        </is>
      </c>
      <c r="B722" s="1" t="n">
        <v>45600.411875</v>
      </c>
      <c r="C722" s="1" t="n">
        <v>46106</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28365-2022</t>
        </is>
      </c>
      <c r="B723" s="1" t="n">
        <v>44747</v>
      </c>
      <c r="C723" s="1" t="n">
        <v>46106</v>
      </c>
      <c r="D723" t="inlineStr">
        <is>
          <t>STOCKHOLMS LÄN</t>
        </is>
      </c>
      <c r="E723" t="inlineStr">
        <is>
          <t>NORRTÄLJE</t>
        </is>
      </c>
      <c r="G723" t="n">
        <v>5.1</v>
      </c>
      <c r="H723" t="n">
        <v>0</v>
      </c>
      <c r="I723" t="n">
        <v>0</v>
      </c>
      <c r="J723" t="n">
        <v>0</v>
      </c>
      <c r="K723" t="n">
        <v>0</v>
      </c>
      <c r="L723" t="n">
        <v>0</v>
      </c>
      <c r="M723" t="n">
        <v>0</v>
      </c>
      <c r="N723" t="n">
        <v>0</v>
      </c>
      <c r="O723" t="n">
        <v>0</v>
      </c>
      <c r="P723" t="n">
        <v>0</v>
      </c>
      <c r="Q723" t="n">
        <v>0</v>
      </c>
      <c r="R723" s="2" t="inlineStr"/>
    </row>
    <row r="724" ht="15" customHeight="1">
      <c r="A724" t="inlineStr">
        <is>
          <t>A 52776-2025</t>
        </is>
      </c>
      <c r="B724" s="1" t="n">
        <v>45957.41724537037</v>
      </c>
      <c r="C724" s="1" t="n">
        <v>46106</v>
      </c>
      <c r="D724" t="inlineStr">
        <is>
          <t>STOCKHOLMS LÄN</t>
        </is>
      </c>
      <c r="E724" t="inlineStr">
        <is>
          <t>NORRTÄLJE</t>
        </is>
      </c>
      <c r="F724" t="inlineStr">
        <is>
          <t>Sveaskog</t>
        </is>
      </c>
      <c r="G724" t="n">
        <v>2.5</v>
      </c>
      <c r="H724" t="n">
        <v>0</v>
      </c>
      <c r="I724" t="n">
        <v>0</v>
      </c>
      <c r="J724" t="n">
        <v>0</v>
      </c>
      <c r="K724" t="n">
        <v>0</v>
      </c>
      <c r="L724" t="n">
        <v>0</v>
      </c>
      <c r="M724" t="n">
        <v>0</v>
      </c>
      <c r="N724" t="n">
        <v>0</v>
      </c>
      <c r="O724" t="n">
        <v>0</v>
      </c>
      <c r="P724" t="n">
        <v>0</v>
      </c>
      <c r="Q724" t="n">
        <v>0</v>
      </c>
      <c r="R724" s="2" t="inlineStr"/>
    </row>
    <row r="725" ht="15" customHeight="1">
      <c r="A725" t="inlineStr">
        <is>
          <t>A 42955-2022</t>
        </is>
      </c>
      <c r="B725" s="1" t="n">
        <v>44833.40876157407</v>
      </c>
      <c r="C725" s="1" t="n">
        <v>46106</v>
      </c>
      <c r="D725" t="inlineStr">
        <is>
          <t>STOCKHOLMS LÄN</t>
        </is>
      </c>
      <c r="E725" t="inlineStr">
        <is>
          <t>NORRTÄLJE</t>
        </is>
      </c>
      <c r="G725" t="n">
        <v>13.1</v>
      </c>
      <c r="H725" t="n">
        <v>0</v>
      </c>
      <c r="I725" t="n">
        <v>0</v>
      </c>
      <c r="J725" t="n">
        <v>0</v>
      </c>
      <c r="K725" t="n">
        <v>0</v>
      </c>
      <c r="L725" t="n">
        <v>0</v>
      </c>
      <c r="M725" t="n">
        <v>0</v>
      </c>
      <c r="N725" t="n">
        <v>0</v>
      </c>
      <c r="O725" t="n">
        <v>0</v>
      </c>
      <c r="P725" t="n">
        <v>0</v>
      </c>
      <c r="Q725" t="n">
        <v>0</v>
      </c>
      <c r="R725" s="2" t="inlineStr"/>
    </row>
    <row r="726" ht="15" customHeight="1">
      <c r="A726" t="inlineStr">
        <is>
          <t>A 1283-2025</t>
        </is>
      </c>
      <c r="B726" s="1" t="n">
        <v>45667.49878472222</v>
      </c>
      <c r="C726" s="1" t="n">
        <v>46106</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52529-2025</t>
        </is>
      </c>
      <c r="B727" s="1" t="n">
        <v>45954.53229166667</v>
      </c>
      <c r="C727" s="1" t="n">
        <v>46106</v>
      </c>
      <c r="D727" t="inlineStr">
        <is>
          <t>STOCKHOLMS LÄN</t>
        </is>
      </c>
      <c r="E727" t="inlineStr">
        <is>
          <t>NORRTÄLJE</t>
        </is>
      </c>
      <c r="F727" t="inlineStr">
        <is>
          <t>Sveaskog</t>
        </is>
      </c>
      <c r="G727" t="n">
        <v>7.8</v>
      </c>
      <c r="H727" t="n">
        <v>0</v>
      </c>
      <c r="I727" t="n">
        <v>0</v>
      </c>
      <c r="J727" t="n">
        <v>0</v>
      </c>
      <c r="K727" t="n">
        <v>0</v>
      </c>
      <c r="L727" t="n">
        <v>0</v>
      </c>
      <c r="M727" t="n">
        <v>0</v>
      </c>
      <c r="N727" t="n">
        <v>0</v>
      </c>
      <c r="O727" t="n">
        <v>0</v>
      </c>
      <c r="P727" t="n">
        <v>0</v>
      </c>
      <c r="Q727" t="n">
        <v>0</v>
      </c>
      <c r="R727" s="2" t="inlineStr"/>
    </row>
    <row r="728" ht="15" customHeight="1">
      <c r="A728" t="inlineStr">
        <is>
          <t>A 52704-2025</t>
        </is>
      </c>
      <c r="B728" s="1" t="n">
        <v>45956.89097222222</v>
      </c>
      <c r="C728" s="1" t="n">
        <v>46106</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52553-2025</t>
        </is>
      </c>
      <c r="B729" s="1" t="n">
        <v>45954.5624537037</v>
      </c>
      <c r="C729" s="1" t="n">
        <v>46106</v>
      </c>
      <c r="D729" t="inlineStr">
        <is>
          <t>STOCKHOLMS LÄN</t>
        </is>
      </c>
      <c r="E729" t="inlineStr">
        <is>
          <t>NORRTÄLJE</t>
        </is>
      </c>
      <c r="G729" t="n">
        <v>4.4</v>
      </c>
      <c r="H729" t="n">
        <v>0</v>
      </c>
      <c r="I729" t="n">
        <v>0</v>
      </c>
      <c r="J729" t="n">
        <v>0</v>
      </c>
      <c r="K729" t="n">
        <v>0</v>
      </c>
      <c r="L729" t="n">
        <v>0</v>
      </c>
      <c r="M729" t="n">
        <v>0</v>
      </c>
      <c r="N729" t="n">
        <v>0</v>
      </c>
      <c r="O729" t="n">
        <v>0</v>
      </c>
      <c r="P729" t="n">
        <v>0</v>
      </c>
      <c r="Q729" t="n">
        <v>0</v>
      </c>
      <c r="R729" s="2" t="inlineStr"/>
    </row>
    <row r="730" ht="15" customHeight="1">
      <c r="A730" t="inlineStr">
        <is>
          <t>A 13767-2025</t>
        </is>
      </c>
      <c r="B730" s="1" t="n">
        <v>45737.43347222222</v>
      </c>
      <c r="C730" s="1" t="n">
        <v>46106</v>
      </c>
      <c r="D730" t="inlineStr">
        <is>
          <t>STOCKHOLMS LÄN</t>
        </is>
      </c>
      <c r="E730" t="inlineStr">
        <is>
          <t>NORRTÄLJE</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20013-2025</t>
        </is>
      </c>
      <c r="B731" s="1" t="n">
        <v>45772.30436342592</v>
      </c>
      <c r="C731" s="1" t="n">
        <v>46106</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53362-2023</t>
        </is>
      </c>
      <c r="B732" s="1" t="n">
        <v>45223</v>
      </c>
      <c r="C732" s="1" t="n">
        <v>46106</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15422-2024</t>
        </is>
      </c>
      <c r="B733" s="1" t="n">
        <v>45401.3653125</v>
      </c>
      <c r="C733" s="1" t="n">
        <v>46106</v>
      </c>
      <c r="D733" t="inlineStr">
        <is>
          <t>STOCKHOLMS LÄN</t>
        </is>
      </c>
      <c r="E733" t="inlineStr">
        <is>
          <t>NORRTÄLJE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53299-2025</t>
        </is>
      </c>
      <c r="B734" s="1" t="n">
        <v>45959.31901620371</v>
      </c>
      <c r="C734" s="1" t="n">
        <v>46106</v>
      </c>
      <c r="D734" t="inlineStr">
        <is>
          <t>STOCKHOLMS LÄN</t>
        </is>
      </c>
      <c r="E734" t="inlineStr">
        <is>
          <t>NORRTÄLJE</t>
        </is>
      </c>
      <c r="G734" t="n">
        <v>4.8</v>
      </c>
      <c r="H734" t="n">
        <v>0</v>
      </c>
      <c r="I734" t="n">
        <v>0</v>
      </c>
      <c r="J734" t="n">
        <v>0</v>
      </c>
      <c r="K734" t="n">
        <v>0</v>
      </c>
      <c r="L734" t="n">
        <v>0</v>
      </c>
      <c r="M734" t="n">
        <v>0</v>
      </c>
      <c r="N734" t="n">
        <v>0</v>
      </c>
      <c r="O734" t="n">
        <v>0</v>
      </c>
      <c r="P734" t="n">
        <v>0</v>
      </c>
      <c r="Q734" t="n">
        <v>0</v>
      </c>
      <c r="R734" s="2" t="inlineStr"/>
    </row>
    <row r="735" ht="15" customHeight="1">
      <c r="A735" t="inlineStr">
        <is>
          <t>A 53087-2025</t>
        </is>
      </c>
      <c r="B735" s="1" t="n">
        <v>45958.41065972222</v>
      </c>
      <c r="C735" s="1" t="n">
        <v>46106</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30508-2023</t>
        </is>
      </c>
      <c r="B736" s="1" t="n">
        <v>45111</v>
      </c>
      <c r="C736" s="1" t="n">
        <v>46106</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53115-2025</t>
        </is>
      </c>
      <c r="B737" s="1" t="n">
        <v>45958.44614583333</v>
      </c>
      <c r="C737" s="1" t="n">
        <v>46106</v>
      </c>
      <c r="D737" t="inlineStr">
        <is>
          <t>STOCKHOLMS LÄN</t>
        </is>
      </c>
      <c r="E737" t="inlineStr">
        <is>
          <t>NORRTÄLJE</t>
        </is>
      </c>
      <c r="F737" t="inlineStr">
        <is>
          <t>Kyrkan</t>
        </is>
      </c>
      <c r="G737" t="n">
        <v>2.5</v>
      </c>
      <c r="H737" t="n">
        <v>0</v>
      </c>
      <c r="I737" t="n">
        <v>0</v>
      </c>
      <c r="J737" t="n">
        <v>0</v>
      </c>
      <c r="K737" t="n">
        <v>0</v>
      </c>
      <c r="L737" t="n">
        <v>0</v>
      </c>
      <c r="M737" t="n">
        <v>0</v>
      </c>
      <c r="N737" t="n">
        <v>0</v>
      </c>
      <c r="O737" t="n">
        <v>0</v>
      </c>
      <c r="P737" t="n">
        <v>0</v>
      </c>
      <c r="Q737" t="n">
        <v>0</v>
      </c>
      <c r="R737" s="2" t="inlineStr"/>
    </row>
    <row r="738" ht="15" customHeight="1">
      <c r="A738" t="inlineStr">
        <is>
          <t>A 53629-2025</t>
        </is>
      </c>
      <c r="B738" s="1" t="n">
        <v>45960.49570601852</v>
      </c>
      <c r="C738" s="1" t="n">
        <v>46106</v>
      </c>
      <c r="D738" t="inlineStr">
        <is>
          <t>STOCKHOLMS LÄN</t>
        </is>
      </c>
      <c r="E738" t="inlineStr">
        <is>
          <t>NORRTÄLJE</t>
        </is>
      </c>
      <c r="F738" t="inlineStr">
        <is>
          <t>Naturvårdsverket</t>
        </is>
      </c>
      <c r="G738" t="n">
        <v>7.9</v>
      </c>
      <c r="H738" t="n">
        <v>0</v>
      </c>
      <c r="I738" t="n">
        <v>0</v>
      </c>
      <c r="J738" t="n">
        <v>0</v>
      </c>
      <c r="K738" t="n">
        <v>0</v>
      </c>
      <c r="L738" t="n">
        <v>0</v>
      </c>
      <c r="M738" t="n">
        <v>0</v>
      </c>
      <c r="N738" t="n">
        <v>0</v>
      </c>
      <c r="O738" t="n">
        <v>0</v>
      </c>
      <c r="P738" t="n">
        <v>0</v>
      </c>
      <c r="Q738" t="n">
        <v>0</v>
      </c>
      <c r="R738" s="2" t="inlineStr"/>
    </row>
    <row r="739" ht="15" customHeight="1">
      <c r="A739" t="inlineStr">
        <is>
          <t>A 16008-2025</t>
        </is>
      </c>
      <c r="B739" s="1" t="n">
        <v>45749</v>
      </c>
      <c r="C739" s="1" t="n">
        <v>46106</v>
      </c>
      <c r="D739" t="inlineStr">
        <is>
          <t>STOCKHOLMS LÄN</t>
        </is>
      </c>
      <c r="E739" t="inlineStr">
        <is>
          <t>NORRTÄLJE</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53747-2025</t>
        </is>
      </c>
      <c r="B740" s="1" t="n">
        <v>45960.65415509259</v>
      </c>
      <c r="C740" s="1" t="n">
        <v>46106</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21158-2022</t>
        </is>
      </c>
      <c r="B741" s="1" t="n">
        <v>44704</v>
      </c>
      <c r="C741" s="1" t="n">
        <v>46106</v>
      </c>
      <c r="D741" t="inlineStr">
        <is>
          <t>STOCKHOLMS LÄN</t>
        </is>
      </c>
      <c r="E741" t="inlineStr">
        <is>
          <t>NORRTÄLJE</t>
        </is>
      </c>
      <c r="G741" t="n">
        <v>17.8</v>
      </c>
      <c r="H741" t="n">
        <v>0</v>
      </c>
      <c r="I741" t="n">
        <v>0</v>
      </c>
      <c r="J741" t="n">
        <v>0</v>
      </c>
      <c r="K741" t="n">
        <v>0</v>
      </c>
      <c r="L741" t="n">
        <v>0</v>
      </c>
      <c r="M741" t="n">
        <v>0</v>
      </c>
      <c r="N741" t="n">
        <v>0</v>
      </c>
      <c r="O741" t="n">
        <v>0</v>
      </c>
      <c r="P741" t="n">
        <v>0</v>
      </c>
      <c r="Q741" t="n">
        <v>0</v>
      </c>
      <c r="R741" s="2" t="inlineStr"/>
    </row>
    <row r="742" ht="15" customHeight="1">
      <c r="A742" t="inlineStr">
        <is>
          <t>A 32101-2022</t>
        </is>
      </c>
      <c r="B742" s="1" t="n">
        <v>44778.69210648148</v>
      </c>
      <c r="C742" s="1" t="n">
        <v>46106</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23150-2024</t>
        </is>
      </c>
      <c r="B743" s="1" t="n">
        <v>45450.64643518518</v>
      </c>
      <c r="C743" s="1" t="n">
        <v>46106</v>
      </c>
      <c r="D743" t="inlineStr">
        <is>
          <t>STOCKHOLMS LÄN</t>
        </is>
      </c>
      <c r="E743" t="inlineStr">
        <is>
          <t>NORRTÄLJE</t>
        </is>
      </c>
      <c r="F743" t="inlineStr">
        <is>
          <t>Kommuner</t>
        </is>
      </c>
      <c r="G743" t="n">
        <v>2.7</v>
      </c>
      <c r="H743" t="n">
        <v>0</v>
      </c>
      <c r="I743" t="n">
        <v>0</v>
      </c>
      <c r="J743" t="n">
        <v>0</v>
      </c>
      <c r="K743" t="n">
        <v>0</v>
      </c>
      <c r="L743" t="n">
        <v>0</v>
      </c>
      <c r="M743" t="n">
        <v>0</v>
      </c>
      <c r="N743" t="n">
        <v>0</v>
      </c>
      <c r="O743" t="n">
        <v>0</v>
      </c>
      <c r="P743" t="n">
        <v>0</v>
      </c>
      <c r="Q743" t="n">
        <v>0</v>
      </c>
      <c r="R743" s="2" t="inlineStr"/>
    </row>
    <row r="744" ht="15" customHeight="1">
      <c r="A744" t="inlineStr">
        <is>
          <t>A 24933-2023</t>
        </is>
      </c>
      <c r="B744" s="1" t="n">
        <v>45085.5309375</v>
      </c>
      <c r="C744" s="1" t="n">
        <v>46106</v>
      </c>
      <c r="D744" t="inlineStr">
        <is>
          <t>STOCKHOLMS LÄN</t>
        </is>
      </c>
      <c r="E744" t="inlineStr">
        <is>
          <t>NORRTÄLJE</t>
        </is>
      </c>
      <c r="F744" t="inlineStr">
        <is>
          <t>Holmen skog AB</t>
        </is>
      </c>
      <c r="G744" t="n">
        <v>1.8</v>
      </c>
      <c r="H744" t="n">
        <v>0</v>
      </c>
      <c r="I744" t="n">
        <v>0</v>
      </c>
      <c r="J744" t="n">
        <v>0</v>
      </c>
      <c r="K744" t="n">
        <v>0</v>
      </c>
      <c r="L744" t="n">
        <v>0</v>
      </c>
      <c r="M744" t="n">
        <v>0</v>
      </c>
      <c r="N744" t="n">
        <v>0</v>
      </c>
      <c r="O744" t="n">
        <v>0</v>
      </c>
      <c r="P744" t="n">
        <v>0</v>
      </c>
      <c r="Q744" t="n">
        <v>0</v>
      </c>
      <c r="R744" s="2" t="inlineStr"/>
    </row>
    <row r="745" ht="15" customHeight="1">
      <c r="A745" t="inlineStr">
        <is>
          <t>A 56631-2024</t>
        </is>
      </c>
      <c r="B745" s="1" t="n">
        <v>45625</v>
      </c>
      <c r="C745" s="1" t="n">
        <v>46106</v>
      </c>
      <c r="D745" t="inlineStr">
        <is>
          <t>STOCKHOLMS LÄN</t>
        </is>
      </c>
      <c r="E745" t="inlineStr">
        <is>
          <t>NORRTÄLJE</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652-2025</t>
        </is>
      </c>
      <c r="B746" s="1" t="n">
        <v>45664</v>
      </c>
      <c r="C746" s="1" t="n">
        <v>46106</v>
      </c>
      <c r="D746" t="inlineStr">
        <is>
          <t>STOCKHOLMS LÄN</t>
        </is>
      </c>
      <c r="E746" t="inlineStr">
        <is>
          <t>NORRTÄLJE</t>
        </is>
      </c>
      <c r="G746" t="n">
        <v>2.5</v>
      </c>
      <c r="H746" t="n">
        <v>0</v>
      </c>
      <c r="I746" t="n">
        <v>0</v>
      </c>
      <c r="J746" t="n">
        <v>0</v>
      </c>
      <c r="K746" t="n">
        <v>0</v>
      </c>
      <c r="L746" t="n">
        <v>0</v>
      </c>
      <c r="M746" t="n">
        <v>0</v>
      </c>
      <c r="N746" t="n">
        <v>0</v>
      </c>
      <c r="O746" t="n">
        <v>0</v>
      </c>
      <c r="P746" t="n">
        <v>0</v>
      </c>
      <c r="Q746" t="n">
        <v>0</v>
      </c>
      <c r="R746" s="2" t="inlineStr"/>
    </row>
    <row r="747" ht="15" customHeight="1">
      <c r="A747" t="inlineStr">
        <is>
          <t>A 5389-2025</t>
        </is>
      </c>
      <c r="B747" s="1" t="n">
        <v>45692</v>
      </c>
      <c r="C747" s="1" t="n">
        <v>46106</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54907-2025</t>
        </is>
      </c>
      <c r="B748" s="1" t="n">
        <v>45967.37137731481</v>
      </c>
      <c r="C748" s="1" t="n">
        <v>46106</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55503-2025</t>
        </is>
      </c>
      <c r="B749" s="1" t="n">
        <v>45971</v>
      </c>
      <c r="C749" s="1" t="n">
        <v>46106</v>
      </c>
      <c r="D749" t="inlineStr">
        <is>
          <t>STOCKHOLMS LÄN</t>
        </is>
      </c>
      <c r="E749" t="inlineStr">
        <is>
          <t>NORRTÄLJE</t>
        </is>
      </c>
      <c r="G749" t="n">
        <v>3</v>
      </c>
      <c r="H749" t="n">
        <v>0</v>
      </c>
      <c r="I749" t="n">
        <v>0</v>
      </c>
      <c r="J749" t="n">
        <v>0</v>
      </c>
      <c r="K749" t="n">
        <v>0</v>
      </c>
      <c r="L749" t="n">
        <v>0</v>
      </c>
      <c r="M749" t="n">
        <v>0</v>
      </c>
      <c r="N749" t="n">
        <v>0</v>
      </c>
      <c r="O749" t="n">
        <v>0</v>
      </c>
      <c r="P749" t="n">
        <v>0</v>
      </c>
      <c r="Q749" t="n">
        <v>0</v>
      </c>
      <c r="R749" s="2" t="inlineStr"/>
    </row>
    <row r="750" ht="15" customHeight="1">
      <c r="A750" t="inlineStr">
        <is>
          <t>A 11499-2023</t>
        </is>
      </c>
      <c r="B750" s="1" t="n">
        <v>44993.66707175926</v>
      </c>
      <c r="C750" s="1" t="n">
        <v>46106</v>
      </c>
      <c r="D750" t="inlineStr">
        <is>
          <t>STOCKHOLMS LÄN</t>
        </is>
      </c>
      <c r="E750" t="inlineStr">
        <is>
          <t>NORRTÄLJE</t>
        </is>
      </c>
      <c r="F750" t="inlineStr">
        <is>
          <t>Holmen skog AB</t>
        </is>
      </c>
      <c r="G750" t="n">
        <v>2.8</v>
      </c>
      <c r="H750" t="n">
        <v>0</v>
      </c>
      <c r="I750" t="n">
        <v>0</v>
      </c>
      <c r="J750" t="n">
        <v>0</v>
      </c>
      <c r="K750" t="n">
        <v>0</v>
      </c>
      <c r="L750" t="n">
        <v>0</v>
      </c>
      <c r="M750" t="n">
        <v>0</v>
      </c>
      <c r="N750" t="n">
        <v>0</v>
      </c>
      <c r="O750" t="n">
        <v>0</v>
      </c>
      <c r="P750" t="n">
        <v>0</v>
      </c>
      <c r="Q750" t="n">
        <v>0</v>
      </c>
      <c r="R750" s="2" t="inlineStr"/>
    </row>
    <row r="751" ht="15" customHeight="1">
      <c r="A751" t="inlineStr">
        <is>
          <t>A 576-2023</t>
        </is>
      </c>
      <c r="B751" s="1" t="n">
        <v>44925</v>
      </c>
      <c r="C751" s="1" t="n">
        <v>46106</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10678-2025</t>
        </is>
      </c>
      <c r="B752" s="1" t="n">
        <v>45721.89123842592</v>
      </c>
      <c r="C752" s="1" t="n">
        <v>46106</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31936-2022</t>
        </is>
      </c>
      <c r="B753" s="1" t="n">
        <v>44777</v>
      </c>
      <c r="C753" s="1" t="n">
        <v>46106</v>
      </c>
      <c r="D753" t="inlineStr">
        <is>
          <t>STOCKHOLMS LÄN</t>
        </is>
      </c>
      <c r="E753" t="inlineStr">
        <is>
          <t>NORRTÄLJE</t>
        </is>
      </c>
      <c r="G753" t="n">
        <v>5.2</v>
      </c>
      <c r="H753" t="n">
        <v>0</v>
      </c>
      <c r="I753" t="n">
        <v>0</v>
      </c>
      <c r="J753" t="n">
        <v>0</v>
      </c>
      <c r="K753" t="n">
        <v>0</v>
      </c>
      <c r="L753" t="n">
        <v>0</v>
      </c>
      <c r="M753" t="n">
        <v>0</v>
      </c>
      <c r="N753" t="n">
        <v>0</v>
      </c>
      <c r="O753" t="n">
        <v>0</v>
      </c>
      <c r="P753" t="n">
        <v>0</v>
      </c>
      <c r="Q753" t="n">
        <v>0</v>
      </c>
      <c r="R753" s="2" t="inlineStr"/>
    </row>
    <row r="754" ht="15" customHeight="1">
      <c r="A754" t="inlineStr">
        <is>
          <t>A 55599-2025</t>
        </is>
      </c>
      <c r="B754" s="1" t="n">
        <v>45971.76810185185</v>
      </c>
      <c r="C754" s="1" t="n">
        <v>46106</v>
      </c>
      <c r="D754" t="inlineStr">
        <is>
          <t>STOCKHOLMS LÄN</t>
        </is>
      </c>
      <c r="E754" t="inlineStr">
        <is>
          <t>NORRTÄLJE</t>
        </is>
      </c>
      <c r="F754" t="inlineStr">
        <is>
          <t>Holmen skog AB</t>
        </is>
      </c>
      <c r="G754" t="n">
        <v>6.4</v>
      </c>
      <c r="H754" t="n">
        <v>0</v>
      </c>
      <c r="I754" t="n">
        <v>0</v>
      </c>
      <c r="J754" t="n">
        <v>0</v>
      </c>
      <c r="K754" t="n">
        <v>0</v>
      </c>
      <c r="L754" t="n">
        <v>0</v>
      </c>
      <c r="M754" t="n">
        <v>0</v>
      </c>
      <c r="N754" t="n">
        <v>0</v>
      </c>
      <c r="O754" t="n">
        <v>0</v>
      </c>
      <c r="P754" t="n">
        <v>0</v>
      </c>
      <c r="Q754" t="n">
        <v>0</v>
      </c>
      <c r="R754" s="2" t="inlineStr"/>
    </row>
    <row r="755" ht="15" customHeight="1">
      <c r="A755" t="inlineStr">
        <is>
          <t>A 56114-2025</t>
        </is>
      </c>
      <c r="B755" s="1" t="n">
        <v>45973.74474537037</v>
      </c>
      <c r="C755" s="1" t="n">
        <v>46106</v>
      </c>
      <c r="D755" t="inlineStr">
        <is>
          <t>STOCKHOLMS LÄN</t>
        </is>
      </c>
      <c r="E755" t="inlineStr">
        <is>
          <t>NORRTÄLJE</t>
        </is>
      </c>
      <c r="G755" t="n">
        <v>0.8</v>
      </c>
      <c r="H755" t="n">
        <v>0</v>
      </c>
      <c r="I755" t="n">
        <v>0</v>
      </c>
      <c r="J755" t="n">
        <v>0</v>
      </c>
      <c r="K755" t="n">
        <v>0</v>
      </c>
      <c r="L755" t="n">
        <v>0</v>
      </c>
      <c r="M755" t="n">
        <v>0</v>
      </c>
      <c r="N755" t="n">
        <v>0</v>
      </c>
      <c r="O755" t="n">
        <v>0</v>
      </c>
      <c r="P755" t="n">
        <v>0</v>
      </c>
      <c r="Q755" t="n">
        <v>0</v>
      </c>
      <c r="R755" s="2" t="inlineStr"/>
    </row>
    <row r="756" ht="15" customHeight="1">
      <c r="A756" t="inlineStr">
        <is>
          <t>A 59873-2024</t>
        </is>
      </c>
      <c r="B756" s="1" t="n">
        <v>45640.57305555556</v>
      </c>
      <c r="C756" s="1" t="n">
        <v>46106</v>
      </c>
      <c r="D756" t="inlineStr">
        <is>
          <t>STOCKHOLMS LÄN</t>
        </is>
      </c>
      <c r="E756" t="inlineStr">
        <is>
          <t>NORRTÄLJE</t>
        </is>
      </c>
      <c r="G756" t="n">
        <v>3.3</v>
      </c>
      <c r="H756" t="n">
        <v>0</v>
      </c>
      <c r="I756" t="n">
        <v>0</v>
      </c>
      <c r="J756" t="n">
        <v>0</v>
      </c>
      <c r="K756" t="n">
        <v>0</v>
      </c>
      <c r="L756" t="n">
        <v>0</v>
      </c>
      <c r="M756" t="n">
        <v>0</v>
      </c>
      <c r="N756" t="n">
        <v>0</v>
      </c>
      <c r="O756" t="n">
        <v>0</v>
      </c>
      <c r="P756" t="n">
        <v>0</v>
      </c>
      <c r="Q756" t="n">
        <v>0</v>
      </c>
      <c r="R756" s="2" t="inlineStr"/>
    </row>
    <row r="757" ht="15" customHeight="1">
      <c r="A757" t="inlineStr">
        <is>
          <t>A 35916-2024</t>
        </is>
      </c>
      <c r="B757" s="1" t="n">
        <v>45533</v>
      </c>
      <c r="C757" s="1" t="n">
        <v>46106</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10098-2022</t>
        </is>
      </c>
      <c r="B758" s="1" t="n">
        <v>44621</v>
      </c>
      <c r="C758" s="1" t="n">
        <v>46106</v>
      </c>
      <c r="D758" t="inlineStr">
        <is>
          <t>STOCKHOLMS LÄN</t>
        </is>
      </c>
      <c r="E758" t="inlineStr">
        <is>
          <t>NORRTÄLJE</t>
        </is>
      </c>
      <c r="G758" t="n">
        <v>2.2</v>
      </c>
      <c r="H758" t="n">
        <v>0</v>
      </c>
      <c r="I758" t="n">
        <v>0</v>
      </c>
      <c r="J758" t="n">
        <v>0</v>
      </c>
      <c r="K758" t="n">
        <v>0</v>
      </c>
      <c r="L758" t="n">
        <v>0</v>
      </c>
      <c r="M758" t="n">
        <v>0</v>
      </c>
      <c r="N758" t="n">
        <v>0</v>
      </c>
      <c r="O758" t="n">
        <v>0</v>
      </c>
      <c r="P758" t="n">
        <v>0</v>
      </c>
      <c r="Q758" t="n">
        <v>0</v>
      </c>
      <c r="R758" s="2" t="inlineStr"/>
    </row>
    <row r="759" ht="15" customHeight="1">
      <c r="A759" t="inlineStr">
        <is>
          <t>A 63161-2023</t>
        </is>
      </c>
      <c r="B759" s="1" t="n">
        <v>45273</v>
      </c>
      <c r="C759" s="1" t="n">
        <v>46106</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7796-2025</t>
        </is>
      </c>
      <c r="B760" s="1" t="n">
        <v>45706.60130787037</v>
      </c>
      <c r="C760" s="1" t="n">
        <v>46106</v>
      </c>
      <c r="D760" t="inlineStr">
        <is>
          <t>STOCKHOLMS LÄN</t>
        </is>
      </c>
      <c r="E760" t="inlineStr">
        <is>
          <t>NORRTÄLJE</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15552-2021</t>
        </is>
      </c>
      <c r="B761" s="1" t="n">
        <v>44285</v>
      </c>
      <c r="C761" s="1" t="n">
        <v>46106</v>
      </c>
      <c r="D761" t="inlineStr">
        <is>
          <t>STOCKHOLMS LÄN</t>
        </is>
      </c>
      <c r="E761" t="inlineStr">
        <is>
          <t>NORRTÄLJE</t>
        </is>
      </c>
      <c r="G761" t="n">
        <v>10</v>
      </c>
      <c r="H761" t="n">
        <v>0</v>
      </c>
      <c r="I761" t="n">
        <v>0</v>
      </c>
      <c r="J761" t="n">
        <v>0</v>
      </c>
      <c r="K761" t="n">
        <v>0</v>
      </c>
      <c r="L761" t="n">
        <v>0</v>
      </c>
      <c r="M761" t="n">
        <v>0</v>
      </c>
      <c r="N761" t="n">
        <v>0</v>
      </c>
      <c r="O761" t="n">
        <v>0</v>
      </c>
      <c r="P761" t="n">
        <v>0</v>
      </c>
      <c r="Q761" t="n">
        <v>0</v>
      </c>
      <c r="R761" s="2" t="inlineStr"/>
    </row>
    <row r="762" ht="15" customHeight="1">
      <c r="A762" t="inlineStr">
        <is>
          <t>A 58040-2024</t>
        </is>
      </c>
      <c r="B762" s="1" t="n">
        <v>45631.73952546297</v>
      </c>
      <c r="C762" s="1" t="n">
        <v>46106</v>
      </c>
      <c r="D762" t="inlineStr">
        <is>
          <t>STOCKHOLMS LÄN</t>
        </is>
      </c>
      <c r="E762" t="inlineStr">
        <is>
          <t>NORRTÄLJE</t>
        </is>
      </c>
      <c r="G762" t="n">
        <v>2.1</v>
      </c>
      <c r="H762" t="n">
        <v>0</v>
      </c>
      <c r="I762" t="n">
        <v>0</v>
      </c>
      <c r="J762" t="n">
        <v>0</v>
      </c>
      <c r="K762" t="n">
        <v>0</v>
      </c>
      <c r="L762" t="n">
        <v>0</v>
      </c>
      <c r="M762" t="n">
        <v>0</v>
      </c>
      <c r="N762" t="n">
        <v>0</v>
      </c>
      <c r="O762" t="n">
        <v>0</v>
      </c>
      <c r="P762" t="n">
        <v>0</v>
      </c>
      <c r="Q762" t="n">
        <v>0</v>
      </c>
      <c r="R762" s="2" t="inlineStr"/>
    </row>
    <row r="763" ht="15" customHeight="1">
      <c r="A763" t="inlineStr">
        <is>
          <t>A 58041-2024</t>
        </is>
      </c>
      <c r="B763" s="1" t="n">
        <v>45631.74673611111</v>
      </c>
      <c r="C763" s="1" t="n">
        <v>46106</v>
      </c>
      <c r="D763" t="inlineStr">
        <is>
          <t>STOCKHOLMS LÄN</t>
        </is>
      </c>
      <c r="E763" t="inlineStr">
        <is>
          <t>NORRTÄLJE</t>
        </is>
      </c>
      <c r="G763" t="n">
        <v>0.7</v>
      </c>
      <c r="H763" t="n">
        <v>0</v>
      </c>
      <c r="I763" t="n">
        <v>0</v>
      </c>
      <c r="J763" t="n">
        <v>0</v>
      </c>
      <c r="K763" t="n">
        <v>0</v>
      </c>
      <c r="L763" t="n">
        <v>0</v>
      </c>
      <c r="M763" t="n">
        <v>0</v>
      </c>
      <c r="N763" t="n">
        <v>0</v>
      </c>
      <c r="O763" t="n">
        <v>0</v>
      </c>
      <c r="P763" t="n">
        <v>0</v>
      </c>
      <c r="Q763" t="n">
        <v>0</v>
      </c>
      <c r="R763" s="2" t="inlineStr"/>
    </row>
    <row r="764" ht="15" customHeight="1">
      <c r="A764" t="inlineStr">
        <is>
          <t>A 30268-2024</t>
        </is>
      </c>
      <c r="B764" s="1" t="n">
        <v>45490.60572916667</v>
      </c>
      <c r="C764" s="1" t="n">
        <v>46106</v>
      </c>
      <c r="D764" t="inlineStr">
        <is>
          <t>STOCKHOLMS LÄN</t>
        </is>
      </c>
      <c r="E764" t="inlineStr">
        <is>
          <t>NORRTÄLJE</t>
        </is>
      </c>
      <c r="G764" t="n">
        <v>5.6</v>
      </c>
      <c r="H764" t="n">
        <v>0</v>
      </c>
      <c r="I764" t="n">
        <v>0</v>
      </c>
      <c r="J764" t="n">
        <v>0</v>
      </c>
      <c r="K764" t="n">
        <v>0</v>
      </c>
      <c r="L764" t="n">
        <v>0</v>
      </c>
      <c r="M764" t="n">
        <v>0</v>
      </c>
      <c r="N764" t="n">
        <v>0</v>
      </c>
      <c r="O764" t="n">
        <v>0</v>
      </c>
      <c r="P764" t="n">
        <v>0</v>
      </c>
      <c r="Q764" t="n">
        <v>0</v>
      </c>
      <c r="R764" s="2" t="inlineStr"/>
    </row>
    <row r="765" ht="15" customHeight="1">
      <c r="A765" t="inlineStr">
        <is>
          <t>A 12407-2025</t>
        </is>
      </c>
      <c r="B765" s="1" t="n">
        <v>45730.42851851852</v>
      </c>
      <c r="C765" s="1" t="n">
        <v>46106</v>
      </c>
      <c r="D765" t="inlineStr">
        <is>
          <t>STOCKHOLMS LÄN</t>
        </is>
      </c>
      <c r="E765" t="inlineStr">
        <is>
          <t>NORRTÄLJE</t>
        </is>
      </c>
      <c r="F765" t="inlineStr">
        <is>
          <t>Holmen skog AB</t>
        </is>
      </c>
      <c r="G765" t="n">
        <v>2.6</v>
      </c>
      <c r="H765" t="n">
        <v>0</v>
      </c>
      <c r="I765" t="n">
        <v>0</v>
      </c>
      <c r="J765" t="n">
        <v>0</v>
      </c>
      <c r="K765" t="n">
        <v>0</v>
      </c>
      <c r="L765" t="n">
        <v>0</v>
      </c>
      <c r="M765" t="n">
        <v>0</v>
      </c>
      <c r="N765" t="n">
        <v>0</v>
      </c>
      <c r="O765" t="n">
        <v>0</v>
      </c>
      <c r="P765" t="n">
        <v>0</v>
      </c>
      <c r="Q765" t="n">
        <v>0</v>
      </c>
      <c r="R765" s="2" t="inlineStr"/>
    </row>
    <row r="766" ht="15" customHeight="1">
      <c r="A766" t="inlineStr">
        <is>
          <t>A 19025-2025</t>
        </is>
      </c>
      <c r="B766" s="1" t="n">
        <v>45764.6359837963</v>
      </c>
      <c r="C766" s="1" t="n">
        <v>46106</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56207-2025</t>
        </is>
      </c>
      <c r="B767" s="1" t="n">
        <v>45974.47329861111</v>
      </c>
      <c r="C767" s="1" t="n">
        <v>46106</v>
      </c>
      <c r="D767" t="inlineStr">
        <is>
          <t>STOCKHOLMS LÄN</t>
        </is>
      </c>
      <c r="E767" t="inlineStr">
        <is>
          <t>NORRTÄLJE</t>
        </is>
      </c>
      <c r="G767" t="n">
        <v>3.2</v>
      </c>
      <c r="H767" t="n">
        <v>0</v>
      </c>
      <c r="I767" t="n">
        <v>0</v>
      </c>
      <c r="J767" t="n">
        <v>0</v>
      </c>
      <c r="K767" t="n">
        <v>0</v>
      </c>
      <c r="L767" t="n">
        <v>0</v>
      </c>
      <c r="M767" t="n">
        <v>0</v>
      </c>
      <c r="N767" t="n">
        <v>0</v>
      </c>
      <c r="O767" t="n">
        <v>0</v>
      </c>
      <c r="P767" t="n">
        <v>0</v>
      </c>
      <c r="Q767" t="n">
        <v>0</v>
      </c>
      <c r="R767" s="2" t="inlineStr"/>
    </row>
    <row r="768" ht="15" customHeight="1">
      <c r="A768" t="inlineStr">
        <is>
          <t>A 54276-2021</t>
        </is>
      </c>
      <c r="B768" s="1" t="n">
        <v>44470</v>
      </c>
      <c r="C768" s="1" t="n">
        <v>46106</v>
      </c>
      <c r="D768" t="inlineStr">
        <is>
          <t>STOCKHOLMS LÄN</t>
        </is>
      </c>
      <c r="E768" t="inlineStr">
        <is>
          <t>NORRTÄLJE</t>
        </is>
      </c>
      <c r="G768" t="n">
        <v>7.3</v>
      </c>
      <c r="H768" t="n">
        <v>0</v>
      </c>
      <c r="I768" t="n">
        <v>0</v>
      </c>
      <c r="J768" t="n">
        <v>0</v>
      </c>
      <c r="K768" t="n">
        <v>0</v>
      </c>
      <c r="L768" t="n">
        <v>0</v>
      </c>
      <c r="M768" t="n">
        <v>0</v>
      </c>
      <c r="N768" t="n">
        <v>0</v>
      </c>
      <c r="O768" t="n">
        <v>0</v>
      </c>
      <c r="P768" t="n">
        <v>0</v>
      </c>
      <c r="Q768" t="n">
        <v>0</v>
      </c>
      <c r="R768" s="2" t="inlineStr"/>
    </row>
    <row r="769" ht="15" customHeight="1">
      <c r="A769" t="inlineStr">
        <is>
          <t>A 4316-2023</t>
        </is>
      </c>
      <c r="B769" s="1" t="n">
        <v>44953.67443287037</v>
      </c>
      <c r="C769" s="1" t="n">
        <v>46106</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41587-2023</t>
        </is>
      </c>
      <c r="B770" s="1" t="n">
        <v>45175</v>
      </c>
      <c r="C770" s="1" t="n">
        <v>46106</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17304-2024</t>
        </is>
      </c>
      <c r="B771" s="1" t="n">
        <v>45414</v>
      </c>
      <c r="C771" s="1" t="n">
        <v>46106</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11280-2023</t>
        </is>
      </c>
      <c r="B772" s="1" t="n">
        <v>44992</v>
      </c>
      <c r="C772" s="1" t="n">
        <v>46106</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26668-2024</t>
        </is>
      </c>
      <c r="B773" s="1" t="n">
        <v>45469</v>
      </c>
      <c r="C773" s="1" t="n">
        <v>46106</v>
      </c>
      <c r="D773" t="inlineStr">
        <is>
          <t>STOCKHOLMS LÄN</t>
        </is>
      </c>
      <c r="E773" t="inlineStr">
        <is>
          <t>NORRTÄLJE</t>
        </is>
      </c>
      <c r="G773" t="n">
        <v>4.8</v>
      </c>
      <c r="H773" t="n">
        <v>0</v>
      </c>
      <c r="I773" t="n">
        <v>0</v>
      </c>
      <c r="J773" t="n">
        <v>0</v>
      </c>
      <c r="K773" t="n">
        <v>0</v>
      </c>
      <c r="L773" t="n">
        <v>0</v>
      </c>
      <c r="M773" t="n">
        <v>0</v>
      </c>
      <c r="N773" t="n">
        <v>0</v>
      </c>
      <c r="O773" t="n">
        <v>0</v>
      </c>
      <c r="P773" t="n">
        <v>0</v>
      </c>
      <c r="Q773" t="n">
        <v>0</v>
      </c>
      <c r="R773" s="2" t="inlineStr"/>
    </row>
    <row r="774" ht="15" customHeight="1">
      <c r="A774" t="inlineStr">
        <is>
          <t>A 31926-2022</t>
        </is>
      </c>
      <c r="B774" s="1" t="n">
        <v>44777</v>
      </c>
      <c r="C774" s="1" t="n">
        <v>46106</v>
      </c>
      <c r="D774" t="inlineStr">
        <is>
          <t>STOCKHOLMS LÄN</t>
        </is>
      </c>
      <c r="E774" t="inlineStr">
        <is>
          <t>NORRTÄLJE</t>
        </is>
      </c>
      <c r="G774" t="n">
        <v>5.2</v>
      </c>
      <c r="H774" t="n">
        <v>0</v>
      </c>
      <c r="I774" t="n">
        <v>0</v>
      </c>
      <c r="J774" t="n">
        <v>0</v>
      </c>
      <c r="K774" t="n">
        <v>0</v>
      </c>
      <c r="L774" t="n">
        <v>0</v>
      </c>
      <c r="M774" t="n">
        <v>0</v>
      </c>
      <c r="N774" t="n">
        <v>0</v>
      </c>
      <c r="O774" t="n">
        <v>0</v>
      </c>
      <c r="P774" t="n">
        <v>0</v>
      </c>
      <c r="Q774" t="n">
        <v>0</v>
      </c>
      <c r="R774" s="2" t="inlineStr"/>
    </row>
    <row r="775" ht="15" customHeight="1">
      <c r="A775" t="inlineStr">
        <is>
          <t>A 21480-2022</t>
        </is>
      </c>
      <c r="B775" s="1" t="n">
        <v>44704</v>
      </c>
      <c r="C775" s="1" t="n">
        <v>46106</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11041-2025</t>
        </is>
      </c>
      <c r="B776" s="1" t="n">
        <v>45723</v>
      </c>
      <c r="C776" s="1" t="n">
        <v>46106</v>
      </c>
      <c r="D776" t="inlineStr">
        <is>
          <t>STOCKHOLMS LÄN</t>
        </is>
      </c>
      <c r="E776" t="inlineStr">
        <is>
          <t>NORRTÄLJE</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24024-2024</t>
        </is>
      </c>
      <c r="B777" s="1" t="n">
        <v>45456</v>
      </c>
      <c r="C777" s="1" t="n">
        <v>46106</v>
      </c>
      <c r="D777" t="inlineStr">
        <is>
          <t>STOCKHOLMS LÄN</t>
        </is>
      </c>
      <c r="E777" t="inlineStr">
        <is>
          <t>NORRTÄLJE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28809-2023</t>
        </is>
      </c>
      <c r="B778" s="1" t="n">
        <v>45104</v>
      </c>
      <c r="C778" s="1" t="n">
        <v>46106</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28813-2023</t>
        </is>
      </c>
      <c r="B779" s="1" t="n">
        <v>45104</v>
      </c>
      <c r="C779" s="1" t="n">
        <v>46106</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40656-2022</t>
        </is>
      </c>
      <c r="B780" s="1" t="n">
        <v>44824.36069444445</v>
      </c>
      <c r="C780" s="1" t="n">
        <v>46106</v>
      </c>
      <c r="D780" t="inlineStr">
        <is>
          <t>STOCKHOLMS LÄN</t>
        </is>
      </c>
      <c r="E780" t="inlineStr">
        <is>
          <t>NORRTÄLJE</t>
        </is>
      </c>
      <c r="G780" t="n">
        <v>2.7</v>
      </c>
      <c r="H780" t="n">
        <v>0</v>
      </c>
      <c r="I780" t="n">
        <v>0</v>
      </c>
      <c r="J780" t="n">
        <v>0</v>
      </c>
      <c r="K780" t="n">
        <v>0</v>
      </c>
      <c r="L780" t="n">
        <v>0</v>
      </c>
      <c r="M780" t="n">
        <v>0</v>
      </c>
      <c r="N780" t="n">
        <v>0</v>
      </c>
      <c r="O780" t="n">
        <v>0</v>
      </c>
      <c r="P780" t="n">
        <v>0</v>
      </c>
      <c r="Q780" t="n">
        <v>0</v>
      </c>
      <c r="R780" s="2" t="inlineStr"/>
    </row>
    <row r="781" ht="15" customHeight="1">
      <c r="A781" t="inlineStr">
        <is>
          <t>A 58403-2025</t>
        </is>
      </c>
      <c r="B781" s="1" t="n">
        <v>45985.56777777777</v>
      </c>
      <c r="C781" s="1" t="n">
        <v>46106</v>
      </c>
      <c r="D781" t="inlineStr">
        <is>
          <t>STOCKHOLMS LÄN</t>
        </is>
      </c>
      <c r="E781" t="inlineStr">
        <is>
          <t>NORRTÄLJE</t>
        </is>
      </c>
      <c r="F781" t="inlineStr">
        <is>
          <t>Naturvårdsverket</t>
        </is>
      </c>
      <c r="G781" t="n">
        <v>13.5</v>
      </c>
      <c r="H781" t="n">
        <v>0</v>
      </c>
      <c r="I781" t="n">
        <v>0</v>
      </c>
      <c r="J781" t="n">
        <v>0</v>
      </c>
      <c r="K781" t="n">
        <v>0</v>
      </c>
      <c r="L781" t="n">
        <v>0</v>
      </c>
      <c r="M781" t="n">
        <v>0</v>
      </c>
      <c r="N781" t="n">
        <v>0</v>
      </c>
      <c r="O781" t="n">
        <v>0</v>
      </c>
      <c r="P781" t="n">
        <v>0</v>
      </c>
      <c r="Q781" t="n">
        <v>0</v>
      </c>
      <c r="R781" s="2" t="inlineStr"/>
    </row>
    <row r="782" ht="15" customHeight="1">
      <c r="A782" t="inlineStr">
        <is>
          <t>A 60694-2024</t>
        </is>
      </c>
      <c r="B782" s="1" t="n">
        <v>45644.47878472223</v>
      </c>
      <c r="C782" s="1" t="n">
        <v>46106</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58142-2025</t>
        </is>
      </c>
      <c r="B783" s="1" t="n">
        <v>45982.63791666667</v>
      </c>
      <c r="C783" s="1" t="n">
        <v>46106</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57953-2025</t>
        </is>
      </c>
      <c r="B784" s="1" t="n">
        <v>45982.35016203704</v>
      </c>
      <c r="C784" s="1" t="n">
        <v>46106</v>
      </c>
      <c r="D784" t="inlineStr">
        <is>
          <t>STOCKHOLMS LÄN</t>
        </is>
      </c>
      <c r="E784" t="inlineStr">
        <is>
          <t>NORRTÄLJE</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19450-2025</t>
        </is>
      </c>
      <c r="B785" s="1" t="n">
        <v>45770</v>
      </c>
      <c r="C785" s="1" t="n">
        <v>46106</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58939-2025</t>
        </is>
      </c>
      <c r="B786" s="1" t="n">
        <v>45987.5681712963</v>
      </c>
      <c r="C786" s="1" t="n">
        <v>46106</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33353-2023</t>
        </is>
      </c>
      <c r="B787" s="1" t="n">
        <v>45128</v>
      </c>
      <c r="C787" s="1" t="n">
        <v>46106</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3966-2024</t>
        </is>
      </c>
      <c r="B788" s="1" t="n">
        <v>45322</v>
      </c>
      <c r="C788" s="1" t="n">
        <v>46106</v>
      </c>
      <c r="D788" t="inlineStr">
        <is>
          <t>STOCKHOLMS LÄN</t>
        </is>
      </c>
      <c r="E788" t="inlineStr">
        <is>
          <t>NORRTÄLJE</t>
        </is>
      </c>
      <c r="G788" t="n">
        <v>5.3</v>
      </c>
      <c r="H788" t="n">
        <v>0</v>
      </c>
      <c r="I788" t="n">
        <v>0</v>
      </c>
      <c r="J788" t="n">
        <v>0</v>
      </c>
      <c r="K788" t="n">
        <v>0</v>
      </c>
      <c r="L788" t="n">
        <v>0</v>
      </c>
      <c r="M788" t="n">
        <v>0</v>
      </c>
      <c r="N788" t="n">
        <v>0</v>
      </c>
      <c r="O788" t="n">
        <v>0</v>
      </c>
      <c r="P788" t="n">
        <v>0</v>
      </c>
      <c r="Q788" t="n">
        <v>0</v>
      </c>
      <c r="R788" s="2" t="inlineStr"/>
    </row>
    <row r="789" ht="15" customHeight="1">
      <c r="A789" t="inlineStr">
        <is>
          <t>A 23262-2023</t>
        </is>
      </c>
      <c r="B789" s="1" t="n">
        <v>45075.90270833333</v>
      </c>
      <c r="C789" s="1" t="n">
        <v>46106</v>
      </c>
      <c r="D789" t="inlineStr">
        <is>
          <t>STOCKHOLMS LÄN</t>
        </is>
      </c>
      <c r="E789" t="inlineStr">
        <is>
          <t>NORRTÄLJE</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23268-2023</t>
        </is>
      </c>
      <c r="B790" s="1" t="n">
        <v>45075.91042824074</v>
      </c>
      <c r="C790" s="1" t="n">
        <v>46106</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23270-2023</t>
        </is>
      </c>
      <c r="B791" s="1" t="n">
        <v>45075.91265046296</v>
      </c>
      <c r="C791" s="1" t="n">
        <v>46106</v>
      </c>
      <c r="D791" t="inlineStr">
        <is>
          <t>STOCKHOLMS LÄN</t>
        </is>
      </c>
      <c r="E791" t="inlineStr">
        <is>
          <t>NORRTÄLJE</t>
        </is>
      </c>
      <c r="G791" t="n">
        <v>12.3</v>
      </c>
      <c r="H791" t="n">
        <v>0</v>
      </c>
      <c r="I791" t="n">
        <v>0</v>
      </c>
      <c r="J791" t="n">
        <v>0</v>
      </c>
      <c r="K791" t="n">
        <v>0</v>
      </c>
      <c r="L791" t="n">
        <v>0</v>
      </c>
      <c r="M791" t="n">
        <v>0</v>
      </c>
      <c r="N791" t="n">
        <v>0</v>
      </c>
      <c r="O791" t="n">
        <v>0</v>
      </c>
      <c r="P791" t="n">
        <v>0</v>
      </c>
      <c r="Q791" t="n">
        <v>0</v>
      </c>
      <c r="R791" s="2" t="inlineStr"/>
    </row>
    <row r="792" ht="15" customHeight="1">
      <c r="A792" t="inlineStr">
        <is>
          <t>A 23274-2023</t>
        </is>
      </c>
      <c r="B792" s="1" t="n">
        <v>45075.92153935185</v>
      </c>
      <c r="C792" s="1" t="n">
        <v>46106</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17843-2024</t>
        </is>
      </c>
      <c r="B793" s="1" t="n">
        <v>45418</v>
      </c>
      <c r="C793" s="1" t="n">
        <v>46106</v>
      </c>
      <c r="D793" t="inlineStr">
        <is>
          <t>STOCKHOLMS LÄN</t>
        </is>
      </c>
      <c r="E793" t="inlineStr">
        <is>
          <t>NORRTÄLJE</t>
        </is>
      </c>
      <c r="G793" t="n">
        <v>5.4</v>
      </c>
      <c r="H793" t="n">
        <v>0</v>
      </c>
      <c r="I793" t="n">
        <v>0</v>
      </c>
      <c r="J793" t="n">
        <v>0</v>
      </c>
      <c r="K793" t="n">
        <v>0</v>
      </c>
      <c r="L793" t="n">
        <v>0</v>
      </c>
      <c r="M793" t="n">
        <v>0</v>
      </c>
      <c r="N793" t="n">
        <v>0</v>
      </c>
      <c r="O793" t="n">
        <v>0</v>
      </c>
      <c r="P793" t="n">
        <v>0</v>
      </c>
      <c r="Q793" t="n">
        <v>0</v>
      </c>
      <c r="R793" s="2" t="inlineStr"/>
    </row>
    <row r="794" ht="15" customHeight="1">
      <c r="A794" t="inlineStr">
        <is>
          <t>A 26636-2023</t>
        </is>
      </c>
      <c r="B794" s="1" t="n">
        <v>45092</v>
      </c>
      <c r="C794" s="1" t="n">
        <v>46106</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26637-2023</t>
        </is>
      </c>
      <c r="B795" s="1" t="n">
        <v>45092</v>
      </c>
      <c r="C795" s="1" t="n">
        <v>46106</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72704-2021</t>
        </is>
      </c>
      <c r="B796" s="1" t="n">
        <v>44546</v>
      </c>
      <c r="C796" s="1" t="n">
        <v>46106</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52743-2024</t>
        </is>
      </c>
      <c r="B797" s="1" t="n">
        <v>45610.47414351852</v>
      </c>
      <c r="C797" s="1" t="n">
        <v>46106</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16852-2024</t>
        </is>
      </c>
      <c r="B798" s="1" t="n">
        <v>45411.54768518519</v>
      </c>
      <c r="C798" s="1" t="n">
        <v>46106</v>
      </c>
      <c r="D798" t="inlineStr">
        <is>
          <t>STOCKHOLMS LÄN</t>
        </is>
      </c>
      <c r="E798" t="inlineStr">
        <is>
          <t>NORRTÄLJE</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59041-2025</t>
        </is>
      </c>
      <c r="B799" s="1" t="n">
        <v>45988</v>
      </c>
      <c r="C799" s="1" t="n">
        <v>46106</v>
      </c>
      <c r="D799" t="inlineStr">
        <is>
          <t>STOCKHOLMS LÄN</t>
        </is>
      </c>
      <c r="E799" t="inlineStr">
        <is>
          <t>NORRTÄLJE</t>
        </is>
      </c>
      <c r="G799" t="n">
        <v>6.6</v>
      </c>
      <c r="H799" t="n">
        <v>0</v>
      </c>
      <c r="I799" t="n">
        <v>0</v>
      </c>
      <c r="J799" t="n">
        <v>0</v>
      </c>
      <c r="K799" t="n">
        <v>0</v>
      </c>
      <c r="L799" t="n">
        <v>0</v>
      </c>
      <c r="M799" t="n">
        <v>0</v>
      </c>
      <c r="N799" t="n">
        <v>0</v>
      </c>
      <c r="O799" t="n">
        <v>0</v>
      </c>
      <c r="P799" t="n">
        <v>0</v>
      </c>
      <c r="Q799" t="n">
        <v>0</v>
      </c>
      <c r="R799" s="2" t="inlineStr"/>
    </row>
    <row r="800" ht="15" customHeight="1">
      <c r="A800" t="inlineStr">
        <is>
          <t>A 59914-2025</t>
        </is>
      </c>
      <c r="B800" s="1" t="n">
        <v>45993.37056712963</v>
      </c>
      <c r="C800" s="1" t="n">
        <v>46106</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59672-2025</t>
        </is>
      </c>
      <c r="B801" s="1" t="n">
        <v>45992.45884259259</v>
      </c>
      <c r="C801" s="1" t="n">
        <v>46106</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57788-2025</t>
        </is>
      </c>
      <c r="B802" s="1" t="n">
        <v>45981.5778125</v>
      </c>
      <c r="C802" s="1" t="n">
        <v>46106</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59907-2025</t>
        </is>
      </c>
      <c r="B803" s="1" t="n">
        <v>45993.35350694445</v>
      </c>
      <c r="C803" s="1" t="n">
        <v>46106</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59924-2025</t>
        </is>
      </c>
      <c r="B804" s="1" t="n">
        <v>45993.38928240741</v>
      </c>
      <c r="C804" s="1" t="n">
        <v>46106</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60253-2025</t>
        </is>
      </c>
      <c r="B805" s="1" t="n">
        <v>45994.59827546297</v>
      </c>
      <c r="C805" s="1" t="n">
        <v>46106</v>
      </c>
      <c r="D805" t="inlineStr">
        <is>
          <t>STOCKHOLMS LÄN</t>
        </is>
      </c>
      <c r="E805" t="inlineStr">
        <is>
          <t>NORRTÄLJE</t>
        </is>
      </c>
      <c r="F805" t="inlineStr">
        <is>
          <t>Holmen skog AB</t>
        </is>
      </c>
      <c r="G805" t="n">
        <v>3.6</v>
      </c>
      <c r="H805" t="n">
        <v>0</v>
      </c>
      <c r="I805" t="n">
        <v>0</v>
      </c>
      <c r="J805" t="n">
        <v>0</v>
      </c>
      <c r="K805" t="n">
        <v>0</v>
      </c>
      <c r="L805" t="n">
        <v>0</v>
      </c>
      <c r="M805" t="n">
        <v>0</v>
      </c>
      <c r="N805" t="n">
        <v>0</v>
      </c>
      <c r="O805" t="n">
        <v>0</v>
      </c>
      <c r="P805" t="n">
        <v>0</v>
      </c>
      <c r="Q805" t="n">
        <v>0</v>
      </c>
      <c r="R805" s="2" t="inlineStr"/>
    </row>
    <row r="806" ht="15" customHeight="1">
      <c r="A806" t="inlineStr">
        <is>
          <t>A 55755-2023</t>
        </is>
      </c>
      <c r="B806" s="1" t="n">
        <v>45239</v>
      </c>
      <c r="C806" s="1" t="n">
        <v>46106</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60214-2025</t>
        </is>
      </c>
      <c r="B807" s="1" t="n">
        <v>45994.53761574074</v>
      </c>
      <c r="C807" s="1" t="n">
        <v>46106</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60223-2025</t>
        </is>
      </c>
      <c r="B808" s="1" t="n">
        <v>45994.54497685185</v>
      </c>
      <c r="C808" s="1" t="n">
        <v>46106</v>
      </c>
      <c r="D808" t="inlineStr">
        <is>
          <t>STOCKHOLMS LÄN</t>
        </is>
      </c>
      <c r="E808" t="inlineStr">
        <is>
          <t>NORRTÄLJE</t>
        </is>
      </c>
      <c r="G808" t="n">
        <v>2.4</v>
      </c>
      <c r="H808" t="n">
        <v>0</v>
      </c>
      <c r="I808" t="n">
        <v>0</v>
      </c>
      <c r="J808" t="n">
        <v>0</v>
      </c>
      <c r="K808" t="n">
        <v>0</v>
      </c>
      <c r="L808" t="n">
        <v>0</v>
      </c>
      <c r="M808" t="n">
        <v>0</v>
      </c>
      <c r="N808" t="n">
        <v>0</v>
      </c>
      <c r="O808" t="n">
        <v>0</v>
      </c>
      <c r="P808" t="n">
        <v>0</v>
      </c>
      <c r="Q808" t="n">
        <v>0</v>
      </c>
      <c r="R808" s="2" t="inlineStr"/>
    </row>
    <row r="809" ht="15" customHeight="1">
      <c r="A809" t="inlineStr">
        <is>
          <t>A 17348-2024</t>
        </is>
      </c>
      <c r="B809" s="1" t="n">
        <v>45414.58650462963</v>
      </c>
      <c r="C809" s="1" t="n">
        <v>46106</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60745-2025</t>
        </is>
      </c>
      <c r="B810" s="1" t="n">
        <v>45999.37753472223</v>
      </c>
      <c r="C810" s="1" t="n">
        <v>46106</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60649-2025</t>
        </is>
      </c>
      <c r="B811" s="1" t="n">
        <v>45996.4560300926</v>
      </c>
      <c r="C811" s="1" t="n">
        <v>46106</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60948-2025</t>
        </is>
      </c>
      <c r="B812" s="1" t="n">
        <v>45999.650625</v>
      </c>
      <c r="C812" s="1" t="n">
        <v>46106</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60928-2025</t>
        </is>
      </c>
      <c r="B813" s="1" t="n">
        <v>45999.633125</v>
      </c>
      <c r="C813" s="1" t="n">
        <v>46106</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13089-2022</t>
        </is>
      </c>
      <c r="B814" s="1" t="n">
        <v>44643</v>
      </c>
      <c r="C814" s="1" t="n">
        <v>46106</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61160-2025</t>
        </is>
      </c>
      <c r="B815" s="1" t="n">
        <v>46000.55262731481</v>
      </c>
      <c r="C815" s="1" t="n">
        <v>46106</v>
      </c>
      <c r="D815" t="inlineStr">
        <is>
          <t>STOCKHOLMS LÄN</t>
        </is>
      </c>
      <c r="E815" t="inlineStr">
        <is>
          <t>NORRTÄLJE</t>
        </is>
      </c>
      <c r="G815" t="n">
        <v>5.3</v>
      </c>
      <c r="H815" t="n">
        <v>0</v>
      </c>
      <c r="I815" t="n">
        <v>0</v>
      </c>
      <c r="J815" t="n">
        <v>0</v>
      </c>
      <c r="K815" t="n">
        <v>0</v>
      </c>
      <c r="L815" t="n">
        <v>0</v>
      </c>
      <c r="M815" t="n">
        <v>0</v>
      </c>
      <c r="N815" t="n">
        <v>0</v>
      </c>
      <c r="O815" t="n">
        <v>0</v>
      </c>
      <c r="P815" t="n">
        <v>0</v>
      </c>
      <c r="Q815" t="n">
        <v>0</v>
      </c>
      <c r="R815" s="2" t="inlineStr"/>
    </row>
    <row r="816" ht="15" customHeight="1">
      <c r="A816" t="inlineStr">
        <is>
          <t>A 48145-2024</t>
        </is>
      </c>
      <c r="B816" s="1" t="n">
        <v>45589.6756712963</v>
      </c>
      <c r="C816" s="1" t="n">
        <v>46106</v>
      </c>
      <c r="D816" t="inlineStr">
        <is>
          <t>STOCKHOLMS LÄN</t>
        </is>
      </c>
      <c r="E816" t="inlineStr">
        <is>
          <t>NORRTÄLJE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23998-2024</t>
        </is>
      </c>
      <c r="B817" s="1" t="n">
        <v>45456</v>
      </c>
      <c r="C817" s="1" t="n">
        <v>46106</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61419-2025</t>
        </is>
      </c>
      <c r="B818" s="1" t="n">
        <v>46001.54137731482</v>
      </c>
      <c r="C818" s="1" t="n">
        <v>46106</v>
      </c>
      <c r="D818" t="inlineStr">
        <is>
          <t>STOCKHOLMS LÄN</t>
        </is>
      </c>
      <c r="E818" t="inlineStr">
        <is>
          <t>NORRTÄLJE</t>
        </is>
      </c>
      <c r="G818" t="n">
        <v>5.2</v>
      </c>
      <c r="H818" t="n">
        <v>0</v>
      </c>
      <c r="I818" t="n">
        <v>0</v>
      </c>
      <c r="J818" t="n">
        <v>0</v>
      </c>
      <c r="K818" t="n">
        <v>0</v>
      </c>
      <c r="L818" t="n">
        <v>0</v>
      </c>
      <c r="M818" t="n">
        <v>0</v>
      </c>
      <c r="N818" t="n">
        <v>0</v>
      </c>
      <c r="O818" t="n">
        <v>0</v>
      </c>
      <c r="P818" t="n">
        <v>0</v>
      </c>
      <c r="Q818" t="n">
        <v>0</v>
      </c>
      <c r="R818" s="2" t="inlineStr"/>
    </row>
    <row r="819" ht="15" customHeight="1">
      <c r="A819" t="inlineStr">
        <is>
          <t>A 61430-2025</t>
        </is>
      </c>
      <c r="B819" s="1" t="n">
        <v>46001.55583333333</v>
      </c>
      <c r="C819" s="1" t="n">
        <v>46106</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15447-2023</t>
        </is>
      </c>
      <c r="B820" s="1" t="n">
        <v>45020</v>
      </c>
      <c r="C820" s="1" t="n">
        <v>46106</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61452-2025</t>
        </is>
      </c>
      <c r="B821" s="1" t="n">
        <v>46001.58043981482</v>
      </c>
      <c r="C821" s="1" t="n">
        <v>46106</v>
      </c>
      <c r="D821" t="inlineStr">
        <is>
          <t>STOCKHOLMS LÄN</t>
        </is>
      </c>
      <c r="E821" t="inlineStr">
        <is>
          <t>NORRTÄLJE</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61289-2025</t>
        </is>
      </c>
      <c r="B822" s="1" t="n">
        <v>46000.73659722223</v>
      </c>
      <c r="C822" s="1" t="n">
        <v>46106</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61769-2025</t>
        </is>
      </c>
      <c r="B823" s="1" t="n">
        <v>46002.64556712963</v>
      </c>
      <c r="C823" s="1" t="n">
        <v>46106</v>
      </c>
      <c r="D823" t="inlineStr">
        <is>
          <t>STOCKHOLMS LÄN</t>
        </is>
      </c>
      <c r="E823" t="inlineStr">
        <is>
          <t>NORRTÄLJE</t>
        </is>
      </c>
      <c r="G823" t="n">
        <v>2.9</v>
      </c>
      <c r="H823" t="n">
        <v>0</v>
      </c>
      <c r="I823" t="n">
        <v>0</v>
      </c>
      <c r="J823" t="n">
        <v>0</v>
      </c>
      <c r="K823" t="n">
        <v>0</v>
      </c>
      <c r="L823" t="n">
        <v>0</v>
      </c>
      <c r="M823" t="n">
        <v>0</v>
      </c>
      <c r="N823" t="n">
        <v>0</v>
      </c>
      <c r="O823" t="n">
        <v>0</v>
      </c>
      <c r="P823" t="n">
        <v>0</v>
      </c>
      <c r="Q823" t="n">
        <v>0</v>
      </c>
      <c r="R823" s="2" t="inlineStr"/>
    </row>
    <row r="824" ht="15" customHeight="1">
      <c r="A824" t="inlineStr">
        <is>
          <t>A 54358-2022</t>
        </is>
      </c>
      <c r="B824" s="1" t="n">
        <v>44882</v>
      </c>
      <c r="C824" s="1" t="n">
        <v>46106</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61764-2025</t>
        </is>
      </c>
      <c r="B825" s="1" t="n">
        <v>46002.62763888889</v>
      </c>
      <c r="C825" s="1" t="n">
        <v>46106</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23263-2023</t>
        </is>
      </c>
      <c r="B826" s="1" t="n">
        <v>45075</v>
      </c>
      <c r="C826" s="1" t="n">
        <v>46106</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23264-2023</t>
        </is>
      </c>
      <c r="B827" s="1" t="n">
        <v>45075</v>
      </c>
      <c r="C827" s="1" t="n">
        <v>46106</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23267-2023</t>
        </is>
      </c>
      <c r="B828" s="1" t="n">
        <v>45075.90934027778</v>
      </c>
      <c r="C828" s="1" t="n">
        <v>46106</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23269-2023</t>
        </is>
      </c>
      <c r="B829" s="1" t="n">
        <v>45075.91148148148</v>
      </c>
      <c r="C829" s="1" t="n">
        <v>46106</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19911-2025</t>
        </is>
      </c>
      <c r="B830" s="1" t="n">
        <v>45771</v>
      </c>
      <c r="C830" s="1" t="n">
        <v>46106</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5831-2022</t>
        </is>
      </c>
      <c r="B831" s="1" t="n">
        <v>44596</v>
      </c>
      <c r="C831" s="1" t="n">
        <v>46106</v>
      </c>
      <c r="D831" t="inlineStr">
        <is>
          <t>STOCKHOLMS LÄN</t>
        </is>
      </c>
      <c r="E831" t="inlineStr">
        <is>
          <t>NORRTÄLJE</t>
        </is>
      </c>
      <c r="G831" t="n">
        <v>4.8</v>
      </c>
      <c r="H831" t="n">
        <v>0</v>
      </c>
      <c r="I831" t="n">
        <v>0</v>
      </c>
      <c r="J831" t="n">
        <v>0</v>
      </c>
      <c r="K831" t="n">
        <v>0</v>
      </c>
      <c r="L831" t="n">
        <v>0</v>
      </c>
      <c r="M831" t="n">
        <v>0</v>
      </c>
      <c r="N831" t="n">
        <v>0</v>
      </c>
      <c r="O831" t="n">
        <v>0</v>
      </c>
      <c r="P831" t="n">
        <v>0</v>
      </c>
      <c r="Q831" t="n">
        <v>0</v>
      </c>
      <c r="R831" s="2" t="inlineStr"/>
    </row>
    <row r="832" ht="15" customHeight="1">
      <c r="A832" t="inlineStr">
        <is>
          <t>A 5867-2022</t>
        </is>
      </c>
      <c r="B832" s="1" t="n">
        <v>44596.66335648148</v>
      </c>
      <c r="C832" s="1" t="n">
        <v>46106</v>
      </c>
      <c r="D832" t="inlineStr">
        <is>
          <t>STOCKHOLMS LÄN</t>
        </is>
      </c>
      <c r="E832" t="inlineStr">
        <is>
          <t>NORRTÄLJE</t>
        </is>
      </c>
      <c r="F832" t="inlineStr">
        <is>
          <t>Naturvårdsverket</t>
        </is>
      </c>
      <c r="G832" t="n">
        <v>1.6</v>
      </c>
      <c r="H832" t="n">
        <v>0</v>
      </c>
      <c r="I832" t="n">
        <v>0</v>
      </c>
      <c r="J832" t="n">
        <v>0</v>
      </c>
      <c r="K832" t="n">
        <v>0</v>
      </c>
      <c r="L832" t="n">
        <v>0</v>
      </c>
      <c r="M832" t="n">
        <v>0</v>
      </c>
      <c r="N832" t="n">
        <v>0</v>
      </c>
      <c r="O832" t="n">
        <v>0</v>
      </c>
      <c r="P832" t="n">
        <v>0</v>
      </c>
      <c r="Q832" t="n">
        <v>0</v>
      </c>
      <c r="R832" s="2" t="inlineStr"/>
    </row>
    <row r="833" ht="15" customHeight="1">
      <c r="A833" t="inlineStr">
        <is>
          <t>A 20244-2025</t>
        </is>
      </c>
      <c r="B833" s="1" t="n">
        <v>45772.71221064815</v>
      </c>
      <c r="C833" s="1" t="n">
        <v>46106</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48633-2023</t>
        </is>
      </c>
      <c r="B834" s="1" t="n">
        <v>45208.58004629629</v>
      </c>
      <c r="C834" s="1" t="n">
        <v>46106</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33279-2025</t>
        </is>
      </c>
      <c r="B835" s="1" t="n">
        <v>45840</v>
      </c>
      <c r="C835" s="1" t="n">
        <v>46106</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53499-2025</t>
        </is>
      </c>
      <c r="B836" s="1" t="n">
        <v>45960</v>
      </c>
      <c r="C836" s="1" t="n">
        <v>46106</v>
      </c>
      <c r="D836" t="inlineStr">
        <is>
          <t>STOCKHOLMS LÄN</t>
        </is>
      </c>
      <c r="E836" t="inlineStr">
        <is>
          <t>NORRTÄLJE</t>
        </is>
      </c>
      <c r="G836" t="n">
        <v>23.8</v>
      </c>
      <c r="H836" t="n">
        <v>0</v>
      </c>
      <c r="I836" t="n">
        <v>0</v>
      </c>
      <c r="J836" t="n">
        <v>0</v>
      </c>
      <c r="K836" t="n">
        <v>0</v>
      </c>
      <c r="L836" t="n">
        <v>0</v>
      </c>
      <c r="M836" t="n">
        <v>0</v>
      </c>
      <c r="N836" t="n">
        <v>0</v>
      </c>
      <c r="O836" t="n">
        <v>0</v>
      </c>
      <c r="P836" t="n">
        <v>0</v>
      </c>
      <c r="Q836" t="n">
        <v>0</v>
      </c>
      <c r="R836" s="2" t="inlineStr"/>
    </row>
    <row r="837" ht="15" customHeight="1">
      <c r="A837" t="inlineStr">
        <is>
          <t>A 39669-2024</t>
        </is>
      </c>
      <c r="B837" s="1" t="n">
        <v>45552.52827546297</v>
      </c>
      <c r="C837" s="1" t="n">
        <v>46106</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62708-2025</t>
        </is>
      </c>
      <c r="B838" s="1" t="n">
        <v>46008.50986111111</v>
      </c>
      <c r="C838" s="1" t="n">
        <v>46106</v>
      </c>
      <c r="D838" t="inlineStr">
        <is>
          <t>STOCKHOLMS LÄN</t>
        </is>
      </c>
      <c r="E838" t="inlineStr">
        <is>
          <t>NORRTÄLJE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34478-2025</t>
        </is>
      </c>
      <c r="B839" s="1" t="n">
        <v>45847</v>
      </c>
      <c r="C839" s="1" t="n">
        <v>46106</v>
      </c>
      <c r="D839" t="inlineStr">
        <is>
          <t>STOCKHOLMS LÄN</t>
        </is>
      </c>
      <c r="E839" t="inlineStr">
        <is>
          <t>NORRTÄLJE</t>
        </is>
      </c>
      <c r="F839" t="inlineStr">
        <is>
          <t>Övriga Aktiebolag</t>
        </is>
      </c>
      <c r="G839" t="n">
        <v>10.8</v>
      </c>
      <c r="H839" t="n">
        <v>0</v>
      </c>
      <c r="I839" t="n">
        <v>0</v>
      </c>
      <c r="J839" t="n">
        <v>0</v>
      </c>
      <c r="K839" t="n">
        <v>0</v>
      </c>
      <c r="L839" t="n">
        <v>0</v>
      </c>
      <c r="M839" t="n">
        <v>0</v>
      </c>
      <c r="N839" t="n">
        <v>0</v>
      </c>
      <c r="O839" t="n">
        <v>0</v>
      </c>
      <c r="P839" t="n">
        <v>0</v>
      </c>
      <c r="Q839" t="n">
        <v>0</v>
      </c>
      <c r="R839" s="2" t="inlineStr"/>
    </row>
    <row r="840" ht="15" customHeight="1">
      <c r="A840" t="inlineStr">
        <is>
          <t>A 62681-2025</t>
        </is>
      </c>
      <c r="B840" s="1" t="n">
        <v>46008.45534722223</v>
      </c>
      <c r="C840" s="1" t="n">
        <v>46106</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62922-2025</t>
        </is>
      </c>
      <c r="B841" s="1" t="n">
        <v>46009.38064814815</v>
      </c>
      <c r="C841" s="1" t="n">
        <v>46106</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43170-2023</t>
        </is>
      </c>
      <c r="B842" s="1" t="n">
        <v>45183</v>
      </c>
      <c r="C842" s="1" t="n">
        <v>46106</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9-2024</t>
        </is>
      </c>
      <c r="B843" s="1" t="n">
        <v>45293</v>
      </c>
      <c r="C843" s="1" t="n">
        <v>46106</v>
      </c>
      <c r="D843" t="inlineStr">
        <is>
          <t>STOCKHOLMS LÄN</t>
        </is>
      </c>
      <c r="E843" t="inlineStr">
        <is>
          <t>NORRTÄLJE</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22832-2021</t>
        </is>
      </c>
      <c r="B844" s="1" t="n">
        <v>44325</v>
      </c>
      <c r="C844" s="1" t="n">
        <v>46106</v>
      </c>
      <c r="D844" t="inlineStr">
        <is>
          <t>STOCKHOLMS LÄN</t>
        </is>
      </c>
      <c r="E844" t="inlineStr">
        <is>
          <t>NORRTÄLJE</t>
        </is>
      </c>
      <c r="G844" t="n">
        <v>6.8</v>
      </c>
      <c r="H844" t="n">
        <v>0</v>
      </c>
      <c r="I844" t="n">
        <v>0</v>
      </c>
      <c r="J844" t="n">
        <v>0</v>
      </c>
      <c r="K844" t="n">
        <v>0</v>
      </c>
      <c r="L844" t="n">
        <v>0</v>
      </c>
      <c r="M844" t="n">
        <v>0</v>
      </c>
      <c r="N844" t="n">
        <v>0</v>
      </c>
      <c r="O844" t="n">
        <v>0</v>
      </c>
      <c r="P844" t="n">
        <v>0</v>
      </c>
      <c r="Q844" t="n">
        <v>0</v>
      </c>
      <c r="R844" s="2" t="inlineStr"/>
    </row>
    <row r="845" ht="15" customHeight="1">
      <c r="A845" t="inlineStr">
        <is>
          <t>A 62689-2025</t>
        </is>
      </c>
      <c r="B845" s="1" t="n">
        <v>46008.47171296296</v>
      </c>
      <c r="C845" s="1" t="n">
        <v>46106</v>
      </c>
      <c r="D845" t="inlineStr">
        <is>
          <t>STOCKHOLMS LÄN</t>
        </is>
      </c>
      <c r="E845" t="inlineStr">
        <is>
          <t>NORRTÄLJE</t>
        </is>
      </c>
      <c r="F845" t="inlineStr">
        <is>
          <t>Kyrkan</t>
        </is>
      </c>
      <c r="G845" t="n">
        <v>0.7</v>
      </c>
      <c r="H845" t="n">
        <v>0</v>
      </c>
      <c r="I845" t="n">
        <v>0</v>
      </c>
      <c r="J845" t="n">
        <v>0</v>
      </c>
      <c r="K845" t="n">
        <v>0</v>
      </c>
      <c r="L845" t="n">
        <v>0</v>
      </c>
      <c r="M845" t="n">
        <v>0</v>
      </c>
      <c r="N845" t="n">
        <v>0</v>
      </c>
      <c r="O845" t="n">
        <v>0</v>
      </c>
      <c r="P845" t="n">
        <v>0</v>
      </c>
      <c r="Q845" t="n">
        <v>0</v>
      </c>
      <c r="R845" s="2" t="inlineStr"/>
    </row>
    <row r="846" ht="15" customHeight="1">
      <c r="A846" t="inlineStr">
        <is>
          <t>A 16913-2025</t>
        </is>
      </c>
      <c r="B846" s="1" t="n">
        <v>45755.36583333334</v>
      </c>
      <c r="C846" s="1" t="n">
        <v>46106</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4035-2023</t>
        </is>
      </c>
      <c r="B847" s="1" t="n">
        <v>44952.57989583333</v>
      </c>
      <c r="C847" s="1" t="n">
        <v>46106</v>
      </c>
      <c r="D847" t="inlineStr">
        <is>
          <t>STOCKHOLMS LÄN</t>
        </is>
      </c>
      <c r="E847" t="inlineStr">
        <is>
          <t>NORRTÄLJE</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33793-2022</t>
        </is>
      </c>
      <c r="B848" s="1" t="n">
        <v>44790</v>
      </c>
      <c r="C848" s="1" t="n">
        <v>46106</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53600-2022</t>
        </is>
      </c>
      <c r="B849" s="1" t="n">
        <v>44879.70518518519</v>
      </c>
      <c r="C849" s="1" t="n">
        <v>46106</v>
      </c>
      <c r="D849" t="inlineStr">
        <is>
          <t>STOCKHOLMS LÄN</t>
        </is>
      </c>
      <c r="E849" t="inlineStr">
        <is>
          <t>NORRTÄLJE</t>
        </is>
      </c>
      <c r="G849" t="n">
        <v>4.3</v>
      </c>
      <c r="H849" t="n">
        <v>0</v>
      </c>
      <c r="I849" t="n">
        <v>0</v>
      </c>
      <c r="J849" t="n">
        <v>0</v>
      </c>
      <c r="K849" t="n">
        <v>0</v>
      </c>
      <c r="L849" t="n">
        <v>0</v>
      </c>
      <c r="M849" t="n">
        <v>0</v>
      </c>
      <c r="N849" t="n">
        <v>0</v>
      </c>
      <c r="O849" t="n">
        <v>0</v>
      </c>
      <c r="P849" t="n">
        <v>0</v>
      </c>
      <c r="Q849" t="n">
        <v>0</v>
      </c>
      <c r="R849" s="2" t="inlineStr"/>
    </row>
    <row r="850" ht="15" customHeight="1">
      <c r="A850" t="inlineStr">
        <is>
          <t>A 7697-2025</t>
        </is>
      </c>
      <c r="B850" s="1" t="n">
        <v>45706.40086805556</v>
      </c>
      <c r="C850" s="1" t="n">
        <v>46106</v>
      </c>
      <c r="D850" t="inlineStr">
        <is>
          <t>STOCKHOLMS LÄN</t>
        </is>
      </c>
      <c r="E850" t="inlineStr">
        <is>
          <t>NORRTÄLJE</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30221-2024</t>
        </is>
      </c>
      <c r="B851" s="1" t="n">
        <v>45490.45342592592</v>
      </c>
      <c r="C851" s="1" t="n">
        <v>46106</v>
      </c>
      <c r="D851" t="inlineStr">
        <is>
          <t>STOCKHOLMS LÄN</t>
        </is>
      </c>
      <c r="E851" t="inlineStr">
        <is>
          <t>NORRTÄLJE</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13-2024</t>
        </is>
      </c>
      <c r="B852" s="1" t="n">
        <v>45293.37263888889</v>
      </c>
      <c r="C852" s="1" t="n">
        <v>46106</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19-2024</t>
        </is>
      </c>
      <c r="B853" s="1" t="n">
        <v>45293</v>
      </c>
      <c r="C853" s="1" t="n">
        <v>46106</v>
      </c>
      <c r="D853" t="inlineStr">
        <is>
          <t>STOCKHOLMS LÄN</t>
        </is>
      </c>
      <c r="E853" t="inlineStr">
        <is>
          <t>NORRTÄLJE</t>
        </is>
      </c>
      <c r="G853" t="n">
        <v>0.3</v>
      </c>
      <c r="H853" t="n">
        <v>0</v>
      </c>
      <c r="I853" t="n">
        <v>0</v>
      </c>
      <c r="J853" t="n">
        <v>0</v>
      </c>
      <c r="K853" t="n">
        <v>0</v>
      </c>
      <c r="L853" t="n">
        <v>0</v>
      </c>
      <c r="M853" t="n">
        <v>0</v>
      </c>
      <c r="N853" t="n">
        <v>0</v>
      </c>
      <c r="O853" t="n">
        <v>0</v>
      </c>
      <c r="P853" t="n">
        <v>0</v>
      </c>
      <c r="Q853" t="n">
        <v>0</v>
      </c>
      <c r="R853" s="2" t="inlineStr"/>
    </row>
    <row r="854" ht="15" customHeight="1">
      <c r="A854" t="inlineStr">
        <is>
          <t>A 31559-2022</t>
        </is>
      </c>
      <c r="B854" s="1" t="n">
        <v>44775</v>
      </c>
      <c r="C854" s="1" t="n">
        <v>46106</v>
      </c>
      <c r="D854" t="inlineStr">
        <is>
          <t>STOCKHOLMS LÄN</t>
        </is>
      </c>
      <c r="E854" t="inlineStr">
        <is>
          <t>NORRTÄLJE</t>
        </is>
      </c>
      <c r="G854" t="n">
        <v>5.6</v>
      </c>
      <c r="H854" t="n">
        <v>0</v>
      </c>
      <c r="I854" t="n">
        <v>0</v>
      </c>
      <c r="J854" t="n">
        <v>0</v>
      </c>
      <c r="K854" t="n">
        <v>0</v>
      </c>
      <c r="L854" t="n">
        <v>0</v>
      </c>
      <c r="M854" t="n">
        <v>0</v>
      </c>
      <c r="N854" t="n">
        <v>0</v>
      </c>
      <c r="O854" t="n">
        <v>0</v>
      </c>
      <c r="P854" t="n">
        <v>0</v>
      </c>
      <c r="Q854" t="n">
        <v>0</v>
      </c>
      <c r="R854" s="2" t="inlineStr"/>
    </row>
    <row r="855" ht="15" customHeight="1">
      <c r="A855" t="inlineStr">
        <is>
          <t>A 8419-2025</t>
        </is>
      </c>
      <c r="B855" s="1" t="n">
        <v>45709.40231481481</v>
      </c>
      <c r="C855" s="1" t="n">
        <v>46106</v>
      </c>
      <c r="D855" t="inlineStr">
        <is>
          <t>STOCKHOLMS LÄN</t>
        </is>
      </c>
      <c r="E855" t="inlineStr">
        <is>
          <t>NORRTÄLJE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35161-2022</t>
        </is>
      </c>
      <c r="B856" s="1" t="n">
        <v>44797</v>
      </c>
      <c r="C856" s="1" t="n">
        <v>46106</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58989-2021</t>
        </is>
      </c>
      <c r="B857" s="1" t="n">
        <v>44490.02482638889</v>
      </c>
      <c r="C857" s="1" t="n">
        <v>46106</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46988-2024</t>
        </is>
      </c>
      <c r="B858" s="1" t="n">
        <v>45586</v>
      </c>
      <c r="C858" s="1" t="n">
        <v>46106</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21529-2021</t>
        </is>
      </c>
      <c r="B859" s="1" t="n">
        <v>44321</v>
      </c>
      <c r="C859" s="1" t="n">
        <v>46106</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13701-2022</t>
        </is>
      </c>
      <c r="B860" s="1" t="n">
        <v>44648</v>
      </c>
      <c r="C860" s="1" t="n">
        <v>46106</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14132-2025</t>
        </is>
      </c>
      <c r="B861" s="1" t="n">
        <v>45740.47550925926</v>
      </c>
      <c r="C861" s="1" t="n">
        <v>46106</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14133-2025</t>
        </is>
      </c>
      <c r="B862" s="1" t="n">
        <v>45740.47724537037</v>
      </c>
      <c r="C862" s="1" t="n">
        <v>46106</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8792-2025</t>
        </is>
      </c>
      <c r="B863" s="1" t="n">
        <v>45712</v>
      </c>
      <c r="C863" s="1" t="n">
        <v>46106</v>
      </c>
      <c r="D863" t="inlineStr">
        <is>
          <t>STOCKHOLMS LÄN</t>
        </is>
      </c>
      <c r="E863" t="inlineStr">
        <is>
          <t>NORRTÄLJE</t>
        </is>
      </c>
      <c r="F863" t="inlineStr">
        <is>
          <t>Övriga Aktiebolag</t>
        </is>
      </c>
      <c r="G863" t="n">
        <v>6.6</v>
      </c>
      <c r="H863" t="n">
        <v>0</v>
      </c>
      <c r="I863" t="n">
        <v>0</v>
      </c>
      <c r="J863" t="n">
        <v>0</v>
      </c>
      <c r="K863" t="n">
        <v>0</v>
      </c>
      <c r="L863" t="n">
        <v>0</v>
      </c>
      <c r="M863" t="n">
        <v>0</v>
      </c>
      <c r="N863" t="n">
        <v>0</v>
      </c>
      <c r="O863" t="n">
        <v>0</v>
      </c>
      <c r="P863" t="n">
        <v>0</v>
      </c>
      <c r="Q863" t="n">
        <v>0</v>
      </c>
      <c r="R863" s="2" t="inlineStr"/>
    </row>
    <row r="864" ht="15" customHeight="1">
      <c r="A864" t="inlineStr">
        <is>
          <t>A 8489-2026</t>
        </is>
      </c>
      <c r="B864" s="1" t="n">
        <v>46065.48268518518</v>
      </c>
      <c r="C864" s="1" t="n">
        <v>46106</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24887-2023</t>
        </is>
      </c>
      <c r="B865" s="1" t="n">
        <v>45085</v>
      </c>
      <c r="C865" s="1" t="n">
        <v>46106</v>
      </c>
      <c r="D865" t="inlineStr">
        <is>
          <t>STOCKHOLMS LÄN</t>
        </is>
      </c>
      <c r="E865" t="inlineStr">
        <is>
          <t>NORRTÄLJE</t>
        </is>
      </c>
      <c r="G865" t="n">
        <v>13.9</v>
      </c>
      <c r="H865" t="n">
        <v>0</v>
      </c>
      <c r="I865" t="n">
        <v>0</v>
      </c>
      <c r="J865" t="n">
        <v>0</v>
      </c>
      <c r="K865" t="n">
        <v>0</v>
      </c>
      <c r="L865" t="n">
        <v>0</v>
      </c>
      <c r="M865" t="n">
        <v>0</v>
      </c>
      <c r="N865" t="n">
        <v>0</v>
      </c>
      <c r="O865" t="n">
        <v>0</v>
      </c>
      <c r="P865" t="n">
        <v>0</v>
      </c>
      <c r="Q865" t="n">
        <v>0</v>
      </c>
      <c r="R865" s="2" t="inlineStr"/>
    </row>
    <row r="866" ht="15" customHeight="1">
      <c r="A866" t="inlineStr">
        <is>
          <t>A 8410-2026</t>
        </is>
      </c>
      <c r="B866" s="1" t="n">
        <v>46065.34261574074</v>
      </c>
      <c r="C866" s="1" t="n">
        <v>46106</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8454-2026</t>
        </is>
      </c>
      <c r="B867" s="1" t="n">
        <v>46065.42506944444</v>
      </c>
      <c r="C867" s="1" t="n">
        <v>46106</v>
      </c>
      <c r="D867" t="inlineStr">
        <is>
          <t>STOCKHOLMS LÄN</t>
        </is>
      </c>
      <c r="E867" t="inlineStr">
        <is>
          <t>NORRTÄLJE</t>
        </is>
      </c>
      <c r="G867" t="n">
        <v>3.2</v>
      </c>
      <c r="H867" t="n">
        <v>0</v>
      </c>
      <c r="I867" t="n">
        <v>0</v>
      </c>
      <c r="J867" t="n">
        <v>0</v>
      </c>
      <c r="K867" t="n">
        <v>0</v>
      </c>
      <c r="L867" t="n">
        <v>0</v>
      </c>
      <c r="M867" t="n">
        <v>0</v>
      </c>
      <c r="N867" t="n">
        <v>0</v>
      </c>
      <c r="O867" t="n">
        <v>0</v>
      </c>
      <c r="P867" t="n">
        <v>0</v>
      </c>
      <c r="Q867" t="n">
        <v>0</v>
      </c>
      <c r="R867" s="2" t="inlineStr"/>
    </row>
    <row r="868" ht="15" customHeight="1">
      <c r="A868" t="inlineStr">
        <is>
          <t>A 8465-2026</t>
        </is>
      </c>
      <c r="B868" s="1" t="n">
        <v>46065.44141203703</v>
      </c>
      <c r="C868" s="1" t="n">
        <v>46106</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38612-2022</t>
        </is>
      </c>
      <c r="B869" s="1" t="n">
        <v>44813</v>
      </c>
      <c r="C869" s="1" t="n">
        <v>46106</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197-2026</t>
        </is>
      </c>
      <c r="B870" s="1" t="n">
        <v>46026</v>
      </c>
      <c r="C870" s="1" t="n">
        <v>46106</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4326-2023</t>
        </is>
      </c>
      <c r="B871" s="1" t="n">
        <v>44953.70481481482</v>
      </c>
      <c r="C871" s="1" t="n">
        <v>46106</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124-2026</t>
        </is>
      </c>
      <c r="B872" s="1" t="n">
        <v>46024.58378472222</v>
      </c>
      <c r="C872" s="1" t="n">
        <v>46106</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54504-2024</t>
        </is>
      </c>
      <c r="B873" s="1" t="n">
        <v>45617.58453703704</v>
      </c>
      <c r="C873" s="1" t="n">
        <v>46106</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9103-2026</t>
        </is>
      </c>
      <c r="B874" s="1" t="n">
        <v>46069.65039351852</v>
      </c>
      <c r="C874" s="1" t="n">
        <v>46106</v>
      </c>
      <c r="D874" t="inlineStr">
        <is>
          <t>STOCKHOLMS LÄN</t>
        </is>
      </c>
      <c r="E874" t="inlineStr">
        <is>
          <t>NORRTÄLJE</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8962-2026</t>
        </is>
      </c>
      <c r="B875" s="1" t="n">
        <v>46069.41644675926</v>
      </c>
      <c r="C875" s="1" t="n">
        <v>46106</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8989-2026</t>
        </is>
      </c>
      <c r="B876" s="1" t="n">
        <v>46069.45789351852</v>
      </c>
      <c r="C876" s="1" t="n">
        <v>46106</v>
      </c>
      <c r="D876" t="inlineStr">
        <is>
          <t>STOCKHOLMS LÄN</t>
        </is>
      </c>
      <c r="E876" t="inlineStr">
        <is>
          <t>NORRTÄLJE</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21745-2023</t>
        </is>
      </c>
      <c r="B877" s="1" t="n">
        <v>45065.55917824074</v>
      </c>
      <c r="C877" s="1" t="n">
        <v>46106</v>
      </c>
      <c r="D877" t="inlineStr">
        <is>
          <t>STOCKHOLMS LÄN</t>
        </is>
      </c>
      <c r="E877" t="inlineStr">
        <is>
          <t>NORRTÄLJE</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21894-2023</t>
        </is>
      </c>
      <c r="B878" s="1" t="n">
        <v>45068.51783564815</v>
      </c>
      <c r="C878" s="1" t="n">
        <v>46106</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13276-2022</t>
        </is>
      </c>
      <c r="B879" s="1" t="n">
        <v>44644</v>
      </c>
      <c r="C879" s="1" t="n">
        <v>46106</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8985-2026</t>
        </is>
      </c>
      <c r="B880" s="1" t="n">
        <v>46069.45234953704</v>
      </c>
      <c r="C880" s="1" t="n">
        <v>46106</v>
      </c>
      <c r="D880" t="inlineStr">
        <is>
          <t>STOCKHOLMS LÄN</t>
        </is>
      </c>
      <c r="E880" t="inlineStr">
        <is>
          <t>NORRTÄLJE</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28182-2022</t>
        </is>
      </c>
      <c r="B881" s="1" t="n">
        <v>44746.58530092592</v>
      </c>
      <c r="C881" s="1" t="n">
        <v>46106</v>
      </c>
      <c r="D881" t="inlineStr">
        <is>
          <t>STOCKHOLMS LÄN</t>
        </is>
      </c>
      <c r="E881" t="inlineStr">
        <is>
          <t>NORRTÄLJE</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34461-2023</t>
        </is>
      </c>
      <c r="B882" s="1" t="n">
        <v>45139</v>
      </c>
      <c r="C882" s="1" t="n">
        <v>46106</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718-2026</t>
        </is>
      </c>
      <c r="B883" s="1" t="n">
        <v>46029.63174768518</v>
      </c>
      <c r="C883" s="1" t="n">
        <v>46106</v>
      </c>
      <c r="D883" t="inlineStr">
        <is>
          <t>STOCKHOLMS LÄN</t>
        </is>
      </c>
      <c r="E883" t="inlineStr">
        <is>
          <t>NORRTÄLJE</t>
        </is>
      </c>
      <c r="G883" t="n">
        <v>2.4</v>
      </c>
      <c r="H883" t="n">
        <v>0</v>
      </c>
      <c r="I883" t="n">
        <v>0</v>
      </c>
      <c r="J883" t="n">
        <v>0</v>
      </c>
      <c r="K883" t="n">
        <v>0</v>
      </c>
      <c r="L883" t="n">
        <v>0</v>
      </c>
      <c r="M883" t="n">
        <v>0</v>
      </c>
      <c r="N883" t="n">
        <v>0</v>
      </c>
      <c r="O883" t="n">
        <v>0</v>
      </c>
      <c r="P883" t="n">
        <v>0</v>
      </c>
      <c r="Q883" t="n">
        <v>0</v>
      </c>
      <c r="R883" s="2" t="inlineStr"/>
    </row>
    <row r="884" ht="15" customHeight="1">
      <c r="A884" t="inlineStr">
        <is>
          <t>A 51046-2023</t>
        </is>
      </c>
      <c r="B884" s="1" t="n">
        <v>45218</v>
      </c>
      <c r="C884" s="1" t="n">
        <v>46106</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694-2026</t>
        </is>
      </c>
      <c r="B885" s="1" t="n">
        <v>46029.61375</v>
      </c>
      <c r="C885" s="1" t="n">
        <v>46106</v>
      </c>
      <c r="D885" t="inlineStr">
        <is>
          <t>STOCKHOLMS LÄN</t>
        </is>
      </c>
      <c r="E885" t="inlineStr">
        <is>
          <t>NORRTÄLJE</t>
        </is>
      </c>
      <c r="G885" t="n">
        <v>9.6</v>
      </c>
      <c r="H885" t="n">
        <v>0</v>
      </c>
      <c r="I885" t="n">
        <v>0</v>
      </c>
      <c r="J885" t="n">
        <v>0</v>
      </c>
      <c r="K885" t="n">
        <v>0</v>
      </c>
      <c r="L885" t="n">
        <v>0</v>
      </c>
      <c r="M885" t="n">
        <v>0</v>
      </c>
      <c r="N885" t="n">
        <v>0</v>
      </c>
      <c r="O885" t="n">
        <v>0</v>
      </c>
      <c r="P885" t="n">
        <v>0</v>
      </c>
      <c r="Q885" t="n">
        <v>0</v>
      </c>
      <c r="R885" s="2" t="inlineStr"/>
    </row>
    <row r="886" ht="15" customHeight="1">
      <c r="A886" t="inlineStr">
        <is>
          <t>A 693-2026</t>
        </is>
      </c>
      <c r="B886" s="1" t="n">
        <v>46029.6133449074</v>
      </c>
      <c r="C886" s="1" t="n">
        <v>46106</v>
      </c>
      <c r="D886" t="inlineStr">
        <is>
          <t>STOCKHOLMS LÄN</t>
        </is>
      </c>
      <c r="E886" t="inlineStr">
        <is>
          <t>NORRTÄLJE</t>
        </is>
      </c>
      <c r="G886" t="n">
        <v>9.6</v>
      </c>
      <c r="H886" t="n">
        <v>0</v>
      </c>
      <c r="I886" t="n">
        <v>0</v>
      </c>
      <c r="J886" t="n">
        <v>0</v>
      </c>
      <c r="K886" t="n">
        <v>0</v>
      </c>
      <c r="L886" t="n">
        <v>0</v>
      </c>
      <c r="M886" t="n">
        <v>0</v>
      </c>
      <c r="N886" t="n">
        <v>0</v>
      </c>
      <c r="O886" t="n">
        <v>0</v>
      </c>
      <c r="P886" t="n">
        <v>0</v>
      </c>
      <c r="Q886" t="n">
        <v>0</v>
      </c>
      <c r="R886" s="2" t="inlineStr"/>
    </row>
    <row r="887" ht="15" customHeight="1">
      <c r="A887" t="inlineStr">
        <is>
          <t>A 17382-2024</t>
        </is>
      </c>
      <c r="B887" s="1" t="n">
        <v>45414.65855324074</v>
      </c>
      <c r="C887" s="1" t="n">
        <v>46106</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475-2026</t>
        </is>
      </c>
      <c r="B888" s="1" t="n">
        <v>46029.39351851852</v>
      </c>
      <c r="C888" s="1" t="n">
        <v>46106</v>
      </c>
      <c r="D888" t="inlineStr">
        <is>
          <t>STOCKHOLMS LÄN</t>
        </is>
      </c>
      <c r="E888" t="inlineStr">
        <is>
          <t>NORRTÄLJE</t>
        </is>
      </c>
      <c r="G888" t="n">
        <v>4.6</v>
      </c>
      <c r="H888" t="n">
        <v>0</v>
      </c>
      <c r="I888" t="n">
        <v>0</v>
      </c>
      <c r="J888" t="n">
        <v>0</v>
      </c>
      <c r="K888" t="n">
        <v>0</v>
      </c>
      <c r="L888" t="n">
        <v>0</v>
      </c>
      <c r="M888" t="n">
        <v>0</v>
      </c>
      <c r="N888" t="n">
        <v>0</v>
      </c>
      <c r="O888" t="n">
        <v>0</v>
      </c>
      <c r="P888" t="n">
        <v>0</v>
      </c>
      <c r="Q888" t="n">
        <v>0</v>
      </c>
      <c r="R888" s="2" t="inlineStr"/>
    </row>
    <row r="889" ht="15" customHeight="1">
      <c r="A889" t="inlineStr">
        <is>
          <t>A 6070-2022</t>
        </is>
      </c>
      <c r="B889" s="1" t="n">
        <v>44599.58428240741</v>
      </c>
      <c r="C889" s="1" t="n">
        <v>46106</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17039-2024</t>
        </is>
      </c>
      <c r="B890" s="1" t="n">
        <v>45412.4104050926</v>
      </c>
      <c r="C890" s="1" t="n">
        <v>46106</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717-2026</t>
        </is>
      </c>
      <c r="B891" s="1" t="n">
        <v>46029.63028935185</v>
      </c>
      <c r="C891" s="1" t="n">
        <v>46106</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48180-2023</t>
        </is>
      </c>
      <c r="B892" s="1" t="n">
        <v>45205</v>
      </c>
      <c r="C892" s="1" t="n">
        <v>46106</v>
      </c>
      <c r="D892" t="inlineStr">
        <is>
          <t>STOCKHOLMS LÄN</t>
        </is>
      </c>
      <c r="E892" t="inlineStr">
        <is>
          <t>NORRTÄLJE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35695-2023</t>
        </is>
      </c>
      <c r="B893" s="1" t="n">
        <v>45147.65407407407</v>
      </c>
      <c r="C893" s="1" t="n">
        <v>46106</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45173-2023</t>
        </is>
      </c>
      <c r="B894" s="1" t="n">
        <v>45191</v>
      </c>
      <c r="C894" s="1" t="n">
        <v>46106</v>
      </c>
      <c r="D894" t="inlineStr">
        <is>
          <t>STOCKHOLMS LÄN</t>
        </is>
      </c>
      <c r="E894" t="inlineStr">
        <is>
          <t>NORRTÄLJE</t>
        </is>
      </c>
      <c r="F894" t="inlineStr">
        <is>
          <t>Sveaskog</t>
        </is>
      </c>
      <c r="G894" t="n">
        <v>3.6</v>
      </c>
      <c r="H894" t="n">
        <v>0</v>
      </c>
      <c r="I894" t="n">
        <v>0</v>
      </c>
      <c r="J894" t="n">
        <v>0</v>
      </c>
      <c r="K894" t="n">
        <v>0</v>
      </c>
      <c r="L894" t="n">
        <v>0</v>
      </c>
      <c r="M894" t="n">
        <v>0</v>
      </c>
      <c r="N894" t="n">
        <v>0</v>
      </c>
      <c r="O894" t="n">
        <v>0</v>
      </c>
      <c r="P894" t="n">
        <v>0</v>
      </c>
      <c r="Q894" t="n">
        <v>0</v>
      </c>
      <c r="R894" s="2" t="inlineStr"/>
    </row>
    <row r="895" ht="15" customHeight="1">
      <c r="A895" t="inlineStr">
        <is>
          <t>A 812-2026</t>
        </is>
      </c>
      <c r="B895" s="1" t="n">
        <v>46030.33358796296</v>
      </c>
      <c r="C895" s="1" t="n">
        <v>46106</v>
      </c>
      <c r="D895" t="inlineStr">
        <is>
          <t>STOCKHOLMS LÄN</t>
        </is>
      </c>
      <c r="E895" t="inlineStr">
        <is>
          <t>NORRTÄLJE</t>
        </is>
      </c>
      <c r="G895" t="n">
        <v>2.4</v>
      </c>
      <c r="H895" t="n">
        <v>0</v>
      </c>
      <c r="I895" t="n">
        <v>0</v>
      </c>
      <c r="J895" t="n">
        <v>0</v>
      </c>
      <c r="K895" t="n">
        <v>0</v>
      </c>
      <c r="L895" t="n">
        <v>0</v>
      </c>
      <c r="M895" t="n">
        <v>0</v>
      </c>
      <c r="N895" t="n">
        <v>0</v>
      </c>
      <c r="O895" t="n">
        <v>0</v>
      </c>
      <c r="P895" t="n">
        <v>0</v>
      </c>
      <c r="Q895" t="n">
        <v>0</v>
      </c>
      <c r="R895" s="2" t="inlineStr"/>
    </row>
    <row r="896" ht="15" customHeight="1">
      <c r="A896" t="inlineStr">
        <is>
          <t>A 24705-2023</t>
        </is>
      </c>
      <c r="B896" s="1" t="n">
        <v>45084.54459490741</v>
      </c>
      <c r="C896" s="1" t="n">
        <v>46106</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21696-2024</t>
        </is>
      </c>
      <c r="B897" s="1" t="n">
        <v>45442.45686342593</v>
      </c>
      <c r="C897" s="1" t="n">
        <v>46106</v>
      </c>
      <c r="D897" t="inlineStr">
        <is>
          <t>STOCKHOLMS LÄN</t>
        </is>
      </c>
      <c r="E897" t="inlineStr">
        <is>
          <t>NORRTÄLJE</t>
        </is>
      </c>
      <c r="G897" t="n">
        <v>2.9</v>
      </c>
      <c r="H897" t="n">
        <v>0</v>
      </c>
      <c r="I897" t="n">
        <v>0</v>
      </c>
      <c r="J897" t="n">
        <v>0</v>
      </c>
      <c r="K897" t="n">
        <v>0</v>
      </c>
      <c r="L897" t="n">
        <v>0</v>
      </c>
      <c r="M897" t="n">
        <v>0</v>
      </c>
      <c r="N897" t="n">
        <v>0</v>
      </c>
      <c r="O897" t="n">
        <v>0</v>
      </c>
      <c r="P897" t="n">
        <v>0</v>
      </c>
      <c r="Q897" t="n">
        <v>0</v>
      </c>
      <c r="R897" s="2" t="inlineStr"/>
    </row>
    <row r="898" ht="15" customHeight="1">
      <c r="A898" t="inlineStr">
        <is>
          <t>A 9720-2026</t>
        </is>
      </c>
      <c r="B898" s="1" t="n">
        <v>46072.45061342593</v>
      </c>
      <c r="C898" s="1" t="n">
        <v>46106</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67990-2021</t>
        </is>
      </c>
      <c r="B899" s="1" t="n">
        <v>44525</v>
      </c>
      <c r="C899" s="1" t="n">
        <v>46106</v>
      </c>
      <c r="D899" t="inlineStr">
        <is>
          <t>STOCKHOLMS LÄN</t>
        </is>
      </c>
      <c r="E899" t="inlineStr">
        <is>
          <t>NORRTÄLJE</t>
        </is>
      </c>
      <c r="F899" t="inlineStr">
        <is>
          <t>Sveaskog</t>
        </is>
      </c>
      <c r="G899" t="n">
        <v>7.8</v>
      </c>
      <c r="H899" t="n">
        <v>0</v>
      </c>
      <c r="I899" t="n">
        <v>0</v>
      </c>
      <c r="J899" t="n">
        <v>0</v>
      </c>
      <c r="K899" t="n">
        <v>0</v>
      </c>
      <c r="L899" t="n">
        <v>0</v>
      </c>
      <c r="M899" t="n">
        <v>0</v>
      </c>
      <c r="N899" t="n">
        <v>0</v>
      </c>
      <c r="O899" t="n">
        <v>0</v>
      </c>
      <c r="P899" t="n">
        <v>0</v>
      </c>
      <c r="Q899" t="n">
        <v>0</v>
      </c>
      <c r="R899" s="2" t="inlineStr"/>
    </row>
    <row r="900" ht="15" customHeight="1">
      <c r="A900" t="inlineStr">
        <is>
          <t>A 71552-2021</t>
        </is>
      </c>
      <c r="B900" s="1" t="n">
        <v>44540</v>
      </c>
      <c r="C900" s="1" t="n">
        <v>46106</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73992-2021</t>
        </is>
      </c>
      <c r="B901" s="1" t="n">
        <v>44556</v>
      </c>
      <c r="C901" s="1" t="n">
        <v>46106</v>
      </c>
      <c r="D901" t="inlineStr">
        <is>
          <t>STOCKHOLMS LÄN</t>
        </is>
      </c>
      <c r="E901" t="inlineStr">
        <is>
          <t>NORRTÄLJE</t>
        </is>
      </c>
      <c r="G901" t="n">
        <v>12.5</v>
      </c>
      <c r="H901" t="n">
        <v>0</v>
      </c>
      <c r="I901" t="n">
        <v>0</v>
      </c>
      <c r="J901" t="n">
        <v>0</v>
      </c>
      <c r="K901" t="n">
        <v>0</v>
      </c>
      <c r="L901" t="n">
        <v>0</v>
      </c>
      <c r="M901" t="n">
        <v>0</v>
      </c>
      <c r="N901" t="n">
        <v>0</v>
      </c>
      <c r="O901" t="n">
        <v>0</v>
      </c>
      <c r="P901" t="n">
        <v>0</v>
      </c>
      <c r="Q901" t="n">
        <v>0</v>
      </c>
      <c r="R901" s="2" t="inlineStr"/>
    </row>
    <row r="902" ht="15" customHeight="1">
      <c r="A902" t="inlineStr">
        <is>
          <t>A 10399-2026</t>
        </is>
      </c>
      <c r="B902" s="1" t="n">
        <v>46077</v>
      </c>
      <c r="C902" s="1" t="n">
        <v>46106</v>
      </c>
      <c r="D902" t="inlineStr">
        <is>
          <t>STOCKHOLMS LÄN</t>
        </is>
      </c>
      <c r="E902" t="inlineStr">
        <is>
          <t>NORRTÄLJE</t>
        </is>
      </c>
      <c r="F902" t="inlineStr">
        <is>
          <t>Övriga Aktiebolag</t>
        </is>
      </c>
      <c r="G902" t="n">
        <v>0.2</v>
      </c>
      <c r="H902" t="n">
        <v>0</v>
      </c>
      <c r="I902" t="n">
        <v>0</v>
      </c>
      <c r="J902" t="n">
        <v>0</v>
      </c>
      <c r="K902" t="n">
        <v>0</v>
      </c>
      <c r="L902" t="n">
        <v>0</v>
      </c>
      <c r="M902" t="n">
        <v>0</v>
      </c>
      <c r="N902" t="n">
        <v>0</v>
      </c>
      <c r="O902" t="n">
        <v>0</v>
      </c>
      <c r="P902" t="n">
        <v>0</v>
      </c>
      <c r="Q902" t="n">
        <v>0</v>
      </c>
      <c r="R902" s="2" t="inlineStr"/>
    </row>
    <row r="903" ht="15" customHeight="1">
      <c r="A903" t="inlineStr">
        <is>
          <t>A 26113-2024</t>
        </is>
      </c>
      <c r="B903" s="1" t="n">
        <v>45468.45541666666</v>
      </c>
      <c r="C903" s="1" t="n">
        <v>46106</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26116-2024</t>
        </is>
      </c>
      <c r="B904" s="1" t="n">
        <v>45468.45747685185</v>
      </c>
      <c r="C904" s="1" t="n">
        <v>46106</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15978-2024</t>
        </is>
      </c>
      <c r="B905" s="1" t="n">
        <v>45405.57927083333</v>
      </c>
      <c r="C905" s="1" t="n">
        <v>46106</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11333-2025</t>
        </is>
      </c>
      <c r="B906" s="1" t="n">
        <v>45726.48377314815</v>
      </c>
      <c r="C906" s="1" t="n">
        <v>46106</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1755-2026</t>
        </is>
      </c>
      <c r="B907" s="1" t="n">
        <v>46034.66230324074</v>
      </c>
      <c r="C907" s="1" t="n">
        <v>46106</v>
      </c>
      <c r="D907" t="inlineStr">
        <is>
          <t>STOCKHOLMS LÄN</t>
        </is>
      </c>
      <c r="E907" t="inlineStr">
        <is>
          <t>NORRTÄLJE</t>
        </is>
      </c>
      <c r="F907" t="inlineStr">
        <is>
          <t>Holmen skog AB</t>
        </is>
      </c>
      <c r="G907" t="n">
        <v>3.5</v>
      </c>
      <c r="H907" t="n">
        <v>0</v>
      </c>
      <c r="I907" t="n">
        <v>0</v>
      </c>
      <c r="J907" t="n">
        <v>0</v>
      </c>
      <c r="K907" t="n">
        <v>0</v>
      </c>
      <c r="L907" t="n">
        <v>0</v>
      </c>
      <c r="M907" t="n">
        <v>0</v>
      </c>
      <c r="N907" t="n">
        <v>0</v>
      </c>
      <c r="O907" t="n">
        <v>0</v>
      </c>
      <c r="P907" t="n">
        <v>0</v>
      </c>
      <c r="Q907" t="n">
        <v>0</v>
      </c>
      <c r="R907" s="2" t="inlineStr"/>
    </row>
    <row r="908" ht="15" customHeight="1">
      <c r="A908" t="inlineStr">
        <is>
          <t>A 1789-2026</t>
        </is>
      </c>
      <c r="B908" s="1" t="n">
        <v>46034</v>
      </c>
      <c r="C908" s="1" t="n">
        <v>46106</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10429-2026</t>
        </is>
      </c>
      <c r="B909" s="1" t="n">
        <v>46077.3822337963</v>
      </c>
      <c r="C909" s="1" t="n">
        <v>46106</v>
      </c>
      <c r="D909" t="inlineStr">
        <is>
          <t>STOCKHOLMS LÄN</t>
        </is>
      </c>
      <c r="E909" t="inlineStr">
        <is>
          <t>NORRTÄLJE</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34391-2023</t>
        </is>
      </c>
      <c r="B910" s="1" t="n">
        <v>45139.51457175926</v>
      </c>
      <c r="C910" s="1" t="n">
        <v>46106</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10444-2026</t>
        </is>
      </c>
      <c r="B911" s="1" t="n">
        <v>46077.42230324074</v>
      </c>
      <c r="C911" s="1" t="n">
        <v>46106</v>
      </c>
      <c r="D911" t="inlineStr">
        <is>
          <t>STOCKHOLMS LÄN</t>
        </is>
      </c>
      <c r="E911" t="inlineStr">
        <is>
          <t>NORRTÄLJE</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10586-2026</t>
        </is>
      </c>
      <c r="B912" s="1" t="n">
        <v>46077.68192129629</v>
      </c>
      <c r="C912" s="1" t="n">
        <v>46106</v>
      </c>
      <c r="D912" t="inlineStr">
        <is>
          <t>STOCKHOLMS LÄN</t>
        </is>
      </c>
      <c r="E912" t="inlineStr">
        <is>
          <t>NORRTÄLJE</t>
        </is>
      </c>
      <c r="F912" t="inlineStr">
        <is>
          <t>Holmen skog AB</t>
        </is>
      </c>
      <c r="G912" t="n">
        <v>3.3</v>
      </c>
      <c r="H912" t="n">
        <v>0</v>
      </c>
      <c r="I912" t="n">
        <v>0</v>
      </c>
      <c r="J912" t="n">
        <v>0</v>
      </c>
      <c r="K912" t="n">
        <v>0</v>
      </c>
      <c r="L912" t="n">
        <v>0</v>
      </c>
      <c r="M912" t="n">
        <v>0</v>
      </c>
      <c r="N912" t="n">
        <v>0</v>
      </c>
      <c r="O912" t="n">
        <v>0</v>
      </c>
      <c r="P912" t="n">
        <v>0</v>
      </c>
      <c r="Q912" t="n">
        <v>0</v>
      </c>
      <c r="R912" s="2" t="inlineStr"/>
    </row>
    <row r="913" ht="15" customHeight="1">
      <c r="A913" t="inlineStr">
        <is>
          <t>A 10553-2026</t>
        </is>
      </c>
      <c r="B913" s="1" t="n">
        <v>46077.62944444444</v>
      </c>
      <c r="C913" s="1" t="n">
        <v>46106</v>
      </c>
      <c r="D913" t="inlineStr">
        <is>
          <t>STOCKHOLMS LÄN</t>
        </is>
      </c>
      <c r="E913" t="inlineStr">
        <is>
          <t>NORRTÄLJE</t>
        </is>
      </c>
      <c r="G913" t="n">
        <v>4.9</v>
      </c>
      <c r="H913" t="n">
        <v>0</v>
      </c>
      <c r="I913" t="n">
        <v>0</v>
      </c>
      <c r="J913" t="n">
        <v>0</v>
      </c>
      <c r="K913" t="n">
        <v>0</v>
      </c>
      <c r="L913" t="n">
        <v>0</v>
      </c>
      <c r="M913" t="n">
        <v>0</v>
      </c>
      <c r="N913" t="n">
        <v>0</v>
      </c>
      <c r="O913" t="n">
        <v>0</v>
      </c>
      <c r="P913" t="n">
        <v>0</v>
      </c>
      <c r="Q913" t="n">
        <v>0</v>
      </c>
      <c r="R913" s="2" t="inlineStr"/>
    </row>
    <row r="914" ht="15" customHeight="1">
      <c r="A914" t="inlineStr">
        <is>
          <t>A 67921-2021</t>
        </is>
      </c>
      <c r="B914" s="1" t="n">
        <v>44525</v>
      </c>
      <c r="C914" s="1" t="n">
        <v>46106</v>
      </c>
      <c r="D914" t="inlineStr">
        <is>
          <t>STOCKHOLMS LÄN</t>
        </is>
      </c>
      <c r="E914" t="inlineStr">
        <is>
          <t>NORRTÄLJE</t>
        </is>
      </c>
      <c r="G914" t="n">
        <v>6.3</v>
      </c>
      <c r="H914" t="n">
        <v>0</v>
      </c>
      <c r="I914" t="n">
        <v>0</v>
      </c>
      <c r="J914" t="n">
        <v>0</v>
      </c>
      <c r="K914" t="n">
        <v>0</v>
      </c>
      <c r="L914" t="n">
        <v>0</v>
      </c>
      <c r="M914" t="n">
        <v>0</v>
      </c>
      <c r="N914" t="n">
        <v>0</v>
      </c>
      <c r="O914" t="n">
        <v>0</v>
      </c>
      <c r="P914" t="n">
        <v>0</v>
      </c>
      <c r="Q914" t="n">
        <v>0</v>
      </c>
      <c r="R914" s="2" t="inlineStr"/>
    </row>
    <row r="915" ht="15" customHeight="1">
      <c r="A915" t="inlineStr">
        <is>
          <t>A 25681-2024</t>
        </is>
      </c>
      <c r="B915" s="1" t="n">
        <v>45463.80486111111</v>
      </c>
      <c r="C915" s="1" t="n">
        <v>46106</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2088-2026</t>
        </is>
      </c>
      <c r="B916" s="1" t="n">
        <v>46036.35909722222</v>
      </c>
      <c r="C916" s="1" t="n">
        <v>46106</v>
      </c>
      <c r="D916" t="inlineStr">
        <is>
          <t>STOCKHOLMS LÄN</t>
        </is>
      </c>
      <c r="E916" t="inlineStr">
        <is>
          <t>NORRTÄLJE</t>
        </is>
      </c>
      <c r="G916" t="n">
        <v>7</v>
      </c>
      <c r="H916" t="n">
        <v>0</v>
      </c>
      <c r="I916" t="n">
        <v>0</v>
      </c>
      <c r="J916" t="n">
        <v>0</v>
      </c>
      <c r="K916" t="n">
        <v>0</v>
      </c>
      <c r="L916" t="n">
        <v>0</v>
      </c>
      <c r="M916" t="n">
        <v>0</v>
      </c>
      <c r="N916" t="n">
        <v>0</v>
      </c>
      <c r="O916" t="n">
        <v>0</v>
      </c>
      <c r="P916" t="n">
        <v>0</v>
      </c>
      <c r="Q916" t="n">
        <v>0</v>
      </c>
      <c r="R916" s="2" t="inlineStr"/>
    </row>
    <row r="917" ht="15" customHeight="1">
      <c r="A917" t="inlineStr">
        <is>
          <t>A 58853-2024</t>
        </is>
      </c>
      <c r="B917" s="1" t="n">
        <v>45636.38974537037</v>
      </c>
      <c r="C917" s="1" t="n">
        <v>46106</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35438-2023</t>
        </is>
      </c>
      <c r="B918" s="1" t="n">
        <v>45146</v>
      </c>
      <c r="C918" s="1" t="n">
        <v>46106</v>
      </c>
      <c r="D918" t="inlineStr">
        <is>
          <t>STOCKHOLMS LÄN</t>
        </is>
      </c>
      <c r="E918" t="inlineStr">
        <is>
          <t>NORRTÄLJE</t>
        </is>
      </c>
      <c r="F918" t="inlineStr">
        <is>
          <t>Kommuner</t>
        </is>
      </c>
      <c r="G918" t="n">
        <v>1.9</v>
      </c>
      <c r="H918" t="n">
        <v>0</v>
      </c>
      <c r="I918" t="n">
        <v>0</v>
      </c>
      <c r="J918" t="n">
        <v>0</v>
      </c>
      <c r="K918" t="n">
        <v>0</v>
      </c>
      <c r="L918" t="n">
        <v>0</v>
      </c>
      <c r="M918" t="n">
        <v>0</v>
      </c>
      <c r="N918" t="n">
        <v>0</v>
      </c>
      <c r="O918" t="n">
        <v>0</v>
      </c>
      <c r="P918" t="n">
        <v>0</v>
      </c>
      <c r="Q918" t="n">
        <v>0</v>
      </c>
      <c r="R918" s="2" t="inlineStr"/>
    </row>
    <row r="919" ht="15" customHeight="1">
      <c r="A919" t="inlineStr">
        <is>
          <t>A 20291-2022</t>
        </is>
      </c>
      <c r="B919" s="1" t="n">
        <v>44698</v>
      </c>
      <c r="C919" s="1" t="n">
        <v>46106</v>
      </c>
      <c r="D919" t="inlineStr">
        <is>
          <t>STOCKHOLMS LÄN</t>
        </is>
      </c>
      <c r="E919" t="inlineStr">
        <is>
          <t>NORRTÄLJE</t>
        </is>
      </c>
      <c r="F919" t="inlineStr">
        <is>
          <t>Naturvårdsverket</t>
        </is>
      </c>
      <c r="G919" t="n">
        <v>2</v>
      </c>
      <c r="H919" t="n">
        <v>0</v>
      </c>
      <c r="I919" t="n">
        <v>0</v>
      </c>
      <c r="J919" t="n">
        <v>0</v>
      </c>
      <c r="K919" t="n">
        <v>0</v>
      </c>
      <c r="L919" t="n">
        <v>0</v>
      </c>
      <c r="M919" t="n">
        <v>0</v>
      </c>
      <c r="N919" t="n">
        <v>0</v>
      </c>
      <c r="O919" t="n">
        <v>0</v>
      </c>
      <c r="P919" t="n">
        <v>0</v>
      </c>
      <c r="Q919" t="n">
        <v>0</v>
      </c>
      <c r="R919" s="2" t="inlineStr"/>
    </row>
    <row r="920" ht="15" customHeight="1">
      <c r="A920" t="inlineStr">
        <is>
          <t>A 26115-2024</t>
        </is>
      </c>
      <c r="B920" s="1" t="n">
        <v>45468.45628472222</v>
      </c>
      <c r="C920" s="1" t="n">
        <v>46106</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2116-2026</t>
        </is>
      </c>
      <c r="B921" s="1" t="n">
        <v>46036.38108796296</v>
      </c>
      <c r="C921" s="1" t="n">
        <v>46106</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10646-2026</t>
        </is>
      </c>
      <c r="B922" s="1" t="n">
        <v>46078.34157407407</v>
      </c>
      <c r="C922" s="1" t="n">
        <v>46106</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19118-2022</t>
        </is>
      </c>
      <c r="B923" s="1" t="n">
        <v>44691.5652662037</v>
      </c>
      <c r="C923" s="1" t="n">
        <v>46106</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8739-2024</t>
        </is>
      </c>
      <c r="B924" s="1" t="n">
        <v>45356.47784722222</v>
      </c>
      <c r="C924" s="1" t="n">
        <v>46106</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38759-2022</t>
        </is>
      </c>
      <c r="B925" s="1" t="n">
        <v>44816</v>
      </c>
      <c r="C925" s="1" t="n">
        <v>46106</v>
      </c>
      <c r="D925" t="inlineStr">
        <is>
          <t>STOCKHOLMS LÄN</t>
        </is>
      </c>
      <c r="E925" t="inlineStr">
        <is>
          <t>NORRTÄLJE</t>
        </is>
      </c>
      <c r="G925" t="n">
        <v>2.8</v>
      </c>
      <c r="H925" t="n">
        <v>0</v>
      </c>
      <c r="I925" t="n">
        <v>0</v>
      </c>
      <c r="J925" t="n">
        <v>0</v>
      </c>
      <c r="K925" t="n">
        <v>0</v>
      </c>
      <c r="L925" t="n">
        <v>0</v>
      </c>
      <c r="M925" t="n">
        <v>0</v>
      </c>
      <c r="N925" t="n">
        <v>0</v>
      </c>
      <c r="O925" t="n">
        <v>0</v>
      </c>
      <c r="P925" t="n">
        <v>0</v>
      </c>
      <c r="Q925" t="n">
        <v>0</v>
      </c>
      <c r="R925" s="2" t="inlineStr"/>
    </row>
    <row r="926" ht="15" customHeight="1">
      <c r="A926" t="inlineStr">
        <is>
          <t>A 32857-2021</t>
        </is>
      </c>
      <c r="B926" s="1" t="n">
        <v>44375</v>
      </c>
      <c r="C926" s="1" t="n">
        <v>46106</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29714-2023</t>
        </is>
      </c>
      <c r="B927" s="1" t="n">
        <v>45107.42538194444</v>
      </c>
      <c r="C927" s="1" t="n">
        <v>46106</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23271-2023</t>
        </is>
      </c>
      <c r="B928" s="1" t="n">
        <v>45075.91362268518</v>
      </c>
      <c r="C928" s="1" t="n">
        <v>46106</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23273-2023</t>
        </is>
      </c>
      <c r="B929" s="1" t="n">
        <v>45075.91971064815</v>
      </c>
      <c r="C929" s="1" t="n">
        <v>46106</v>
      </c>
      <c r="D929" t="inlineStr">
        <is>
          <t>STOCKHOLMS LÄN</t>
        </is>
      </c>
      <c r="E929" t="inlineStr">
        <is>
          <t>NORRTÄLJE</t>
        </is>
      </c>
      <c r="G929" t="n">
        <v>7.5</v>
      </c>
      <c r="H929" t="n">
        <v>0</v>
      </c>
      <c r="I929" t="n">
        <v>0</v>
      </c>
      <c r="J929" t="n">
        <v>0</v>
      </c>
      <c r="K929" t="n">
        <v>0</v>
      </c>
      <c r="L929" t="n">
        <v>0</v>
      </c>
      <c r="M929" t="n">
        <v>0</v>
      </c>
      <c r="N929" t="n">
        <v>0</v>
      </c>
      <c r="O929" t="n">
        <v>0</v>
      </c>
      <c r="P929" t="n">
        <v>0</v>
      </c>
      <c r="Q929" t="n">
        <v>0</v>
      </c>
      <c r="R929" s="2" t="inlineStr"/>
    </row>
    <row r="930" ht="15" customHeight="1">
      <c r="A930" t="inlineStr">
        <is>
          <t>A 7603-2025</t>
        </is>
      </c>
      <c r="B930" s="1" t="n">
        <v>45705.66126157407</v>
      </c>
      <c r="C930" s="1" t="n">
        <v>46106</v>
      </c>
      <c r="D930" t="inlineStr">
        <is>
          <t>STOCKHOLMS LÄN</t>
        </is>
      </c>
      <c r="E930" t="inlineStr">
        <is>
          <t>NORRTÄLJE</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3549-2026</t>
        </is>
      </c>
      <c r="B931" s="1" t="n">
        <v>46042</v>
      </c>
      <c r="C931" s="1" t="n">
        <v>46106</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30802-2022</t>
        </is>
      </c>
      <c r="B932" s="1" t="n">
        <v>44764</v>
      </c>
      <c r="C932" s="1" t="n">
        <v>46106</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55369-2023</t>
        </is>
      </c>
      <c r="B933" s="1" t="n">
        <v>45238</v>
      </c>
      <c r="C933" s="1" t="n">
        <v>46106</v>
      </c>
      <c r="D933" t="inlineStr">
        <is>
          <t>STOCKHOLMS LÄN</t>
        </is>
      </c>
      <c r="E933" t="inlineStr">
        <is>
          <t>NORRTÄLJE</t>
        </is>
      </c>
      <c r="G933" t="n">
        <v>0.4</v>
      </c>
      <c r="H933" t="n">
        <v>0</v>
      </c>
      <c r="I933" t="n">
        <v>0</v>
      </c>
      <c r="J933" t="n">
        <v>0</v>
      </c>
      <c r="K933" t="n">
        <v>0</v>
      </c>
      <c r="L933" t="n">
        <v>0</v>
      </c>
      <c r="M933" t="n">
        <v>0</v>
      </c>
      <c r="N933" t="n">
        <v>0</v>
      </c>
      <c r="O933" t="n">
        <v>0</v>
      </c>
      <c r="P933" t="n">
        <v>0</v>
      </c>
      <c r="Q933" t="n">
        <v>0</v>
      </c>
      <c r="R933" s="2" t="inlineStr"/>
    </row>
    <row r="934" ht="15" customHeight="1">
      <c r="A934" t="inlineStr">
        <is>
          <t>A 61113-2023</t>
        </is>
      </c>
      <c r="B934" s="1" t="n">
        <v>45261</v>
      </c>
      <c r="C934" s="1" t="n">
        <v>46106</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3283-2025</t>
        </is>
      </c>
      <c r="B935" s="1" t="n">
        <v>45679</v>
      </c>
      <c r="C935" s="1" t="n">
        <v>46106</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11648-2026</t>
        </is>
      </c>
      <c r="B936" s="1" t="n">
        <v>46084.51575231482</v>
      </c>
      <c r="C936" s="1" t="n">
        <v>46106</v>
      </c>
      <c r="D936" t="inlineStr">
        <is>
          <t>STOCKHOLMS LÄN</t>
        </is>
      </c>
      <c r="E936" t="inlineStr">
        <is>
          <t>NORRTÄLJE</t>
        </is>
      </c>
      <c r="G936" t="n">
        <v>4.1</v>
      </c>
      <c r="H936" t="n">
        <v>0</v>
      </c>
      <c r="I936" t="n">
        <v>0</v>
      </c>
      <c r="J936" t="n">
        <v>0</v>
      </c>
      <c r="K936" t="n">
        <v>0</v>
      </c>
      <c r="L936" t="n">
        <v>0</v>
      </c>
      <c r="M936" t="n">
        <v>0</v>
      </c>
      <c r="N936" t="n">
        <v>0</v>
      </c>
      <c r="O936" t="n">
        <v>0</v>
      </c>
      <c r="P936" t="n">
        <v>0</v>
      </c>
      <c r="Q936" t="n">
        <v>0</v>
      </c>
      <c r="R936" s="2" t="inlineStr"/>
    </row>
    <row r="937" ht="15" customHeight="1">
      <c r="A937" t="inlineStr">
        <is>
          <t>A 34295-2024</t>
        </is>
      </c>
      <c r="B937" s="1" t="n">
        <v>45524</v>
      </c>
      <c r="C937" s="1" t="n">
        <v>46106</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58311-2023</t>
        </is>
      </c>
      <c r="B938" s="1" t="n">
        <v>45245</v>
      </c>
      <c r="C938" s="1" t="n">
        <v>46106</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23692-2024</t>
        </is>
      </c>
      <c r="B939" s="1" t="n">
        <v>45454.65774305556</v>
      </c>
      <c r="C939" s="1" t="n">
        <v>46106</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4227-2026</t>
        </is>
      </c>
      <c r="B940" s="1" t="n">
        <v>46044</v>
      </c>
      <c r="C940" s="1" t="n">
        <v>46106</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20473-2021</t>
        </is>
      </c>
      <c r="B941" s="1" t="n">
        <v>44315</v>
      </c>
      <c r="C941" s="1" t="n">
        <v>46106</v>
      </c>
      <c r="D941" t="inlineStr">
        <is>
          <t>STOCKHOLMS LÄN</t>
        </is>
      </c>
      <c r="E941" t="inlineStr">
        <is>
          <t>NORRTÄLJE</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12234-2026</t>
        </is>
      </c>
      <c r="B942" s="1" t="n">
        <v>46087.4091087963</v>
      </c>
      <c r="C942" s="1" t="n">
        <v>46106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54273-2021</t>
        </is>
      </c>
      <c r="B943" s="1" t="n">
        <v>44470.72987268519</v>
      </c>
      <c r="C943" s="1" t="n">
        <v>46106</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4230-2026</t>
        </is>
      </c>
      <c r="B944" s="1" t="n">
        <v>46044.89366898148</v>
      </c>
      <c r="C944" s="1" t="n">
        <v>46106</v>
      </c>
      <c r="D944" t="inlineStr">
        <is>
          <t>STOCKHOLMS LÄN</t>
        </is>
      </c>
      <c r="E944" t="inlineStr">
        <is>
          <t>NORRTÄLJE</t>
        </is>
      </c>
      <c r="G944" t="n">
        <v>10.8</v>
      </c>
      <c r="H944" t="n">
        <v>0</v>
      </c>
      <c r="I944" t="n">
        <v>0</v>
      </c>
      <c r="J944" t="n">
        <v>0</v>
      </c>
      <c r="K944" t="n">
        <v>0</v>
      </c>
      <c r="L944" t="n">
        <v>0</v>
      </c>
      <c r="M944" t="n">
        <v>0</v>
      </c>
      <c r="N944" t="n">
        <v>0</v>
      </c>
      <c r="O944" t="n">
        <v>0</v>
      </c>
      <c r="P944" t="n">
        <v>0</v>
      </c>
      <c r="Q944" t="n">
        <v>0</v>
      </c>
      <c r="R944" s="2" t="inlineStr"/>
    </row>
    <row r="945" ht="15" customHeight="1">
      <c r="A945" t="inlineStr">
        <is>
          <t>A 4231-2026</t>
        </is>
      </c>
      <c r="B945" s="1" t="n">
        <v>46044</v>
      </c>
      <c r="C945" s="1" t="n">
        <v>46106</v>
      </c>
      <c r="D945" t="inlineStr">
        <is>
          <t>STOCKHOLMS LÄN</t>
        </is>
      </c>
      <c r="E945" t="inlineStr">
        <is>
          <t>NORRTÄLJE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4232-2026</t>
        </is>
      </c>
      <c r="B946" s="1" t="n">
        <v>46044.89594907407</v>
      </c>
      <c r="C946" s="1" t="n">
        <v>46106</v>
      </c>
      <c r="D946" t="inlineStr">
        <is>
          <t>STOCKHOLMS LÄN</t>
        </is>
      </c>
      <c r="E946" t="inlineStr">
        <is>
          <t>NORRTÄLJE</t>
        </is>
      </c>
      <c r="G946" t="n">
        <v>3.8</v>
      </c>
      <c r="H946" t="n">
        <v>0</v>
      </c>
      <c r="I946" t="n">
        <v>0</v>
      </c>
      <c r="J946" t="n">
        <v>0</v>
      </c>
      <c r="K946" t="n">
        <v>0</v>
      </c>
      <c r="L946" t="n">
        <v>0</v>
      </c>
      <c r="M946" t="n">
        <v>0</v>
      </c>
      <c r="N946" t="n">
        <v>0</v>
      </c>
      <c r="O946" t="n">
        <v>0</v>
      </c>
      <c r="P946" t="n">
        <v>0</v>
      </c>
      <c r="Q946" t="n">
        <v>0</v>
      </c>
      <c r="R946" s="2" t="inlineStr"/>
    </row>
    <row r="947" ht="15" customHeight="1">
      <c r="A947" t="inlineStr">
        <is>
          <t>A 3933-2026</t>
        </is>
      </c>
      <c r="B947" s="1" t="n">
        <v>46043.79916666666</v>
      </c>
      <c r="C947" s="1" t="n">
        <v>46106</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4235-2026</t>
        </is>
      </c>
      <c r="B948" s="1" t="n">
        <v>46044</v>
      </c>
      <c r="C948" s="1" t="n">
        <v>46106</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7806-2025</t>
        </is>
      </c>
      <c r="B949" s="1" t="n">
        <v>45706.61178240741</v>
      </c>
      <c r="C949" s="1" t="n">
        <v>46106</v>
      </c>
      <c r="D949" t="inlineStr">
        <is>
          <t>STOCKHOLMS LÄN</t>
        </is>
      </c>
      <c r="E949" t="inlineStr">
        <is>
          <t>NORRTÄLJE</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53792-2023</t>
        </is>
      </c>
      <c r="B950" s="1" t="n">
        <v>45231.34144675926</v>
      </c>
      <c r="C950" s="1" t="n">
        <v>46106</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12718-2026</t>
        </is>
      </c>
      <c r="B951" s="1" t="n">
        <v>46091.60412037037</v>
      </c>
      <c r="C951" s="1" t="n">
        <v>46106</v>
      </c>
      <c r="D951" t="inlineStr">
        <is>
          <t>STOCKHOLMS LÄN</t>
        </is>
      </c>
      <c r="E951" t="inlineStr">
        <is>
          <t>NORRTÄLJE</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12703-2026</t>
        </is>
      </c>
      <c r="B952" s="1" t="n">
        <v>46091.58175925926</v>
      </c>
      <c r="C952" s="1" t="n">
        <v>46106</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21329-2022</t>
        </is>
      </c>
      <c r="B953" s="1" t="n">
        <v>44705.60626157407</v>
      </c>
      <c r="C953" s="1" t="n">
        <v>46106</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50569-2022</t>
        </is>
      </c>
      <c r="B954" s="1" t="n">
        <v>44866.63775462963</v>
      </c>
      <c r="C954" s="1" t="n">
        <v>46106</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24501-2023</t>
        </is>
      </c>
      <c r="B955" s="1" t="n">
        <v>45082</v>
      </c>
      <c r="C955" s="1" t="n">
        <v>46106</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24520-2023</t>
        </is>
      </c>
      <c r="B956" s="1" t="n">
        <v>45082.68922453704</v>
      </c>
      <c r="C956" s="1" t="n">
        <v>46106</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4549-2026</t>
        </is>
      </c>
      <c r="B957" s="1" t="n">
        <v>46047</v>
      </c>
      <c r="C957" s="1" t="n">
        <v>46106</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60654-2023</t>
        </is>
      </c>
      <c r="B958" s="1" t="n">
        <v>45260.43225694444</v>
      </c>
      <c r="C958" s="1" t="n">
        <v>46106</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60656-2023</t>
        </is>
      </c>
      <c r="B959" s="1" t="n">
        <v>45260.4333449074</v>
      </c>
      <c r="C959" s="1" t="n">
        <v>46106</v>
      </c>
      <c r="D959" t="inlineStr">
        <is>
          <t>STOCKHOLMS LÄN</t>
        </is>
      </c>
      <c r="E959" t="inlineStr">
        <is>
          <t>NORRTÄLJE</t>
        </is>
      </c>
      <c r="G959" t="n">
        <v>4.8</v>
      </c>
      <c r="H959" t="n">
        <v>0</v>
      </c>
      <c r="I959" t="n">
        <v>0</v>
      </c>
      <c r="J959" t="n">
        <v>0</v>
      </c>
      <c r="K959" t="n">
        <v>0</v>
      </c>
      <c r="L959" t="n">
        <v>0</v>
      </c>
      <c r="M959" t="n">
        <v>0</v>
      </c>
      <c r="N959" t="n">
        <v>0</v>
      </c>
      <c r="O959" t="n">
        <v>0</v>
      </c>
      <c r="P959" t="n">
        <v>0</v>
      </c>
      <c r="Q959" t="n">
        <v>0</v>
      </c>
      <c r="R959" s="2" t="inlineStr"/>
    </row>
    <row r="960" ht="15" customHeight="1">
      <c r="A960" t="inlineStr">
        <is>
          <t>A 54496-2024</t>
        </is>
      </c>
      <c r="B960" s="1" t="n">
        <v>45617.57439814815</v>
      </c>
      <c r="C960" s="1" t="n">
        <v>46106</v>
      </c>
      <c r="D960" t="inlineStr">
        <is>
          <t>STOCKHOLMS LÄN</t>
        </is>
      </c>
      <c r="E960" t="inlineStr">
        <is>
          <t>NORRTÄLJE</t>
        </is>
      </c>
      <c r="G960" t="n">
        <v>2.2</v>
      </c>
      <c r="H960" t="n">
        <v>0</v>
      </c>
      <c r="I960" t="n">
        <v>0</v>
      </c>
      <c r="J960" t="n">
        <v>0</v>
      </c>
      <c r="K960" t="n">
        <v>0</v>
      </c>
      <c r="L960" t="n">
        <v>0</v>
      </c>
      <c r="M960" t="n">
        <v>0</v>
      </c>
      <c r="N960" t="n">
        <v>0</v>
      </c>
      <c r="O960" t="n">
        <v>0</v>
      </c>
      <c r="P960" t="n">
        <v>0</v>
      </c>
      <c r="Q960" t="n">
        <v>0</v>
      </c>
      <c r="R960" s="2" t="inlineStr"/>
    </row>
    <row r="961" ht="15" customHeight="1">
      <c r="A961" t="inlineStr">
        <is>
          <t>A 21386-2023</t>
        </is>
      </c>
      <c r="B961" s="1" t="n">
        <v>45063.35880787037</v>
      </c>
      <c r="C961" s="1" t="n">
        <v>46106</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10642-2025</t>
        </is>
      </c>
      <c r="B962" s="1" t="n">
        <v>45721.65858796296</v>
      </c>
      <c r="C962" s="1" t="n">
        <v>46106</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20144-2023</t>
        </is>
      </c>
      <c r="B963" s="1" t="n">
        <v>45055.43509259259</v>
      </c>
      <c r="C963" s="1" t="n">
        <v>46106</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53312-2024</t>
        </is>
      </c>
      <c r="B964" s="1" t="n">
        <v>45614.39627314815</v>
      </c>
      <c r="C964" s="1" t="n">
        <v>46106</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39202-2024</t>
        </is>
      </c>
      <c r="B965" s="1" t="n">
        <v>45548.72306712963</v>
      </c>
      <c r="C965" s="1" t="n">
        <v>46106</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4886-2026</t>
        </is>
      </c>
      <c r="B966" s="1" t="n">
        <v>46048.66328703704</v>
      </c>
      <c r="C966" s="1" t="n">
        <v>46106</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22756-2022</t>
        </is>
      </c>
      <c r="B967" s="1" t="n">
        <v>44714.92253472222</v>
      </c>
      <c r="C967" s="1" t="n">
        <v>46106</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4581-2025</t>
        </is>
      </c>
      <c r="B968" s="1" t="n">
        <v>45687</v>
      </c>
      <c r="C968" s="1" t="n">
        <v>46106</v>
      </c>
      <c r="D968" t="inlineStr">
        <is>
          <t>STOCKHOLMS LÄN</t>
        </is>
      </c>
      <c r="E968" t="inlineStr">
        <is>
          <t>NORRTÄLJE</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13109-2026</t>
        </is>
      </c>
      <c r="B969" s="1" t="n">
        <v>46093.42730324074</v>
      </c>
      <c r="C969" s="1" t="n">
        <v>46106</v>
      </c>
      <c r="D969" t="inlineStr">
        <is>
          <t>STOCKHOLMS LÄN</t>
        </is>
      </c>
      <c r="E969" t="inlineStr">
        <is>
          <t>NORRTÄLJE</t>
        </is>
      </c>
      <c r="G969" t="n">
        <v>4</v>
      </c>
      <c r="H969" t="n">
        <v>0</v>
      </c>
      <c r="I969" t="n">
        <v>0</v>
      </c>
      <c r="J969" t="n">
        <v>0</v>
      </c>
      <c r="K969" t="n">
        <v>0</v>
      </c>
      <c r="L969" t="n">
        <v>0</v>
      </c>
      <c r="M969" t="n">
        <v>0</v>
      </c>
      <c r="N969" t="n">
        <v>0</v>
      </c>
      <c r="O969" t="n">
        <v>0</v>
      </c>
      <c r="P969" t="n">
        <v>0</v>
      </c>
      <c r="Q969" t="n">
        <v>0</v>
      </c>
      <c r="R969" s="2" t="inlineStr"/>
    </row>
    <row r="970" ht="15" customHeight="1">
      <c r="A970" t="inlineStr">
        <is>
          <t>A 13204-2026</t>
        </is>
      </c>
      <c r="B970" s="1" t="n">
        <v>46093.60788194444</v>
      </c>
      <c r="C970" s="1" t="n">
        <v>46106</v>
      </c>
      <c r="D970" t="inlineStr">
        <is>
          <t>STOCKHOLMS LÄN</t>
        </is>
      </c>
      <c r="E970" t="inlineStr">
        <is>
          <t>NORRTÄLJE</t>
        </is>
      </c>
      <c r="G970" t="n">
        <v>3.5</v>
      </c>
      <c r="H970" t="n">
        <v>0</v>
      </c>
      <c r="I970" t="n">
        <v>0</v>
      </c>
      <c r="J970" t="n">
        <v>0</v>
      </c>
      <c r="K970" t="n">
        <v>0</v>
      </c>
      <c r="L970" t="n">
        <v>0</v>
      </c>
      <c r="M970" t="n">
        <v>0</v>
      </c>
      <c r="N970" t="n">
        <v>0</v>
      </c>
      <c r="O970" t="n">
        <v>0</v>
      </c>
      <c r="P970" t="n">
        <v>0</v>
      </c>
      <c r="Q970" t="n">
        <v>0</v>
      </c>
      <c r="R970" s="2" t="inlineStr"/>
    </row>
    <row r="971" ht="15" customHeight="1">
      <c r="A971" t="inlineStr">
        <is>
          <t>A 60765-2023</t>
        </is>
      </c>
      <c r="B971" s="1" t="n">
        <v>45260</v>
      </c>
      <c r="C971" s="1" t="n">
        <v>46106</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23801-2022</t>
        </is>
      </c>
      <c r="B972" s="1" t="n">
        <v>44722</v>
      </c>
      <c r="C972" s="1" t="n">
        <v>46106</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59276-2023</t>
        </is>
      </c>
      <c r="B973" s="1" t="n">
        <v>45253.55641203704</v>
      </c>
      <c r="C973" s="1" t="n">
        <v>46106</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46106</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18541-2023</t>
        </is>
      </c>
      <c r="B975" s="1" t="n">
        <v>45042.74291666667</v>
      </c>
      <c r="C975" s="1" t="n">
        <v>46106</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5226-2026</t>
        </is>
      </c>
      <c r="B976" s="1" t="n">
        <v>46049.79961805556</v>
      </c>
      <c r="C976" s="1" t="n">
        <v>46106</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13122-2026</t>
        </is>
      </c>
      <c r="B977" s="1" t="n">
        <v>46093.45657407407</v>
      </c>
      <c r="C977" s="1" t="n">
        <v>46106</v>
      </c>
      <c r="D977" t="inlineStr">
        <is>
          <t>STOCKHOLMS LÄN</t>
        </is>
      </c>
      <c r="E977" t="inlineStr">
        <is>
          <t>NORRTÄLJE</t>
        </is>
      </c>
      <c r="G977" t="n">
        <v>4</v>
      </c>
      <c r="H977" t="n">
        <v>0</v>
      </c>
      <c r="I977" t="n">
        <v>0</v>
      </c>
      <c r="J977" t="n">
        <v>0</v>
      </c>
      <c r="K977" t="n">
        <v>0</v>
      </c>
      <c r="L977" t="n">
        <v>0</v>
      </c>
      <c r="M977" t="n">
        <v>0</v>
      </c>
      <c r="N977" t="n">
        <v>0</v>
      </c>
      <c r="O977" t="n">
        <v>0</v>
      </c>
      <c r="P977" t="n">
        <v>0</v>
      </c>
      <c r="Q977" t="n">
        <v>0</v>
      </c>
      <c r="R977" s="2" t="inlineStr"/>
    </row>
    <row r="978" ht="15" customHeight="1">
      <c r="A978" t="inlineStr">
        <is>
          <t>A 3509-2022</t>
        </is>
      </c>
      <c r="B978" s="1" t="n">
        <v>44585</v>
      </c>
      <c r="C978" s="1" t="n">
        <v>46106</v>
      </c>
      <c r="D978" t="inlineStr">
        <is>
          <t>STOCKHOLMS LÄN</t>
        </is>
      </c>
      <c r="E978" t="inlineStr">
        <is>
          <t>NORRTÄLJE</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26407-2024</t>
        </is>
      </c>
      <c r="B979" s="1" t="n">
        <v>45469</v>
      </c>
      <c r="C979" s="1" t="n">
        <v>46106</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12890-2024</t>
        </is>
      </c>
      <c r="B980" s="1" t="n">
        <v>45385.36243055556</v>
      </c>
      <c r="C980" s="1" t="n">
        <v>46106</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5224-2026</t>
        </is>
      </c>
      <c r="B981" s="1" t="n">
        <v>46049.79521990741</v>
      </c>
      <c r="C981" s="1" t="n">
        <v>46106</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5227-2026</t>
        </is>
      </c>
      <c r="B982" s="1" t="n">
        <v>46049.80460648148</v>
      </c>
      <c r="C982" s="1" t="n">
        <v>46106</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5241-2026</t>
        </is>
      </c>
      <c r="B983" s="1" t="n">
        <v>46049.86471064815</v>
      </c>
      <c r="C983" s="1" t="n">
        <v>46106</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47419-2023</t>
        </is>
      </c>
      <c r="B984" s="1" t="n">
        <v>45202.65660879629</v>
      </c>
      <c r="C984" s="1" t="n">
        <v>46106</v>
      </c>
      <c r="D984" t="inlineStr">
        <is>
          <t>STOCKHOLMS LÄN</t>
        </is>
      </c>
      <c r="E984" t="inlineStr">
        <is>
          <t>NORRTÄLJE</t>
        </is>
      </c>
      <c r="G984" t="n">
        <v>11.4</v>
      </c>
      <c r="H984" t="n">
        <v>0</v>
      </c>
      <c r="I984" t="n">
        <v>0</v>
      </c>
      <c r="J984" t="n">
        <v>0</v>
      </c>
      <c r="K984" t="n">
        <v>0</v>
      </c>
      <c r="L984" t="n">
        <v>0</v>
      </c>
      <c r="M984" t="n">
        <v>0</v>
      </c>
      <c r="N984" t="n">
        <v>0</v>
      </c>
      <c r="O984" t="n">
        <v>0</v>
      </c>
      <c r="P984" t="n">
        <v>0</v>
      </c>
      <c r="Q984" t="n">
        <v>0</v>
      </c>
      <c r="R984" s="2" t="inlineStr"/>
    </row>
    <row r="985" ht="15" customHeight="1">
      <c r="A985" t="inlineStr">
        <is>
          <t>A 23070-2023</t>
        </is>
      </c>
      <c r="B985" s="1" t="n">
        <v>45075</v>
      </c>
      <c r="C985" s="1" t="n">
        <v>46106</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27824-2022</t>
        </is>
      </c>
      <c r="B986" s="1" t="n">
        <v>44743.59331018518</v>
      </c>
      <c r="C986" s="1" t="n">
        <v>46106</v>
      </c>
      <c r="D986" t="inlineStr">
        <is>
          <t>STOCKHOLMS LÄN</t>
        </is>
      </c>
      <c r="E986" t="inlineStr">
        <is>
          <t>NORRTÄLJE</t>
        </is>
      </c>
      <c r="F986" t="inlineStr">
        <is>
          <t>Kommuner</t>
        </is>
      </c>
      <c r="G986" t="n">
        <v>3.1</v>
      </c>
      <c r="H986" t="n">
        <v>0</v>
      </c>
      <c r="I986" t="n">
        <v>0</v>
      </c>
      <c r="J986" t="n">
        <v>0</v>
      </c>
      <c r="K986" t="n">
        <v>0</v>
      </c>
      <c r="L986" t="n">
        <v>0</v>
      </c>
      <c r="M986" t="n">
        <v>0</v>
      </c>
      <c r="N986" t="n">
        <v>0</v>
      </c>
      <c r="O986" t="n">
        <v>0</v>
      </c>
      <c r="P986" t="n">
        <v>0</v>
      </c>
      <c r="Q986" t="n">
        <v>0</v>
      </c>
      <c r="R986" s="2" t="inlineStr"/>
    </row>
    <row r="987" ht="15" customHeight="1">
      <c r="A987" t="inlineStr">
        <is>
          <t>A 25619-2022</t>
        </is>
      </c>
      <c r="B987" s="1" t="n">
        <v>44732</v>
      </c>
      <c r="C987" s="1" t="n">
        <v>46106</v>
      </c>
      <c r="D987" t="inlineStr">
        <is>
          <t>STOCKHOLMS LÄN</t>
        </is>
      </c>
      <c r="E987" t="inlineStr">
        <is>
          <t>NORRTÄLJE</t>
        </is>
      </c>
      <c r="G987" t="n">
        <v>3.9</v>
      </c>
      <c r="H987" t="n">
        <v>0</v>
      </c>
      <c r="I987" t="n">
        <v>0</v>
      </c>
      <c r="J987" t="n">
        <v>0</v>
      </c>
      <c r="K987" t="n">
        <v>0</v>
      </c>
      <c r="L987" t="n">
        <v>0</v>
      </c>
      <c r="M987" t="n">
        <v>0</v>
      </c>
      <c r="N987" t="n">
        <v>0</v>
      </c>
      <c r="O987" t="n">
        <v>0</v>
      </c>
      <c r="P987" t="n">
        <v>0</v>
      </c>
      <c r="Q987" t="n">
        <v>0</v>
      </c>
      <c r="R987" s="2" t="inlineStr"/>
    </row>
    <row r="988" ht="15" customHeight="1">
      <c r="A988" t="inlineStr">
        <is>
          <t>A 13544-2026</t>
        </is>
      </c>
      <c r="B988" s="1" t="n">
        <v>46094.68538194444</v>
      </c>
      <c r="C988" s="1" t="n">
        <v>46106</v>
      </c>
      <c r="D988" t="inlineStr">
        <is>
          <t>STOCKHOLMS LÄN</t>
        </is>
      </c>
      <c r="E988" t="inlineStr">
        <is>
          <t>NORRTÄLJE</t>
        </is>
      </c>
      <c r="F988" t="inlineStr">
        <is>
          <t>Holmen skog AB</t>
        </is>
      </c>
      <c r="G988" t="n">
        <v>3.2</v>
      </c>
      <c r="H988" t="n">
        <v>0</v>
      </c>
      <c r="I988" t="n">
        <v>0</v>
      </c>
      <c r="J988" t="n">
        <v>0</v>
      </c>
      <c r="K988" t="n">
        <v>0</v>
      </c>
      <c r="L988" t="n">
        <v>0</v>
      </c>
      <c r="M988" t="n">
        <v>0</v>
      </c>
      <c r="N988" t="n">
        <v>0</v>
      </c>
      <c r="O988" t="n">
        <v>0</v>
      </c>
      <c r="P988" t="n">
        <v>0</v>
      </c>
      <c r="Q988" t="n">
        <v>0</v>
      </c>
      <c r="R988" s="2" t="inlineStr"/>
    </row>
    <row r="989" ht="15" customHeight="1">
      <c r="A989" t="inlineStr">
        <is>
          <t>A 39610-2025</t>
        </is>
      </c>
      <c r="B989" s="1" t="n">
        <v>45890</v>
      </c>
      <c r="C989" s="1" t="n">
        <v>46106</v>
      </c>
      <c r="D989" t="inlineStr">
        <is>
          <t>STOCKHOLMS LÄN</t>
        </is>
      </c>
      <c r="E989" t="inlineStr">
        <is>
          <t>NORRTÄLJE</t>
        </is>
      </c>
      <c r="G989" t="n">
        <v>28.6</v>
      </c>
      <c r="H989" t="n">
        <v>0</v>
      </c>
      <c r="I989" t="n">
        <v>0</v>
      </c>
      <c r="J989" t="n">
        <v>0</v>
      </c>
      <c r="K989" t="n">
        <v>0</v>
      </c>
      <c r="L989" t="n">
        <v>0</v>
      </c>
      <c r="M989" t="n">
        <v>0</v>
      </c>
      <c r="N989" t="n">
        <v>0</v>
      </c>
      <c r="O989" t="n">
        <v>0</v>
      </c>
      <c r="P989" t="n">
        <v>0</v>
      </c>
      <c r="Q989" t="n">
        <v>0</v>
      </c>
      <c r="R989" s="2" t="inlineStr"/>
    </row>
    <row r="990" ht="15" customHeight="1">
      <c r="A990" t="inlineStr">
        <is>
          <t>A 13545-2026</t>
        </is>
      </c>
      <c r="B990" s="1" t="n">
        <v>46094.6911574074</v>
      </c>
      <c r="C990" s="1" t="n">
        <v>46106</v>
      </c>
      <c r="D990" t="inlineStr">
        <is>
          <t>STOCKHOLMS LÄN</t>
        </is>
      </c>
      <c r="E990" t="inlineStr">
        <is>
          <t>NORRTÄLJE</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36246-2021</t>
        </is>
      </c>
      <c r="B991" s="1" t="n">
        <v>44390</v>
      </c>
      <c r="C991" s="1" t="n">
        <v>46106</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5934-2026</t>
        </is>
      </c>
      <c r="B992" s="1" t="n">
        <v>46052.47082175926</v>
      </c>
      <c r="C992" s="1" t="n">
        <v>46106</v>
      </c>
      <c r="D992" t="inlineStr">
        <is>
          <t>STOCKHOLMS LÄN</t>
        </is>
      </c>
      <c r="E992" t="inlineStr">
        <is>
          <t>NORRTÄLJE</t>
        </is>
      </c>
      <c r="F992" t="inlineStr">
        <is>
          <t>Holmen skog AB</t>
        </is>
      </c>
      <c r="G992" t="n">
        <v>5.5</v>
      </c>
      <c r="H992" t="n">
        <v>0</v>
      </c>
      <c r="I992" t="n">
        <v>0</v>
      </c>
      <c r="J992" t="n">
        <v>0</v>
      </c>
      <c r="K992" t="n">
        <v>0</v>
      </c>
      <c r="L992" t="n">
        <v>0</v>
      </c>
      <c r="M992" t="n">
        <v>0</v>
      </c>
      <c r="N992" t="n">
        <v>0</v>
      </c>
      <c r="O992" t="n">
        <v>0</v>
      </c>
      <c r="P992" t="n">
        <v>0</v>
      </c>
      <c r="Q992" t="n">
        <v>0</v>
      </c>
      <c r="R992" s="2" t="inlineStr"/>
    </row>
    <row r="993" ht="15" customHeight="1">
      <c r="A993" t="inlineStr">
        <is>
          <t>A 13546-2026</t>
        </is>
      </c>
      <c r="B993" s="1" t="n">
        <v>46094.69196759259</v>
      </c>
      <c r="C993" s="1" t="n">
        <v>46106</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19952-2023</t>
        </is>
      </c>
      <c r="B994" s="1" t="n">
        <v>45054.54091435186</v>
      </c>
      <c r="C994" s="1" t="n">
        <v>46106</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19994-2023</t>
        </is>
      </c>
      <c r="B995" s="1" t="n">
        <v>45054</v>
      </c>
      <c r="C995" s="1" t="n">
        <v>46106</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14130-2025</t>
        </is>
      </c>
      <c r="B996" s="1" t="n">
        <v>45740.47288194444</v>
      </c>
      <c r="C996" s="1" t="n">
        <v>46106</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574-2023</t>
        </is>
      </c>
      <c r="B997" s="1" t="n">
        <v>44925</v>
      </c>
      <c r="C997" s="1" t="n">
        <v>46106</v>
      </c>
      <c r="D997" t="inlineStr">
        <is>
          <t>STOCKHOLMS LÄN</t>
        </is>
      </c>
      <c r="E997" t="inlineStr">
        <is>
          <t>NORRTÄLJE</t>
        </is>
      </c>
      <c r="G997" t="n">
        <v>5</v>
      </c>
      <c r="H997" t="n">
        <v>0</v>
      </c>
      <c r="I997" t="n">
        <v>0</v>
      </c>
      <c r="J997" t="n">
        <v>0</v>
      </c>
      <c r="K997" t="n">
        <v>0</v>
      </c>
      <c r="L997" t="n">
        <v>0</v>
      </c>
      <c r="M997" t="n">
        <v>0</v>
      </c>
      <c r="N997" t="n">
        <v>0</v>
      </c>
      <c r="O997" t="n">
        <v>0</v>
      </c>
      <c r="P997" t="n">
        <v>0</v>
      </c>
      <c r="Q997" t="n">
        <v>0</v>
      </c>
      <c r="R997" s="2" t="inlineStr"/>
    </row>
    <row r="998" ht="15" customHeight="1">
      <c r="A998" t="inlineStr">
        <is>
          <t>A 30283-2022</t>
        </is>
      </c>
      <c r="B998" s="1" t="n">
        <v>44760</v>
      </c>
      <c r="C998" s="1" t="n">
        <v>46106</v>
      </c>
      <c r="D998" t="inlineStr">
        <is>
          <t>STOCKHOLMS LÄN</t>
        </is>
      </c>
      <c r="E998" t="inlineStr">
        <is>
          <t>NORRTÄLJE</t>
        </is>
      </c>
      <c r="G998" t="n">
        <v>6.2</v>
      </c>
      <c r="H998" t="n">
        <v>0</v>
      </c>
      <c r="I998" t="n">
        <v>0</v>
      </c>
      <c r="J998" t="n">
        <v>0</v>
      </c>
      <c r="K998" t="n">
        <v>0</v>
      </c>
      <c r="L998" t="n">
        <v>0</v>
      </c>
      <c r="M998" t="n">
        <v>0</v>
      </c>
      <c r="N998" t="n">
        <v>0</v>
      </c>
      <c r="O998" t="n">
        <v>0</v>
      </c>
      <c r="P998" t="n">
        <v>0</v>
      </c>
      <c r="Q998" t="n">
        <v>0</v>
      </c>
      <c r="R998" s="2" t="inlineStr"/>
    </row>
    <row r="999" ht="15" customHeight="1">
      <c r="A999" t="inlineStr">
        <is>
          <t>A 30290-2022</t>
        </is>
      </c>
      <c r="B999" s="1" t="n">
        <v>44760</v>
      </c>
      <c r="C999" s="1" t="n">
        <v>46106</v>
      </c>
      <c r="D999" t="inlineStr">
        <is>
          <t>STOCKHOLMS LÄN</t>
        </is>
      </c>
      <c r="E999" t="inlineStr">
        <is>
          <t>NORRTÄLJE</t>
        </is>
      </c>
      <c r="G999" t="n">
        <v>4.8</v>
      </c>
      <c r="H999" t="n">
        <v>0</v>
      </c>
      <c r="I999" t="n">
        <v>0</v>
      </c>
      <c r="J999" t="n">
        <v>0</v>
      </c>
      <c r="K999" t="n">
        <v>0</v>
      </c>
      <c r="L999" t="n">
        <v>0</v>
      </c>
      <c r="M999" t="n">
        <v>0</v>
      </c>
      <c r="N999" t="n">
        <v>0</v>
      </c>
      <c r="O999" t="n">
        <v>0</v>
      </c>
      <c r="P999" t="n">
        <v>0</v>
      </c>
      <c r="Q999" t="n">
        <v>0</v>
      </c>
      <c r="R999" s="2" t="inlineStr"/>
    </row>
    <row r="1000" ht="15" customHeight="1">
      <c r="A1000" t="inlineStr">
        <is>
          <t>A 29684-2021</t>
        </is>
      </c>
      <c r="B1000" s="1" t="n">
        <v>44362.37172453704</v>
      </c>
      <c r="C1000" s="1" t="n">
        <v>46106</v>
      </c>
      <c r="D1000" t="inlineStr">
        <is>
          <t>STOCKHOLMS LÄN</t>
        </is>
      </c>
      <c r="E1000" t="inlineStr">
        <is>
          <t>NORRTÄLJE</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60884-2024</t>
        </is>
      </c>
      <c r="B1001" s="1" t="n">
        <v>45644.90815972222</v>
      </c>
      <c r="C1001" s="1" t="n">
        <v>46106</v>
      </c>
      <c r="D1001" t="inlineStr">
        <is>
          <t>STOCKHOLMS LÄN</t>
        </is>
      </c>
      <c r="E1001" t="inlineStr">
        <is>
          <t>NORRTÄLJE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38610-2022</t>
        </is>
      </c>
      <c r="B1002" s="1" t="n">
        <v>44813.59915509259</v>
      </c>
      <c r="C1002" s="1" t="n">
        <v>46106</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10090-2022</t>
        </is>
      </c>
      <c r="B1003" s="1" t="n">
        <v>44621</v>
      </c>
      <c r="C1003" s="1" t="n">
        <v>46106</v>
      </c>
      <c r="D1003" t="inlineStr">
        <is>
          <t>STOCKHOLMS LÄN</t>
        </is>
      </c>
      <c r="E1003" t="inlineStr">
        <is>
          <t>NORRTÄLJE</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14724-2022</t>
        </is>
      </c>
      <c r="B1004" s="1" t="n">
        <v>44656</v>
      </c>
      <c r="C1004" s="1" t="n">
        <v>46106</v>
      </c>
      <c r="D1004" t="inlineStr">
        <is>
          <t>STOCKHOLMS LÄN</t>
        </is>
      </c>
      <c r="E1004" t="inlineStr">
        <is>
          <t>NORRTÄLJE</t>
        </is>
      </c>
      <c r="F1004" t="inlineStr">
        <is>
          <t>Sveaskog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18846-2022</t>
        </is>
      </c>
      <c r="B1005" s="1" t="n">
        <v>44690</v>
      </c>
      <c r="C1005" s="1" t="n">
        <v>46106</v>
      </c>
      <c r="D1005" t="inlineStr">
        <is>
          <t>STOCKHOLMS LÄN</t>
        </is>
      </c>
      <c r="E1005" t="inlineStr">
        <is>
          <t>NORRTÄLJE</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43300-2023</t>
        </is>
      </c>
      <c r="B1006" s="1" t="n">
        <v>45183</v>
      </c>
      <c r="C1006" s="1" t="n">
        <v>46106</v>
      </c>
      <c r="D1006" t="inlineStr">
        <is>
          <t>STOCKHOLMS LÄN</t>
        </is>
      </c>
      <c r="E1006" t="inlineStr">
        <is>
          <t>NORRTÄLJE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25654-2023</t>
        </is>
      </c>
      <c r="B1007" s="1" t="n">
        <v>45089</v>
      </c>
      <c r="C1007" s="1" t="n">
        <v>46106</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23125-2022</t>
        </is>
      </c>
      <c r="B1008" s="1" t="n">
        <v>44719</v>
      </c>
      <c r="C1008" s="1" t="n">
        <v>46106</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20121-2022</t>
        </is>
      </c>
      <c r="B1009" s="1" t="n">
        <v>44698</v>
      </c>
      <c r="C1009" s="1" t="n">
        <v>46106</v>
      </c>
      <c r="D1009" t="inlineStr">
        <is>
          <t>STOCKHOLMS LÄN</t>
        </is>
      </c>
      <c r="E1009" t="inlineStr">
        <is>
          <t>NORRTÄLJE</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6724-2026</t>
        </is>
      </c>
      <c r="B1010" s="1" t="n">
        <v>46056.67717592593</v>
      </c>
      <c r="C1010" s="1" t="n">
        <v>46106</v>
      </c>
      <c r="D1010" t="inlineStr">
        <is>
          <t>STOCKHOLMS LÄN</t>
        </is>
      </c>
      <c r="E1010" t="inlineStr">
        <is>
          <t>NORRTÄLJE</t>
        </is>
      </c>
      <c r="F1010" t="inlineStr">
        <is>
          <t>Holmen skog AB</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33385-2024</t>
        </is>
      </c>
      <c r="B1011" s="1" t="n">
        <v>45519</v>
      </c>
      <c r="C1011" s="1" t="n">
        <v>46106</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41172-2023</t>
        </is>
      </c>
      <c r="B1012" s="1" t="n">
        <v>45170</v>
      </c>
      <c r="C1012" s="1" t="n">
        <v>46106</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6828-2026</t>
        </is>
      </c>
      <c r="B1013" s="1" t="n">
        <v>46057</v>
      </c>
      <c r="C1013" s="1" t="n">
        <v>46106</v>
      </c>
      <c r="D1013" t="inlineStr">
        <is>
          <t>STOCKHOLMS LÄN</t>
        </is>
      </c>
      <c r="E1013" t="inlineStr">
        <is>
          <t>NORRTÄLJE</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6838-2026</t>
        </is>
      </c>
      <c r="B1014" s="1" t="n">
        <v>46057.41151620371</v>
      </c>
      <c r="C1014" s="1" t="n">
        <v>46106</v>
      </c>
      <c r="D1014" t="inlineStr">
        <is>
          <t>STOCKHOLMS LÄN</t>
        </is>
      </c>
      <c r="E1014" t="inlineStr">
        <is>
          <t>NORRTÄLJE</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73307-2021</t>
        </is>
      </c>
      <c r="B1015" s="1" t="n">
        <v>44549</v>
      </c>
      <c r="C1015" s="1" t="n">
        <v>46106</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50534-2024</t>
        </is>
      </c>
      <c r="B1016" s="1" t="n">
        <v>45601.56726851852</v>
      </c>
      <c r="C1016" s="1" t="n">
        <v>46106</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65499-2021</t>
        </is>
      </c>
      <c r="B1017" s="1" t="n">
        <v>44516</v>
      </c>
      <c r="C1017" s="1" t="n">
        <v>46106</v>
      </c>
      <c r="D1017" t="inlineStr">
        <is>
          <t>STOCKHOLMS LÄN</t>
        </is>
      </c>
      <c r="E1017" t="inlineStr">
        <is>
          <t>NORRTÄLJE</t>
        </is>
      </c>
      <c r="F1017" t="inlineStr">
        <is>
          <t>Kommuner</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65511-2021</t>
        </is>
      </c>
      <c r="B1018" s="1" t="n">
        <v>44516.40674768519</v>
      </c>
      <c r="C1018" s="1" t="n">
        <v>46106</v>
      </c>
      <c r="D1018" t="inlineStr">
        <is>
          <t>STOCKHOLMS LÄN</t>
        </is>
      </c>
      <c r="E1018" t="inlineStr">
        <is>
          <t>NORRTÄLJE</t>
        </is>
      </c>
      <c r="F1018" t="inlineStr">
        <is>
          <t>Kommuner</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22833-2024</t>
        </is>
      </c>
      <c r="B1019" s="1" t="n">
        <v>45448.56746527777</v>
      </c>
      <c r="C1019" s="1" t="n">
        <v>46106</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32514-2022</t>
        </is>
      </c>
      <c r="B1020" s="1" t="n">
        <v>44782</v>
      </c>
      <c r="C1020" s="1" t="n">
        <v>46106</v>
      </c>
      <c r="D1020" t="inlineStr">
        <is>
          <t>STOCKHOLMS LÄN</t>
        </is>
      </c>
      <c r="E1020" t="inlineStr">
        <is>
          <t>NORRTÄLJE</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29362-2022</t>
        </is>
      </c>
      <c r="B1021" s="1" t="n">
        <v>44753</v>
      </c>
      <c r="C1021" s="1" t="n">
        <v>46106</v>
      </c>
      <c r="D1021" t="inlineStr">
        <is>
          <t>STOCKHOLMS LÄN</t>
        </is>
      </c>
      <c r="E1021" t="inlineStr">
        <is>
          <t>NORRTÄLJE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58492-2022</t>
        </is>
      </c>
      <c r="B1022" s="1" t="n">
        <v>44902</v>
      </c>
      <c r="C1022" s="1" t="n">
        <v>46106</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51315-2021</t>
        </is>
      </c>
      <c r="B1023" s="1" t="n">
        <v>44461</v>
      </c>
      <c r="C1023" s="1" t="n">
        <v>46106</v>
      </c>
      <c r="D1023" t="inlineStr">
        <is>
          <t>STOCKHOLMS LÄN</t>
        </is>
      </c>
      <c r="E1023" t="inlineStr">
        <is>
          <t>NORRTÄLJE</t>
        </is>
      </c>
      <c r="F1023" t="inlineStr">
        <is>
          <t>Holmen skog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14873-2025</t>
        </is>
      </c>
      <c r="B1024" s="1" t="n">
        <v>45743.44953703704</v>
      </c>
      <c r="C1024" s="1" t="n">
        <v>46106</v>
      </c>
      <c r="D1024" t="inlineStr">
        <is>
          <t>STOCKHOLMS LÄN</t>
        </is>
      </c>
      <c r="E1024" t="inlineStr">
        <is>
          <t>NORRTÄLJE</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34773-2022</t>
        </is>
      </c>
      <c r="B1025" s="1" t="n">
        <v>44795</v>
      </c>
      <c r="C1025" s="1" t="n">
        <v>46106</v>
      </c>
      <c r="D1025" t="inlineStr">
        <is>
          <t>STOCKHOLMS LÄN</t>
        </is>
      </c>
      <c r="E1025" t="inlineStr">
        <is>
          <t>NORRTÄLJE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33173-2024</t>
        </is>
      </c>
      <c r="B1026" s="1" t="n">
        <v>45518</v>
      </c>
      <c r="C1026" s="1" t="n">
        <v>46106</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4484-2025</t>
        </is>
      </c>
      <c r="B1027" s="1" t="n">
        <v>45686.65545138889</v>
      </c>
      <c r="C1027" s="1" t="n">
        <v>46106</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33878-2024</t>
        </is>
      </c>
      <c r="B1028" s="1" t="n">
        <v>45522.44414351852</v>
      </c>
      <c r="C1028" s="1" t="n">
        <v>46106</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9246-2024</t>
        </is>
      </c>
      <c r="B1029" s="1" t="n">
        <v>45357</v>
      </c>
      <c r="C1029" s="1" t="n">
        <v>46106</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35698-2023</t>
        </is>
      </c>
      <c r="B1030" s="1" t="n">
        <v>45147</v>
      </c>
      <c r="C1030" s="1" t="n">
        <v>46106</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44923.90159722222</v>
      </c>
      <c r="C1031" s="1" t="n">
        <v>46106</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49700-2023</t>
        </is>
      </c>
      <c r="B1032" s="1" t="n">
        <v>45212</v>
      </c>
      <c r="C1032" s="1" t="n">
        <v>46106</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32071-2023</t>
        </is>
      </c>
      <c r="B1033" s="1" t="n">
        <v>45119.57728009259</v>
      </c>
      <c r="C1033" s="1" t="n">
        <v>46106</v>
      </c>
      <c r="D1033" t="inlineStr">
        <is>
          <t>STOCKHOLMS LÄN</t>
        </is>
      </c>
      <c r="E1033" t="inlineStr">
        <is>
          <t>NORRTÄLJE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1425-2025</t>
        </is>
      </c>
      <c r="B1034" s="1" t="n">
        <v>45668.67446759259</v>
      </c>
      <c r="C1034" s="1" t="n">
        <v>46106</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17775-2022</t>
        </is>
      </c>
      <c r="B1035" s="1" t="n">
        <v>44682.78430555556</v>
      </c>
      <c r="C1035" s="1" t="n">
        <v>46106</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38720-2022</t>
        </is>
      </c>
      <c r="B1036" s="1" t="n">
        <v>44815.74539351852</v>
      </c>
      <c r="C1036" s="1" t="n">
        <v>46106</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10215-2023</t>
        </is>
      </c>
      <c r="B1037" s="1" t="n">
        <v>44986.5887962963</v>
      </c>
      <c r="C1037" s="1" t="n">
        <v>46106</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25609-2023</t>
        </is>
      </c>
      <c r="B1038" s="1" t="n">
        <v>45089</v>
      </c>
      <c r="C1038" s="1" t="n">
        <v>46106</v>
      </c>
      <c r="D1038" t="inlineStr">
        <is>
          <t>STOCKHOLMS LÄN</t>
        </is>
      </c>
      <c r="E1038" t="inlineStr">
        <is>
          <t>NORRTÄLJE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20014-2025</t>
        </is>
      </c>
      <c r="B1039" s="1" t="n">
        <v>45772.3078125</v>
      </c>
      <c r="C1039" s="1" t="n">
        <v>46106</v>
      </c>
      <c r="D1039" t="inlineStr">
        <is>
          <t>STOCKHOLMS LÄN</t>
        </is>
      </c>
      <c r="E1039" t="inlineStr">
        <is>
          <t>NORRTÄLJE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20136-2025</t>
        </is>
      </c>
      <c r="B1040" s="1" t="n">
        <v>45772.51127314815</v>
      </c>
      <c r="C1040" s="1" t="n">
        <v>46106</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2287-2024</t>
        </is>
      </c>
      <c r="B1041" s="1" t="n">
        <v>45310</v>
      </c>
      <c r="C1041" s="1" t="n">
        <v>46106</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13785-2024</t>
        </is>
      </c>
      <c r="B1042" s="1" t="n">
        <v>45391.3395949074</v>
      </c>
      <c r="C1042" s="1" t="n">
        <v>46106</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50469-2022</t>
        </is>
      </c>
      <c r="B1043" s="1" t="n">
        <v>44866.49827546296</v>
      </c>
      <c r="C1043" s="1" t="n">
        <v>46106</v>
      </c>
      <c r="D1043" t="inlineStr">
        <is>
          <t>STOCKHOLMS LÄN</t>
        </is>
      </c>
      <c r="E1043" t="inlineStr">
        <is>
          <t>NORRTÄLJE</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51116-2022</t>
        </is>
      </c>
      <c r="B1044" s="1" t="n">
        <v>44868.45741898148</v>
      </c>
      <c r="C1044" s="1" t="n">
        <v>46106</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60217-2021</t>
        </is>
      </c>
      <c r="B1045" s="1" t="n">
        <v>44495.5893287037</v>
      </c>
      <c r="C1045" s="1" t="n">
        <v>46106</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46106</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38985-2022</t>
        </is>
      </c>
      <c r="B1047" s="1" t="n">
        <v>44816</v>
      </c>
      <c r="C1047" s="1" t="n">
        <v>46106</v>
      </c>
      <c r="D1047" t="inlineStr">
        <is>
          <t>STOCKHOLMS LÄN</t>
        </is>
      </c>
      <c r="E1047" t="inlineStr">
        <is>
          <t>NORRTÄLJE</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5665-2025</t>
        </is>
      </c>
      <c r="B1048" s="1" t="n">
        <v>45693</v>
      </c>
      <c r="C1048" s="1" t="n">
        <v>46106</v>
      </c>
      <c r="D1048" t="inlineStr">
        <is>
          <t>STOCKHOLMS LÄN</t>
        </is>
      </c>
      <c r="E1048" t="inlineStr">
        <is>
          <t>NORRTÄLJE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3426-2025</t>
        </is>
      </c>
      <c r="B1049" s="1" t="n">
        <v>45680.42665509259</v>
      </c>
      <c r="C1049" s="1" t="n">
        <v>46106</v>
      </c>
      <c r="D1049" t="inlineStr">
        <is>
          <t>STOCKHOLMS LÄN</t>
        </is>
      </c>
      <c r="E1049" t="inlineStr">
        <is>
          <t>NORRTÄLJE</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58530-2024</t>
        </is>
      </c>
      <c r="B1050" s="1" t="n">
        <v>45635.44788194444</v>
      </c>
      <c r="C1050" s="1" t="n">
        <v>46106</v>
      </c>
      <c r="D1050" t="inlineStr">
        <is>
          <t>STOCKHOLMS LÄN</t>
        </is>
      </c>
      <c r="E1050" t="inlineStr">
        <is>
          <t>NORRTÄLJE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22421-2021</t>
        </is>
      </c>
      <c r="B1051" s="1" t="n">
        <v>44326</v>
      </c>
      <c r="C1051" s="1" t="n">
        <v>46106</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40761-2024</t>
        </is>
      </c>
      <c r="B1052" s="1" t="n">
        <v>45558.46283564815</v>
      </c>
      <c r="C1052" s="1" t="n">
        <v>46106</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44956.65920138889</v>
      </c>
      <c r="C1053" s="1" t="n">
        <v>46106</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4593-2023</t>
        </is>
      </c>
      <c r="B1054" s="1" t="n">
        <v>44956</v>
      </c>
      <c r="C1054" s="1" t="n">
        <v>46106</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13171-2025</t>
        </is>
      </c>
      <c r="B1055" s="1" t="n">
        <v>45735.36594907408</v>
      </c>
      <c r="C1055" s="1" t="n">
        <v>46106</v>
      </c>
      <c r="D1055" t="inlineStr">
        <is>
          <t>STOCKHOLMS LÄN</t>
        </is>
      </c>
      <c r="E1055" t="inlineStr">
        <is>
          <t>NORRTÄLJE</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51978-2023</t>
        </is>
      </c>
      <c r="B1056" s="1" t="n">
        <v>45223</v>
      </c>
      <c r="C1056" s="1" t="n">
        <v>46106</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18092-2022</t>
        </is>
      </c>
      <c r="B1057" s="1" t="n">
        <v>44684</v>
      </c>
      <c r="C1057" s="1" t="n">
        <v>46106</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59310-2023</t>
        </is>
      </c>
      <c r="B1058" s="1" t="n">
        <v>45253.61146990741</v>
      </c>
      <c r="C1058" s="1" t="n">
        <v>46106</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9329-2023</t>
        </is>
      </c>
      <c r="B1059" s="1" t="n">
        <v>44980</v>
      </c>
      <c r="C1059" s="1" t="n">
        <v>46106</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59878-2024</t>
        </is>
      </c>
      <c r="B1060" s="1" t="n">
        <v>45640.60240740741</v>
      </c>
      <c r="C1060" s="1" t="n">
        <v>46106</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41335-2023</t>
        </is>
      </c>
      <c r="B1061" s="1" t="n">
        <v>45174.68702546296</v>
      </c>
      <c r="C1061" s="1" t="n">
        <v>46106</v>
      </c>
      <c r="D1061" t="inlineStr">
        <is>
          <t>STOCKHOLMS LÄN</t>
        </is>
      </c>
      <c r="E1061" t="inlineStr">
        <is>
          <t>NORRTÄLJE</t>
        </is>
      </c>
      <c r="F1061" t="inlineStr">
        <is>
          <t>Holmen skog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33040-2021</t>
        </is>
      </c>
      <c r="B1062" s="1" t="n">
        <v>44376.50728009259</v>
      </c>
      <c r="C1062" s="1" t="n">
        <v>46106</v>
      </c>
      <c r="D1062" t="inlineStr">
        <is>
          <t>STOCKHOLMS LÄN</t>
        </is>
      </c>
      <c r="E1062" t="inlineStr">
        <is>
          <t>NORRTÄLJE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33053-2021</t>
        </is>
      </c>
      <c r="B1063" s="1" t="n">
        <v>44376</v>
      </c>
      <c r="C1063" s="1" t="n">
        <v>46106</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43150-2023</t>
        </is>
      </c>
      <c r="B1064" s="1" t="n">
        <v>45183</v>
      </c>
      <c r="C1064" s="1" t="n">
        <v>46106</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54259-2023</t>
        </is>
      </c>
      <c r="B1065" s="1" t="n">
        <v>45232</v>
      </c>
      <c r="C1065" s="1" t="n">
        <v>46106</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60822-2023</t>
        </is>
      </c>
      <c r="B1066" s="1" t="n">
        <v>45259</v>
      </c>
      <c r="C1066" s="1" t="n">
        <v>46106</v>
      </c>
      <c r="D1066" t="inlineStr">
        <is>
          <t>STOCKHOLMS LÄN</t>
        </is>
      </c>
      <c r="E1066" t="inlineStr">
        <is>
          <t>NORRTÄLJE</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27381-2024</t>
        </is>
      </c>
      <c r="B1067" s="1" t="n">
        <v>45473.94501157408</v>
      </c>
      <c r="C1067" s="1" t="n">
        <v>46106</v>
      </c>
      <c r="D1067" t="inlineStr">
        <is>
          <t>STOCKHOLMS LÄN</t>
        </is>
      </c>
      <c r="E1067" t="inlineStr">
        <is>
          <t>NORRTÄLJE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23265-2023</t>
        </is>
      </c>
      <c r="B1068" s="1" t="n">
        <v>45075.90703703704</v>
      </c>
      <c r="C1068" s="1" t="n">
        <v>46106</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26117-2024</t>
        </is>
      </c>
      <c r="B1069" s="1" t="n">
        <v>45468.45877314815</v>
      </c>
      <c r="C1069" s="1" t="n">
        <v>46106</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20336-2024</t>
        </is>
      </c>
      <c r="B1070" s="1" t="n">
        <v>45435.43123842592</v>
      </c>
      <c r="C1070" s="1" t="n">
        <v>46106</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46106</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59721-2024</t>
        </is>
      </c>
      <c r="B1072" s="1" t="n">
        <v>45639.47385416667</v>
      </c>
      <c r="C1072" s="1" t="n">
        <v>46106</v>
      </c>
      <c r="D1072" t="inlineStr">
        <is>
          <t>STOCKHOLMS LÄN</t>
        </is>
      </c>
      <c r="E1072" t="inlineStr">
        <is>
          <t>NORRTÄLJE</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37010-2022</t>
        </is>
      </c>
      <c r="B1073" s="1" t="n">
        <v>44806.41576388889</v>
      </c>
      <c r="C1073" s="1" t="n">
        <v>46106</v>
      </c>
      <c r="D1073" t="inlineStr">
        <is>
          <t>STOCKHOLMS LÄN</t>
        </is>
      </c>
      <c r="E1073" t="inlineStr">
        <is>
          <t>NORRTÄLJE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951-2023</t>
        </is>
      </c>
      <c r="B1074" s="1" t="n">
        <v>44934</v>
      </c>
      <c r="C1074" s="1" t="n">
        <v>46106</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44959.74533564815</v>
      </c>
      <c r="C1075" s="1" t="n">
        <v>46106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50182-2024</t>
        </is>
      </c>
      <c r="B1076" s="1" t="n">
        <v>45600.47275462963</v>
      </c>
      <c r="C1076" s="1" t="n">
        <v>46106</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12629-2024</t>
        </is>
      </c>
      <c r="B1077" s="1" t="n">
        <v>45383</v>
      </c>
      <c r="C1077" s="1" t="n">
        <v>46106</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35708-2022</t>
        </is>
      </c>
      <c r="B1078" s="1" t="n">
        <v>44799.65013888889</v>
      </c>
      <c r="C1078" s="1" t="n">
        <v>46106</v>
      </c>
      <c r="D1078" t="inlineStr">
        <is>
          <t>STOCKHOLMS LÄN</t>
        </is>
      </c>
      <c r="E1078" t="inlineStr">
        <is>
          <t>NORRTÄLJE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45220-2024</t>
        </is>
      </c>
      <c r="B1079" s="1" t="n">
        <v>45575</v>
      </c>
      <c r="C1079" s="1" t="n">
        <v>46106</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21731-2023</t>
        </is>
      </c>
      <c r="B1080" s="1" t="n">
        <v>45063</v>
      </c>
      <c r="C1080" s="1" t="n">
        <v>46106</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23266-2023</t>
        </is>
      </c>
      <c r="B1081" s="1" t="n">
        <v>45075.90817129629</v>
      </c>
      <c r="C1081" s="1" t="n">
        <v>46106</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47521-2024</t>
        </is>
      </c>
      <c r="B1082" s="1" t="n">
        <v>45587.62565972222</v>
      </c>
      <c r="C1082" s="1" t="n">
        <v>46106</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58260-2023</t>
        </is>
      </c>
      <c r="B1083" s="1" t="n">
        <v>45245</v>
      </c>
      <c r="C1083" s="1" t="n">
        <v>46106</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58261-2023</t>
        </is>
      </c>
      <c r="B1084" s="1" t="n">
        <v>45245</v>
      </c>
      <c r="C1084" s="1" t="n">
        <v>46106</v>
      </c>
      <c r="D1084" t="inlineStr">
        <is>
          <t>STOCKHOLMS LÄN</t>
        </is>
      </c>
      <c r="E1084" t="inlineStr">
        <is>
          <t>NORRTÄLJE</t>
        </is>
      </c>
      <c r="G1084" t="n">
        <v>53.5</v>
      </c>
      <c r="H1084" t="n">
        <v>0</v>
      </c>
      <c r="I1084" t="n">
        <v>0</v>
      </c>
      <c r="J1084" t="n">
        <v>0</v>
      </c>
      <c r="K1084" t="n">
        <v>0</v>
      </c>
      <c r="L1084" t="n">
        <v>0</v>
      </c>
      <c r="M1084" t="n">
        <v>0</v>
      </c>
      <c r="N1084" t="n">
        <v>0</v>
      </c>
      <c r="O1084" t="n">
        <v>0</v>
      </c>
      <c r="P1084" t="n">
        <v>0</v>
      </c>
      <c r="Q1084" t="n">
        <v>0</v>
      </c>
      <c r="R1084" s="2" t="inlineStr"/>
    </row>
    <row r="1085" ht="15" customHeight="1">
      <c r="A1085" t="inlineStr">
        <is>
          <t>A 29266-2022</t>
        </is>
      </c>
      <c r="B1085" s="1" t="n">
        <v>44750.66068287037</v>
      </c>
      <c r="C1085" s="1" t="n">
        <v>46106</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29278-2022</t>
        </is>
      </c>
      <c r="B1086" s="1" t="n">
        <v>44750</v>
      </c>
      <c r="C1086" s="1" t="n">
        <v>46106</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37273-2024</t>
        </is>
      </c>
      <c r="B1087" s="1" t="n">
        <v>45540</v>
      </c>
      <c r="C1087" s="1" t="n">
        <v>46106</v>
      </c>
      <c r="D1087" t="inlineStr">
        <is>
          <t>STOCKHOLMS LÄN</t>
        </is>
      </c>
      <c r="E1087" t="inlineStr">
        <is>
          <t>NORRTÄLJE</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12908-2025</t>
        </is>
      </c>
      <c r="B1088" s="1" t="n">
        <v>45733.82105324074</v>
      </c>
      <c r="C1088" s="1" t="n">
        <v>46106</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23060-2023</t>
        </is>
      </c>
      <c r="B1089" s="1" t="n">
        <v>45075</v>
      </c>
      <c r="C1089" s="1" t="n">
        <v>46106</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32103-2022</t>
        </is>
      </c>
      <c r="B1090" s="1" t="n">
        <v>44778</v>
      </c>
      <c r="C1090" s="1" t="n">
        <v>46106</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6401-2024</t>
        </is>
      </c>
      <c r="B1091" s="1" t="n">
        <v>45338</v>
      </c>
      <c r="C1091" s="1" t="n">
        <v>46106</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59504-2023</t>
        </is>
      </c>
      <c r="B1092" s="1" t="n">
        <v>45254</v>
      </c>
      <c r="C1092" s="1" t="n">
        <v>46106</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52321-2024</t>
        </is>
      </c>
      <c r="B1093" s="1" t="n">
        <v>45608</v>
      </c>
      <c r="C1093" s="1" t="n">
        <v>46106</v>
      </c>
      <c r="D1093" t="inlineStr">
        <is>
          <t>STOCKHOLMS LÄN</t>
        </is>
      </c>
      <c r="E1093" t="inlineStr">
        <is>
          <t>NORRTÄLJE</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48151-2024</t>
        </is>
      </c>
      <c r="B1094" s="1" t="n">
        <v>45589.68289351852</v>
      </c>
      <c r="C1094" s="1" t="n">
        <v>46106</v>
      </c>
      <c r="D1094" t="inlineStr">
        <is>
          <t>STOCKHOLMS LÄN</t>
        </is>
      </c>
      <c r="E1094" t="inlineStr">
        <is>
          <t>NORRTÄLJE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20370-2025</t>
        </is>
      </c>
      <c r="B1095" s="1" t="n">
        <v>45775.41451388889</v>
      </c>
      <c r="C1095" s="1" t="n">
        <v>46106</v>
      </c>
      <c r="D1095" t="inlineStr">
        <is>
          <t>STOCKHOLMS LÄN</t>
        </is>
      </c>
      <c r="E1095" t="inlineStr">
        <is>
          <t>NORRTÄLJE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19580-2022</t>
        </is>
      </c>
      <c r="B1096" s="1" t="n">
        <v>44693</v>
      </c>
      <c r="C1096" s="1" t="n">
        <v>46106</v>
      </c>
      <c r="D1096" t="inlineStr">
        <is>
          <t>STOCKHOLMS LÄN</t>
        </is>
      </c>
      <c r="E1096" t="inlineStr">
        <is>
          <t>NORRTÄLJE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30731-2023</t>
        </is>
      </c>
      <c r="B1097" s="1" t="n">
        <v>45112</v>
      </c>
      <c r="C1097" s="1" t="n">
        <v>46106</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4580-2025</t>
        </is>
      </c>
      <c r="B1098" s="1" t="n">
        <v>45687.5038425926</v>
      </c>
      <c r="C1098" s="1" t="n">
        <v>46106</v>
      </c>
      <c r="D1098" t="inlineStr">
        <is>
          <t>STOCKHOLMS LÄN</t>
        </is>
      </c>
      <c r="E1098" t="inlineStr">
        <is>
          <t>NORRTÄLJE</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31057-2022</t>
        </is>
      </c>
      <c r="B1099" s="1" t="n">
        <v>44769</v>
      </c>
      <c r="C1099" s="1" t="n">
        <v>46106</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31140-2023</t>
        </is>
      </c>
      <c r="B1100" s="1" t="n">
        <v>45113</v>
      </c>
      <c r="C1100" s="1" t="n">
        <v>46106</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31149-2023</t>
        </is>
      </c>
      <c r="B1101" s="1" t="n">
        <v>45113</v>
      </c>
      <c r="C1101" s="1" t="n">
        <v>46106</v>
      </c>
      <c r="D1101" t="inlineStr">
        <is>
          <t>STOCKHOLMS LÄN</t>
        </is>
      </c>
      <c r="E1101" t="inlineStr">
        <is>
          <t>NORRTÄLJE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4658-2024</t>
        </is>
      </c>
      <c r="B1102" s="1" t="n">
        <v>45328.46336805556</v>
      </c>
      <c r="C1102" s="1" t="n">
        <v>46106</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19131-2025</t>
        </is>
      </c>
      <c r="B1103" s="1" t="n">
        <v>45769</v>
      </c>
      <c r="C1103" s="1" t="n">
        <v>46106</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7571-2024</t>
        </is>
      </c>
      <c r="B1104" s="1" t="n">
        <v>45348.46300925926</v>
      </c>
      <c r="C1104" s="1" t="n">
        <v>46106</v>
      </c>
      <c r="D1104" t="inlineStr">
        <is>
          <t>STOCKHOLMS LÄN</t>
        </is>
      </c>
      <c r="E1104" t="inlineStr">
        <is>
          <t>NORRTÄLJE</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11849-2025</t>
        </is>
      </c>
      <c r="B1105" s="1" t="n">
        <v>45728.38409722222</v>
      </c>
      <c r="C1105" s="1" t="n">
        <v>46106</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40425-2021</t>
        </is>
      </c>
      <c r="B1106" s="1" t="n">
        <v>44419</v>
      </c>
      <c r="C1106" s="1" t="n">
        <v>46106</v>
      </c>
      <c r="D1106" t="inlineStr">
        <is>
          <t>STOCKHOLMS LÄN</t>
        </is>
      </c>
      <c r="E1106" t="inlineStr">
        <is>
          <t>NORRTÄLJE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58990-2021</t>
        </is>
      </c>
      <c r="B1107" s="1" t="n">
        <v>44490.03621527777</v>
      </c>
      <c r="C1107" s="1" t="n">
        <v>46106</v>
      </c>
      <c r="D1107" t="inlineStr">
        <is>
          <t>STOCKHOLMS LÄN</t>
        </is>
      </c>
      <c r="E1107" t="inlineStr">
        <is>
          <t>NORRTÄLJE</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20790-2025</t>
        </is>
      </c>
      <c r="B1108" s="1" t="n">
        <v>45776.62563657408</v>
      </c>
      <c r="C1108" s="1" t="n">
        <v>46106</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20699-2025</t>
        </is>
      </c>
      <c r="B1109" s="1" t="n">
        <v>45776.47346064815</v>
      </c>
      <c r="C1109" s="1" t="n">
        <v>46106</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3152-2024</t>
        </is>
      </c>
      <c r="B1110" s="1" t="n">
        <v>45316.60306712963</v>
      </c>
      <c r="C1110" s="1" t="n">
        <v>46106</v>
      </c>
      <c r="D1110" t="inlineStr">
        <is>
          <t>STOCKHOLMS LÄN</t>
        </is>
      </c>
      <c r="E1110" t="inlineStr">
        <is>
          <t>NORRTÄLJE</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59326-2023</t>
        </is>
      </c>
      <c r="B1111" s="1" t="n">
        <v>45253.63089120371</v>
      </c>
      <c r="C1111" s="1" t="n">
        <v>46106</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44836-2023</t>
        </is>
      </c>
      <c r="B1112" s="1" t="n">
        <v>45190.55609953704</v>
      </c>
      <c r="C1112" s="1" t="n">
        <v>46106</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20779-2025</t>
        </is>
      </c>
      <c r="B1113" s="1" t="n">
        <v>45776.59871527777</v>
      </c>
      <c r="C1113" s="1" t="n">
        <v>46106</v>
      </c>
      <c r="D1113" t="inlineStr">
        <is>
          <t>STOCKHOLMS LÄN</t>
        </is>
      </c>
      <c r="E1113" t="inlineStr">
        <is>
          <t>NORRTÄLJE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21771-2025</t>
        </is>
      </c>
      <c r="B1114" s="1" t="n">
        <v>45783</v>
      </c>
      <c r="C1114" s="1" t="n">
        <v>46106</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21778-2025</t>
        </is>
      </c>
      <c r="B1115" s="1" t="n">
        <v>45783.66429398148</v>
      </c>
      <c r="C1115" s="1" t="n">
        <v>46106</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22202-2025</t>
        </is>
      </c>
      <c r="B1116" s="1" t="n">
        <v>45785.65300925926</v>
      </c>
      <c r="C1116" s="1" t="n">
        <v>46106</v>
      </c>
      <c r="D1116" t="inlineStr">
        <is>
          <t>STOCKHOLMS LÄN</t>
        </is>
      </c>
      <c r="E1116" t="inlineStr">
        <is>
          <t>NORRTÄLJE</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16620-2024</t>
        </is>
      </c>
      <c r="B1117" s="1" t="n">
        <v>45408.57707175926</v>
      </c>
      <c r="C1117" s="1" t="n">
        <v>46106</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22416-2025</t>
        </is>
      </c>
      <c r="B1118" s="1" t="n">
        <v>45786.55645833333</v>
      </c>
      <c r="C1118" s="1" t="n">
        <v>46106</v>
      </c>
      <c r="D1118" t="inlineStr">
        <is>
          <t>STOCKHOLMS LÄN</t>
        </is>
      </c>
      <c r="E1118" t="inlineStr">
        <is>
          <t>NORRTÄLJE</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58785-2024</t>
        </is>
      </c>
      <c r="B1119" s="1" t="n">
        <v>45635.88849537037</v>
      </c>
      <c r="C1119" s="1" t="n">
        <v>46106</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2182-2022</t>
        </is>
      </c>
      <c r="B1120" s="1" t="n">
        <v>44578</v>
      </c>
      <c r="C1120" s="1" t="n">
        <v>46106</v>
      </c>
      <c r="D1120" t="inlineStr">
        <is>
          <t>STOCKHOLMS LÄN</t>
        </is>
      </c>
      <c r="E1120" t="inlineStr">
        <is>
          <t>NORRTÄLJE</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13268-2025</t>
        </is>
      </c>
      <c r="B1121" s="1" t="n">
        <v>45735</v>
      </c>
      <c r="C1121" s="1" t="n">
        <v>46106</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8414-2025</t>
        </is>
      </c>
      <c r="B1122" s="1" t="n">
        <v>45709.39361111111</v>
      </c>
      <c r="C1122" s="1" t="n">
        <v>46106</v>
      </c>
      <c r="D1122" t="inlineStr">
        <is>
          <t>STOCKHOLMS LÄN</t>
        </is>
      </c>
      <c r="E1122" t="inlineStr">
        <is>
          <t>NORRTÄLJE</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36625-2024</t>
        </is>
      </c>
      <c r="B1123" s="1" t="n">
        <v>45537</v>
      </c>
      <c r="C1123" s="1" t="n">
        <v>46106</v>
      </c>
      <c r="D1123" t="inlineStr">
        <is>
          <t>STOCKHOLMS LÄN</t>
        </is>
      </c>
      <c r="E1123" t="inlineStr">
        <is>
          <t>NORRTÄLJE</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44891-2023</t>
        </is>
      </c>
      <c r="B1124" s="1" t="n">
        <v>45187</v>
      </c>
      <c r="C1124" s="1" t="n">
        <v>46106</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12902-2024</t>
        </is>
      </c>
      <c r="B1125" s="1" t="n">
        <v>45385.38146990741</v>
      </c>
      <c r="C1125" s="1" t="n">
        <v>46106</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44032-2024</t>
        </is>
      </c>
      <c r="B1126" s="1" t="n">
        <v>45572.57828703704</v>
      </c>
      <c r="C1126" s="1" t="n">
        <v>46106</v>
      </c>
      <c r="D1126" t="inlineStr">
        <is>
          <t>STOCKHOLMS LÄN</t>
        </is>
      </c>
      <c r="E1126" t="inlineStr">
        <is>
          <t>NORRTÄLJE</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24563-2024</t>
        </is>
      </c>
      <c r="B1127" s="1" t="n">
        <v>45460.44347222222</v>
      </c>
      <c r="C1127" s="1" t="n">
        <v>46106</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39237-2024</t>
        </is>
      </c>
      <c r="B1128" s="1" t="n">
        <v>45549</v>
      </c>
      <c r="C1128" s="1" t="n">
        <v>46106</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45746-2024</t>
        </is>
      </c>
      <c r="B1129" s="1" t="n">
        <v>45579</v>
      </c>
      <c r="C1129" s="1" t="n">
        <v>46106</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8400-2024</t>
        </is>
      </c>
      <c r="B1130" s="1" t="n">
        <v>45352.74090277778</v>
      </c>
      <c r="C1130" s="1" t="n">
        <v>46106</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62998-2023</t>
        </is>
      </c>
      <c r="B1131" s="1" t="n">
        <v>45272.64479166667</v>
      </c>
      <c r="C1131" s="1" t="n">
        <v>46106</v>
      </c>
      <c r="D1131" t="inlineStr">
        <is>
          <t>STOCKHOLMS LÄN</t>
        </is>
      </c>
      <c r="E1131" t="inlineStr">
        <is>
          <t>NORRTÄLJE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63015-2023</t>
        </is>
      </c>
      <c r="B1132" s="1" t="n">
        <v>45272</v>
      </c>
      <c r="C1132" s="1" t="n">
        <v>46106</v>
      </c>
      <c r="D1132" t="inlineStr">
        <is>
          <t>STOCKHOLMS LÄN</t>
        </is>
      </c>
      <c r="E1132" t="inlineStr">
        <is>
          <t>NORRTÄLJE</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27831-2024</t>
        </is>
      </c>
      <c r="B1133" s="1" t="n">
        <v>45475.61896990741</v>
      </c>
      <c r="C1133" s="1" t="n">
        <v>46106</v>
      </c>
      <c r="D1133" t="inlineStr">
        <is>
          <t>STOCKHOLMS LÄN</t>
        </is>
      </c>
      <c r="E1133" t="inlineStr">
        <is>
          <t>NORRTÄLJE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33175-2024</t>
        </is>
      </c>
      <c r="B1134" s="1" t="n">
        <v>45518</v>
      </c>
      <c r="C1134" s="1" t="n">
        <v>46106</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21803-2022</t>
        </is>
      </c>
      <c r="B1135" s="1" t="n">
        <v>44708.67822916667</v>
      </c>
      <c r="C1135" s="1" t="n">
        <v>46106</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20730-2024</t>
        </is>
      </c>
      <c r="B1136" s="1" t="n">
        <v>45436</v>
      </c>
      <c r="C1136" s="1" t="n">
        <v>46106</v>
      </c>
      <c r="D1136" t="inlineStr">
        <is>
          <t>STOCKHOLMS LÄN</t>
        </is>
      </c>
      <c r="E1136" t="inlineStr">
        <is>
          <t>NORRTÄLJE</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12901-2024</t>
        </is>
      </c>
      <c r="B1137" s="1" t="n">
        <v>45385.37922453704</v>
      </c>
      <c r="C1137" s="1" t="n">
        <v>46106</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8950-2025</t>
        </is>
      </c>
      <c r="B1138" s="1" t="n">
        <v>45713</v>
      </c>
      <c r="C1138" s="1" t="n">
        <v>46106</v>
      </c>
      <c r="D1138" t="inlineStr">
        <is>
          <t>STOCKHOLMS LÄN</t>
        </is>
      </c>
      <c r="E1138" t="inlineStr">
        <is>
          <t>NORRTÄLJE</t>
        </is>
      </c>
      <c r="F1138" t="inlineStr">
        <is>
          <t>Övriga Aktiebolag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12301-2025</t>
        </is>
      </c>
      <c r="B1139" s="1" t="n">
        <v>45729.7271875</v>
      </c>
      <c r="C1139" s="1" t="n">
        <v>46106</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24351-2025</t>
        </is>
      </c>
      <c r="B1140" s="1" t="n">
        <v>45797.58399305555</v>
      </c>
      <c r="C1140" s="1" t="n">
        <v>46106</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13283-2025</t>
        </is>
      </c>
      <c r="B1141" s="1" t="n">
        <v>45735</v>
      </c>
      <c r="C1141" s="1" t="n">
        <v>46106</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24687-2025</t>
        </is>
      </c>
      <c r="B1142" s="1" t="n">
        <v>45798.66767361111</v>
      </c>
      <c r="C1142" s="1" t="n">
        <v>46106</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24638-2025</t>
        </is>
      </c>
      <c r="B1143" s="1" t="n">
        <v>45798</v>
      </c>
      <c r="C1143" s="1" t="n">
        <v>46106</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28603-2024</t>
        </is>
      </c>
      <c r="B1144" s="1" t="n">
        <v>45478.42887731481</v>
      </c>
      <c r="C1144" s="1" t="n">
        <v>46106</v>
      </c>
      <c r="D1144" t="inlineStr">
        <is>
          <t>STOCKHOLMS LÄN</t>
        </is>
      </c>
      <c r="E1144" t="inlineStr">
        <is>
          <t>NORRTÄLJE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24690-2025</t>
        </is>
      </c>
      <c r="B1145" s="1" t="n">
        <v>45798.67082175926</v>
      </c>
      <c r="C1145" s="1" t="n">
        <v>46106</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47259-2024</t>
        </is>
      </c>
      <c r="B1146" s="1" t="n">
        <v>45586</v>
      </c>
      <c r="C1146" s="1" t="n">
        <v>46106</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25702-2025</t>
        </is>
      </c>
      <c r="B1147" s="1" t="n">
        <v>45800</v>
      </c>
      <c r="C1147" s="1" t="n">
        <v>46106</v>
      </c>
      <c r="D1147" t="inlineStr">
        <is>
          <t>STOCKHOLMS LÄN</t>
        </is>
      </c>
      <c r="E1147" t="inlineStr">
        <is>
          <t>NORRTÄLJE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25712-2025</t>
        </is>
      </c>
      <c r="B1148" s="1" t="n">
        <v>45803.69228009259</v>
      </c>
      <c r="C1148" s="1" t="n">
        <v>46106</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25733-2025</t>
        </is>
      </c>
      <c r="B1149" s="1" t="n">
        <v>45800</v>
      </c>
      <c r="C1149" s="1" t="n">
        <v>46106</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39238-2024</t>
        </is>
      </c>
      <c r="B1150" s="1" t="n">
        <v>45549</v>
      </c>
      <c r="C1150" s="1" t="n">
        <v>46106</v>
      </c>
      <c r="D1150" t="inlineStr">
        <is>
          <t>STOCKHOLMS LÄN</t>
        </is>
      </c>
      <c r="E1150" t="inlineStr">
        <is>
          <t>NORRTÄLJE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25571-2025</t>
        </is>
      </c>
      <c r="B1151" s="1" t="n">
        <v>45803.4675</v>
      </c>
      <c r="C1151" s="1" t="n">
        <v>46106</v>
      </c>
      <c r="D1151" t="inlineStr">
        <is>
          <t>STOCKHOLMS LÄN</t>
        </is>
      </c>
      <c r="E1151" t="inlineStr">
        <is>
          <t>NORRTÄLJE</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25721-2025</t>
        </is>
      </c>
      <c r="B1152" s="1" t="n">
        <v>45800</v>
      </c>
      <c r="C1152" s="1" t="n">
        <v>46106</v>
      </c>
      <c r="D1152" t="inlineStr">
        <is>
          <t>STOCKHOLMS LÄN</t>
        </is>
      </c>
      <c r="E1152" t="inlineStr">
        <is>
          <t>NORRTÄLJE</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25697-2025</t>
        </is>
      </c>
      <c r="B1153" s="1" t="n">
        <v>45803.66587962963</v>
      </c>
      <c r="C1153" s="1" t="n">
        <v>46106</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41218-2024</t>
        </is>
      </c>
      <c r="B1154" s="1" t="n">
        <v>45559.54706018518</v>
      </c>
      <c r="C1154" s="1" t="n">
        <v>46106</v>
      </c>
      <c r="D1154" t="inlineStr">
        <is>
          <t>STOCKHOLMS LÄN</t>
        </is>
      </c>
      <c r="E1154" t="inlineStr">
        <is>
          <t>NORRTÄLJE</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38449-2022</t>
        </is>
      </c>
      <c r="B1155" s="1" t="n">
        <v>44813</v>
      </c>
      <c r="C1155" s="1" t="n">
        <v>46106</v>
      </c>
      <c r="D1155" t="inlineStr">
        <is>
          <t>STOCKHOLMS LÄN</t>
        </is>
      </c>
      <c r="E1155" t="inlineStr">
        <is>
          <t>NORRTÄLJE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53561-2023</t>
        </is>
      </c>
      <c r="B1156" s="1" t="n">
        <v>45224</v>
      </c>
      <c r="C1156" s="1" t="n">
        <v>46106</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26051-2025</t>
        </is>
      </c>
      <c r="B1157" s="1" t="n">
        <v>45804.74479166666</v>
      </c>
      <c r="C1157" s="1" t="n">
        <v>46106</v>
      </c>
      <c r="D1157" t="inlineStr">
        <is>
          <t>STOCKHOLMS LÄN</t>
        </is>
      </c>
      <c r="E1157" t="inlineStr">
        <is>
          <t>NORRTÄLJE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26708-2025</t>
        </is>
      </c>
      <c r="B1158" s="1" t="n">
        <v>45810.45633101852</v>
      </c>
      <c r="C1158" s="1" t="n">
        <v>46106</v>
      </c>
      <c r="D1158" t="inlineStr">
        <is>
          <t>STOCKHOLMS LÄN</t>
        </is>
      </c>
      <c r="E1158" t="inlineStr">
        <is>
          <t>NORRTÄLJE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26702-2025</t>
        </is>
      </c>
      <c r="B1159" s="1" t="n">
        <v>45810.45236111111</v>
      </c>
      <c r="C1159" s="1" t="n">
        <v>46106</v>
      </c>
      <c r="D1159" t="inlineStr">
        <is>
          <t>STOCKHOLMS LÄN</t>
        </is>
      </c>
      <c r="E1159" t="inlineStr">
        <is>
          <t>NORRTÄLJE</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23061-2025</t>
        </is>
      </c>
      <c r="B1160" s="1" t="n">
        <v>45790.81410879629</v>
      </c>
      <c r="C1160" s="1" t="n">
        <v>46106</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27040-2025</t>
        </is>
      </c>
      <c r="B1161" s="1" t="n">
        <v>45811.60451388889</v>
      </c>
      <c r="C1161" s="1" t="n">
        <v>46106</v>
      </c>
      <c r="D1161" t="inlineStr">
        <is>
          <t>STOCKHOLMS LÄN</t>
        </is>
      </c>
      <c r="E1161" t="inlineStr">
        <is>
          <t>NORRTÄLJE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26747-2025</t>
        </is>
      </c>
      <c r="B1162" s="1" t="n">
        <v>45810.5333912037</v>
      </c>
      <c r="C1162" s="1" t="n">
        <v>46106</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c r="A1163" t="inlineStr">
        <is>
          <t>A 26675-2025</t>
        </is>
      </c>
      <c r="B1163" s="1" t="n">
        <v>45810.42393518519</v>
      </c>
      <c r="C1163" s="1" t="n">
        <v>46106</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2026-03-25T11:34:36Z</dcterms:created>
  <dcterms:modified xmlns:dcterms="http://purl.org/dc/terms/" xmlns:xsi="http://www.w3.org/2001/XMLSchema-instance" xsi:type="dcterms:W3CDTF">2026-03-25T11:34:37Z</dcterms:modified>
</cp:coreProperties>
</file>