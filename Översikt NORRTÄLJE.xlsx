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46019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46019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46019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46019</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46019</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46019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46019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46019</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46019</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46019</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46019</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46019</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46019</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46019</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46019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46019</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46019</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46019</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46019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46019</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46019</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46019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61292-2025</t>
        </is>
      </c>
      <c r="B26" s="1" t="n">
        <v>46000.75015046296</v>
      </c>
      <c r="C26" s="1" t="n">
        <v>46019</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47274-2024</t>
        </is>
      </c>
      <c r="B27" s="1" t="n">
        <v>45586</v>
      </c>
      <c r="C27" s="1" t="n">
        <v>46019</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73093-2021</t>
        </is>
      </c>
      <c r="B28" s="1" t="n">
        <v>44550</v>
      </c>
      <c r="C28" s="1" t="n">
        <v>46019</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52815-2021</t>
        </is>
      </c>
      <c r="B29" s="1" t="n">
        <v>44467</v>
      </c>
      <c r="C29" s="1" t="n">
        <v>46019</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25732-2025</t>
        </is>
      </c>
      <c r="B30" s="1" t="n">
        <v>45800</v>
      </c>
      <c r="C30" s="1" t="n">
        <v>46019</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46019</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46019</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45811-2022</t>
        </is>
      </c>
      <c r="B33" s="1" t="n">
        <v>44846</v>
      </c>
      <c r="C33" s="1" t="n">
        <v>46019</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46019</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46019</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46019</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46019</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46019</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46019</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46019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46019</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56791-2025</t>
        </is>
      </c>
      <c r="B42" s="1" t="n">
        <v>45978</v>
      </c>
      <c r="C42" s="1" t="n">
        <v>46019</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72111-2021</t>
        </is>
      </c>
      <c r="B43" s="1" t="n">
        <v>44544</v>
      </c>
      <c r="C43" s="1" t="n">
        <v>46019</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46019</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46019</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46019</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46019</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46019</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46019</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72305-2021</t>
        </is>
      </c>
      <c r="B50" s="1" t="n">
        <v>44545</v>
      </c>
      <c r="C50" s="1" t="n">
        <v>46019</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47212-2025</t>
        </is>
      </c>
      <c r="B51" s="1" t="n">
        <v>45930</v>
      </c>
      <c r="C51" s="1" t="n">
        <v>46019</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46019</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46019</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46019</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46019</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46019</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46019</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46019</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46019</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46019</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46019</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46019</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46019</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46019</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46019</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46019</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27870-2022</t>
        </is>
      </c>
      <c r="B67" s="1" t="n">
        <v>44743.64592592593</v>
      </c>
      <c r="C67" s="1" t="n">
        <v>46019</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61288-2025</t>
        </is>
      </c>
      <c r="B68" s="1" t="n">
        <v>46000.73247685185</v>
      </c>
      <c r="C68" s="1" t="n">
        <v>46019</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50618-2022</t>
        </is>
      </c>
      <c r="B69" s="1" t="n">
        <v>44866</v>
      </c>
      <c r="C69" s="1" t="n">
        <v>46019</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20185-2022</t>
        </is>
      </c>
      <c r="B70" s="1" t="n">
        <v>44698</v>
      </c>
      <c r="C70" s="1" t="n">
        <v>46019</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52133-2022</t>
        </is>
      </c>
      <c r="B71" s="1" t="n">
        <v>44868</v>
      </c>
      <c r="C71" s="1" t="n">
        <v>46019</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46019</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4634-2021</t>
        </is>
      </c>
      <c r="B73" s="1" t="n">
        <v>44224</v>
      </c>
      <c r="C73" s="1" t="n">
        <v>46019</v>
      </c>
      <c r="D73" t="inlineStr">
        <is>
          <t>STOCKHOLMS LÄN</t>
        </is>
      </c>
      <c r="E73" t="inlineStr">
        <is>
          <t>NORRTÄLJE</t>
        </is>
      </c>
      <c r="G73" t="n">
        <v>3.7</v>
      </c>
      <c r="H73" t="n">
        <v>2</v>
      </c>
      <c r="I73" t="n">
        <v>1</v>
      </c>
      <c r="J73" t="n">
        <v>0</v>
      </c>
      <c r="K73" t="n">
        <v>0</v>
      </c>
      <c r="L73" t="n">
        <v>0</v>
      </c>
      <c r="M73" t="n">
        <v>0</v>
      </c>
      <c r="N73" t="n">
        <v>0</v>
      </c>
      <c r="O73" t="n">
        <v>0</v>
      </c>
      <c r="P73" t="n">
        <v>0</v>
      </c>
      <c r="Q73" t="n">
        <v>2</v>
      </c>
      <c r="R73" s="2" t="inlineStr">
        <is>
          <t>Grön sköldmossa
Tjäder</t>
        </is>
      </c>
      <c r="S73">
        <f>HYPERLINK("https://klasma.github.io/Logging_0188/artfynd/A 4634-2021 artfynd.xlsx", "A 4634-2021")</f>
        <v/>
      </c>
      <c r="T73">
        <f>HYPERLINK("https://klasma.github.io/Logging_0188/kartor/A 4634-2021 karta.png", "A 4634-2021")</f>
        <v/>
      </c>
      <c r="V73">
        <f>HYPERLINK("https://klasma.github.io/Logging_0188/klagomål/A 4634-2021 FSC-klagomål.docx", "A 4634-2021")</f>
        <v/>
      </c>
      <c r="W73">
        <f>HYPERLINK("https://klasma.github.io/Logging_0188/klagomålsmail/A 4634-2021 FSC-klagomål mail.docx", "A 4634-2021")</f>
        <v/>
      </c>
      <c r="X73">
        <f>HYPERLINK("https://klasma.github.io/Logging_0188/tillsyn/A 4634-2021 tillsynsbegäran.docx", "A 4634-2021")</f>
        <v/>
      </c>
      <c r="Y73">
        <f>HYPERLINK("https://klasma.github.io/Logging_0188/tillsynsmail/A 4634-2021 tillsynsbegäran mail.docx", "A 4634-2021")</f>
        <v/>
      </c>
      <c r="Z73">
        <f>HYPERLINK("https://klasma.github.io/Logging_0188/fåglar/A 4634-2021 prioriterade fågelarter.docx", "A 4634-2021")</f>
        <v/>
      </c>
    </row>
    <row r="74" ht="15" customHeight="1">
      <c r="A74" t="inlineStr">
        <is>
          <t>A 58676-2021</t>
        </is>
      </c>
      <c r="B74" s="1" t="n">
        <v>44489</v>
      </c>
      <c r="C74" s="1" t="n">
        <v>46019</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46019</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46019</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11031-2025</t>
        </is>
      </c>
      <c r="B77" s="1" t="n">
        <v>45723</v>
      </c>
      <c r="C77" s="1" t="n">
        <v>46019</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22190-2024</t>
        </is>
      </c>
      <c r="B78" s="1" t="n">
        <v>45446.35888888889</v>
      </c>
      <c r="C78" s="1" t="n">
        <v>46019</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50697-2025</t>
        </is>
      </c>
      <c r="B79" s="1" t="n">
        <v>45945.90854166666</v>
      </c>
      <c r="C79" s="1" t="n">
        <v>46019</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51980-2022</t>
        </is>
      </c>
      <c r="B80" s="1" t="n">
        <v>44872</v>
      </c>
      <c r="C80" s="1" t="n">
        <v>46019</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46019</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46019</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46019</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46019</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46019</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46019</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46019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46019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46019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46019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46019</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46019</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46019</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23905-2025</t>
        </is>
      </c>
      <c r="B94" s="1" t="n">
        <v>45794.63298611111</v>
      </c>
      <c r="C94" s="1" t="n">
        <v>46019</v>
      </c>
      <c r="D94" t="inlineStr">
        <is>
          <t>STOCKHOLMS LÄN</t>
        </is>
      </c>
      <c r="E94" t="inlineStr">
        <is>
          <t>NORRTÄLJE</t>
        </is>
      </c>
      <c r="G94" t="n">
        <v>8.4</v>
      </c>
      <c r="H94" t="n">
        <v>1</v>
      </c>
      <c r="I94" t="n">
        <v>0</v>
      </c>
      <c r="J94" t="n">
        <v>0</v>
      </c>
      <c r="K94" t="n">
        <v>0</v>
      </c>
      <c r="L94" t="n">
        <v>0</v>
      </c>
      <c r="M94" t="n">
        <v>0</v>
      </c>
      <c r="N94" t="n">
        <v>0</v>
      </c>
      <c r="O94" t="n">
        <v>0</v>
      </c>
      <c r="P94" t="n">
        <v>0</v>
      </c>
      <c r="Q94" t="n">
        <v>1</v>
      </c>
      <c r="R94" s="2" t="inlineStr">
        <is>
          <t>Blåsippa</t>
        </is>
      </c>
      <c r="S94">
        <f>HYPERLINK("https://klasma.github.io/Logging_0188/artfynd/A 23905-2025 artfynd.xlsx", "A 23905-2025")</f>
        <v/>
      </c>
      <c r="T94">
        <f>HYPERLINK("https://klasma.github.io/Logging_0188/kartor/A 23905-2025 karta.png", "A 23905-2025")</f>
        <v/>
      </c>
      <c r="V94">
        <f>HYPERLINK("https://klasma.github.io/Logging_0188/klagomål/A 23905-2025 FSC-klagomål.docx", "A 23905-2025")</f>
        <v/>
      </c>
      <c r="W94">
        <f>HYPERLINK("https://klasma.github.io/Logging_0188/klagomålsmail/A 23905-2025 FSC-klagomål mail.docx", "A 23905-2025")</f>
        <v/>
      </c>
      <c r="X94">
        <f>HYPERLINK("https://klasma.github.io/Logging_0188/tillsyn/A 23905-2025 tillsynsbegäran.docx", "A 23905-2025")</f>
        <v/>
      </c>
      <c r="Y94">
        <f>HYPERLINK("https://klasma.github.io/Logging_0188/tillsynsmail/A 23905-2025 tillsynsbegäran mail.docx", "A 23905-2025")</f>
        <v/>
      </c>
    </row>
    <row r="95" ht="15" customHeight="1">
      <c r="A95" t="inlineStr">
        <is>
          <t>A 25669-2025</t>
        </is>
      </c>
      <c r="B95" s="1" t="n">
        <v>45803.62766203703</v>
      </c>
      <c r="C95" s="1" t="n">
        <v>46019</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35764-2024</t>
        </is>
      </c>
      <c r="B96" s="1" t="n">
        <v>45532</v>
      </c>
      <c r="C96" s="1" t="n">
        <v>46019</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25725-2025</t>
        </is>
      </c>
      <c r="B97" s="1" t="n">
        <v>45800</v>
      </c>
      <c r="C97" s="1" t="n">
        <v>46019</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24535-2023</t>
        </is>
      </c>
      <c r="B98" s="1" t="n">
        <v>45082</v>
      </c>
      <c r="C98" s="1" t="n">
        <v>46019</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25709-2025</t>
        </is>
      </c>
      <c r="B99" s="1" t="n">
        <v>45800</v>
      </c>
      <c r="C99" s="1" t="n">
        <v>46019</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35649-2023</t>
        </is>
      </c>
      <c r="B100" s="1" t="n">
        <v>45146</v>
      </c>
      <c r="C100" s="1" t="n">
        <v>46019</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40861-2025</t>
        </is>
      </c>
      <c r="B101" s="1" t="n">
        <v>45897.56356481482</v>
      </c>
      <c r="C101" s="1" t="n">
        <v>46019</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46019</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4532-2025</t>
        </is>
      </c>
      <c r="B103" s="1" t="n">
        <v>45687.34177083334</v>
      </c>
      <c r="C103" s="1" t="n">
        <v>46019</v>
      </c>
      <c r="D103" t="inlineStr">
        <is>
          <t>STOCKHOLMS LÄN</t>
        </is>
      </c>
      <c r="E103" t="inlineStr">
        <is>
          <t>NORRTÄLJE</t>
        </is>
      </c>
      <c r="F103" t="inlineStr">
        <is>
          <t>Holmen skog AB</t>
        </is>
      </c>
      <c r="G103" t="n">
        <v>6.4</v>
      </c>
      <c r="H103" t="n">
        <v>1</v>
      </c>
      <c r="I103" t="n">
        <v>0</v>
      </c>
      <c r="J103" t="n">
        <v>0</v>
      </c>
      <c r="K103" t="n">
        <v>0</v>
      </c>
      <c r="L103" t="n">
        <v>1</v>
      </c>
      <c r="M103" t="n">
        <v>0</v>
      </c>
      <c r="N103" t="n">
        <v>0</v>
      </c>
      <c r="O103" t="n">
        <v>1</v>
      </c>
      <c r="P103" t="n">
        <v>1</v>
      </c>
      <c r="Q103" t="n">
        <v>1</v>
      </c>
      <c r="R103" s="2" t="inlineStr">
        <is>
          <t>Asknätfjäril</t>
        </is>
      </c>
      <c r="S103">
        <f>HYPERLINK("https://klasma.github.io/Logging_0188/artfynd/A 4532-2025 artfynd.xlsx", "A 4532-2025")</f>
        <v/>
      </c>
      <c r="T103">
        <f>HYPERLINK("https://klasma.github.io/Logging_0188/kartor/A 4532-2025 karta.png", "A 4532-2025")</f>
        <v/>
      </c>
      <c r="V103">
        <f>HYPERLINK("https://klasma.github.io/Logging_0188/klagomål/A 4532-2025 FSC-klagomål.docx", "A 4532-2025")</f>
        <v/>
      </c>
      <c r="W103">
        <f>HYPERLINK("https://klasma.github.io/Logging_0188/klagomålsmail/A 4532-2025 FSC-klagomål mail.docx", "A 4532-2025")</f>
        <v/>
      </c>
      <c r="X103">
        <f>HYPERLINK("https://klasma.github.io/Logging_0188/tillsyn/A 4532-2025 tillsynsbegäran.docx", "A 4532-2025")</f>
        <v/>
      </c>
      <c r="Y103">
        <f>HYPERLINK("https://klasma.github.io/Logging_0188/tillsynsmail/A 4532-2025 tillsynsbegäran mail.docx", "A 4532-2025")</f>
        <v/>
      </c>
    </row>
    <row r="104" ht="15" customHeight="1">
      <c r="A104" t="inlineStr">
        <is>
          <t>A 42313-2025</t>
        </is>
      </c>
      <c r="B104" s="1" t="n">
        <v>45904.6575</v>
      </c>
      <c r="C104" s="1" t="n">
        <v>46019</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35691-2023</t>
        </is>
      </c>
      <c r="B105" s="1" t="n">
        <v>45147.65222222222</v>
      </c>
      <c r="C105" s="1" t="n">
        <v>46019</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46019</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6381-2023</t>
        </is>
      </c>
      <c r="B107" s="1" t="n">
        <v>44965</v>
      </c>
      <c r="C107" s="1" t="n">
        <v>46019</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29946-2025</t>
        </is>
      </c>
      <c r="B108" s="1" t="n">
        <v>45826.46392361111</v>
      </c>
      <c r="C108" s="1" t="n">
        <v>46019</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50854-2022</t>
        </is>
      </c>
      <c r="B109" s="1" t="n">
        <v>44863</v>
      </c>
      <c r="C109" s="1" t="n">
        <v>46019</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33548-2025</t>
        </is>
      </c>
      <c r="B110" s="1" t="n">
        <v>45841.5721875</v>
      </c>
      <c r="C110" s="1" t="n">
        <v>46019</v>
      </c>
      <c r="D110" t="inlineStr">
        <is>
          <t>STOCKHOLMS LÄN</t>
        </is>
      </c>
      <c r="E110" t="inlineStr">
        <is>
          <t>NORRTÄLJE</t>
        </is>
      </c>
      <c r="G110" t="n">
        <v>12.2</v>
      </c>
      <c r="H110" t="n">
        <v>0</v>
      </c>
      <c r="I110" t="n">
        <v>0</v>
      </c>
      <c r="J110" t="n">
        <v>1</v>
      </c>
      <c r="K110" t="n">
        <v>0</v>
      </c>
      <c r="L110" t="n">
        <v>0</v>
      </c>
      <c r="M110" t="n">
        <v>0</v>
      </c>
      <c r="N110" t="n">
        <v>0</v>
      </c>
      <c r="O110" t="n">
        <v>1</v>
      </c>
      <c r="P110" t="n">
        <v>0</v>
      </c>
      <c r="Q110" t="n">
        <v>1</v>
      </c>
      <c r="R110" s="2" t="inlineStr">
        <is>
          <t>Dofttaggsvamp</t>
        </is>
      </c>
      <c r="S110">
        <f>HYPERLINK("https://klasma.github.io/Logging_0188/artfynd/A 33548-2025 artfynd.xlsx", "A 33548-2025")</f>
        <v/>
      </c>
      <c r="T110">
        <f>HYPERLINK("https://klasma.github.io/Logging_0188/kartor/A 33548-2025 karta.png", "A 33548-2025")</f>
        <v/>
      </c>
      <c r="V110">
        <f>HYPERLINK("https://klasma.github.io/Logging_0188/klagomål/A 33548-2025 FSC-klagomål.docx", "A 33548-2025")</f>
        <v/>
      </c>
      <c r="W110">
        <f>HYPERLINK("https://klasma.github.io/Logging_0188/klagomålsmail/A 33548-2025 FSC-klagomål mail.docx", "A 33548-2025")</f>
        <v/>
      </c>
      <c r="X110">
        <f>HYPERLINK("https://klasma.github.io/Logging_0188/tillsyn/A 33548-2025 tillsynsbegäran.docx", "A 33548-2025")</f>
        <v/>
      </c>
      <c r="Y110">
        <f>HYPERLINK("https://klasma.github.io/Logging_0188/tillsynsmail/A 33548-2025 tillsynsbegäran mail.docx", "A 33548-2025")</f>
        <v/>
      </c>
    </row>
    <row r="111" ht="15" customHeight="1">
      <c r="A111" t="inlineStr">
        <is>
          <t>A 39158-2025</t>
        </is>
      </c>
      <c r="B111" s="1" t="n">
        <v>45888</v>
      </c>
      <c r="C111" s="1" t="n">
        <v>46019</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33546-2025</t>
        </is>
      </c>
      <c r="B112" s="1" t="n">
        <v>45841.56996527778</v>
      </c>
      <c r="C112" s="1" t="n">
        <v>46019</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26120-2024</t>
        </is>
      </c>
      <c r="B113" s="1" t="n">
        <v>45468.45995370371</v>
      </c>
      <c r="C113" s="1" t="n">
        <v>46019</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46019</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46019</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8371-2025</t>
        </is>
      </c>
      <c r="B116" s="1" t="n">
        <v>45708</v>
      </c>
      <c r="C116" s="1" t="n">
        <v>46019</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59682-2025</t>
        </is>
      </c>
      <c r="B117" s="1" t="n">
        <v>45992.47116898148</v>
      </c>
      <c r="C117" s="1" t="n">
        <v>46019</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24330-2023</t>
        </is>
      </c>
      <c r="B118" s="1" t="n">
        <v>45081</v>
      </c>
      <c r="C118" s="1" t="n">
        <v>46019</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21744-2023</t>
        </is>
      </c>
      <c r="B119" s="1" t="n">
        <v>45065</v>
      </c>
      <c r="C119" s="1" t="n">
        <v>46019</v>
      </c>
      <c r="D119" t="inlineStr">
        <is>
          <t>STOCKHOLMS LÄN</t>
        </is>
      </c>
      <c r="E119" t="inlineStr">
        <is>
          <t>NORRTÄLJE</t>
        </is>
      </c>
      <c r="F119" t="inlineStr">
        <is>
          <t>Holmen skog AB</t>
        </is>
      </c>
      <c r="G119" t="n">
        <v>4.2</v>
      </c>
      <c r="H119" t="n">
        <v>0</v>
      </c>
      <c r="I119" t="n">
        <v>1</v>
      </c>
      <c r="J119" t="n">
        <v>0</v>
      </c>
      <c r="K119" t="n">
        <v>0</v>
      </c>
      <c r="L119" t="n">
        <v>0</v>
      </c>
      <c r="M119" t="n">
        <v>0</v>
      </c>
      <c r="N119" t="n">
        <v>0</v>
      </c>
      <c r="O119" t="n">
        <v>0</v>
      </c>
      <c r="P119" t="n">
        <v>0</v>
      </c>
      <c r="Q119" t="n">
        <v>1</v>
      </c>
      <c r="R119" s="2" t="inlineStr">
        <is>
          <t>Korallblylav</t>
        </is>
      </c>
      <c r="S119">
        <f>HYPERLINK("https://klasma.github.io/Logging_0188/artfynd/A 21744-2023 artfynd.xlsx", "A 21744-2023")</f>
        <v/>
      </c>
      <c r="T119">
        <f>HYPERLINK("https://klasma.github.io/Logging_0188/kartor/A 21744-2023 karta.png", "A 21744-2023")</f>
        <v/>
      </c>
      <c r="V119">
        <f>HYPERLINK("https://klasma.github.io/Logging_0188/klagomål/A 21744-2023 FSC-klagomål.docx", "A 21744-2023")</f>
        <v/>
      </c>
      <c r="W119">
        <f>HYPERLINK("https://klasma.github.io/Logging_0188/klagomålsmail/A 21744-2023 FSC-klagomål mail.docx", "A 21744-2023")</f>
        <v/>
      </c>
      <c r="X119">
        <f>HYPERLINK("https://klasma.github.io/Logging_0188/tillsyn/A 21744-2023 tillsynsbegäran.docx", "A 21744-2023")</f>
        <v/>
      </c>
      <c r="Y119">
        <f>HYPERLINK("https://klasma.github.io/Logging_0188/tillsynsmail/A 21744-2023 tillsynsbegäran mail.docx", "A 21744-2023")</f>
        <v/>
      </c>
    </row>
    <row r="120" ht="15" customHeight="1">
      <c r="A120" t="inlineStr">
        <is>
          <t>A 1162-2021</t>
        </is>
      </c>
      <c r="B120" s="1" t="n">
        <v>44207</v>
      </c>
      <c r="C120" s="1" t="n">
        <v>46019</v>
      </c>
      <c r="D120" t="inlineStr">
        <is>
          <t>STOCKHOLMS LÄN</t>
        </is>
      </c>
      <c r="E120" t="inlineStr">
        <is>
          <t>NORRTÄLJE</t>
        </is>
      </c>
      <c r="G120" t="n">
        <v>2.2</v>
      </c>
      <c r="H120" t="n">
        <v>1</v>
      </c>
      <c r="I120" t="n">
        <v>0</v>
      </c>
      <c r="J120" t="n">
        <v>0</v>
      </c>
      <c r="K120" t="n">
        <v>1</v>
      </c>
      <c r="L120" t="n">
        <v>0</v>
      </c>
      <c r="M120" t="n">
        <v>0</v>
      </c>
      <c r="N120" t="n">
        <v>0</v>
      </c>
      <c r="O120" t="n">
        <v>1</v>
      </c>
      <c r="P120" t="n">
        <v>1</v>
      </c>
      <c r="Q120" t="n">
        <v>1</v>
      </c>
      <c r="R120" s="2" t="inlineStr">
        <is>
          <t>Hällebräcka</t>
        </is>
      </c>
      <c r="S120">
        <f>HYPERLINK("https://klasma.github.io/Logging_0188/artfynd/A 1162-2021 artfynd.xlsx", "A 1162-2021")</f>
        <v/>
      </c>
      <c r="T120">
        <f>HYPERLINK("https://klasma.github.io/Logging_0188/kartor/A 1162-2021 karta.png", "A 1162-2021")</f>
        <v/>
      </c>
      <c r="V120">
        <f>HYPERLINK("https://klasma.github.io/Logging_0188/klagomål/A 1162-2021 FSC-klagomål.docx", "A 1162-2021")</f>
        <v/>
      </c>
      <c r="W120">
        <f>HYPERLINK("https://klasma.github.io/Logging_0188/klagomålsmail/A 1162-2021 FSC-klagomål mail.docx", "A 1162-2021")</f>
        <v/>
      </c>
      <c r="X120">
        <f>HYPERLINK("https://klasma.github.io/Logging_0188/tillsyn/A 1162-2021 tillsynsbegäran.docx", "A 1162-2021")</f>
        <v/>
      </c>
      <c r="Y120">
        <f>HYPERLINK("https://klasma.github.io/Logging_0188/tillsynsmail/A 1162-2021 tillsynsbegäran mail.docx", "A 1162-2021")</f>
        <v/>
      </c>
    </row>
    <row r="121" ht="15" customHeight="1">
      <c r="A121" t="inlineStr">
        <is>
          <t>A 52611-2024</t>
        </is>
      </c>
      <c r="B121" s="1" t="n">
        <v>45609.83747685186</v>
      </c>
      <c r="C121" s="1" t="n">
        <v>46019</v>
      </c>
      <c r="D121" t="inlineStr">
        <is>
          <t>STOCKHOLMS LÄN</t>
        </is>
      </c>
      <c r="E121" t="inlineStr">
        <is>
          <t>NORRTÄLJE</t>
        </is>
      </c>
      <c r="G121" t="n">
        <v>10.6</v>
      </c>
      <c r="H121" t="n">
        <v>1</v>
      </c>
      <c r="I121" t="n">
        <v>0</v>
      </c>
      <c r="J121" t="n">
        <v>0</v>
      </c>
      <c r="K121" t="n">
        <v>0</v>
      </c>
      <c r="L121" t="n">
        <v>0</v>
      </c>
      <c r="M121" t="n">
        <v>0</v>
      </c>
      <c r="N121" t="n">
        <v>0</v>
      </c>
      <c r="O121" t="n">
        <v>0</v>
      </c>
      <c r="P121" t="n">
        <v>0</v>
      </c>
      <c r="Q121" t="n">
        <v>1</v>
      </c>
      <c r="R121" s="2" t="inlineStr">
        <is>
          <t>Blåsippa</t>
        </is>
      </c>
      <c r="S121">
        <f>HYPERLINK("https://klasma.github.io/Logging_0188/artfynd/A 52611-2024 artfynd.xlsx", "A 52611-2024")</f>
        <v/>
      </c>
      <c r="T121">
        <f>HYPERLINK("https://klasma.github.io/Logging_0188/kartor/A 52611-2024 karta.png", "A 52611-2024")</f>
        <v/>
      </c>
      <c r="V121">
        <f>HYPERLINK("https://klasma.github.io/Logging_0188/klagomål/A 52611-2024 FSC-klagomål.docx", "A 52611-2024")</f>
        <v/>
      </c>
      <c r="W121">
        <f>HYPERLINK("https://klasma.github.io/Logging_0188/klagomålsmail/A 52611-2024 FSC-klagomål mail.docx", "A 52611-2024")</f>
        <v/>
      </c>
      <c r="X121">
        <f>HYPERLINK("https://klasma.github.io/Logging_0188/tillsyn/A 52611-2024 tillsynsbegäran.docx", "A 52611-2024")</f>
        <v/>
      </c>
      <c r="Y121">
        <f>HYPERLINK("https://klasma.github.io/Logging_0188/tillsynsmail/A 52611-2024 tillsynsbegäran mail.docx", "A 52611-2024")</f>
        <v/>
      </c>
    </row>
    <row r="122" ht="15" customHeight="1">
      <c r="A122" t="inlineStr">
        <is>
          <t>A 17952-2022</t>
        </is>
      </c>
      <c r="B122" s="1" t="n">
        <v>44683</v>
      </c>
      <c r="C122" s="1" t="n">
        <v>46019</v>
      </c>
      <c r="D122" t="inlineStr">
        <is>
          <t>STOCKHOLMS LÄN</t>
        </is>
      </c>
      <c r="E122" t="inlineStr">
        <is>
          <t>NORRTÄLJE</t>
        </is>
      </c>
      <c r="G122" t="n">
        <v>51.1</v>
      </c>
      <c r="H122" t="n">
        <v>0</v>
      </c>
      <c r="I122" t="n">
        <v>0</v>
      </c>
      <c r="J122" t="n">
        <v>0</v>
      </c>
      <c r="K122" t="n">
        <v>1</v>
      </c>
      <c r="L122" t="n">
        <v>0</v>
      </c>
      <c r="M122" t="n">
        <v>0</v>
      </c>
      <c r="N122" t="n">
        <v>0</v>
      </c>
      <c r="O122" t="n">
        <v>1</v>
      </c>
      <c r="P122" t="n">
        <v>1</v>
      </c>
      <c r="Q122" t="n">
        <v>1</v>
      </c>
      <c r="R122" s="2" t="inlineStr">
        <is>
          <t>Kattunvisslare</t>
        </is>
      </c>
      <c r="S122">
        <f>HYPERLINK("https://klasma.github.io/Logging_0188/artfynd/A 17952-2022 artfynd.xlsx", "A 17952-2022")</f>
        <v/>
      </c>
      <c r="T122">
        <f>HYPERLINK("https://klasma.github.io/Logging_0188/kartor/A 17952-2022 karta.png", "A 17952-2022")</f>
        <v/>
      </c>
      <c r="V122">
        <f>HYPERLINK("https://klasma.github.io/Logging_0188/klagomål/A 17952-2022 FSC-klagomål.docx", "A 17952-2022")</f>
        <v/>
      </c>
      <c r="W122">
        <f>HYPERLINK("https://klasma.github.io/Logging_0188/klagomålsmail/A 17952-2022 FSC-klagomål mail.docx", "A 17952-2022")</f>
        <v/>
      </c>
      <c r="X122">
        <f>HYPERLINK("https://klasma.github.io/Logging_0188/tillsyn/A 17952-2022 tillsynsbegäran.docx", "A 17952-2022")</f>
        <v/>
      </c>
      <c r="Y122">
        <f>HYPERLINK("https://klasma.github.io/Logging_0188/tillsynsmail/A 17952-2022 tillsynsbegäran mail.docx", "A 17952-2022")</f>
        <v/>
      </c>
    </row>
    <row r="123" ht="15" customHeight="1">
      <c r="A123" t="inlineStr">
        <is>
          <t>A 52775-2025</t>
        </is>
      </c>
      <c r="B123" s="1" t="n">
        <v>45957.41608796296</v>
      </c>
      <c r="C123" s="1" t="n">
        <v>46019</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46019</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46019</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62715-2025</t>
        </is>
      </c>
      <c r="B126" s="1" t="n">
        <v>46008.52034722222</v>
      </c>
      <c r="C126" s="1" t="n">
        <v>46019</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46019</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26635-2023</t>
        </is>
      </c>
      <c r="B128" s="1" t="n">
        <v>45092</v>
      </c>
      <c r="C128" s="1" t="n">
        <v>46019</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47898-2022</t>
        </is>
      </c>
      <c r="B129" s="1" t="n">
        <v>44855</v>
      </c>
      <c r="C129" s="1" t="n">
        <v>46019</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14365-2025</t>
        </is>
      </c>
      <c r="B130" s="1" t="n">
        <v>45741.38688657407</v>
      </c>
      <c r="C130" s="1" t="n">
        <v>46019</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32111-2022</t>
        </is>
      </c>
      <c r="B131" s="1" t="n">
        <v>44778.92797453704</v>
      </c>
      <c r="C131" s="1" t="n">
        <v>46019</v>
      </c>
      <c r="D131" t="inlineStr">
        <is>
          <t>STOCKHOLMS LÄN</t>
        </is>
      </c>
      <c r="E131" t="inlineStr">
        <is>
          <t>NORRTÄLJE</t>
        </is>
      </c>
      <c r="G131" t="n">
        <v>3.1</v>
      </c>
      <c r="H131" t="n">
        <v>0</v>
      </c>
      <c r="I131" t="n">
        <v>0</v>
      </c>
      <c r="J131" t="n">
        <v>1</v>
      </c>
      <c r="K131" t="n">
        <v>0</v>
      </c>
      <c r="L131" t="n">
        <v>0</v>
      </c>
      <c r="M131" t="n">
        <v>0</v>
      </c>
      <c r="N131" t="n">
        <v>0</v>
      </c>
      <c r="O131" t="n">
        <v>1</v>
      </c>
      <c r="P131" t="n">
        <v>0</v>
      </c>
      <c r="Q131" t="n">
        <v>1</v>
      </c>
      <c r="R131" s="2" t="inlineStr">
        <is>
          <t>Orange taggsvamp</t>
        </is>
      </c>
      <c r="S131">
        <f>HYPERLINK("https://klasma.github.io/Logging_0188/artfynd/A 32111-2022 artfynd.xlsx", "A 32111-2022")</f>
        <v/>
      </c>
      <c r="T131">
        <f>HYPERLINK("https://klasma.github.io/Logging_0188/kartor/A 32111-2022 karta.png", "A 32111-2022")</f>
        <v/>
      </c>
      <c r="V131">
        <f>HYPERLINK("https://klasma.github.io/Logging_0188/klagomål/A 32111-2022 FSC-klagomål.docx", "A 32111-2022")</f>
        <v/>
      </c>
      <c r="W131">
        <f>HYPERLINK("https://klasma.github.io/Logging_0188/klagomålsmail/A 32111-2022 FSC-klagomål mail.docx", "A 32111-2022")</f>
        <v/>
      </c>
      <c r="X131">
        <f>HYPERLINK("https://klasma.github.io/Logging_0188/tillsyn/A 32111-2022 tillsynsbegäran.docx", "A 32111-2022")</f>
        <v/>
      </c>
      <c r="Y131">
        <f>HYPERLINK("https://klasma.github.io/Logging_0188/tillsynsmail/A 32111-2022 tillsynsbegäran mail.docx", "A 32111-2022")</f>
        <v/>
      </c>
    </row>
    <row r="132" ht="15" customHeight="1">
      <c r="A132" t="inlineStr">
        <is>
          <t>A 4385-2023</t>
        </is>
      </c>
      <c r="B132" s="1" t="n">
        <v>44955.71322916666</v>
      </c>
      <c r="C132" s="1" t="n">
        <v>46019</v>
      </c>
      <c r="D132" t="inlineStr">
        <is>
          <t>STOCKHOLMS LÄN</t>
        </is>
      </c>
      <c r="E132" t="inlineStr">
        <is>
          <t>NORRTÄLJE</t>
        </is>
      </c>
      <c r="G132" t="n">
        <v>7.8</v>
      </c>
      <c r="H132" t="n">
        <v>1</v>
      </c>
      <c r="I132" t="n">
        <v>1</v>
      </c>
      <c r="J132" t="n">
        <v>0</v>
      </c>
      <c r="K132" t="n">
        <v>0</v>
      </c>
      <c r="L132" t="n">
        <v>0</v>
      </c>
      <c r="M132" t="n">
        <v>0</v>
      </c>
      <c r="N132" t="n">
        <v>0</v>
      </c>
      <c r="O132" t="n">
        <v>0</v>
      </c>
      <c r="P132" t="n">
        <v>0</v>
      </c>
      <c r="Q132" t="n">
        <v>1</v>
      </c>
      <c r="R132" s="2" t="inlineStr">
        <is>
          <t>Skogsknipprot</t>
        </is>
      </c>
      <c r="S132">
        <f>HYPERLINK("https://klasma.github.io/Logging_0188/artfynd/A 4385-2023 artfynd.xlsx", "A 4385-2023")</f>
        <v/>
      </c>
      <c r="T132">
        <f>HYPERLINK("https://klasma.github.io/Logging_0188/kartor/A 4385-2023 karta.png", "A 4385-2023")</f>
        <v/>
      </c>
      <c r="V132">
        <f>HYPERLINK("https://klasma.github.io/Logging_0188/klagomål/A 4385-2023 FSC-klagomål.docx", "A 4385-2023")</f>
        <v/>
      </c>
      <c r="W132">
        <f>HYPERLINK("https://klasma.github.io/Logging_0188/klagomålsmail/A 4385-2023 FSC-klagomål mail.docx", "A 4385-2023")</f>
        <v/>
      </c>
      <c r="X132">
        <f>HYPERLINK("https://klasma.github.io/Logging_0188/tillsyn/A 4385-2023 tillsynsbegäran.docx", "A 4385-2023")</f>
        <v/>
      </c>
      <c r="Y132">
        <f>HYPERLINK("https://klasma.github.io/Logging_0188/tillsynsmail/A 4385-2023 tillsynsbegäran mail.docx", "A 4385-2023")</f>
        <v/>
      </c>
    </row>
    <row r="133" ht="15" customHeight="1">
      <c r="A133" t="inlineStr">
        <is>
          <t>A 4860-2022</t>
        </is>
      </c>
      <c r="B133" s="1" t="n">
        <v>44592</v>
      </c>
      <c r="C133" s="1" t="n">
        <v>46019</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46019</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52508-2023</t>
        </is>
      </c>
      <c r="B135" s="1" t="n">
        <v>45225</v>
      </c>
      <c r="C135" s="1" t="n">
        <v>46019</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46019</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46019</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46019</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46019</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46019</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46019</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9955-2022</t>
        </is>
      </c>
      <c r="B142" s="1" t="n">
        <v>44620</v>
      </c>
      <c r="C142" s="1" t="n">
        <v>46019</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1970-2021</t>
        </is>
      </c>
      <c r="B143" s="1" t="n">
        <v>44210</v>
      </c>
      <c r="C143" s="1" t="n">
        <v>46019</v>
      </c>
      <c r="D143" t="inlineStr">
        <is>
          <t>STOCKHOLMS LÄN</t>
        </is>
      </c>
      <c r="E143" t="inlineStr">
        <is>
          <t>NORRTÄLJE</t>
        </is>
      </c>
      <c r="G143" t="n">
        <v>3.1</v>
      </c>
      <c r="H143" t="n">
        <v>0</v>
      </c>
      <c r="I143" t="n">
        <v>0</v>
      </c>
      <c r="J143" t="n">
        <v>0</v>
      </c>
      <c r="K143" t="n">
        <v>0</v>
      </c>
      <c r="L143" t="n">
        <v>0</v>
      </c>
      <c r="M143" t="n">
        <v>0</v>
      </c>
      <c r="N143" t="n">
        <v>0</v>
      </c>
      <c r="O143" t="n">
        <v>0</v>
      </c>
      <c r="P143" t="n">
        <v>0</v>
      </c>
      <c r="Q143" t="n">
        <v>0</v>
      </c>
      <c r="R143" s="2" t="inlineStr"/>
    </row>
    <row r="144" ht="15" customHeight="1">
      <c r="A144" t="inlineStr">
        <is>
          <t>A 1637-2021</t>
        </is>
      </c>
      <c r="B144" s="1" t="n">
        <v>44209</v>
      </c>
      <c r="C144" s="1" t="n">
        <v>46019</v>
      </c>
      <c r="D144" t="inlineStr">
        <is>
          <t>STOCKHOLMS LÄN</t>
        </is>
      </c>
      <c r="E144" t="inlineStr">
        <is>
          <t>NORRTÄLJE</t>
        </is>
      </c>
      <c r="G144" t="n">
        <v>1.6</v>
      </c>
      <c r="H144" t="n">
        <v>0</v>
      </c>
      <c r="I144" t="n">
        <v>0</v>
      </c>
      <c r="J144" t="n">
        <v>0</v>
      </c>
      <c r="K144" t="n">
        <v>0</v>
      </c>
      <c r="L144" t="n">
        <v>0</v>
      </c>
      <c r="M144" t="n">
        <v>0</v>
      </c>
      <c r="N144" t="n">
        <v>0</v>
      </c>
      <c r="O144" t="n">
        <v>0</v>
      </c>
      <c r="P144" t="n">
        <v>0</v>
      </c>
      <c r="Q144" t="n">
        <v>0</v>
      </c>
      <c r="R144" s="2" t="inlineStr"/>
    </row>
    <row r="145" ht="15" customHeight="1">
      <c r="A145" t="inlineStr">
        <is>
          <t>A 18580-2021</t>
        </is>
      </c>
      <c r="B145" s="1" t="n">
        <v>44306</v>
      </c>
      <c r="C145" s="1" t="n">
        <v>46019</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46019</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46019</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46019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46019</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46019</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46019</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46019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46019</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46019</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46019</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46019</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46019</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46019</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46019</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46019</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46019</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46019</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46019</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46019</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46019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46019</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46019</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46019</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46019</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46019</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46019</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46019</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46019</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46019</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46019</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46019</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46019</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46019</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46019</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46019</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12816-2022</t>
        </is>
      </c>
      <c r="B181" s="1" t="n">
        <v>44642</v>
      </c>
      <c r="C181" s="1" t="n">
        <v>46019</v>
      </c>
      <c r="D181" t="inlineStr">
        <is>
          <t>STOCKHOLMS LÄN</t>
        </is>
      </c>
      <c r="E181" t="inlineStr">
        <is>
          <t>NORRTÄLJE</t>
        </is>
      </c>
      <c r="G181" t="n">
        <v>4.4</v>
      </c>
      <c r="H181" t="n">
        <v>0</v>
      </c>
      <c r="I181" t="n">
        <v>0</v>
      </c>
      <c r="J181" t="n">
        <v>0</v>
      </c>
      <c r="K181" t="n">
        <v>0</v>
      </c>
      <c r="L181" t="n">
        <v>0</v>
      </c>
      <c r="M181" t="n">
        <v>0</v>
      </c>
      <c r="N181" t="n">
        <v>0</v>
      </c>
      <c r="O181" t="n">
        <v>0</v>
      </c>
      <c r="P181" t="n">
        <v>0</v>
      </c>
      <c r="Q181" t="n">
        <v>0</v>
      </c>
      <c r="R181" s="2" t="inlineStr"/>
    </row>
    <row r="182" ht="15" customHeight="1">
      <c r="A182" t="inlineStr">
        <is>
          <t>A 31807-2022</t>
        </is>
      </c>
      <c r="B182" s="1" t="n">
        <v>44776</v>
      </c>
      <c r="C182" s="1" t="n">
        <v>46019</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46019</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2447-2021</t>
        </is>
      </c>
      <c r="B184" s="1" t="n">
        <v>44214</v>
      </c>
      <c r="C184" s="1" t="n">
        <v>46019</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46019</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46019</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46019</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71876-2021</t>
        </is>
      </c>
      <c r="B188" s="1" t="n">
        <v>44543</v>
      </c>
      <c r="C188" s="1" t="n">
        <v>46019</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71878-2021</t>
        </is>
      </c>
      <c r="B189" s="1" t="n">
        <v>44543</v>
      </c>
      <c r="C189" s="1" t="n">
        <v>46019</v>
      </c>
      <c r="D189" t="inlineStr">
        <is>
          <t>STOCKHOLMS LÄN</t>
        </is>
      </c>
      <c r="E189" t="inlineStr">
        <is>
          <t>NORRTÄLJE</t>
        </is>
      </c>
      <c r="G189" t="n">
        <v>1.2</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46019</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46019</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54355-2022</t>
        </is>
      </c>
      <c r="B192" s="1" t="n">
        <v>44882</v>
      </c>
      <c r="C192" s="1" t="n">
        <v>46019</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46019</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46019</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14381-2021</t>
        </is>
      </c>
      <c r="B195" s="1" t="n">
        <v>44279</v>
      </c>
      <c r="C195" s="1" t="n">
        <v>46019</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20073-2021</t>
        </is>
      </c>
      <c r="B196" s="1" t="n">
        <v>44314</v>
      </c>
      <c r="C196" s="1" t="n">
        <v>46019</v>
      </c>
      <c r="D196" t="inlineStr">
        <is>
          <t>STOCKHOLMS LÄN</t>
        </is>
      </c>
      <c r="E196" t="inlineStr">
        <is>
          <t>NORRTÄLJE</t>
        </is>
      </c>
      <c r="G196" t="n">
        <v>4.6</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46019</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46019</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46019</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16668-2021</t>
        </is>
      </c>
      <c r="B200" s="1" t="n">
        <v>44294</v>
      </c>
      <c r="C200" s="1" t="n">
        <v>46019</v>
      </c>
      <c r="D200" t="inlineStr">
        <is>
          <t>STOCKHOLMS LÄN</t>
        </is>
      </c>
      <c r="E200" t="inlineStr">
        <is>
          <t>NORRTÄLJE</t>
        </is>
      </c>
      <c r="G200" t="n">
        <v>1.7</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46019</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23122-2021</t>
        </is>
      </c>
      <c r="B202" s="1" t="n">
        <v>44330</v>
      </c>
      <c r="C202" s="1" t="n">
        <v>46019</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46019</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46019</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46019</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46019</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46019</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46019</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46019</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46019</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46019</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17803-2022</t>
        </is>
      </c>
      <c r="B212" s="1" t="n">
        <v>44683</v>
      </c>
      <c r="C212" s="1" t="n">
        <v>46019</v>
      </c>
      <c r="D212" t="inlineStr">
        <is>
          <t>STOCKHOLMS LÄN</t>
        </is>
      </c>
      <c r="E212" t="inlineStr">
        <is>
          <t>NORRTÄLJE</t>
        </is>
      </c>
      <c r="G212" t="n">
        <v>1.4</v>
      </c>
      <c r="H212" t="n">
        <v>0</v>
      </c>
      <c r="I212" t="n">
        <v>0</v>
      </c>
      <c r="J212" t="n">
        <v>0</v>
      </c>
      <c r="K212" t="n">
        <v>0</v>
      </c>
      <c r="L212" t="n">
        <v>0</v>
      </c>
      <c r="M212" t="n">
        <v>0</v>
      </c>
      <c r="N212" t="n">
        <v>0</v>
      </c>
      <c r="O212" t="n">
        <v>0</v>
      </c>
      <c r="P212" t="n">
        <v>0</v>
      </c>
      <c r="Q212" t="n">
        <v>0</v>
      </c>
      <c r="R212" s="2" t="inlineStr"/>
    </row>
    <row r="213" ht="15" customHeight="1">
      <c r="A213" t="inlineStr">
        <is>
          <t>A 348-2021</t>
        </is>
      </c>
      <c r="B213" s="1" t="n">
        <v>44201</v>
      </c>
      <c r="C213" s="1" t="n">
        <v>46019</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367-2021</t>
        </is>
      </c>
      <c r="B214" s="1" t="n">
        <v>44201</v>
      </c>
      <c r="C214" s="1" t="n">
        <v>46019</v>
      </c>
      <c r="D214" t="inlineStr">
        <is>
          <t>STOCKHOLMS LÄN</t>
        </is>
      </c>
      <c r="E214" t="inlineStr">
        <is>
          <t>NORRTÄLJE</t>
        </is>
      </c>
      <c r="G214" t="n">
        <v>0.1</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46019</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46019</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64628-2021</t>
        </is>
      </c>
      <c r="B217" s="1" t="n">
        <v>44511</v>
      </c>
      <c r="C217" s="1" t="n">
        <v>46019</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65611-2021</t>
        </is>
      </c>
      <c r="B218" s="1" t="n">
        <v>44516.5275462963</v>
      </c>
      <c r="C218" s="1" t="n">
        <v>46019</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60813-2021</t>
        </is>
      </c>
      <c r="B219" s="1" t="n">
        <v>44496</v>
      </c>
      <c r="C219" s="1" t="n">
        <v>46019</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60209-2021</t>
        </is>
      </c>
      <c r="B220" s="1" t="n">
        <v>44495</v>
      </c>
      <c r="C220" s="1" t="n">
        <v>46019</v>
      </c>
      <c r="D220" t="inlineStr">
        <is>
          <t>STOCKHOLMS LÄN</t>
        </is>
      </c>
      <c r="E220" t="inlineStr">
        <is>
          <t>NORRTÄLJE</t>
        </is>
      </c>
      <c r="G220" t="n">
        <v>4.3</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46019</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46019</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46019</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5351-2022</t>
        </is>
      </c>
      <c r="B224" s="1" t="n">
        <v>44594.75950231482</v>
      </c>
      <c r="C224" s="1" t="n">
        <v>46019</v>
      </c>
      <c r="D224" t="inlineStr">
        <is>
          <t>STOCKHOLMS LÄN</t>
        </is>
      </c>
      <c r="E224" t="inlineStr">
        <is>
          <t>NORRTÄLJE</t>
        </is>
      </c>
      <c r="G224" t="n">
        <v>4</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46019</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46019</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46019</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46019</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46019</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46019</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46019</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46019</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46019</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46019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46019</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46019</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46019</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46019</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46019</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46019</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46019</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46019</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46019</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46019</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1968-2022</t>
        </is>
      </c>
      <c r="B245" s="1" t="n">
        <v>44575.52831018518</v>
      </c>
      <c r="C245" s="1" t="n">
        <v>46019</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46019</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46019</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24167-2022</t>
        </is>
      </c>
      <c r="B248" s="1" t="n">
        <v>44725.49491898148</v>
      </c>
      <c r="C248" s="1" t="n">
        <v>46019</v>
      </c>
      <c r="D248" t="inlineStr">
        <is>
          <t>STOCKHOLMS LÄN</t>
        </is>
      </c>
      <c r="E248" t="inlineStr">
        <is>
          <t>NORRTÄLJE</t>
        </is>
      </c>
      <c r="G248" t="n">
        <v>3.4</v>
      </c>
      <c r="H248" t="n">
        <v>0</v>
      </c>
      <c r="I248" t="n">
        <v>0</v>
      </c>
      <c r="J248" t="n">
        <v>0</v>
      </c>
      <c r="K248" t="n">
        <v>0</v>
      </c>
      <c r="L248" t="n">
        <v>0</v>
      </c>
      <c r="M248" t="n">
        <v>0</v>
      </c>
      <c r="N248" t="n">
        <v>0</v>
      </c>
      <c r="O248" t="n">
        <v>0</v>
      </c>
      <c r="P248" t="n">
        <v>0</v>
      </c>
      <c r="Q248" t="n">
        <v>0</v>
      </c>
      <c r="R248" s="2" t="inlineStr"/>
    </row>
    <row r="249" ht="15" customHeight="1">
      <c r="A249" t="inlineStr">
        <is>
          <t>A 42396-2021</t>
        </is>
      </c>
      <c r="B249" s="1" t="n">
        <v>44427</v>
      </c>
      <c r="C249" s="1" t="n">
        <v>46019</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2732-2022</t>
        </is>
      </c>
      <c r="B250" s="1" t="n">
        <v>44580</v>
      </c>
      <c r="C250" s="1" t="n">
        <v>46019</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46019</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16119-2022</t>
        </is>
      </c>
      <c r="B252" s="1" t="n">
        <v>44665.66407407408</v>
      </c>
      <c r="C252" s="1" t="n">
        <v>46019</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12270-2022</t>
        </is>
      </c>
      <c r="B253" s="1" t="n">
        <v>44637</v>
      </c>
      <c r="C253" s="1" t="n">
        <v>46019</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46019</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46019</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46019</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41398-2022</t>
        </is>
      </c>
      <c r="B257" s="1" t="n">
        <v>44826</v>
      </c>
      <c r="C257" s="1" t="n">
        <v>46019</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22369-2021</t>
        </is>
      </c>
      <c r="B258" s="1" t="n">
        <v>44326</v>
      </c>
      <c r="C258" s="1" t="n">
        <v>46019</v>
      </c>
      <c r="D258" t="inlineStr">
        <is>
          <t>STOCKHOLMS LÄN</t>
        </is>
      </c>
      <c r="E258" t="inlineStr">
        <is>
          <t>NORRTÄLJE</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46019</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46019</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46019</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46019</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46019</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46019</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46019</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9446-2021</t>
        </is>
      </c>
      <c r="B266" s="1" t="n">
        <v>44251</v>
      </c>
      <c r="C266" s="1" t="n">
        <v>46019</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46019</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17673-2021</t>
        </is>
      </c>
      <c r="B268" s="1" t="n">
        <v>44300</v>
      </c>
      <c r="C268" s="1" t="n">
        <v>46019</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27217-2021</t>
        </is>
      </c>
      <c r="B269" s="1" t="n">
        <v>44350</v>
      </c>
      <c r="C269" s="1" t="n">
        <v>46019</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46019</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46019</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46019</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46019</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46019</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46019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46019</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7565-2022</t>
        </is>
      </c>
      <c r="B277" s="1" t="n">
        <v>44607</v>
      </c>
      <c r="C277" s="1" t="n">
        <v>46019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46019</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46019</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8160-2022</t>
        </is>
      </c>
      <c r="B280" s="1" t="n">
        <v>44609</v>
      </c>
      <c r="C280" s="1" t="n">
        <v>46019</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46019</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39319-2022</t>
        </is>
      </c>
      <c r="B282" s="1" t="n">
        <v>44817.70516203704</v>
      </c>
      <c r="C282" s="1" t="n">
        <v>46019</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46019</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15226-2022</t>
        </is>
      </c>
      <c r="B284" s="1" t="n">
        <v>44658</v>
      </c>
      <c r="C284" s="1" t="n">
        <v>46019</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46019</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46019</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10521-2022</t>
        </is>
      </c>
      <c r="B287" s="1" t="n">
        <v>44623</v>
      </c>
      <c r="C287" s="1" t="n">
        <v>46019</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17771-2022</t>
        </is>
      </c>
      <c r="B288" s="1" t="n">
        <v>44682.75924768519</v>
      </c>
      <c r="C288" s="1" t="n">
        <v>46019</v>
      </c>
      <c r="D288" t="inlineStr">
        <is>
          <t>STOCKHOLMS LÄN</t>
        </is>
      </c>
      <c r="E288" t="inlineStr">
        <is>
          <t>NORRTÄLJE</t>
        </is>
      </c>
      <c r="G288" t="n">
        <v>13.3</v>
      </c>
      <c r="H288" t="n">
        <v>0</v>
      </c>
      <c r="I288" t="n">
        <v>0</v>
      </c>
      <c r="J288" t="n">
        <v>0</v>
      </c>
      <c r="K288" t="n">
        <v>0</v>
      </c>
      <c r="L288" t="n">
        <v>0</v>
      </c>
      <c r="M288" t="n">
        <v>0</v>
      </c>
      <c r="N288" t="n">
        <v>0</v>
      </c>
      <c r="O288" t="n">
        <v>0</v>
      </c>
      <c r="P288" t="n">
        <v>0</v>
      </c>
      <c r="Q288" t="n">
        <v>0</v>
      </c>
      <c r="R288" s="2" t="inlineStr"/>
    </row>
    <row r="289" ht="15" customHeight="1">
      <c r="A289" t="inlineStr">
        <is>
          <t>A 17773-2022</t>
        </is>
      </c>
      <c r="B289" s="1" t="n">
        <v>44682.77616898148</v>
      </c>
      <c r="C289" s="1" t="n">
        <v>46019</v>
      </c>
      <c r="D289" t="inlineStr">
        <is>
          <t>STOCKHOLMS LÄN</t>
        </is>
      </c>
      <c r="E289" t="inlineStr">
        <is>
          <t>NORRTÄLJE</t>
        </is>
      </c>
      <c r="G289" t="n">
        <v>10.8</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46019</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46019</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46019</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17772-2022</t>
        </is>
      </c>
      <c r="B293" s="1" t="n">
        <v>44682.76528935185</v>
      </c>
      <c r="C293" s="1" t="n">
        <v>46019</v>
      </c>
      <c r="D293" t="inlineStr">
        <is>
          <t>STOCKHOLMS LÄN</t>
        </is>
      </c>
      <c r="E293" t="inlineStr">
        <is>
          <t>NORRTÄLJE</t>
        </is>
      </c>
      <c r="G293" t="n">
        <v>4</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46019</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46019</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67285-2021</t>
        </is>
      </c>
      <c r="B296" s="1" t="n">
        <v>44523.61635416667</v>
      </c>
      <c r="C296" s="1" t="n">
        <v>46019</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5611-2022</t>
        </is>
      </c>
      <c r="B297" s="1" t="n">
        <v>44595</v>
      </c>
      <c r="C297" s="1" t="n">
        <v>46019</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32055-2021</t>
        </is>
      </c>
      <c r="B298" s="1" t="n">
        <v>44370.72197916666</v>
      </c>
      <c r="C298" s="1" t="n">
        <v>46019</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24101-2022</t>
        </is>
      </c>
      <c r="B299" s="1" t="n">
        <v>44725</v>
      </c>
      <c r="C299" s="1" t="n">
        <v>46019</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71880-2021</t>
        </is>
      </c>
      <c r="B300" s="1" t="n">
        <v>44543</v>
      </c>
      <c r="C300" s="1" t="n">
        <v>46019</v>
      </c>
      <c r="D300" t="inlineStr">
        <is>
          <t>STOCKHOLMS LÄN</t>
        </is>
      </c>
      <c r="E300" t="inlineStr">
        <is>
          <t>NORRTÄLJE</t>
        </is>
      </c>
      <c r="G300" t="n">
        <v>2</v>
      </c>
      <c r="H300" t="n">
        <v>0</v>
      </c>
      <c r="I300" t="n">
        <v>0</v>
      </c>
      <c r="J300" t="n">
        <v>0</v>
      </c>
      <c r="K300" t="n">
        <v>0</v>
      </c>
      <c r="L300" t="n">
        <v>0</v>
      </c>
      <c r="M300" t="n">
        <v>0</v>
      </c>
      <c r="N300" t="n">
        <v>0</v>
      </c>
      <c r="O300" t="n">
        <v>0</v>
      </c>
      <c r="P300" t="n">
        <v>0</v>
      </c>
      <c r="Q300" t="n">
        <v>0</v>
      </c>
      <c r="R300" s="2" t="inlineStr"/>
    </row>
    <row r="301" ht="15" customHeight="1">
      <c r="A301" t="inlineStr">
        <is>
          <t>A 38721-2022</t>
        </is>
      </c>
      <c r="B301" s="1" t="n">
        <v>44815</v>
      </c>
      <c r="C301" s="1" t="n">
        <v>46019</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46019</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15915-2023</t>
        </is>
      </c>
      <c r="B303" s="1" t="n">
        <v>45022</v>
      </c>
      <c r="C303" s="1" t="n">
        <v>46019</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27828-2022</t>
        </is>
      </c>
      <c r="B304" s="1" t="n">
        <v>44743.59765046297</v>
      </c>
      <c r="C304" s="1" t="n">
        <v>46019</v>
      </c>
      <c r="D304" t="inlineStr">
        <is>
          <t>STOCKHOLMS LÄN</t>
        </is>
      </c>
      <c r="E304" t="inlineStr">
        <is>
          <t>NORRTÄLJE</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44670.4190162037</v>
      </c>
      <c r="C305" s="1" t="n">
        <v>46019</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55243-2023</t>
        </is>
      </c>
      <c r="B306" s="1" t="n">
        <v>45237</v>
      </c>
      <c r="C306" s="1" t="n">
        <v>46019</v>
      </c>
      <c r="D306" t="inlineStr">
        <is>
          <t>STOCKHOLMS LÄN</t>
        </is>
      </c>
      <c r="E306" t="inlineStr">
        <is>
          <t>NORRTÄLJE</t>
        </is>
      </c>
      <c r="G306" t="n">
        <v>6.5</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46019</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33226-2024</t>
        </is>
      </c>
      <c r="B308" s="1" t="n">
        <v>45518</v>
      </c>
      <c r="C308" s="1" t="n">
        <v>46019</v>
      </c>
      <c r="D308" t="inlineStr">
        <is>
          <t>STOCKHOLMS LÄN</t>
        </is>
      </c>
      <c r="E308" t="inlineStr">
        <is>
          <t>NORRTÄLJE</t>
        </is>
      </c>
      <c r="G308" t="n">
        <v>13.8</v>
      </c>
      <c r="H308" t="n">
        <v>0</v>
      </c>
      <c r="I308" t="n">
        <v>0</v>
      </c>
      <c r="J308" t="n">
        <v>0</v>
      </c>
      <c r="K308" t="n">
        <v>0</v>
      </c>
      <c r="L308" t="n">
        <v>0</v>
      </c>
      <c r="M308" t="n">
        <v>0</v>
      </c>
      <c r="N308" t="n">
        <v>0</v>
      </c>
      <c r="O308" t="n">
        <v>0</v>
      </c>
      <c r="P308" t="n">
        <v>0</v>
      </c>
      <c r="Q308" t="n">
        <v>0</v>
      </c>
      <c r="R308" s="2" t="inlineStr"/>
    </row>
    <row r="309" ht="15" customHeight="1">
      <c r="A309" t="inlineStr">
        <is>
          <t>A 22412-2021</t>
        </is>
      </c>
      <c r="B309" s="1" t="n">
        <v>44326.61967592593</v>
      </c>
      <c r="C309" s="1" t="n">
        <v>46019</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52260-2022</t>
        </is>
      </c>
      <c r="B310" s="1" t="n">
        <v>44869</v>
      </c>
      <c r="C310" s="1" t="n">
        <v>46019</v>
      </c>
      <c r="D310" t="inlineStr">
        <is>
          <t>STOCKHOLMS LÄN</t>
        </is>
      </c>
      <c r="E310" t="inlineStr">
        <is>
          <t>NORRTÄLJE</t>
        </is>
      </c>
      <c r="G310" t="n">
        <v>3.1</v>
      </c>
      <c r="H310" t="n">
        <v>0</v>
      </c>
      <c r="I310" t="n">
        <v>0</v>
      </c>
      <c r="J310" t="n">
        <v>0</v>
      </c>
      <c r="K310" t="n">
        <v>0</v>
      </c>
      <c r="L310" t="n">
        <v>0</v>
      </c>
      <c r="M310" t="n">
        <v>0</v>
      </c>
      <c r="N310" t="n">
        <v>0</v>
      </c>
      <c r="O310" t="n">
        <v>0</v>
      </c>
      <c r="P310" t="n">
        <v>0</v>
      </c>
      <c r="Q310" t="n">
        <v>0</v>
      </c>
      <c r="R310" s="2" t="inlineStr"/>
    </row>
    <row r="311" ht="15" customHeight="1">
      <c r="A311" t="inlineStr">
        <is>
          <t>A 22008-2024</t>
        </is>
      </c>
      <c r="B311" s="1" t="n">
        <v>45443</v>
      </c>
      <c r="C311" s="1" t="n">
        <v>46019</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13053-2022</t>
        </is>
      </c>
      <c r="B312" s="1" t="n">
        <v>44643</v>
      </c>
      <c r="C312" s="1" t="n">
        <v>46019</v>
      </c>
      <c r="D312" t="inlineStr">
        <is>
          <t>STOCKHOLMS LÄN</t>
        </is>
      </c>
      <c r="E312" t="inlineStr">
        <is>
          <t>NORRTÄLJE</t>
        </is>
      </c>
      <c r="G312" t="n">
        <v>2.8</v>
      </c>
      <c r="H312" t="n">
        <v>0</v>
      </c>
      <c r="I312" t="n">
        <v>0</v>
      </c>
      <c r="J312" t="n">
        <v>0</v>
      </c>
      <c r="K312" t="n">
        <v>0</v>
      </c>
      <c r="L312" t="n">
        <v>0</v>
      </c>
      <c r="M312" t="n">
        <v>0</v>
      </c>
      <c r="N312" t="n">
        <v>0</v>
      </c>
      <c r="O312" t="n">
        <v>0</v>
      </c>
      <c r="P312" t="n">
        <v>0</v>
      </c>
      <c r="Q312" t="n">
        <v>0</v>
      </c>
      <c r="R312" s="2" t="inlineStr"/>
    </row>
    <row r="313" ht="15" customHeight="1">
      <c r="A313" t="inlineStr">
        <is>
          <t>A 25557-2023</t>
        </is>
      </c>
      <c r="B313" s="1" t="n">
        <v>45089</v>
      </c>
      <c r="C313" s="1" t="n">
        <v>46019</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44743.47407407407</v>
      </c>
      <c r="C314" s="1" t="n">
        <v>46019</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64137-2021</t>
        </is>
      </c>
      <c r="B315" s="1" t="n">
        <v>44510.51422453704</v>
      </c>
      <c r="C315" s="1" t="n">
        <v>46019</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29972-2024</t>
        </is>
      </c>
      <c r="B316" s="1" t="n">
        <v>45485</v>
      </c>
      <c r="C316" s="1" t="n">
        <v>46019</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48716-2023</t>
        </is>
      </c>
      <c r="B317" s="1" t="n">
        <v>45208.69671296296</v>
      </c>
      <c r="C317" s="1" t="n">
        <v>46019</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11122-2021</t>
        </is>
      </c>
      <c r="B318" s="1" t="n">
        <v>44260</v>
      </c>
      <c r="C318" s="1" t="n">
        <v>46019</v>
      </c>
      <c r="D318" t="inlineStr">
        <is>
          <t>STOCKHOLMS LÄN</t>
        </is>
      </c>
      <c r="E318" t="inlineStr">
        <is>
          <t>NORRTÄLJE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5027-2025</t>
        </is>
      </c>
      <c r="B319" s="1" t="n">
        <v>45691.41101851852</v>
      </c>
      <c r="C319" s="1" t="n">
        <v>46019</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12268-2022</t>
        </is>
      </c>
      <c r="B320" s="1" t="n">
        <v>44637</v>
      </c>
      <c r="C320" s="1" t="n">
        <v>46019</v>
      </c>
      <c r="D320" t="inlineStr">
        <is>
          <t>STOCKHOLMS LÄN</t>
        </is>
      </c>
      <c r="E320" t="inlineStr">
        <is>
          <t>NORRTÄLJE</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20015-2023</t>
        </is>
      </c>
      <c r="B321" s="1" t="n">
        <v>45054</v>
      </c>
      <c r="C321" s="1" t="n">
        <v>46019</v>
      </c>
      <c r="D321" t="inlineStr">
        <is>
          <t>STOCKHOLMS LÄN</t>
        </is>
      </c>
      <c r="E321" t="inlineStr">
        <is>
          <t>NORRTÄLJE</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3273-2025</t>
        </is>
      </c>
      <c r="B322" s="1" t="n">
        <v>45679</v>
      </c>
      <c r="C322" s="1" t="n">
        <v>46019</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24245-2024</t>
        </is>
      </c>
      <c r="B323" s="1" t="n">
        <v>45457</v>
      </c>
      <c r="C323" s="1" t="n">
        <v>46019</v>
      </c>
      <c r="D323" t="inlineStr">
        <is>
          <t>STOCKHOLMS LÄN</t>
        </is>
      </c>
      <c r="E323" t="inlineStr">
        <is>
          <t>NORRTÄLJE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13172-2025</t>
        </is>
      </c>
      <c r="B324" s="1" t="n">
        <v>45735.36873842592</v>
      </c>
      <c r="C324" s="1" t="n">
        <v>46019</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46019</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15256-2023</t>
        </is>
      </c>
      <c r="B326" s="1" t="n">
        <v>45019.3959837963</v>
      </c>
      <c r="C326" s="1" t="n">
        <v>46019</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20428-2024</t>
        </is>
      </c>
      <c r="B327" s="1" t="n">
        <v>45435</v>
      </c>
      <c r="C327" s="1" t="n">
        <v>46019</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22456-2023</t>
        </is>
      </c>
      <c r="B328" s="1" t="n">
        <v>45070</v>
      </c>
      <c r="C328" s="1" t="n">
        <v>46019</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64145-2021</t>
        </is>
      </c>
      <c r="B329" s="1" t="n">
        <v>44510</v>
      </c>
      <c r="C329" s="1" t="n">
        <v>46019</v>
      </c>
      <c r="D329" t="inlineStr">
        <is>
          <t>STOCKHOLMS LÄN</t>
        </is>
      </c>
      <c r="E329" t="inlineStr">
        <is>
          <t>NORRTÄLJE</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1740-2023</t>
        </is>
      </c>
      <c r="B330" s="1" t="n">
        <v>44938</v>
      </c>
      <c r="C330" s="1" t="n">
        <v>46019</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4596-2023</t>
        </is>
      </c>
      <c r="B331" s="1" t="n">
        <v>44956</v>
      </c>
      <c r="C331" s="1" t="n">
        <v>46019</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17785-2024</t>
        </is>
      </c>
      <c r="B332" s="1" t="n">
        <v>45418.6968287037</v>
      </c>
      <c r="C332" s="1" t="n">
        <v>46019</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6678-2025</t>
        </is>
      </c>
      <c r="B333" s="1" t="n">
        <v>45700</v>
      </c>
      <c r="C333" s="1" t="n">
        <v>46019</v>
      </c>
      <c r="D333" t="inlineStr">
        <is>
          <t>STOCKHOLMS LÄN</t>
        </is>
      </c>
      <c r="E333" t="inlineStr">
        <is>
          <t>NORRTÄLJE</t>
        </is>
      </c>
      <c r="F333" t="inlineStr">
        <is>
          <t>Övriga Aktiebolag</t>
        </is>
      </c>
      <c r="G333" t="n">
        <v>6.6</v>
      </c>
      <c r="H333" t="n">
        <v>0</v>
      </c>
      <c r="I333" t="n">
        <v>0</v>
      </c>
      <c r="J333" t="n">
        <v>0</v>
      </c>
      <c r="K333" t="n">
        <v>0</v>
      </c>
      <c r="L333" t="n">
        <v>0</v>
      </c>
      <c r="M333" t="n">
        <v>0</v>
      </c>
      <c r="N333" t="n">
        <v>0</v>
      </c>
      <c r="O333" t="n">
        <v>0</v>
      </c>
      <c r="P333" t="n">
        <v>0</v>
      </c>
      <c r="Q333" t="n">
        <v>0</v>
      </c>
      <c r="R333" s="2" t="inlineStr"/>
    </row>
    <row r="334" ht="15" customHeight="1">
      <c r="A334" t="inlineStr">
        <is>
          <t>A 10676-2025</t>
        </is>
      </c>
      <c r="B334" s="1" t="n">
        <v>45721.88684027778</v>
      </c>
      <c r="C334" s="1" t="n">
        <v>46019</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19982-2022</t>
        </is>
      </c>
      <c r="B335" s="1" t="n">
        <v>44697</v>
      </c>
      <c r="C335" s="1" t="n">
        <v>46019</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20852-2023</t>
        </is>
      </c>
      <c r="B336" s="1" t="n">
        <v>45058.78607638889</v>
      </c>
      <c r="C336" s="1" t="n">
        <v>46019</v>
      </c>
      <c r="D336" t="inlineStr">
        <is>
          <t>STOCKHOLMS LÄN</t>
        </is>
      </c>
      <c r="E336" t="inlineStr">
        <is>
          <t>NORRTÄLJE</t>
        </is>
      </c>
      <c r="G336" t="n">
        <v>3.5</v>
      </c>
      <c r="H336" t="n">
        <v>0</v>
      </c>
      <c r="I336" t="n">
        <v>0</v>
      </c>
      <c r="J336" t="n">
        <v>0</v>
      </c>
      <c r="K336" t="n">
        <v>0</v>
      </c>
      <c r="L336" t="n">
        <v>0</v>
      </c>
      <c r="M336" t="n">
        <v>0</v>
      </c>
      <c r="N336" t="n">
        <v>0</v>
      </c>
      <c r="O336" t="n">
        <v>0</v>
      </c>
      <c r="P336" t="n">
        <v>0</v>
      </c>
      <c r="Q336" t="n">
        <v>0</v>
      </c>
      <c r="R336" s="2" t="inlineStr"/>
    </row>
    <row r="337" ht="15" customHeight="1">
      <c r="A337" t="inlineStr">
        <is>
          <t>A 44917-2022</t>
        </is>
      </c>
      <c r="B337" s="1" t="n">
        <v>44841.52804398148</v>
      </c>
      <c r="C337" s="1" t="n">
        <v>46019</v>
      </c>
      <c r="D337" t="inlineStr">
        <is>
          <t>STOCKHOLMS LÄN</t>
        </is>
      </c>
      <c r="E337" t="inlineStr">
        <is>
          <t>NORRTÄLJE</t>
        </is>
      </c>
      <c r="F337" t="inlineStr">
        <is>
          <t>Holmen skog AB</t>
        </is>
      </c>
      <c r="G337" t="n">
        <v>3.3</v>
      </c>
      <c r="H337" t="n">
        <v>0</v>
      </c>
      <c r="I337" t="n">
        <v>0</v>
      </c>
      <c r="J337" t="n">
        <v>0</v>
      </c>
      <c r="K337" t="n">
        <v>0</v>
      </c>
      <c r="L337" t="n">
        <v>0</v>
      </c>
      <c r="M337" t="n">
        <v>0</v>
      </c>
      <c r="N337" t="n">
        <v>0</v>
      </c>
      <c r="O337" t="n">
        <v>0</v>
      </c>
      <c r="P337" t="n">
        <v>0</v>
      </c>
      <c r="Q337" t="n">
        <v>0</v>
      </c>
      <c r="R337" s="2" t="inlineStr"/>
    </row>
    <row r="338" ht="15" customHeight="1">
      <c r="A338" t="inlineStr">
        <is>
          <t>A 42075-2023</t>
        </is>
      </c>
      <c r="B338" s="1" t="n">
        <v>45177</v>
      </c>
      <c r="C338" s="1" t="n">
        <v>46019</v>
      </c>
      <c r="D338" t="inlineStr">
        <is>
          <t>STOCKHOLMS LÄN</t>
        </is>
      </c>
      <c r="E338" t="inlineStr">
        <is>
          <t>NORRTÄLJE</t>
        </is>
      </c>
      <c r="G338" t="n">
        <v>2.5</v>
      </c>
      <c r="H338" t="n">
        <v>0</v>
      </c>
      <c r="I338" t="n">
        <v>0</v>
      </c>
      <c r="J338" t="n">
        <v>0</v>
      </c>
      <c r="K338" t="n">
        <v>0</v>
      </c>
      <c r="L338" t="n">
        <v>0</v>
      </c>
      <c r="M338" t="n">
        <v>0</v>
      </c>
      <c r="N338" t="n">
        <v>0</v>
      </c>
      <c r="O338" t="n">
        <v>0</v>
      </c>
      <c r="P338" t="n">
        <v>0</v>
      </c>
      <c r="Q338" t="n">
        <v>0</v>
      </c>
      <c r="R338" s="2" t="inlineStr"/>
    </row>
    <row r="339" ht="15" customHeight="1">
      <c r="A339" t="inlineStr">
        <is>
          <t>A 50108-2021</t>
        </is>
      </c>
      <c r="B339" s="1" t="n">
        <v>44456</v>
      </c>
      <c r="C339" s="1" t="n">
        <v>46019</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55058-2021</t>
        </is>
      </c>
      <c r="B340" s="1" t="n">
        <v>44474.62141203704</v>
      </c>
      <c r="C340" s="1" t="n">
        <v>46019</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50355-2024</t>
        </is>
      </c>
      <c r="B341" s="1" t="n">
        <v>45600.86128472222</v>
      </c>
      <c r="C341" s="1" t="n">
        <v>46019</v>
      </c>
      <c r="D341" t="inlineStr">
        <is>
          <t>STOCKHOLMS LÄN</t>
        </is>
      </c>
      <c r="E341" t="inlineStr">
        <is>
          <t>NORRTÄLJE</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55012-2024</t>
        </is>
      </c>
      <c r="B342" s="1" t="n">
        <v>45621.34813657407</v>
      </c>
      <c r="C342" s="1" t="n">
        <v>46019</v>
      </c>
      <c r="D342" t="inlineStr">
        <is>
          <t>STOCKHOLMS LÄN</t>
        </is>
      </c>
      <c r="E342" t="inlineStr">
        <is>
          <t>NORRTÄLJE</t>
        </is>
      </c>
      <c r="F342" t="inlineStr">
        <is>
          <t>Sveaskog</t>
        </is>
      </c>
      <c r="G342" t="n">
        <v>5.2</v>
      </c>
      <c r="H342" t="n">
        <v>0</v>
      </c>
      <c r="I342" t="n">
        <v>0</v>
      </c>
      <c r="J342" t="n">
        <v>0</v>
      </c>
      <c r="K342" t="n">
        <v>0</v>
      </c>
      <c r="L342" t="n">
        <v>0</v>
      </c>
      <c r="M342" t="n">
        <v>0</v>
      </c>
      <c r="N342" t="n">
        <v>0</v>
      </c>
      <c r="O342" t="n">
        <v>0</v>
      </c>
      <c r="P342" t="n">
        <v>0</v>
      </c>
      <c r="Q342" t="n">
        <v>0</v>
      </c>
      <c r="R342" s="2" t="inlineStr"/>
    </row>
    <row r="343" ht="15" customHeight="1">
      <c r="A343" t="inlineStr">
        <is>
          <t>A 7413-2024</t>
        </is>
      </c>
      <c r="B343" s="1" t="n">
        <v>45345.6059837963</v>
      </c>
      <c r="C343" s="1" t="n">
        <v>46019</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12251-2025</t>
        </is>
      </c>
      <c r="B344" s="1" t="n">
        <v>45729.60859953704</v>
      </c>
      <c r="C344" s="1" t="n">
        <v>46019</v>
      </c>
      <c r="D344" t="inlineStr">
        <is>
          <t>STOCKHOLMS LÄN</t>
        </is>
      </c>
      <c r="E344" t="inlineStr">
        <is>
          <t>NORRTÄLJE</t>
        </is>
      </c>
      <c r="F344" t="inlineStr">
        <is>
          <t>Holmen skog AB</t>
        </is>
      </c>
      <c r="G344" t="n">
        <v>5.9</v>
      </c>
      <c r="H344" t="n">
        <v>0</v>
      </c>
      <c r="I344" t="n">
        <v>0</v>
      </c>
      <c r="J344" t="n">
        <v>0</v>
      </c>
      <c r="K344" t="n">
        <v>0</v>
      </c>
      <c r="L344" t="n">
        <v>0</v>
      </c>
      <c r="M344" t="n">
        <v>0</v>
      </c>
      <c r="N344" t="n">
        <v>0</v>
      </c>
      <c r="O344" t="n">
        <v>0</v>
      </c>
      <c r="P344" t="n">
        <v>0</v>
      </c>
      <c r="Q344" t="n">
        <v>0</v>
      </c>
      <c r="R344" s="2" t="inlineStr"/>
    </row>
    <row r="345" ht="15" customHeight="1">
      <c r="A345" t="inlineStr">
        <is>
          <t>A 11900-2024</t>
        </is>
      </c>
      <c r="B345" s="1" t="n">
        <v>45376.55484953704</v>
      </c>
      <c r="C345" s="1" t="n">
        <v>46019</v>
      </c>
      <c r="D345" t="inlineStr">
        <is>
          <t>STOCKHOLMS LÄN</t>
        </is>
      </c>
      <c r="E345" t="inlineStr">
        <is>
          <t>NORRTÄLJE</t>
        </is>
      </c>
      <c r="G345" t="n">
        <v>4.2</v>
      </c>
      <c r="H345" t="n">
        <v>0</v>
      </c>
      <c r="I345" t="n">
        <v>0</v>
      </c>
      <c r="J345" t="n">
        <v>0</v>
      </c>
      <c r="K345" t="n">
        <v>0</v>
      </c>
      <c r="L345" t="n">
        <v>0</v>
      </c>
      <c r="M345" t="n">
        <v>0</v>
      </c>
      <c r="N345" t="n">
        <v>0</v>
      </c>
      <c r="O345" t="n">
        <v>0</v>
      </c>
      <c r="P345" t="n">
        <v>0</v>
      </c>
      <c r="Q345" t="n">
        <v>0</v>
      </c>
      <c r="R345" s="2" t="inlineStr"/>
    </row>
    <row r="346" ht="15" customHeight="1">
      <c r="A346" t="inlineStr">
        <is>
          <t>A 58863-2024</t>
        </is>
      </c>
      <c r="B346" s="1" t="n">
        <v>45636.41572916666</v>
      </c>
      <c r="C346" s="1" t="n">
        <v>46019</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50154-2024</t>
        </is>
      </c>
      <c r="B347" s="1" t="n">
        <v>45600.4558912037</v>
      </c>
      <c r="C347" s="1" t="n">
        <v>46019</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42867-2022</t>
        </is>
      </c>
      <c r="B348" s="1" t="n">
        <v>44832</v>
      </c>
      <c r="C348" s="1" t="n">
        <v>46019</v>
      </c>
      <c r="D348" t="inlineStr">
        <is>
          <t>STOCKHOLMS LÄN</t>
        </is>
      </c>
      <c r="E348" t="inlineStr">
        <is>
          <t>NORRTÄLJE</t>
        </is>
      </c>
      <c r="G348" t="n">
        <v>6.4</v>
      </c>
      <c r="H348" t="n">
        <v>0</v>
      </c>
      <c r="I348" t="n">
        <v>0</v>
      </c>
      <c r="J348" t="n">
        <v>0</v>
      </c>
      <c r="K348" t="n">
        <v>0</v>
      </c>
      <c r="L348" t="n">
        <v>0</v>
      </c>
      <c r="M348" t="n">
        <v>0</v>
      </c>
      <c r="N348" t="n">
        <v>0</v>
      </c>
      <c r="O348" t="n">
        <v>0</v>
      </c>
      <c r="P348" t="n">
        <v>0</v>
      </c>
      <c r="Q348" t="n">
        <v>0</v>
      </c>
      <c r="R348" s="2" t="inlineStr"/>
    </row>
    <row r="349" ht="15" customHeight="1">
      <c r="A349" t="inlineStr">
        <is>
          <t>A 23749-2024</t>
        </is>
      </c>
      <c r="B349" s="1" t="n">
        <v>45455.33037037037</v>
      </c>
      <c r="C349" s="1" t="n">
        <v>46019</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58277-2023</t>
        </is>
      </c>
      <c r="B350" s="1" t="n">
        <v>45245</v>
      </c>
      <c r="C350" s="1" t="n">
        <v>46019</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32705-2022</t>
        </is>
      </c>
      <c r="B351" s="1" t="n">
        <v>44783</v>
      </c>
      <c r="C351" s="1" t="n">
        <v>46019</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38720-2025</t>
        </is>
      </c>
      <c r="B352" s="1" t="n">
        <v>45886</v>
      </c>
      <c r="C352" s="1" t="n">
        <v>46019</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47481-2024</t>
        </is>
      </c>
      <c r="B353" s="1" t="n">
        <v>45587</v>
      </c>
      <c r="C353" s="1" t="n">
        <v>46019</v>
      </c>
      <c r="D353" t="inlineStr">
        <is>
          <t>STOCKHOLMS LÄN</t>
        </is>
      </c>
      <c r="E353" t="inlineStr">
        <is>
          <t>NORRTÄLJE</t>
        </is>
      </c>
      <c r="G353" t="n">
        <v>0.5</v>
      </c>
      <c r="H353" t="n">
        <v>0</v>
      </c>
      <c r="I353" t="n">
        <v>0</v>
      </c>
      <c r="J353" t="n">
        <v>0</v>
      </c>
      <c r="K353" t="n">
        <v>0</v>
      </c>
      <c r="L353" t="n">
        <v>0</v>
      </c>
      <c r="M353" t="n">
        <v>0</v>
      </c>
      <c r="N353" t="n">
        <v>0</v>
      </c>
      <c r="O353" t="n">
        <v>0</v>
      </c>
      <c r="P353" t="n">
        <v>0</v>
      </c>
      <c r="Q353" t="n">
        <v>0</v>
      </c>
      <c r="R353" s="2" t="inlineStr"/>
    </row>
    <row r="354" ht="15" customHeight="1">
      <c r="A354" t="inlineStr">
        <is>
          <t>A 57037-2022</t>
        </is>
      </c>
      <c r="B354" s="1" t="n">
        <v>44895</v>
      </c>
      <c r="C354" s="1" t="n">
        <v>46019</v>
      </c>
      <c r="D354" t="inlineStr">
        <is>
          <t>STOCKHOLMS LÄN</t>
        </is>
      </c>
      <c r="E354" t="inlineStr">
        <is>
          <t>NORRTÄLJE</t>
        </is>
      </c>
      <c r="G354" t="n">
        <v>0.6</v>
      </c>
      <c r="H354" t="n">
        <v>0</v>
      </c>
      <c r="I354" t="n">
        <v>0</v>
      </c>
      <c r="J354" t="n">
        <v>0</v>
      </c>
      <c r="K354" t="n">
        <v>0</v>
      </c>
      <c r="L354" t="n">
        <v>0</v>
      </c>
      <c r="M354" t="n">
        <v>0</v>
      </c>
      <c r="N354" t="n">
        <v>0</v>
      </c>
      <c r="O354" t="n">
        <v>0</v>
      </c>
      <c r="P354" t="n">
        <v>0</v>
      </c>
      <c r="Q354" t="n">
        <v>0</v>
      </c>
      <c r="R354" s="2" t="inlineStr"/>
    </row>
    <row r="355" ht="15" customHeight="1">
      <c r="A355" t="inlineStr">
        <is>
          <t>A 11940-2023</t>
        </is>
      </c>
      <c r="B355" s="1" t="n">
        <v>44995</v>
      </c>
      <c r="C355" s="1" t="n">
        <v>46019</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2281-2024</t>
        </is>
      </c>
      <c r="B356" s="1" t="n">
        <v>45310.40628472222</v>
      </c>
      <c r="C356" s="1" t="n">
        <v>46019</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60525-2022</t>
        </is>
      </c>
      <c r="B357" s="1" t="n">
        <v>44904</v>
      </c>
      <c r="C357" s="1" t="n">
        <v>46019</v>
      </c>
      <c r="D357" t="inlineStr">
        <is>
          <t>STOCKHOLMS LÄN</t>
        </is>
      </c>
      <c r="E357" t="inlineStr">
        <is>
          <t>NORRTÄLJE</t>
        </is>
      </c>
      <c r="G357" t="n">
        <v>13.4</v>
      </c>
      <c r="H357" t="n">
        <v>0</v>
      </c>
      <c r="I357" t="n">
        <v>0</v>
      </c>
      <c r="J357" t="n">
        <v>0</v>
      </c>
      <c r="K357" t="n">
        <v>0</v>
      </c>
      <c r="L357" t="n">
        <v>0</v>
      </c>
      <c r="M357" t="n">
        <v>0</v>
      </c>
      <c r="N357" t="n">
        <v>0</v>
      </c>
      <c r="O357" t="n">
        <v>0</v>
      </c>
      <c r="P357" t="n">
        <v>0</v>
      </c>
      <c r="Q357" t="n">
        <v>0</v>
      </c>
      <c r="R357" s="2" t="inlineStr"/>
    </row>
    <row r="358" ht="15" customHeight="1">
      <c r="A358" t="inlineStr">
        <is>
          <t>A 62998-2023</t>
        </is>
      </c>
      <c r="B358" s="1" t="n">
        <v>45272.64479166667</v>
      </c>
      <c r="C358" s="1" t="n">
        <v>46019</v>
      </c>
      <c r="D358" t="inlineStr">
        <is>
          <t>STOCKHOLMS LÄN</t>
        </is>
      </c>
      <c r="E358" t="inlineStr">
        <is>
          <t>NORRTÄLJE</t>
        </is>
      </c>
      <c r="G358" t="n">
        <v>16.3</v>
      </c>
      <c r="H358" t="n">
        <v>0</v>
      </c>
      <c r="I358" t="n">
        <v>0</v>
      </c>
      <c r="J358" t="n">
        <v>0</v>
      </c>
      <c r="K358" t="n">
        <v>0</v>
      </c>
      <c r="L358" t="n">
        <v>0</v>
      </c>
      <c r="M358" t="n">
        <v>0</v>
      </c>
      <c r="N358" t="n">
        <v>0</v>
      </c>
      <c r="O358" t="n">
        <v>0</v>
      </c>
      <c r="P358" t="n">
        <v>0</v>
      </c>
      <c r="Q358" t="n">
        <v>0</v>
      </c>
      <c r="R358" s="2" t="inlineStr"/>
    </row>
    <row r="359" ht="15" customHeight="1">
      <c r="A359" t="inlineStr">
        <is>
          <t>A 63015-2023</t>
        </is>
      </c>
      <c r="B359" s="1" t="n">
        <v>45272</v>
      </c>
      <c r="C359" s="1" t="n">
        <v>46019</v>
      </c>
      <c r="D359" t="inlineStr">
        <is>
          <t>STOCKHOLMS LÄN</t>
        </is>
      </c>
      <c r="E359" t="inlineStr">
        <is>
          <t>NORRTÄLJE</t>
        </is>
      </c>
      <c r="G359" t="n">
        <v>13.1</v>
      </c>
      <c r="H359" t="n">
        <v>0</v>
      </c>
      <c r="I359" t="n">
        <v>0</v>
      </c>
      <c r="J359" t="n">
        <v>0</v>
      </c>
      <c r="K359" t="n">
        <v>0</v>
      </c>
      <c r="L359" t="n">
        <v>0</v>
      </c>
      <c r="M359" t="n">
        <v>0</v>
      </c>
      <c r="N359" t="n">
        <v>0</v>
      </c>
      <c r="O359" t="n">
        <v>0</v>
      </c>
      <c r="P359" t="n">
        <v>0</v>
      </c>
      <c r="Q359" t="n">
        <v>0</v>
      </c>
      <c r="R359" s="2" t="inlineStr"/>
    </row>
    <row r="360" ht="15" customHeight="1">
      <c r="A360" t="inlineStr">
        <is>
          <t>A 27831-2024</t>
        </is>
      </c>
      <c r="B360" s="1" t="n">
        <v>45475.61896990741</v>
      </c>
      <c r="C360" s="1" t="n">
        <v>46019</v>
      </c>
      <c r="D360" t="inlineStr">
        <is>
          <t>STOCKHOLMS LÄN</t>
        </is>
      </c>
      <c r="E360" t="inlineStr">
        <is>
          <t>NORRTÄLJE</t>
        </is>
      </c>
      <c r="G360" t="n">
        <v>3.8</v>
      </c>
      <c r="H360" t="n">
        <v>0</v>
      </c>
      <c r="I360" t="n">
        <v>0</v>
      </c>
      <c r="J360" t="n">
        <v>0</v>
      </c>
      <c r="K360" t="n">
        <v>0</v>
      </c>
      <c r="L360" t="n">
        <v>0</v>
      </c>
      <c r="M360" t="n">
        <v>0</v>
      </c>
      <c r="N360" t="n">
        <v>0</v>
      </c>
      <c r="O360" t="n">
        <v>0</v>
      </c>
      <c r="P360" t="n">
        <v>0</v>
      </c>
      <c r="Q360" t="n">
        <v>0</v>
      </c>
      <c r="R360" s="2" t="inlineStr"/>
    </row>
    <row r="361" ht="15" customHeight="1">
      <c r="A361" t="inlineStr">
        <is>
          <t>A 7903-2021</t>
        </is>
      </c>
      <c r="B361" s="1" t="n">
        <v>44243.33587962963</v>
      </c>
      <c r="C361" s="1" t="n">
        <v>46019</v>
      </c>
      <c r="D361" t="inlineStr">
        <is>
          <t>STOCKHOLMS LÄN</t>
        </is>
      </c>
      <c r="E361" t="inlineStr">
        <is>
          <t>NORRTÄLJE</t>
        </is>
      </c>
      <c r="G361" t="n">
        <v>3.5</v>
      </c>
      <c r="H361" t="n">
        <v>0</v>
      </c>
      <c r="I361" t="n">
        <v>0</v>
      </c>
      <c r="J361" t="n">
        <v>0</v>
      </c>
      <c r="K361" t="n">
        <v>0</v>
      </c>
      <c r="L361" t="n">
        <v>0</v>
      </c>
      <c r="M361" t="n">
        <v>0</v>
      </c>
      <c r="N361" t="n">
        <v>0</v>
      </c>
      <c r="O361" t="n">
        <v>0</v>
      </c>
      <c r="P361" t="n">
        <v>0</v>
      </c>
      <c r="Q361" t="n">
        <v>0</v>
      </c>
      <c r="R361" s="2" t="inlineStr"/>
    </row>
    <row r="362" ht="15" customHeight="1">
      <c r="A362" t="inlineStr">
        <is>
          <t>A 39213-2022</t>
        </is>
      </c>
      <c r="B362" s="1" t="n">
        <v>44817.56120370371</v>
      </c>
      <c r="C362" s="1" t="n">
        <v>46019</v>
      </c>
      <c r="D362" t="inlineStr">
        <is>
          <t>STOCKHOLMS LÄN</t>
        </is>
      </c>
      <c r="E362" t="inlineStr">
        <is>
          <t>NORRTÄLJE</t>
        </is>
      </c>
      <c r="G362" t="n">
        <v>3.4</v>
      </c>
      <c r="H362" t="n">
        <v>0</v>
      </c>
      <c r="I362" t="n">
        <v>0</v>
      </c>
      <c r="J362" t="n">
        <v>0</v>
      </c>
      <c r="K362" t="n">
        <v>0</v>
      </c>
      <c r="L362" t="n">
        <v>0</v>
      </c>
      <c r="M362" t="n">
        <v>0</v>
      </c>
      <c r="N362" t="n">
        <v>0</v>
      </c>
      <c r="O362" t="n">
        <v>0</v>
      </c>
      <c r="P362" t="n">
        <v>0</v>
      </c>
      <c r="Q362" t="n">
        <v>0</v>
      </c>
      <c r="R362" s="2" t="inlineStr"/>
    </row>
    <row r="363" ht="15" customHeight="1">
      <c r="A363" t="inlineStr">
        <is>
          <t>A 33175-2024</t>
        </is>
      </c>
      <c r="B363" s="1" t="n">
        <v>45518</v>
      </c>
      <c r="C363" s="1" t="n">
        <v>46019</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38593-2025</t>
        </is>
      </c>
      <c r="B364" s="1" t="n">
        <v>45884.48696759259</v>
      </c>
      <c r="C364" s="1" t="n">
        <v>46019</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41976-2024</t>
        </is>
      </c>
      <c r="B365" s="1" t="n">
        <v>45561.62141203704</v>
      </c>
      <c r="C365" s="1" t="n">
        <v>46019</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21803-2022</t>
        </is>
      </c>
      <c r="B366" s="1" t="n">
        <v>44708.67822916667</v>
      </c>
      <c r="C366" s="1" t="n">
        <v>46019</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20730-2024</t>
        </is>
      </c>
      <c r="B367" s="1" t="n">
        <v>45436</v>
      </c>
      <c r="C367" s="1" t="n">
        <v>46019</v>
      </c>
      <c r="D367" t="inlineStr">
        <is>
          <t>STOCKHOLMS LÄN</t>
        </is>
      </c>
      <c r="E367" t="inlineStr">
        <is>
          <t>NORRTÄLJE</t>
        </is>
      </c>
      <c r="G367" t="n">
        <v>7.3</v>
      </c>
      <c r="H367" t="n">
        <v>0</v>
      </c>
      <c r="I367" t="n">
        <v>0</v>
      </c>
      <c r="J367" t="n">
        <v>0</v>
      </c>
      <c r="K367" t="n">
        <v>0</v>
      </c>
      <c r="L367" t="n">
        <v>0</v>
      </c>
      <c r="M367" t="n">
        <v>0</v>
      </c>
      <c r="N367" t="n">
        <v>0</v>
      </c>
      <c r="O367" t="n">
        <v>0</v>
      </c>
      <c r="P367" t="n">
        <v>0</v>
      </c>
      <c r="Q367" t="n">
        <v>0</v>
      </c>
      <c r="R367" s="2" t="inlineStr"/>
    </row>
    <row r="368" ht="15" customHeight="1">
      <c r="A368" t="inlineStr">
        <is>
          <t>A 51325-2023</t>
        </is>
      </c>
      <c r="B368" s="1" t="n">
        <v>45219</v>
      </c>
      <c r="C368" s="1" t="n">
        <v>46019</v>
      </c>
      <c r="D368" t="inlineStr">
        <is>
          <t>STOCKHOLMS LÄN</t>
        </is>
      </c>
      <c r="E368" t="inlineStr">
        <is>
          <t>NORRTÄLJE</t>
        </is>
      </c>
      <c r="G368" t="n">
        <v>2.2</v>
      </c>
      <c r="H368" t="n">
        <v>0</v>
      </c>
      <c r="I368" t="n">
        <v>0</v>
      </c>
      <c r="J368" t="n">
        <v>0</v>
      </c>
      <c r="K368" t="n">
        <v>0</v>
      </c>
      <c r="L368" t="n">
        <v>0</v>
      </c>
      <c r="M368" t="n">
        <v>0</v>
      </c>
      <c r="N368" t="n">
        <v>0</v>
      </c>
      <c r="O368" t="n">
        <v>0</v>
      </c>
      <c r="P368" t="n">
        <v>0</v>
      </c>
      <c r="Q368" t="n">
        <v>0</v>
      </c>
      <c r="R368" s="2" t="inlineStr"/>
    </row>
    <row r="369" ht="15" customHeight="1">
      <c r="A369" t="inlineStr">
        <is>
          <t>A 59534-2024</t>
        </is>
      </c>
      <c r="B369" s="1" t="n">
        <v>45638.5987037037</v>
      </c>
      <c r="C369" s="1" t="n">
        <v>46019</v>
      </c>
      <c r="D369" t="inlineStr">
        <is>
          <t>STOCKHOLMS LÄN</t>
        </is>
      </c>
      <c r="E369" t="inlineStr">
        <is>
          <t>NORRTÄLJE</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31107-2022</t>
        </is>
      </c>
      <c r="B370" s="1" t="n">
        <v>44769.66864583334</v>
      </c>
      <c r="C370" s="1" t="n">
        <v>46019</v>
      </c>
      <c r="D370" t="inlineStr">
        <is>
          <t>STOCKHOLMS LÄN</t>
        </is>
      </c>
      <c r="E370" t="inlineStr">
        <is>
          <t>NORRTÄLJE</t>
        </is>
      </c>
      <c r="G370" t="n">
        <v>3.8</v>
      </c>
      <c r="H370" t="n">
        <v>0</v>
      </c>
      <c r="I370" t="n">
        <v>0</v>
      </c>
      <c r="J370" t="n">
        <v>0</v>
      </c>
      <c r="K370" t="n">
        <v>0</v>
      </c>
      <c r="L370" t="n">
        <v>0</v>
      </c>
      <c r="M370" t="n">
        <v>0</v>
      </c>
      <c r="N370" t="n">
        <v>0</v>
      </c>
      <c r="O370" t="n">
        <v>0</v>
      </c>
      <c r="P370" t="n">
        <v>0</v>
      </c>
      <c r="Q370" t="n">
        <v>0</v>
      </c>
      <c r="R370" s="2" t="inlineStr"/>
    </row>
    <row r="371" ht="15" customHeight="1">
      <c r="A371" t="inlineStr">
        <is>
          <t>A 13860-2023</t>
        </is>
      </c>
      <c r="B371" s="1" t="n">
        <v>45007</v>
      </c>
      <c r="C371" s="1" t="n">
        <v>46019</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6855-2025</t>
        </is>
      </c>
      <c r="B372" s="1" t="n">
        <v>45700</v>
      </c>
      <c r="C372" s="1" t="n">
        <v>46019</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12901-2024</t>
        </is>
      </c>
      <c r="B373" s="1" t="n">
        <v>45385.37922453704</v>
      </c>
      <c r="C373" s="1" t="n">
        <v>46019</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8950-2025</t>
        </is>
      </c>
      <c r="B374" s="1" t="n">
        <v>45713</v>
      </c>
      <c r="C374" s="1" t="n">
        <v>46019</v>
      </c>
      <c r="D374" t="inlineStr">
        <is>
          <t>STOCKHOLMS LÄN</t>
        </is>
      </c>
      <c r="E374" t="inlineStr">
        <is>
          <t>NORRTÄLJE</t>
        </is>
      </c>
      <c r="F374" t="inlineStr">
        <is>
          <t>Övriga Aktiebolag</t>
        </is>
      </c>
      <c r="G374" t="n">
        <v>3.6</v>
      </c>
      <c r="H374" t="n">
        <v>0</v>
      </c>
      <c r="I374" t="n">
        <v>0</v>
      </c>
      <c r="J374" t="n">
        <v>0</v>
      </c>
      <c r="K374" t="n">
        <v>0</v>
      </c>
      <c r="L374" t="n">
        <v>0</v>
      </c>
      <c r="M374" t="n">
        <v>0</v>
      </c>
      <c r="N374" t="n">
        <v>0</v>
      </c>
      <c r="O374" t="n">
        <v>0</v>
      </c>
      <c r="P374" t="n">
        <v>0</v>
      </c>
      <c r="Q374" t="n">
        <v>0</v>
      </c>
      <c r="R374" s="2" t="inlineStr"/>
    </row>
    <row r="375" ht="15" customHeight="1">
      <c r="A375" t="inlineStr">
        <is>
          <t>A 12301-2025</t>
        </is>
      </c>
      <c r="B375" s="1" t="n">
        <v>45729.7271875</v>
      </c>
      <c r="C375" s="1" t="n">
        <v>46019</v>
      </c>
      <c r="D375" t="inlineStr">
        <is>
          <t>STOCKHOLMS LÄN</t>
        </is>
      </c>
      <c r="E375" t="inlineStr">
        <is>
          <t>NORRTÄLJE</t>
        </is>
      </c>
      <c r="G375" t="n">
        <v>3.2</v>
      </c>
      <c r="H375" t="n">
        <v>0</v>
      </c>
      <c r="I375" t="n">
        <v>0</v>
      </c>
      <c r="J375" t="n">
        <v>0</v>
      </c>
      <c r="K375" t="n">
        <v>0</v>
      </c>
      <c r="L375" t="n">
        <v>0</v>
      </c>
      <c r="M375" t="n">
        <v>0</v>
      </c>
      <c r="N375" t="n">
        <v>0</v>
      </c>
      <c r="O375" t="n">
        <v>0</v>
      </c>
      <c r="P375" t="n">
        <v>0</v>
      </c>
      <c r="Q375" t="n">
        <v>0</v>
      </c>
      <c r="R375" s="2" t="inlineStr"/>
    </row>
    <row r="376" ht="15" customHeight="1">
      <c r="A376" t="inlineStr">
        <is>
          <t>A 13314-2025</t>
        </is>
      </c>
      <c r="B376" s="1" t="n">
        <v>45735.59287037037</v>
      </c>
      <c r="C376" s="1" t="n">
        <v>46019</v>
      </c>
      <c r="D376" t="inlineStr">
        <is>
          <t>STOCKHOLMS LÄN</t>
        </is>
      </c>
      <c r="E376" t="inlineStr">
        <is>
          <t>NORRTÄLJE</t>
        </is>
      </c>
      <c r="G376" t="n">
        <v>2.4</v>
      </c>
      <c r="H376" t="n">
        <v>0</v>
      </c>
      <c r="I376" t="n">
        <v>0</v>
      </c>
      <c r="J376" t="n">
        <v>0</v>
      </c>
      <c r="K376" t="n">
        <v>0</v>
      </c>
      <c r="L376" t="n">
        <v>0</v>
      </c>
      <c r="M376" t="n">
        <v>0</v>
      </c>
      <c r="N376" t="n">
        <v>0</v>
      </c>
      <c r="O376" t="n">
        <v>0</v>
      </c>
      <c r="P376" t="n">
        <v>0</v>
      </c>
      <c r="Q376" t="n">
        <v>0</v>
      </c>
      <c r="R376" s="2" t="inlineStr"/>
    </row>
    <row r="377" ht="15" customHeight="1">
      <c r="A377" t="inlineStr">
        <is>
          <t>A 24351-2025</t>
        </is>
      </c>
      <c r="B377" s="1" t="n">
        <v>45797.58399305555</v>
      </c>
      <c r="C377" s="1" t="n">
        <v>46019</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13283-2025</t>
        </is>
      </c>
      <c r="B378" s="1" t="n">
        <v>45735</v>
      </c>
      <c r="C378" s="1" t="n">
        <v>46019</v>
      </c>
      <c r="D378" t="inlineStr">
        <is>
          <t>STOCKHOLMS LÄN</t>
        </is>
      </c>
      <c r="E378" t="inlineStr">
        <is>
          <t>NORRTÄLJE</t>
        </is>
      </c>
      <c r="G378" t="n">
        <v>4.9</v>
      </c>
      <c r="H378" t="n">
        <v>0</v>
      </c>
      <c r="I378" t="n">
        <v>0</v>
      </c>
      <c r="J378" t="n">
        <v>0</v>
      </c>
      <c r="K378" t="n">
        <v>0</v>
      </c>
      <c r="L378" t="n">
        <v>0</v>
      </c>
      <c r="M378" t="n">
        <v>0</v>
      </c>
      <c r="N378" t="n">
        <v>0</v>
      </c>
      <c r="O378" t="n">
        <v>0</v>
      </c>
      <c r="P378" t="n">
        <v>0</v>
      </c>
      <c r="Q378" t="n">
        <v>0</v>
      </c>
      <c r="R378" s="2" t="inlineStr"/>
    </row>
    <row r="379" ht="15" customHeight="1">
      <c r="A379" t="inlineStr">
        <is>
          <t>A 34432-2021</t>
        </is>
      </c>
      <c r="B379" s="1" t="n">
        <v>44380.77346064815</v>
      </c>
      <c r="C379" s="1" t="n">
        <v>46019</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24687-2025</t>
        </is>
      </c>
      <c r="B380" s="1" t="n">
        <v>45798.66767361111</v>
      </c>
      <c r="C380" s="1" t="n">
        <v>46019</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27677-2025</t>
        </is>
      </c>
      <c r="B381" s="1" t="n">
        <v>45813.63650462963</v>
      </c>
      <c r="C381" s="1" t="n">
        <v>46019</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39152-2025</t>
        </is>
      </c>
      <c r="B382" s="1" t="n">
        <v>45888</v>
      </c>
      <c r="C382" s="1" t="n">
        <v>46019</v>
      </c>
      <c r="D382" t="inlineStr">
        <is>
          <t>STOCKHOLMS LÄN</t>
        </is>
      </c>
      <c r="E382" t="inlineStr">
        <is>
          <t>NORRTÄLJE</t>
        </is>
      </c>
      <c r="G382" t="n">
        <v>4.6</v>
      </c>
      <c r="H382" t="n">
        <v>0</v>
      </c>
      <c r="I382" t="n">
        <v>0</v>
      </c>
      <c r="J382" t="n">
        <v>0</v>
      </c>
      <c r="K382" t="n">
        <v>0</v>
      </c>
      <c r="L382" t="n">
        <v>0</v>
      </c>
      <c r="M382" t="n">
        <v>0</v>
      </c>
      <c r="N382" t="n">
        <v>0</v>
      </c>
      <c r="O382" t="n">
        <v>0</v>
      </c>
      <c r="P382" t="n">
        <v>0</v>
      </c>
      <c r="Q382" t="n">
        <v>0</v>
      </c>
      <c r="R382" s="2" t="inlineStr"/>
    </row>
    <row r="383" ht="15" customHeight="1">
      <c r="A383" t="inlineStr">
        <is>
          <t>A 24638-2025</t>
        </is>
      </c>
      <c r="B383" s="1" t="n">
        <v>45798</v>
      </c>
      <c r="C383" s="1" t="n">
        <v>46019</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28603-2024</t>
        </is>
      </c>
      <c r="B384" s="1" t="n">
        <v>45478.42887731481</v>
      </c>
      <c r="C384" s="1" t="n">
        <v>46019</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23149-2024</t>
        </is>
      </c>
      <c r="B385" s="1" t="n">
        <v>45450.64208333333</v>
      </c>
      <c r="C385" s="1" t="n">
        <v>46019</v>
      </c>
      <c r="D385" t="inlineStr">
        <is>
          <t>STOCKHOLMS LÄN</t>
        </is>
      </c>
      <c r="E385" t="inlineStr">
        <is>
          <t>NORRTÄLJE</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23151-2024</t>
        </is>
      </c>
      <c r="B386" s="1" t="n">
        <v>45450</v>
      </c>
      <c r="C386" s="1" t="n">
        <v>46019</v>
      </c>
      <c r="D386" t="inlineStr">
        <is>
          <t>STOCKHOLMS LÄN</t>
        </is>
      </c>
      <c r="E386" t="inlineStr">
        <is>
          <t>NORRTÄLJE</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39149-2025</t>
        </is>
      </c>
      <c r="B387" s="1" t="n">
        <v>45888.60714120371</v>
      </c>
      <c r="C387" s="1" t="n">
        <v>46019</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24690-2025</t>
        </is>
      </c>
      <c r="B388" s="1" t="n">
        <v>45798.67082175926</v>
      </c>
      <c r="C388" s="1" t="n">
        <v>46019</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52001-2023</t>
        </is>
      </c>
      <c r="B389" s="1" t="n">
        <v>45223</v>
      </c>
      <c r="C389" s="1" t="n">
        <v>46019</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47259-2024</t>
        </is>
      </c>
      <c r="B390" s="1" t="n">
        <v>45586</v>
      </c>
      <c r="C390" s="1" t="n">
        <v>46019</v>
      </c>
      <c r="D390" t="inlineStr">
        <is>
          <t>STOCKHOLMS LÄN</t>
        </is>
      </c>
      <c r="E390" t="inlineStr">
        <is>
          <t>NORRTÄLJE</t>
        </is>
      </c>
      <c r="G390" t="n">
        <v>1.8</v>
      </c>
      <c r="H390" t="n">
        <v>0</v>
      </c>
      <c r="I390" t="n">
        <v>0</v>
      </c>
      <c r="J390" t="n">
        <v>0</v>
      </c>
      <c r="K390" t="n">
        <v>0</v>
      </c>
      <c r="L390" t="n">
        <v>0</v>
      </c>
      <c r="M390" t="n">
        <v>0</v>
      </c>
      <c r="N390" t="n">
        <v>0</v>
      </c>
      <c r="O390" t="n">
        <v>0</v>
      </c>
      <c r="P390" t="n">
        <v>0</v>
      </c>
      <c r="Q390" t="n">
        <v>0</v>
      </c>
      <c r="R390" s="2" t="inlineStr"/>
    </row>
    <row r="391" ht="15" customHeight="1">
      <c r="A391" t="inlineStr">
        <is>
          <t>A 60185-2024</t>
        </is>
      </c>
      <c r="B391" s="1" t="n">
        <v>45642.64634259259</v>
      </c>
      <c r="C391" s="1" t="n">
        <v>46019</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25702-2025</t>
        </is>
      </c>
      <c r="B392" s="1" t="n">
        <v>45800</v>
      </c>
      <c r="C392" s="1" t="n">
        <v>46019</v>
      </c>
      <c r="D392" t="inlineStr">
        <is>
          <t>STOCKHOLMS LÄN</t>
        </is>
      </c>
      <c r="E392" t="inlineStr">
        <is>
          <t>NORRTÄLJE</t>
        </is>
      </c>
      <c r="G392" t="n">
        <v>5.3</v>
      </c>
      <c r="H392" t="n">
        <v>0</v>
      </c>
      <c r="I392" t="n">
        <v>0</v>
      </c>
      <c r="J392" t="n">
        <v>0</v>
      </c>
      <c r="K392" t="n">
        <v>0</v>
      </c>
      <c r="L392" t="n">
        <v>0</v>
      </c>
      <c r="M392" t="n">
        <v>0</v>
      </c>
      <c r="N392" t="n">
        <v>0</v>
      </c>
      <c r="O392" t="n">
        <v>0</v>
      </c>
      <c r="P392" t="n">
        <v>0</v>
      </c>
      <c r="Q392" t="n">
        <v>0</v>
      </c>
      <c r="R392" s="2" t="inlineStr"/>
    </row>
    <row r="393" ht="15" customHeight="1">
      <c r="A393" t="inlineStr">
        <is>
          <t>A 39692-2025</t>
        </is>
      </c>
      <c r="B393" s="1" t="n">
        <v>45890.68083333333</v>
      </c>
      <c r="C393" s="1" t="n">
        <v>46019</v>
      </c>
      <c r="D393" t="inlineStr">
        <is>
          <t>STOCKHOLMS LÄN</t>
        </is>
      </c>
      <c r="E393" t="inlineStr">
        <is>
          <t>NORRTÄLJE</t>
        </is>
      </c>
      <c r="G393" t="n">
        <v>10.5</v>
      </c>
      <c r="H393" t="n">
        <v>0</v>
      </c>
      <c r="I393" t="n">
        <v>0</v>
      </c>
      <c r="J393" t="n">
        <v>0</v>
      </c>
      <c r="K393" t="n">
        <v>0</v>
      </c>
      <c r="L393" t="n">
        <v>0</v>
      </c>
      <c r="M393" t="n">
        <v>0</v>
      </c>
      <c r="N393" t="n">
        <v>0</v>
      </c>
      <c r="O393" t="n">
        <v>0</v>
      </c>
      <c r="P393" t="n">
        <v>0</v>
      </c>
      <c r="Q393" t="n">
        <v>0</v>
      </c>
      <c r="R393" s="2" t="inlineStr"/>
    </row>
    <row r="394" ht="15" customHeight="1">
      <c r="A394" t="inlineStr">
        <is>
          <t>A 48686-2023</t>
        </is>
      </c>
      <c r="B394" s="1" t="n">
        <v>45208</v>
      </c>
      <c r="C394" s="1" t="n">
        <v>46019</v>
      </c>
      <c r="D394" t="inlineStr">
        <is>
          <t>STOCKHOLMS LÄN</t>
        </is>
      </c>
      <c r="E394" t="inlineStr">
        <is>
          <t>NORRTÄLJE</t>
        </is>
      </c>
      <c r="G394" t="n">
        <v>6</v>
      </c>
      <c r="H394" t="n">
        <v>0</v>
      </c>
      <c r="I394" t="n">
        <v>0</v>
      </c>
      <c r="J394" t="n">
        <v>0</v>
      </c>
      <c r="K394" t="n">
        <v>0</v>
      </c>
      <c r="L394" t="n">
        <v>0</v>
      </c>
      <c r="M394" t="n">
        <v>0</v>
      </c>
      <c r="N394" t="n">
        <v>0</v>
      </c>
      <c r="O394" t="n">
        <v>0</v>
      </c>
      <c r="P394" t="n">
        <v>0</v>
      </c>
      <c r="Q394" t="n">
        <v>0</v>
      </c>
      <c r="R394" s="2" t="inlineStr"/>
    </row>
    <row r="395" ht="15" customHeight="1">
      <c r="A395" t="inlineStr">
        <is>
          <t>A 48691-2023</t>
        </is>
      </c>
      <c r="B395" s="1" t="n">
        <v>45208</v>
      </c>
      <c r="C395" s="1" t="n">
        <v>46019</v>
      </c>
      <c r="D395" t="inlineStr">
        <is>
          <t>STOCKHOLMS LÄN</t>
        </is>
      </c>
      <c r="E395" t="inlineStr">
        <is>
          <t>NORRTÄLJE</t>
        </is>
      </c>
      <c r="G395" t="n">
        <v>5.8</v>
      </c>
      <c r="H395" t="n">
        <v>0</v>
      </c>
      <c r="I395" t="n">
        <v>0</v>
      </c>
      <c r="J395" t="n">
        <v>0</v>
      </c>
      <c r="K395" t="n">
        <v>0</v>
      </c>
      <c r="L395" t="n">
        <v>0</v>
      </c>
      <c r="M395" t="n">
        <v>0</v>
      </c>
      <c r="N395" t="n">
        <v>0</v>
      </c>
      <c r="O395" t="n">
        <v>0</v>
      </c>
      <c r="P395" t="n">
        <v>0</v>
      </c>
      <c r="Q395" t="n">
        <v>0</v>
      </c>
      <c r="R395" s="2" t="inlineStr"/>
    </row>
    <row r="396" ht="15" customHeight="1">
      <c r="A396" t="inlineStr">
        <is>
          <t>A 25712-2025</t>
        </is>
      </c>
      <c r="B396" s="1" t="n">
        <v>45803.69228009259</v>
      </c>
      <c r="C396" s="1" t="n">
        <v>46019</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25733-2025</t>
        </is>
      </c>
      <c r="B397" s="1" t="n">
        <v>45800</v>
      </c>
      <c r="C397" s="1" t="n">
        <v>46019</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35639-2025</t>
        </is>
      </c>
      <c r="B398" s="1" t="n">
        <v>45859</v>
      </c>
      <c r="C398" s="1" t="n">
        <v>46019</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39238-2024</t>
        </is>
      </c>
      <c r="B399" s="1" t="n">
        <v>45549</v>
      </c>
      <c r="C399" s="1" t="n">
        <v>46019</v>
      </c>
      <c r="D399" t="inlineStr">
        <is>
          <t>STOCKHOLMS LÄN</t>
        </is>
      </c>
      <c r="E399" t="inlineStr">
        <is>
          <t>NORRTÄLJE</t>
        </is>
      </c>
      <c r="G399" t="n">
        <v>3.6</v>
      </c>
      <c r="H399" t="n">
        <v>0</v>
      </c>
      <c r="I399" t="n">
        <v>0</v>
      </c>
      <c r="J399" t="n">
        <v>0</v>
      </c>
      <c r="K399" t="n">
        <v>0</v>
      </c>
      <c r="L399" t="n">
        <v>0</v>
      </c>
      <c r="M399" t="n">
        <v>0</v>
      </c>
      <c r="N399" t="n">
        <v>0</v>
      </c>
      <c r="O399" t="n">
        <v>0</v>
      </c>
      <c r="P399" t="n">
        <v>0</v>
      </c>
      <c r="Q399" t="n">
        <v>0</v>
      </c>
      <c r="R399" s="2" t="inlineStr"/>
    </row>
    <row r="400" ht="15" customHeight="1">
      <c r="A400" t="inlineStr">
        <is>
          <t>A 25571-2025</t>
        </is>
      </c>
      <c r="B400" s="1" t="n">
        <v>45803.4675</v>
      </c>
      <c r="C400" s="1" t="n">
        <v>46019</v>
      </c>
      <c r="D400" t="inlineStr">
        <is>
          <t>STOCKHOLMS LÄN</t>
        </is>
      </c>
      <c r="E400" t="inlineStr">
        <is>
          <t>NORRTÄLJE</t>
        </is>
      </c>
      <c r="G400" t="n">
        <v>5.4</v>
      </c>
      <c r="H400" t="n">
        <v>0</v>
      </c>
      <c r="I400" t="n">
        <v>0</v>
      </c>
      <c r="J400" t="n">
        <v>0</v>
      </c>
      <c r="K400" t="n">
        <v>0</v>
      </c>
      <c r="L400" t="n">
        <v>0</v>
      </c>
      <c r="M400" t="n">
        <v>0</v>
      </c>
      <c r="N400" t="n">
        <v>0</v>
      </c>
      <c r="O400" t="n">
        <v>0</v>
      </c>
      <c r="P400" t="n">
        <v>0</v>
      </c>
      <c r="Q400" t="n">
        <v>0</v>
      </c>
      <c r="R400" s="2" t="inlineStr"/>
    </row>
    <row r="401" ht="15" customHeight="1">
      <c r="A401" t="inlineStr">
        <is>
          <t>A 25721-2025</t>
        </is>
      </c>
      <c r="B401" s="1" t="n">
        <v>45800</v>
      </c>
      <c r="C401" s="1" t="n">
        <v>46019</v>
      </c>
      <c r="D401" t="inlineStr">
        <is>
          <t>STOCKHOLMS LÄN</t>
        </is>
      </c>
      <c r="E401" t="inlineStr">
        <is>
          <t>NORRTÄLJE</t>
        </is>
      </c>
      <c r="G401" t="n">
        <v>6</v>
      </c>
      <c r="H401" t="n">
        <v>0</v>
      </c>
      <c r="I401" t="n">
        <v>0</v>
      </c>
      <c r="J401" t="n">
        <v>0</v>
      </c>
      <c r="K401" t="n">
        <v>0</v>
      </c>
      <c r="L401" t="n">
        <v>0</v>
      </c>
      <c r="M401" t="n">
        <v>0</v>
      </c>
      <c r="N401" t="n">
        <v>0</v>
      </c>
      <c r="O401" t="n">
        <v>0</v>
      </c>
      <c r="P401" t="n">
        <v>0</v>
      </c>
      <c r="Q401" t="n">
        <v>0</v>
      </c>
      <c r="R401" s="2" t="inlineStr"/>
    </row>
    <row r="402" ht="15" customHeight="1">
      <c r="A402" t="inlineStr">
        <is>
          <t>A 25697-2025</t>
        </is>
      </c>
      <c r="B402" s="1" t="n">
        <v>45803.66587962963</v>
      </c>
      <c r="C402" s="1" t="n">
        <v>46019</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41218-2024</t>
        </is>
      </c>
      <c r="B403" s="1" t="n">
        <v>45559.54706018518</v>
      </c>
      <c r="C403" s="1" t="n">
        <v>46019</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35636-2025</t>
        </is>
      </c>
      <c r="B404" s="1" t="n">
        <v>45859</v>
      </c>
      <c r="C404" s="1" t="n">
        <v>46019</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21726-2022</t>
        </is>
      </c>
      <c r="B405" s="1" t="n">
        <v>44708</v>
      </c>
      <c r="C405" s="1" t="n">
        <v>46019</v>
      </c>
      <c r="D405" t="inlineStr">
        <is>
          <t>STOCKHOLMS LÄN</t>
        </is>
      </c>
      <c r="E405" t="inlineStr">
        <is>
          <t>NORRTÄLJE</t>
        </is>
      </c>
      <c r="G405" t="n">
        <v>0.2</v>
      </c>
      <c r="H405" t="n">
        <v>0</v>
      </c>
      <c r="I405" t="n">
        <v>0</v>
      </c>
      <c r="J405" t="n">
        <v>0</v>
      </c>
      <c r="K405" t="n">
        <v>0</v>
      </c>
      <c r="L405" t="n">
        <v>0</v>
      </c>
      <c r="M405" t="n">
        <v>0</v>
      </c>
      <c r="N405" t="n">
        <v>0</v>
      </c>
      <c r="O405" t="n">
        <v>0</v>
      </c>
      <c r="P405" t="n">
        <v>0</v>
      </c>
      <c r="Q405" t="n">
        <v>0</v>
      </c>
      <c r="R405" s="2" t="inlineStr"/>
    </row>
    <row r="406" ht="15" customHeight="1">
      <c r="A406" t="inlineStr">
        <is>
          <t>A 21739-2022</t>
        </is>
      </c>
      <c r="B406" s="1" t="n">
        <v>44708.36708333333</v>
      </c>
      <c r="C406" s="1" t="n">
        <v>46019</v>
      </c>
      <c r="D406" t="inlineStr">
        <is>
          <t>STOCKHOLMS LÄN</t>
        </is>
      </c>
      <c r="E406" t="inlineStr">
        <is>
          <t>NORRTÄLJE</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35210-2023</t>
        </is>
      </c>
      <c r="B407" s="1" t="n">
        <v>45145.63584490741</v>
      </c>
      <c r="C407" s="1" t="n">
        <v>46019</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38449-2022</t>
        </is>
      </c>
      <c r="B408" s="1" t="n">
        <v>44813</v>
      </c>
      <c r="C408" s="1" t="n">
        <v>46019</v>
      </c>
      <c r="D408" t="inlineStr">
        <is>
          <t>STOCKHOLMS LÄN</t>
        </is>
      </c>
      <c r="E408" t="inlineStr">
        <is>
          <t>NORRTÄLJE</t>
        </is>
      </c>
      <c r="G408" t="n">
        <v>4.2</v>
      </c>
      <c r="H408" t="n">
        <v>0</v>
      </c>
      <c r="I408" t="n">
        <v>0</v>
      </c>
      <c r="J408" t="n">
        <v>0</v>
      </c>
      <c r="K408" t="n">
        <v>0</v>
      </c>
      <c r="L408" t="n">
        <v>0</v>
      </c>
      <c r="M408" t="n">
        <v>0</v>
      </c>
      <c r="N408" t="n">
        <v>0</v>
      </c>
      <c r="O408" t="n">
        <v>0</v>
      </c>
      <c r="P408" t="n">
        <v>0</v>
      </c>
      <c r="Q408" t="n">
        <v>0</v>
      </c>
      <c r="R408" s="2" t="inlineStr"/>
    </row>
    <row r="409" ht="15" customHeight="1">
      <c r="A409" t="inlineStr">
        <is>
          <t>A 40172-2025</t>
        </is>
      </c>
      <c r="B409" s="1" t="n">
        <v>45894.6353125</v>
      </c>
      <c r="C409" s="1" t="n">
        <v>46019</v>
      </c>
      <c r="D409" t="inlineStr">
        <is>
          <t>STOCKHOLMS LÄN</t>
        </is>
      </c>
      <c r="E409" t="inlineStr">
        <is>
          <t>NORRTÄLJE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40033-2025</t>
        </is>
      </c>
      <c r="B410" s="1" t="n">
        <v>45893</v>
      </c>
      <c r="C410" s="1" t="n">
        <v>46019</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34478-2025</t>
        </is>
      </c>
      <c r="B411" s="1" t="n">
        <v>45847.37414351852</v>
      </c>
      <c r="C411" s="1" t="n">
        <v>46019</v>
      </c>
      <c r="D411" t="inlineStr">
        <is>
          <t>STOCKHOLMS LÄN</t>
        </is>
      </c>
      <c r="E411" t="inlineStr">
        <is>
          <t>NORRTÄLJE</t>
        </is>
      </c>
      <c r="F411" t="inlineStr">
        <is>
          <t>Övriga Aktiebolag</t>
        </is>
      </c>
      <c r="G411" t="n">
        <v>10.8</v>
      </c>
      <c r="H411" t="n">
        <v>0</v>
      </c>
      <c r="I411" t="n">
        <v>0</v>
      </c>
      <c r="J411" t="n">
        <v>0</v>
      </c>
      <c r="K411" t="n">
        <v>0</v>
      </c>
      <c r="L411" t="n">
        <v>0</v>
      </c>
      <c r="M411" t="n">
        <v>0</v>
      </c>
      <c r="N411" t="n">
        <v>0</v>
      </c>
      <c r="O411" t="n">
        <v>0</v>
      </c>
      <c r="P411" t="n">
        <v>0</v>
      </c>
      <c r="Q411" t="n">
        <v>0</v>
      </c>
      <c r="R411" s="2" t="inlineStr"/>
    </row>
    <row r="412" ht="15" customHeight="1">
      <c r="A412" t="inlineStr">
        <is>
          <t>A 59767-2022</t>
        </is>
      </c>
      <c r="B412" s="1" t="n">
        <v>44900</v>
      </c>
      <c r="C412" s="1" t="n">
        <v>46019</v>
      </c>
      <c r="D412" t="inlineStr">
        <is>
          <t>STOCKHOLMS LÄN</t>
        </is>
      </c>
      <c r="E412" t="inlineStr">
        <is>
          <t>NORRTÄLJE</t>
        </is>
      </c>
      <c r="G412" t="n">
        <v>2.2</v>
      </c>
      <c r="H412" t="n">
        <v>0</v>
      </c>
      <c r="I412" t="n">
        <v>0</v>
      </c>
      <c r="J412" t="n">
        <v>0</v>
      </c>
      <c r="K412" t="n">
        <v>0</v>
      </c>
      <c r="L412" t="n">
        <v>0</v>
      </c>
      <c r="M412" t="n">
        <v>0</v>
      </c>
      <c r="N412" t="n">
        <v>0</v>
      </c>
      <c r="O412" t="n">
        <v>0</v>
      </c>
      <c r="P412" t="n">
        <v>0</v>
      </c>
      <c r="Q412" t="n">
        <v>0</v>
      </c>
      <c r="R412" s="2" t="inlineStr"/>
    </row>
    <row r="413" ht="15" customHeight="1">
      <c r="A413" t="inlineStr">
        <is>
          <t>A 40032-2025</t>
        </is>
      </c>
      <c r="B413" s="1" t="n">
        <v>45893</v>
      </c>
      <c r="C413" s="1" t="n">
        <v>46019</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40292-2025</t>
        </is>
      </c>
      <c r="B414" s="1" t="n">
        <v>45895.3867824074</v>
      </c>
      <c r="C414" s="1" t="n">
        <v>46019</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40294-2025</t>
        </is>
      </c>
      <c r="B415" s="1" t="n">
        <v>45895.38778935185</v>
      </c>
      <c r="C415" s="1" t="n">
        <v>46019</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40228-2025</t>
        </is>
      </c>
      <c r="B416" s="1" t="n">
        <v>45894.70854166667</v>
      </c>
      <c r="C416" s="1" t="n">
        <v>46019</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5823-2023</t>
        </is>
      </c>
      <c r="B417" s="1" t="n">
        <v>44963</v>
      </c>
      <c r="C417" s="1" t="n">
        <v>46019</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19915-2024</t>
        </is>
      </c>
      <c r="B418" s="1" t="n">
        <v>45433.58431712963</v>
      </c>
      <c r="C418" s="1" t="n">
        <v>46019</v>
      </c>
      <c r="D418" t="inlineStr">
        <is>
          <t>STOCKHOLMS LÄN</t>
        </is>
      </c>
      <c r="E418" t="inlineStr">
        <is>
          <t>NORRTÄLJE</t>
        </is>
      </c>
      <c r="G418" t="n">
        <v>2</v>
      </c>
      <c r="H418" t="n">
        <v>0</v>
      </c>
      <c r="I418" t="n">
        <v>0</v>
      </c>
      <c r="J418" t="n">
        <v>0</v>
      </c>
      <c r="K418" t="n">
        <v>0</v>
      </c>
      <c r="L418" t="n">
        <v>0</v>
      </c>
      <c r="M418" t="n">
        <v>0</v>
      </c>
      <c r="N418" t="n">
        <v>0</v>
      </c>
      <c r="O418" t="n">
        <v>0</v>
      </c>
      <c r="P418" t="n">
        <v>0</v>
      </c>
      <c r="Q418" t="n">
        <v>0</v>
      </c>
      <c r="R418" s="2" t="inlineStr"/>
    </row>
    <row r="419" ht="15" customHeight="1">
      <c r="A419" t="inlineStr">
        <is>
          <t>A 15217-2023</t>
        </is>
      </c>
      <c r="B419" s="1" t="n">
        <v>45019.28847222222</v>
      </c>
      <c r="C419" s="1" t="n">
        <v>46019</v>
      </c>
      <c r="D419" t="inlineStr">
        <is>
          <t>STOCKHOLMS LÄN</t>
        </is>
      </c>
      <c r="E419" t="inlineStr">
        <is>
          <t>NORRTÄLJE</t>
        </is>
      </c>
      <c r="G419" t="n">
        <v>3.6</v>
      </c>
      <c r="H419" t="n">
        <v>0</v>
      </c>
      <c r="I419" t="n">
        <v>0</v>
      </c>
      <c r="J419" t="n">
        <v>0</v>
      </c>
      <c r="K419" t="n">
        <v>0</v>
      </c>
      <c r="L419" t="n">
        <v>0</v>
      </c>
      <c r="M419" t="n">
        <v>0</v>
      </c>
      <c r="N419" t="n">
        <v>0</v>
      </c>
      <c r="O419" t="n">
        <v>0</v>
      </c>
      <c r="P419" t="n">
        <v>0</v>
      </c>
      <c r="Q419" t="n">
        <v>0</v>
      </c>
      <c r="R419" s="2" t="inlineStr"/>
    </row>
    <row r="420" ht="15" customHeight="1">
      <c r="A420" t="inlineStr">
        <is>
          <t>A 53561-2023</t>
        </is>
      </c>
      <c r="B420" s="1" t="n">
        <v>45224</v>
      </c>
      <c r="C420" s="1" t="n">
        <v>46019</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46019</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50143-2023</t>
        </is>
      </c>
      <c r="B422" s="1" t="n">
        <v>45215</v>
      </c>
      <c r="C422" s="1" t="n">
        <v>46019</v>
      </c>
      <c r="D422" t="inlineStr">
        <is>
          <t>STOCKHOLMS LÄN</t>
        </is>
      </c>
      <c r="E422" t="inlineStr">
        <is>
          <t>NORRTÄLJE</t>
        </is>
      </c>
      <c r="G422" t="n">
        <v>10.3</v>
      </c>
      <c r="H422" t="n">
        <v>0</v>
      </c>
      <c r="I422" t="n">
        <v>0</v>
      </c>
      <c r="J422" t="n">
        <v>0</v>
      </c>
      <c r="K422" t="n">
        <v>0</v>
      </c>
      <c r="L422" t="n">
        <v>0</v>
      </c>
      <c r="M422" t="n">
        <v>0</v>
      </c>
      <c r="N422" t="n">
        <v>0</v>
      </c>
      <c r="O422" t="n">
        <v>0</v>
      </c>
      <c r="P422" t="n">
        <v>0</v>
      </c>
      <c r="Q422" t="n">
        <v>0</v>
      </c>
      <c r="R422" s="2" t="inlineStr"/>
    </row>
    <row r="423" ht="15" customHeight="1">
      <c r="A423" t="inlineStr">
        <is>
          <t>A 40217-2025</t>
        </is>
      </c>
      <c r="B423" s="1" t="n">
        <v>45894.68864583333</v>
      </c>
      <c r="C423" s="1" t="n">
        <v>46019</v>
      </c>
      <c r="D423" t="inlineStr">
        <is>
          <t>STOCKHOLMS LÄN</t>
        </is>
      </c>
      <c r="E423" t="inlineStr">
        <is>
          <t>NORRTÄLJE</t>
        </is>
      </c>
      <c r="G423" t="n">
        <v>0.8</v>
      </c>
      <c r="H423" t="n">
        <v>0</v>
      </c>
      <c r="I423" t="n">
        <v>0</v>
      </c>
      <c r="J423" t="n">
        <v>0</v>
      </c>
      <c r="K423" t="n">
        <v>0</v>
      </c>
      <c r="L423" t="n">
        <v>0</v>
      </c>
      <c r="M423" t="n">
        <v>0</v>
      </c>
      <c r="N423" t="n">
        <v>0</v>
      </c>
      <c r="O423" t="n">
        <v>0</v>
      </c>
      <c r="P423" t="n">
        <v>0</v>
      </c>
      <c r="Q423" t="n">
        <v>0</v>
      </c>
      <c r="R423" s="2" t="inlineStr"/>
    </row>
    <row r="424" ht="15" customHeight="1">
      <c r="A424" t="inlineStr">
        <is>
          <t>A 29176-2024</t>
        </is>
      </c>
      <c r="B424" s="1" t="n">
        <v>45482.53388888889</v>
      </c>
      <c r="C424" s="1" t="n">
        <v>46019</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40097-2025</t>
        </is>
      </c>
      <c r="B425" s="1" t="n">
        <v>45894.48322916667</v>
      </c>
      <c r="C425" s="1" t="n">
        <v>46019</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36430-2024</t>
        </is>
      </c>
      <c r="B426" s="1" t="n">
        <v>45536</v>
      </c>
      <c r="C426" s="1" t="n">
        <v>46019</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51312-2023</t>
        </is>
      </c>
      <c r="B427" s="1" t="n">
        <v>45219.56697916667</v>
      </c>
      <c r="C427" s="1" t="n">
        <v>46019</v>
      </c>
      <c r="D427" t="inlineStr">
        <is>
          <t>STOCKHOLMS LÄN</t>
        </is>
      </c>
      <c r="E427" t="inlineStr">
        <is>
          <t>NORRTÄLJE</t>
        </is>
      </c>
      <c r="G427" t="n">
        <v>1.9</v>
      </c>
      <c r="H427" t="n">
        <v>0</v>
      </c>
      <c r="I427" t="n">
        <v>0</v>
      </c>
      <c r="J427" t="n">
        <v>0</v>
      </c>
      <c r="K427" t="n">
        <v>0</v>
      </c>
      <c r="L427" t="n">
        <v>0</v>
      </c>
      <c r="M427" t="n">
        <v>0</v>
      </c>
      <c r="N427" t="n">
        <v>0</v>
      </c>
      <c r="O427" t="n">
        <v>0</v>
      </c>
      <c r="P427" t="n">
        <v>0</v>
      </c>
      <c r="Q427" t="n">
        <v>0</v>
      </c>
      <c r="R427" s="2" t="inlineStr"/>
    </row>
    <row r="428" ht="15" customHeight="1">
      <c r="A428" t="inlineStr">
        <is>
          <t>A 26051-2025</t>
        </is>
      </c>
      <c r="B428" s="1" t="n">
        <v>45804.74479166666</v>
      </c>
      <c r="C428" s="1" t="n">
        <v>46019</v>
      </c>
      <c r="D428" t="inlineStr">
        <is>
          <t>STOCKHOLMS LÄN</t>
        </is>
      </c>
      <c r="E428" t="inlineStr">
        <is>
          <t>NORRTÄLJE</t>
        </is>
      </c>
      <c r="G428" t="n">
        <v>3.2</v>
      </c>
      <c r="H428" t="n">
        <v>0</v>
      </c>
      <c r="I428" t="n">
        <v>0</v>
      </c>
      <c r="J428" t="n">
        <v>0</v>
      </c>
      <c r="K428" t="n">
        <v>0</v>
      </c>
      <c r="L428" t="n">
        <v>0</v>
      </c>
      <c r="M428" t="n">
        <v>0</v>
      </c>
      <c r="N428" t="n">
        <v>0</v>
      </c>
      <c r="O428" t="n">
        <v>0</v>
      </c>
      <c r="P428" t="n">
        <v>0</v>
      </c>
      <c r="Q428" t="n">
        <v>0</v>
      </c>
      <c r="R428" s="2" t="inlineStr"/>
    </row>
    <row r="429" ht="15" customHeight="1">
      <c r="A429" t="inlineStr">
        <is>
          <t>A 40829-2025</t>
        </is>
      </c>
      <c r="B429" s="1" t="n">
        <v>45897.50802083333</v>
      </c>
      <c r="C429" s="1" t="n">
        <v>46019</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35640-2024</t>
        </is>
      </c>
      <c r="B430" s="1" t="n">
        <v>45531</v>
      </c>
      <c r="C430" s="1" t="n">
        <v>46019</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40837-2025</t>
        </is>
      </c>
      <c r="B431" s="1" t="n">
        <v>45897.51328703704</v>
      </c>
      <c r="C431" s="1" t="n">
        <v>46019</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40529-2025</t>
        </is>
      </c>
      <c r="B432" s="1" t="n">
        <v>45896.38466435186</v>
      </c>
      <c r="C432" s="1" t="n">
        <v>46019</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40831-2025</t>
        </is>
      </c>
      <c r="B433" s="1" t="n">
        <v>45897.51077546296</v>
      </c>
      <c r="C433" s="1" t="n">
        <v>46019</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43212-2022</t>
        </is>
      </c>
      <c r="B434" s="1" t="n">
        <v>44834.38636574074</v>
      </c>
      <c r="C434" s="1" t="n">
        <v>46019</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51653-2022</t>
        </is>
      </c>
      <c r="B435" s="1" t="n">
        <v>44867</v>
      </c>
      <c r="C435" s="1" t="n">
        <v>46019</v>
      </c>
      <c r="D435" t="inlineStr">
        <is>
          <t>STOCKHOLMS LÄN</t>
        </is>
      </c>
      <c r="E435" t="inlineStr">
        <is>
          <t>NORRTÄLJE</t>
        </is>
      </c>
      <c r="G435" t="n">
        <v>6.6</v>
      </c>
      <c r="H435" t="n">
        <v>0</v>
      </c>
      <c r="I435" t="n">
        <v>0</v>
      </c>
      <c r="J435" t="n">
        <v>0</v>
      </c>
      <c r="K435" t="n">
        <v>0</v>
      </c>
      <c r="L435" t="n">
        <v>0</v>
      </c>
      <c r="M435" t="n">
        <v>0</v>
      </c>
      <c r="N435" t="n">
        <v>0</v>
      </c>
      <c r="O435" t="n">
        <v>0</v>
      </c>
      <c r="P435" t="n">
        <v>0</v>
      </c>
      <c r="Q435" t="n">
        <v>0</v>
      </c>
      <c r="R435" s="2" t="inlineStr"/>
    </row>
    <row r="436" ht="15" customHeight="1">
      <c r="A436" t="inlineStr">
        <is>
          <t>A 26708-2025</t>
        </is>
      </c>
      <c r="B436" s="1" t="n">
        <v>45810.45633101852</v>
      </c>
      <c r="C436" s="1" t="n">
        <v>46019</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4322-2023</t>
        </is>
      </c>
      <c r="B437" s="1" t="n">
        <v>44953.69298611111</v>
      </c>
      <c r="C437" s="1" t="n">
        <v>46019</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26702-2025</t>
        </is>
      </c>
      <c r="B438" s="1" t="n">
        <v>45810.45236111111</v>
      </c>
      <c r="C438" s="1" t="n">
        <v>46019</v>
      </c>
      <c r="D438" t="inlineStr">
        <is>
          <t>STOCKHOLMS LÄN</t>
        </is>
      </c>
      <c r="E438" t="inlineStr">
        <is>
          <t>NORRTÄLJE</t>
        </is>
      </c>
      <c r="G438" t="n">
        <v>7.3</v>
      </c>
      <c r="H438" t="n">
        <v>0</v>
      </c>
      <c r="I438" t="n">
        <v>0</v>
      </c>
      <c r="J438" t="n">
        <v>0</v>
      </c>
      <c r="K438" t="n">
        <v>0</v>
      </c>
      <c r="L438" t="n">
        <v>0</v>
      </c>
      <c r="M438" t="n">
        <v>0</v>
      </c>
      <c r="N438" t="n">
        <v>0</v>
      </c>
      <c r="O438" t="n">
        <v>0</v>
      </c>
      <c r="P438" t="n">
        <v>0</v>
      </c>
      <c r="Q438" t="n">
        <v>0</v>
      </c>
      <c r="R438" s="2" t="inlineStr"/>
    </row>
    <row r="439" ht="15" customHeight="1">
      <c r="A439" t="inlineStr">
        <is>
          <t>A 41158-2025</t>
        </is>
      </c>
      <c r="B439" s="1" t="n">
        <v>45898.5315625</v>
      </c>
      <c r="C439" s="1" t="n">
        <v>46019</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15733-2025</t>
        </is>
      </c>
      <c r="B440" s="1" t="n">
        <v>45748</v>
      </c>
      <c r="C440" s="1" t="n">
        <v>46019</v>
      </c>
      <c r="D440" t="inlineStr">
        <is>
          <t>STOCKHOLMS LÄN</t>
        </is>
      </c>
      <c r="E440" t="inlineStr">
        <is>
          <t>NORRTÄLJE</t>
        </is>
      </c>
      <c r="G440" t="n">
        <v>13.3</v>
      </c>
      <c r="H440" t="n">
        <v>0</v>
      </c>
      <c r="I440" t="n">
        <v>0</v>
      </c>
      <c r="J440" t="n">
        <v>0</v>
      </c>
      <c r="K440" t="n">
        <v>0</v>
      </c>
      <c r="L440" t="n">
        <v>0</v>
      </c>
      <c r="M440" t="n">
        <v>0</v>
      </c>
      <c r="N440" t="n">
        <v>0</v>
      </c>
      <c r="O440" t="n">
        <v>0</v>
      </c>
      <c r="P440" t="n">
        <v>0</v>
      </c>
      <c r="Q440" t="n">
        <v>0</v>
      </c>
      <c r="R440" s="2" t="inlineStr"/>
    </row>
    <row r="441" ht="15" customHeight="1">
      <c r="A441" t="inlineStr">
        <is>
          <t>A 23061-2025</t>
        </is>
      </c>
      <c r="B441" s="1" t="n">
        <v>45790.81410879629</v>
      </c>
      <c r="C441" s="1" t="n">
        <v>46019</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19058-2024</t>
        </is>
      </c>
      <c r="B442" s="1" t="n">
        <v>45427.89121527778</v>
      </c>
      <c r="C442" s="1" t="n">
        <v>46019</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41053-2025</t>
        </is>
      </c>
      <c r="B443" s="1" t="n">
        <v>45898.40480324074</v>
      </c>
      <c r="C443" s="1" t="n">
        <v>46019</v>
      </c>
      <c r="D443" t="inlineStr">
        <is>
          <t>STOCKHOLMS LÄN</t>
        </is>
      </c>
      <c r="E443" t="inlineStr">
        <is>
          <t>NORRTÄLJE</t>
        </is>
      </c>
      <c r="F443" t="inlineStr">
        <is>
          <t>Holmen skog AB</t>
        </is>
      </c>
      <c r="G443" t="n">
        <v>2.5</v>
      </c>
      <c r="H443" t="n">
        <v>0</v>
      </c>
      <c r="I443" t="n">
        <v>0</v>
      </c>
      <c r="J443" t="n">
        <v>0</v>
      </c>
      <c r="K443" t="n">
        <v>0</v>
      </c>
      <c r="L443" t="n">
        <v>0</v>
      </c>
      <c r="M443" t="n">
        <v>0</v>
      </c>
      <c r="N443" t="n">
        <v>0</v>
      </c>
      <c r="O443" t="n">
        <v>0</v>
      </c>
      <c r="P443" t="n">
        <v>0</v>
      </c>
      <c r="Q443" t="n">
        <v>0</v>
      </c>
      <c r="R443" s="2" t="inlineStr"/>
    </row>
    <row r="444" ht="15" customHeight="1">
      <c r="A444" t="inlineStr">
        <is>
          <t>A 27040-2025</t>
        </is>
      </c>
      <c r="B444" s="1" t="n">
        <v>45811.60451388889</v>
      </c>
      <c r="C444" s="1" t="n">
        <v>46019</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41275-2025</t>
        </is>
      </c>
      <c r="B445" s="1" t="n">
        <v>45898.62625</v>
      </c>
      <c r="C445" s="1" t="n">
        <v>46019</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41272-2025</t>
        </is>
      </c>
      <c r="B446" s="1" t="n">
        <v>45898.62373842593</v>
      </c>
      <c r="C446" s="1" t="n">
        <v>46019</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26747-2025</t>
        </is>
      </c>
      <c r="B447" s="1" t="n">
        <v>45810.5333912037</v>
      </c>
      <c r="C447" s="1" t="n">
        <v>46019</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38990-2022</t>
        </is>
      </c>
      <c r="B448" s="1" t="n">
        <v>44816</v>
      </c>
      <c r="C448" s="1" t="n">
        <v>46019</v>
      </c>
      <c r="D448" t="inlineStr">
        <is>
          <t>STOCKHOLMS LÄN</t>
        </is>
      </c>
      <c r="E448" t="inlineStr">
        <is>
          <t>NORRTÄLJE</t>
        </is>
      </c>
      <c r="G448" t="n">
        <v>5.7</v>
      </c>
      <c r="H448" t="n">
        <v>0</v>
      </c>
      <c r="I448" t="n">
        <v>0</v>
      </c>
      <c r="J448" t="n">
        <v>0</v>
      </c>
      <c r="K448" t="n">
        <v>0</v>
      </c>
      <c r="L448" t="n">
        <v>0</v>
      </c>
      <c r="M448" t="n">
        <v>0</v>
      </c>
      <c r="N448" t="n">
        <v>0</v>
      </c>
      <c r="O448" t="n">
        <v>0</v>
      </c>
      <c r="P448" t="n">
        <v>0</v>
      </c>
      <c r="Q448" t="n">
        <v>0</v>
      </c>
      <c r="R448" s="2" t="inlineStr"/>
    </row>
    <row r="449" ht="15" customHeight="1">
      <c r="A449" t="inlineStr">
        <is>
          <t>A 17956-2025</t>
        </is>
      </c>
      <c r="B449" s="1" t="n">
        <v>45760.91174768518</v>
      </c>
      <c r="C449" s="1" t="n">
        <v>46019</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41301-2025</t>
        </is>
      </c>
      <c r="B450" s="1" t="n">
        <v>45898.68826388889</v>
      </c>
      <c r="C450" s="1" t="n">
        <v>46019</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875-2023</t>
        </is>
      </c>
      <c r="B451" s="1" t="n">
        <v>44931.65626157408</v>
      </c>
      <c r="C451" s="1" t="n">
        <v>46019</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31236-2022</t>
        </is>
      </c>
      <c r="B452" s="1" t="n">
        <v>44771</v>
      </c>
      <c r="C452" s="1" t="n">
        <v>46019</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8315-2025</t>
        </is>
      </c>
      <c r="B453" s="1" t="n">
        <v>45708.61761574074</v>
      </c>
      <c r="C453" s="1" t="n">
        <v>46019</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31281-2022</t>
        </is>
      </c>
      <c r="B454" s="1" t="n">
        <v>44771</v>
      </c>
      <c r="C454" s="1" t="n">
        <v>46019</v>
      </c>
      <c r="D454" t="inlineStr">
        <is>
          <t>STOCKHOLMS LÄN</t>
        </is>
      </c>
      <c r="E454" t="inlineStr">
        <is>
          <t>NORRTÄLJE</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41174-2025</t>
        </is>
      </c>
      <c r="B455" s="1" t="n">
        <v>45898.54921296296</v>
      </c>
      <c r="C455" s="1" t="n">
        <v>46019</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41030-2025</t>
        </is>
      </c>
      <c r="B456" s="1" t="n">
        <v>45898.37636574074</v>
      </c>
      <c r="C456" s="1" t="n">
        <v>46019</v>
      </c>
      <c r="D456" t="inlineStr">
        <is>
          <t>STOCKHOLMS LÄN</t>
        </is>
      </c>
      <c r="E456" t="inlineStr">
        <is>
          <t>NORRTÄLJE</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26675-2025</t>
        </is>
      </c>
      <c r="B457" s="1" t="n">
        <v>45810.42393518519</v>
      </c>
      <c r="C457" s="1" t="n">
        <v>46019</v>
      </c>
      <c r="D457" t="inlineStr">
        <is>
          <t>STOCKHOLMS LÄN</t>
        </is>
      </c>
      <c r="E457" t="inlineStr">
        <is>
          <t>NORRTÄLJE</t>
        </is>
      </c>
      <c r="G457" t="n">
        <v>2.7</v>
      </c>
      <c r="H457" t="n">
        <v>0</v>
      </c>
      <c r="I457" t="n">
        <v>0</v>
      </c>
      <c r="J457" t="n">
        <v>0</v>
      </c>
      <c r="K457" t="n">
        <v>0</v>
      </c>
      <c r="L457" t="n">
        <v>0</v>
      </c>
      <c r="M457" t="n">
        <v>0</v>
      </c>
      <c r="N457" t="n">
        <v>0</v>
      </c>
      <c r="O457" t="n">
        <v>0</v>
      </c>
      <c r="P457" t="n">
        <v>0</v>
      </c>
      <c r="Q457" t="n">
        <v>0</v>
      </c>
      <c r="R457" s="2" t="inlineStr"/>
    </row>
    <row r="458" ht="15" customHeight="1">
      <c r="A458" t="inlineStr">
        <is>
          <t>A 41036-2025</t>
        </is>
      </c>
      <c r="B458" s="1" t="n">
        <v>45898.38552083333</v>
      </c>
      <c r="C458" s="1" t="n">
        <v>46019</v>
      </c>
      <c r="D458" t="inlineStr">
        <is>
          <t>STOCKHOLMS LÄN</t>
        </is>
      </c>
      <c r="E458" t="inlineStr">
        <is>
          <t>NORRTÄLJE</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41106-2025</t>
        </is>
      </c>
      <c r="B459" s="1" t="n">
        <v>45898.45636574074</v>
      </c>
      <c r="C459" s="1" t="n">
        <v>46019</v>
      </c>
      <c r="D459" t="inlineStr">
        <is>
          <t>STOCKHOLMS LÄN</t>
        </is>
      </c>
      <c r="E459" t="inlineStr">
        <is>
          <t>NORRTÄLJE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41110-2025</t>
        </is>
      </c>
      <c r="B460" s="1" t="n">
        <v>45898.45976851852</v>
      </c>
      <c r="C460" s="1" t="n">
        <v>46019</v>
      </c>
      <c r="D460" t="inlineStr">
        <is>
          <t>STOCKHOLMS LÄN</t>
        </is>
      </c>
      <c r="E460" t="inlineStr">
        <is>
          <t>NORRTÄLJE</t>
        </is>
      </c>
      <c r="F460" t="inlineStr">
        <is>
          <t>Holmen skog AB</t>
        </is>
      </c>
      <c r="G460" t="n">
        <v>6.7</v>
      </c>
      <c r="H460" t="n">
        <v>0</v>
      </c>
      <c r="I460" t="n">
        <v>0</v>
      </c>
      <c r="J460" t="n">
        <v>0</v>
      </c>
      <c r="K460" t="n">
        <v>0</v>
      </c>
      <c r="L460" t="n">
        <v>0</v>
      </c>
      <c r="M460" t="n">
        <v>0</v>
      </c>
      <c r="N460" t="n">
        <v>0</v>
      </c>
      <c r="O460" t="n">
        <v>0</v>
      </c>
      <c r="P460" t="n">
        <v>0</v>
      </c>
      <c r="Q460" t="n">
        <v>0</v>
      </c>
      <c r="R460" s="2" t="inlineStr"/>
    </row>
    <row r="461" ht="15" customHeight="1">
      <c r="A461" t="inlineStr">
        <is>
          <t>A 41259-2025</t>
        </is>
      </c>
      <c r="B461" s="1" t="n">
        <v>45898.61054398148</v>
      </c>
      <c r="C461" s="1" t="n">
        <v>46019</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10511-2025</t>
        </is>
      </c>
      <c r="B462" s="1" t="n">
        <v>45721.40780092592</v>
      </c>
      <c r="C462" s="1" t="n">
        <v>46019</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27554-2025</t>
        </is>
      </c>
      <c r="B463" s="1" t="n">
        <v>45813.4709375</v>
      </c>
      <c r="C463" s="1" t="n">
        <v>46019</v>
      </c>
      <c r="D463" t="inlineStr">
        <is>
          <t>STOCKHOLMS LÄN</t>
        </is>
      </c>
      <c r="E463" t="inlineStr">
        <is>
          <t>NORRTÄLJE</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18665-2022</t>
        </is>
      </c>
      <c r="B464" s="1" t="n">
        <v>44687</v>
      </c>
      <c r="C464" s="1" t="n">
        <v>46019</v>
      </c>
      <c r="D464" t="inlineStr">
        <is>
          <t>STOCKHOLMS LÄN</t>
        </is>
      </c>
      <c r="E464" t="inlineStr">
        <is>
          <t>NORRTÄLJE</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19057-2024</t>
        </is>
      </c>
      <c r="B465" s="1" t="n">
        <v>45427.88731481481</v>
      </c>
      <c r="C465" s="1" t="n">
        <v>46019</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41966-2025</t>
        </is>
      </c>
      <c r="B466" s="1" t="n">
        <v>45903.47456018518</v>
      </c>
      <c r="C466" s="1" t="n">
        <v>46019</v>
      </c>
      <c r="D466" t="inlineStr">
        <is>
          <t>STOCKHOLMS LÄN</t>
        </is>
      </c>
      <c r="E466" t="inlineStr">
        <is>
          <t>NORRTÄLJE</t>
        </is>
      </c>
      <c r="F466" t="inlineStr">
        <is>
          <t>Sveaskog</t>
        </is>
      </c>
      <c r="G466" t="n">
        <v>3.7</v>
      </c>
      <c r="H466" t="n">
        <v>0</v>
      </c>
      <c r="I466" t="n">
        <v>0</v>
      </c>
      <c r="J466" t="n">
        <v>0</v>
      </c>
      <c r="K466" t="n">
        <v>0</v>
      </c>
      <c r="L466" t="n">
        <v>0</v>
      </c>
      <c r="M466" t="n">
        <v>0</v>
      </c>
      <c r="N466" t="n">
        <v>0</v>
      </c>
      <c r="O466" t="n">
        <v>0</v>
      </c>
      <c r="P466" t="n">
        <v>0</v>
      </c>
      <c r="Q466" t="n">
        <v>0</v>
      </c>
      <c r="R466" s="2" t="inlineStr"/>
    </row>
    <row r="467" ht="15" customHeight="1">
      <c r="A467" t="inlineStr">
        <is>
          <t>A 42038-2025</t>
        </is>
      </c>
      <c r="B467" s="1" t="n">
        <v>45903.61431712963</v>
      </c>
      <c r="C467" s="1" t="n">
        <v>46019</v>
      </c>
      <c r="D467" t="inlineStr">
        <is>
          <t>STOCKHOLMS LÄN</t>
        </is>
      </c>
      <c r="E467" t="inlineStr">
        <is>
          <t>NORRTÄLJE</t>
        </is>
      </c>
      <c r="F467" t="inlineStr">
        <is>
          <t>Sveaskog</t>
        </is>
      </c>
      <c r="G467" t="n">
        <v>6.4</v>
      </c>
      <c r="H467" t="n">
        <v>0</v>
      </c>
      <c r="I467" t="n">
        <v>0</v>
      </c>
      <c r="J467" t="n">
        <v>0</v>
      </c>
      <c r="K467" t="n">
        <v>0</v>
      </c>
      <c r="L467" t="n">
        <v>0</v>
      </c>
      <c r="M467" t="n">
        <v>0</v>
      </c>
      <c r="N467" t="n">
        <v>0</v>
      </c>
      <c r="O467" t="n">
        <v>0</v>
      </c>
      <c r="P467" t="n">
        <v>0</v>
      </c>
      <c r="Q467" t="n">
        <v>0</v>
      </c>
      <c r="R467" s="2" t="inlineStr"/>
    </row>
    <row r="468" ht="15" customHeight="1">
      <c r="A468" t="inlineStr">
        <is>
          <t>A 58302-2022</t>
        </is>
      </c>
      <c r="B468" s="1" t="n">
        <v>44901</v>
      </c>
      <c r="C468" s="1" t="n">
        <v>46019</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27700-2025</t>
        </is>
      </c>
      <c r="B469" s="1" t="n">
        <v>45813.6799537037</v>
      </c>
      <c r="C469" s="1" t="n">
        <v>46019</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27697-2025</t>
        </is>
      </c>
      <c r="B470" s="1" t="n">
        <v>45813.66961805556</v>
      </c>
      <c r="C470" s="1" t="n">
        <v>46019</v>
      </c>
      <c r="D470" t="inlineStr">
        <is>
          <t>STOCKHOLMS LÄN</t>
        </is>
      </c>
      <c r="E470" t="inlineStr">
        <is>
          <t>NORRTÄLJE</t>
        </is>
      </c>
      <c r="G470" t="n">
        <v>6.2</v>
      </c>
      <c r="H470" t="n">
        <v>0</v>
      </c>
      <c r="I470" t="n">
        <v>0</v>
      </c>
      <c r="J470" t="n">
        <v>0</v>
      </c>
      <c r="K470" t="n">
        <v>0</v>
      </c>
      <c r="L470" t="n">
        <v>0</v>
      </c>
      <c r="M470" t="n">
        <v>0</v>
      </c>
      <c r="N470" t="n">
        <v>0</v>
      </c>
      <c r="O470" t="n">
        <v>0</v>
      </c>
      <c r="P470" t="n">
        <v>0</v>
      </c>
      <c r="Q470" t="n">
        <v>0</v>
      </c>
      <c r="R470" s="2" t="inlineStr"/>
    </row>
    <row r="471" ht="15" customHeight="1">
      <c r="A471" t="inlineStr">
        <is>
          <t>A 41964-2025</t>
        </is>
      </c>
      <c r="B471" s="1" t="n">
        <v>45903.47270833333</v>
      </c>
      <c r="C471" s="1" t="n">
        <v>46019</v>
      </c>
      <c r="D471" t="inlineStr">
        <is>
          <t>STOCKHOLMS LÄN</t>
        </is>
      </c>
      <c r="E471" t="inlineStr">
        <is>
          <t>NORRTÄLJE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38591-2023</t>
        </is>
      </c>
      <c r="B472" s="1" t="n">
        <v>45162</v>
      </c>
      <c r="C472" s="1" t="n">
        <v>46019</v>
      </c>
      <c r="D472" t="inlineStr">
        <is>
          <t>STOCKHOLMS LÄN</t>
        </is>
      </c>
      <c r="E472" t="inlineStr">
        <is>
          <t>NORRTÄLJE</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27802-2025</t>
        </is>
      </c>
      <c r="B473" s="1" t="n">
        <v>45817.2565625</v>
      </c>
      <c r="C473" s="1" t="n">
        <v>46019</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27806-2025</t>
        </is>
      </c>
      <c r="B474" s="1" t="n">
        <v>45817.30329861111</v>
      </c>
      <c r="C474" s="1" t="n">
        <v>46019</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27808-2025</t>
        </is>
      </c>
      <c r="B475" s="1" t="n">
        <v>45817.31085648148</v>
      </c>
      <c r="C475" s="1" t="n">
        <v>46019</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27810-2025</t>
        </is>
      </c>
      <c r="B476" s="1" t="n">
        <v>45817.31708333334</v>
      </c>
      <c r="C476" s="1" t="n">
        <v>46019</v>
      </c>
      <c r="D476" t="inlineStr">
        <is>
          <t>STOCKHOLMS LÄN</t>
        </is>
      </c>
      <c r="E476" t="inlineStr">
        <is>
          <t>NORRTÄLJE</t>
        </is>
      </c>
      <c r="G476" t="n">
        <v>3.9</v>
      </c>
      <c r="H476" t="n">
        <v>0</v>
      </c>
      <c r="I476" t="n">
        <v>0</v>
      </c>
      <c r="J476" t="n">
        <v>0</v>
      </c>
      <c r="K476" t="n">
        <v>0</v>
      </c>
      <c r="L476" t="n">
        <v>0</v>
      </c>
      <c r="M476" t="n">
        <v>0</v>
      </c>
      <c r="N476" t="n">
        <v>0</v>
      </c>
      <c r="O476" t="n">
        <v>0</v>
      </c>
      <c r="P476" t="n">
        <v>0</v>
      </c>
      <c r="Q476" t="n">
        <v>0</v>
      </c>
      <c r="R476" s="2" t="inlineStr"/>
    </row>
    <row r="477" ht="15" customHeight="1">
      <c r="A477" t="inlineStr">
        <is>
          <t>A 27811-2025</t>
        </is>
      </c>
      <c r="B477" s="1" t="n">
        <v>45817.31986111111</v>
      </c>
      <c r="C477" s="1" t="n">
        <v>46019</v>
      </c>
      <c r="D477" t="inlineStr">
        <is>
          <t>STOCKHOLMS LÄN</t>
        </is>
      </c>
      <c r="E477" t="inlineStr">
        <is>
          <t>NORRTÄLJE</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27818-2025</t>
        </is>
      </c>
      <c r="B478" s="1" t="n">
        <v>45817.33503472222</v>
      </c>
      <c r="C478" s="1" t="n">
        <v>46019</v>
      </c>
      <c r="D478" t="inlineStr">
        <is>
          <t>STOCKHOLMS LÄN</t>
        </is>
      </c>
      <c r="E478" t="inlineStr">
        <is>
          <t>NORRTÄLJE</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30338-2022</t>
        </is>
      </c>
      <c r="B479" s="1" t="n">
        <v>44760</v>
      </c>
      <c r="C479" s="1" t="n">
        <v>46019</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2888-2022</t>
        </is>
      </c>
      <c r="B480" s="1" t="n">
        <v>44581</v>
      </c>
      <c r="C480" s="1" t="n">
        <v>46019</v>
      </c>
      <c r="D480" t="inlineStr">
        <is>
          <t>STOCKHOLMS LÄN</t>
        </is>
      </c>
      <c r="E480" t="inlineStr">
        <is>
          <t>NORRTÄLJE</t>
        </is>
      </c>
      <c r="G480" t="n">
        <v>2.4</v>
      </c>
      <c r="H480" t="n">
        <v>0</v>
      </c>
      <c r="I480" t="n">
        <v>0</v>
      </c>
      <c r="J480" t="n">
        <v>0</v>
      </c>
      <c r="K480" t="n">
        <v>0</v>
      </c>
      <c r="L480" t="n">
        <v>0</v>
      </c>
      <c r="M480" t="n">
        <v>0</v>
      </c>
      <c r="N480" t="n">
        <v>0</v>
      </c>
      <c r="O480" t="n">
        <v>0</v>
      </c>
      <c r="P480" t="n">
        <v>0</v>
      </c>
      <c r="Q480" t="n">
        <v>0</v>
      </c>
      <c r="R480" s="2" t="inlineStr"/>
    </row>
    <row r="481" ht="15" customHeight="1">
      <c r="A481" t="inlineStr">
        <is>
          <t>A 27801-2025</t>
        </is>
      </c>
      <c r="B481" s="1" t="n">
        <v>45817.25471064815</v>
      </c>
      <c r="C481" s="1" t="n">
        <v>46019</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52686-2024</t>
        </is>
      </c>
      <c r="B482" s="1" t="n">
        <v>45610.39271990741</v>
      </c>
      <c r="C482" s="1" t="n">
        <v>46019</v>
      </c>
      <c r="D482" t="inlineStr">
        <is>
          <t>STOCKHOLMS LÄN</t>
        </is>
      </c>
      <c r="E482" t="inlineStr">
        <is>
          <t>NORRTÄLJE</t>
        </is>
      </c>
      <c r="G482" t="n">
        <v>5.7</v>
      </c>
      <c r="H482" t="n">
        <v>0</v>
      </c>
      <c r="I482" t="n">
        <v>0</v>
      </c>
      <c r="J482" t="n">
        <v>0</v>
      </c>
      <c r="K482" t="n">
        <v>0</v>
      </c>
      <c r="L482" t="n">
        <v>0</v>
      </c>
      <c r="M482" t="n">
        <v>0</v>
      </c>
      <c r="N482" t="n">
        <v>0</v>
      </c>
      <c r="O482" t="n">
        <v>0</v>
      </c>
      <c r="P482" t="n">
        <v>0</v>
      </c>
      <c r="Q482" t="n">
        <v>0</v>
      </c>
      <c r="R482" s="2" t="inlineStr"/>
    </row>
    <row r="483" ht="15" customHeight="1">
      <c r="A483" t="inlineStr">
        <is>
          <t>A 20343-2024</t>
        </is>
      </c>
      <c r="B483" s="1" t="n">
        <v>45435.43466435185</v>
      </c>
      <c r="C483" s="1" t="n">
        <v>46019</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20345-2024</t>
        </is>
      </c>
      <c r="B484" s="1" t="n">
        <v>45435.43820601852</v>
      </c>
      <c r="C484" s="1" t="n">
        <v>46019</v>
      </c>
      <c r="D484" t="inlineStr">
        <is>
          <t>STOCKHOLMS LÄN</t>
        </is>
      </c>
      <c r="E484" t="inlineStr">
        <is>
          <t>NORRTÄLJE</t>
        </is>
      </c>
      <c r="G484" t="n">
        <v>3.8</v>
      </c>
      <c r="H484" t="n">
        <v>0</v>
      </c>
      <c r="I484" t="n">
        <v>0</v>
      </c>
      <c r="J484" t="n">
        <v>0</v>
      </c>
      <c r="K484" t="n">
        <v>0</v>
      </c>
      <c r="L484" t="n">
        <v>0</v>
      </c>
      <c r="M484" t="n">
        <v>0</v>
      </c>
      <c r="N484" t="n">
        <v>0</v>
      </c>
      <c r="O484" t="n">
        <v>0</v>
      </c>
      <c r="P484" t="n">
        <v>0</v>
      </c>
      <c r="Q484" t="n">
        <v>0</v>
      </c>
      <c r="R484" s="2" t="inlineStr"/>
    </row>
    <row r="485" ht="15" customHeight="1">
      <c r="A485" t="inlineStr">
        <is>
          <t>A 9765-2024</t>
        </is>
      </c>
      <c r="B485" s="1" t="n">
        <v>45362.62811342593</v>
      </c>
      <c r="C485" s="1" t="n">
        <v>46019</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27803-2025</t>
        </is>
      </c>
      <c r="B486" s="1" t="n">
        <v>45817.291875</v>
      </c>
      <c r="C486" s="1" t="n">
        <v>46019</v>
      </c>
      <c r="D486" t="inlineStr">
        <is>
          <t>STOCKHOLMS LÄN</t>
        </is>
      </c>
      <c r="E486" t="inlineStr">
        <is>
          <t>NORRTÄLJE</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27813-2025</t>
        </is>
      </c>
      <c r="B487" s="1" t="n">
        <v>45817.32538194444</v>
      </c>
      <c r="C487" s="1" t="n">
        <v>46019</v>
      </c>
      <c r="D487" t="inlineStr">
        <is>
          <t>STOCKHOLMS LÄN</t>
        </is>
      </c>
      <c r="E487" t="inlineStr">
        <is>
          <t>NORRTÄLJE</t>
        </is>
      </c>
      <c r="G487" t="n">
        <v>1.6</v>
      </c>
      <c r="H487" t="n">
        <v>0</v>
      </c>
      <c r="I487" t="n">
        <v>0</v>
      </c>
      <c r="J487" t="n">
        <v>0</v>
      </c>
      <c r="K487" t="n">
        <v>0</v>
      </c>
      <c r="L487" t="n">
        <v>0</v>
      </c>
      <c r="M487" t="n">
        <v>0</v>
      </c>
      <c r="N487" t="n">
        <v>0</v>
      </c>
      <c r="O487" t="n">
        <v>0</v>
      </c>
      <c r="P487" t="n">
        <v>0</v>
      </c>
      <c r="Q487" t="n">
        <v>0</v>
      </c>
      <c r="R487" s="2" t="inlineStr"/>
    </row>
    <row r="488" ht="15" customHeight="1">
      <c r="A488" t="inlineStr">
        <is>
          <t>A 30699-2025</t>
        </is>
      </c>
      <c r="B488" s="1" t="n">
        <v>45831.54618055555</v>
      </c>
      <c r="C488" s="1" t="n">
        <v>46019</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59875-2024</t>
        </is>
      </c>
      <c r="B489" s="1" t="n">
        <v>45640.58716435185</v>
      </c>
      <c r="C489" s="1" t="n">
        <v>46019</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27821-2025</t>
        </is>
      </c>
      <c r="B490" s="1" t="n">
        <v>45817.34083333334</v>
      </c>
      <c r="C490" s="1" t="n">
        <v>46019</v>
      </c>
      <c r="D490" t="inlineStr">
        <is>
          <t>STOCKHOLMS LÄN</t>
        </is>
      </c>
      <c r="E490" t="inlineStr">
        <is>
          <t>NORRTÄLJE</t>
        </is>
      </c>
      <c r="G490" t="n">
        <v>3.2</v>
      </c>
      <c r="H490" t="n">
        <v>0</v>
      </c>
      <c r="I490" t="n">
        <v>0</v>
      </c>
      <c r="J490" t="n">
        <v>0</v>
      </c>
      <c r="K490" t="n">
        <v>0</v>
      </c>
      <c r="L490" t="n">
        <v>0</v>
      </c>
      <c r="M490" t="n">
        <v>0</v>
      </c>
      <c r="N490" t="n">
        <v>0</v>
      </c>
      <c r="O490" t="n">
        <v>0</v>
      </c>
      <c r="P490" t="n">
        <v>0</v>
      </c>
      <c r="Q490" t="n">
        <v>0</v>
      </c>
      <c r="R490" s="2" t="inlineStr"/>
    </row>
    <row r="491" ht="15" customHeight="1">
      <c r="A491" t="inlineStr">
        <is>
          <t>A 11-2024</t>
        </is>
      </c>
      <c r="B491" s="1" t="n">
        <v>45293</v>
      </c>
      <c r="C491" s="1" t="n">
        <v>46019</v>
      </c>
      <c r="D491" t="inlineStr">
        <is>
          <t>STOCKHOLMS LÄN</t>
        </is>
      </c>
      <c r="E491" t="inlineStr">
        <is>
          <t>NORRTÄLJE</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14559-2024</t>
        </is>
      </c>
      <c r="B492" s="1" t="n">
        <v>45394.72869212963</v>
      </c>
      <c r="C492" s="1" t="n">
        <v>46019</v>
      </c>
      <c r="D492" t="inlineStr">
        <is>
          <t>STOCKHOLMS LÄN</t>
        </is>
      </c>
      <c r="E492" t="inlineStr">
        <is>
          <t>NORRTÄLJE</t>
        </is>
      </c>
      <c r="G492" t="n">
        <v>4.2</v>
      </c>
      <c r="H492" t="n">
        <v>0</v>
      </c>
      <c r="I492" t="n">
        <v>0</v>
      </c>
      <c r="J492" t="n">
        <v>0</v>
      </c>
      <c r="K492" t="n">
        <v>0</v>
      </c>
      <c r="L492" t="n">
        <v>0</v>
      </c>
      <c r="M492" t="n">
        <v>0</v>
      </c>
      <c r="N492" t="n">
        <v>0</v>
      </c>
      <c r="O492" t="n">
        <v>0</v>
      </c>
      <c r="P492" t="n">
        <v>0</v>
      </c>
      <c r="Q492" t="n">
        <v>0</v>
      </c>
      <c r="R492" s="2" t="inlineStr"/>
    </row>
    <row r="493" ht="15" customHeight="1">
      <c r="A493" t="inlineStr">
        <is>
          <t>A 8433-2022</t>
        </is>
      </c>
      <c r="B493" s="1" t="n">
        <v>44611</v>
      </c>
      <c r="C493" s="1" t="n">
        <v>46019</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25525-2022</t>
        </is>
      </c>
      <c r="B494" s="1" t="n">
        <v>44732</v>
      </c>
      <c r="C494" s="1" t="n">
        <v>46019</v>
      </c>
      <c r="D494" t="inlineStr">
        <is>
          <t>STOCKHOLMS LÄN</t>
        </is>
      </c>
      <c r="E494" t="inlineStr">
        <is>
          <t>NORRTÄLJE</t>
        </is>
      </c>
      <c r="G494" t="n">
        <v>2.2</v>
      </c>
      <c r="H494" t="n">
        <v>0</v>
      </c>
      <c r="I494" t="n">
        <v>0</v>
      </c>
      <c r="J494" t="n">
        <v>0</v>
      </c>
      <c r="K494" t="n">
        <v>0</v>
      </c>
      <c r="L494" t="n">
        <v>0</v>
      </c>
      <c r="M494" t="n">
        <v>0</v>
      </c>
      <c r="N494" t="n">
        <v>0</v>
      </c>
      <c r="O494" t="n">
        <v>0</v>
      </c>
      <c r="P494" t="n">
        <v>0</v>
      </c>
      <c r="Q494" t="n">
        <v>0</v>
      </c>
      <c r="R494" s="2" t="inlineStr"/>
    </row>
    <row r="495" ht="15" customHeight="1">
      <c r="A495" t="inlineStr">
        <is>
          <t>A 12302-2025</t>
        </is>
      </c>
      <c r="B495" s="1" t="n">
        <v>45729.72851851852</v>
      </c>
      <c r="C495" s="1" t="n">
        <v>46019</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15528-2025</t>
        </is>
      </c>
      <c r="B496" s="1" t="n">
        <v>45747.63471064815</v>
      </c>
      <c r="C496" s="1" t="n">
        <v>46019</v>
      </c>
      <c r="D496" t="inlineStr">
        <is>
          <t>STOCKHOLMS LÄN</t>
        </is>
      </c>
      <c r="E496" t="inlineStr">
        <is>
          <t>NORRTÄLJE</t>
        </is>
      </c>
      <c r="G496" t="n">
        <v>10</v>
      </c>
      <c r="H496" t="n">
        <v>0</v>
      </c>
      <c r="I496" t="n">
        <v>0</v>
      </c>
      <c r="J496" t="n">
        <v>0</v>
      </c>
      <c r="K496" t="n">
        <v>0</v>
      </c>
      <c r="L496" t="n">
        <v>0</v>
      </c>
      <c r="M496" t="n">
        <v>0</v>
      </c>
      <c r="N496" t="n">
        <v>0</v>
      </c>
      <c r="O496" t="n">
        <v>0</v>
      </c>
      <c r="P496" t="n">
        <v>0</v>
      </c>
      <c r="Q496" t="n">
        <v>0</v>
      </c>
      <c r="R496" s="2" t="inlineStr"/>
    </row>
    <row r="497" ht="15" customHeight="1">
      <c r="A497" t="inlineStr">
        <is>
          <t>A 20011-2025</t>
        </is>
      </c>
      <c r="B497" s="1" t="n">
        <v>45772.29622685185</v>
      </c>
      <c r="C497" s="1" t="n">
        <v>46019</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11901-2024</t>
        </is>
      </c>
      <c r="B498" s="1" t="n">
        <v>45376.55638888889</v>
      </c>
      <c r="C498" s="1" t="n">
        <v>46019</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42856-2025</t>
        </is>
      </c>
      <c r="B499" s="1" t="n">
        <v>45908</v>
      </c>
      <c r="C499" s="1" t="n">
        <v>46019</v>
      </c>
      <c r="D499" t="inlineStr">
        <is>
          <t>STOCKHOLMS LÄN</t>
        </is>
      </c>
      <c r="E499" t="inlineStr">
        <is>
          <t>NORRTÄLJE</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38889-2024</t>
        </is>
      </c>
      <c r="B500" s="1" t="n">
        <v>45547</v>
      </c>
      <c r="C500" s="1" t="n">
        <v>46019</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45451-2024</t>
        </is>
      </c>
      <c r="B501" s="1" t="n">
        <v>45576</v>
      </c>
      <c r="C501" s="1" t="n">
        <v>46019</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44075-2023</t>
        </is>
      </c>
      <c r="B502" s="1" t="n">
        <v>45188.41637731482</v>
      </c>
      <c r="C502" s="1" t="n">
        <v>46019</v>
      </c>
      <c r="D502" t="inlineStr">
        <is>
          <t>STOCKHOLMS LÄN</t>
        </is>
      </c>
      <c r="E502" t="inlineStr">
        <is>
          <t>NORRTÄLJE</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24835-2025</t>
        </is>
      </c>
      <c r="B503" s="1" t="n">
        <v>45799</v>
      </c>
      <c r="C503" s="1" t="n">
        <v>46019</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26644-2024</t>
        </is>
      </c>
      <c r="B504" s="1" t="n">
        <v>45469</v>
      </c>
      <c r="C504" s="1" t="n">
        <v>46019</v>
      </c>
      <c r="D504" t="inlineStr">
        <is>
          <t>STOCKHOLMS LÄN</t>
        </is>
      </c>
      <c r="E504" t="inlineStr">
        <is>
          <t>NORRTÄLJE</t>
        </is>
      </c>
      <c r="G504" t="n">
        <v>4.3</v>
      </c>
      <c r="H504" t="n">
        <v>0</v>
      </c>
      <c r="I504" t="n">
        <v>0</v>
      </c>
      <c r="J504" t="n">
        <v>0</v>
      </c>
      <c r="K504" t="n">
        <v>0</v>
      </c>
      <c r="L504" t="n">
        <v>0</v>
      </c>
      <c r="M504" t="n">
        <v>0</v>
      </c>
      <c r="N504" t="n">
        <v>0</v>
      </c>
      <c r="O504" t="n">
        <v>0</v>
      </c>
      <c r="P504" t="n">
        <v>0</v>
      </c>
      <c r="Q504" t="n">
        <v>0</v>
      </c>
      <c r="R504" s="2" t="inlineStr"/>
    </row>
    <row r="505" ht="15" customHeight="1">
      <c r="A505" t="inlineStr">
        <is>
          <t>A 43169-2025</t>
        </is>
      </c>
      <c r="B505" s="1" t="n">
        <v>45910</v>
      </c>
      <c r="C505" s="1" t="n">
        <v>46019</v>
      </c>
      <c r="D505" t="inlineStr">
        <is>
          <t>STOCKHOLMS LÄN</t>
        </is>
      </c>
      <c r="E505" t="inlineStr">
        <is>
          <t>NORRTÄLJE</t>
        </is>
      </c>
      <c r="G505" t="n">
        <v>6.9</v>
      </c>
      <c r="H505" t="n">
        <v>0</v>
      </c>
      <c r="I505" t="n">
        <v>0</v>
      </c>
      <c r="J505" t="n">
        <v>0</v>
      </c>
      <c r="K505" t="n">
        <v>0</v>
      </c>
      <c r="L505" t="n">
        <v>0</v>
      </c>
      <c r="M505" t="n">
        <v>0</v>
      </c>
      <c r="N505" t="n">
        <v>0</v>
      </c>
      <c r="O505" t="n">
        <v>0</v>
      </c>
      <c r="P505" t="n">
        <v>0</v>
      </c>
      <c r="Q505" t="n">
        <v>0</v>
      </c>
      <c r="R505" s="2" t="inlineStr"/>
    </row>
    <row r="506" ht="15" customHeight="1">
      <c r="A506" t="inlineStr">
        <is>
          <t>A 30719-2025</t>
        </is>
      </c>
      <c r="B506" s="1" t="n">
        <v>45831</v>
      </c>
      <c r="C506" s="1" t="n">
        <v>46019</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2982-2023</t>
        </is>
      </c>
      <c r="B507" s="1" t="n">
        <v>44945.67409722223</v>
      </c>
      <c r="C507" s="1" t="n">
        <v>46019</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43269-2025</t>
        </is>
      </c>
      <c r="B508" s="1" t="n">
        <v>45910.5819212963</v>
      </c>
      <c r="C508" s="1" t="n">
        <v>46019</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12535-2025</t>
        </is>
      </c>
      <c r="B509" s="1" t="n">
        <v>45730.69502314815</v>
      </c>
      <c r="C509" s="1" t="n">
        <v>46019</v>
      </c>
      <c r="D509" t="inlineStr">
        <is>
          <t>STOCKHOLMS LÄN</t>
        </is>
      </c>
      <c r="E509" t="inlineStr">
        <is>
          <t>NORRTÄLJE</t>
        </is>
      </c>
      <c r="G509" t="n">
        <v>7.1</v>
      </c>
      <c r="H509" t="n">
        <v>0</v>
      </c>
      <c r="I509" t="n">
        <v>0</v>
      </c>
      <c r="J509" t="n">
        <v>0</v>
      </c>
      <c r="K509" t="n">
        <v>0</v>
      </c>
      <c r="L509" t="n">
        <v>0</v>
      </c>
      <c r="M509" t="n">
        <v>0</v>
      </c>
      <c r="N509" t="n">
        <v>0</v>
      </c>
      <c r="O509" t="n">
        <v>0</v>
      </c>
      <c r="P509" t="n">
        <v>0</v>
      </c>
      <c r="Q509" t="n">
        <v>0</v>
      </c>
      <c r="R509" s="2" t="inlineStr"/>
    </row>
    <row r="510" ht="15" customHeight="1">
      <c r="A510" t="inlineStr">
        <is>
          <t>A 37136-2023</t>
        </is>
      </c>
      <c r="B510" s="1" t="n">
        <v>45155</v>
      </c>
      <c r="C510" s="1" t="n">
        <v>46019</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18787-2022</t>
        </is>
      </c>
      <c r="B511" s="1" t="n">
        <v>44687</v>
      </c>
      <c r="C511" s="1" t="n">
        <v>46019</v>
      </c>
      <c r="D511" t="inlineStr">
        <is>
          <t>STOCKHOLMS LÄN</t>
        </is>
      </c>
      <c r="E511" t="inlineStr">
        <is>
          <t>NORRTÄLJE</t>
        </is>
      </c>
      <c r="G511" t="n">
        <v>2</v>
      </c>
      <c r="H511" t="n">
        <v>0</v>
      </c>
      <c r="I511" t="n">
        <v>0</v>
      </c>
      <c r="J511" t="n">
        <v>0</v>
      </c>
      <c r="K511" t="n">
        <v>0</v>
      </c>
      <c r="L511" t="n">
        <v>0</v>
      </c>
      <c r="M511" t="n">
        <v>0</v>
      </c>
      <c r="N511" t="n">
        <v>0</v>
      </c>
      <c r="O511" t="n">
        <v>0</v>
      </c>
      <c r="P511" t="n">
        <v>0</v>
      </c>
      <c r="Q511" t="n">
        <v>0</v>
      </c>
      <c r="R511" s="2" t="inlineStr"/>
    </row>
    <row r="512" ht="15" customHeight="1">
      <c r="A512" t="inlineStr">
        <is>
          <t>A 13718-2022</t>
        </is>
      </c>
      <c r="B512" s="1" t="n">
        <v>44649</v>
      </c>
      <c r="C512" s="1" t="n">
        <v>46019</v>
      </c>
      <c r="D512" t="inlineStr">
        <is>
          <t>STOCKHOLMS LÄN</t>
        </is>
      </c>
      <c r="E512" t="inlineStr">
        <is>
          <t>NORRTÄLJE</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25621-2022</t>
        </is>
      </c>
      <c r="B513" s="1" t="n">
        <v>44732</v>
      </c>
      <c r="C513" s="1" t="n">
        <v>46019</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29250-2025</t>
        </is>
      </c>
      <c r="B514" s="1" t="n">
        <v>45824.37275462963</v>
      </c>
      <c r="C514" s="1" t="n">
        <v>46019</v>
      </c>
      <c r="D514" t="inlineStr">
        <is>
          <t>STOCKHOLMS LÄN</t>
        </is>
      </c>
      <c r="E514" t="inlineStr">
        <is>
          <t>NORRTÄLJE</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43916-2025</t>
        </is>
      </c>
      <c r="B515" s="1" t="n">
        <v>45914.78884259259</v>
      </c>
      <c r="C515" s="1" t="n">
        <v>46019</v>
      </c>
      <c r="D515" t="inlineStr">
        <is>
          <t>STOCKHOLMS LÄN</t>
        </is>
      </c>
      <c r="E515" t="inlineStr">
        <is>
          <t>NORRTÄLJE</t>
        </is>
      </c>
      <c r="G515" t="n">
        <v>1.5</v>
      </c>
      <c r="H515" t="n">
        <v>0</v>
      </c>
      <c r="I515" t="n">
        <v>0</v>
      </c>
      <c r="J515" t="n">
        <v>0</v>
      </c>
      <c r="K515" t="n">
        <v>0</v>
      </c>
      <c r="L515" t="n">
        <v>0</v>
      </c>
      <c r="M515" t="n">
        <v>0</v>
      </c>
      <c r="N515" t="n">
        <v>0</v>
      </c>
      <c r="O515" t="n">
        <v>0</v>
      </c>
      <c r="P515" t="n">
        <v>0</v>
      </c>
      <c r="Q515" t="n">
        <v>0</v>
      </c>
      <c r="R515" s="2" t="inlineStr"/>
    </row>
    <row r="516" ht="15" customHeight="1">
      <c r="A516" t="inlineStr">
        <is>
          <t>A 36269-2022</t>
        </is>
      </c>
      <c r="B516" s="1" t="n">
        <v>44803</v>
      </c>
      <c r="C516" s="1" t="n">
        <v>46019</v>
      </c>
      <c r="D516" t="inlineStr">
        <is>
          <t>STOCKHOLMS LÄN</t>
        </is>
      </c>
      <c r="E516" t="inlineStr">
        <is>
          <t>NORRTÄLJE</t>
        </is>
      </c>
      <c r="G516" t="n">
        <v>2.3</v>
      </c>
      <c r="H516" t="n">
        <v>0</v>
      </c>
      <c r="I516" t="n">
        <v>0</v>
      </c>
      <c r="J516" t="n">
        <v>0</v>
      </c>
      <c r="K516" t="n">
        <v>0</v>
      </c>
      <c r="L516" t="n">
        <v>0</v>
      </c>
      <c r="M516" t="n">
        <v>0</v>
      </c>
      <c r="N516" t="n">
        <v>0</v>
      </c>
      <c r="O516" t="n">
        <v>0</v>
      </c>
      <c r="P516" t="n">
        <v>0</v>
      </c>
      <c r="Q516" t="n">
        <v>0</v>
      </c>
      <c r="R516" s="2" t="inlineStr"/>
    </row>
    <row r="517" ht="15" customHeight="1">
      <c r="A517" t="inlineStr">
        <is>
          <t>A 36308-2022</t>
        </is>
      </c>
      <c r="B517" s="1" t="n">
        <v>44803</v>
      </c>
      <c r="C517" s="1" t="n">
        <v>46019</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6919-2025</t>
        </is>
      </c>
      <c r="B518" s="1" t="n">
        <v>45701.44372685185</v>
      </c>
      <c r="C518" s="1" t="n">
        <v>46019</v>
      </c>
      <c r="D518" t="inlineStr">
        <is>
          <t>STOCKHOLMS LÄN</t>
        </is>
      </c>
      <c r="E518" t="inlineStr">
        <is>
          <t>NORRTÄLJE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32100-2022</t>
        </is>
      </c>
      <c r="B519" s="1" t="n">
        <v>44778</v>
      </c>
      <c r="C519" s="1" t="n">
        <v>46019</v>
      </c>
      <c r="D519" t="inlineStr">
        <is>
          <t>STOCKHOLMS LÄN</t>
        </is>
      </c>
      <c r="E519" t="inlineStr">
        <is>
          <t>NORRTÄLJE</t>
        </is>
      </c>
      <c r="G519" t="n">
        <v>3.3</v>
      </c>
      <c r="H519" t="n">
        <v>0</v>
      </c>
      <c r="I519" t="n">
        <v>0</v>
      </c>
      <c r="J519" t="n">
        <v>0</v>
      </c>
      <c r="K519" t="n">
        <v>0</v>
      </c>
      <c r="L519" t="n">
        <v>0</v>
      </c>
      <c r="M519" t="n">
        <v>0</v>
      </c>
      <c r="N519" t="n">
        <v>0</v>
      </c>
      <c r="O519" t="n">
        <v>0</v>
      </c>
      <c r="P519" t="n">
        <v>0</v>
      </c>
      <c r="Q519" t="n">
        <v>0</v>
      </c>
      <c r="R519" s="2" t="inlineStr"/>
    </row>
    <row r="520" ht="15" customHeight="1">
      <c r="A520" t="inlineStr">
        <is>
          <t>A 11332-2025</t>
        </is>
      </c>
      <c r="B520" s="1" t="n">
        <v>45726.48152777777</v>
      </c>
      <c r="C520" s="1" t="n">
        <v>46019</v>
      </c>
      <c r="D520" t="inlineStr">
        <is>
          <t>STOCKHOLMS LÄN</t>
        </is>
      </c>
      <c r="E520" t="inlineStr">
        <is>
          <t>NORRTÄLJE</t>
        </is>
      </c>
      <c r="G520" t="n">
        <v>4.6</v>
      </c>
      <c r="H520" t="n">
        <v>0</v>
      </c>
      <c r="I520" t="n">
        <v>0</v>
      </c>
      <c r="J520" t="n">
        <v>0</v>
      </c>
      <c r="K520" t="n">
        <v>0</v>
      </c>
      <c r="L520" t="n">
        <v>0</v>
      </c>
      <c r="M520" t="n">
        <v>0</v>
      </c>
      <c r="N520" t="n">
        <v>0</v>
      </c>
      <c r="O520" t="n">
        <v>0</v>
      </c>
      <c r="P520" t="n">
        <v>0</v>
      </c>
      <c r="Q520" t="n">
        <v>0</v>
      </c>
      <c r="R520" s="2" t="inlineStr"/>
    </row>
    <row r="521" ht="15" customHeight="1">
      <c r="A521" t="inlineStr">
        <is>
          <t>A 37444-2021</t>
        </is>
      </c>
      <c r="B521" s="1" t="n">
        <v>44398</v>
      </c>
      <c r="C521" s="1" t="n">
        <v>46019</v>
      </c>
      <c r="D521" t="inlineStr">
        <is>
          <t>STOCKHOLMS LÄN</t>
        </is>
      </c>
      <c r="E521" t="inlineStr">
        <is>
          <t>NORRTÄLJE</t>
        </is>
      </c>
      <c r="F521" t="inlineStr">
        <is>
          <t>Holmen skog AB</t>
        </is>
      </c>
      <c r="G521" t="n">
        <v>3.2</v>
      </c>
      <c r="H521" t="n">
        <v>0</v>
      </c>
      <c r="I521" t="n">
        <v>0</v>
      </c>
      <c r="J521" t="n">
        <v>0</v>
      </c>
      <c r="K521" t="n">
        <v>0</v>
      </c>
      <c r="L521" t="n">
        <v>0</v>
      </c>
      <c r="M521" t="n">
        <v>0</v>
      </c>
      <c r="N521" t="n">
        <v>0</v>
      </c>
      <c r="O521" t="n">
        <v>0</v>
      </c>
      <c r="P521" t="n">
        <v>0</v>
      </c>
      <c r="Q521" t="n">
        <v>0</v>
      </c>
      <c r="R521" s="2" t="inlineStr"/>
    </row>
    <row r="522" ht="15" customHeight="1">
      <c r="A522" t="inlineStr">
        <is>
          <t>A 30886-2022</t>
        </is>
      </c>
      <c r="B522" s="1" t="n">
        <v>44767.60601851852</v>
      </c>
      <c r="C522" s="1" t="n">
        <v>46019</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44354-2025</t>
        </is>
      </c>
      <c r="B523" s="1" t="n">
        <v>45916.44655092592</v>
      </c>
      <c r="C523" s="1" t="n">
        <v>46019</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9654-2022</t>
        </is>
      </c>
      <c r="B524" s="1" t="n">
        <v>44617</v>
      </c>
      <c r="C524" s="1" t="n">
        <v>46019</v>
      </c>
      <c r="D524" t="inlineStr">
        <is>
          <t>STOCKHOLMS LÄN</t>
        </is>
      </c>
      <c r="E524" t="inlineStr">
        <is>
          <t>NORRTÄLJE</t>
        </is>
      </c>
      <c r="G524" t="n">
        <v>6.4</v>
      </c>
      <c r="H524" t="n">
        <v>0</v>
      </c>
      <c r="I524" t="n">
        <v>0</v>
      </c>
      <c r="J524" t="n">
        <v>0</v>
      </c>
      <c r="K524" t="n">
        <v>0</v>
      </c>
      <c r="L524" t="n">
        <v>0</v>
      </c>
      <c r="M524" t="n">
        <v>0</v>
      </c>
      <c r="N524" t="n">
        <v>0</v>
      </c>
      <c r="O524" t="n">
        <v>0</v>
      </c>
      <c r="P524" t="n">
        <v>0</v>
      </c>
      <c r="Q524" t="n">
        <v>0</v>
      </c>
      <c r="R524" s="2" t="inlineStr"/>
    </row>
    <row r="525" ht="15" customHeight="1">
      <c r="A525" t="inlineStr">
        <is>
          <t>A 1453-2025</t>
        </is>
      </c>
      <c r="B525" s="1" t="n">
        <v>45670.3079050926</v>
      </c>
      <c r="C525" s="1" t="n">
        <v>46019</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5804-2025</t>
        </is>
      </c>
      <c r="B526" s="1" t="n">
        <v>45694.68207175926</v>
      </c>
      <c r="C526" s="1" t="n">
        <v>46019</v>
      </c>
      <c r="D526" t="inlineStr">
        <is>
          <t>STOCKHOLMS LÄN</t>
        </is>
      </c>
      <c r="E526" t="inlineStr">
        <is>
          <t>NORRTÄLJE</t>
        </is>
      </c>
      <c r="F526" t="inlineStr">
        <is>
          <t>Holmen skog AB</t>
        </is>
      </c>
      <c r="G526" t="n">
        <v>2.6</v>
      </c>
      <c r="H526" t="n">
        <v>0</v>
      </c>
      <c r="I526" t="n">
        <v>0</v>
      </c>
      <c r="J526" t="n">
        <v>0</v>
      </c>
      <c r="K526" t="n">
        <v>0</v>
      </c>
      <c r="L526" t="n">
        <v>0</v>
      </c>
      <c r="M526" t="n">
        <v>0</v>
      </c>
      <c r="N526" t="n">
        <v>0</v>
      </c>
      <c r="O526" t="n">
        <v>0</v>
      </c>
      <c r="P526" t="n">
        <v>0</v>
      </c>
      <c r="Q526" t="n">
        <v>0</v>
      </c>
      <c r="R526" s="2" t="inlineStr"/>
    </row>
    <row r="527" ht="15" customHeight="1">
      <c r="A527" t="inlineStr">
        <is>
          <t>A 44306-2025</t>
        </is>
      </c>
      <c r="B527" s="1" t="n">
        <v>45916.37736111111</v>
      </c>
      <c r="C527" s="1" t="n">
        <v>46019</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44343-2025</t>
        </is>
      </c>
      <c r="B528" s="1" t="n">
        <v>45916.43378472222</v>
      </c>
      <c r="C528" s="1" t="n">
        <v>46019</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44349-2025</t>
        </is>
      </c>
      <c r="B529" s="1" t="n">
        <v>45916.43929398148</v>
      </c>
      <c r="C529" s="1" t="n">
        <v>46019</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44311-2025</t>
        </is>
      </c>
      <c r="B530" s="1" t="n">
        <v>45916.38394675926</v>
      </c>
      <c r="C530" s="1" t="n">
        <v>46019</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50907-2022</t>
        </is>
      </c>
      <c r="B531" s="1" t="n">
        <v>44867.62090277778</v>
      </c>
      <c r="C531" s="1" t="n">
        <v>46019</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44333-2025</t>
        </is>
      </c>
      <c r="B532" s="1" t="n">
        <v>45916.42293981482</v>
      </c>
      <c r="C532" s="1" t="n">
        <v>46019</v>
      </c>
      <c r="D532" t="inlineStr">
        <is>
          <t>STOCKHOLMS LÄN</t>
        </is>
      </c>
      <c r="E532" t="inlineStr">
        <is>
          <t>NORRTÄLJE</t>
        </is>
      </c>
      <c r="G532" t="n">
        <v>1.5</v>
      </c>
      <c r="H532" t="n">
        <v>0</v>
      </c>
      <c r="I532" t="n">
        <v>0</v>
      </c>
      <c r="J532" t="n">
        <v>0</v>
      </c>
      <c r="K532" t="n">
        <v>0</v>
      </c>
      <c r="L532" t="n">
        <v>0</v>
      </c>
      <c r="M532" t="n">
        <v>0</v>
      </c>
      <c r="N532" t="n">
        <v>0</v>
      </c>
      <c r="O532" t="n">
        <v>0</v>
      </c>
      <c r="P532" t="n">
        <v>0</v>
      </c>
      <c r="Q532" t="n">
        <v>0</v>
      </c>
      <c r="R532" s="2" t="inlineStr"/>
    </row>
    <row r="533" ht="15" customHeight="1">
      <c r="A533" t="inlineStr">
        <is>
          <t>A 29003-2023</t>
        </is>
      </c>
      <c r="B533" s="1" t="n">
        <v>45104</v>
      </c>
      <c r="C533" s="1" t="n">
        <v>46019</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33295-2023</t>
        </is>
      </c>
      <c r="B534" s="1" t="n">
        <v>45127.69371527778</v>
      </c>
      <c r="C534" s="1" t="n">
        <v>46019</v>
      </c>
      <c r="D534" t="inlineStr">
        <is>
          <t>STOCKHOLMS LÄN</t>
        </is>
      </c>
      <c r="E534" t="inlineStr">
        <is>
          <t>NORRTÄLJE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14127-2025</t>
        </is>
      </c>
      <c r="B535" s="1" t="n">
        <v>45740.47055555556</v>
      </c>
      <c r="C535" s="1" t="n">
        <v>46019</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16980-2023</t>
        </is>
      </c>
      <c r="B536" s="1" t="n">
        <v>45033</v>
      </c>
      <c r="C536" s="1" t="n">
        <v>46019</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32595-2023</t>
        </is>
      </c>
      <c r="B537" s="1" t="n">
        <v>45121</v>
      </c>
      <c r="C537" s="1" t="n">
        <v>46019</v>
      </c>
      <c r="D537" t="inlineStr">
        <is>
          <t>STOCKHOLMS LÄN</t>
        </is>
      </c>
      <c r="E537" t="inlineStr">
        <is>
          <t>NORRTÄLJE</t>
        </is>
      </c>
      <c r="G537" t="n">
        <v>2.4</v>
      </c>
      <c r="H537" t="n">
        <v>0</v>
      </c>
      <c r="I537" t="n">
        <v>0</v>
      </c>
      <c r="J537" t="n">
        <v>0</v>
      </c>
      <c r="K537" t="n">
        <v>0</v>
      </c>
      <c r="L537" t="n">
        <v>0</v>
      </c>
      <c r="M537" t="n">
        <v>0</v>
      </c>
      <c r="N537" t="n">
        <v>0</v>
      </c>
      <c r="O537" t="n">
        <v>0</v>
      </c>
      <c r="P537" t="n">
        <v>0</v>
      </c>
      <c r="Q537" t="n">
        <v>0</v>
      </c>
      <c r="R537" s="2" t="inlineStr"/>
    </row>
    <row r="538" ht="15" customHeight="1">
      <c r="A538" t="inlineStr">
        <is>
          <t>A 44937-2025</t>
        </is>
      </c>
      <c r="B538" s="1" t="n">
        <v>45918</v>
      </c>
      <c r="C538" s="1" t="n">
        <v>46019</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37550-2022</t>
        </is>
      </c>
      <c r="B539" s="1" t="n">
        <v>44809</v>
      </c>
      <c r="C539" s="1" t="n">
        <v>46019</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30639-2025</t>
        </is>
      </c>
      <c r="B540" s="1" t="n">
        <v>45831.4844212963</v>
      </c>
      <c r="C540" s="1" t="n">
        <v>46019</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30668-2025</t>
        </is>
      </c>
      <c r="B541" s="1" t="n">
        <v>45831.51659722222</v>
      </c>
      <c r="C541" s="1" t="n">
        <v>46019</v>
      </c>
      <c r="D541" t="inlineStr">
        <is>
          <t>STOCKHOLMS LÄN</t>
        </is>
      </c>
      <c r="E541" t="inlineStr">
        <is>
          <t>NORRTÄLJE</t>
        </is>
      </c>
      <c r="G541" t="n">
        <v>4.9</v>
      </c>
      <c r="H541" t="n">
        <v>0</v>
      </c>
      <c r="I541" t="n">
        <v>0</v>
      </c>
      <c r="J541" t="n">
        <v>0</v>
      </c>
      <c r="K541" t="n">
        <v>0</v>
      </c>
      <c r="L541" t="n">
        <v>0</v>
      </c>
      <c r="M541" t="n">
        <v>0</v>
      </c>
      <c r="N541" t="n">
        <v>0</v>
      </c>
      <c r="O541" t="n">
        <v>0</v>
      </c>
      <c r="P541" t="n">
        <v>0</v>
      </c>
      <c r="Q541" t="n">
        <v>0</v>
      </c>
      <c r="R541" s="2" t="inlineStr"/>
    </row>
    <row r="542" ht="15" customHeight="1">
      <c r="A542" t="inlineStr">
        <is>
          <t>A 48161-2022</t>
        </is>
      </c>
      <c r="B542" s="1" t="n">
        <v>44858</v>
      </c>
      <c r="C542" s="1" t="n">
        <v>46019</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48798-2021</t>
        </is>
      </c>
      <c r="B543" s="1" t="n">
        <v>44452</v>
      </c>
      <c r="C543" s="1" t="n">
        <v>46019</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46019</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46019</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54776-2023</t>
        </is>
      </c>
      <c r="B546" s="1" t="n">
        <v>45236.46369212963</v>
      </c>
      <c r="C546" s="1" t="n">
        <v>46019</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57442-2021</t>
        </is>
      </c>
      <c r="B547" s="1" t="n">
        <v>44483</v>
      </c>
      <c r="C547" s="1" t="n">
        <v>46019</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45697-2025</t>
        </is>
      </c>
      <c r="B548" s="1" t="n">
        <v>45923.39877314815</v>
      </c>
      <c r="C548" s="1" t="n">
        <v>46019</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31170-2025</t>
        </is>
      </c>
      <c r="B549" s="1" t="n">
        <v>45832.66385416667</v>
      </c>
      <c r="C549" s="1" t="n">
        <v>46019</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55952-2024</t>
        </is>
      </c>
      <c r="B550" s="1" t="n">
        <v>45623.62563657408</v>
      </c>
      <c r="C550" s="1" t="n">
        <v>46019</v>
      </c>
      <c r="D550" t="inlineStr">
        <is>
          <t>STOCKHOLMS LÄN</t>
        </is>
      </c>
      <c r="E550" t="inlineStr">
        <is>
          <t>NORRTÄLJE</t>
        </is>
      </c>
      <c r="F550" t="inlineStr">
        <is>
          <t>Holmen skog AB</t>
        </is>
      </c>
      <c r="G550" t="n">
        <v>2.8</v>
      </c>
      <c r="H550" t="n">
        <v>0</v>
      </c>
      <c r="I550" t="n">
        <v>0</v>
      </c>
      <c r="J550" t="n">
        <v>0</v>
      </c>
      <c r="K550" t="n">
        <v>0</v>
      </c>
      <c r="L550" t="n">
        <v>0</v>
      </c>
      <c r="M550" t="n">
        <v>0</v>
      </c>
      <c r="N550" t="n">
        <v>0</v>
      </c>
      <c r="O550" t="n">
        <v>0</v>
      </c>
      <c r="P550" t="n">
        <v>0</v>
      </c>
      <c r="Q550" t="n">
        <v>0</v>
      </c>
      <c r="R550" s="2" t="inlineStr"/>
    </row>
    <row r="551" ht="15" customHeight="1">
      <c r="A551" t="inlineStr">
        <is>
          <t>A 8135-2025</t>
        </is>
      </c>
      <c r="B551" s="1" t="n">
        <v>45707.84997685185</v>
      </c>
      <c r="C551" s="1" t="n">
        <v>46019</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3383-2023</t>
        </is>
      </c>
      <c r="B552" s="1" t="n">
        <v>44949</v>
      </c>
      <c r="C552" s="1" t="n">
        <v>46019</v>
      </c>
      <c r="D552" t="inlineStr">
        <is>
          <t>STOCKHOLMS LÄN</t>
        </is>
      </c>
      <c r="E552" t="inlineStr">
        <is>
          <t>NORRTÄLJE</t>
        </is>
      </c>
      <c r="G552" t="n">
        <v>14.6</v>
      </c>
      <c r="H552" t="n">
        <v>0</v>
      </c>
      <c r="I552" t="n">
        <v>0</v>
      </c>
      <c r="J552" t="n">
        <v>0</v>
      </c>
      <c r="K552" t="n">
        <v>0</v>
      </c>
      <c r="L552" t="n">
        <v>0</v>
      </c>
      <c r="M552" t="n">
        <v>0</v>
      </c>
      <c r="N552" t="n">
        <v>0</v>
      </c>
      <c r="O552" t="n">
        <v>0</v>
      </c>
      <c r="P552" t="n">
        <v>0</v>
      </c>
      <c r="Q552" t="n">
        <v>0</v>
      </c>
      <c r="R552" s="2" t="inlineStr"/>
    </row>
    <row r="553" ht="15" customHeight="1">
      <c r="A553" t="inlineStr">
        <is>
          <t>A 46415-2025</t>
        </is>
      </c>
      <c r="B553" s="1" t="n">
        <v>45925.58636574074</v>
      </c>
      <c r="C553" s="1" t="n">
        <v>46019</v>
      </c>
      <c r="D553" t="inlineStr">
        <is>
          <t>STOCKHOLMS LÄN</t>
        </is>
      </c>
      <c r="E553" t="inlineStr">
        <is>
          <t>NORRTÄLJE</t>
        </is>
      </c>
      <c r="G553" t="n">
        <v>3.8</v>
      </c>
      <c r="H553" t="n">
        <v>0</v>
      </c>
      <c r="I553" t="n">
        <v>0</v>
      </c>
      <c r="J553" t="n">
        <v>0</v>
      </c>
      <c r="K553" t="n">
        <v>0</v>
      </c>
      <c r="L553" t="n">
        <v>0</v>
      </c>
      <c r="M553" t="n">
        <v>0</v>
      </c>
      <c r="N553" t="n">
        <v>0</v>
      </c>
      <c r="O553" t="n">
        <v>0</v>
      </c>
      <c r="P553" t="n">
        <v>0</v>
      </c>
      <c r="Q553" t="n">
        <v>0</v>
      </c>
      <c r="R553" s="2" t="inlineStr"/>
    </row>
    <row r="554" ht="15" customHeight="1">
      <c r="A554" t="inlineStr">
        <is>
          <t>A 31880-2025</t>
        </is>
      </c>
      <c r="B554" s="1" t="n">
        <v>45834.65538194445</v>
      </c>
      <c r="C554" s="1" t="n">
        <v>46019</v>
      </c>
      <c r="D554" t="inlineStr">
        <is>
          <t>STOCKHOLMS LÄN</t>
        </is>
      </c>
      <c r="E554" t="inlineStr">
        <is>
          <t>NORRTÄLJE</t>
        </is>
      </c>
      <c r="G554" t="n">
        <v>1.4</v>
      </c>
      <c r="H554" t="n">
        <v>0</v>
      </c>
      <c r="I554" t="n">
        <v>0</v>
      </c>
      <c r="J554" t="n">
        <v>0</v>
      </c>
      <c r="K554" t="n">
        <v>0</v>
      </c>
      <c r="L554" t="n">
        <v>0</v>
      </c>
      <c r="M554" t="n">
        <v>0</v>
      </c>
      <c r="N554" t="n">
        <v>0</v>
      </c>
      <c r="O554" t="n">
        <v>0</v>
      </c>
      <c r="P554" t="n">
        <v>0</v>
      </c>
      <c r="Q554" t="n">
        <v>0</v>
      </c>
      <c r="R554" s="2" t="inlineStr"/>
    </row>
    <row r="555" ht="15" customHeight="1">
      <c r="A555" t="inlineStr">
        <is>
          <t>A 13148-2021</t>
        </is>
      </c>
      <c r="B555" s="1" t="n">
        <v>44272</v>
      </c>
      <c r="C555" s="1" t="n">
        <v>46019</v>
      </c>
      <c r="D555" t="inlineStr">
        <is>
          <t>STOCKHOLMS LÄN</t>
        </is>
      </c>
      <c r="E555" t="inlineStr">
        <is>
          <t>NORRTÄLJE</t>
        </is>
      </c>
      <c r="G555" t="n">
        <v>12.4</v>
      </c>
      <c r="H555" t="n">
        <v>0</v>
      </c>
      <c r="I555" t="n">
        <v>0</v>
      </c>
      <c r="J555" t="n">
        <v>0</v>
      </c>
      <c r="K555" t="n">
        <v>0</v>
      </c>
      <c r="L555" t="n">
        <v>0</v>
      </c>
      <c r="M555" t="n">
        <v>0</v>
      </c>
      <c r="N555" t="n">
        <v>0</v>
      </c>
      <c r="O555" t="n">
        <v>0</v>
      </c>
      <c r="P555" t="n">
        <v>0</v>
      </c>
      <c r="Q555" t="n">
        <v>0</v>
      </c>
      <c r="R555" s="2" t="inlineStr"/>
    </row>
    <row r="556" ht="15" customHeight="1">
      <c r="A556" t="inlineStr">
        <is>
          <t>A 32122-2025</t>
        </is>
      </c>
      <c r="B556" s="1" t="n">
        <v>45835.4928125</v>
      </c>
      <c r="C556" s="1" t="n">
        <v>46019</v>
      </c>
      <c r="D556" t="inlineStr">
        <is>
          <t>STOCKHOLMS LÄN</t>
        </is>
      </c>
      <c r="E556" t="inlineStr">
        <is>
          <t>NORRTÄLJE</t>
        </is>
      </c>
      <c r="F556" t="inlineStr">
        <is>
          <t>Holmen skog AB</t>
        </is>
      </c>
      <c r="G556" t="n">
        <v>1.9</v>
      </c>
      <c r="H556" t="n">
        <v>0</v>
      </c>
      <c r="I556" t="n">
        <v>0</v>
      </c>
      <c r="J556" t="n">
        <v>0</v>
      </c>
      <c r="K556" t="n">
        <v>0</v>
      </c>
      <c r="L556" t="n">
        <v>0</v>
      </c>
      <c r="M556" t="n">
        <v>0</v>
      </c>
      <c r="N556" t="n">
        <v>0</v>
      </c>
      <c r="O556" t="n">
        <v>0</v>
      </c>
      <c r="P556" t="n">
        <v>0</v>
      </c>
      <c r="Q556" t="n">
        <v>0</v>
      </c>
      <c r="R556" s="2" t="inlineStr"/>
    </row>
    <row r="557" ht="15" customHeight="1">
      <c r="A557" t="inlineStr">
        <is>
          <t>A 31868-2025</t>
        </is>
      </c>
      <c r="B557" s="1" t="n">
        <v>45834.6447337963</v>
      </c>
      <c r="C557" s="1" t="n">
        <v>46019</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21732-2023</t>
        </is>
      </c>
      <c r="B558" s="1" t="n">
        <v>45063</v>
      </c>
      <c r="C558" s="1" t="n">
        <v>46019</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23307-2024</t>
        </is>
      </c>
      <c r="B559" s="1" t="n">
        <v>45453</v>
      </c>
      <c r="C559" s="1" t="n">
        <v>46019</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6413-2025</t>
        </is>
      </c>
      <c r="B560" s="1" t="n">
        <v>45699.46283564815</v>
      </c>
      <c r="C560" s="1" t="n">
        <v>46019</v>
      </c>
      <c r="D560" t="inlineStr">
        <is>
          <t>STOCKHOLMS LÄN</t>
        </is>
      </c>
      <c r="E560" t="inlineStr">
        <is>
          <t>NORRTÄLJE</t>
        </is>
      </c>
      <c r="G560" t="n">
        <v>3.6</v>
      </c>
      <c r="H560" t="n">
        <v>0</v>
      </c>
      <c r="I560" t="n">
        <v>0</v>
      </c>
      <c r="J560" t="n">
        <v>0</v>
      </c>
      <c r="K560" t="n">
        <v>0</v>
      </c>
      <c r="L560" t="n">
        <v>0</v>
      </c>
      <c r="M560" t="n">
        <v>0</v>
      </c>
      <c r="N560" t="n">
        <v>0</v>
      </c>
      <c r="O560" t="n">
        <v>0</v>
      </c>
      <c r="P560" t="n">
        <v>0</v>
      </c>
      <c r="Q560" t="n">
        <v>0</v>
      </c>
      <c r="R560" s="2" t="inlineStr"/>
    </row>
    <row r="561" ht="15" customHeight="1">
      <c r="A561" t="inlineStr">
        <is>
          <t>A 32016-2025</t>
        </is>
      </c>
      <c r="B561" s="1" t="n">
        <v>45835</v>
      </c>
      <c r="C561" s="1" t="n">
        <v>46019</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46900-2025</t>
        </is>
      </c>
      <c r="B562" s="1" t="n">
        <v>45929.38712962963</v>
      </c>
      <c r="C562" s="1" t="n">
        <v>46019</v>
      </c>
      <c r="D562" t="inlineStr">
        <is>
          <t>STOCKHOLMS LÄN</t>
        </is>
      </c>
      <c r="E562" t="inlineStr">
        <is>
          <t>NORRTÄLJE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32283-2025</t>
        </is>
      </c>
      <c r="B563" s="1" t="n">
        <v>45835.68076388889</v>
      </c>
      <c r="C563" s="1" t="n">
        <v>46019</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31874-2025</t>
        </is>
      </c>
      <c r="B564" s="1" t="n">
        <v>45834</v>
      </c>
      <c r="C564" s="1" t="n">
        <v>46019</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3386-2021</t>
        </is>
      </c>
      <c r="B565" s="1" t="n">
        <v>44218</v>
      </c>
      <c r="C565" s="1" t="n">
        <v>46019</v>
      </c>
      <c r="D565" t="inlineStr">
        <is>
          <t>STOCKHOLMS LÄN</t>
        </is>
      </c>
      <c r="E565" t="inlineStr">
        <is>
          <t>NORRTÄLJE</t>
        </is>
      </c>
      <c r="G565" t="n">
        <v>8</v>
      </c>
      <c r="H565" t="n">
        <v>0</v>
      </c>
      <c r="I565" t="n">
        <v>0</v>
      </c>
      <c r="J565" t="n">
        <v>0</v>
      </c>
      <c r="K565" t="n">
        <v>0</v>
      </c>
      <c r="L565" t="n">
        <v>0</v>
      </c>
      <c r="M565" t="n">
        <v>0</v>
      </c>
      <c r="N565" t="n">
        <v>0</v>
      </c>
      <c r="O565" t="n">
        <v>0</v>
      </c>
      <c r="P565" t="n">
        <v>0</v>
      </c>
      <c r="Q565" t="n">
        <v>0</v>
      </c>
      <c r="R565" s="2" t="inlineStr"/>
    </row>
    <row r="566" ht="15" customHeight="1">
      <c r="A566" t="inlineStr">
        <is>
          <t>A 32094-2025</t>
        </is>
      </c>
      <c r="B566" s="1" t="n">
        <v>45835.46034722222</v>
      </c>
      <c r="C566" s="1" t="n">
        <v>46019</v>
      </c>
      <c r="D566" t="inlineStr">
        <is>
          <t>STOCKHOLMS LÄN</t>
        </is>
      </c>
      <c r="E566" t="inlineStr">
        <is>
          <t>NORRTÄLJE</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37085-2021</t>
        </is>
      </c>
      <c r="B567" s="1" t="n">
        <v>44395</v>
      </c>
      <c r="C567" s="1" t="n">
        <v>46019</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56428-2023</t>
        </is>
      </c>
      <c r="B568" s="1" t="n">
        <v>45243.45289351852</v>
      </c>
      <c r="C568" s="1" t="n">
        <v>46019</v>
      </c>
      <c r="D568" t="inlineStr">
        <is>
          <t>STOCKHOLMS LÄN</t>
        </is>
      </c>
      <c r="E568" t="inlineStr">
        <is>
          <t>NORRTÄLJE</t>
        </is>
      </c>
      <c r="F568" t="inlineStr">
        <is>
          <t>Kyrkan</t>
        </is>
      </c>
      <c r="G568" t="n">
        <v>1.3</v>
      </c>
      <c r="H568" t="n">
        <v>0</v>
      </c>
      <c r="I568" t="n">
        <v>0</v>
      </c>
      <c r="J568" t="n">
        <v>0</v>
      </c>
      <c r="K568" t="n">
        <v>0</v>
      </c>
      <c r="L568" t="n">
        <v>0</v>
      </c>
      <c r="M568" t="n">
        <v>0</v>
      </c>
      <c r="N568" t="n">
        <v>0</v>
      </c>
      <c r="O568" t="n">
        <v>0</v>
      </c>
      <c r="P568" t="n">
        <v>0</v>
      </c>
      <c r="Q568" t="n">
        <v>0</v>
      </c>
      <c r="R568" s="2" t="inlineStr"/>
    </row>
    <row r="569" ht="15" customHeight="1">
      <c r="A569" t="inlineStr">
        <is>
          <t>A 35256-2025</t>
        </is>
      </c>
      <c r="B569" s="1" t="n">
        <v>45853</v>
      </c>
      <c r="C569" s="1" t="n">
        <v>46019</v>
      </c>
      <c r="D569" t="inlineStr">
        <is>
          <t>STOCKHOLMS LÄN</t>
        </is>
      </c>
      <c r="E569" t="inlineStr">
        <is>
          <t>NORRTÄLJE</t>
        </is>
      </c>
      <c r="G569" t="n">
        <v>6.4</v>
      </c>
      <c r="H569" t="n">
        <v>0</v>
      </c>
      <c r="I569" t="n">
        <v>0</v>
      </c>
      <c r="J569" t="n">
        <v>0</v>
      </c>
      <c r="K569" t="n">
        <v>0</v>
      </c>
      <c r="L569" t="n">
        <v>0</v>
      </c>
      <c r="M569" t="n">
        <v>0</v>
      </c>
      <c r="N569" t="n">
        <v>0</v>
      </c>
      <c r="O569" t="n">
        <v>0</v>
      </c>
      <c r="P569" t="n">
        <v>0</v>
      </c>
      <c r="Q569" t="n">
        <v>0</v>
      </c>
      <c r="R569" s="2" t="inlineStr"/>
    </row>
    <row r="570" ht="15" customHeight="1">
      <c r="A570" t="inlineStr">
        <is>
          <t>A 32480-2025</t>
        </is>
      </c>
      <c r="B570" s="1" t="n">
        <v>45838.43261574074</v>
      </c>
      <c r="C570" s="1" t="n">
        <v>46019</v>
      </c>
      <c r="D570" t="inlineStr">
        <is>
          <t>STOCKHOLMS LÄN</t>
        </is>
      </c>
      <c r="E570" t="inlineStr">
        <is>
          <t>NORRTÄLJE</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32872-2025</t>
        </is>
      </c>
      <c r="B571" s="1" t="n">
        <v>45839</v>
      </c>
      <c r="C571" s="1" t="n">
        <v>46019</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32903-2025</t>
        </is>
      </c>
      <c r="B572" s="1" t="n">
        <v>45839.62398148148</v>
      </c>
      <c r="C572" s="1" t="n">
        <v>46019</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32395-2025</t>
        </is>
      </c>
      <c r="B573" s="1" t="n">
        <v>45837.93730324074</v>
      </c>
      <c r="C573" s="1" t="n">
        <v>46019</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32396-2025</t>
        </is>
      </c>
      <c r="B574" s="1" t="n">
        <v>45837</v>
      </c>
      <c r="C574" s="1" t="n">
        <v>46019</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32397-2025</t>
        </is>
      </c>
      <c r="B575" s="1" t="n">
        <v>45837.94081018519</v>
      </c>
      <c r="C575" s="1" t="n">
        <v>46019</v>
      </c>
      <c r="D575" t="inlineStr">
        <is>
          <t>STOCKHOLMS LÄN</t>
        </is>
      </c>
      <c r="E575" t="inlineStr">
        <is>
          <t>NORRTÄLJE</t>
        </is>
      </c>
      <c r="G575" t="n">
        <v>5.9</v>
      </c>
      <c r="H575" t="n">
        <v>0</v>
      </c>
      <c r="I575" t="n">
        <v>0</v>
      </c>
      <c r="J575" t="n">
        <v>0</v>
      </c>
      <c r="K575" t="n">
        <v>0</v>
      </c>
      <c r="L575" t="n">
        <v>0</v>
      </c>
      <c r="M575" t="n">
        <v>0</v>
      </c>
      <c r="N575" t="n">
        <v>0</v>
      </c>
      <c r="O575" t="n">
        <v>0</v>
      </c>
      <c r="P575" t="n">
        <v>0</v>
      </c>
      <c r="Q575" t="n">
        <v>0</v>
      </c>
      <c r="R575" s="2" t="inlineStr"/>
    </row>
    <row r="576" ht="15" customHeight="1">
      <c r="A576" t="inlineStr">
        <is>
          <t>A 17556-2025</t>
        </is>
      </c>
      <c r="B576" s="1" t="n">
        <v>45757.62482638889</v>
      </c>
      <c r="C576" s="1" t="n">
        <v>46019</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42094-2023</t>
        </is>
      </c>
      <c r="B577" s="1" t="n">
        <v>45177.61498842593</v>
      </c>
      <c r="C577" s="1" t="n">
        <v>46019</v>
      </c>
      <c r="D577" t="inlineStr">
        <is>
          <t>STOCKHOLMS LÄN</t>
        </is>
      </c>
      <c r="E577" t="inlineStr">
        <is>
          <t>NORRTÄLJE</t>
        </is>
      </c>
      <c r="G577" t="n">
        <v>0.3</v>
      </c>
      <c r="H577" t="n">
        <v>0</v>
      </c>
      <c r="I577" t="n">
        <v>0</v>
      </c>
      <c r="J577" t="n">
        <v>0</v>
      </c>
      <c r="K577" t="n">
        <v>0</v>
      </c>
      <c r="L577" t="n">
        <v>0</v>
      </c>
      <c r="M577" t="n">
        <v>0</v>
      </c>
      <c r="N577" t="n">
        <v>0</v>
      </c>
      <c r="O577" t="n">
        <v>0</v>
      </c>
      <c r="P577" t="n">
        <v>0</v>
      </c>
      <c r="Q577" t="n">
        <v>0</v>
      </c>
      <c r="R577" s="2" t="inlineStr"/>
    </row>
    <row r="578" ht="15" customHeight="1">
      <c r="A578" t="inlineStr">
        <is>
          <t>A 33702-2025</t>
        </is>
      </c>
      <c r="B578" s="1" t="n">
        <v>45841.74596064815</v>
      </c>
      <c r="C578" s="1" t="n">
        <v>46019</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8370-2025</t>
        </is>
      </c>
      <c r="B579" s="1" t="n">
        <v>45708</v>
      </c>
      <c r="C579" s="1" t="n">
        <v>46019</v>
      </c>
      <c r="D579" t="inlineStr">
        <is>
          <t>STOCKHOLMS LÄN</t>
        </is>
      </c>
      <c r="E579" t="inlineStr">
        <is>
          <t>NORRTÄLJE</t>
        </is>
      </c>
      <c r="F579" t="inlineStr">
        <is>
          <t>Övriga Aktiebolag</t>
        </is>
      </c>
      <c r="G579" t="n">
        <v>5.6</v>
      </c>
      <c r="H579" t="n">
        <v>0</v>
      </c>
      <c r="I579" t="n">
        <v>0</v>
      </c>
      <c r="J579" t="n">
        <v>0</v>
      </c>
      <c r="K579" t="n">
        <v>0</v>
      </c>
      <c r="L579" t="n">
        <v>0</v>
      </c>
      <c r="M579" t="n">
        <v>0</v>
      </c>
      <c r="N579" t="n">
        <v>0</v>
      </c>
      <c r="O579" t="n">
        <v>0</v>
      </c>
      <c r="P579" t="n">
        <v>0</v>
      </c>
      <c r="Q579" t="n">
        <v>0</v>
      </c>
      <c r="R579" s="2" t="inlineStr"/>
    </row>
    <row r="580" ht="15" customHeight="1">
      <c r="A580" t="inlineStr">
        <is>
          <t>A 47498-2025</t>
        </is>
      </c>
      <c r="B580" s="1" t="n">
        <v>45930.8134375</v>
      </c>
      <c r="C580" s="1" t="n">
        <v>46019</v>
      </c>
      <c r="D580" t="inlineStr">
        <is>
          <t>STOCKHOLMS LÄN</t>
        </is>
      </c>
      <c r="E580" t="inlineStr">
        <is>
          <t>NORRTÄLJE</t>
        </is>
      </c>
      <c r="F580" t="inlineStr">
        <is>
          <t>Holmen skog AB</t>
        </is>
      </c>
      <c r="G580" t="n">
        <v>1.7</v>
      </c>
      <c r="H580" t="n">
        <v>0</v>
      </c>
      <c r="I580" t="n">
        <v>0</v>
      </c>
      <c r="J580" t="n">
        <v>0</v>
      </c>
      <c r="K580" t="n">
        <v>0</v>
      </c>
      <c r="L580" t="n">
        <v>0</v>
      </c>
      <c r="M580" t="n">
        <v>0</v>
      </c>
      <c r="N580" t="n">
        <v>0</v>
      </c>
      <c r="O580" t="n">
        <v>0</v>
      </c>
      <c r="P580" t="n">
        <v>0</v>
      </c>
      <c r="Q580" t="n">
        <v>0</v>
      </c>
      <c r="R580" s="2" t="inlineStr"/>
    </row>
    <row r="581" ht="15" customHeight="1">
      <c r="A581" t="inlineStr">
        <is>
          <t>A 3299-2022</t>
        </is>
      </c>
      <c r="B581" s="1" t="n">
        <v>44584.91001157407</v>
      </c>
      <c r="C581" s="1" t="n">
        <v>46019</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47460-2025</t>
        </is>
      </c>
      <c r="B582" s="1" t="n">
        <v>45930.66012731481</v>
      </c>
      <c r="C582" s="1" t="n">
        <v>46019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47496-2025</t>
        </is>
      </c>
      <c r="B583" s="1" t="n">
        <v>45930.79252314815</v>
      </c>
      <c r="C583" s="1" t="n">
        <v>46019</v>
      </c>
      <c r="D583" t="inlineStr">
        <is>
          <t>STOCKHOLMS LÄN</t>
        </is>
      </c>
      <c r="E583" t="inlineStr">
        <is>
          <t>NORRTÄLJE</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47497-2025</t>
        </is>
      </c>
      <c r="B584" s="1" t="n">
        <v>45930.80217592593</v>
      </c>
      <c r="C584" s="1" t="n">
        <v>46019</v>
      </c>
      <c r="D584" t="inlineStr">
        <is>
          <t>STOCKHOLMS LÄN</t>
        </is>
      </c>
      <c r="E584" t="inlineStr">
        <is>
          <t>NORRTÄLJE</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33211-2025</t>
        </is>
      </c>
      <c r="B585" s="1" t="n">
        <v>45840.62755787037</v>
      </c>
      <c r="C585" s="1" t="n">
        <v>46019</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33265-2025</t>
        </is>
      </c>
      <c r="B586" s="1" t="n">
        <v>45840.67829861111</v>
      </c>
      <c r="C586" s="1" t="n">
        <v>46019</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12348-2025</t>
        </is>
      </c>
      <c r="B587" s="1" t="n">
        <v>45730.35026620371</v>
      </c>
      <c r="C587" s="1" t="n">
        <v>46019</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48360-2025</t>
        </is>
      </c>
      <c r="B588" s="1" t="n">
        <v>45933.66253472222</v>
      </c>
      <c r="C588" s="1" t="n">
        <v>46019</v>
      </c>
      <c r="D588" t="inlineStr">
        <is>
          <t>STOCKHOLMS LÄN</t>
        </is>
      </c>
      <c r="E588" t="inlineStr">
        <is>
          <t>NORRTÄLJE</t>
        </is>
      </c>
      <c r="G588" t="n">
        <v>4.1</v>
      </c>
      <c r="H588" t="n">
        <v>0</v>
      </c>
      <c r="I588" t="n">
        <v>0</v>
      </c>
      <c r="J588" t="n">
        <v>0</v>
      </c>
      <c r="K588" t="n">
        <v>0</v>
      </c>
      <c r="L588" t="n">
        <v>0</v>
      </c>
      <c r="M588" t="n">
        <v>0</v>
      </c>
      <c r="N588" t="n">
        <v>0</v>
      </c>
      <c r="O588" t="n">
        <v>0</v>
      </c>
      <c r="P588" t="n">
        <v>0</v>
      </c>
      <c r="Q588" t="n">
        <v>0</v>
      </c>
      <c r="R588" s="2" t="inlineStr"/>
    </row>
    <row r="589" ht="15" customHeight="1">
      <c r="A589" t="inlineStr">
        <is>
          <t>A 48370-2025</t>
        </is>
      </c>
      <c r="B589" s="1" t="n">
        <v>45933.67854166667</v>
      </c>
      <c r="C589" s="1" t="n">
        <v>46019</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48364-2025</t>
        </is>
      </c>
      <c r="B590" s="1" t="n">
        <v>45933.66796296297</v>
      </c>
      <c r="C590" s="1" t="n">
        <v>46019</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33552-2025</t>
        </is>
      </c>
      <c r="B591" s="1" t="n">
        <v>45841.5737962963</v>
      </c>
      <c r="C591" s="1" t="n">
        <v>46019</v>
      </c>
      <c r="D591" t="inlineStr">
        <is>
          <t>STOCKHOLMS LÄN</t>
        </is>
      </c>
      <c r="E591" t="inlineStr">
        <is>
          <t>NORRTÄLJE</t>
        </is>
      </c>
      <c r="G591" t="n">
        <v>8.9</v>
      </c>
      <c r="H591" t="n">
        <v>0</v>
      </c>
      <c r="I591" t="n">
        <v>0</v>
      </c>
      <c r="J591" t="n">
        <v>0</v>
      </c>
      <c r="K591" t="n">
        <v>0</v>
      </c>
      <c r="L591" t="n">
        <v>0</v>
      </c>
      <c r="M591" t="n">
        <v>0</v>
      </c>
      <c r="N591" t="n">
        <v>0</v>
      </c>
      <c r="O591" t="n">
        <v>0</v>
      </c>
      <c r="P591" t="n">
        <v>0</v>
      </c>
      <c r="Q591" t="n">
        <v>0</v>
      </c>
      <c r="R591" s="2" t="inlineStr"/>
    </row>
    <row r="592" ht="15" customHeight="1">
      <c r="A592" t="inlineStr">
        <is>
          <t>A 17545-2025</t>
        </is>
      </c>
      <c r="B592" s="1" t="n">
        <v>45757.60658564815</v>
      </c>
      <c r="C592" s="1" t="n">
        <v>46019</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33336-2025</t>
        </is>
      </c>
      <c r="B593" s="1" t="n">
        <v>45841.35611111111</v>
      </c>
      <c r="C593" s="1" t="n">
        <v>46019</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33824-2025</t>
        </is>
      </c>
      <c r="B594" s="1" t="n">
        <v>45842.46885416667</v>
      </c>
      <c r="C594" s="1" t="n">
        <v>46019</v>
      </c>
      <c r="D594" t="inlineStr">
        <is>
          <t>STOCKHOLMS LÄN</t>
        </is>
      </c>
      <c r="E594" t="inlineStr">
        <is>
          <t>NORRTÄLJE</t>
        </is>
      </c>
      <c r="G594" t="n">
        <v>1.9</v>
      </c>
      <c r="H594" t="n">
        <v>0</v>
      </c>
      <c r="I594" t="n">
        <v>0</v>
      </c>
      <c r="J594" t="n">
        <v>0</v>
      </c>
      <c r="K594" t="n">
        <v>0</v>
      </c>
      <c r="L594" t="n">
        <v>0</v>
      </c>
      <c r="M594" t="n">
        <v>0</v>
      </c>
      <c r="N594" t="n">
        <v>0</v>
      </c>
      <c r="O594" t="n">
        <v>0</v>
      </c>
      <c r="P594" t="n">
        <v>0</v>
      </c>
      <c r="Q594" t="n">
        <v>0</v>
      </c>
      <c r="R594" s="2" t="inlineStr"/>
    </row>
    <row r="595" ht="15" customHeight="1">
      <c r="A595" t="inlineStr">
        <is>
          <t>A 25094-2023</t>
        </is>
      </c>
      <c r="B595" s="1" t="n">
        <v>45086.3629050926</v>
      </c>
      <c r="C595" s="1" t="n">
        <v>46019</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36157-2024</t>
        </is>
      </c>
      <c r="B596" s="1" t="n">
        <v>45534.38240740741</v>
      </c>
      <c r="C596" s="1" t="n">
        <v>46019</v>
      </c>
      <c r="D596" t="inlineStr">
        <is>
          <t>STOCKHOLMS LÄN</t>
        </is>
      </c>
      <c r="E596" t="inlineStr">
        <is>
          <t>NORRTÄLJE</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47694-2023</t>
        </is>
      </c>
      <c r="B597" s="1" t="n">
        <v>45203.63303240741</v>
      </c>
      <c r="C597" s="1" t="n">
        <v>46019</v>
      </c>
      <c r="D597" t="inlineStr">
        <is>
          <t>STOCKHOLMS LÄN</t>
        </is>
      </c>
      <c r="E597" t="inlineStr">
        <is>
          <t>NORRTÄLJE</t>
        </is>
      </c>
      <c r="G597" t="n">
        <v>5.2</v>
      </c>
      <c r="H597" t="n">
        <v>0</v>
      </c>
      <c r="I597" t="n">
        <v>0</v>
      </c>
      <c r="J597" t="n">
        <v>0</v>
      </c>
      <c r="K597" t="n">
        <v>0</v>
      </c>
      <c r="L597" t="n">
        <v>0</v>
      </c>
      <c r="M597" t="n">
        <v>0</v>
      </c>
      <c r="N597" t="n">
        <v>0</v>
      </c>
      <c r="O597" t="n">
        <v>0</v>
      </c>
      <c r="P597" t="n">
        <v>0</v>
      </c>
      <c r="Q597" t="n">
        <v>0</v>
      </c>
      <c r="R597" s="2" t="inlineStr"/>
    </row>
    <row r="598" ht="15" customHeight="1">
      <c r="A598" t="inlineStr">
        <is>
          <t>A 34006-2025</t>
        </is>
      </c>
      <c r="B598" s="1" t="n">
        <v>45844.62609953704</v>
      </c>
      <c r="C598" s="1" t="n">
        <v>46019</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48174-2025</t>
        </is>
      </c>
      <c r="B599" s="1" t="n">
        <v>45933.44230324074</v>
      </c>
      <c r="C599" s="1" t="n">
        <v>46019</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34139-2025</t>
        </is>
      </c>
      <c r="B600" s="1" t="n">
        <v>45845</v>
      </c>
      <c r="C600" s="1" t="n">
        <v>46019</v>
      </c>
      <c r="D600" t="inlineStr">
        <is>
          <t>STOCKHOLMS LÄN</t>
        </is>
      </c>
      <c r="E600" t="inlineStr">
        <is>
          <t>NORRTÄLJE</t>
        </is>
      </c>
      <c r="G600" t="n">
        <v>5.5</v>
      </c>
      <c r="H600" t="n">
        <v>0</v>
      </c>
      <c r="I600" t="n">
        <v>0</v>
      </c>
      <c r="J600" t="n">
        <v>0</v>
      </c>
      <c r="K600" t="n">
        <v>0</v>
      </c>
      <c r="L600" t="n">
        <v>0</v>
      </c>
      <c r="M600" t="n">
        <v>0</v>
      </c>
      <c r="N600" t="n">
        <v>0</v>
      </c>
      <c r="O600" t="n">
        <v>0</v>
      </c>
      <c r="P600" t="n">
        <v>0</v>
      </c>
      <c r="Q600" t="n">
        <v>0</v>
      </c>
      <c r="R600" s="2" t="inlineStr"/>
    </row>
    <row r="601" ht="15" customHeight="1">
      <c r="A601" t="inlineStr">
        <is>
          <t>A 35532-2024</t>
        </is>
      </c>
      <c r="B601" s="1" t="n">
        <v>45531</v>
      </c>
      <c r="C601" s="1" t="n">
        <v>46019</v>
      </c>
      <c r="D601" t="inlineStr">
        <is>
          <t>STOCKHOLMS LÄN</t>
        </is>
      </c>
      <c r="E601" t="inlineStr">
        <is>
          <t>NORRTÄLJE</t>
        </is>
      </c>
      <c r="G601" t="n">
        <v>2.3</v>
      </c>
      <c r="H601" t="n">
        <v>0</v>
      </c>
      <c r="I601" t="n">
        <v>0</v>
      </c>
      <c r="J601" t="n">
        <v>0</v>
      </c>
      <c r="K601" t="n">
        <v>0</v>
      </c>
      <c r="L601" t="n">
        <v>0</v>
      </c>
      <c r="M601" t="n">
        <v>0</v>
      </c>
      <c r="N601" t="n">
        <v>0</v>
      </c>
      <c r="O601" t="n">
        <v>0</v>
      </c>
      <c r="P601" t="n">
        <v>0</v>
      </c>
      <c r="Q601" t="n">
        <v>0</v>
      </c>
      <c r="R601" s="2" t="inlineStr"/>
    </row>
    <row r="602" ht="15" customHeight="1">
      <c r="A602" t="inlineStr">
        <is>
          <t>A 48127-2025</t>
        </is>
      </c>
      <c r="B602" s="1" t="n">
        <v>45933.36621527778</v>
      </c>
      <c r="C602" s="1" t="n">
        <v>46019</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34010-2025</t>
        </is>
      </c>
      <c r="B603" s="1" t="n">
        <v>45844.91234953704</v>
      </c>
      <c r="C603" s="1" t="n">
        <v>46019</v>
      </c>
      <c r="D603" t="inlineStr">
        <is>
          <t>STOCKHOLMS LÄN</t>
        </is>
      </c>
      <c r="E603" t="inlineStr">
        <is>
          <t>NORRTÄLJE</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48179-2025</t>
        </is>
      </c>
      <c r="B604" s="1" t="n">
        <v>45933.44907407407</v>
      </c>
      <c r="C604" s="1" t="n">
        <v>46019</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1654-2025</t>
        </is>
      </c>
      <c r="B605" s="1" t="n">
        <v>45670.65921296296</v>
      </c>
      <c r="C605" s="1" t="n">
        <v>46019</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62644-2023</t>
        </is>
      </c>
      <c r="B606" s="1" t="n">
        <v>45271</v>
      </c>
      <c r="C606" s="1" t="n">
        <v>46019</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48718-2025</t>
        </is>
      </c>
      <c r="B607" s="1" t="n">
        <v>45936</v>
      </c>
      <c r="C607" s="1" t="n">
        <v>46019</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36689-2023</t>
        </is>
      </c>
      <c r="B608" s="1" t="n">
        <v>45152</v>
      </c>
      <c r="C608" s="1" t="n">
        <v>46019</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46073-2024</t>
        </is>
      </c>
      <c r="B609" s="1" t="n">
        <v>45581</v>
      </c>
      <c r="C609" s="1" t="n">
        <v>46019</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11229-2022</t>
        </is>
      </c>
      <c r="B610" s="1" t="n">
        <v>44629</v>
      </c>
      <c r="C610" s="1" t="n">
        <v>46019</v>
      </c>
      <c r="D610" t="inlineStr">
        <is>
          <t>STOCKHOLMS LÄN</t>
        </is>
      </c>
      <c r="E610" t="inlineStr">
        <is>
          <t>NORRTÄLJE</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48593-2025</t>
        </is>
      </c>
      <c r="B611" s="1" t="n">
        <v>45936.4627662037</v>
      </c>
      <c r="C611" s="1" t="n">
        <v>46019</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57353-2024</t>
        </is>
      </c>
      <c r="B612" s="1" t="n">
        <v>45629.65143518519</v>
      </c>
      <c r="C612" s="1" t="n">
        <v>46019</v>
      </c>
      <c r="D612" t="inlineStr">
        <is>
          <t>STOCKHOLMS LÄN</t>
        </is>
      </c>
      <c r="E612" t="inlineStr">
        <is>
          <t>NORRTÄLJE</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33279-2025</t>
        </is>
      </c>
      <c r="B613" s="1" t="n">
        <v>45840</v>
      </c>
      <c r="C613" s="1" t="n">
        <v>46019</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48587-2023</t>
        </is>
      </c>
      <c r="B614" s="1" t="n">
        <v>45208</v>
      </c>
      <c r="C614" s="1" t="n">
        <v>46019</v>
      </c>
      <c r="D614" t="inlineStr">
        <is>
          <t>STOCKHOLMS LÄN</t>
        </is>
      </c>
      <c r="E614" t="inlineStr">
        <is>
          <t>NORRTÄLJE</t>
        </is>
      </c>
      <c r="G614" t="n">
        <v>7</v>
      </c>
      <c r="H614" t="n">
        <v>0</v>
      </c>
      <c r="I614" t="n">
        <v>0</v>
      </c>
      <c r="J614" t="n">
        <v>0</v>
      </c>
      <c r="K614" t="n">
        <v>0</v>
      </c>
      <c r="L614" t="n">
        <v>0</v>
      </c>
      <c r="M614" t="n">
        <v>0</v>
      </c>
      <c r="N614" t="n">
        <v>0</v>
      </c>
      <c r="O614" t="n">
        <v>0</v>
      </c>
      <c r="P614" t="n">
        <v>0</v>
      </c>
      <c r="Q614" t="n">
        <v>0</v>
      </c>
      <c r="R614" s="2" t="inlineStr"/>
    </row>
    <row r="615" ht="15" customHeight="1">
      <c r="A615" t="inlineStr">
        <is>
          <t>A 2549-2022</t>
        </is>
      </c>
      <c r="B615" s="1" t="n">
        <v>44580</v>
      </c>
      <c r="C615" s="1" t="n">
        <v>46019</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4438-2023</t>
        </is>
      </c>
      <c r="B616" s="1" t="n">
        <v>44956</v>
      </c>
      <c r="C616" s="1" t="n">
        <v>46019</v>
      </c>
      <c r="D616" t="inlineStr">
        <is>
          <t>STOCKHOLMS LÄN</t>
        </is>
      </c>
      <c r="E616" t="inlineStr">
        <is>
          <t>NORRTÄLJE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48443-2025</t>
        </is>
      </c>
      <c r="B617" s="1" t="n">
        <v>45935.55326388889</v>
      </c>
      <c r="C617" s="1" t="n">
        <v>46019</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39610-2025</t>
        </is>
      </c>
      <c r="B618" s="1" t="n">
        <v>45890.56001157407</v>
      </c>
      <c r="C618" s="1" t="n">
        <v>46019</v>
      </c>
      <c r="D618" t="inlineStr">
        <is>
          <t>STOCKHOLMS LÄN</t>
        </is>
      </c>
      <c r="E618" t="inlineStr">
        <is>
          <t>NORRTÄLJE</t>
        </is>
      </c>
      <c r="G618" t="n">
        <v>28.6</v>
      </c>
      <c r="H618" t="n">
        <v>0</v>
      </c>
      <c r="I618" t="n">
        <v>0</v>
      </c>
      <c r="J618" t="n">
        <v>0</v>
      </c>
      <c r="K618" t="n">
        <v>0</v>
      </c>
      <c r="L618" t="n">
        <v>0</v>
      </c>
      <c r="M618" t="n">
        <v>0</v>
      </c>
      <c r="N618" t="n">
        <v>0</v>
      </c>
      <c r="O618" t="n">
        <v>0</v>
      </c>
      <c r="P618" t="n">
        <v>0</v>
      </c>
      <c r="Q618" t="n">
        <v>0</v>
      </c>
      <c r="R618" s="2" t="inlineStr"/>
    </row>
    <row r="619" ht="15" customHeight="1">
      <c r="A619" t="inlineStr">
        <is>
          <t>A 47758-2023</t>
        </is>
      </c>
      <c r="B619" s="1" t="n">
        <v>45203.83891203703</v>
      </c>
      <c r="C619" s="1" t="n">
        <v>46019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51061-2023</t>
        </is>
      </c>
      <c r="B620" s="1" t="n">
        <v>45218.65849537037</v>
      </c>
      <c r="C620" s="1" t="n">
        <v>46019</v>
      </c>
      <c r="D620" t="inlineStr">
        <is>
          <t>STOCKHOLMS LÄN</t>
        </is>
      </c>
      <c r="E620" t="inlineStr">
        <is>
          <t>NORRTÄLJE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22697-2022</t>
        </is>
      </c>
      <c r="B621" s="1" t="n">
        <v>44714.56040509259</v>
      </c>
      <c r="C621" s="1" t="n">
        <v>46019</v>
      </c>
      <c r="D621" t="inlineStr">
        <is>
          <t>STOCKHOLMS LÄN</t>
        </is>
      </c>
      <c r="E621" t="inlineStr">
        <is>
          <t>NORRTÄLJE</t>
        </is>
      </c>
      <c r="G621" t="n">
        <v>5.6</v>
      </c>
      <c r="H621" t="n">
        <v>0</v>
      </c>
      <c r="I621" t="n">
        <v>0</v>
      </c>
      <c r="J621" t="n">
        <v>0</v>
      </c>
      <c r="K621" t="n">
        <v>0</v>
      </c>
      <c r="L621" t="n">
        <v>0</v>
      </c>
      <c r="M621" t="n">
        <v>0</v>
      </c>
      <c r="N621" t="n">
        <v>0</v>
      </c>
      <c r="O621" t="n">
        <v>0</v>
      </c>
      <c r="P621" t="n">
        <v>0</v>
      </c>
      <c r="Q621" t="n">
        <v>0</v>
      </c>
      <c r="R621" s="2" t="inlineStr"/>
    </row>
    <row r="622" ht="15" customHeight="1">
      <c r="A622" t="inlineStr">
        <is>
          <t>A 45549-2022</t>
        </is>
      </c>
      <c r="B622" s="1" t="n">
        <v>44845.48064814815</v>
      </c>
      <c r="C622" s="1" t="n">
        <v>46019</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54396-2021</t>
        </is>
      </c>
      <c r="B623" s="1" t="n">
        <v>44472</v>
      </c>
      <c r="C623" s="1" t="n">
        <v>46019</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35110-2025</t>
        </is>
      </c>
      <c r="B624" s="1" t="n">
        <v>45852.58030092593</v>
      </c>
      <c r="C624" s="1" t="n">
        <v>46019</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24727-2023</t>
        </is>
      </c>
      <c r="B625" s="1" t="n">
        <v>45084.57695601852</v>
      </c>
      <c r="C625" s="1" t="n">
        <v>46019</v>
      </c>
      <c r="D625" t="inlineStr">
        <is>
          <t>STOCKHOLMS LÄN</t>
        </is>
      </c>
      <c r="E625" t="inlineStr">
        <is>
          <t>NORRTÄLJE</t>
        </is>
      </c>
      <c r="F625" t="inlineStr">
        <is>
          <t>Holmen skog AB</t>
        </is>
      </c>
      <c r="G625" t="n">
        <v>2.2</v>
      </c>
      <c r="H625" t="n">
        <v>0</v>
      </c>
      <c r="I625" t="n">
        <v>0</v>
      </c>
      <c r="J625" t="n">
        <v>0</v>
      </c>
      <c r="K625" t="n">
        <v>0</v>
      </c>
      <c r="L625" t="n">
        <v>0</v>
      </c>
      <c r="M625" t="n">
        <v>0</v>
      </c>
      <c r="N625" t="n">
        <v>0</v>
      </c>
      <c r="O625" t="n">
        <v>0</v>
      </c>
      <c r="P625" t="n">
        <v>0</v>
      </c>
      <c r="Q625" t="n">
        <v>0</v>
      </c>
      <c r="R625" s="2" t="inlineStr"/>
    </row>
    <row r="626" ht="15" customHeight="1">
      <c r="A626" t="inlineStr">
        <is>
          <t>A 35254-2025</t>
        </is>
      </c>
      <c r="B626" s="1" t="n">
        <v>45853</v>
      </c>
      <c r="C626" s="1" t="n">
        <v>46019</v>
      </c>
      <c r="D626" t="inlineStr">
        <is>
          <t>STOCKHOLMS LÄN</t>
        </is>
      </c>
      <c r="E626" t="inlineStr">
        <is>
          <t>NORRTÄLJE</t>
        </is>
      </c>
      <c r="G626" t="n">
        <v>6.5</v>
      </c>
      <c r="H626" t="n">
        <v>0</v>
      </c>
      <c r="I626" t="n">
        <v>0</v>
      </c>
      <c r="J626" t="n">
        <v>0</v>
      </c>
      <c r="K626" t="n">
        <v>0</v>
      </c>
      <c r="L626" t="n">
        <v>0</v>
      </c>
      <c r="M626" t="n">
        <v>0</v>
      </c>
      <c r="N626" t="n">
        <v>0</v>
      </c>
      <c r="O626" t="n">
        <v>0</v>
      </c>
      <c r="P626" t="n">
        <v>0</v>
      </c>
      <c r="Q626" t="n">
        <v>0</v>
      </c>
      <c r="R626" s="2" t="inlineStr"/>
    </row>
    <row r="627" ht="15" customHeight="1">
      <c r="A627" t="inlineStr">
        <is>
          <t>A 48780-2025</t>
        </is>
      </c>
      <c r="B627" s="1" t="n">
        <v>45937.30377314815</v>
      </c>
      <c r="C627" s="1" t="n">
        <v>46019</v>
      </c>
      <c r="D627" t="inlineStr">
        <is>
          <t>STOCKHOLMS LÄN</t>
        </is>
      </c>
      <c r="E627" t="inlineStr">
        <is>
          <t>NORRTÄLJE</t>
        </is>
      </c>
      <c r="G627" t="n">
        <v>7.7</v>
      </c>
      <c r="H627" t="n">
        <v>0</v>
      </c>
      <c r="I627" t="n">
        <v>0</v>
      </c>
      <c r="J627" t="n">
        <v>0</v>
      </c>
      <c r="K627" t="n">
        <v>0</v>
      </c>
      <c r="L627" t="n">
        <v>0</v>
      </c>
      <c r="M627" t="n">
        <v>0</v>
      </c>
      <c r="N627" t="n">
        <v>0</v>
      </c>
      <c r="O627" t="n">
        <v>0</v>
      </c>
      <c r="P627" t="n">
        <v>0</v>
      </c>
      <c r="Q627" t="n">
        <v>0</v>
      </c>
      <c r="R627" s="2" t="inlineStr"/>
    </row>
    <row r="628" ht="15" customHeight="1">
      <c r="A628" t="inlineStr">
        <is>
          <t>A 48722-2023</t>
        </is>
      </c>
      <c r="B628" s="1" t="n">
        <v>45208.70996527778</v>
      </c>
      <c r="C628" s="1" t="n">
        <v>46019</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35235-2024</t>
        </is>
      </c>
      <c r="B629" s="1" t="n">
        <v>45530</v>
      </c>
      <c r="C629" s="1" t="n">
        <v>46019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1448-2023</t>
        </is>
      </c>
      <c r="B630" s="1" t="n">
        <v>44937</v>
      </c>
      <c r="C630" s="1" t="n">
        <v>46019</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35479-2025</t>
        </is>
      </c>
      <c r="B631" s="1" t="n">
        <v>45855.69387731481</v>
      </c>
      <c r="C631" s="1" t="n">
        <v>46019</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35451-2025</t>
        </is>
      </c>
      <c r="B632" s="1" t="n">
        <v>45855.57033564815</v>
      </c>
      <c r="C632" s="1" t="n">
        <v>46019</v>
      </c>
      <c r="D632" t="inlineStr">
        <is>
          <t>STOCKHOLMS LÄN</t>
        </is>
      </c>
      <c r="E632" t="inlineStr">
        <is>
          <t>NORRTÄLJE</t>
        </is>
      </c>
      <c r="F632" t="inlineStr">
        <is>
          <t>Holmen skog AB</t>
        </is>
      </c>
      <c r="G632" t="n">
        <v>7.4</v>
      </c>
      <c r="H632" t="n">
        <v>0</v>
      </c>
      <c r="I632" t="n">
        <v>0</v>
      </c>
      <c r="J632" t="n">
        <v>0</v>
      </c>
      <c r="K632" t="n">
        <v>0</v>
      </c>
      <c r="L632" t="n">
        <v>0</v>
      </c>
      <c r="M632" t="n">
        <v>0</v>
      </c>
      <c r="N632" t="n">
        <v>0</v>
      </c>
      <c r="O632" t="n">
        <v>0</v>
      </c>
      <c r="P632" t="n">
        <v>0</v>
      </c>
      <c r="Q632" t="n">
        <v>0</v>
      </c>
      <c r="R632" s="2" t="inlineStr"/>
    </row>
    <row r="633" ht="15" customHeight="1">
      <c r="A633" t="inlineStr">
        <is>
          <t>A 35478-2025</t>
        </is>
      </c>
      <c r="B633" s="1" t="n">
        <v>45855.68413194444</v>
      </c>
      <c r="C633" s="1" t="n">
        <v>46019</v>
      </c>
      <c r="D633" t="inlineStr">
        <is>
          <t>STOCKHOLMS LÄN</t>
        </is>
      </c>
      <c r="E633" t="inlineStr">
        <is>
          <t>NORRTÄLJE</t>
        </is>
      </c>
      <c r="F633" t="inlineStr">
        <is>
          <t>Holmen skog AB</t>
        </is>
      </c>
      <c r="G633" t="n">
        <v>2.7</v>
      </c>
      <c r="H633" t="n">
        <v>0</v>
      </c>
      <c r="I633" t="n">
        <v>0</v>
      </c>
      <c r="J633" t="n">
        <v>0</v>
      </c>
      <c r="K633" t="n">
        <v>0</v>
      </c>
      <c r="L633" t="n">
        <v>0</v>
      </c>
      <c r="M633" t="n">
        <v>0</v>
      </c>
      <c r="N633" t="n">
        <v>0</v>
      </c>
      <c r="O633" t="n">
        <v>0</v>
      </c>
      <c r="P633" t="n">
        <v>0</v>
      </c>
      <c r="Q633" t="n">
        <v>0</v>
      </c>
      <c r="R633" s="2" t="inlineStr"/>
    </row>
    <row r="634" ht="15" customHeight="1">
      <c r="A634" t="inlineStr">
        <is>
          <t>A 8736-2024</t>
        </is>
      </c>
      <c r="B634" s="1" t="n">
        <v>45356.4722800926</v>
      </c>
      <c r="C634" s="1" t="n">
        <v>46019</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33149-2022</t>
        </is>
      </c>
      <c r="B635" s="1" t="n">
        <v>44785</v>
      </c>
      <c r="C635" s="1" t="n">
        <v>46019</v>
      </c>
      <c r="D635" t="inlineStr">
        <is>
          <t>STOCKHOLMS LÄN</t>
        </is>
      </c>
      <c r="E635" t="inlineStr">
        <is>
          <t>NORRTÄLJE</t>
        </is>
      </c>
      <c r="F635" t="inlineStr">
        <is>
          <t>Holmen skog AB</t>
        </is>
      </c>
      <c r="G635" t="n">
        <v>4.4</v>
      </c>
      <c r="H635" t="n">
        <v>0</v>
      </c>
      <c r="I635" t="n">
        <v>0</v>
      </c>
      <c r="J635" t="n">
        <v>0</v>
      </c>
      <c r="K635" t="n">
        <v>0</v>
      </c>
      <c r="L635" t="n">
        <v>0</v>
      </c>
      <c r="M635" t="n">
        <v>0</v>
      </c>
      <c r="N635" t="n">
        <v>0</v>
      </c>
      <c r="O635" t="n">
        <v>0</v>
      </c>
      <c r="P635" t="n">
        <v>0</v>
      </c>
      <c r="Q635" t="n">
        <v>0</v>
      </c>
      <c r="R635" s="2" t="inlineStr"/>
    </row>
    <row r="636" ht="15" customHeight="1">
      <c r="A636" t="inlineStr">
        <is>
          <t>A 49129-2025</t>
        </is>
      </c>
      <c r="B636" s="1" t="n">
        <v>45937.89517361111</v>
      </c>
      <c r="C636" s="1" t="n">
        <v>46019</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57788-2025</t>
        </is>
      </c>
      <c r="B637" s="1" t="n">
        <v>45981.5778125</v>
      </c>
      <c r="C637" s="1" t="n">
        <v>46019</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34444-2024</t>
        </is>
      </c>
      <c r="B638" s="1" t="n">
        <v>45525</v>
      </c>
      <c r="C638" s="1" t="n">
        <v>46019</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20698-2025</t>
        </is>
      </c>
      <c r="B639" s="1" t="n">
        <v>45776.47122685185</v>
      </c>
      <c r="C639" s="1" t="n">
        <v>46019</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6537-2024</t>
        </is>
      </c>
      <c r="B640" s="1" t="n">
        <v>45341.39853009259</v>
      </c>
      <c r="C640" s="1" t="n">
        <v>46019</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40175-2024</t>
        </is>
      </c>
      <c r="B641" s="1" t="n">
        <v>45554.55707175926</v>
      </c>
      <c r="C641" s="1" t="n">
        <v>46019</v>
      </c>
      <c r="D641" t="inlineStr">
        <is>
          <t>STOCKHOLMS LÄN</t>
        </is>
      </c>
      <c r="E641" t="inlineStr">
        <is>
          <t>NORRTÄLJE</t>
        </is>
      </c>
      <c r="G641" t="n">
        <v>7.7</v>
      </c>
      <c r="H641" t="n">
        <v>0</v>
      </c>
      <c r="I641" t="n">
        <v>0</v>
      </c>
      <c r="J641" t="n">
        <v>0</v>
      </c>
      <c r="K641" t="n">
        <v>0</v>
      </c>
      <c r="L641" t="n">
        <v>0</v>
      </c>
      <c r="M641" t="n">
        <v>0</v>
      </c>
      <c r="N641" t="n">
        <v>0</v>
      </c>
      <c r="O641" t="n">
        <v>0</v>
      </c>
      <c r="P641" t="n">
        <v>0</v>
      </c>
      <c r="Q641" t="n">
        <v>0</v>
      </c>
      <c r="R641" s="2" t="inlineStr"/>
    </row>
    <row r="642" ht="15" customHeight="1">
      <c r="A642" t="inlineStr">
        <is>
          <t>A 54558-2024</t>
        </is>
      </c>
      <c r="B642" s="1" t="n">
        <v>45617.62358796296</v>
      </c>
      <c r="C642" s="1" t="n">
        <v>46019</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57953-2025</t>
        </is>
      </c>
      <c r="B643" s="1" t="n">
        <v>45982.35016203704</v>
      </c>
      <c r="C643" s="1" t="n">
        <v>46019</v>
      </c>
      <c r="D643" t="inlineStr">
        <is>
          <t>STOCKHOLMS LÄN</t>
        </is>
      </c>
      <c r="E643" t="inlineStr">
        <is>
          <t>NORRTÄLJE</t>
        </is>
      </c>
      <c r="F643" t="inlineStr">
        <is>
          <t>Sveaskog</t>
        </is>
      </c>
      <c r="G643" t="n">
        <v>3</v>
      </c>
      <c r="H643" t="n">
        <v>0</v>
      </c>
      <c r="I643" t="n">
        <v>0</v>
      </c>
      <c r="J643" t="n">
        <v>0</v>
      </c>
      <c r="K643" t="n">
        <v>0</v>
      </c>
      <c r="L643" t="n">
        <v>0</v>
      </c>
      <c r="M643" t="n">
        <v>0</v>
      </c>
      <c r="N643" t="n">
        <v>0</v>
      </c>
      <c r="O643" t="n">
        <v>0</v>
      </c>
      <c r="P643" t="n">
        <v>0</v>
      </c>
      <c r="Q643" t="n">
        <v>0</v>
      </c>
      <c r="R643" s="2" t="inlineStr"/>
    </row>
    <row r="644" ht="15" customHeight="1">
      <c r="A644" t="inlineStr">
        <is>
          <t>A 23056-2023</t>
        </is>
      </c>
      <c r="B644" s="1" t="n">
        <v>45075</v>
      </c>
      <c r="C644" s="1" t="n">
        <v>46019</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47431-2023</t>
        </is>
      </c>
      <c r="B645" s="1" t="n">
        <v>45202</v>
      </c>
      <c r="C645" s="1" t="n">
        <v>46019</v>
      </c>
      <c r="D645" t="inlineStr">
        <is>
          <t>STOCKHOLMS LÄN</t>
        </is>
      </c>
      <c r="E645" t="inlineStr">
        <is>
          <t>NORRTÄLJE</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22232-2024</t>
        </is>
      </c>
      <c r="B646" s="1" t="n">
        <v>45446.4287962963</v>
      </c>
      <c r="C646" s="1" t="n">
        <v>46019</v>
      </c>
      <c r="D646" t="inlineStr">
        <is>
          <t>STOCKHOLMS LÄN</t>
        </is>
      </c>
      <c r="E646" t="inlineStr">
        <is>
          <t>NORRTÄLJE</t>
        </is>
      </c>
      <c r="G646" t="n">
        <v>12.8</v>
      </c>
      <c r="H646" t="n">
        <v>0</v>
      </c>
      <c r="I646" t="n">
        <v>0</v>
      </c>
      <c r="J646" t="n">
        <v>0</v>
      </c>
      <c r="K646" t="n">
        <v>0</v>
      </c>
      <c r="L646" t="n">
        <v>0</v>
      </c>
      <c r="M646" t="n">
        <v>0</v>
      </c>
      <c r="N646" t="n">
        <v>0</v>
      </c>
      <c r="O646" t="n">
        <v>0</v>
      </c>
      <c r="P646" t="n">
        <v>0</v>
      </c>
      <c r="Q646" t="n">
        <v>0</v>
      </c>
      <c r="R646" s="2" t="inlineStr"/>
    </row>
    <row r="647" ht="15" customHeight="1">
      <c r="A647" t="inlineStr">
        <is>
          <t>A 59499-2023</t>
        </is>
      </c>
      <c r="B647" s="1" t="n">
        <v>45254</v>
      </c>
      <c r="C647" s="1" t="n">
        <v>46019</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59468-2023</t>
        </is>
      </c>
      <c r="B648" s="1" t="n">
        <v>45254.41509259259</v>
      </c>
      <c r="C648" s="1" t="n">
        <v>46019</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36396-2025</t>
        </is>
      </c>
      <c r="B649" s="1" t="n">
        <v>45868.62267361111</v>
      </c>
      <c r="C649" s="1" t="n">
        <v>46019</v>
      </c>
      <c r="D649" t="inlineStr">
        <is>
          <t>STOCKHOLMS LÄN</t>
        </is>
      </c>
      <c r="E649" t="inlineStr">
        <is>
          <t>NORRTÄLJE</t>
        </is>
      </c>
      <c r="G649" t="n">
        <v>4.1</v>
      </c>
      <c r="H649" t="n">
        <v>0</v>
      </c>
      <c r="I649" t="n">
        <v>0</v>
      </c>
      <c r="J649" t="n">
        <v>0</v>
      </c>
      <c r="K649" t="n">
        <v>0</v>
      </c>
      <c r="L649" t="n">
        <v>0</v>
      </c>
      <c r="M649" t="n">
        <v>0</v>
      </c>
      <c r="N649" t="n">
        <v>0</v>
      </c>
      <c r="O649" t="n">
        <v>0</v>
      </c>
      <c r="P649" t="n">
        <v>0</v>
      </c>
      <c r="Q649" t="n">
        <v>0</v>
      </c>
      <c r="R649" s="2" t="inlineStr"/>
    </row>
    <row r="650" ht="15" customHeight="1">
      <c r="A650" t="inlineStr">
        <is>
          <t>A 12532-2025</t>
        </is>
      </c>
      <c r="B650" s="1" t="n">
        <v>45730.69143518519</v>
      </c>
      <c r="C650" s="1" t="n">
        <v>46019</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5732-2023</t>
        </is>
      </c>
      <c r="B651" s="1" t="n">
        <v>44962</v>
      </c>
      <c r="C651" s="1" t="n">
        <v>46019</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10653-2022</t>
        </is>
      </c>
      <c r="B652" s="1" t="n">
        <v>44624.59434027778</v>
      </c>
      <c r="C652" s="1" t="n">
        <v>46019</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58142-2025</t>
        </is>
      </c>
      <c r="B653" s="1" t="n">
        <v>45982.63791666667</v>
      </c>
      <c r="C653" s="1" t="n">
        <v>46019</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21729-2024</t>
        </is>
      </c>
      <c r="B654" s="1" t="n">
        <v>45442</v>
      </c>
      <c r="C654" s="1" t="n">
        <v>46019</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50097-2025</t>
        </is>
      </c>
      <c r="B655" s="1" t="n">
        <v>45943.50207175926</v>
      </c>
      <c r="C655" s="1" t="n">
        <v>46019</v>
      </c>
      <c r="D655" t="inlineStr">
        <is>
          <t>STOCKHOLMS LÄN</t>
        </is>
      </c>
      <c r="E655" t="inlineStr">
        <is>
          <t>NORRTÄLJE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11854-2025</t>
        </is>
      </c>
      <c r="B656" s="1" t="n">
        <v>45728.38924768518</v>
      </c>
      <c r="C656" s="1" t="n">
        <v>46019</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49836-2025</t>
        </is>
      </c>
      <c r="B657" s="1" t="n">
        <v>45940.46862268518</v>
      </c>
      <c r="C657" s="1" t="n">
        <v>46019</v>
      </c>
      <c r="D657" t="inlineStr">
        <is>
          <t>STOCKHOLMS LÄN</t>
        </is>
      </c>
      <c r="E657" t="inlineStr">
        <is>
          <t>NORRTÄLJE</t>
        </is>
      </c>
      <c r="G657" t="n">
        <v>3.5</v>
      </c>
      <c r="H657" t="n">
        <v>0</v>
      </c>
      <c r="I657" t="n">
        <v>0</v>
      </c>
      <c r="J657" t="n">
        <v>0</v>
      </c>
      <c r="K657" t="n">
        <v>0</v>
      </c>
      <c r="L657" t="n">
        <v>0</v>
      </c>
      <c r="M657" t="n">
        <v>0</v>
      </c>
      <c r="N657" t="n">
        <v>0</v>
      </c>
      <c r="O657" t="n">
        <v>0</v>
      </c>
      <c r="P657" t="n">
        <v>0</v>
      </c>
      <c r="Q657" t="n">
        <v>0</v>
      </c>
      <c r="R657" s="2" t="inlineStr"/>
    </row>
    <row r="658" ht="15" customHeight="1">
      <c r="A658" t="inlineStr">
        <is>
          <t>A 14762-2024</t>
        </is>
      </c>
      <c r="B658" s="1" t="n">
        <v>45397</v>
      </c>
      <c r="C658" s="1" t="n">
        <v>46019</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58403-2025</t>
        </is>
      </c>
      <c r="B659" s="1" t="n">
        <v>45985.56777777777</v>
      </c>
      <c r="C659" s="1" t="n">
        <v>46019</v>
      </c>
      <c r="D659" t="inlineStr">
        <is>
          <t>STOCKHOLMS LÄN</t>
        </is>
      </c>
      <c r="E659" t="inlineStr">
        <is>
          <t>NORRTÄLJE</t>
        </is>
      </c>
      <c r="F659" t="inlineStr">
        <is>
          <t>Naturvårdsverket</t>
        </is>
      </c>
      <c r="G659" t="n">
        <v>13.5</v>
      </c>
      <c r="H659" t="n">
        <v>0</v>
      </c>
      <c r="I659" t="n">
        <v>0</v>
      </c>
      <c r="J659" t="n">
        <v>0</v>
      </c>
      <c r="K659" t="n">
        <v>0</v>
      </c>
      <c r="L659" t="n">
        <v>0</v>
      </c>
      <c r="M659" t="n">
        <v>0</v>
      </c>
      <c r="N659" t="n">
        <v>0</v>
      </c>
      <c r="O659" t="n">
        <v>0</v>
      </c>
      <c r="P659" t="n">
        <v>0</v>
      </c>
      <c r="Q659" t="n">
        <v>0</v>
      </c>
      <c r="R659" s="2" t="inlineStr"/>
    </row>
    <row r="660" ht="15" customHeight="1">
      <c r="A660" t="inlineStr">
        <is>
          <t>A 58939-2025</t>
        </is>
      </c>
      <c r="B660" s="1" t="n">
        <v>45987.5681712963</v>
      </c>
      <c r="C660" s="1" t="n">
        <v>46019</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59712-2024</t>
        </is>
      </c>
      <c r="B661" s="1" t="n">
        <v>45639.45166666667</v>
      </c>
      <c r="C661" s="1" t="n">
        <v>46019</v>
      </c>
      <c r="D661" t="inlineStr">
        <is>
          <t>STOCKHOLMS LÄN</t>
        </is>
      </c>
      <c r="E661" t="inlineStr">
        <is>
          <t>NORRTÄLJE</t>
        </is>
      </c>
      <c r="G661" t="n">
        <v>4.4</v>
      </c>
      <c r="H661" t="n">
        <v>0</v>
      </c>
      <c r="I661" t="n">
        <v>0</v>
      </c>
      <c r="J661" t="n">
        <v>0</v>
      </c>
      <c r="K661" t="n">
        <v>0</v>
      </c>
      <c r="L661" t="n">
        <v>0</v>
      </c>
      <c r="M661" t="n">
        <v>0</v>
      </c>
      <c r="N661" t="n">
        <v>0</v>
      </c>
      <c r="O661" t="n">
        <v>0</v>
      </c>
      <c r="P661" t="n">
        <v>0</v>
      </c>
      <c r="Q661" t="n">
        <v>0</v>
      </c>
      <c r="R661" s="2" t="inlineStr"/>
    </row>
    <row r="662" ht="15" customHeight="1">
      <c r="A662" t="inlineStr">
        <is>
          <t>A 50327-2025</t>
        </is>
      </c>
      <c r="B662" s="1" t="n">
        <v>45944.46387731482</v>
      </c>
      <c r="C662" s="1" t="n">
        <v>46019</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35127-2023</t>
        </is>
      </c>
      <c r="B663" s="1" t="n">
        <v>45145.51</v>
      </c>
      <c r="C663" s="1" t="n">
        <v>46019</v>
      </c>
      <c r="D663" t="inlineStr">
        <is>
          <t>STOCKHOLMS LÄN</t>
        </is>
      </c>
      <c r="E663" t="inlineStr">
        <is>
          <t>NORRTÄLJE</t>
        </is>
      </c>
      <c r="G663" t="n">
        <v>4.7</v>
      </c>
      <c r="H663" t="n">
        <v>0</v>
      </c>
      <c r="I663" t="n">
        <v>0</v>
      </c>
      <c r="J663" t="n">
        <v>0</v>
      </c>
      <c r="K663" t="n">
        <v>0</v>
      </c>
      <c r="L663" t="n">
        <v>0</v>
      </c>
      <c r="M663" t="n">
        <v>0</v>
      </c>
      <c r="N663" t="n">
        <v>0</v>
      </c>
      <c r="O663" t="n">
        <v>0</v>
      </c>
      <c r="P663" t="n">
        <v>0</v>
      </c>
      <c r="Q663" t="n">
        <v>0</v>
      </c>
      <c r="R663" s="2" t="inlineStr"/>
    </row>
    <row r="664" ht="15" customHeight="1">
      <c r="A664" t="inlineStr">
        <is>
          <t>A 50563-2025</t>
        </is>
      </c>
      <c r="B664" s="1" t="n">
        <v>45944</v>
      </c>
      <c r="C664" s="1" t="n">
        <v>46019</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50333-2025</t>
        </is>
      </c>
      <c r="B665" s="1" t="n">
        <v>45944.47178240741</v>
      </c>
      <c r="C665" s="1" t="n">
        <v>46019</v>
      </c>
      <c r="D665" t="inlineStr">
        <is>
          <t>STOCKHOLMS LÄN</t>
        </is>
      </c>
      <c r="E665" t="inlineStr">
        <is>
          <t>NORRTÄLJE</t>
        </is>
      </c>
      <c r="G665" t="n">
        <v>4.2</v>
      </c>
      <c r="H665" t="n">
        <v>0</v>
      </c>
      <c r="I665" t="n">
        <v>0</v>
      </c>
      <c r="J665" t="n">
        <v>0</v>
      </c>
      <c r="K665" t="n">
        <v>0</v>
      </c>
      <c r="L665" t="n">
        <v>0</v>
      </c>
      <c r="M665" t="n">
        <v>0</v>
      </c>
      <c r="N665" t="n">
        <v>0</v>
      </c>
      <c r="O665" t="n">
        <v>0</v>
      </c>
      <c r="P665" t="n">
        <v>0</v>
      </c>
      <c r="Q665" t="n">
        <v>0</v>
      </c>
      <c r="R665" s="2" t="inlineStr"/>
    </row>
    <row r="666" ht="15" customHeight="1">
      <c r="A666" t="inlineStr">
        <is>
          <t>A 45255-2022</t>
        </is>
      </c>
      <c r="B666" s="1" t="n">
        <v>44840</v>
      </c>
      <c r="C666" s="1" t="n">
        <v>46019</v>
      </c>
      <c r="D666" t="inlineStr">
        <is>
          <t>STOCKHOLMS LÄN</t>
        </is>
      </c>
      <c r="E666" t="inlineStr">
        <is>
          <t>NORRTÄLJE</t>
        </is>
      </c>
      <c r="G666" t="n">
        <v>4.1</v>
      </c>
      <c r="H666" t="n">
        <v>0</v>
      </c>
      <c r="I666" t="n">
        <v>0</v>
      </c>
      <c r="J666" t="n">
        <v>0</v>
      </c>
      <c r="K666" t="n">
        <v>0</v>
      </c>
      <c r="L666" t="n">
        <v>0</v>
      </c>
      <c r="M666" t="n">
        <v>0</v>
      </c>
      <c r="N666" t="n">
        <v>0</v>
      </c>
      <c r="O666" t="n">
        <v>0</v>
      </c>
      <c r="P666" t="n">
        <v>0</v>
      </c>
      <c r="Q666" t="n">
        <v>0</v>
      </c>
      <c r="R666" s="2" t="inlineStr"/>
    </row>
    <row r="667" ht="15" customHeight="1">
      <c r="A667" t="inlineStr">
        <is>
          <t>A 37261-2025</t>
        </is>
      </c>
      <c r="B667" s="1" t="n">
        <v>45876.45253472222</v>
      </c>
      <c r="C667" s="1" t="n">
        <v>46019</v>
      </c>
      <c r="D667" t="inlineStr">
        <is>
          <t>STOCKHOLMS LÄN</t>
        </is>
      </c>
      <c r="E667" t="inlineStr">
        <is>
          <t>NORRTÄLJE</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59893-2022</t>
        </is>
      </c>
      <c r="B668" s="1" t="n">
        <v>44908.77368055555</v>
      </c>
      <c r="C668" s="1" t="n">
        <v>46019</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51122-2025</t>
        </is>
      </c>
      <c r="B669" s="1" t="n">
        <v>45947.53693287037</v>
      </c>
      <c r="C669" s="1" t="n">
        <v>46019</v>
      </c>
      <c r="D669" t="inlineStr">
        <is>
          <t>STOCKHOLMS LÄN</t>
        </is>
      </c>
      <c r="E669" t="inlineStr">
        <is>
          <t>NORRTÄLJE</t>
        </is>
      </c>
      <c r="G669" t="n">
        <v>3.8</v>
      </c>
      <c r="H669" t="n">
        <v>0</v>
      </c>
      <c r="I669" t="n">
        <v>0</v>
      </c>
      <c r="J669" t="n">
        <v>0</v>
      </c>
      <c r="K669" t="n">
        <v>0</v>
      </c>
      <c r="L669" t="n">
        <v>0</v>
      </c>
      <c r="M669" t="n">
        <v>0</v>
      </c>
      <c r="N669" t="n">
        <v>0</v>
      </c>
      <c r="O669" t="n">
        <v>0</v>
      </c>
      <c r="P669" t="n">
        <v>0</v>
      </c>
      <c r="Q669" t="n">
        <v>0</v>
      </c>
      <c r="R669" s="2" t="inlineStr"/>
    </row>
    <row r="670" ht="15" customHeight="1">
      <c r="A670" t="inlineStr">
        <is>
          <t>A 51233-2025</t>
        </is>
      </c>
      <c r="B670" s="1" t="n">
        <v>45947.68232638889</v>
      </c>
      <c r="C670" s="1" t="n">
        <v>46019</v>
      </c>
      <c r="D670" t="inlineStr">
        <is>
          <t>STOCKHOLMS LÄN</t>
        </is>
      </c>
      <c r="E670" t="inlineStr">
        <is>
          <t>NORRTÄLJE</t>
        </is>
      </c>
      <c r="F670" t="inlineStr">
        <is>
          <t>Naturvårdsverket</t>
        </is>
      </c>
      <c r="G670" t="n">
        <v>8.1</v>
      </c>
      <c r="H670" t="n">
        <v>0</v>
      </c>
      <c r="I670" t="n">
        <v>0</v>
      </c>
      <c r="J670" t="n">
        <v>0</v>
      </c>
      <c r="K670" t="n">
        <v>0</v>
      </c>
      <c r="L670" t="n">
        <v>0</v>
      </c>
      <c r="M670" t="n">
        <v>0</v>
      </c>
      <c r="N670" t="n">
        <v>0</v>
      </c>
      <c r="O670" t="n">
        <v>0</v>
      </c>
      <c r="P670" t="n">
        <v>0</v>
      </c>
      <c r="Q670" t="n">
        <v>0</v>
      </c>
      <c r="R670" s="2" t="inlineStr"/>
    </row>
    <row r="671" ht="15" customHeight="1">
      <c r="A671" t="inlineStr">
        <is>
          <t>A 51236-2025</t>
        </is>
      </c>
      <c r="B671" s="1" t="n">
        <v>45947.69078703703</v>
      </c>
      <c r="C671" s="1" t="n">
        <v>46019</v>
      </c>
      <c r="D671" t="inlineStr">
        <is>
          <t>STOCKHOLMS LÄN</t>
        </is>
      </c>
      <c r="E671" t="inlineStr">
        <is>
          <t>NORRTÄLJE</t>
        </is>
      </c>
      <c r="F671" t="inlineStr">
        <is>
          <t>Naturvårdsverket</t>
        </is>
      </c>
      <c r="G671" t="n">
        <v>6.3</v>
      </c>
      <c r="H671" t="n">
        <v>0</v>
      </c>
      <c r="I671" t="n">
        <v>0</v>
      </c>
      <c r="J671" t="n">
        <v>0</v>
      </c>
      <c r="K671" t="n">
        <v>0</v>
      </c>
      <c r="L671" t="n">
        <v>0</v>
      </c>
      <c r="M671" t="n">
        <v>0</v>
      </c>
      <c r="N671" t="n">
        <v>0</v>
      </c>
      <c r="O671" t="n">
        <v>0</v>
      </c>
      <c r="P671" t="n">
        <v>0</v>
      </c>
      <c r="Q671" t="n">
        <v>0</v>
      </c>
      <c r="R671" s="2" t="inlineStr"/>
    </row>
    <row r="672" ht="15" customHeight="1">
      <c r="A672" t="inlineStr">
        <is>
          <t>A 51241-2025</t>
        </is>
      </c>
      <c r="B672" s="1" t="n">
        <v>45947.71726851852</v>
      </c>
      <c r="C672" s="1" t="n">
        <v>46019</v>
      </c>
      <c r="D672" t="inlineStr">
        <is>
          <t>STOCKHOLMS LÄN</t>
        </is>
      </c>
      <c r="E672" t="inlineStr">
        <is>
          <t>NORRTÄLJE</t>
        </is>
      </c>
      <c r="F672" t="inlineStr">
        <is>
          <t>Naturvårdsverket</t>
        </is>
      </c>
      <c r="G672" t="n">
        <v>6.4</v>
      </c>
      <c r="H672" t="n">
        <v>0</v>
      </c>
      <c r="I672" t="n">
        <v>0</v>
      </c>
      <c r="J672" t="n">
        <v>0</v>
      </c>
      <c r="K672" t="n">
        <v>0</v>
      </c>
      <c r="L672" t="n">
        <v>0</v>
      </c>
      <c r="M672" t="n">
        <v>0</v>
      </c>
      <c r="N672" t="n">
        <v>0</v>
      </c>
      <c r="O672" t="n">
        <v>0</v>
      </c>
      <c r="P672" t="n">
        <v>0</v>
      </c>
      <c r="Q672" t="n">
        <v>0</v>
      </c>
      <c r="R672" s="2" t="inlineStr"/>
    </row>
    <row r="673" ht="15" customHeight="1">
      <c r="A673" t="inlineStr">
        <is>
          <t>A 39905-2023</t>
        </is>
      </c>
      <c r="B673" s="1" t="n">
        <v>45168.44489583333</v>
      </c>
      <c r="C673" s="1" t="n">
        <v>46019</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51240-2025</t>
        </is>
      </c>
      <c r="B674" s="1" t="n">
        <v>45947.70420138889</v>
      </c>
      <c r="C674" s="1" t="n">
        <v>46019</v>
      </c>
      <c r="D674" t="inlineStr">
        <is>
          <t>STOCKHOLMS LÄN</t>
        </is>
      </c>
      <c r="E674" t="inlineStr">
        <is>
          <t>NORRTÄLJE</t>
        </is>
      </c>
      <c r="F674" t="inlineStr">
        <is>
          <t>Naturvårdsverket</t>
        </is>
      </c>
      <c r="G674" t="n">
        <v>3</v>
      </c>
      <c r="H674" t="n">
        <v>0</v>
      </c>
      <c r="I674" t="n">
        <v>0</v>
      </c>
      <c r="J674" t="n">
        <v>0</v>
      </c>
      <c r="K674" t="n">
        <v>0</v>
      </c>
      <c r="L674" t="n">
        <v>0</v>
      </c>
      <c r="M674" t="n">
        <v>0</v>
      </c>
      <c r="N674" t="n">
        <v>0</v>
      </c>
      <c r="O674" t="n">
        <v>0</v>
      </c>
      <c r="P674" t="n">
        <v>0</v>
      </c>
      <c r="Q674" t="n">
        <v>0</v>
      </c>
      <c r="R674" s="2" t="inlineStr"/>
    </row>
    <row r="675" ht="15" customHeight="1">
      <c r="A675" t="inlineStr">
        <is>
          <t>A 5645-2023</t>
        </is>
      </c>
      <c r="B675" s="1" t="n">
        <v>44960.60469907407</v>
      </c>
      <c r="C675" s="1" t="n">
        <v>46019</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44528.91494212963</v>
      </c>
      <c r="C676" s="1" t="n">
        <v>46019</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60529-2023</t>
        </is>
      </c>
      <c r="B677" s="1" t="n">
        <v>45259</v>
      </c>
      <c r="C677" s="1" t="n">
        <v>46019</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37628-2025</t>
        </is>
      </c>
      <c r="B678" s="1" t="n">
        <v>45880.46189814815</v>
      </c>
      <c r="C678" s="1" t="n">
        <v>46019</v>
      </c>
      <c r="D678" t="inlineStr">
        <is>
          <t>STOCKHOLMS LÄN</t>
        </is>
      </c>
      <c r="E678" t="inlineStr">
        <is>
          <t>NORRTÄLJE</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29369-2024</t>
        </is>
      </c>
      <c r="B679" s="1" t="n">
        <v>45483.57244212963</v>
      </c>
      <c r="C679" s="1" t="n">
        <v>46019</v>
      </c>
      <c r="D679" t="inlineStr">
        <is>
          <t>STOCKHOLMS LÄN</t>
        </is>
      </c>
      <c r="E679" t="inlineStr">
        <is>
          <t>NORRTÄLJE</t>
        </is>
      </c>
      <c r="G679" t="n">
        <v>15.9</v>
      </c>
      <c r="H679" t="n">
        <v>0</v>
      </c>
      <c r="I679" t="n">
        <v>0</v>
      </c>
      <c r="J679" t="n">
        <v>0</v>
      </c>
      <c r="K679" t="n">
        <v>0</v>
      </c>
      <c r="L679" t="n">
        <v>0</v>
      </c>
      <c r="M679" t="n">
        <v>0</v>
      </c>
      <c r="N679" t="n">
        <v>0</v>
      </c>
      <c r="O679" t="n">
        <v>0</v>
      </c>
      <c r="P679" t="n">
        <v>0</v>
      </c>
      <c r="Q679" t="n">
        <v>0</v>
      </c>
      <c r="R679" s="2" t="inlineStr"/>
    </row>
    <row r="680" ht="15" customHeight="1">
      <c r="A680" t="inlineStr">
        <is>
          <t>A 37632-2025</t>
        </is>
      </c>
      <c r="B680" s="1" t="n">
        <v>45880.46524305556</v>
      </c>
      <c r="C680" s="1" t="n">
        <v>46019</v>
      </c>
      <c r="D680" t="inlineStr">
        <is>
          <t>STOCKHOLMS LÄN</t>
        </is>
      </c>
      <c r="E680" t="inlineStr">
        <is>
          <t>NORRTÄLJE</t>
        </is>
      </c>
      <c r="F680" t="inlineStr">
        <is>
          <t>Sveaskog</t>
        </is>
      </c>
      <c r="G680" t="n">
        <v>6.4</v>
      </c>
      <c r="H680" t="n">
        <v>0</v>
      </c>
      <c r="I680" t="n">
        <v>0</v>
      </c>
      <c r="J680" t="n">
        <v>0</v>
      </c>
      <c r="K680" t="n">
        <v>0</v>
      </c>
      <c r="L680" t="n">
        <v>0</v>
      </c>
      <c r="M680" t="n">
        <v>0</v>
      </c>
      <c r="N680" t="n">
        <v>0</v>
      </c>
      <c r="O680" t="n">
        <v>0</v>
      </c>
      <c r="P680" t="n">
        <v>0</v>
      </c>
      <c r="Q680" t="n">
        <v>0</v>
      </c>
      <c r="R680" s="2" t="inlineStr"/>
    </row>
    <row r="681" ht="15" customHeight="1">
      <c r="A681" t="inlineStr">
        <is>
          <t>A 29841-2024</t>
        </is>
      </c>
      <c r="B681" s="1" t="n">
        <v>45485.60261574074</v>
      </c>
      <c r="C681" s="1" t="n">
        <v>46019</v>
      </c>
      <c r="D681" t="inlineStr">
        <is>
          <t>STOCKHOLMS LÄN</t>
        </is>
      </c>
      <c r="E681" t="inlineStr">
        <is>
          <t>NORRTÄLJE</t>
        </is>
      </c>
      <c r="G681" t="n">
        <v>15.9</v>
      </c>
      <c r="H681" t="n">
        <v>0</v>
      </c>
      <c r="I681" t="n">
        <v>0</v>
      </c>
      <c r="J681" t="n">
        <v>0</v>
      </c>
      <c r="K681" t="n">
        <v>0</v>
      </c>
      <c r="L681" t="n">
        <v>0</v>
      </c>
      <c r="M681" t="n">
        <v>0</v>
      </c>
      <c r="N681" t="n">
        <v>0</v>
      </c>
      <c r="O681" t="n">
        <v>0</v>
      </c>
      <c r="P681" t="n">
        <v>0</v>
      </c>
      <c r="Q681" t="n">
        <v>0</v>
      </c>
      <c r="R681" s="2" t="inlineStr"/>
    </row>
    <row r="682" ht="15" customHeight="1">
      <c r="A682" t="inlineStr">
        <is>
          <t>A 51121-2025</t>
        </is>
      </c>
      <c r="B682" s="1" t="n">
        <v>45947.53293981482</v>
      </c>
      <c r="C682" s="1" t="n">
        <v>46019</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20692-2025</t>
        </is>
      </c>
      <c r="B683" s="1" t="n">
        <v>45776.46369212963</v>
      </c>
      <c r="C683" s="1" t="n">
        <v>46019</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37630-2025</t>
        </is>
      </c>
      <c r="B684" s="1" t="n">
        <v>45880.46372685185</v>
      </c>
      <c r="C684" s="1" t="n">
        <v>46019</v>
      </c>
      <c r="D684" t="inlineStr">
        <is>
          <t>STOCKHOLMS LÄN</t>
        </is>
      </c>
      <c r="E684" t="inlineStr">
        <is>
          <t>NORRTÄLJE</t>
        </is>
      </c>
      <c r="F684" t="inlineStr">
        <is>
          <t>Sveaskog</t>
        </is>
      </c>
      <c r="G684" t="n">
        <v>12.9</v>
      </c>
      <c r="H684" t="n">
        <v>0</v>
      </c>
      <c r="I684" t="n">
        <v>0</v>
      </c>
      <c r="J684" t="n">
        <v>0</v>
      </c>
      <c r="K684" t="n">
        <v>0</v>
      </c>
      <c r="L684" t="n">
        <v>0</v>
      </c>
      <c r="M684" t="n">
        <v>0</v>
      </c>
      <c r="N684" t="n">
        <v>0</v>
      </c>
      <c r="O684" t="n">
        <v>0</v>
      </c>
      <c r="P684" t="n">
        <v>0</v>
      </c>
      <c r="Q684" t="n">
        <v>0</v>
      </c>
      <c r="R684" s="2" t="inlineStr"/>
    </row>
    <row r="685" ht="15" customHeight="1">
      <c r="A685" t="inlineStr">
        <is>
          <t>A 59477-2025</t>
        </is>
      </c>
      <c r="B685" s="1" t="n">
        <v>45989.58679398148</v>
      </c>
      <c r="C685" s="1" t="n">
        <v>46019</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19706-2023</t>
        </is>
      </c>
      <c r="B686" s="1" t="n">
        <v>45051.455</v>
      </c>
      <c r="C686" s="1" t="n">
        <v>46019</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18539-2021</t>
        </is>
      </c>
      <c r="B687" s="1" t="n">
        <v>44306</v>
      </c>
      <c r="C687" s="1" t="n">
        <v>46019</v>
      </c>
      <c r="D687" t="inlineStr">
        <is>
          <t>STOCKHOLMS LÄN</t>
        </is>
      </c>
      <c r="E687" t="inlineStr">
        <is>
          <t>NORRTÄLJE</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17612-2022</t>
        </is>
      </c>
      <c r="B688" s="1" t="n">
        <v>44680</v>
      </c>
      <c r="C688" s="1" t="n">
        <v>46019</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46071-2024</t>
        </is>
      </c>
      <c r="B689" s="1" t="n">
        <v>45581</v>
      </c>
      <c r="C689" s="1" t="n">
        <v>46019</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16835-2022</t>
        </is>
      </c>
      <c r="B690" s="1" t="n">
        <v>44673</v>
      </c>
      <c r="C690" s="1" t="n">
        <v>46019</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62765-2022</t>
        </is>
      </c>
      <c r="B691" s="1" t="n">
        <v>44637</v>
      </c>
      <c r="C691" s="1" t="n">
        <v>46019</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58404-2023</t>
        </is>
      </c>
      <c r="B692" s="1" t="n">
        <v>45245</v>
      </c>
      <c r="C692" s="1" t="n">
        <v>46019</v>
      </c>
      <c r="D692" t="inlineStr">
        <is>
          <t>STOCKHOLMS LÄN</t>
        </is>
      </c>
      <c r="E692" t="inlineStr">
        <is>
          <t>NORRTÄLJE</t>
        </is>
      </c>
      <c r="G692" t="n">
        <v>53.5</v>
      </c>
      <c r="H692" t="n">
        <v>0</v>
      </c>
      <c r="I692" t="n">
        <v>0</v>
      </c>
      <c r="J692" t="n">
        <v>0</v>
      </c>
      <c r="K692" t="n">
        <v>0</v>
      </c>
      <c r="L692" t="n">
        <v>0</v>
      </c>
      <c r="M692" t="n">
        <v>0</v>
      </c>
      <c r="N692" t="n">
        <v>0</v>
      </c>
      <c r="O692" t="n">
        <v>0</v>
      </c>
      <c r="P692" t="n">
        <v>0</v>
      </c>
      <c r="Q692" t="n">
        <v>0</v>
      </c>
      <c r="R692" s="2" t="inlineStr"/>
    </row>
    <row r="693" ht="15" customHeight="1">
      <c r="A693" t="inlineStr">
        <is>
          <t>A 8586-2023</t>
        </is>
      </c>
      <c r="B693" s="1" t="n">
        <v>44977</v>
      </c>
      <c r="C693" s="1" t="n">
        <v>46019</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13137-2024</t>
        </is>
      </c>
      <c r="B694" s="1" t="n">
        <v>45386.34175925926</v>
      </c>
      <c r="C694" s="1" t="n">
        <v>46019</v>
      </c>
      <c r="D694" t="inlineStr">
        <is>
          <t>STOCKHOLMS LÄN</t>
        </is>
      </c>
      <c r="E694" t="inlineStr">
        <is>
          <t>NORRTÄLJE</t>
        </is>
      </c>
      <c r="G694" t="n">
        <v>5</v>
      </c>
      <c r="H694" t="n">
        <v>0</v>
      </c>
      <c r="I694" t="n">
        <v>0</v>
      </c>
      <c r="J694" t="n">
        <v>0</v>
      </c>
      <c r="K694" t="n">
        <v>0</v>
      </c>
      <c r="L694" t="n">
        <v>0</v>
      </c>
      <c r="M694" t="n">
        <v>0</v>
      </c>
      <c r="N694" t="n">
        <v>0</v>
      </c>
      <c r="O694" t="n">
        <v>0</v>
      </c>
      <c r="P694" t="n">
        <v>0</v>
      </c>
      <c r="Q694" t="n">
        <v>0</v>
      </c>
      <c r="R694" s="2" t="inlineStr"/>
    </row>
    <row r="695" ht="15" customHeight="1">
      <c r="A695" t="inlineStr">
        <is>
          <t>A 51532-2025</t>
        </is>
      </c>
      <c r="B695" s="1" t="n">
        <v>45950.68297453703</v>
      </c>
      <c r="C695" s="1" t="n">
        <v>46019</v>
      </c>
      <c r="D695" t="inlineStr">
        <is>
          <t>STOCKHOLMS LÄN</t>
        </is>
      </c>
      <c r="E695" t="inlineStr">
        <is>
          <t>NORRTÄLJE</t>
        </is>
      </c>
      <c r="F695" t="inlineStr">
        <is>
          <t>Naturvårdsverket</t>
        </is>
      </c>
      <c r="G695" t="n">
        <v>17.3</v>
      </c>
      <c r="H695" t="n">
        <v>0</v>
      </c>
      <c r="I695" t="n">
        <v>0</v>
      </c>
      <c r="J695" t="n">
        <v>0</v>
      </c>
      <c r="K695" t="n">
        <v>0</v>
      </c>
      <c r="L695" t="n">
        <v>0</v>
      </c>
      <c r="M695" t="n">
        <v>0</v>
      </c>
      <c r="N695" t="n">
        <v>0</v>
      </c>
      <c r="O695" t="n">
        <v>0</v>
      </c>
      <c r="P695" t="n">
        <v>0</v>
      </c>
      <c r="Q695" t="n">
        <v>0</v>
      </c>
      <c r="R695" s="2" t="inlineStr"/>
    </row>
    <row r="696" ht="15" customHeight="1">
      <c r="A696" t="inlineStr">
        <is>
          <t>A 51789-2025</t>
        </is>
      </c>
      <c r="B696" s="1" t="n">
        <v>45951.68046296296</v>
      </c>
      <c r="C696" s="1" t="n">
        <v>46019</v>
      </c>
      <c r="D696" t="inlineStr">
        <is>
          <t>STOCKHOLMS LÄN</t>
        </is>
      </c>
      <c r="E696" t="inlineStr">
        <is>
          <t>NORRTÄLJE</t>
        </is>
      </c>
      <c r="F696" t="inlineStr">
        <is>
          <t>Naturvårdsverket</t>
        </is>
      </c>
      <c r="G696" t="n">
        <v>8.9</v>
      </c>
      <c r="H696" t="n">
        <v>0</v>
      </c>
      <c r="I696" t="n">
        <v>0</v>
      </c>
      <c r="J696" t="n">
        <v>0</v>
      </c>
      <c r="K696" t="n">
        <v>0</v>
      </c>
      <c r="L696" t="n">
        <v>0</v>
      </c>
      <c r="M696" t="n">
        <v>0</v>
      </c>
      <c r="N696" t="n">
        <v>0</v>
      </c>
      <c r="O696" t="n">
        <v>0</v>
      </c>
      <c r="P696" t="n">
        <v>0</v>
      </c>
      <c r="Q696" t="n">
        <v>0</v>
      </c>
      <c r="R696" s="2" t="inlineStr"/>
    </row>
    <row r="697" ht="15" customHeight="1">
      <c r="A697" t="inlineStr">
        <is>
          <t>A 59907-2025</t>
        </is>
      </c>
      <c r="B697" s="1" t="n">
        <v>45993.35350694445</v>
      </c>
      <c r="C697" s="1" t="n">
        <v>46019</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59914-2025</t>
        </is>
      </c>
      <c r="B698" s="1" t="n">
        <v>45993.37056712963</v>
      </c>
      <c r="C698" s="1" t="n">
        <v>46019</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24350-2025</t>
        </is>
      </c>
      <c r="B699" s="1" t="n">
        <v>45797.58350694444</v>
      </c>
      <c r="C699" s="1" t="n">
        <v>46019</v>
      </c>
      <c r="D699" t="inlineStr">
        <is>
          <t>STOCKHOLMS LÄN</t>
        </is>
      </c>
      <c r="E699" t="inlineStr">
        <is>
          <t>NORRTÄLJE</t>
        </is>
      </c>
      <c r="G699" t="n">
        <v>4.5</v>
      </c>
      <c r="H699" t="n">
        <v>0</v>
      </c>
      <c r="I699" t="n">
        <v>0</v>
      </c>
      <c r="J699" t="n">
        <v>0</v>
      </c>
      <c r="K699" t="n">
        <v>0</v>
      </c>
      <c r="L699" t="n">
        <v>0</v>
      </c>
      <c r="M699" t="n">
        <v>0</v>
      </c>
      <c r="N699" t="n">
        <v>0</v>
      </c>
      <c r="O699" t="n">
        <v>0</v>
      </c>
      <c r="P699" t="n">
        <v>0</v>
      </c>
      <c r="Q699" t="n">
        <v>0</v>
      </c>
      <c r="R699" s="2" t="inlineStr"/>
    </row>
    <row r="700" ht="15" customHeight="1">
      <c r="A700" t="inlineStr">
        <is>
          <t>A 26703-2025</t>
        </is>
      </c>
      <c r="B700" s="1" t="n">
        <v>45810.45263888889</v>
      </c>
      <c r="C700" s="1" t="n">
        <v>46019</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16202-2022</t>
        </is>
      </c>
      <c r="B701" s="1" t="n">
        <v>44670</v>
      </c>
      <c r="C701" s="1" t="n">
        <v>46019</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55018-2024</t>
        </is>
      </c>
      <c r="B702" s="1" t="n">
        <v>45621.35712962963</v>
      </c>
      <c r="C702" s="1" t="n">
        <v>46019</v>
      </c>
      <c r="D702" t="inlineStr">
        <is>
          <t>STOCKHOLMS LÄN</t>
        </is>
      </c>
      <c r="E702" t="inlineStr">
        <is>
          <t>NORRTÄLJE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50136-2023</t>
        </is>
      </c>
      <c r="B703" s="1" t="n">
        <v>45215</v>
      </c>
      <c r="C703" s="1" t="n">
        <v>46019</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38153-2025</t>
        </is>
      </c>
      <c r="B704" s="1" t="n">
        <v>45882.59722222222</v>
      </c>
      <c r="C704" s="1" t="n">
        <v>46019</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25656-2023</t>
        </is>
      </c>
      <c r="B705" s="1" t="n">
        <v>45089</v>
      </c>
      <c r="C705" s="1" t="n">
        <v>46019</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6003-2025</t>
        </is>
      </c>
      <c r="B706" s="1" t="n">
        <v>45695.57881944445</v>
      </c>
      <c r="C706" s="1" t="n">
        <v>46019</v>
      </c>
      <c r="D706" t="inlineStr">
        <is>
          <t>STOCKHOLMS LÄN</t>
        </is>
      </c>
      <c r="E706" t="inlineStr">
        <is>
          <t>NORRTÄLJE</t>
        </is>
      </c>
      <c r="F706" t="inlineStr">
        <is>
          <t>Holmen skog AB</t>
        </is>
      </c>
      <c r="G706" t="n">
        <v>2.3</v>
      </c>
      <c r="H706" t="n">
        <v>0</v>
      </c>
      <c r="I706" t="n">
        <v>0</v>
      </c>
      <c r="J706" t="n">
        <v>0</v>
      </c>
      <c r="K706" t="n">
        <v>0</v>
      </c>
      <c r="L706" t="n">
        <v>0</v>
      </c>
      <c r="M706" t="n">
        <v>0</v>
      </c>
      <c r="N706" t="n">
        <v>0</v>
      </c>
      <c r="O706" t="n">
        <v>0</v>
      </c>
      <c r="P706" t="n">
        <v>0</v>
      </c>
      <c r="Q706" t="n">
        <v>0</v>
      </c>
      <c r="R706" s="2" t="inlineStr"/>
    </row>
    <row r="707" ht="15" customHeight="1">
      <c r="A707" t="inlineStr">
        <is>
          <t>A 59924-2025</t>
        </is>
      </c>
      <c r="B707" s="1" t="n">
        <v>45993.38928240741</v>
      </c>
      <c r="C707" s="1" t="n">
        <v>46019</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11902-2024</t>
        </is>
      </c>
      <c r="B708" s="1" t="n">
        <v>45376.55704861111</v>
      </c>
      <c r="C708" s="1" t="n">
        <v>46019</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38049-2023</t>
        </is>
      </c>
      <c r="B709" s="1" t="n">
        <v>45159</v>
      </c>
      <c r="C709" s="1" t="n">
        <v>46019</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59535-2024</t>
        </is>
      </c>
      <c r="B710" s="1" t="n">
        <v>45638.59979166667</v>
      </c>
      <c r="C710" s="1" t="n">
        <v>46019</v>
      </c>
      <c r="D710" t="inlineStr">
        <is>
          <t>STOCKHOLMS LÄN</t>
        </is>
      </c>
      <c r="E710" t="inlineStr">
        <is>
          <t>NORRTÄLJE</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22816-2021</t>
        </is>
      </c>
      <c r="B711" s="1" t="n">
        <v>44325</v>
      </c>
      <c r="C711" s="1" t="n">
        <v>46019</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59672-2025</t>
        </is>
      </c>
      <c r="B712" s="1" t="n">
        <v>45992.45884259259</v>
      </c>
      <c r="C712" s="1" t="n">
        <v>46019</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4183-2025</t>
        </is>
      </c>
      <c r="B713" s="1" t="n">
        <v>45685.44592592592</v>
      </c>
      <c r="C713" s="1" t="n">
        <v>46019</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9480-2025</t>
        </is>
      </c>
      <c r="B714" s="1" t="n">
        <v>45715</v>
      </c>
      <c r="C714" s="1" t="n">
        <v>46019</v>
      </c>
      <c r="D714" t="inlineStr">
        <is>
          <t>STOCKHOLMS LÄN</t>
        </is>
      </c>
      <c r="E714" t="inlineStr">
        <is>
          <t>NORRTÄLJE</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51960-2025</t>
        </is>
      </c>
      <c r="B715" s="1" t="n">
        <v>45952.54755787037</v>
      </c>
      <c r="C715" s="1" t="n">
        <v>46019</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60253-2025</t>
        </is>
      </c>
      <c r="B716" s="1" t="n">
        <v>45994.59827546297</v>
      </c>
      <c r="C716" s="1" t="n">
        <v>46019</v>
      </c>
      <c r="D716" t="inlineStr">
        <is>
          <t>STOCKHOLMS LÄN</t>
        </is>
      </c>
      <c r="E716" t="inlineStr">
        <is>
          <t>NORRTÄLJE</t>
        </is>
      </c>
      <c r="F716" t="inlineStr">
        <is>
          <t>Holmen skog AB</t>
        </is>
      </c>
      <c r="G716" t="n">
        <v>3.6</v>
      </c>
      <c r="H716" t="n">
        <v>0</v>
      </c>
      <c r="I716" t="n">
        <v>0</v>
      </c>
      <c r="J716" t="n">
        <v>0</v>
      </c>
      <c r="K716" t="n">
        <v>0</v>
      </c>
      <c r="L716" t="n">
        <v>0</v>
      </c>
      <c r="M716" t="n">
        <v>0</v>
      </c>
      <c r="N716" t="n">
        <v>0</v>
      </c>
      <c r="O716" t="n">
        <v>0</v>
      </c>
      <c r="P716" t="n">
        <v>0</v>
      </c>
      <c r="Q716" t="n">
        <v>0</v>
      </c>
      <c r="R716" s="2" t="inlineStr"/>
    </row>
    <row r="717" ht="15" customHeight="1">
      <c r="A717" t="inlineStr">
        <is>
          <t>A 51941-2025</t>
        </is>
      </c>
      <c r="B717" s="1" t="n">
        <v>45952.52261574074</v>
      </c>
      <c r="C717" s="1" t="n">
        <v>46019</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24522-2023</t>
        </is>
      </c>
      <c r="B718" s="1" t="n">
        <v>45082.69179398148</v>
      </c>
      <c r="C718" s="1" t="n">
        <v>46019</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25625-2023</t>
        </is>
      </c>
      <c r="B719" s="1" t="n">
        <v>45089</v>
      </c>
      <c r="C719" s="1" t="n">
        <v>46019</v>
      </c>
      <c r="D719" t="inlineStr">
        <is>
          <t>STOCKHOLMS LÄN</t>
        </is>
      </c>
      <c r="E719" t="inlineStr">
        <is>
          <t>NORRTÄLJE</t>
        </is>
      </c>
      <c r="G719" t="n">
        <v>5.5</v>
      </c>
      <c r="H719" t="n">
        <v>0</v>
      </c>
      <c r="I719" t="n">
        <v>0</v>
      </c>
      <c r="J719" t="n">
        <v>0</v>
      </c>
      <c r="K719" t="n">
        <v>0</v>
      </c>
      <c r="L719" t="n">
        <v>0</v>
      </c>
      <c r="M719" t="n">
        <v>0</v>
      </c>
      <c r="N719" t="n">
        <v>0</v>
      </c>
      <c r="O719" t="n">
        <v>0</v>
      </c>
      <c r="P719" t="n">
        <v>0</v>
      </c>
      <c r="Q719" t="n">
        <v>0</v>
      </c>
      <c r="R719" s="2" t="inlineStr"/>
    </row>
    <row r="720" ht="15" customHeight="1">
      <c r="A720" t="inlineStr">
        <is>
          <t>A 67921-2021</t>
        </is>
      </c>
      <c r="B720" s="1" t="n">
        <v>44525</v>
      </c>
      <c r="C720" s="1" t="n">
        <v>46019</v>
      </c>
      <c r="D720" t="inlineStr">
        <is>
          <t>STOCKHOLMS LÄN</t>
        </is>
      </c>
      <c r="E720" t="inlineStr">
        <is>
          <t>NORRTÄLJE</t>
        </is>
      </c>
      <c r="G720" t="n">
        <v>6.3</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46019</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52061-2025</t>
        </is>
      </c>
      <c r="B722" s="1" t="n">
        <v>45952.63679398148</v>
      </c>
      <c r="C722" s="1" t="n">
        <v>46019</v>
      </c>
      <c r="D722" t="inlineStr">
        <is>
          <t>STOCKHOLMS LÄN</t>
        </is>
      </c>
      <c r="E722" t="inlineStr">
        <is>
          <t>NORRTÄLJE</t>
        </is>
      </c>
      <c r="G722" t="n">
        <v>9.5</v>
      </c>
      <c r="H722" t="n">
        <v>0</v>
      </c>
      <c r="I722" t="n">
        <v>0</v>
      </c>
      <c r="J722" t="n">
        <v>0</v>
      </c>
      <c r="K722" t="n">
        <v>0</v>
      </c>
      <c r="L722" t="n">
        <v>0</v>
      </c>
      <c r="M722" t="n">
        <v>0</v>
      </c>
      <c r="N722" t="n">
        <v>0</v>
      </c>
      <c r="O722" t="n">
        <v>0</v>
      </c>
      <c r="P722" t="n">
        <v>0</v>
      </c>
      <c r="Q722" t="n">
        <v>0</v>
      </c>
      <c r="R722" s="2" t="inlineStr"/>
    </row>
    <row r="723" ht="15" customHeight="1">
      <c r="A723" t="inlineStr">
        <is>
          <t>A 51945-2025</t>
        </is>
      </c>
      <c r="B723" s="1" t="n">
        <v>45952.52679398148</v>
      </c>
      <c r="C723" s="1" t="n">
        <v>46019</v>
      </c>
      <c r="D723" t="inlineStr">
        <is>
          <t>STOCKHOLMS LÄN</t>
        </is>
      </c>
      <c r="E723" t="inlineStr">
        <is>
          <t>NORRTÄLJE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37147-2023</t>
        </is>
      </c>
      <c r="B724" s="1" t="n">
        <v>45155</v>
      </c>
      <c r="C724" s="1" t="n">
        <v>46019</v>
      </c>
      <c r="D724" t="inlineStr">
        <is>
          <t>STOCKHOLMS LÄN</t>
        </is>
      </c>
      <c r="E724" t="inlineStr">
        <is>
          <t>NORRTÄLJE</t>
        </is>
      </c>
      <c r="G724" t="n">
        <v>8</v>
      </c>
      <c r="H724" t="n">
        <v>0</v>
      </c>
      <c r="I724" t="n">
        <v>0</v>
      </c>
      <c r="J724" t="n">
        <v>0</v>
      </c>
      <c r="K724" t="n">
        <v>0</v>
      </c>
      <c r="L724" t="n">
        <v>0</v>
      </c>
      <c r="M724" t="n">
        <v>0</v>
      </c>
      <c r="N724" t="n">
        <v>0</v>
      </c>
      <c r="O724" t="n">
        <v>0</v>
      </c>
      <c r="P724" t="n">
        <v>0</v>
      </c>
      <c r="Q724" t="n">
        <v>0</v>
      </c>
      <c r="R724" s="2" t="inlineStr"/>
    </row>
    <row r="725" ht="15" customHeight="1">
      <c r="A725" t="inlineStr">
        <is>
          <t>A 7186-2024</t>
        </is>
      </c>
      <c r="B725" s="1" t="n">
        <v>45344</v>
      </c>
      <c r="C725" s="1" t="n">
        <v>46019</v>
      </c>
      <c r="D725" t="inlineStr">
        <is>
          <t>STOCKHOLMS LÄN</t>
        </is>
      </c>
      <c r="E725" t="inlineStr">
        <is>
          <t>NORRTÄLJE</t>
        </is>
      </c>
      <c r="G725" t="n">
        <v>4.9</v>
      </c>
      <c r="H725" t="n">
        <v>0</v>
      </c>
      <c r="I725" t="n">
        <v>0</v>
      </c>
      <c r="J725" t="n">
        <v>0</v>
      </c>
      <c r="K725" t="n">
        <v>0</v>
      </c>
      <c r="L725" t="n">
        <v>0</v>
      </c>
      <c r="M725" t="n">
        <v>0</v>
      </c>
      <c r="N725" t="n">
        <v>0</v>
      </c>
      <c r="O725" t="n">
        <v>0</v>
      </c>
      <c r="P725" t="n">
        <v>0</v>
      </c>
      <c r="Q725" t="n">
        <v>0</v>
      </c>
      <c r="R725" s="2" t="inlineStr"/>
    </row>
    <row r="726" ht="15" customHeight="1">
      <c r="A726" t="inlineStr">
        <is>
          <t>A 57602-2024</t>
        </is>
      </c>
      <c r="B726" s="1" t="n">
        <v>45630.52866898148</v>
      </c>
      <c r="C726" s="1" t="n">
        <v>46019</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64600-2021</t>
        </is>
      </c>
      <c r="B727" s="1" t="n">
        <v>44511.70518518519</v>
      </c>
      <c r="C727" s="1" t="n">
        <v>46019</v>
      </c>
      <c r="D727" t="inlineStr">
        <is>
          <t>STOCKHOLMS LÄN</t>
        </is>
      </c>
      <c r="E727" t="inlineStr">
        <is>
          <t>NORRTÄLJE</t>
        </is>
      </c>
      <c r="G727" t="n">
        <v>6.2</v>
      </c>
      <c r="H727" t="n">
        <v>0</v>
      </c>
      <c r="I727" t="n">
        <v>0</v>
      </c>
      <c r="J727" t="n">
        <v>0</v>
      </c>
      <c r="K727" t="n">
        <v>0</v>
      </c>
      <c r="L727" t="n">
        <v>0</v>
      </c>
      <c r="M727" t="n">
        <v>0</v>
      </c>
      <c r="N727" t="n">
        <v>0</v>
      </c>
      <c r="O727" t="n">
        <v>0</v>
      </c>
      <c r="P727" t="n">
        <v>0</v>
      </c>
      <c r="Q727" t="n">
        <v>0</v>
      </c>
      <c r="R727" s="2" t="inlineStr"/>
    </row>
    <row r="728" ht="15" customHeight="1">
      <c r="A728" t="inlineStr">
        <is>
          <t>A 50602-2021</t>
        </is>
      </c>
      <c r="B728" s="1" t="n">
        <v>44459</v>
      </c>
      <c r="C728" s="1" t="n">
        <v>46019</v>
      </c>
      <c r="D728" t="inlineStr">
        <is>
          <t>STOCKHOLMS LÄN</t>
        </is>
      </c>
      <c r="E728" t="inlineStr">
        <is>
          <t>NORRTÄLJE</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26365-2024</t>
        </is>
      </c>
      <c r="B729" s="1" t="n">
        <v>45469</v>
      </c>
      <c r="C729" s="1" t="n">
        <v>46019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52251-2025</t>
        </is>
      </c>
      <c r="B730" s="1" t="n">
        <v>45953.49185185185</v>
      </c>
      <c r="C730" s="1" t="n">
        <v>46019</v>
      </c>
      <c r="D730" t="inlineStr">
        <is>
          <t>STOCKHOLMS LÄN</t>
        </is>
      </c>
      <c r="E730" t="inlineStr">
        <is>
          <t>NORRTÄLJE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52254-2025</t>
        </is>
      </c>
      <c r="B731" s="1" t="n">
        <v>45953.49519675926</v>
      </c>
      <c r="C731" s="1" t="n">
        <v>46019</v>
      </c>
      <c r="D731" t="inlineStr">
        <is>
          <t>STOCKHOLMS LÄN</t>
        </is>
      </c>
      <c r="E731" t="inlineStr">
        <is>
          <t>NORRTÄLJE</t>
        </is>
      </c>
      <c r="G731" t="n">
        <v>2.2</v>
      </c>
      <c r="H731" t="n">
        <v>0</v>
      </c>
      <c r="I731" t="n">
        <v>0</v>
      </c>
      <c r="J731" t="n">
        <v>0</v>
      </c>
      <c r="K731" t="n">
        <v>0</v>
      </c>
      <c r="L731" t="n">
        <v>0</v>
      </c>
      <c r="M731" t="n">
        <v>0</v>
      </c>
      <c r="N731" t="n">
        <v>0</v>
      </c>
      <c r="O731" t="n">
        <v>0</v>
      </c>
      <c r="P731" t="n">
        <v>0</v>
      </c>
      <c r="Q731" t="n">
        <v>0</v>
      </c>
      <c r="R731" s="2" t="inlineStr"/>
    </row>
    <row r="732" ht="15" customHeight="1">
      <c r="A732" t="inlineStr">
        <is>
          <t>A 60223-2025</t>
        </is>
      </c>
      <c r="B732" s="1" t="n">
        <v>45994.54497685185</v>
      </c>
      <c r="C732" s="1" t="n">
        <v>46019</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52773-2025</t>
        </is>
      </c>
      <c r="B733" s="1" t="n">
        <v>45957.41457175926</v>
      </c>
      <c r="C733" s="1" t="n">
        <v>46019</v>
      </c>
      <c r="D733" t="inlineStr">
        <is>
          <t>STOCKHOLMS LÄN</t>
        </is>
      </c>
      <c r="E733" t="inlineStr">
        <is>
          <t>NORRTÄLJE</t>
        </is>
      </c>
      <c r="F733" t="inlineStr">
        <is>
          <t>Sveaskog</t>
        </is>
      </c>
      <c r="G733" t="n">
        <v>10.5</v>
      </c>
      <c r="H733" t="n">
        <v>0</v>
      </c>
      <c r="I733" t="n">
        <v>0</v>
      </c>
      <c r="J733" t="n">
        <v>0</v>
      </c>
      <c r="K733" t="n">
        <v>0</v>
      </c>
      <c r="L733" t="n">
        <v>0</v>
      </c>
      <c r="M733" t="n">
        <v>0</v>
      </c>
      <c r="N733" t="n">
        <v>0</v>
      </c>
      <c r="O733" t="n">
        <v>0</v>
      </c>
      <c r="P733" t="n">
        <v>0</v>
      </c>
      <c r="Q733" t="n">
        <v>0</v>
      </c>
      <c r="R733" s="2" t="inlineStr"/>
    </row>
    <row r="734" ht="15" customHeight="1">
      <c r="A734" t="inlineStr">
        <is>
          <t>A 65499-2021</t>
        </is>
      </c>
      <c r="B734" s="1" t="n">
        <v>44516</v>
      </c>
      <c r="C734" s="1" t="n">
        <v>46019</v>
      </c>
      <c r="D734" t="inlineStr">
        <is>
          <t>STOCKHOLMS LÄN</t>
        </is>
      </c>
      <c r="E734" t="inlineStr">
        <is>
          <t>NORRTÄLJE</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52777-2025</t>
        </is>
      </c>
      <c r="B735" s="1" t="n">
        <v>45957.41832175926</v>
      </c>
      <c r="C735" s="1" t="n">
        <v>46019</v>
      </c>
      <c r="D735" t="inlineStr">
        <is>
          <t>STOCKHOLMS LÄN</t>
        </is>
      </c>
      <c r="E735" t="inlineStr">
        <is>
          <t>NORRTÄLJE</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26640-2023</t>
        </is>
      </c>
      <c r="B736" s="1" t="n">
        <v>45092</v>
      </c>
      <c r="C736" s="1" t="n">
        <v>46019</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31827-2023</t>
        </is>
      </c>
      <c r="B737" s="1" t="n">
        <v>45118</v>
      </c>
      <c r="C737" s="1" t="n">
        <v>46019</v>
      </c>
      <c r="D737" t="inlineStr">
        <is>
          <t>STOCKHOLMS LÄN</t>
        </is>
      </c>
      <c r="E737" t="inlineStr">
        <is>
          <t>NORRTÄLJE</t>
        </is>
      </c>
      <c r="F737" t="inlineStr">
        <is>
          <t>Kyrkan</t>
        </is>
      </c>
      <c r="G737" t="n">
        <v>4.9</v>
      </c>
      <c r="H737" t="n">
        <v>0</v>
      </c>
      <c r="I737" t="n">
        <v>0</v>
      </c>
      <c r="J737" t="n">
        <v>0</v>
      </c>
      <c r="K737" t="n">
        <v>0</v>
      </c>
      <c r="L737" t="n">
        <v>0</v>
      </c>
      <c r="M737" t="n">
        <v>0</v>
      </c>
      <c r="N737" t="n">
        <v>0</v>
      </c>
      <c r="O737" t="n">
        <v>0</v>
      </c>
      <c r="P737" t="n">
        <v>0</v>
      </c>
      <c r="Q737" t="n">
        <v>0</v>
      </c>
      <c r="R737" s="2" t="inlineStr"/>
    </row>
    <row r="738" ht="15" customHeight="1">
      <c r="A738" t="inlineStr">
        <is>
          <t>A 58993-2022</t>
        </is>
      </c>
      <c r="B738" s="1" t="n">
        <v>44903</v>
      </c>
      <c r="C738" s="1" t="n">
        <v>46019</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28900-2022</t>
        </is>
      </c>
      <c r="B739" s="1" t="n">
        <v>44749.55258101852</v>
      </c>
      <c r="C739" s="1" t="n">
        <v>46019</v>
      </c>
      <c r="D739" t="inlineStr">
        <is>
          <t>STOCKHOLMS LÄN</t>
        </is>
      </c>
      <c r="E739" t="inlineStr">
        <is>
          <t>NORRTÄLJE</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17574-2025</t>
        </is>
      </c>
      <c r="B740" s="1" t="n">
        <v>45757.65178240741</v>
      </c>
      <c r="C740" s="1" t="n">
        <v>46019</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52526-2025</t>
        </is>
      </c>
      <c r="B741" s="1" t="n">
        <v>45954.53061342592</v>
      </c>
      <c r="C741" s="1" t="n">
        <v>46019</v>
      </c>
      <c r="D741" t="inlineStr">
        <is>
          <t>STOCKHOLMS LÄN</t>
        </is>
      </c>
      <c r="E741" t="inlineStr">
        <is>
          <t>NORRTÄLJE</t>
        </is>
      </c>
      <c r="F741" t="inlineStr">
        <is>
          <t>Sveaskog</t>
        </is>
      </c>
      <c r="G741" t="n">
        <v>2.9</v>
      </c>
      <c r="H741" t="n">
        <v>0</v>
      </c>
      <c r="I741" t="n">
        <v>0</v>
      </c>
      <c r="J741" t="n">
        <v>0</v>
      </c>
      <c r="K741" t="n">
        <v>0</v>
      </c>
      <c r="L741" t="n">
        <v>0</v>
      </c>
      <c r="M741" t="n">
        <v>0</v>
      </c>
      <c r="N741" t="n">
        <v>0</v>
      </c>
      <c r="O741" t="n">
        <v>0</v>
      </c>
      <c r="P741" t="n">
        <v>0</v>
      </c>
      <c r="Q741" t="n">
        <v>0</v>
      </c>
      <c r="R741" s="2" t="inlineStr"/>
    </row>
    <row r="742" ht="15" customHeight="1">
      <c r="A742" t="inlineStr">
        <is>
          <t>A 53000-2025</t>
        </is>
      </c>
      <c r="B742" s="1" t="n">
        <v>45957.74357638889</v>
      </c>
      <c r="C742" s="1" t="n">
        <v>46019</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60649-2025</t>
        </is>
      </c>
      <c r="B743" s="1" t="n">
        <v>45996.4560300926</v>
      </c>
      <c r="C743" s="1" t="n">
        <v>46019</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59041-2025</t>
        </is>
      </c>
      <c r="B744" s="1" t="n">
        <v>45988</v>
      </c>
      <c r="C744" s="1" t="n">
        <v>46019</v>
      </c>
      <c r="D744" t="inlineStr">
        <is>
          <t>STOCKHOLMS LÄN</t>
        </is>
      </c>
      <c r="E744" t="inlineStr">
        <is>
          <t>NORRTÄLJE</t>
        </is>
      </c>
      <c r="G744" t="n">
        <v>6.6</v>
      </c>
      <c r="H744" t="n">
        <v>0</v>
      </c>
      <c r="I744" t="n">
        <v>0</v>
      </c>
      <c r="J744" t="n">
        <v>0</v>
      </c>
      <c r="K744" t="n">
        <v>0</v>
      </c>
      <c r="L744" t="n">
        <v>0</v>
      </c>
      <c r="M744" t="n">
        <v>0</v>
      </c>
      <c r="N744" t="n">
        <v>0</v>
      </c>
      <c r="O744" t="n">
        <v>0</v>
      </c>
      <c r="P744" t="n">
        <v>0</v>
      </c>
      <c r="Q744" t="n">
        <v>0</v>
      </c>
      <c r="R744" s="2" t="inlineStr"/>
    </row>
    <row r="745" ht="15" customHeight="1">
      <c r="A745" t="inlineStr">
        <is>
          <t>A 52703-2025</t>
        </is>
      </c>
      <c r="B745" s="1" t="n">
        <v>45956.88643518519</v>
      </c>
      <c r="C745" s="1" t="n">
        <v>46019</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52729-2025</t>
        </is>
      </c>
      <c r="B746" s="1" t="n">
        <v>45957.3636574074</v>
      </c>
      <c r="C746" s="1" t="n">
        <v>46019</v>
      </c>
      <c r="D746" t="inlineStr">
        <is>
          <t>STOCKHOLMS LÄN</t>
        </is>
      </c>
      <c r="E746" t="inlineStr">
        <is>
          <t>NORRTÄLJE</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60745-2025</t>
        </is>
      </c>
      <c r="B747" s="1" t="n">
        <v>45999.37753472223</v>
      </c>
      <c r="C747" s="1" t="n">
        <v>46019</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52734-2025</t>
        </is>
      </c>
      <c r="B748" s="1" t="n">
        <v>45957.3710300926</v>
      </c>
      <c r="C748" s="1" t="n">
        <v>46019</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58297-2023</t>
        </is>
      </c>
      <c r="B749" s="1" t="n">
        <v>45245</v>
      </c>
      <c r="C749" s="1" t="n">
        <v>46019</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20304-2023</t>
        </is>
      </c>
      <c r="B750" s="1" t="n">
        <v>45056</v>
      </c>
      <c r="C750" s="1" t="n">
        <v>46019</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12299-2025</t>
        </is>
      </c>
      <c r="B751" s="1" t="n">
        <v>45729.71065972222</v>
      </c>
      <c r="C751" s="1" t="n">
        <v>46019</v>
      </c>
      <c r="D751" t="inlineStr">
        <is>
          <t>STOCKHOLMS LÄN</t>
        </is>
      </c>
      <c r="E751" t="inlineStr">
        <is>
          <t>NORRTÄLJE</t>
        </is>
      </c>
      <c r="F751" t="inlineStr">
        <is>
          <t>Holmen skog AB</t>
        </is>
      </c>
      <c r="G751" t="n">
        <v>6.9</v>
      </c>
      <c r="H751" t="n">
        <v>0</v>
      </c>
      <c r="I751" t="n">
        <v>0</v>
      </c>
      <c r="J751" t="n">
        <v>0</v>
      </c>
      <c r="K751" t="n">
        <v>0</v>
      </c>
      <c r="L751" t="n">
        <v>0</v>
      </c>
      <c r="M751" t="n">
        <v>0</v>
      </c>
      <c r="N751" t="n">
        <v>0</v>
      </c>
      <c r="O751" t="n">
        <v>0</v>
      </c>
      <c r="P751" t="n">
        <v>0</v>
      </c>
      <c r="Q751" t="n">
        <v>0</v>
      </c>
      <c r="R751" s="2" t="inlineStr"/>
    </row>
    <row r="752" ht="15" customHeight="1">
      <c r="A752" t="inlineStr">
        <is>
          <t>A 22157-2023</t>
        </is>
      </c>
      <c r="B752" s="1" t="n">
        <v>45069</v>
      </c>
      <c r="C752" s="1" t="n">
        <v>46019</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c r="U752">
        <f>HYPERLINK("https://klasma.github.io/Logging_0188/knärot/A 22157-2023 karta knärot.png", "A 22157-2023")</f>
        <v/>
      </c>
      <c r="V752">
        <f>HYPERLINK("https://klasma.github.io/Logging_0188/klagomål/A 22157-2023 FSC-klagomål.docx", "A 22157-2023")</f>
        <v/>
      </c>
      <c r="W752">
        <f>HYPERLINK("https://klasma.github.io/Logging_0188/klagomålsmail/A 22157-2023 FSC-klagomål mail.docx", "A 22157-2023")</f>
        <v/>
      </c>
      <c r="X752">
        <f>HYPERLINK("https://klasma.github.io/Logging_0188/tillsyn/A 22157-2023 tillsynsbegäran.docx", "A 22157-2023")</f>
        <v/>
      </c>
      <c r="Y752">
        <f>HYPERLINK("https://klasma.github.io/Logging_0188/tillsynsmail/A 22157-2023 tillsynsbegäran mail.docx", "A 22157-2023")</f>
        <v/>
      </c>
    </row>
    <row r="753" ht="15" customHeight="1">
      <c r="A753" t="inlineStr">
        <is>
          <t>A 52776-2025</t>
        </is>
      </c>
      <c r="B753" s="1" t="n">
        <v>45957.41724537037</v>
      </c>
      <c r="C753" s="1" t="n">
        <v>46019</v>
      </c>
      <c r="D753" t="inlineStr">
        <is>
          <t>STOCKHOLMS LÄN</t>
        </is>
      </c>
      <c r="E753" t="inlineStr">
        <is>
          <t>NORRTÄLJE</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11929-2024</t>
        </is>
      </c>
      <c r="B754" s="1" t="n">
        <v>45376.64532407407</v>
      </c>
      <c r="C754" s="1" t="n">
        <v>46019</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52529-2025</t>
        </is>
      </c>
      <c r="B755" s="1" t="n">
        <v>45954.53229166667</v>
      </c>
      <c r="C755" s="1" t="n">
        <v>46019</v>
      </c>
      <c r="D755" t="inlineStr">
        <is>
          <t>STOCKHOLMS LÄN</t>
        </is>
      </c>
      <c r="E755" t="inlineStr">
        <is>
          <t>NORRTÄLJE</t>
        </is>
      </c>
      <c r="F755" t="inlineStr">
        <is>
          <t>Sveaskog</t>
        </is>
      </c>
      <c r="G755" t="n">
        <v>7.8</v>
      </c>
      <c r="H755" t="n">
        <v>0</v>
      </c>
      <c r="I755" t="n">
        <v>0</v>
      </c>
      <c r="J755" t="n">
        <v>0</v>
      </c>
      <c r="K755" t="n">
        <v>0</v>
      </c>
      <c r="L755" t="n">
        <v>0</v>
      </c>
      <c r="M755" t="n">
        <v>0</v>
      </c>
      <c r="N755" t="n">
        <v>0</v>
      </c>
      <c r="O755" t="n">
        <v>0</v>
      </c>
      <c r="P755" t="n">
        <v>0</v>
      </c>
      <c r="Q755" t="n">
        <v>0</v>
      </c>
      <c r="R755" s="2" t="inlineStr"/>
    </row>
    <row r="756" ht="15" customHeight="1">
      <c r="A756" t="inlineStr">
        <is>
          <t>A 52704-2025</t>
        </is>
      </c>
      <c r="B756" s="1" t="n">
        <v>45956.89097222222</v>
      </c>
      <c r="C756" s="1" t="n">
        <v>46019</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60928-2025</t>
        </is>
      </c>
      <c r="B757" s="1" t="n">
        <v>45999.633125</v>
      </c>
      <c r="C757" s="1" t="n">
        <v>46019</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52553-2025</t>
        </is>
      </c>
      <c r="B758" s="1" t="n">
        <v>45954.5624537037</v>
      </c>
      <c r="C758" s="1" t="n">
        <v>46019</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60948-2025</t>
        </is>
      </c>
      <c r="B759" s="1" t="n">
        <v>45999.650625</v>
      </c>
      <c r="C759" s="1" t="n">
        <v>46019</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8296-2023</t>
        </is>
      </c>
      <c r="B760" s="1" t="n">
        <v>44974</v>
      </c>
      <c r="C760" s="1" t="n">
        <v>46019</v>
      </c>
      <c r="D760" t="inlineStr">
        <is>
          <t>STOCKHOLMS LÄN</t>
        </is>
      </c>
      <c r="E760" t="inlineStr">
        <is>
          <t>NORRTÄLJE</t>
        </is>
      </c>
      <c r="G760" t="n">
        <v>3.8</v>
      </c>
      <c r="H760" t="n">
        <v>0</v>
      </c>
      <c r="I760" t="n">
        <v>0</v>
      </c>
      <c r="J760" t="n">
        <v>0</v>
      </c>
      <c r="K760" t="n">
        <v>0</v>
      </c>
      <c r="L760" t="n">
        <v>0</v>
      </c>
      <c r="M760" t="n">
        <v>0</v>
      </c>
      <c r="N760" t="n">
        <v>0</v>
      </c>
      <c r="O760" t="n">
        <v>0</v>
      </c>
      <c r="P760" t="n">
        <v>0</v>
      </c>
      <c r="Q760" t="n">
        <v>0</v>
      </c>
      <c r="R760" s="2" t="inlineStr"/>
    </row>
    <row r="761" ht="15" customHeight="1">
      <c r="A761" t="inlineStr">
        <is>
          <t>A 24575-2024</t>
        </is>
      </c>
      <c r="B761" s="1" t="n">
        <v>45460.45523148148</v>
      </c>
      <c r="C761" s="1" t="n">
        <v>46019</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64899-2023</t>
        </is>
      </c>
      <c r="B762" s="1" t="n">
        <v>45282</v>
      </c>
      <c r="C762" s="1" t="n">
        <v>46019</v>
      </c>
      <c r="D762" t="inlineStr">
        <is>
          <t>STOCKHOLMS LÄN</t>
        </is>
      </c>
      <c r="E762" t="inlineStr">
        <is>
          <t>NORRTÄLJE</t>
        </is>
      </c>
      <c r="G762" t="n">
        <v>6.3</v>
      </c>
      <c r="H762" t="n">
        <v>0</v>
      </c>
      <c r="I762" t="n">
        <v>0</v>
      </c>
      <c r="J762" t="n">
        <v>0</v>
      </c>
      <c r="K762" t="n">
        <v>0</v>
      </c>
      <c r="L762" t="n">
        <v>0</v>
      </c>
      <c r="M762" t="n">
        <v>0</v>
      </c>
      <c r="N762" t="n">
        <v>0</v>
      </c>
      <c r="O762" t="n">
        <v>0</v>
      </c>
      <c r="P762" t="n">
        <v>0</v>
      </c>
      <c r="Q762" t="n">
        <v>0</v>
      </c>
      <c r="R762" s="2" t="inlineStr"/>
    </row>
    <row r="763" ht="15" customHeight="1">
      <c r="A763" t="inlineStr">
        <is>
          <t>A 52593-2024</t>
        </is>
      </c>
      <c r="B763" s="1" t="n">
        <v>45609.70778935185</v>
      </c>
      <c r="C763" s="1" t="n">
        <v>46019</v>
      </c>
      <c r="D763" t="inlineStr">
        <is>
          <t>STOCKHOLMS LÄN</t>
        </is>
      </c>
      <c r="E763" t="inlineStr">
        <is>
          <t>NORRTÄLJE</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52617-2024</t>
        </is>
      </c>
      <c r="B764" s="1" t="n">
        <v>45609.85146990741</v>
      </c>
      <c r="C764" s="1" t="n">
        <v>46019</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61430-2025</t>
        </is>
      </c>
      <c r="B765" s="1" t="n">
        <v>46001.55583333333</v>
      </c>
      <c r="C765" s="1" t="n">
        <v>46019</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61289-2025</t>
        </is>
      </c>
      <c r="B766" s="1" t="n">
        <v>46000.73659722223</v>
      </c>
      <c r="C766" s="1" t="n">
        <v>46019</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22816-2021</t>
        </is>
      </c>
      <c r="B767" s="1" t="n">
        <v>44325</v>
      </c>
      <c r="C767" s="1" t="n">
        <v>46019</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46019</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46019</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61452-2025</t>
        </is>
      </c>
      <c r="B770" s="1" t="n">
        <v>46001.58043981482</v>
      </c>
      <c r="C770" s="1" t="n">
        <v>46019</v>
      </c>
      <c r="D770" t="inlineStr">
        <is>
          <t>STOCKHOLMS LÄN</t>
        </is>
      </c>
      <c r="E770" t="inlineStr">
        <is>
          <t>NORRTÄLJE</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11062-2024</t>
        </is>
      </c>
      <c r="B771" s="1" t="n">
        <v>45370</v>
      </c>
      <c r="C771" s="1" t="n">
        <v>46019</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33569-2023</t>
        </is>
      </c>
      <c r="B772" s="1" t="n">
        <v>45131.666875</v>
      </c>
      <c r="C772" s="1" t="n">
        <v>46019</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61419-2025</t>
        </is>
      </c>
      <c r="B773" s="1" t="n">
        <v>46001.54137731482</v>
      </c>
      <c r="C773" s="1" t="n">
        <v>46019</v>
      </c>
      <c r="D773" t="inlineStr">
        <is>
          <t>STOCKHOLMS LÄN</t>
        </is>
      </c>
      <c r="E773" t="inlineStr">
        <is>
          <t>NORRTÄLJE</t>
        </is>
      </c>
      <c r="G773" t="n">
        <v>5.2</v>
      </c>
      <c r="H773" t="n">
        <v>0</v>
      </c>
      <c r="I773" t="n">
        <v>0</v>
      </c>
      <c r="J773" t="n">
        <v>0</v>
      </c>
      <c r="K773" t="n">
        <v>0</v>
      </c>
      <c r="L773" t="n">
        <v>0</v>
      </c>
      <c r="M773" t="n">
        <v>0</v>
      </c>
      <c r="N773" t="n">
        <v>0</v>
      </c>
      <c r="O773" t="n">
        <v>0</v>
      </c>
      <c r="P773" t="n">
        <v>0</v>
      </c>
      <c r="Q773" t="n">
        <v>0</v>
      </c>
      <c r="R773" s="2" t="inlineStr"/>
    </row>
    <row r="774" ht="15" customHeight="1">
      <c r="A774" t="inlineStr">
        <is>
          <t>A 15905-2023</t>
        </is>
      </c>
      <c r="B774" s="1" t="n">
        <v>45022</v>
      </c>
      <c r="C774" s="1" t="n">
        <v>46019</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61099-2025</t>
        </is>
      </c>
      <c r="B775" s="1" t="n">
        <v>46000.44185185185</v>
      </c>
      <c r="C775" s="1" t="n">
        <v>46019</v>
      </c>
      <c r="D775" t="inlineStr">
        <is>
          <t>STOCKHOLMS LÄN</t>
        </is>
      </c>
      <c r="E775" t="inlineStr">
        <is>
          <t>NORRTÄLJE</t>
        </is>
      </c>
      <c r="G775" t="n">
        <v>9.5</v>
      </c>
      <c r="H775" t="n">
        <v>0</v>
      </c>
      <c r="I775" t="n">
        <v>0</v>
      </c>
      <c r="J775" t="n">
        <v>0</v>
      </c>
      <c r="K775" t="n">
        <v>0</v>
      </c>
      <c r="L775" t="n">
        <v>0</v>
      </c>
      <c r="M775" t="n">
        <v>0</v>
      </c>
      <c r="N775" t="n">
        <v>0</v>
      </c>
      <c r="O775" t="n">
        <v>0</v>
      </c>
      <c r="P775" t="n">
        <v>0</v>
      </c>
      <c r="Q775" t="n">
        <v>0</v>
      </c>
      <c r="R775" s="2" t="inlineStr"/>
    </row>
    <row r="776" ht="15" customHeight="1">
      <c r="A776" t="inlineStr">
        <is>
          <t>A 15956-2023</t>
        </is>
      </c>
      <c r="B776" s="1" t="n">
        <v>45022.61003472222</v>
      </c>
      <c r="C776" s="1" t="n">
        <v>46019</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61160-2025</t>
        </is>
      </c>
      <c r="B777" s="1" t="n">
        <v>46000.55262731481</v>
      </c>
      <c r="C777" s="1" t="n">
        <v>46019</v>
      </c>
      <c r="D777" t="inlineStr">
        <is>
          <t>STOCKHOLMS LÄN</t>
        </is>
      </c>
      <c r="E777" t="inlineStr">
        <is>
          <t>NORRTÄLJE</t>
        </is>
      </c>
      <c r="G777" t="n">
        <v>5.3</v>
      </c>
      <c r="H777" t="n">
        <v>0</v>
      </c>
      <c r="I777" t="n">
        <v>0</v>
      </c>
      <c r="J777" t="n">
        <v>0</v>
      </c>
      <c r="K777" t="n">
        <v>0</v>
      </c>
      <c r="L777" t="n">
        <v>0</v>
      </c>
      <c r="M777" t="n">
        <v>0</v>
      </c>
      <c r="N777" t="n">
        <v>0</v>
      </c>
      <c r="O777" t="n">
        <v>0</v>
      </c>
      <c r="P777" t="n">
        <v>0</v>
      </c>
      <c r="Q777" t="n">
        <v>0</v>
      </c>
      <c r="R777" s="2" t="inlineStr"/>
    </row>
    <row r="778" ht="15" customHeight="1">
      <c r="A778" t="inlineStr">
        <is>
          <t>A 47626-2022</t>
        </is>
      </c>
      <c r="B778" s="1" t="n">
        <v>44854</v>
      </c>
      <c r="C778" s="1" t="n">
        <v>46019</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62206-2022</t>
        </is>
      </c>
      <c r="B779" s="1" t="n">
        <v>44922</v>
      </c>
      <c r="C779" s="1" t="n">
        <v>46019</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53299-2025</t>
        </is>
      </c>
      <c r="B780" s="1" t="n">
        <v>45959.31901620371</v>
      </c>
      <c r="C780" s="1" t="n">
        <v>46019</v>
      </c>
      <c r="D780" t="inlineStr">
        <is>
          <t>STOCKHOLMS LÄN</t>
        </is>
      </c>
      <c r="E780" t="inlineStr">
        <is>
          <t>NORRTÄLJE</t>
        </is>
      </c>
      <c r="G780" t="n">
        <v>4.8</v>
      </c>
      <c r="H780" t="n">
        <v>0</v>
      </c>
      <c r="I780" t="n">
        <v>0</v>
      </c>
      <c r="J780" t="n">
        <v>0</v>
      </c>
      <c r="K780" t="n">
        <v>0</v>
      </c>
      <c r="L780" t="n">
        <v>0</v>
      </c>
      <c r="M780" t="n">
        <v>0</v>
      </c>
      <c r="N780" t="n">
        <v>0</v>
      </c>
      <c r="O780" t="n">
        <v>0</v>
      </c>
      <c r="P780" t="n">
        <v>0</v>
      </c>
      <c r="Q780" t="n">
        <v>0</v>
      </c>
      <c r="R780" s="2" t="inlineStr"/>
    </row>
    <row r="781" ht="15" customHeight="1">
      <c r="A781" t="inlineStr">
        <is>
          <t>A 53087-2025</t>
        </is>
      </c>
      <c r="B781" s="1" t="n">
        <v>45958.41065972222</v>
      </c>
      <c r="C781" s="1" t="n">
        <v>46019</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20618-2022</t>
        </is>
      </c>
      <c r="B782" s="1" t="n">
        <v>44700.50659722222</v>
      </c>
      <c r="C782" s="1" t="n">
        <v>46019</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53115-2025</t>
        </is>
      </c>
      <c r="B783" s="1" t="n">
        <v>45958.44614583333</v>
      </c>
      <c r="C783" s="1" t="n">
        <v>46019</v>
      </c>
      <c r="D783" t="inlineStr">
        <is>
          <t>STOCKHOLMS LÄN</t>
        </is>
      </c>
      <c r="E783" t="inlineStr">
        <is>
          <t>NORRTÄLJE</t>
        </is>
      </c>
      <c r="F783" t="inlineStr">
        <is>
          <t>Kyrkan</t>
        </is>
      </c>
      <c r="G783" t="n">
        <v>2.5</v>
      </c>
      <c r="H783" t="n">
        <v>0</v>
      </c>
      <c r="I783" t="n">
        <v>0</v>
      </c>
      <c r="J783" t="n">
        <v>0</v>
      </c>
      <c r="K783" t="n">
        <v>0</v>
      </c>
      <c r="L783" t="n">
        <v>0</v>
      </c>
      <c r="M783" t="n">
        <v>0</v>
      </c>
      <c r="N783" t="n">
        <v>0</v>
      </c>
      <c r="O783" t="n">
        <v>0</v>
      </c>
      <c r="P783" t="n">
        <v>0</v>
      </c>
      <c r="Q783" t="n">
        <v>0</v>
      </c>
      <c r="R783" s="2" t="inlineStr"/>
    </row>
    <row r="784" ht="15" customHeight="1">
      <c r="A784" t="inlineStr">
        <is>
          <t>A 40192-2023</t>
        </is>
      </c>
      <c r="B784" s="1" t="n">
        <v>45169</v>
      </c>
      <c r="C784" s="1" t="n">
        <v>46019</v>
      </c>
      <c r="D784" t="inlineStr">
        <is>
          <t>STOCKHOLMS LÄN</t>
        </is>
      </c>
      <c r="E784" t="inlineStr">
        <is>
          <t>NORRTÄLJE</t>
        </is>
      </c>
      <c r="F784" t="inlineStr">
        <is>
          <t>Kyrkan</t>
        </is>
      </c>
      <c r="G784" t="n">
        <v>0.7</v>
      </c>
      <c r="H784" t="n">
        <v>0</v>
      </c>
      <c r="I784" t="n">
        <v>0</v>
      </c>
      <c r="J784" t="n">
        <v>0</v>
      </c>
      <c r="K784" t="n">
        <v>0</v>
      </c>
      <c r="L784" t="n">
        <v>0</v>
      </c>
      <c r="M784" t="n">
        <v>0</v>
      </c>
      <c r="N784" t="n">
        <v>0</v>
      </c>
      <c r="O784" t="n">
        <v>0</v>
      </c>
      <c r="P784" t="n">
        <v>0</v>
      </c>
      <c r="Q784" t="n">
        <v>0</v>
      </c>
      <c r="R784" s="2" t="inlineStr"/>
    </row>
    <row r="785" ht="15" customHeight="1">
      <c r="A785" t="inlineStr">
        <is>
          <t>A 53629-2025</t>
        </is>
      </c>
      <c r="B785" s="1" t="n">
        <v>45960.49570601852</v>
      </c>
      <c r="C785" s="1" t="n">
        <v>46019</v>
      </c>
      <c r="D785" t="inlineStr">
        <is>
          <t>STOCKHOLMS LÄN</t>
        </is>
      </c>
      <c r="E785" t="inlineStr">
        <is>
          <t>NORRTÄLJE</t>
        </is>
      </c>
      <c r="F785" t="inlineStr">
        <is>
          <t>Naturvårdsverket</t>
        </is>
      </c>
      <c r="G785" t="n">
        <v>7.9</v>
      </c>
      <c r="H785" t="n">
        <v>0</v>
      </c>
      <c r="I785" t="n">
        <v>0</v>
      </c>
      <c r="J785" t="n">
        <v>0</v>
      </c>
      <c r="K785" t="n">
        <v>0</v>
      </c>
      <c r="L785" t="n">
        <v>0</v>
      </c>
      <c r="M785" t="n">
        <v>0</v>
      </c>
      <c r="N785" t="n">
        <v>0</v>
      </c>
      <c r="O785" t="n">
        <v>0</v>
      </c>
      <c r="P785" t="n">
        <v>0</v>
      </c>
      <c r="Q785" t="n">
        <v>0</v>
      </c>
      <c r="R785" s="2" t="inlineStr"/>
    </row>
    <row r="786" ht="15" customHeight="1">
      <c r="A786" t="inlineStr">
        <is>
          <t>A 11900-2022</t>
        </is>
      </c>
      <c r="B786" s="1" t="n">
        <v>44635</v>
      </c>
      <c r="C786" s="1" t="n">
        <v>46019</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10973-2025</t>
        </is>
      </c>
      <c r="B787" s="1" t="n">
        <v>45723</v>
      </c>
      <c r="C787" s="1" t="n">
        <v>46019</v>
      </c>
      <c r="D787" t="inlineStr">
        <is>
          <t>STOCKHOLMS LÄN</t>
        </is>
      </c>
      <c r="E787" t="inlineStr">
        <is>
          <t>NORRTÄLJE</t>
        </is>
      </c>
      <c r="F787" t="inlineStr">
        <is>
          <t>Övriga Aktiebolag</t>
        </is>
      </c>
      <c r="G787" t="n">
        <v>2.7</v>
      </c>
      <c r="H787" t="n">
        <v>0</v>
      </c>
      <c r="I787" t="n">
        <v>0</v>
      </c>
      <c r="J787" t="n">
        <v>0</v>
      </c>
      <c r="K787" t="n">
        <v>0</v>
      </c>
      <c r="L787" t="n">
        <v>0</v>
      </c>
      <c r="M787" t="n">
        <v>0</v>
      </c>
      <c r="N787" t="n">
        <v>0</v>
      </c>
      <c r="O787" t="n">
        <v>0</v>
      </c>
      <c r="P787" t="n">
        <v>0</v>
      </c>
      <c r="Q787" t="n">
        <v>0</v>
      </c>
      <c r="R787" s="2" t="inlineStr"/>
    </row>
    <row r="788" ht="15" customHeight="1">
      <c r="A788" t="inlineStr">
        <is>
          <t>A 61769-2025</t>
        </is>
      </c>
      <c r="B788" s="1" t="n">
        <v>46002.64556712963</v>
      </c>
      <c r="C788" s="1" t="n">
        <v>46019</v>
      </c>
      <c r="D788" t="inlineStr">
        <is>
          <t>STOCKHOLMS LÄN</t>
        </is>
      </c>
      <c r="E788" t="inlineStr">
        <is>
          <t>NORRTÄLJE</t>
        </is>
      </c>
      <c r="G788" t="n">
        <v>2.9</v>
      </c>
      <c r="H788" t="n">
        <v>0</v>
      </c>
      <c r="I788" t="n">
        <v>0</v>
      </c>
      <c r="J788" t="n">
        <v>0</v>
      </c>
      <c r="K788" t="n">
        <v>0</v>
      </c>
      <c r="L788" t="n">
        <v>0</v>
      </c>
      <c r="M788" t="n">
        <v>0</v>
      </c>
      <c r="N788" t="n">
        <v>0</v>
      </c>
      <c r="O788" t="n">
        <v>0</v>
      </c>
      <c r="P788" t="n">
        <v>0</v>
      </c>
      <c r="Q788" t="n">
        <v>0</v>
      </c>
      <c r="R788" s="2" t="inlineStr"/>
    </row>
    <row r="789" ht="15" customHeight="1">
      <c r="A789" t="inlineStr">
        <is>
          <t>A 27885-2022</t>
        </is>
      </c>
      <c r="B789" s="1" t="n">
        <v>44743.67418981482</v>
      </c>
      <c r="C789" s="1" t="n">
        <v>46019</v>
      </c>
      <c r="D789" t="inlineStr">
        <is>
          <t>STOCKHOLMS LÄN</t>
        </is>
      </c>
      <c r="E789" t="inlineStr">
        <is>
          <t>NORRTÄLJE</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53747-2025</t>
        </is>
      </c>
      <c r="B790" s="1" t="n">
        <v>45960.65415509259</v>
      </c>
      <c r="C790" s="1" t="n">
        <v>46019</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60224-2023</t>
        </is>
      </c>
      <c r="B791" s="1" t="n">
        <v>45257</v>
      </c>
      <c r="C791" s="1" t="n">
        <v>46019</v>
      </c>
      <c r="D791" t="inlineStr">
        <is>
          <t>STOCKHOLMS LÄN</t>
        </is>
      </c>
      <c r="E791" t="inlineStr">
        <is>
          <t>NORRTÄLJE</t>
        </is>
      </c>
      <c r="G791" t="n">
        <v>8.1</v>
      </c>
      <c r="H791" t="n">
        <v>0</v>
      </c>
      <c r="I791" t="n">
        <v>0</v>
      </c>
      <c r="J791" t="n">
        <v>0</v>
      </c>
      <c r="K791" t="n">
        <v>0</v>
      </c>
      <c r="L791" t="n">
        <v>0</v>
      </c>
      <c r="M791" t="n">
        <v>0</v>
      </c>
      <c r="N791" t="n">
        <v>0</v>
      </c>
      <c r="O791" t="n">
        <v>0</v>
      </c>
      <c r="P791" t="n">
        <v>0</v>
      </c>
      <c r="Q791" t="n">
        <v>0</v>
      </c>
      <c r="R791" s="2" t="inlineStr"/>
    </row>
    <row r="792" ht="15" customHeight="1">
      <c r="A792" t="inlineStr">
        <is>
          <t>A 61764-2025</t>
        </is>
      </c>
      <c r="B792" s="1" t="n">
        <v>46002.62763888889</v>
      </c>
      <c r="C792" s="1" t="n">
        <v>46019</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5158-2024</t>
        </is>
      </c>
      <c r="B793" s="1" t="n">
        <v>45330.50098379629</v>
      </c>
      <c r="C793" s="1" t="n">
        <v>46019</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9130-2025</t>
        </is>
      </c>
      <c r="B794" s="1" t="n">
        <v>45713.92623842593</v>
      </c>
      <c r="C794" s="1" t="n">
        <v>46019</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17551-2025</t>
        </is>
      </c>
      <c r="B795" s="1" t="n">
        <v>45757.61421296297</v>
      </c>
      <c r="C795" s="1" t="n">
        <v>46019</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55010-2024</t>
        </is>
      </c>
      <c r="B796" s="1" t="n">
        <v>45621.34425925926</v>
      </c>
      <c r="C796" s="1" t="n">
        <v>46019</v>
      </c>
      <c r="D796" t="inlineStr">
        <is>
          <t>STOCKHOLMS LÄN</t>
        </is>
      </c>
      <c r="E796" t="inlineStr">
        <is>
          <t>NORRTÄLJE</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31105-2022</t>
        </is>
      </c>
      <c r="B797" s="1" t="n">
        <v>44769.66039351852</v>
      </c>
      <c r="C797" s="1" t="n">
        <v>46019</v>
      </c>
      <c r="D797" t="inlineStr">
        <is>
          <t>STOCKHOLMS LÄN</t>
        </is>
      </c>
      <c r="E797" t="inlineStr">
        <is>
          <t>NORRTÄLJE</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53499-2025</t>
        </is>
      </c>
      <c r="B798" s="1" t="n">
        <v>45960</v>
      </c>
      <c r="C798" s="1" t="n">
        <v>46019</v>
      </c>
      <c r="D798" t="inlineStr">
        <is>
          <t>STOCKHOLMS LÄN</t>
        </is>
      </c>
      <c r="E798" t="inlineStr">
        <is>
          <t>NORRTÄLJE</t>
        </is>
      </c>
      <c r="G798" t="n">
        <v>23.8</v>
      </c>
      <c r="H798" t="n">
        <v>0</v>
      </c>
      <c r="I798" t="n">
        <v>0</v>
      </c>
      <c r="J798" t="n">
        <v>0</v>
      </c>
      <c r="K798" t="n">
        <v>0</v>
      </c>
      <c r="L798" t="n">
        <v>0</v>
      </c>
      <c r="M798" t="n">
        <v>0</v>
      </c>
      <c r="N798" t="n">
        <v>0</v>
      </c>
      <c r="O798" t="n">
        <v>0</v>
      </c>
      <c r="P798" t="n">
        <v>0</v>
      </c>
      <c r="Q798" t="n">
        <v>0</v>
      </c>
      <c r="R798" s="2" t="inlineStr"/>
    </row>
    <row r="799" ht="15" customHeight="1">
      <c r="A799" t="inlineStr">
        <is>
          <t>A 30620-2022</t>
        </is>
      </c>
      <c r="B799" s="1" t="n">
        <v>44763.40914351852</v>
      </c>
      <c r="C799" s="1" t="n">
        <v>46019</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50113-2024</t>
        </is>
      </c>
      <c r="B800" s="1" t="n">
        <v>45600.411875</v>
      </c>
      <c r="C800" s="1" t="n">
        <v>46019</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28365-2022</t>
        </is>
      </c>
      <c r="B801" s="1" t="n">
        <v>44747</v>
      </c>
      <c r="C801" s="1" t="n">
        <v>46019</v>
      </c>
      <c r="D801" t="inlineStr">
        <is>
          <t>STOCKHOLMS LÄN</t>
        </is>
      </c>
      <c r="E801" t="inlineStr">
        <is>
          <t>NORRTÄLJE</t>
        </is>
      </c>
      <c r="G801" t="n">
        <v>5.1</v>
      </c>
      <c r="H801" t="n">
        <v>0</v>
      </c>
      <c r="I801" t="n">
        <v>0</v>
      </c>
      <c r="J801" t="n">
        <v>0</v>
      </c>
      <c r="K801" t="n">
        <v>0</v>
      </c>
      <c r="L801" t="n">
        <v>0</v>
      </c>
      <c r="M801" t="n">
        <v>0</v>
      </c>
      <c r="N801" t="n">
        <v>0</v>
      </c>
      <c r="O801" t="n">
        <v>0</v>
      </c>
      <c r="P801" t="n">
        <v>0</v>
      </c>
      <c r="Q801" t="n">
        <v>0</v>
      </c>
      <c r="R801" s="2" t="inlineStr"/>
    </row>
    <row r="802" ht="15" customHeight="1">
      <c r="A802" t="inlineStr">
        <is>
          <t>A 42955-2022</t>
        </is>
      </c>
      <c r="B802" s="1" t="n">
        <v>44833.40876157407</v>
      </c>
      <c r="C802" s="1" t="n">
        <v>46019</v>
      </c>
      <c r="D802" t="inlineStr">
        <is>
          <t>STOCKHOLMS LÄN</t>
        </is>
      </c>
      <c r="E802" t="inlineStr">
        <is>
          <t>NORRTÄLJE</t>
        </is>
      </c>
      <c r="G802" t="n">
        <v>13.1</v>
      </c>
      <c r="H802" t="n">
        <v>0</v>
      </c>
      <c r="I802" t="n">
        <v>0</v>
      </c>
      <c r="J802" t="n">
        <v>0</v>
      </c>
      <c r="K802" t="n">
        <v>0</v>
      </c>
      <c r="L802" t="n">
        <v>0</v>
      </c>
      <c r="M802" t="n">
        <v>0</v>
      </c>
      <c r="N802" t="n">
        <v>0</v>
      </c>
      <c r="O802" t="n">
        <v>0</v>
      </c>
      <c r="P802" t="n">
        <v>0</v>
      </c>
      <c r="Q802" t="n">
        <v>0</v>
      </c>
      <c r="R802" s="2" t="inlineStr"/>
    </row>
    <row r="803" ht="15" customHeight="1">
      <c r="A803" t="inlineStr">
        <is>
          <t>A 1283-2025</t>
        </is>
      </c>
      <c r="B803" s="1" t="n">
        <v>45667.49878472222</v>
      </c>
      <c r="C803" s="1" t="n">
        <v>46019</v>
      </c>
      <c r="D803" t="inlineStr">
        <is>
          <t>STOCKHOLMS LÄN</t>
        </is>
      </c>
      <c r="E803" t="inlineStr">
        <is>
          <t>NORRTÄLJE</t>
        </is>
      </c>
      <c r="G803" t="n">
        <v>1</v>
      </c>
      <c r="H803" t="n">
        <v>0</v>
      </c>
      <c r="I803" t="n">
        <v>0</v>
      </c>
      <c r="J803" t="n">
        <v>0</v>
      </c>
      <c r="K803" t="n">
        <v>0</v>
      </c>
      <c r="L803" t="n">
        <v>0</v>
      </c>
      <c r="M803" t="n">
        <v>0</v>
      </c>
      <c r="N803" t="n">
        <v>0</v>
      </c>
      <c r="O803" t="n">
        <v>0</v>
      </c>
      <c r="P803" t="n">
        <v>0</v>
      </c>
      <c r="Q803" t="n">
        <v>0</v>
      </c>
      <c r="R803" s="2" t="inlineStr"/>
    </row>
    <row r="804" ht="15" customHeight="1">
      <c r="A804" t="inlineStr">
        <is>
          <t>A 9703-2021</t>
        </is>
      </c>
      <c r="B804" s="1" t="n">
        <v>44252</v>
      </c>
      <c r="C804" s="1" t="n">
        <v>46019</v>
      </c>
      <c r="D804" t="inlineStr">
        <is>
          <t>STOCKHOLMS LÄN</t>
        </is>
      </c>
      <c r="E804" t="inlineStr">
        <is>
          <t>NORRTÄLJE</t>
        </is>
      </c>
      <c r="G804" t="n">
        <v>3.4</v>
      </c>
      <c r="H804" t="n">
        <v>0</v>
      </c>
      <c r="I804" t="n">
        <v>0</v>
      </c>
      <c r="J804" t="n">
        <v>0</v>
      </c>
      <c r="K804" t="n">
        <v>0</v>
      </c>
      <c r="L804" t="n">
        <v>0</v>
      </c>
      <c r="M804" t="n">
        <v>0</v>
      </c>
      <c r="N804" t="n">
        <v>0</v>
      </c>
      <c r="O804" t="n">
        <v>0</v>
      </c>
      <c r="P804" t="n">
        <v>0</v>
      </c>
      <c r="Q804" t="n">
        <v>0</v>
      </c>
      <c r="R804" s="2" t="inlineStr"/>
    </row>
    <row r="805" ht="15" customHeight="1">
      <c r="A805" t="inlineStr">
        <is>
          <t>A 62708-2025</t>
        </is>
      </c>
      <c r="B805" s="1" t="n">
        <v>46008.50986111111</v>
      </c>
      <c r="C805" s="1" t="n">
        <v>46019</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13767-2025</t>
        </is>
      </c>
      <c r="B806" s="1" t="n">
        <v>45737.43347222222</v>
      </c>
      <c r="C806" s="1" t="n">
        <v>46019</v>
      </c>
      <c r="D806" t="inlineStr">
        <is>
          <t>STOCKHOLMS LÄN</t>
        </is>
      </c>
      <c r="E806" t="inlineStr">
        <is>
          <t>NORRTÄLJE</t>
        </is>
      </c>
      <c r="F806" t="inlineStr">
        <is>
          <t>Holmen skog AB</t>
        </is>
      </c>
      <c r="G806" t="n">
        <v>1.3</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46019</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53362-2023</t>
        </is>
      </c>
      <c r="B808" s="1" t="n">
        <v>45223</v>
      </c>
      <c r="C808" s="1" t="n">
        <v>46019</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15422-2024</t>
        </is>
      </c>
      <c r="B809" s="1" t="n">
        <v>45401.3653125</v>
      </c>
      <c r="C809" s="1" t="n">
        <v>46019</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62689-2025</t>
        </is>
      </c>
      <c r="B810" s="1" t="n">
        <v>46008.47171296296</v>
      </c>
      <c r="C810" s="1" t="n">
        <v>46019</v>
      </c>
      <c r="D810" t="inlineStr">
        <is>
          <t>STOCKHOLMS LÄN</t>
        </is>
      </c>
      <c r="E810" t="inlineStr">
        <is>
          <t>NORRTÄLJE</t>
        </is>
      </c>
      <c r="F810" t="inlineStr">
        <is>
          <t>Kyrkan</t>
        </is>
      </c>
      <c r="G810" t="n">
        <v>0.7</v>
      </c>
      <c r="H810" t="n">
        <v>0</v>
      </c>
      <c r="I810" t="n">
        <v>0</v>
      </c>
      <c r="J810" t="n">
        <v>0</v>
      </c>
      <c r="K810" t="n">
        <v>0</v>
      </c>
      <c r="L810" t="n">
        <v>0</v>
      </c>
      <c r="M810" t="n">
        <v>0</v>
      </c>
      <c r="N810" t="n">
        <v>0</v>
      </c>
      <c r="O810" t="n">
        <v>0</v>
      </c>
      <c r="P810" t="n">
        <v>0</v>
      </c>
      <c r="Q810" t="n">
        <v>0</v>
      </c>
      <c r="R810" s="2" t="inlineStr"/>
    </row>
    <row r="811" ht="15" customHeight="1">
      <c r="A811" t="inlineStr">
        <is>
          <t>A 30508-2023</t>
        </is>
      </c>
      <c r="B811" s="1" t="n">
        <v>45111</v>
      </c>
      <c r="C811" s="1" t="n">
        <v>46019</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62681-2025</t>
        </is>
      </c>
      <c r="B812" s="1" t="n">
        <v>46008.45534722223</v>
      </c>
      <c r="C812" s="1" t="n">
        <v>46019</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16008-2025</t>
        </is>
      </c>
      <c r="B813" s="1" t="n">
        <v>45749</v>
      </c>
      <c r="C813" s="1" t="n">
        <v>46019</v>
      </c>
      <c r="D813" t="inlineStr">
        <is>
          <t>STOCKHOLMS LÄN</t>
        </is>
      </c>
      <c r="E813" t="inlineStr">
        <is>
          <t>NORRTÄLJE</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21158-2022</t>
        </is>
      </c>
      <c r="B814" s="1" t="n">
        <v>44704</v>
      </c>
      <c r="C814" s="1" t="n">
        <v>46019</v>
      </c>
      <c r="D814" t="inlineStr">
        <is>
          <t>STOCKHOLMS LÄN</t>
        </is>
      </c>
      <c r="E814" t="inlineStr">
        <is>
          <t>NORRTÄLJE</t>
        </is>
      </c>
      <c r="G814" t="n">
        <v>17.8</v>
      </c>
      <c r="H814" t="n">
        <v>0</v>
      </c>
      <c r="I814" t="n">
        <v>0</v>
      </c>
      <c r="J814" t="n">
        <v>0</v>
      </c>
      <c r="K814" t="n">
        <v>0</v>
      </c>
      <c r="L814" t="n">
        <v>0</v>
      </c>
      <c r="M814" t="n">
        <v>0</v>
      </c>
      <c r="N814" t="n">
        <v>0</v>
      </c>
      <c r="O814" t="n">
        <v>0</v>
      </c>
      <c r="P814" t="n">
        <v>0</v>
      </c>
      <c r="Q814" t="n">
        <v>0</v>
      </c>
      <c r="R814" s="2" t="inlineStr"/>
    </row>
    <row r="815" ht="15" customHeight="1">
      <c r="A815" t="inlineStr">
        <is>
          <t>A 62922-2025</t>
        </is>
      </c>
      <c r="B815" s="1" t="n">
        <v>46009.38064814815</v>
      </c>
      <c r="C815" s="1" t="n">
        <v>46019</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32101-2022</t>
        </is>
      </c>
      <c r="B816" s="1" t="n">
        <v>44778.69210648148</v>
      </c>
      <c r="C816" s="1" t="n">
        <v>46019</v>
      </c>
      <c r="D816" t="inlineStr">
        <is>
          <t>STOCKHOLMS LÄN</t>
        </is>
      </c>
      <c r="E816" t="inlineStr">
        <is>
          <t>NORRTÄLJE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23150-2024</t>
        </is>
      </c>
      <c r="B817" s="1" t="n">
        <v>45450.64643518518</v>
      </c>
      <c r="C817" s="1" t="n">
        <v>46019</v>
      </c>
      <c r="D817" t="inlineStr">
        <is>
          <t>STOCKHOLMS LÄN</t>
        </is>
      </c>
      <c r="E817" t="inlineStr">
        <is>
          <t>NORRTÄLJE</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24933-2023</t>
        </is>
      </c>
      <c r="B818" s="1" t="n">
        <v>45085.5309375</v>
      </c>
      <c r="C818" s="1" t="n">
        <v>46019</v>
      </c>
      <c r="D818" t="inlineStr">
        <is>
          <t>STOCKHOLMS LÄN</t>
        </is>
      </c>
      <c r="E818" t="inlineStr">
        <is>
          <t>NORRTÄLJE</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54907-2025</t>
        </is>
      </c>
      <c r="B819" s="1" t="n">
        <v>45967.37137731481</v>
      </c>
      <c r="C819" s="1" t="n">
        <v>46019</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56631-2024</t>
        </is>
      </c>
      <c r="B820" s="1" t="n">
        <v>45625</v>
      </c>
      <c r="C820" s="1" t="n">
        <v>46019</v>
      </c>
      <c r="D820" t="inlineStr">
        <is>
          <t>STOCKHOLMS LÄN</t>
        </is>
      </c>
      <c r="E820" t="inlineStr">
        <is>
          <t>NORRTÄLJE</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652-2025</t>
        </is>
      </c>
      <c r="B821" s="1" t="n">
        <v>45664</v>
      </c>
      <c r="C821" s="1" t="n">
        <v>46019</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55503-2025</t>
        </is>
      </c>
      <c r="B822" s="1" t="n">
        <v>45971</v>
      </c>
      <c r="C822" s="1" t="n">
        <v>46019</v>
      </c>
      <c r="D822" t="inlineStr">
        <is>
          <t>STOCKHOLMS LÄN</t>
        </is>
      </c>
      <c r="E822" t="inlineStr">
        <is>
          <t>NORRTÄLJE</t>
        </is>
      </c>
      <c r="G822" t="n">
        <v>3</v>
      </c>
      <c r="H822" t="n">
        <v>0</v>
      </c>
      <c r="I822" t="n">
        <v>0</v>
      </c>
      <c r="J822" t="n">
        <v>0</v>
      </c>
      <c r="K822" t="n">
        <v>0</v>
      </c>
      <c r="L822" t="n">
        <v>0</v>
      </c>
      <c r="M822" t="n">
        <v>0</v>
      </c>
      <c r="N822" t="n">
        <v>0</v>
      </c>
      <c r="O822" t="n">
        <v>0</v>
      </c>
      <c r="P822" t="n">
        <v>0</v>
      </c>
      <c r="Q822" t="n">
        <v>0</v>
      </c>
      <c r="R822" s="2" t="inlineStr"/>
    </row>
    <row r="823" ht="15" customHeight="1">
      <c r="A823" t="inlineStr">
        <is>
          <t>A 5389-2025</t>
        </is>
      </c>
      <c r="B823" s="1" t="n">
        <v>45692</v>
      </c>
      <c r="C823" s="1" t="n">
        <v>46019</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13051-2021</t>
        </is>
      </c>
      <c r="B824" s="1" t="n">
        <v>44272</v>
      </c>
      <c r="C824" s="1" t="n">
        <v>46019</v>
      </c>
      <c r="D824" t="inlineStr">
        <is>
          <t>STOCKHOLMS LÄN</t>
        </is>
      </c>
      <c r="E824" t="inlineStr">
        <is>
          <t>NORRTÄLJE</t>
        </is>
      </c>
      <c r="G824" t="n">
        <v>9.1</v>
      </c>
      <c r="H824" t="n">
        <v>0</v>
      </c>
      <c r="I824" t="n">
        <v>0</v>
      </c>
      <c r="J824" t="n">
        <v>0</v>
      </c>
      <c r="K824" t="n">
        <v>0</v>
      </c>
      <c r="L824" t="n">
        <v>0</v>
      </c>
      <c r="M824" t="n">
        <v>0</v>
      </c>
      <c r="N824" t="n">
        <v>0</v>
      </c>
      <c r="O824" t="n">
        <v>0</v>
      </c>
      <c r="P824" t="n">
        <v>0</v>
      </c>
      <c r="Q824" t="n">
        <v>0</v>
      </c>
      <c r="R824" s="2" t="inlineStr"/>
    </row>
    <row r="825" ht="15" customHeight="1">
      <c r="A825" t="inlineStr">
        <is>
          <t>A 55599-2025</t>
        </is>
      </c>
      <c r="B825" s="1" t="n">
        <v>45971.76810185185</v>
      </c>
      <c r="C825" s="1" t="n">
        <v>46019</v>
      </c>
      <c r="D825" t="inlineStr">
        <is>
          <t>STOCKHOLMS LÄN</t>
        </is>
      </c>
      <c r="E825" t="inlineStr">
        <is>
          <t>NORRTÄLJE</t>
        </is>
      </c>
      <c r="F825" t="inlineStr">
        <is>
          <t>Holmen skog AB</t>
        </is>
      </c>
      <c r="G825" t="n">
        <v>6.4</v>
      </c>
      <c r="H825" t="n">
        <v>0</v>
      </c>
      <c r="I825" t="n">
        <v>0</v>
      </c>
      <c r="J825" t="n">
        <v>0</v>
      </c>
      <c r="K825" t="n">
        <v>0</v>
      </c>
      <c r="L825" t="n">
        <v>0</v>
      </c>
      <c r="M825" t="n">
        <v>0</v>
      </c>
      <c r="N825" t="n">
        <v>0</v>
      </c>
      <c r="O825" t="n">
        <v>0</v>
      </c>
      <c r="P825" t="n">
        <v>0</v>
      </c>
      <c r="Q825" t="n">
        <v>0</v>
      </c>
      <c r="R825" s="2" t="inlineStr"/>
    </row>
    <row r="826" ht="15" customHeight="1">
      <c r="A826" t="inlineStr">
        <is>
          <t>A 11499-2023</t>
        </is>
      </c>
      <c r="B826" s="1" t="n">
        <v>44993.66707175926</v>
      </c>
      <c r="C826" s="1" t="n">
        <v>46019</v>
      </c>
      <c r="D826" t="inlineStr">
        <is>
          <t>STOCKHOLMS LÄN</t>
        </is>
      </c>
      <c r="E826" t="inlineStr">
        <is>
          <t>NORRTÄLJE</t>
        </is>
      </c>
      <c r="F826" t="inlineStr">
        <is>
          <t>Holmen skog AB</t>
        </is>
      </c>
      <c r="G826" t="n">
        <v>2.8</v>
      </c>
      <c r="H826" t="n">
        <v>0</v>
      </c>
      <c r="I826" t="n">
        <v>0</v>
      </c>
      <c r="J826" t="n">
        <v>0</v>
      </c>
      <c r="K826" t="n">
        <v>0</v>
      </c>
      <c r="L826" t="n">
        <v>0</v>
      </c>
      <c r="M826" t="n">
        <v>0</v>
      </c>
      <c r="N826" t="n">
        <v>0</v>
      </c>
      <c r="O826" t="n">
        <v>0</v>
      </c>
      <c r="P826" t="n">
        <v>0</v>
      </c>
      <c r="Q826" t="n">
        <v>0</v>
      </c>
      <c r="R826" s="2" t="inlineStr"/>
    </row>
    <row r="827" ht="15" customHeight="1">
      <c r="A827" t="inlineStr">
        <is>
          <t>A 56114-2025</t>
        </is>
      </c>
      <c r="B827" s="1" t="n">
        <v>45973.74474537037</v>
      </c>
      <c r="C827" s="1" t="n">
        <v>46019</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576-2023</t>
        </is>
      </c>
      <c r="B828" s="1" t="n">
        <v>44925</v>
      </c>
      <c r="C828" s="1" t="n">
        <v>46019</v>
      </c>
      <c r="D828" t="inlineStr">
        <is>
          <t>STOCKHOLMS LÄN</t>
        </is>
      </c>
      <c r="E828" t="inlineStr">
        <is>
          <t>NORRTÄLJE</t>
        </is>
      </c>
      <c r="G828" t="n">
        <v>7.2</v>
      </c>
      <c r="H828" t="n">
        <v>0</v>
      </c>
      <c r="I828" t="n">
        <v>0</v>
      </c>
      <c r="J828" t="n">
        <v>0</v>
      </c>
      <c r="K828" t="n">
        <v>0</v>
      </c>
      <c r="L828" t="n">
        <v>0</v>
      </c>
      <c r="M828" t="n">
        <v>0</v>
      </c>
      <c r="N828" t="n">
        <v>0</v>
      </c>
      <c r="O828" t="n">
        <v>0</v>
      </c>
      <c r="P828" t="n">
        <v>0</v>
      </c>
      <c r="Q828" t="n">
        <v>0</v>
      </c>
      <c r="R828" s="2" t="inlineStr"/>
    </row>
    <row r="829" ht="15" customHeight="1">
      <c r="A829" t="inlineStr">
        <is>
          <t>A 10678-2025</t>
        </is>
      </c>
      <c r="B829" s="1" t="n">
        <v>45721.89123842592</v>
      </c>
      <c r="C829" s="1" t="n">
        <v>46019</v>
      </c>
      <c r="D829" t="inlineStr">
        <is>
          <t>STOCKHOLMS LÄN</t>
        </is>
      </c>
      <c r="E829" t="inlineStr">
        <is>
          <t>NORRTÄLJE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31936-2022</t>
        </is>
      </c>
      <c r="B830" s="1" t="n">
        <v>44777</v>
      </c>
      <c r="C830" s="1" t="n">
        <v>46019</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59873-2024</t>
        </is>
      </c>
      <c r="B831" s="1" t="n">
        <v>45640.57305555556</v>
      </c>
      <c r="C831" s="1" t="n">
        <v>46019</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35916-2024</t>
        </is>
      </c>
      <c r="B832" s="1" t="n">
        <v>45533</v>
      </c>
      <c r="C832" s="1" t="n">
        <v>46019</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10098-2022</t>
        </is>
      </c>
      <c r="B833" s="1" t="n">
        <v>44621</v>
      </c>
      <c r="C833" s="1" t="n">
        <v>46019</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63161-2023</t>
        </is>
      </c>
      <c r="B834" s="1" t="n">
        <v>45273</v>
      </c>
      <c r="C834" s="1" t="n">
        <v>46019</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7796-2025</t>
        </is>
      </c>
      <c r="B835" s="1" t="n">
        <v>45706.60130787037</v>
      </c>
      <c r="C835" s="1" t="n">
        <v>46019</v>
      </c>
      <c r="D835" t="inlineStr">
        <is>
          <t>STOCKHOLMS LÄN</t>
        </is>
      </c>
      <c r="E835" t="inlineStr">
        <is>
          <t>NORRTÄLJE</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56207-2025</t>
        </is>
      </c>
      <c r="B836" s="1" t="n">
        <v>45974.47329861111</v>
      </c>
      <c r="C836" s="1" t="n">
        <v>46019</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15552-2021</t>
        </is>
      </c>
      <c r="B837" s="1" t="n">
        <v>44285</v>
      </c>
      <c r="C837" s="1" t="n">
        <v>46019</v>
      </c>
      <c r="D837" t="inlineStr">
        <is>
          <t>STOCKHOLMS LÄN</t>
        </is>
      </c>
      <c r="E837" t="inlineStr">
        <is>
          <t>NORRTÄLJE</t>
        </is>
      </c>
      <c r="G837" t="n">
        <v>10</v>
      </c>
      <c r="H837" t="n">
        <v>0</v>
      </c>
      <c r="I837" t="n">
        <v>0</v>
      </c>
      <c r="J837" t="n">
        <v>0</v>
      </c>
      <c r="K837" t="n">
        <v>0</v>
      </c>
      <c r="L837" t="n">
        <v>0</v>
      </c>
      <c r="M837" t="n">
        <v>0</v>
      </c>
      <c r="N837" t="n">
        <v>0</v>
      </c>
      <c r="O837" t="n">
        <v>0</v>
      </c>
      <c r="P837" t="n">
        <v>0</v>
      </c>
      <c r="Q837" t="n">
        <v>0</v>
      </c>
      <c r="R837" s="2" t="inlineStr"/>
    </row>
    <row r="838" ht="15" customHeight="1">
      <c r="A838" t="inlineStr">
        <is>
          <t>A 58040-2024</t>
        </is>
      </c>
      <c r="B838" s="1" t="n">
        <v>45631.73952546297</v>
      </c>
      <c r="C838" s="1" t="n">
        <v>46019</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58041-2024</t>
        </is>
      </c>
      <c r="B839" s="1" t="n">
        <v>45631.74673611111</v>
      </c>
      <c r="C839" s="1" t="n">
        <v>46019</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30268-2024</t>
        </is>
      </c>
      <c r="B840" s="1" t="n">
        <v>45490.60572916667</v>
      </c>
      <c r="C840" s="1" t="n">
        <v>46019</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12407-2025</t>
        </is>
      </c>
      <c r="B841" s="1" t="n">
        <v>45730.42851851852</v>
      </c>
      <c r="C841" s="1" t="n">
        <v>46019</v>
      </c>
      <c r="D841" t="inlineStr">
        <is>
          <t>STOCKHOLMS LÄN</t>
        </is>
      </c>
      <c r="E841" t="inlineStr">
        <is>
          <t>NORRTÄLJE</t>
        </is>
      </c>
      <c r="F841" t="inlineStr">
        <is>
          <t>Holmen skog AB</t>
        </is>
      </c>
      <c r="G841" t="n">
        <v>2.6</v>
      </c>
      <c r="H841" t="n">
        <v>0</v>
      </c>
      <c r="I841" t="n">
        <v>0</v>
      </c>
      <c r="J841" t="n">
        <v>0</v>
      </c>
      <c r="K841" t="n">
        <v>0</v>
      </c>
      <c r="L841" t="n">
        <v>0</v>
      </c>
      <c r="M841" t="n">
        <v>0</v>
      </c>
      <c r="N841" t="n">
        <v>0</v>
      </c>
      <c r="O841" t="n">
        <v>0</v>
      </c>
      <c r="P841" t="n">
        <v>0</v>
      </c>
      <c r="Q841" t="n">
        <v>0</v>
      </c>
      <c r="R841" s="2" t="inlineStr"/>
    </row>
    <row r="842" ht="15" customHeight="1">
      <c r="A842" t="inlineStr">
        <is>
          <t>A 19025-2025</t>
        </is>
      </c>
      <c r="B842" s="1" t="n">
        <v>45764.6359837963</v>
      </c>
      <c r="C842" s="1" t="n">
        <v>46019</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54276-2021</t>
        </is>
      </c>
      <c r="B843" s="1" t="n">
        <v>44470</v>
      </c>
      <c r="C843" s="1" t="n">
        <v>46019</v>
      </c>
      <c r="D843" t="inlineStr">
        <is>
          <t>STOCKHOLMS LÄN</t>
        </is>
      </c>
      <c r="E843" t="inlineStr">
        <is>
          <t>NORRTÄLJE</t>
        </is>
      </c>
      <c r="G843" t="n">
        <v>7.3</v>
      </c>
      <c r="H843" t="n">
        <v>0</v>
      </c>
      <c r="I843" t="n">
        <v>0</v>
      </c>
      <c r="J843" t="n">
        <v>0</v>
      </c>
      <c r="K843" t="n">
        <v>0</v>
      </c>
      <c r="L843" t="n">
        <v>0</v>
      </c>
      <c r="M843" t="n">
        <v>0</v>
      </c>
      <c r="N843" t="n">
        <v>0</v>
      </c>
      <c r="O843" t="n">
        <v>0</v>
      </c>
      <c r="P843" t="n">
        <v>0</v>
      </c>
      <c r="Q843" t="n">
        <v>0</v>
      </c>
      <c r="R843" s="2" t="inlineStr"/>
    </row>
    <row r="844" ht="15" customHeight="1">
      <c r="A844" t="inlineStr">
        <is>
          <t>A 4316-2023</t>
        </is>
      </c>
      <c r="B844" s="1" t="n">
        <v>44953.67443287037</v>
      </c>
      <c r="C844" s="1" t="n">
        <v>46019</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41587-2023</t>
        </is>
      </c>
      <c r="B845" s="1" t="n">
        <v>45175</v>
      </c>
      <c r="C845" s="1" t="n">
        <v>46019</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17304-2024</t>
        </is>
      </c>
      <c r="B846" s="1" t="n">
        <v>45414</v>
      </c>
      <c r="C846" s="1" t="n">
        <v>46019</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11280-2023</t>
        </is>
      </c>
      <c r="B847" s="1" t="n">
        <v>44992</v>
      </c>
      <c r="C847" s="1" t="n">
        <v>46019</v>
      </c>
      <c r="D847" t="inlineStr">
        <is>
          <t>STOCKHOLMS LÄN</t>
        </is>
      </c>
      <c r="E847" t="inlineStr">
        <is>
          <t>NORRTÄLJE</t>
        </is>
      </c>
      <c r="G847" t="n">
        <v>0.8</v>
      </c>
      <c r="H847" t="n">
        <v>0</v>
      </c>
      <c r="I847" t="n">
        <v>0</v>
      </c>
      <c r="J847" t="n">
        <v>0</v>
      </c>
      <c r="K847" t="n">
        <v>0</v>
      </c>
      <c r="L847" t="n">
        <v>0</v>
      </c>
      <c r="M847" t="n">
        <v>0</v>
      </c>
      <c r="N847" t="n">
        <v>0</v>
      </c>
      <c r="O847" t="n">
        <v>0</v>
      </c>
      <c r="P847" t="n">
        <v>0</v>
      </c>
      <c r="Q847" t="n">
        <v>0</v>
      </c>
      <c r="R847" s="2" t="inlineStr"/>
    </row>
    <row r="848" ht="15" customHeight="1">
      <c r="A848" t="inlineStr">
        <is>
          <t>A 26668-2024</t>
        </is>
      </c>
      <c r="B848" s="1" t="n">
        <v>45469</v>
      </c>
      <c r="C848" s="1" t="n">
        <v>46019</v>
      </c>
      <c r="D848" t="inlineStr">
        <is>
          <t>STOCKHOLMS LÄN</t>
        </is>
      </c>
      <c r="E848" t="inlineStr">
        <is>
          <t>NORRTÄLJE</t>
        </is>
      </c>
      <c r="G848" t="n">
        <v>4.8</v>
      </c>
      <c r="H848" t="n">
        <v>0</v>
      </c>
      <c r="I848" t="n">
        <v>0</v>
      </c>
      <c r="J848" t="n">
        <v>0</v>
      </c>
      <c r="K848" t="n">
        <v>0</v>
      </c>
      <c r="L848" t="n">
        <v>0</v>
      </c>
      <c r="M848" t="n">
        <v>0</v>
      </c>
      <c r="N848" t="n">
        <v>0</v>
      </c>
      <c r="O848" t="n">
        <v>0</v>
      </c>
      <c r="P848" t="n">
        <v>0</v>
      </c>
      <c r="Q848" t="n">
        <v>0</v>
      </c>
      <c r="R848" s="2" t="inlineStr"/>
    </row>
    <row r="849" ht="15" customHeight="1">
      <c r="A849" t="inlineStr">
        <is>
          <t>A 31926-2022</t>
        </is>
      </c>
      <c r="B849" s="1" t="n">
        <v>44777</v>
      </c>
      <c r="C849" s="1" t="n">
        <v>46019</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46019</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11041-2025</t>
        </is>
      </c>
      <c r="B851" s="1" t="n">
        <v>45723</v>
      </c>
      <c r="C851" s="1" t="n">
        <v>46019</v>
      </c>
      <c r="D851" t="inlineStr">
        <is>
          <t>STOCKHOLMS LÄN</t>
        </is>
      </c>
      <c r="E851" t="inlineStr">
        <is>
          <t>NORRTÄLJE</t>
        </is>
      </c>
      <c r="F851" t="inlineStr">
        <is>
          <t>Övriga Aktiebolag</t>
        </is>
      </c>
      <c r="G851" t="n">
        <v>1.8</v>
      </c>
      <c r="H851" t="n">
        <v>0</v>
      </c>
      <c r="I851" t="n">
        <v>0</v>
      </c>
      <c r="J851" t="n">
        <v>0</v>
      </c>
      <c r="K851" t="n">
        <v>0</v>
      </c>
      <c r="L851" t="n">
        <v>0</v>
      </c>
      <c r="M851" t="n">
        <v>0</v>
      </c>
      <c r="N851" t="n">
        <v>0</v>
      </c>
      <c r="O851" t="n">
        <v>0</v>
      </c>
      <c r="P851" t="n">
        <v>0</v>
      </c>
      <c r="Q851" t="n">
        <v>0</v>
      </c>
      <c r="R851" s="2" t="inlineStr"/>
    </row>
    <row r="852" ht="15" customHeight="1">
      <c r="A852" t="inlineStr">
        <is>
          <t>A 9469-2021</t>
        </is>
      </c>
      <c r="B852" s="1" t="n">
        <v>44251</v>
      </c>
      <c r="C852" s="1" t="n">
        <v>46019</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24024-2024</t>
        </is>
      </c>
      <c r="B853" s="1" t="n">
        <v>45456</v>
      </c>
      <c r="C853" s="1" t="n">
        <v>46019</v>
      </c>
      <c r="D853" t="inlineStr">
        <is>
          <t>STOCKHOLMS LÄN</t>
        </is>
      </c>
      <c r="E853" t="inlineStr">
        <is>
          <t>NORRTÄLJE</t>
        </is>
      </c>
      <c r="G853" t="n">
        <v>1.9</v>
      </c>
      <c r="H853" t="n">
        <v>0</v>
      </c>
      <c r="I853" t="n">
        <v>0</v>
      </c>
      <c r="J853" t="n">
        <v>0</v>
      </c>
      <c r="K853" t="n">
        <v>0</v>
      </c>
      <c r="L853" t="n">
        <v>0</v>
      </c>
      <c r="M853" t="n">
        <v>0</v>
      </c>
      <c r="N853" t="n">
        <v>0</v>
      </c>
      <c r="O853" t="n">
        <v>0</v>
      </c>
      <c r="P853" t="n">
        <v>0</v>
      </c>
      <c r="Q853" t="n">
        <v>0</v>
      </c>
      <c r="R853" s="2" t="inlineStr"/>
    </row>
    <row r="854" ht="15" customHeight="1">
      <c r="A854" t="inlineStr">
        <is>
          <t>A 28809-2023</t>
        </is>
      </c>
      <c r="B854" s="1" t="n">
        <v>45104</v>
      </c>
      <c r="C854" s="1" t="n">
        <v>46019</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28813-2023</t>
        </is>
      </c>
      <c r="B855" s="1" t="n">
        <v>45104</v>
      </c>
      <c r="C855" s="1" t="n">
        <v>46019</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40656-2022</t>
        </is>
      </c>
      <c r="B856" s="1" t="n">
        <v>44824.36069444445</v>
      </c>
      <c r="C856" s="1" t="n">
        <v>46019</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60694-2024</t>
        </is>
      </c>
      <c r="B857" s="1" t="n">
        <v>45644.47878472223</v>
      </c>
      <c r="C857" s="1" t="n">
        <v>46019</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19450-2025</t>
        </is>
      </c>
      <c r="B858" s="1" t="n">
        <v>45770</v>
      </c>
      <c r="C858" s="1" t="n">
        <v>46019</v>
      </c>
      <c r="D858" t="inlineStr">
        <is>
          <t>STOCKHOLMS LÄN</t>
        </is>
      </c>
      <c r="E858" t="inlineStr">
        <is>
          <t>NORRTÄLJE</t>
        </is>
      </c>
      <c r="G858" t="n">
        <v>5.3</v>
      </c>
      <c r="H858" t="n">
        <v>0</v>
      </c>
      <c r="I858" t="n">
        <v>0</v>
      </c>
      <c r="J858" t="n">
        <v>0</v>
      </c>
      <c r="K858" t="n">
        <v>0</v>
      </c>
      <c r="L858" t="n">
        <v>0</v>
      </c>
      <c r="M858" t="n">
        <v>0</v>
      </c>
      <c r="N858" t="n">
        <v>0</v>
      </c>
      <c r="O858" t="n">
        <v>0</v>
      </c>
      <c r="P858" t="n">
        <v>0</v>
      </c>
      <c r="Q858" t="n">
        <v>0</v>
      </c>
      <c r="R858" s="2" t="inlineStr"/>
    </row>
    <row r="859" ht="15" customHeight="1">
      <c r="A859" t="inlineStr">
        <is>
          <t>A 33353-2023</t>
        </is>
      </c>
      <c r="B859" s="1" t="n">
        <v>45128</v>
      </c>
      <c r="C859" s="1" t="n">
        <v>46019</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3966-2024</t>
        </is>
      </c>
      <c r="B860" s="1" t="n">
        <v>45322</v>
      </c>
      <c r="C860" s="1" t="n">
        <v>46019</v>
      </c>
      <c r="D860" t="inlineStr">
        <is>
          <t>STOCKHOLMS LÄN</t>
        </is>
      </c>
      <c r="E860" t="inlineStr">
        <is>
          <t>NORRTÄLJE</t>
        </is>
      </c>
      <c r="G860" t="n">
        <v>5.3</v>
      </c>
      <c r="H860" t="n">
        <v>0</v>
      </c>
      <c r="I860" t="n">
        <v>0</v>
      </c>
      <c r="J860" t="n">
        <v>0</v>
      </c>
      <c r="K860" t="n">
        <v>0</v>
      </c>
      <c r="L860" t="n">
        <v>0</v>
      </c>
      <c r="M860" t="n">
        <v>0</v>
      </c>
      <c r="N860" t="n">
        <v>0</v>
      </c>
      <c r="O860" t="n">
        <v>0</v>
      </c>
      <c r="P860" t="n">
        <v>0</v>
      </c>
      <c r="Q860" t="n">
        <v>0</v>
      </c>
      <c r="R860" s="2" t="inlineStr"/>
    </row>
    <row r="861" ht="15" customHeight="1">
      <c r="A861" t="inlineStr">
        <is>
          <t>A 23262-2023</t>
        </is>
      </c>
      <c r="B861" s="1" t="n">
        <v>45075.90270833333</v>
      </c>
      <c r="C861" s="1" t="n">
        <v>46019</v>
      </c>
      <c r="D861" t="inlineStr">
        <is>
          <t>STOCKHOLMS LÄN</t>
        </is>
      </c>
      <c r="E861" t="inlineStr">
        <is>
          <t>NORRTÄLJE</t>
        </is>
      </c>
      <c r="F861" t="inlineStr">
        <is>
          <t>Kommuner</t>
        </is>
      </c>
      <c r="G861" t="n">
        <v>1.9</v>
      </c>
      <c r="H861" t="n">
        <v>0</v>
      </c>
      <c r="I861" t="n">
        <v>0</v>
      </c>
      <c r="J861" t="n">
        <v>0</v>
      </c>
      <c r="K861" t="n">
        <v>0</v>
      </c>
      <c r="L861" t="n">
        <v>0</v>
      </c>
      <c r="M861" t="n">
        <v>0</v>
      </c>
      <c r="N861" t="n">
        <v>0</v>
      </c>
      <c r="O861" t="n">
        <v>0</v>
      </c>
      <c r="P861" t="n">
        <v>0</v>
      </c>
      <c r="Q861" t="n">
        <v>0</v>
      </c>
      <c r="R861" s="2" t="inlineStr"/>
    </row>
    <row r="862" ht="15" customHeight="1">
      <c r="A862" t="inlineStr">
        <is>
          <t>A 23268-2023</t>
        </is>
      </c>
      <c r="B862" s="1" t="n">
        <v>45075.91042824074</v>
      </c>
      <c r="C862" s="1" t="n">
        <v>46019</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23270-2023</t>
        </is>
      </c>
      <c r="B863" s="1" t="n">
        <v>45075.91265046296</v>
      </c>
      <c r="C863" s="1" t="n">
        <v>46019</v>
      </c>
      <c r="D863" t="inlineStr">
        <is>
          <t>STOCKHOLMS LÄN</t>
        </is>
      </c>
      <c r="E863" t="inlineStr">
        <is>
          <t>NORRTÄLJE</t>
        </is>
      </c>
      <c r="G863" t="n">
        <v>12.3</v>
      </c>
      <c r="H863" t="n">
        <v>0</v>
      </c>
      <c r="I863" t="n">
        <v>0</v>
      </c>
      <c r="J863" t="n">
        <v>0</v>
      </c>
      <c r="K863" t="n">
        <v>0</v>
      </c>
      <c r="L863" t="n">
        <v>0</v>
      </c>
      <c r="M863" t="n">
        <v>0</v>
      </c>
      <c r="N863" t="n">
        <v>0</v>
      </c>
      <c r="O863" t="n">
        <v>0</v>
      </c>
      <c r="P863" t="n">
        <v>0</v>
      </c>
      <c r="Q863" t="n">
        <v>0</v>
      </c>
      <c r="R863" s="2" t="inlineStr"/>
    </row>
    <row r="864" ht="15" customHeight="1">
      <c r="A864" t="inlineStr">
        <is>
          <t>A 23274-2023</t>
        </is>
      </c>
      <c r="B864" s="1" t="n">
        <v>45075.92153935185</v>
      </c>
      <c r="C864" s="1" t="n">
        <v>46019</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17843-2024</t>
        </is>
      </c>
      <c r="B865" s="1" t="n">
        <v>45418</v>
      </c>
      <c r="C865" s="1" t="n">
        <v>46019</v>
      </c>
      <c r="D865" t="inlineStr">
        <is>
          <t>STOCKHOLMS LÄN</t>
        </is>
      </c>
      <c r="E865" t="inlineStr">
        <is>
          <t>NORRTÄLJE</t>
        </is>
      </c>
      <c r="G865" t="n">
        <v>5.4</v>
      </c>
      <c r="H865" t="n">
        <v>0</v>
      </c>
      <c r="I865" t="n">
        <v>0</v>
      </c>
      <c r="J865" t="n">
        <v>0</v>
      </c>
      <c r="K865" t="n">
        <v>0</v>
      </c>
      <c r="L865" t="n">
        <v>0</v>
      </c>
      <c r="M865" t="n">
        <v>0</v>
      </c>
      <c r="N865" t="n">
        <v>0</v>
      </c>
      <c r="O865" t="n">
        <v>0</v>
      </c>
      <c r="P865" t="n">
        <v>0</v>
      </c>
      <c r="Q865" t="n">
        <v>0</v>
      </c>
      <c r="R865" s="2" t="inlineStr"/>
    </row>
    <row r="866" ht="15" customHeight="1">
      <c r="A866" t="inlineStr">
        <is>
          <t>A 26636-2023</t>
        </is>
      </c>
      <c r="B866" s="1" t="n">
        <v>45092</v>
      </c>
      <c r="C866" s="1" t="n">
        <v>46019</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26637-2023</t>
        </is>
      </c>
      <c r="B867" s="1" t="n">
        <v>45092</v>
      </c>
      <c r="C867" s="1" t="n">
        <v>46019</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72704-2021</t>
        </is>
      </c>
      <c r="B868" s="1" t="n">
        <v>44546</v>
      </c>
      <c r="C868" s="1" t="n">
        <v>46019</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52743-2024</t>
        </is>
      </c>
      <c r="B869" s="1" t="n">
        <v>45610.47414351852</v>
      </c>
      <c r="C869" s="1" t="n">
        <v>46019</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16852-2024</t>
        </is>
      </c>
      <c r="B870" s="1" t="n">
        <v>45411.54768518519</v>
      </c>
      <c r="C870" s="1" t="n">
        <v>46019</v>
      </c>
      <c r="D870" t="inlineStr">
        <is>
          <t>STOCKHOLMS LÄN</t>
        </is>
      </c>
      <c r="E870" t="inlineStr">
        <is>
          <t>NORRTÄLJE</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55755-2023</t>
        </is>
      </c>
      <c r="B871" s="1" t="n">
        <v>45239</v>
      </c>
      <c r="C871" s="1" t="n">
        <v>46019</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17348-2024</t>
        </is>
      </c>
      <c r="B872" s="1" t="n">
        <v>45414.58650462963</v>
      </c>
      <c r="C872" s="1" t="n">
        <v>46019</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13089-2022</t>
        </is>
      </c>
      <c r="B873" s="1" t="n">
        <v>44643</v>
      </c>
      <c r="C873" s="1" t="n">
        <v>46019</v>
      </c>
      <c r="D873" t="inlineStr">
        <is>
          <t>STOCKHOLMS LÄN</t>
        </is>
      </c>
      <c r="E873" t="inlineStr">
        <is>
          <t>NORRTÄLJE</t>
        </is>
      </c>
      <c r="G873" t="n">
        <v>4.5</v>
      </c>
      <c r="H873" t="n">
        <v>0</v>
      </c>
      <c r="I873" t="n">
        <v>0</v>
      </c>
      <c r="J873" t="n">
        <v>0</v>
      </c>
      <c r="K873" t="n">
        <v>0</v>
      </c>
      <c r="L873" t="n">
        <v>0</v>
      </c>
      <c r="M873" t="n">
        <v>0</v>
      </c>
      <c r="N873" t="n">
        <v>0</v>
      </c>
      <c r="O873" t="n">
        <v>0</v>
      </c>
      <c r="P873" t="n">
        <v>0</v>
      </c>
      <c r="Q873" t="n">
        <v>0</v>
      </c>
      <c r="R873" s="2" t="inlineStr"/>
    </row>
    <row r="874" ht="15" customHeight="1">
      <c r="A874" t="inlineStr">
        <is>
          <t>A 48145-2024</t>
        </is>
      </c>
      <c r="B874" s="1" t="n">
        <v>45589.6756712963</v>
      </c>
      <c r="C874" s="1" t="n">
        <v>46019</v>
      </c>
      <c r="D874" t="inlineStr">
        <is>
          <t>STOCKHOLMS LÄN</t>
        </is>
      </c>
      <c r="E874" t="inlineStr">
        <is>
          <t>NORRTÄLJE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23998-2024</t>
        </is>
      </c>
      <c r="B875" s="1" t="n">
        <v>45456</v>
      </c>
      <c r="C875" s="1" t="n">
        <v>46019</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15447-2023</t>
        </is>
      </c>
      <c r="B876" s="1" t="n">
        <v>45020</v>
      </c>
      <c r="C876" s="1" t="n">
        <v>46019</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54358-2022</t>
        </is>
      </c>
      <c r="B877" s="1" t="n">
        <v>44882</v>
      </c>
      <c r="C877" s="1" t="n">
        <v>46019</v>
      </c>
      <c r="D877" t="inlineStr">
        <is>
          <t>STOCKHOLMS LÄN</t>
        </is>
      </c>
      <c r="E877" t="inlineStr">
        <is>
          <t>NORRTÄLJE</t>
        </is>
      </c>
      <c r="G877" t="n">
        <v>3.3</v>
      </c>
      <c r="H877" t="n">
        <v>0</v>
      </c>
      <c r="I877" t="n">
        <v>0</v>
      </c>
      <c r="J877" t="n">
        <v>0</v>
      </c>
      <c r="K877" t="n">
        <v>0</v>
      </c>
      <c r="L877" t="n">
        <v>0</v>
      </c>
      <c r="M877" t="n">
        <v>0</v>
      </c>
      <c r="N877" t="n">
        <v>0</v>
      </c>
      <c r="O877" t="n">
        <v>0</v>
      </c>
      <c r="P877" t="n">
        <v>0</v>
      </c>
      <c r="Q877" t="n">
        <v>0</v>
      </c>
      <c r="R877" s="2" t="inlineStr"/>
    </row>
    <row r="878" ht="15" customHeight="1">
      <c r="A878" t="inlineStr">
        <is>
          <t>A 23263-2023</t>
        </is>
      </c>
      <c r="B878" s="1" t="n">
        <v>45075</v>
      </c>
      <c r="C878" s="1" t="n">
        <v>46019</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23264-2023</t>
        </is>
      </c>
      <c r="B879" s="1" t="n">
        <v>45075</v>
      </c>
      <c r="C879" s="1" t="n">
        <v>46019</v>
      </c>
      <c r="D879" t="inlineStr">
        <is>
          <t>STOCKHOLMS LÄN</t>
        </is>
      </c>
      <c r="E879" t="inlineStr">
        <is>
          <t>NORRTÄLJE</t>
        </is>
      </c>
      <c r="G879" t="n">
        <v>2.9</v>
      </c>
      <c r="H879" t="n">
        <v>0</v>
      </c>
      <c r="I879" t="n">
        <v>0</v>
      </c>
      <c r="J879" t="n">
        <v>0</v>
      </c>
      <c r="K879" t="n">
        <v>0</v>
      </c>
      <c r="L879" t="n">
        <v>0</v>
      </c>
      <c r="M879" t="n">
        <v>0</v>
      </c>
      <c r="N879" t="n">
        <v>0</v>
      </c>
      <c r="O879" t="n">
        <v>0</v>
      </c>
      <c r="P879" t="n">
        <v>0</v>
      </c>
      <c r="Q879" t="n">
        <v>0</v>
      </c>
      <c r="R879" s="2" t="inlineStr"/>
    </row>
    <row r="880" ht="15" customHeight="1">
      <c r="A880" t="inlineStr">
        <is>
          <t>A 23267-2023</t>
        </is>
      </c>
      <c r="B880" s="1" t="n">
        <v>45075.90934027778</v>
      </c>
      <c r="C880" s="1" t="n">
        <v>46019</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23269-2023</t>
        </is>
      </c>
      <c r="B881" s="1" t="n">
        <v>45075.91148148148</v>
      </c>
      <c r="C881" s="1" t="n">
        <v>46019</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19911-2025</t>
        </is>
      </c>
      <c r="B882" s="1" t="n">
        <v>45771</v>
      </c>
      <c r="C882" s="1" t="n">
        <v>46019</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5831-2022</t>
        </is>
      </c>
      <c r="B883" s="1" t="n">
        <v>44596</v>
      </c>
      <c r="C883" s="1" t="n">
        <v>46019</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5867-2022</t>
        </is>
      </c>
      <c r="B884" s="1" t="n">
        <v>44596.66335648148</v>
      </c>
      <c r="C884" s="1" t="n">
        <v>46019</v>
      </c>
      <c r="D884" t="inlineStr">
        <is>
          <t>STOCKHOLMS LÄN</t>
        </is>
      </c>
      <c r="E884" t="inlineStr">
        <is>
          <t>NORRTÄLJE</t>
        </is>
      </c>
      <c r="F884" t="inlineStr">
        <is>
          <t>Naturvårdsverket</t>
        </is>
      </c>
      <c r="G884" t="n">
        <v>1.6</v>
      </c>
      <c r="H884" t="n">
        <v>0</v>
      </c>
      <c r="I884" t="n">
        <v>0</v>
      </c>
      <c r="J884" t="n">
        <v>0</v>
      </c>
      <c r="K884" t="n">
        <v>0</v>
      </c>
      <c r="L884" t="n">
        <v>0</v>
      </c>
      <c r="M884" t="n">
        <v>0</v>
      </c>
      <c r="N884" t="n">
        <v>0</v>
      </c>
      <c r="O884" t="n">
        <v>0</v>
      </c>
      <c r="P884" t="n">
        <v>0</v>
      </c>
      <c r="Q884" t="n">
        <v>0</v>
      </c>
      <c r="R884" s="2" t="inlineStr"/>
    </row>
    <row r="885" ht="15" customHeight="1">
      <c r="A885" t="inlineStr">
        <is>
          <t>A 20244-2025</t>
        </is>
      </c>
      <c r="B885" s="1" t="n">
        <v>45772.71221064815</v>
      </c>
      <c r="C885" s="1" t="n">
        <v>46019</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48633-2023</t>
        </is>
      </c>
      <c r="B886" s="1" t="n">
        <v>45208.58004629629</v>
      </c>
      <c r="C886" s="1" t="n">
        <v>46019</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39669-2024</t>
        </is>
      </c>
      <c r="B887" s="1" t="n">
        <v>45552.52827546297</v>
      </c>
      <c r="C887" s="1" t="n">
        <v>46019</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43170-2023</t>
        </is>
      </c>
      <c r="B888" s="1" t="n">
        <v>45183</v>
      </c>
      <c r="C888" s="1" t="n">
        <v>46019</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9-2024</t>
        </is>
      </c>
      <c r="B889" s="1" t="n">
        <v>45293</v>
      </c>
      <c r="C889" s="1" t="n">
        <v>46019</v>
      </c>
      <c r="D889" t="inlineStr">
        <is>
          <t>STOCKHOLMS LÄN</t>
        </is>
      </c>
      <c r="E889" t="inlineStr">
        <is>
          <t>NORRTÄLJE</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22832-2021</t>
        </is>
      </c>
      <c r="B890" s="1" t="n">
        <v>44325</v>
      </c>
      <c r="C890" s="1" t="n">
        <v>46019</v>
      </c>
      <c r="D890" t="inlineStr">
        <is>
          <t>STOCKHOLMS LÄN</t>
        </is>
      </c>
      <c r="E890" t="inlineStr">
        <is>
          <t>NORRTÄLJE</t>
        </is>
      </c>
      <c r="G890" t="n">
        <v>6.8</v>
      </c>
      <c r="H890" t="n">
        <v>0</v>
      </c>
      <c r="I890" t="n">
        <v>0</v>
      </c>
      <c r="J890" t="n">
        <v>0</v>
      </c>
      <c r="K890" t="n">
        <v>0</v>
      </c>
      <c r="L890" t="n">
        <v>0</v>
      </c>
      <c r="M890" t="n">
        <v>0</v>
      </c>
      <c r="N890" t="n">
        <v>0</v>
      </c>
      <c r="O890" t="n">
        <v>0</v>
      </c>
      <c r="P890" t="n">
        <v>0</v>
      </c>
      <c r="Q890" t="n">
        <v>0</v>
      </c>
      <c r="R890" s="2" t="inlineStr"/>
    </row>
    <row r="891" ht="15" customHeight="1">
      <c r="A891" t="inlineStr">
        <is>
          <t>A 16913-2025</t>
        </is>
      </c>
      <c r="B891" s="1" t="n">
        <v>45755.36583333334</v>
      </c>
      <c r="C891" s="1" t="n">
        <v>46019</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4035-2023</t>
        </is>
      </c>
      <c r="B892" s="1" t="n">
        <v>44952.57989583333</v>
      </c>
      <c r="C892" s="1" t="n">
        <v>46019</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33793-2022</t>
        </is>
      </c>
      <c r="B893" s="1" t="n">
        <v>44790</v>
      </c>
      <c r="C893" s="1" t="n">
        <v>46019</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53600-2022</t>
        </is>
      </c>
      <c r="B894" s="1" t="n">
        <v>44879.70518518519</v>
      </c>
      <c r="C894" s="1" t="n">
        <v>46019</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7697-2025</t>
        </is>
      </c>
      <c r="B895" s="1" t="n">
        <v>45706.40086805556</v>
      </c>
      <c r="C895" s="1" t="n">
        <v>46019</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30221-2024</t>
        </is>
      </c>
      <c r="B896" s="1" t="n">
        <v>45490.45342592592</v>
      </c>
      <c r="C896" s="1" t="n">
        <v>46019</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13-2024</t>
        </is>
      </c>
      <c r="B897" s="1" t="n">
        <v>45293.37263888889</v>
      </c>
      <c r="C897" s="1" t="n">
        <v>46019</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19-2024</t>
        </is>
      </c>
      <c r="B898" s="1" t="n">
        <v>45293</v>
      </c>
      <c r="C898" s="1" t="n">
        <v>46019</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46019</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8419-2025</t>
        </is>
      </c>
      <c r="B900" s="1" t="n">
        <v>45709.40231481481</v>
      </c>
      <c r="C900" s="1" t="n">
        <v>46019</v>
      </c>
      <c r="D900" t="inlineStr">
        <is>
          <t>STOCKHOLMS LÄN</t>
        </is>
      </c>
      <c r="E900" t="inlineStr">
        <is>
          <t>NORRTÄLJE</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35161-2022</t>
        </is>
      </c>
      <c r="B901" s="1" t="n">
        <v>44797</v>
      </c>
      <c r="C901" s="1" t="n">
        <v>46019</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58989-2021</t>
        </is>
      </c>
      <c r="B902" s="1" t="n">
        <v>44490.02482638889</v>
      </c>
      <c r="C902" s="1" t="n">
        <v>46019</v>
      </c>
      <c r="D902" t="inlineStr">
        <is>
          <t>STOCKHOLMS LÄN</t>
        </is>
      </c>
      <c r="E902" t="inlineStr">
        <is>
          <t>NORRTÄLJE</t>
        </is>
      </c>
      <c r="G902" t="n">
        <v>0.3</v>
      </c>
      <c r="H902" t="n">
        <v>0</v>
      </c>
      <c r="I902" t="n">
        <v>0</v>
      </c>
      <c r="J902" t="n">
        <v>0</v>
      </c>
      <c r="K902" t="n">
        <v>0</v>
      </c>
      <c r="L902" t="n">
        <v>0</v>
      </c>
      <c r="M902" t="n">
        <v>0</v>
      </c>
      <c r="N902" t="n">
        <v>0</v>
      </c>
      <c r="O902" t="n">
        <v>0</v>
      </c>
      <c r="P902" t="n">
        <v>0</v>
      </c>
      <c r="Q902" t="n">
        <v>0</v>
      </c>
      <c r="R902" s="2" t="inlineStr"/>
    </row>
    <row r="903" ht="15" customHeight="1">
      <c r="A903" t="inlineStr">
        <is>
          <t>A 46988-2024</t>
        </is>
      </c>
      <c r="B903" s="1" t="n">
        <v>45586</v>
      </c>
      <c r="C903" s="1" t="n">
        <v>46019</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21529-2021</t>
        </is>
      </c>
      <c r="B904" s="1" t="n">
        <v>44321</v>
      </c>
      <c r="C904" s="1" t="n">
        <v>46019</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13701-2022</t>
        </is>
      </c>
      <c r="B905" s="1" t="n">
        <v>44648</v>
      </c>
      <c r="C905" s="1" t="n">
        <v>46019</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14132-2025</t>
        </is>
      </c>
      <c r="B906" s="1" t="n">
        <v>45740.47550925926</v>
      </c>
      <c r="C906" s="1" t="n">
        <v>46019</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14133-2025</t>
        </is>
      </c>
      <c r="B907" s="1" t="n">
        <v>45740.47724537037</v>
      </c>
      <c r="C907" s="1" t="n">
        <v>46019</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8792-2025</t>
        </is>
      </c>
      <c r="B908" s="1" t="n">
        <v>45712</v>
      </c>
      <c r="C908" s="1" t="n">
        <v>46019</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24887-2023</t>
        </is>
      </c>
      <c r="B909" s="1" t="n">
        <v>45085</v>
      </c>
      <c r="C909" s="1" t="n">
        <v>46019</v>
      </c>
      <c r="D909" t="inlineStr">
        <is>
          <t>STOCKHOLMS LÄN</t>
        </is>
      </c>
      <c r="E909" t="inlineStr">
        <is>
          <t>NORRTÄLJE</t>
        </is>
      </c>
      <c r="G909" t="n">
        <v>13.9</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46019</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4326-2023</t>
        </is>
      </c>
      <c r="B911" s="1" t="n">
        <v>44953.70481481482</v>
      </c>
      <c r="C911" s="1" t="n">
        <v>46019</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54504-2024</t>
        </is>
      </c>
      <c r="B912" s="1" t="n">
        <v>45617.58453703704</v>
      </c>
      <c r="C912" s="1" t="n">
        <v>46019</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21745-2023</t>
        </is>
      </c>
      <c r="B913" s="1" t="n">
        <v>45065.55917824074</v>
      </c>
      <c r="C913" s="1" t="n">
        <v>46019</v>
      </c>
      <c r="D913" t="inlineStr">
        <is>
          <t>STOCKHOLMS LÄN</t>
        </is>
      </c>
      <c r="E913" t="inlineStr">
        <is>
          <t>NORRTÄLJE</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21894-2023</t>
        </is>
      </c>
      <c r="B914" s="1" t="n">
        <v>45068.51783564815</v>
      </c>
      <c r="C914" s="1" t="n">
        <v>46019</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13276-2022</t>
        </is>
      </c>
      <c r="B915" s="1" t="n">
        <v>44644</v>
      </c>
      <c r="C915" s="1" t="n">
        <v>46019</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28182-2022</t>
        </is>
      </c>
      <c r="B916" s="1" t="n">
        <v>44746.58530092592</v>
      </c>
      <c r="C916" s="1" t="n">
        <v>46019</v>
      </c>
      <c r="D916" t="inlineStr">
        <is>
          <t>STOCKHOLMS LÄN</t>
        </is>
      </c>
      <c r="E916" t="inlineStr">
        <is>
          <t>NORRTÄLJE</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34461-2023</t>
        </is>
      </c>
      <c r="B917" s="1" t="n">
        <v>45139</v>
      </c>
      <c r="C917" s="1" t="n">
        <v>46019</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51046-2023</t>
        </is>
      </c>
      <c r="B918" s="1" t="n">
        <v>45218</v>
      </c>
      <c r="C918" s="1" t="n">
        <v>46019</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17382-2024</t>
        </is>
      </c>
      <c r="B919" s="1" t="n">
        <v>45414.65855324074</v>
      </c>
      <c r="C919" s="1" t="n">
        <v>46019</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6070-2022</t>
        </is>
      </c>
      <c r="B920" s="1" t="n">
        <v>44599.58428240741</v>
      </c>
      <c r="C920" s="1" t="n">
        <v>46019</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17039-2024</t>
        </is>
      </c>
      <c r="B921" s="1" t="n">
        <v>45412.4104050926</v>
      </c>
      <c r="C921" s="1" t="n">
        <v>46019</v>
      </c>
      <c r="D921" t="inlineStr">
        <is>
          <t>STOCKHOLMS LÄN</t>
        </is>
      </c>
      <c r="E921" t="inlineStr">
        <is>
          <t>NORRTÄLJE</t>
        </is>
      </c>
      <c r="G921" t="n">
        <v>5.9</v>
      </c>
      <c r="H921" t="n">
        <v>0</v>
      </c>
      <c r="I921" t="n">
        <v>0</v>
      </c>
      <c r="J921" t="n">
        <v>0</v>
      </c>
      <c r="K921" t="n">
        <v>0</v>
      </c>
      <c r="L921" t="n">
        <v>0</v>
      </c>
      <c r="M921" t="n">
        <v>0</v>
      </c>
      <c r="N921" t="n">
        <v>0</v>
      </c>
      <c r="O921" t="n">
        <v>0</v>
      </c>
      <c r="P921" t="n">
        <v>0</v>
      </c>
      <c r="Q921" t="n">
        <v>0</v>
      </c>
      <c r="R921" s="2" t="inlineStr"/>
    </row>
    <row r="922" ht="15" customHeight="1">
      <c r="A922" t="inlineStr">
        <is>
          <t>A 48180-2023</t>
        </is>
      </c>
      <c r="B922" s="1" t="n">
        <v>45205</v>
      </c>
      <c r="C922" s="1" t="n">
        <v>46019</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35695-2023</t>
        </is>
      </c>
      <c r="B923" s="1" t="n">
        <v>45147.65407407407</v>
      </c>
      <c r="C923" s="1" t="n">
        <v>46019</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45173-2023</t>
        </is>
      </c>
      <c r="B924" s="1" t="n">
        <v>45191</v>
      </c>
      <c r="C924" s="1" t="n">
        <v>46019</v>
      </c>
      <c r="D924" t="inlineStr">
        <is>
          <t>STOCKHOLMS LÄN</t>
        </is>
      </c>
      <c r="E924" t="inlineStr">
        <is>
          <t>NORRTÄLJE</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24705-2023</t>
        </is>
      </c>
      <c r="B925" s="1" t="n">
        <v>45084.54459490741</v>
      </c>
      <c r="C925" s="1" t="n">
        <v>46019</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21696-2024</t>
        </is>
      </c>
      <c r="B926" s="1" t="n">
        <v>45442.45686342593</v>
      </c>
      <c r="C926" s="1" t="n">
        <v>46019</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67990-2021</t>
        </is>
      </c>
      <c r="B927" s="1" t="n">
        <v>44525</v>
      </c>
      <c r="C927" s="1" t="n">
        <v>46019</v>
      </c>
      <c r="D927" t="inlineStr">
        <is>
          <t>STOCKHOLMS LÄN</t>
        </is>
      </c>
      <c r="E927" t="inlineStr">
        <is>
          <t>NORRTÄLJE</t>
        </is>
      </c>
      <c r="F927" t="inlineStr">
        <is>
          <t>Sveaskog</t>
        </is>
      </c>
      <c r="G927" t="n">
        <v>7.8</v>
      </c>
      <c r="H927" t="n">
        <v>0</v>
      </c>
      <c r="I927" t="n">
        <v>0</v>
      </c>
      <c r="J927" t="n">
        <v>0</v>
      </c>
      <c r="K927" t="n">
        <v>0</v>
      </c>
      <c r="L927" t="n">
        <v>0</v>
      </c>
      <c r="M927" t="n">
        <v>0</v>
      </c>
      <c r="N927" t="n">
        <v>0</v>
      </c>
      <c r="O927" t="n">
        <v>0</v>
      </c>
      <c r="P927" t="n">
        <v>0</v>
      </c>
      <c r="Q927" t="n">
        <v>0</v>
      </c>
      <c r="R927" s="2" t="inlineStr"/>
    </row>
    <row r="928" ht="15" customHeight="1">
      <c r="A928" t="inlineStr">
        <is>
          <t>A 71552-2021</t>
        </is>
      </c>
      <c r="B928" s="1" t="n">
        <v>44540</v>
      </c>
      <c r="C928" s="1" t="n">
        <v>46019</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73992-2021</t>
        </is>
      </c>
      <c r="B929" s="1" t="n">
        <v>44556</v>
      </c>
      <c r="C929" s="1" t="n">
        <v>46019</v>
      </c>
      <c r="D929" t="inlineStr">
        <is>
          <t>STOCKHOLMS LÄN</t>
        </is>
      </c>
      <c r="E929" t="inlineStr">
        <is>
          <t>NORRTÄLJE</t>
        </is>
      </c>
      <c r="G929" t="n">
        <v>12.5</v>
      </c>
      <c r="H929" t="n">
        <v>0</v>
      </c>
      <c r="I929" t="n">
        <v>0</v>
      </c>
      <c r="J929" t="n">
        <v>0</v>
      </c>
      <c r="K929" t="n">
        <v>0</v>
      </c>
      <c r="L929" t="n">
        <v>0</v>
      </c>
      <c r="M929" t="n">
        <v>0</v>
      </c>
      <c r="N929" t="n">
        <v>0</v>
      </c>
      <c r="O929" t="n">
        <v>0</v>
      </c>
      <c r="P929" t="n">
        <v>0</v>
      </c>
      <c r="Q929" t="n">
        <v>0</v>
      </c>
      <c r="R929" s="2" t="inlineStr"/>
    </row>
    <row r="930" ht="15" customHeight="1">
      <c r="A930" t="inlineStr">
        <is>
          <t>A 26113-2024</t>
        </is>
      </c>
      <c r="B930" s="1" t="n">
        <v>45468.45541666666</v>
      </c>
      <c r="C930" s="1" t="n">
        <v>46019</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26116-2024</t>
        </is>
      </c>
      <c r="B931" s="1" t="n">
        <v>45468.45747685185</v>
      </c>
      <c r="C931" s="1" t="n">
        <v>46019</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15978-2024</t>
        </is>
      </c>
      <c r="B932" s="1" t="n">
        <v>45405.57927083333</v>
      </c>
      <c r="C932" s="1" t="n">
        <v>46019</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11333-2025</t>
        </is>
      </c>
      <c r="B933" s="1" t="n">
        <v>45726.48377314815</v>
      </c>
      <c r="C933" s="1" t="n">
        <v>46019</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34391-2023</t>
        </is>
      </c>
      <c r="B934" s="1" t="n">
        <v>45139.51457175926</v>
      </c>
      <c r="C934" s="1" t="n">
        <v>46019</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67921-2021</t>
        </is>
      </c>
      <c r="B935" s="1" t="n">
        <v>44525</v>
      </c>
      <c r="C935" s="1" t="n">
        <v>46019</v>
      </c>
      <c r="D935" t="inlineStr">
        <is>
          <t>STOCKHOLMS LÄN</t>
        </is>
      </c>
      <c r="E935" t="inlineStr">
        <is>
          <t>NORRTÄLJE</t>
        </is>
      </c>
      <c r="G935" t="n">
        <v>6.3</v>
      </c>
      <c r="H935" t="n">
        <v>0</v>
      </c>
      <c r="I935" t="n">
        <v>0</v>
      </c>
      <c r="J935" t="n">
        <v>0</v>
      </c>
      <c r="K935" t="n">
        <v>0</v>
      </c>
      <c r="L935" t="n">
        <v>0</v>
      </c>
      <c r="M935" t="n">
        <v>0</v>
      </c>
      <c r="N935" t="n">
        <v>0</v>
      </c>
      <c r="O935" t="n">
        <v>0</v>
      </c>
      <c r="P935" t="n">
        <v>0</v>
      </c>
      <c r="Q935" t="n">
        <v>0</v>
      </c>
      <c r="R935" s="2" t="inlineStr"/>
    </row>
    <row r="936" ht="15" customHeight="1">
      <c r="A936" t="inlineStr">
        <is>
          <t>A 25681-2024</t>
        </is>
      </c>
      <c r="B936" s="1" t="n">
        <v>45463.80486111111</v>
      </c>
      <c r="C936" s="1" t="n">
        <v>46019</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58853-2024</t>
        </is>
      </c>
      <c r="B937" s="1" t="n">
        <v>45636.38974537037</v>
      </c>
      <c r="C937" s="1" t="n">
        <v>46019</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35438-2023</t>
        </is>
      </c>
      <c r="B938" s="1" t="n">
        <v>45146</v>
      </c>
      <c r="C938" s="1" t="n">
        <v>46019</v>
      </c>
      <c r="D938" t="inlineStr">
        <is>
          <t>STOCKHOLMS LÄN</t>
        </is>
      </c>
      <c r="E938" t="inlineStr">
        <is>
          <t>NORRTÄLJE</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20291-2022</t>
        </is>
      </c>
      <c r="B939" s="1" t="n">
        <v>44698</v>
      </c>
      <c r="C939" s="1" t="n">
        <v>46019</v>
      </c>
      <c r="D939" t="inlineStr">
        <is>
          <t>STOCKHOLMS LÄN</t>
        </is>
      </c>
      <c r="E939" t="inlineStr">
        <is>
          <t>NORRTÄLJE</t>
        </is>
      </c>
      <c r="F939" t="inlineStr">
        <is>
          <t>Naturvårdsverket</t>
        </is>
      </c>
      <c r="G939" t="n">
        <v>2</v>
      </c>
      <c r="H939" t="n">
        <v>0</v>
      </c>
      <c r="I939" t="n">
        <v>0</v>
      </c>
      <c r="J939" t="n">
        <v>0</v>
      </c>
      <c r="K939" t="n">
        <v>0</v>
      </c>
      <c r="L939" t="n">
        <v>0</v>
      </c>
      <c r="M939" t="n">
        <v>0</v>
      </c>
      <c r="N939" t="n">
        <v>0</v>
      </c>
      <c r="O939" t="n">
        <v>0</v>
      </c>
      <c r="P939" t="n">
        <v>0</v>
      </c>
      <c r="Q939" t="n">
        <v>0</v>
      </c>
      <c r="R939" s="2" t="inlineStr"/>
    </row>
    <row r="940" ht="15" customHeight="1">
      <c r="A940" t="inlineStr">
        <is>
          <t>A 26115-2024</t>
        </is>
      </c>
      <c r="B940" s="1" t="n">
        <v>45468.45628472222</v>
      </c>
      <c r="C940" s="1" t="n">
        <v>46019</v>
      </c>
      <c r="D940" t="inlineStr">
        <is>
          <t>STOCKHOLMS LÄN</t>
        </is>
      </c>
      <c r="E940" t="inlineStr">
        <is>
          <t>NORRTÄLJE</t>
        </is>
      </c>
      <c r="G940" t="n">
        <v>0.3</v>
      </c>
      <c r="H940" t="n">
        <v>0</v>
      </c>
      <c r="I940" t="n">
        <v>0</v>
      </c>
      <c r="J940" t="n">
        <v>0</v>
      </c>
      <c r="K940" t="n">
        <v>0</v>
      </c>
      <c r="L940" t="n">
        <v>0</v>
      </c>
      <c r="M940" t="n">
        <v>0</v>
      </c>
      <c r="N940" t="n">
        <v>0</v>
      </c>
      <c r="O940" t="n">
        <v>0</v>
      </c>
      <c r="P940" t="n">
        <v>0</v>
      </c>
      <c r="Q940" t="n">
        <v>0</v>
      </c>
      <c r="R940" s="2" t="inlineStr"/>
    </row>
    <row r="941" ht="15" customHeight="1">
      <c r="A941" t="inlineStr">
        <is>
          <t>A 28816-2023</t>
        </is>
      </c>
      <c r="B941" s="1" t="n">
        <v>45104</v>
      </c>
      <c r="C941" s="1" t="n">
        <v>46019</v>
      </c>
      <c r="D941" t="inlineStr">
        <is>
          <t>STOCKHOLMS LÄN</t>
        </is>
      </c>
      <c r="E941" t="inlineStr">
        <is>
          <t>NORRTÄLJE</t>
        </is>
      </c>
      <c r="F941" t="inlineStr">
        <is>
          <t>Kommuner</t>
        </is>
      </c>
      <c r="G941" t="n">
        <v>0.5</v>
      </c>
      <c r="H941" t="n">
        <v>0</v>
      </c>
      <c r="I941" t="n">
        <v>0</v>
      </c>
      <c r="J941" t="n">
        <v>0</v>
      </c>
      <c r="K941" t="n">
        <v>0</v>
      </c>
      <c r="L941" t="n">
        <v>0</v>
      </c>
      <c r="M941" t="n">
        <v>0</v>
      </c>
      <c r="N941" t="n">
        <v>0</v>
      </c>
      <c r="O941" t="n">
        <v>0</v>
      </c>
      <c r="P941" t="n">
        <v>0</v>
      </c>
      <c r="Q941" t="n">
        <v>0</v>
      </c>
      <c r="R941" s="2" t="inlineStr"/>
    </row>
    <row r="942" ht="15" customHeight="1">
      <c r="A942" t="inlineStr">
        <is>
          <t>A 19118-2022</t>
        </is>
      </c>
      <c r="B942" s="1" t="n">
        <v>44691.5652662037</v>
      </c>
      <c r="C942" s="1" t="n">
        <v>46019</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8739-2024</t>
        </is>
      </c>
      <c r="B943" s="1" t="n">
        <v>45356.47784722222</v>
      </c>
      <c r="C943" s="1" t="n">
        <v>46019</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46019</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32857-2021</t>
        </is>
      </c>
      <c r="B945" s="1" t="n">
        <v>44375</v>
      </c>
      <c r="C945" s="1" t="n">
        <v>46019</v>
      </c>
      <c r="D945" t="inlineStr">
        <is>
          <t>STOCKHOLMS LÄN</t>
        </is>
      </c>
      <c r="E945" t="inlineStr">
        <is>
          <t>NORRTÄLJE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29714-2023</t>
        </is>
      </c>
      <c r="B946" s="1" t="n">
        <v>45107.42538194444</v>
      </c>
      <c r="C946" s="1" t="n">
        <v>46019</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23271-2023</t>
        </is>
      </c>
      <c r="B947" s="1" t="n">
        <v>45075.91362268518</v>
      </c>
      <c r="C947" s="1" t="n">
        <v>46019</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23273-2023</t>
        </is>
      </c>
      <c r="B948" s="1" t="n">
        <v>45075.91971064815</v>
      </c>
      <c r="C948" s="1" t="n">
        <v>46019</v>
      </c>
      <c r="D948" t="inlineStr">
        <is>
          <t>STOCKHOLMS LÄN</t>
        </is>
      </c>
      <c r="E948" t="inlineStr">
        <is>
          <t>NORRTÄLJE</t>
        </is>
      </c>
      <c r="G948" t="n">
        <v>7.5</v>
      </c>
      <c r="H948" t="n">
        <v>0</v>
      </c>
      <c r="I948" t="n">
        <v>0</v>
      </c>
      <c r="J948" t="n">
        <v>0</v>
      </c>
      <c r="K948" t="n">
        <v>0</v>
      </c>
      <c r="L948" t="n">
        <v>0</v>
      </c>
      <c r="M948" t="n">
        <v>0</v>
      </c>
      <c r="N948" t="n">
        <v>0</v>
      </c>
      <c r="O948" t="n">
        <v>0</v>
      </c>
      <c r="P948" t="n">
        <v>0</v>
      </c>
      <c r="Q948" t="n">
        <v>0</v>
      </c>
      <c r="R948" s="2" t="inlineStr"/>
    </row>
    <row r="949" ht="15" customHeight="1">
      <c r="A949" t="inlineStr">
        <is>
          <t>A 7603-2025</t>
        </is>
      </c>
      <c r="B949" s="1" t="n">
        <v>45705.66126157407</v>
      </c>
      <c r="C949" s="1" t="n">
        <v>46019</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30802-2022</t>
        </is>
      </c>
      <c r="B950" s="1" t="n">
        <v>44764</v>
      </c>
      <c r="C950" s="1" t="n">
        <v>46019</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55369-2023</t>
        </is>
      </c>
      <c r="B951" s="1" t="n">
        <v>45238</v>
      </c>
      <c r="C951" s="1" t="n">
        <v>46019</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61113-2023</t>
        </is>
      </c>
      <c r="B952" s="1" t="n">
        <v>45261</v>
      </c>
      <c r="C952" s="1" t="n">
        <v>46019</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3283-2025</t>
        </is>
      </c>
      <c r="B953" s="1" t="n">
        <v>45679</v>
      </c>
      <c r="C953" s="1" t="n">
        <v>46019</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34295-2024</t>
        </is>
      </c>
      <c r="B954" s="1" t="n">
        <v>45524</v>
      </c>
      <c r="C954" s="1" t="n">
        <v>46019</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58311-2023</t>
        </is>
      </c>
      <c r="B955" s="1" t="n">
        <v>45245</v>
      </c>
      <c r="C955" s="1" t="n">
        <v>46019</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23692-2024</t>
        </is>
      </c>
      <c r="B956" s="1" t="n">
        <v>45454.65774305556</v>
      </c>
      <c r="C956" s="1" t="n">
        <v>46019</v>
      </c>
      <c r="D956" t="inlineStr">
        <is>
          <t>STOCKHOLMS LÄN</t>
        </is>
      </c>
      <c r="E956" t="inlineStr">
        <is>
          <t>NORRTÄLJE</t>
        </is>
      </c>
      <c r="G956" t="n">
        <v>3.7</v>
      </c>
      <c r="H956" t="n">
        <v>0</v>
      </c>
      <c r="I956" t="n">
        <v>0</v>
      </c>
      <c r="J956" t="n">
        <v>0</v>
      </c>
      <c r="K956" t="n">
        <v>0</v>
      </c>
      <c r="L956" t="n">
        <v>0</v>
      </c>
      <c r="M956" t="n">
        <v>0</v>
      </c>
      <c r="N956" t="n">
        <v>0</v>
      </c>
      <c r="O956" t="n">
        <v>0</v>
      </c>
      <c r="P956" t="n">
        <v>0</v>
      </c>
      <c r="Q956" t="n">
        <v>0</v>
      </c>
      <c r="R956" s="2" t="inlineStr"/>
    </row>
    <row r="957" ht="15" customHeight="1">
      <c r="A957" t="inlineStr">
        <is>
          <t>A 20473-2021</t>
        </is>
      </c>
      <c r="B957" s="1" t="n">
        <v>44315</v>
      </c>
      <c r="C957" s="1" t="n">
        <v>46019</v>
      </c>
      <c r="D957" t="inlineStr">
        <is>
          <t>STOCKHOLMS LÄN</t>
        </is>
      </c>
      <c r="E957" t="inlineStr">
        <is>
          <t>NORRTÄLJE</t>
        </is>
      </c>
      <c r="F957" t="inlineStr">
        <is>
          <t>Övriga Aktiebolag</t>
        </is>
      </c>
      <c r="G957" t="n">
        <v>3.6</v>
      </c>
      <c r="H957" t="n">
        <v>0</v>
      </c>
      <c r="I957" t="n">
        <v>0</v>
      </c>
      <c r="J957" t="n">
        <v>0</v>
      </c>
      <c r="K957" t="n">
        <v>0</v>
      </c>
      <c r="L957" t="n">
        <v>0</v>
      </c>
      <c r="M957" t="n">
        <v>0</v>
      </c>
      <c r="N957" t="n">
        <v>0</v>
      </c>
      <c r="O957" t="n">
        <v>0</v>
      </c>
      <c r="P957" t="n">
        <v>0</v>
      </c>
      <c r="Q957" t="n">
        <v>0</v>
      </c>
      <c r="R957" s="2" t="inlineStr"/>
    </row>
    <row r="958" ht="15" customHeight="1">
      <c r="A958" t="inlineStr">
        <is>
          <t>A 54273-2021</t>
        </is>
      </c>
      <c r="B958" s="1" t="n">
        <v>44470.72987268519</v>
      </c>
      <c r="C958" s="1" t="n">
        <v>46019</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7806-2025</t>
        </is>
      </c>
      <c r="B959" s="1" t="n">
        <v>45706.61178240741</v>
      </c>
      <c r="C959" s="1" t="n">
        <v>46019</v>
      </c>
      <c r="D959" t="inlineStr">
        <is>
          <t>STOCKHOLMS LÄN</t>
        </is>
      </c>
      <c r="E959" t="inlineStr">
        <is>
          <t>NORRTÄLJE</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53792-2023</t>
        </is>
      </c>
      <c r="B960" s="1" t="n">
        <v>45231.34144675926</v>
      </c>
      <c r="C960" s="1" t="n">
        <v>46019</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21329-2022</t>
        </is>
      </c>
      <c r="B961" s="1" t="n">
        <v>44705.60626157407</v>
      </c>
      <c r="C961" s="1" t="n">
        <v>46019</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50569-2022</t>
        </is>
      </c>
      <c r="B962" s="1" t="n">
        <v>44866.63775462963</v>
      </c>
      <c r="C962" s="1" t="n">
        <v>46019</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24501-2023</t>
        </is>
      </c>
      <c r="B963" s="1" t="n">
        <v>45082</v>
      </c>
      <c r="C963" s="1" t="n">
        <v>46019</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24520-2023</t>
        </is>
      </c>
      <c r="B964" s="1" t="n">
        <v>45082.68922453704</v>
      </c>
      <c r="C964" s="1" t="n">
        <v>46019</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60654-2023</t>
        </is>
      </c>
      <c r="B965" s="1" t="n">
        <v>45260.43225694444</v>
      </c>
      <c r="C965" s="1" t="n">
        <v>46019</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60656-2023</t>
        </is>
      </c>
      <c r="B966" s="1" t="n">
        <v>45260.4333449074</v>
      </c>
      <c r="C966" s="1" t="n">
        <v>46019</v>
      </c>
      <c r="D966" t="inlineStr">
        <is>
          <t>STOCKHOLMS LÄN</t>
        </is>
      </c>
      <c r="E966" t="inlineStr">
        <is>
          <t>NORRTÄLJE</t>
        </is>
      </c>
      <c r="G966" t="n">
        <v>4.8</v>
      </c>
      <c r="H966" t="n">
        <v>0</v>
      </c>
      <c r="I966" t="n">
        <v>0</v>
      </c>
      <c r="J966" t="n">
        <v>0</v>
      </c>
      <c r="K966" t="n">
        <v>0</v>
      </c>
      <c r="L966" t="n">
        <v>0</v>
      </c>
      <c r="M966" t="n">
        <v>0</v>
      </c>
      <c r="N966" t="n">
        <v>0</v>
      </c>
      <c r="O966" t="n">
        <v>0</v>
      </c>
      <c r="P966" t="n">
        <v>0</v>
      </c>
      <c r="Q966" t="n">
        <v>0</v>
      </c>
      <c r="R966" s="2" t="inlineStr"/>
    </row>
    <row r="967" ht="15" customHeight="1">
      <c r="A967" t="inlineStr">
        <is>
          <t>A 54496-2024</t>
        </is>
      </c>
      <c r="B967" s="1" t="n">
        <v>45617.57439814815</v>
      </c>
      <c r="C967" s="1" t="n">
        <v>46019</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21386-2023</t>
        </is>
      </c>
      <c r="B968" s="1" t="n">
        <v>45063.35880787037</v>
      </c>
      <c r="C968" s="1" t="n">
        <v>46019</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10642-2025</t>
        </is>
      </c>
      <c r="B969" s="1" t="n">
        <v>45721.65858796296</v>
      </c>
      <c r="C969" s="1" t="n">
        <v>46019</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20144-2023</t>
        </is>
      </c>
      <c r="B970" s="1" t="n">
        <v>45055.43509259259</v>
      </c>
      <c r="C970" s="1" t="n">
        <v>46019</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53312-2024</t>
        </is>
      </c>
      <c r="B971" s="1" t="n">
        <v>45614.39627314815</v>
      </c>
      <c r="C971" s="1" t="n">
        <v>46019</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39202-2024</t>
        </is>
      </c>
      <c r="B972" s="1" t="n">
        <v>45548.72306712963</v>
      </c>
      <c r="C972" s="1" t="n">
        <v>46019</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22756-2022</t>
        </is>
      </c>
      <c r="B973" s="1" t="n">
        <v>44714.92253472222</v>
      </c>
      <c r="C973" s="1" t="n">
        <v>46019</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4581-2025</t>
        </is>
      </c>
      <c r="B974" s="1" t="n">
        <v>45687</v>
      </c>
      <c r="C974" s="1" t="n">
        <v>46019</v>
      </c>
      <c r="D974" t="inlineStr">
        <is>
          <t>STOCKHOLMS LÄN</t>
        </is>
      </c>
      <c r="E974" t="inlineStr">
        <is>
          <t>NORRTÄLJE</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60765-2023</t>
        </is>
      </c>
      <c r="B975" s="1" t="n">
        <v>45260</v>
      </c>
      <c r="C975" s="1" t="n">
        <v>46019</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23801-2022</t>
        </is>
      </c>
      <c r="B976" s="1" t="n">
        <v>44722</v>
      </c>
      <c r="C976" s="1" t="n">
        <v>46019</v>
      </c>
      <c r="D976" t="inlineStr">
        <is>
          <t>STOCKHOLMS LÄN</t>
        </is>
      </c>
      <c r="E976" t="inlineStr">
        <is>
          <t>NORRTÄLJE</t>
        </is>
      </c>
      <c r="G976" t="n">
        <v>6.8</v>
      </c>
      <c r="H976" t="n">
        <v>0</v>
      </c>
      <c r="I976" t="n">
        <v>0</v>
      </c>
      <c r="J976" t="n">
        <v>0</v>
      </c>
      <c r="K976" t="n">
        <v>0</v>
      </c>
      <c r="L976" t="n">
        <v>0</v>
      </c>
      <c r="M976" t="n">
        <v>0</v>
      </c>
      <c r="N976" t="n">
        <v>0</v>
      </c>
      <c r="O976" t="n">
        <v>0</v>
      </c>
      <c r="P976" t="n">
        <v>0</v>
      </c>
      <c r="Q976" t="n">
        <v>0</v>
      </c>
      <c r="R976" s="2" t="inlineStr"/>
    </row>
    <row r="977" ht="15" customHeight="1">
      <c r="A977" t="inlineStr">
        <is>
          <t>A 59276-2023</t>
        </is>
      </c>
      <c r="B977" s="1" t="n">
        <v>45253.55641203704</v>
      </c>
      <c r="C977" s="1" t="n">
        <v>46019</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46914-2022</t>
        </is>
      </c>
      <c r="B978" s="1" t="n">
        <v>44851</v>
      </c>
      <c r="C978" s="1" t="n">
        <v>46019</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18541-2023</t>
        </is>
      </c>
      <c r="B979" s="1" t="n">
        <v>45042.74291666667</v>
      </c>
      <c r="C979" s="1" t="n">
        <v>46019</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3509-2022</t>
        </is>
      </c>
      <c r="B980" s="1" t="n">
        <v>44585</v>
      </c>
      <c r="C980" s="1" t="n">
        <v>46019</v>
      </c>
      <c r="D980" t="inlineStr">
        <is>
          <t>STOCKHOLMS LÄN</t>
        </is>
      </c>
      <c r="E980" t="inlineStr">
        <is>
          <t>NORRTÄLJE</t>
        </is>
      </c>
      <c r="F980" t="inlineStr">
        <is>
          <t>Kommuner</t>
        </is>
      </c>
      <c r="G980" t="n">
        <v>0.8</v>
      </c>
      <c r="H980" t="n">
        <v>0</v>
      </c>
      <c r="I980" t="n">
        <v>0</v>
      </c>
      <c r="J980" t="n">
        <v>0</v>
      </c>
      <c r="K980" t="n">
        <v>0</v>
      </c>
      <c r="L980" t="n">
        <v>0</v>
      </c>
      <c r="M980" t="n">
        <v>0</v>
      </c>
      <c r="N980" t="n">
        <v>0</v>
      </c>
      <c r="O980" t="n">
        <v>0</v>
      </c>
      <c r="P980" t="n">
        <v>0</v>
      </c>
      <c r="Q980" t="n">
        <v>0</v>
      </c>
      <c r="R980" s="2" t="inlineStr"/>
    </row>
    <row r="981" ht="15" customHeight="1">
      <c r="A981" t="inlineStr">
        <is>
          <t>A 26407-2024</t>
        </is>
      </c>
      <c r="B981" s="1" t="n">
        <v>45469</v>
      </c>
      <c r="C981" s="1" t="n">
        <v>46019</v>
      </c>
      <c r="D981" t="inlineStr">
        <is>
          <t>STOCKHOLMS LÄN</t>
        </is>
      </c>
      <c r="E981" t="inlineStr">
        <is>
          <t>NORRTÄLJE</t>
        </is>
      </c>
      <c r="G981" t="n">
        <v>3.5</v>
      </c>
      <c r="H981" t="n">
        <v>0</v>
      </c>
      <c r="I981" t="n">
        <v>0</v>
      </c>
      <c r="J981" t="n">
        <v>0</v>
      </c>
      <c r="K981" t="n">
        <v>0</v>
      </c>
      <c r="L981" t="n">
        <v>0</v>
      </c>
      <c r="M981" t="n">
        <v>0</v>
      </c>
      <c r="N981" t="n">
        <v>0</v>
      </c>
      <c r="O981" t="n">
        <v>0</v>
      </c>
      <c r="P981" t="n">
        <v>0</v>
      </c>
      <c r="Q981" t="n">
        <v>0</v>
      </c>
      <c r="R981" s="2" t="inlineStr"/>
    </row>
    <row r="982" ht="15" customHeight="1">
      <c r="A982" t="inlineStr">
        <is>
          <t>A 12890-2024</t>
        </is>
      </c>
      <c r="B982" s="1" t="n">
        <v>45385.36243055556</v>
      </c>
      <c r="C982" s="1" t="n">
        <v>46019</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47419-2023</t>
        </is>
      </c>
      <c r="B983" s="1" t="n">
        <v>45202.65660879629</v>
      </c>
      <c r="C983" s="1" t="n">
        <v>46019</v>
      </c>
      <c r="D983" t="inlineStr">
        <is>
          <t>STOCKHOLMS LÄN</t>
        </is>
      </c>
      <c r="E983" t="inlineStr">
        <is>
          <t>NORRTÄLJE</t>
        </is>
      </c>
      <c r="G983" t="n">
        <v>11.4</v>
      </c>
      <c r="H983" t="n">
        <v>0</v>
      </c>
      <c r="I983" t="n">
        <v>0</v>
      </c>
      <c r="J983" t="n">
        <v>0</v>
      </c>
      <c r="K983" t="n">
        <v>0</v>
      </c>
      <c r="L983" t="n">
        <v>0</v>
      </c>
      <c r="M983" t="n">
        <v>0</v>
      </c>
      <c r="N983" t="n">
        <v>0</v>
      </c>
      <c r="O983" t="n">
        <v>0</v>
      </c>
      <c r="P983" t="n">
        <v>0</v>
      </c>
      <c r="Q983" t="n">
        <v>0</v>
      </c>
      <c r="R983" s="2" t="inlineStr"/>
    </row>
    <row r="984" ht="15" customHeight="1">
      <c r="A984" t="inlineStr">
        <is>
          <t>A 23070-2023</t>
        </is>
      </c>
      <c r="B984" s="1" t="n">
        <v>45075</v>
      </c>
      <c r="C984" s="1" t="n">
        <v>46019</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27824-2022</t>
        </is>
      </c>
      <c r="B985" s="1" t="n">
        <v>44743.59331018518</v>
      </c>
      <c r="C985" s="1" t="n">
        <v>46019</v>
      </c>
      <c r="D985" t="inlineStr">
        <is>
          <t>STOCKHOLMS LÄN</t>
        </is>
      </c>
      <c r="E985" t="inlineStr">
        <is>
          <t>NORRTÄLJE</t>
        </is>
      </c>
      <c r="F985" t="inlineStr">
        <is>
          <t>Kommuner</t>
        </is>
      </c>
      <c r="G985" t="n">
        <v>3.1</v>
      </c>
      <c r="H985" t="n">
        <v>0</v>
      </c>
      <c r="I985" t="n">
        <v>0</v>
      </c>
      <c r="J985" t="n">
        <v>0</v>
      </c>
      <c r="K985" t="n">
        <v>0</v>
      </c>
      <c r="L985" t="n">
        <v>0</v>
      </c>
      <c r="M985" t="n">
        <v>0</v>
      </c>
      <c r="N985" t="n">
        <v>0</v>
      </c>
      <c r="O985" t="n">
        <v>0</v>
      </c>
      <c r="P985" t="n">
        <v>0</v>
      </c>
      <c r="Q985" t="n">
        <v>0</v>
      </c>
      <c r="R985" s="2" t="inlineStr"/>
    </row>
    <row r="986" ht="15" customHeight="1">
      <c r="A986" t="inlineStr">
        <is>
          <t>A 25619-2022</t>
        </is>
      </c>
      <c r="B986" s="1" t="n">
        <v>44732</v>
      </c>
      <c r="C986" s="1" t="n">
        <v>46019</v>
      </c>
      <c r="D986" t="inlineStr">
        <is>
          <t>STOCKHOLMS LÄN</t>
        </is>
      </c>
      <c r="E986" t="inlineStr">
        <is>
          <t>NORRTÄLJE</t>
        </is>
      </c>
      <c r="G986" t="n">
        <v>3.9</v>
      </c>
      <c r="H986" t="n">
        <v>0</v>
      </c>
      <c r="I986" t="n">
        <v>0</v>
      </c>
      <c r="J986" t="n">
        <v>0</v>
      </c>
      <c r="K986" t="n">
        <v>0</v>
      </c>
      <c r="L986" t="n">
        <v>0</v>
      </c>
      <c r="M986" t="n">
        <v>0</v>
      </c>
      <c r="N986" t="n">
        <v>0</v>
      </c>
      <c r="O986" t="n">
        <v>0</v>
      </c>
      <c r="P986" t="n">
        <v>0</v>
      </c>
      <c r="Q986" t="n">
        <v>0</v>
      </c>
      <c r="R986" s="2" t="inlineStr"/>
    </row>
    <row r="987" ht="15" customHeight="1">
      <c r="A987" t="inlineStr">
        <is>
          <t>A 36246-2021</t>
        </is>
      </c>
      <c r="B987" s="1" t="n">
        <v>44390</v>
      </c>
      <c r="C987" s="1" t="n">
        <v>46019</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19952-2023</t>
        </is>
      </c>
      <c r="B988" s="1" t="n">
        <v>45054.54091435186</v>
      </c>
      <c r="C988" s="1" t="n">
        <v>46019</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19994-2023</t>
        </is>
      </c>
      <c r="B989" s="1" t="n">
        <v>45054</v>
      </c>
      <c r="C989" s="1" t="n">
        <v>46019</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14130-2025</t>
        </is>
      </c>
      <c r="B990" s="1" t="n">
        <v>45740.47288194444</v>
      </c>
      <c r="C990" s="1" t="n">
        <v>46019</v>
      </c>
      <c r="D990" t="inlineStr">
        <is>
          <t>STOCKHOLMS LÄN</t>
        </is>
      </c>
      <c r="E990" t="inlineStr">
        <is>
          <t>NORRTÄLJE</t>
        </is>
      </c>
      <c r="G990" t="n">
        <v>2.1</v>
      </c>
      <c r="H990" t="n">
        <v>0</v>
      </c>
      <c r="I990" t="n">
        <v>0</v>
      </c>
      <c r="J990" t="n">
        <v>0</v>
      </c>
      <c r="K990" t="n">
        <v>0</v>
      </c>
      <c r="L990" t="n">
        <v>0</v>
      </c>
      <c r="M990" t="n">
        <v>0</v>
      </c>
      <c r="N990" t="n">
        <v>0</v>
      </c>
      <c r="O990" t="n">
        <v>0</v>
      </c>
      <c r="P990" t="n">
        <v>0</v>
      </c>
      <c r="Q990" t="n">
        <v>0</v>
      </c>
      <c r="R990" s="2" t="inlineStr"/>
    </row>
    <row r="991" ht="15" customHeight="1">
      <c r="A991" t="inlineStr">
        <is>
          <t>A 574-2023</t>
        </is>
      </c>
      <c r="B991" s="1" t="n">
        <v>44925</v>
      </c>
      <c r="C991" s="1" t="n">
        <v>46019</v>
      </c>
      <c r="D991" t="inlineStr">
        <is>
          <t>STOCKHOLMS LÄN</t>
        </is>
      </c>
      <c r="E991" t="inlineStr">
        <is>
          <t>NORRTÄLJE</t>
        </is>
      </c>
      <c r="G991" t="n">
        <v>5</v>
      </c>
      <c r="H991" t="n">
        <v>0</v>
      </c>
      <c r="I991" t="n">
        <v>0</v>
      </c>
      <c r="J991" t="n">
        <v>0</v>
      </c>
      <c r="K991" t="n">
        <v>0</v>
      </c>
      <c r="L991" t="n">
        <v>0</v>
      </c>
      <c r="M991" t="n">
        <v>0</v>
      </c>
      <c r="N991" t="n">
        <v>0</v>
      </c>
      <c r="O991" t="n">
        <v>0</v>
      </c>
      <c r="P991" t="n">
        <v>0</v>
      </c>
      <c r="Q991" t="n">
        <v>0</v>
      </c>
      <c r="R991" s="2" t="inlineStr"/>
    </row>
    <row r="992" ht="15" customHeight="1">
      <c r="A992" t="inlineStr">
        <is>
          <t>A 30283-2022</t>
        </is>
      </c>
      <c r="B992" s="1" t="n">
        <v>44760</v>
      </c>
      <c r="C992" s="1" t="n">
        <v>46019</v>
      </c>
      <c r="D992" t="inlineStr">
        <is>
          <t>STOCKHOLMS LÄN</t>
        </is>
      </c>
      <c r="E992" t="inlineStr">
        <is>
          <t>NORRTÄLJE</t>
        </is>
      </c>
      <c r="G992" t="n">
        <v>6.2</v>
      </c>
      <c r="H992" t="n">
        <v>0</v>
      </c>
      <c r="I992" t="n">
        <v>0</v>
      </c>
      <c r="J992" t="n">
        <v>0</v>
      </c>
      <c r="K992" t="n">
        <v>0</v>
      </c>
      <c r="L992" t="n">
        <v>0</v>
      </c>
      <c r="M992" t="n">
        <v>0</v>
      </c>
      <c r="N992" t="n">
        <v>0</v>
      </c>
      <c r="O992" t="n">
        <v>0</v>
      </c>
      <c r="P992" t="n">
        <v>0</v>
      </c>
      <c r="Q992" t="n">
        <v>0</v>
      </c>
      <c r="R992" s="2" t="inlineStr"/>
    </row>
    <row r="993" ht="15" customHeight="1">
      <c r="A993" t="inlineStr">
        <is>
          <t>A 30290-2022</t>
        </is>
      </c>
      <c r="B993" s="1" t="n">
        <v>44760</v>
      </c>
      <c r="C993" s="1" t="n">
        <v>46019</v>
      </c>
      <c r="D993" t="inlineStr">
        <is>
          <t>STOCKHOLMS LÄN</t>
        </is>
      </c>
      <c r="E993" t="inlineStr">
        <is>
          <t>NORRTÄLJE</t>
        </is>
      </c>
      <c r="G993" t="n">
        <v>4.8</v>
      </c>
      <c r="H993" t="n">
        <v>0</v>
      </c>
      <c r="I993" t="n">
        <v>0</v>
      </c>
      <c r="J993" t="n">
        <v>0</v>
      </c>
      <c r="K993" t="n">
        <v>0</v>
      </c>
      <c r="L993" t="n">
        <v>0</v>
      </c>
      <c r="M993" t="n">
        <v>0</v>
      </c>
      <c r="N993" t="n">
        <v>0</v>
      </c>
      <c r="O993" t="n">
        <v>0</v>
      </c>
      <c r="P993" t="n">
        <v>0</v>
      </c>
      <c r="Q993" t="n">
        <v>0</v>
      </c>
      <c r="R993" s="2" t="inlineStr"/>
    </row>
    <row r="994" ht="15" customHeight="1">
      <c r="A994" t="inlineStr">
        <is>
          <t>A 3143-2021</t>
        </is>
      </c>
      <c r="B994" s="1" t="n">
        <v>44217.40149305556</v>
      </c>
      <c r="C994" s="1" t="n">
        <v>46019</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29684-2021</t>
        </is>
      </c>
      <c r="B995" s="1" t="n">
        <v>44362.37172453704</v>
      </c>
      <c r="C995" s="1" t="n">
        <v>46019</v>
      </c>
      <c r="D995" t="inlineStr">
        <is>
          <t>STOCKHOLMS LÄN</t>
        </is>
      </c>
      <c r="E995" t="inlineStr">
        <is>
          <t>NORRTÄLJE</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60884-2024</t>
        </is>
      </c>
      <c r="B996" s="1" t="n">
        <v>45644.90815972222</v>
      </c>
      <c r="C996" s="1" t="n">
        <v>46019</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38610-2022</t>
        </is>
      </c>
      <c r="B997" s="1" t="n">
        <v>44813.59915509259</v>
      </c>
      <c r="C997" s="1" t="n">
        <v>46019</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10090-2022</t>
        </is>
      </c>
      <c r="B998" s="1" t="n">
        <v>44621</v>
      </c>
      <c r="C998" s="1" t="n">
        <v>46019</v>
      </c>
      <c r="D998" t="inlineStr">
        <is>
          <t>STOCKHOLMS LÄN</t>
        </is>
      </c>
      <c r="E998" t="inlineStr">
        <is>
          <t>NORRTÄLJE</t>
        </is>
      </c>
      <c r="G998" t="n">
        <v>5.2</v>
      </c>
      <c r="H998" t="n">
        <v>0</v>
      </c>
      <c r="I998" t="n">
        <v>0</v>
      </c>
      <c r="J998" t="n">
        <v>0</v>
      </c>
      <c r="K998" t="n">
        <v>0</v>
      </c>
      <c r="L998" t="n">
        <v>0</v>
      </c>
      <c r="M998" t="n">
        <v>0</v>
      </c>
      <c r="N998" t="n">
        <v>0</v>
      </c>
      <c r="O998" t="n">
        <v>0</v>
      </c>
      <c r="P998" t="n">
        <v>0</v>
      </c>
      <c r="Q998" t="n">
        <v>0</v>
      </c>
      <c r="R998" s="2" t="inlineStr"/>
    </row>
    <row r="999" ht="15" customHeight="1">
      <c r="A999" t="inlineStr">
        <is>
          <t>A 14724-2022</t>
        </is>
      </c>
      <c r="B999" s="1" t="n">
        <v>44656</v>
      </c>
      <c r="C999" s="1" t="n">
        <v>46019</v>
      </c>
      <c r="D999" t="inlineStr">
        <is>
          <t>STOCKHOLMS LÄN</t>
        </is>
      </c>
      <c r="E999" t="inlineStr">
        <is>
          <t>NORRTÄLJE</t>
        </is>
      </c>
      <c r="F999" t="inlineStr">
        <is>
          <t>Sveaskog</t>
        </is>
      </c>
      <c r="G999" t="n">
        <v>9</v>
      </c>
      <c r="H999" t="n">
        <v>0</v>
      </c>
      <c r="I999" t="n">
        <v>0</v>
      </c>
      <c r="J999" t="n">
        <v>0</v>
      </c>
      <c r="K999" t="n">
        <v>0</v>
      </c>
      <c r="L999" t="n">
        <v>0</v>
      </c>
      <c r="M999" t="n">
        <v>0</v>
      </c>
      <c r="N999" t="n">
        <v>0</v>
      </c>
      <c r="O999" t="n">
        <v>0</v>
      </c>
      <c r="P999" t="n">
        <v>0</v>
      </c>
      <c r="Q999" t="n">
        <v>0</v>
      </c>
      <c r="R999" s="2" t="inlineStr"/>
    </row>
    <row r="1000" ht="15" customHeight="1">
      <c r="A1000" t="inlineStr">
        <is>
          <t>A 18846-2022</t>
        </is>
      </c>
      <c r="B1000" s="1" t="n">
        <v>44690</v>
      </c>
      <c r="C1000" s="1" t="n">
        <v>46019</v>
      </c>
      <c r="D1000" t="inlineStr">
        <is>
          <t>STOCKHOLMS LÄN</t>
        </is>
      </c>
      <c r="E1000" t="inlineStr">
        <is>
          <t>NORRTÄLJE</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43300-2023</t>
        </is>
      </c>
      <c r="B1001" s="1" t="n">
        <v>45183</v>
      </c>
      <c r="C1001" s="1" t="n">
        <v>46019</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25654-2023</t>
        </is>
      </c>
      <c r="B1002" s="1" t="n">
        <v>45089</v>
      </c>
      <c r="C1002" s="1" t="n">
        <v>46019</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23125-2022</t>
        </is>
      </c>
      <c r="B1003" s="1" t="n">
        <v>44719</v>
      </c>
      <c r="C1003" s="1" t="n">
        <v>46019</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20121-2022</t>
        </is>
      </c>
      <c r="B1004" s="1" t="n">
        <v>44698</v>
      </c>
      <c r="C1004" s="1" t="n">
        <v>46019</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33385-2024</t>
        </is>
      </c>
      <c r="B1005" s="1" t="n">
        <v>45519</v>
      </c>
      <c r="C1005" s="1" t="n">
        <v>46019</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41172-2023</t>
        </is>
      </c>
      <c r="B1006" s="1" t="n">
        <v>45170</v>
      </c>
      <c r="C1006" s="1" t="n">
        <v>46019</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73307-2021</t>
        </is>
      </c>
      <c r="B1007" s="1" t="n">
        <v>44549</v>
      </c>
      <c r="C1007" s="1" t="n">
        <v>46019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50534-2024</t>
        </is>
      </c>
      <c r="B1008" s="1" t="n">
        <v>45601.56726851852</v>
      </c>
      <c r="C1008" s="1" t="n">
        <v>46019</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11988-2021</t>
        </is>
      </c>
      <c r="B1009" s="1" t="n">
        <v>44266</v>
      </c>
      <c r="C1009" s="1" t="n">
        <v>46019</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12132-2021</t>
        </is>
      </c>
      <c r="B1010" s="1" t="n">
        <v>44266</v>
      </c>
      <c r="C1010" s="1" t="n">
        <v>46019</v>
      </c>
      <c r="D1010" t="inlineStr">
        <is>
          <t>STOCKHOLMS LÄN</t>
        </is>
      </c>
      <c r="E1010" t="inlineStr">
        <is>
          <t>NORRTÄLJE</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65499-2021</t>
        </is>
      </c>
      <c r="B1011" s="1" t="n">
        <v>44516</v>
      </c>
      <c r="C1011" s="1" t="n">
        <v>46019</v>
      </c>
      <c r="D1011" t="inlineStr">
        <is>
          <t>STOCKHOLMS LÄN</t>
        </is>
      </c>
      <c r="E1011" t="inlineStr">
        <is>
          <t>NORRTÄLJE</t>
        </is>
      </c>
      <c r="F1011" t="inlineStr">
        <is>
          <t>Kommuner</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65511-2021</t>
        </is>
      </c>
      <c r="B1012" s="1" t="n">
        <v>44516.40674768519</v>
      </c>
      <c r="C1012" s="1" t="n">
        <v>46019</v>
      </c>
      <c r="D1012" t="inlineStr">
        <is>
          <t>STOCKHOLMS LÄN</t>
        </is>
      </c>
      <c r="E1012" t="inlineStr">
        <is>
          <t>NORRTÄLJE</t>
        </is>
      </c>
      <c r="F1012" t="inlineStr">
        <is>
          <t>Kommuner</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22833-2024</t>
        </is>
      </c>
      <c r="B1013" s="1" t="n">
        <v>45448.56746527777</v>
      </c>
      <c r="C1013" s="1" t="n">
        <v>46019</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32514-2022</t>
        </is>
      </c>
      <c r="B1014" s="1" t="n">
        <v>44782</v>
      </c>
      <c r="C1014" s="1" t="n">
        <v>46019</v>
      </c>
      <c r="D1014" t="inlineStr">
        <is>
          <t>STOCKHOLMS LÄN</t>
        </is>
      </c>
      <c r="E1014" t="inlineStr">
        <is>
          <t>NORRTÄLJE</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29362-2022</t>
        </is>
      </c>
      <c r="B1015" s="1" t="n">
        <v>44753</v>
      </c>
      <c r="C1015" s="1" t="n">
        <v>46019</v>
      </c>
      <c r="D1015" t="inlineStr">
        <is>
          <t>STOCKHOLMS LÄN</t>
        </is>
      </c>
      <c r="E1015" t="inlineStr">
        <is>
          <t>NORRTÄLJE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58492-2022</t>
        </is>
      </c>
      <c r="B1016" s="1" t="n">
        <v>44902</v>
      </c>
      <c r="C1016" s="1" t="n">
        <v>46019</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51315-2021</t>
        </is>
      </c>
      <c r="B1017" s="1" t="n">
        <v>44461</v>
      </c>
      <c r="C1017" s="1" t="n">
        <v>46019</v>
      </c>
      <c r="D1017" t="inlineStr">
        <is>
          <t>STOCKHOLMS LÄN</t>
        </is>
      </c>
      <c r="E1017" t="inlineStr">
        <is>
          <t>NORRTÄLJE</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14873-2025</t>
        </is>
      </c>
      <c r="B1018" s="1" t="n">
        <v>45743.44953703704</v>
      </c>
      <c r="C1018" s="1" t="n">
        <v>46019</v>
      </c>
      <c r="D1018" t="inlineStr">
        <is>
          <t>STOCKHOLMS LÄN</t>
        </is>
      </c>
      <c r="E1018" t="inlineStr">
        <is>
          <t>NORRTÄLJE</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34773-2022</t>
        </is>
      </c>
      <c r="B1019" s="1" t="n">
        <v>44795</v>
      </c>
      <c r="C1019" s="1" t="n">
        <v>46019</v>
      </c>
      <c r="D1019" t="inlineStr">
        <is>
          <t>STOCKHOLMS LÄN</t>
        </is>
      </c>
      <c r="E1019" t="inlineStr">
        <is>
          <t>NORRTÄLJE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33173-2024</t>
        </is>
      </c>
      <c r="B1020" s="1" t="n">
        <v>45518</v>
      </c>
      <c r="C1020" s="1" t="n">
        <v>46019</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4484-2025</t>
        </is>
      </c>
      <c r="B1021" s="1" t="n">
        <v>45686.65545138889</v>
      </c>
      <c r="C1021" s="1" t="n">
        <v>46019</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33878-2024</t>
        </is>
      </c>
      <c r="B1022" s="1" t="n">
        <v>45522.44414351852</v>
      </c>
      <c r="C1022" s="1" t="n">
        <v>46019</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9246-2024</t>
        </is>
      </c>
      <c r="B1023" s="1" t="n">
        <v>45357</v>
      </c>
      <c r="C1023" s="1" t="n">
        <v>46019</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35698-2023</t>
        </is>
      </c>
      <c r="B1024" s="1" t="n">
        <v>45147</v>
      </c>
      <c r="C1024" s="1" t="n">
        <v>46019</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62398-2022</t>
        </is>
      </c>
      <c r="B1025" s="1" t="n">
        <v>44923.90159722222</v>
      </c>
      <c r="C1025" s="1" t="n">
        <v>46019</v>
      </c>
      <c r="D1025" t="inlineStr">
        <is>
          <t>STOCKHOLMS LÄN</t>
        </is>
      </c>
      <c r="E1025" t="inlineStr">
        <is>
          <t>NORRTÄLJE</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49700-2023</t>
        </is>
      </c>
      <c r="B1026" s="1" t="n">
        <v>45212</v>
      </c>
      <c r="C1026" s="1" t="n">
        <v>46019</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32071-2023</t>
        </is>
      </c>
      <c r="B1027" s="1" t="n">
        <v>45119.57728009259</v>
      </c>
      <c r="C1027" s="1" t="n">
        <v>46019</v>
      </c>
      <c r="D1027" t="inlineStr">
        <is>
          <t>STOCKHOLMS LÄN</t>
        </is>
      </c>
      <c r="E1027" t="inlineStr">
        <is>
          <t>NORRTÄLJE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1425-2025</t>
        </is>
      </c>
      <c r="B1028" s="1" t="n">
        <v>45668.67446759259</v>
      </c>
      <c r="C1028" s="1" t="n">
        <v>46019</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17775-2022</t>
        </is>
      </c>
      <c r="B1029" s="1" t="n">
        <v>44682.78430555556</v>
      </c>
      <c r="C1029" s="1" t="n">
        <v>46019</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38720-2022</t>
        </is>
      </c>
      <c r="B1030" s="1" t="n">
        <v>44815.74539351852</v>
      </c>
      <c r="C1030" s="1" t="n">
        <v>46019</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10215-2023</t>
        </is>
      </c>
      <c r="B1031" s="1" t="n">
        <v>44986.5887962963</v>
      </c>
      <c r="C1031" s="1" t="n">
        <v>46019</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25609-2023</t>
        </is>
      </c>
      <c r="B1032" s="1" t="n">
        <v>45089</v>
      </c>
      <c r="C1032" s="1" t="n">
        <v>46019</v>
      </c>
      <c r="D1032" t="inlineStr">
        <is>
          <t>STOCKHOLMS LÄN</t>
        </is>
      </c>
      <c r="E1032" t="inlineStr">
        <is>
          <t>NORRTÄLJE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20014-2025</t>
        </is>
      </c>
      <c r="B1033" s="1" t="n">
        <v>45772.3078125</v>
      </c>
      <c r="C1033" s="1" t="n">
        <v>46019</v>
      </c>
      <c r="D1033" t="inlineStr">
        <is>
          <t>STOCKHOLMS LÄN</t>
        </is>
      </c>
      <c r="E1033" t="inlineStr">
        <is>
          <t>NORRTÄLJE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20136-2025</t>
        </is>
      </c>
      <c r="B1034" s="1" t="n">
        <v>45772.51127314815</v>
      </c>
      <c r="C1034" s="1" t="n">
        <v>46019</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2287-2024</t>
        </is>
      </c>
      <c r="B1035" s="1" t="n">
        <v>45310</v>
      </c>
      <c r="C1035" s="1" t="n">
        <v>46019</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13785-2024</t>
        </is>
      </c>
      <c r="B1036" s="1" t="n">
        <v>45391.3395949074</v>
      </c>
      <c r="C1036" s="1" t="n">
        <v>46019</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50469-2022</t>
        </is>
      </c>
      <c r="B1037" s="1" t="n">
        <v>44866.49827546296</v>
      </c>
      <c r="C1037" s="1" t="n">
        <v>46019</v>
      </c>
      <c r="D1037" t="inlineStr">
        <is>
          <t>STOCKHOLMS LÄN</t>
        </is>
      </c>
      <c r="E1037" t="inlineStr">
        <is>
          <t>NORRTÄLJE</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51116-2022</t>
        </is>
      </c>
      <c r="B1038" s="1" t="n">
        <v>44868.45741898148</v>
      </c>
      <c r="C1038" s="1" t="n">
        <v>46019</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60217-2021</t>
        </is>
      </c>
      <c r="B1039" s="1" t="n">
        <v>44495.5893287037</v>
      </c>
      <c r="C1039" s="1" t="n">
        <v>46019</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5839-2023</t>
        </is>
      </c>
      <c r="B1040" s="1" t="n">
        <v>44963</v>
      </c>
      <c r="C1040" s="1" t="n">
        <v>46019</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38985-2022</t>
        </is>
      </c>
      <c r="B1041" s="1" t="n">
        <v>44816</v>
      </c>
      <c r="C1041" s="1" t="n">
        <v>46019</v>
      </c>
      <c r="D1041" t="inlineStr">
        <is>
          <t>STOCKHOLMS LÄN</t>
        </is>
      </c>
      <c r="E1041" t="inlineStr">
        <is>
          <t>NORRTÄLJE</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5665-2025</t>
        </is>
      </c>
      <c r="B1042" s="1" t="n">
        <v>45693</v>
      </c>
      <c r="C1042" s="1" t="n">
        <v>46019</v>
      </c>
      <c r="D1042" t="inlineStr">
        <is>
          <t>STOCKHOLMS LÄN</t>
        </is>
      </c>
      <c r="E1042" t="inlineStr">
        <is>
          <t>NORRTÄLJE</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3426-2025</t>
        </is>
      </c>
      <c r="B1043" s="1" t="n">
        <v>45680.42665509259</v>
      </c>
      <c r="C1043" s="1" t="n">
        <v>46019</v>
      </c>
      <c r="D1043" t="inlineStr">
        <is>
          <t>STOCKHOLMS LÄN</t>
        </is>
      </c>
      <c r="E1043" t="inlineStr">
        <is>
          <t>NORRTÄLJE</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58530-2024</t>
        </is>
      </c>
      <c r="B1044" s="1" t="n">
        <v>45635.44788194444</v>
      </c>
      <c r="C1044" s="1" t="n">
        <v>46019</v>
      </c>
      <c r="D1044" t="inlineStr">
        <is>
          <t>STOCKHOLMS LÄN</t>
        </is>
      </c>
      <c r="E1044" t="inlineStr">
        <is>
          <t>NORRTÄLJE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22421-2021</t>
        </is>
      </c>
      <c r="B1045" s="1" t="n">
        <v>44326</v>
      </c>
      <c r="C1045" s="1" t="n">
        <v>46019</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40761-2024</t>
        </is>
      </c>
      <c r="B1046" s="1" t="n">
        <v>45558.46283564815</v>
      </c>
      <c r="C1046" s="1" t="n">
        <v>46019</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4553-2023</t>
        </is>
      </c>
      <c r="B1047" s="1" t="n">
        <v>44956.65920138889</v>
      </c>
      <c r="C1047" s="1" t="n">
        <v>46019</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4593-2023</t>
        </is>
      </c>
      <c r="B1048" s="1" t="n">
        <v>44956</v>
      </c>
      <c r="C1048" s="1" t="n">
        <v>46019</v>
      </c>
      <c r="D1048" t="inlineStr">
        <is>
          <t>STOCKHOLMS LÄN</t>
        </is>
      </c>
      <c r="E1048" t="inlineStr">
        <is>
          <t>NORRTÄLJE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13171-2025</t>
        </is>
      </c>
      <c r="B1049" s="1" t="n">
        <v>45735.36594907408</v>
      </c>
      <c r="C1049" s="1" t="n">
        <v>46019</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51978-2023</t>
        </is>
      </c>
      <c r="B1050" s="1" t="n">
        <v>45223</v>
      </c>
      <c r="C1050" s="1" t="n">
        <v>46019</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18092-2022</t>
        </is>
      </c>
      <c r="B1051" s="1" t="n">
        <v>44684</v>
      </c>
      <c r="C1051" s="1" t="n">
        <v>46019</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59310-2023</t>
        </is>
      </c>
      <c r="B1052" s="1" t="n">
        <v>45253.61146990741</v>
      </c>
      <c r="C1052" s="1" t="n">
        <v>46019</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9329-2023</t>
        </is>
      </c>
      <c r="B1053" s="1" t="n">
        <v>44980</v>
      </c>
      <c r="C1053" s="1" t="n">
        <v>46019</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59878-2024</t>
        </is>
      </c>
      <c r="B1054" s="1" t="n">
        <v>45640.60240740741</v>
      </c>
      <c r="C1054" s="1" t="n">
        <v>46019</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41335-2023</t>
        </is>
      </c>
      <c r="B1055" s="1" t="n">
        <v>45174.68702546296</v>
      </c>
      <c r="C1055" s="1" t="n">
        <v>46019</v>
      </c>
      <c r="D1055" t="inlineStr">
        <is>
          <t>STOCKHOLMS LÄN</t>
        </is>
      </c>
      <c r="E1055" t="inlineStr">
        <is>
          <t>NORRTÄLJE</t>
        </is>
      </c>
      <c r="F1055" t="inlineStr">
        <is>
          <t>Holmen skog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33040-2021</t>
        </is>
      </c>
      <c r="B1056" s="1" t="n">
        <v>44376.50728009259</v>
      </c>
      <c r="C1056" s="1" t="n">
        <v>46019</v>
      </c>
      <c r="D1056" t="inlineStr">
        <is>
          <t>STOCKHOLMS LÄN</t>
        </is>
      </c>
      <c r="E1056" t="inlineStr">
        <is>
          <t>NORRTÄLJE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33053-2021</t>
        </is>
      </c>
      <c r="B1057" s="1" t="n">
        <v>44376</v>
      </c>
      <c r="C1057" s="1" t="n">
        <v>46019</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43150-2023</t>
        </is>
      </c>
      <c r="B1058" s="1" t="n">
        <v>45183</v>
      </c>
      <c r="C1058" s="1" t="n">
        <v>46019</v>
      </c>
      <c r="D1058" t="inlineStr">
        <is>
          <t>STOCKHOLMS LÄN</t>
        </is>
      </c>
      <c r="E1058" t="inlineStr">
        <is>
          <t>NORRTÄLJE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5950-2021</t>
        </is>
      </c>
      <c r="B1059" s="1" t="n">
        <v>44231</v>
      </c>
      <c r="C1059" s="1" t="n">
        <v>46019</v>
      </c>
      <c r="D1059" t="inlineStr">
        <is>
          <t>STOCKHOLMS LÄN</t>
        </is>
      </c>
      <c r="E1059" t="inlineStr">
        <is>
          <t>NORRTÄLJE</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54259-2023</t>
        </is>
      </c>
      <c r="B1060" s="1" t="n">
        <v>45232</v>
      </c>
      <c r="C1060" s="1" t="n">
        <v>46019</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60822-2023</t>
        </is>
      </c>
      <c r="B1061" s="1" t="n">
        <v>45259</v>
      </c>
      <c r="C1061" s="1" t="n">
        <v>46019</v>
      </c>
      <c r="D1061" t="inlineStr">
        <is>
          <t>STOCKHOLMS LÄN</t>
        </is>
      </c>
      <c r="E1061" t="inlineStr">
        <is>
          <t>NORRTÄLJE</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12031-2021</t>
        </is>
      </c>
      <c r="B1062" s="1" t="n">
        <v>44266</v>
      </c>
      <c r="C1062" s="1" t="n">
        <v>46019</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27381-2024</t>
        </is>
      </c>
      <c r="B1063" s="1" t="n">
        <v>45473.94501157408</v>
      </c>
      <c r="C1063" s="1" t="n">
        <v>46019</v>
      </c>
      <c r="D1063" t="inlineStr">
        <is>
          <t>STOCKHOLMS LÄN</t>
        </is>
      </c>
      <c r="E1063" t="inlineStr">
        <is>
          <t>NORRTÄLJE</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23265-2023</t>
        </is>
      </c>
      <c r="B1064" s="1" t="n">
        <v>45075.90703703704</v>
      </c>
      <c r="C1064" s="1" t="n">
        <v>46019</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26117-2024</t>
        </is>
      </c>
      <c r="B1065" s="1" t="n">
        <v>45468.45877314815</v>
      </c>
      <c r="C1065" s="1" t="n">
        <v>46019</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20336-2024</t>
        </is>
      </c>
      <c r="B1066" s="1" t="n">
        <v>45435.43123842592</v>
      </c>
      <c r="C1066" s="1" t="n">
        <v>46019</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46019</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59721-2024</t>
        </is>
      </c>
      <c r="B1068" s="1" t="n">
        <v>45639.47385416667</v>
      </c>
      <c r="C1068" s="1" t="n">
        <v>46019</v>
      </c>
      <c r="D1068" t="inlineStr">
        <is>
          <t>STOCKHOLMS LÄN</t>
        </is>
      </c>
      <c r="E1068" t="inlineStr">
        <is>
          <t>NORRTÄLJE</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37010-2022</t>
        </is>
      </c>
      <c r="B1069" s="1" t="n">
        <v>44806.41576388889</v>
      </c>
      <c r="C1069" s="1" t="n">
        <v>46019</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951-2023</t>
        </is>
      </c>
      <c r="B1070" s="1" t="n">
        <v>44934</v>
      </c>
      <c r="C1070" s="1" t="n">
        <v>46019</v>
      </c>
      <c r="D1070" t="inlineStr">
        <is>
          <t>STOCKHOLMS LÄN</t>
        </is>
      </c>
      <c r="E1070" t="inlineStr">
        <is>
          <t>NORRTÄLJE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5423-2023</t>
        </is>
      </c>
      <c r="B1071" s="1" t="n">
        <v>44959.74533564815</v>
      </c>
      <c r="C1071" s="1" t="n">
        <v>46019</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50182-2024</t>
        </is>
      </c>
      <c r="B1072" s="1" t="n">
        <v>45600.47275462963</v>
      </c>
      <c r="C1072" s="1" t="n">
        <v>46019</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12629-2024</t>
        </is>
      </c>
      <c r="B1073" s="1" t="n">
        <v>45383</v>
      </c>
      <c r="C1073" s="1" t="n">
        <v>46019</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35708-2022</t>
        </is>
      </c>
      <c r="B1074" s="1" t="n">
        <v>44799.65013888889</v>
      </c>
      <c r="C1074" s="1" t="n">
        <v>46019</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45220-2024</t>
        </is>
      </c>
      <c r="B1075" s="1" t="n">
        <v>45575</v>
      </c>
      <c r="C1075" s="1" t="n">
        <v>46019</v>
      </c>
      <c r="D1075" t="inlineStr">
        <is>
          <t>STOCKHOLMS LÄN</t>
        </is>
      </c>
      <c r="E1075" t="inlineStr">
        <is>
          <t>NORRTÄLJE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21731-2023</t>
        </is>
      </c>
      <c r="B1076" s="1" t="n">
        <v>45063</v>
      </c>
      <c r="C1076" s="1" t="n">
        <v>46019</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23266-2023</t>
        </is>
      </c>
      <c r="B1077" s="1" t="n">
        <v>45075.90817129629</v>
      </c>
      <c r="C1077" s="1" t="n">
        <v>46019</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47521-2024</t>
        </is>
      </c>
      <c r="B1078" s="1" t="n">
        <v>45587.62565972222</v>
      </c>
      <c r="C1078" s="1" t="n">
        <v>46019</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58260-2023</t>
        </is>
      </c>
      <c r="B1079" s="1" t="n">
        <v>45245</v>
      </c>
      <c r="C1079" s="1" t="n">
        <v>46019</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58261-2023</t>
        </is>
      </c>
      <c r="B1080" s="1" t="n">
        <v>45245</v>
      </c>
      <c r="C1080" s="1" t="n">
        <v>46019</v>
      </c>
      <c r="D1080" t="inlineStr">
        <is>
          <t>STOCKHOLMS LÄN</t>
        </is>
      </c>
      <c r="E1080" t="inlineStr">
        <is>
          <t>NORRTÄLJE</t>
        </is>
      </c>
      <c r="G1080" t="n">
        <v>53.5</v>
      </c>
      <c r="H1080" t="n">
        <v>0</v>
      </c>
      <c r="I1080" t="n">
        <v>0</v>
      </c>
      <c r="J1080" t="n">
        <v>0</v>
      </c>
      <c r="K1080" t="n">
        <v>0</v>
      </c>
      <c r="L1080" t="n">
        <v>0</v>
      </c>
      <c r="M1080" t="n">
        <v>0</v>
      </c>
      <c r="N1080" t="n">
        <v>0</v>
      </c>
      <c r="O1080" t="n">
        <v>0</v>
      </c>
      <c r="P1080" t="n">
        <v>0</v>
      </c>
      <c r="Q1080" t="n">
        <v>0</v>
      </c>
      <c r="R1080" s="2" t="inlineStr"/>
    </row>
    <row r="1081" ht="15" customHeight="1">
      <c r="A1081" t="inlineStr">
        <is>
          <t>A 29266-2022</t>
        </is>
      </c>
      <c r="B1081" s="1" t="n">
        <v>44750.66068287037</v>
      </c>
      <c r="C1081" s="1" t="n">
        <v>46019</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29278-2022</t>
        </is>
      </c>
      <c r="B1082" s="1" t="n">
        <v>44750</v>
      </c>
      <c r="C1082" s="1" t="n">
        <v>46019</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37273-2024</t>
        </is>
      </c>
      <c r="B1083" s="1" t="n">
        <v>45540</v>
      </c>
      <c r="C1083" s="1" t="n">
        <v>46019</v>
      </c>
      <c r="D1083" t="inlineStr">
        <is>
          <t>STOCKHOLMS LÄN</t>
        </is>
      </c>
      <c r="E1083" t="inlineStr">
        <is>
          <t>NORRTÄLJE</t>
        </is>
      </c>
      <c r="F1083" t="inlineStr">
        <is>
          <t>Sveaskog</t>
        </is>
      </c>
      <c r="G1083" t="n">
        <v>12.5</v>
      </c>
      <c r="H1083" t="n">
        <v>0</v>
      </c>
      <c r="I1083" t="n">
        <v>0</v>
      </c>
      <c r="J1083" t="n">
        <v>0</v>
      </c>
      <c r="K1083" t="n">
        <v>0</v>
      </c>
      <c r="L1083" t="n">
        <v>0</v>
      </c>
      <c r="M1083" t="n">
        <v>0</v>
      </c>
      <c r="N1083" t="n">
        <v>0</v>
      </c>
      <c r="O1083" t="n">
        <v>0</v>
      </c>
      <c r="P1083" t="n">
        <v>0</v>
      </c>
      <c r="Q1083" t="n">
        <v>0</v>
      </c>
      <c r="R1083" s="2" t="inlineStr"/>
    </row>
    <row r="1084" ht="15" customHeight="1">
      <c r="A1084" t="inlineStr">
        <is>
          <t>A 12908-2025</t>
        </is>
      </c>
      <c r="B1084" s="1" t="n">
        <v>45733.82105324074</v>
      </c>
      <c r="C1084" s="1" t="n">
        <v>46019</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23060-2023</t>
        </is>
      </c>
      <c r="B1085" s="1" t="n">
        <v>45075</v>
      </c>
      <c r="C1085" s="1" t="n">
        <v>46019</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32103-2022</t>
        </is>
      </c>
      <c r="B1086" s="1" t="n">
        <v>44778</v>
      </c>
      <c r="C1086" s="1" t="n">
        <v>46019</v>
      </c>
      <c r="D1086" t="inlineStr">
        <is>
          <t>STOCKHOLMS LÄN</t>
        </is>
      </c>
      <c r="E1086" t="inlineStr">
        <is>
          <t>NORRTÄLJE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6401-2024</t>
        </is>
      </c>
      <c r="B1087" s="1" t="n">
        <v>45338</v>
      </c>
      <c r="C1087" s="1" t="n">
        <v>46019</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59504-2023</t>
        </is>
      </c>
      <c r="B1088" s="1" t="n">
        <v>45254</v>
      </c>
      <c r="C1088" s="1" t="n">
        <v>46019</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52321-2024</t>
        </is>
      </c>
      <c r="B1089" s="1" t="n">
        <v>45608</v>
      </c>
      <c r="C1089" s="1" t="n">
        <v>46019</v>
      </c>
      <c r="D1089" t="inlineStr">
        <is>
          <t>STOCKHOLMS LÄN</t>
        </is>
      </c>
      <c r="E1089" t="inlineStr">
        <is>
          <t>NORRTÄLJE</t>
        </is>
      </c>
      <c r="G1089" t="n">
        <v>18.1</v>
      </c>
      <c r="H1089" t="n">
        <v>0</v>
      </c>
      <c r="I1089" t="n">
        <v>0</v>
      </c>
      <c r="J1089" t="n">
        <v>0</v>
      </c>
      <c r="K1089" t="n">
        <v>0</v>
      </c>
      <c r="L1089" t="n">
        <v>0</v>
      </c>
      <c r="M1089" t="n">
        <v>0</v>
      </c>
      <c r="N1089" t="n">
        <v>0</v>
      </c>
      <c r="O1089" t="n">
        <v>0</v>
      </c>
      <c r="P1089" t="n">
        <v>0</v>
      </c>
      <c r="Q1089" t="n">
        <v>0</v>
      </c>
      <c r="R1089" s="2" t="inlineStr"/>
    </row>
    <row r="1090" ht="15" customHeight="1">
      <c r="A1090" t="inlineStr">
        <is>
          <t>A 48151-2024</t>
        </is>
      </c>
      <c r="B1090" s="1" t="n">
        <v>45589.68289351852</v>
      </c>
      <c r="C1090" s="1" t="n">
        <v>46019</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20370-2025</t>
        </is>
      </c>
      <c r="B1091" s="1" t="n">
        <v>45775.41451388889</v>
      </c>
      <c r="C1091" s="1" t="n">
        <v>46019</v>
      </c>
      <c r="D1091" t="inlineStr">
        <is>
          <t>STOCKHOLMS LÄN</t>
        </is>
      </c>
      <c r="E1091" t="inlineStr">
        <is>
          <t>NORRTÄLJE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19580-2022</t>
        </is>
      </c>
      <c r="B1092" s="1" t="n">
        <v>44693</v>
      </c>
      <c r="C1092" s="1" t="n">
        <v>46019</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30731-2023</t>
        </is>
      </c>
      <c r="B1093" s="1" t="n">
        <v>45112</v>
      </c>
      <c r="C1093" s="1" t="n">
        <v>46019</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4580-2025</t>
        </is>
      </c>
      <c r="B1094" s="1" t="n">
        <v>45687.5038425926</v>
      </c>
      <c r="C1094" s="1" t="n">
        <v>46019</v>
      </c>
      <c r="D1094" t="inlineStr">
        <is>
          <t>STOCKHOLMS LÄN</t>
        </is>
      </c>
      <c r="E1094" t="inlineStr">
        <is>
          <t>NORRTÄLJE</t>
        </is>
      </c>
      <c r="F1094" t="inlineStr">
        <is>
          <t>Holmen skog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31057-2022</t>
        </is>
      </c>
      <c r="B1095" s="1" t="n">
        <v>44769</v>
      </c>
      <c r="C1095" s="1" t="n">
        <v>46019</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31140-2023</t>
        </is>
      </c>
      <c r="B1096" s="1" t="n">
        <v>45113</v>
      </c>
      <c r="C1096" s="1" t="n">
        <v>46019</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31149-2023</t>
        </is>
      </c>
      <c r="B1097" s="1" t="n">
        <v>45113</v>
      </c>
      <c r="C1097" s="1" t="n">
        <v>46019</v>
      </c>
      <c r="D1097" t="inlineStr">
        <is>
          <t>STOCKHOLMS LÄN</t>
        </is>
      </c>
      <c r="E1097" t="inlineStr">
        <is>
          <t>NORRTÄLJE</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4658-2024</t>
        </is>
      </c>
      <c r="B1098" s="1" t="n">
        <v>45328.46336805556</v>
      </c>
      <c r="C1098" s="1" t="n">
        <v>46019</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19131-2025</t>
        </is>
      </c>
      <c r="B1099" s="1" t="n">
        <v>45769</v>
      </c>
      <c r="C1099" s="1" t="n">
        <v>46019</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7571-2024</t>
        </is>
      </c>
      <c r="B1100" s="1" t="n">
        <v>45348.46300925926</v>
      </c>
      <c r="C1100" s="1" t="n">
        <v>46019</v>
      </c>
      <c r="D1100" t="inlineStr">
        <is>
          <t>STOCKHOLMS LÄN</t>
        </is>
      </c>
      <c r="E1100" t="inlineStr">
        <is>
          <t>NORRTÄLJE</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11849-2025</t>
        </is>
      </c>
      <c r="B1101" s="1" t="n">
        <v>45728.38409722222</v>
      </c>
      <c r="C1101" s="1" t="n">
        <v>46019</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40425-2021</t>
        </is>
      </c>
      <c r="B1102" s="1" t="n">
        <v>44419</v>
      </c>
      <c r="C1102" s="1" t="n">
        <v>46019</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58990-2021</t>
        </is>
      </c>
      <c r="B1103" s="1" t="n">
        <v>44490.03621527777</v>
      </c>
      <c r="C1103" s="1" t="n">
        <v>46019</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20790-2025</t>
        </is>
      </c>
      <c r="B1104" s="1" t="n">
        <v>45776.62563657408</v>
      </c>
      <c r="C1104" s="1" t="n">
        <v>46019</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20699-2025</t>
        </is>
      </c>
      <c r="B1105" s="1" t="n">
        <v>45776.47346064815</v>
      </c>
      <c r="C1105" s="1" t="n">
        <v>46019</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3152-2024</t>
        </is>
      </c>
      <c r="B1106" s="1" t="n">
        <v>45316.60306712963</v>
      </c>
      <c r="C1106" s="1" t="n">
        <v>46019</v>
      </c>
      <c r="D1106" t="inlineStr">
        <is>
          <t>STOCKHOLMS LÄN</t>
        </is>
      </c>
      <c r="E1106" t="inlineStr">
        <is>
          <t>NORRTÄLJE</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59326-2023</t>
        </is>
      </c>
      <c r="B1107" s="1" t="n">
        <v>45253.63089120371</v>
      </c>
      <c r="C1107" s="1" t="n">
        <v>46019</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44836-2023</t>
        </is>
      </c>
      <c r="B1108" s="1" t="n">
        <v>45190.55609953704</v>
      </c>
      <c r="C1108" s="1" t="n">
        <v>46019</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20779-2025</t>
        </is>
      </c>
      <c r="B1109" s="1" t="n">
        <v>45776.59871527777</v>
      </c>
      <c r="C1109" s="1" t="n">
        <v>46019</v>
      </c>
      <c r="D1109" t="inlineStr">
        <is>
          <t>STOCKHOLMS LÄN</t>
        </is>
      </c>
      <c r="E1109" t="inlineStr">
        <is>
          <t>NORRTÄLJE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21771-2025</t>
        </is>
      </c>
      <c r="B1110" s="1" t="n">
        <v>45783</v>
      </c>
      <c r="C1110" s="1" t="n">
        <v>46019</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21778-2025</t>
        </is>
      </c>
      <c r="B1111" s="1" t="n">
        <v>45783.66429398148</v>
      </c>
      <c r="C1111" s="1" t="n">
        <v>46019</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22202-2025</t>
        </is>
      </c>
      <c r="B1112" s="1" t="n">
        <v>45785.65300925926</v>
      </c>
      <c r="C1112" s="1" t="n">
        <v>46019</v>
      </c>
      <c r="D1112" t="inlineStr">
        <is>
          <t>STOCKHOLMS LÄN</t>
        </is>
      </c>
      <c r="E1112" t="inlineStr">
        <is>
          <t>NORRTÄLJE</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16620-2024</t>
        </is>
      </c>
      <c r="B1113" s="1" t="n">
        <v>45408.57707175926</v>
      </c>
      <c r="C1113" s="1" t="n">
        <v>46019</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22416-2025</t>
        </is>
      </c>
      <c r="B1114" s="1" t="n">
        <v>45786.55645833333</v>
      </c>
      <c r="C1114" s="1" t="n">
        <v>46019</v>
      </c>
      <c r="D1114" t="inlineStr">
        <is>
          <t>STOCKHOLMS LÄN</t>
        </is>
      </c>
      <c r="E1114" t="inlineStr">
        <is>
          <t>NORRTÄLJE</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58785-2024</t>
        </is>
      </c>
      <c r="B1115" s="1" t="n">
        <v>45635.88849537037</v>
      </c>
      <c r="C1115" s="1" t="n">
        <v>46019</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2182-2022</t>
        </is>
      </c>
      <c r="B1116" s="1" t="n">
        <v>44578</v>
      </c>
      <c r="C1116" s="1" t="n">
        <v>46019</v>
      </c>
      <c r="D1116" t="inlineStr">
        <is>
          <t>STOCKHOLMS LÄN</t>
        </is>
      </c>
      <c r="E1116" t="inlineStr">
        <is>
          <t>NORRTÄLJE</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13268-2025</t>
        </is>
      </c>
      <c r="B1117" s="1" t="n">
        <v>45735</v>
      </c>
      <c r="C1117" s="1" t="n">
        <v>46019</v>
      </c>
      <c r="D1117" t="inlineStr">
        <is>
          <t>STOCKHOLMS LÄN</t>
        </is>
      </c>
      <c r="E1117" t="inlineStr">
        <is>
          <t>NORRTÄLJE</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8414-2025</t>
        </is>
      </c>
      <c r="B1118" s="1" t="n">
        <v>45709.39361111111</v>
      </c>
      <c r="C1118" s="1" t="n">
        <v>46019</v>
      </c>
      <c r="D1118" t="inlineStr">
        <is>
          <t>STOCKHOLMS LÄN</t>
        </is>
      </c>
      <c r="E1118" t="inlineStr">
        <is>
          <t>NORRTÄLJE</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36625-2024</t>
        </is>
      </c>
      <c r="B1119" s="1" t="n">
        <v>45537</v>
      </c>
      <c r="C1119" s="1" t="n">
        <v>46019</v>
      </c>
      <c r="D1119" t="inlineStr">
        <is>
          <t>STOCKHOLMS LÄN</t>
        </is>
      </c>
      <c r="E1119" t="inlineStr">
        <is>
          <t>NORRTÄLJE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44891-2023</t>
        </is>
      </c>
      <c r="B1120" s="1" t="n">
        <v>45187</v>
      </c>
      <c r="C1120" s="1" t="n">
        <v>46019</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12902-2024</t>
        </is>
      </c>
      <c r="B1121" s="1" t="n">
        <v>45385.38146990741</v>
      </c>
      <c r="C1121" s="1" t="n">
        <v>46019</v>
      </c>
      <c r="D1121" t="inlineStr">
        <is>
          <t>STOCKHOLMS LÄN</t>
        </is>
      </c>
      <c r="E1121" t="inlineStr">
        <is>
          <t>NORRTÄLJE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44032-2024</t>
        </is>
      </c>
      <c r="B1122" s="1" t="n">
        <v>45572.57828703704</v>
      </c>
      <c r="C1122" s="1" t="n">
        <v>46019</v>
      </c>
      <c r="D1122" t="inlineStr">
        <is>
          <t>STOCKHOLMS LÄN</t>
        </is>
      </c>
      <c r="E1122" t="inlineStr">
        <is>
          <t>NORRTÄLJE</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24563-2024</t>
        </is>
      </c>
      <c r="B1123" s="1" t="n">
        <v>45460.44347222222</v>
      </c>
      <c r="C1123" s="1" t="n">
        <v>46019</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39237-2024</t>
        </is>
      </c>
      <c r="B1124" s="1" t="n">
        <v>45549</v>
      </c>
      <c r="C1124" s="1" t="n">
        <v>46019</v>
      </c>
      <c r="D1124" t="inlineStr">
        <is>
          <t>STOCKHOLMS LÄN</t>
        </is>
      </c>
      <c r="E1124" t="inlineStr">
        <is>
          <t>NORRTÄLJE</t>
        </is>
      </c>
      <c r="G1124" t="n">
        <v>13.3</v>
      </c>
      <c r="H1124" t="n">
        <v>0</v>
      </c>
      <c r="I1124" t="n">
        <v>0</v>
      </c>
      <c r="J1124" t="n">
        <v>0</v>
      </c>
      <c r="K1124" t="n">
        <v>0</v>
      </c>
      <c r="L1124" t="n">
        <v>0</v>
      </c>
      <c r="M1124" t="n">
        <v>0</v>
      </c>
      <c r="N1124" t="n">
        <v>0</v>
      </c>
      <c r="O1124" t="n">
        <v>0</v>
      </c>
      <c r="P1124" t="n">
        <v>0</v>
      </c>
      <c r="Q1124" t="n">
        <v>0</v>
      </c>
      <c r="R1124" s="2" t="inlineStr"/>
    </row>
    <row r="1125" ht="15" customHeight="1">
      <c r="A1125" t="inlineStr">
        <is>
          <t>A 45746-2024</t>
        </is>
      </c>
      <c r="B1125" s="1" t="n">
        <v>45579</v>
      </c>
      <c r="C1125" s="1" t="n">
        <v>46019</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c r="A1126" t="inlineStr">
        <is>
          <t>A 8400-2024</t>
        </is>
      </c>
      <c r="B1126" s="1" t="n">
        <v>45352.74090277778</v>
      </c>
      <c r="C1126" s="1" t="n">
        <v>46019</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2025-12-28T09:27:00Z</dcterms:created>
  <dcterms:modified xmlns:dcterms="http://purl.org/dc/terms/" xmlns:xsi="http://www.w3.org/2001/XMLSchema-instance" xsi:type="dcterms:W3CDTF">2025-12-28T09:27:01Z</dcterms:modified>
</cp:coreProperties>
</file>