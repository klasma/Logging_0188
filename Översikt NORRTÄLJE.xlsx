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45682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45682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45682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45682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45682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45682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45682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45682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45682</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45682</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45682</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45682</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45682</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45682</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45682</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45682</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45682</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45682</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45682</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45682</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45682</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45682</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45682</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45682</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45682</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45682</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45682</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45682</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45682</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45682</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45682</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45682</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45682</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45682</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45682</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45682</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45682</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45682</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45682</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45682</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59582-2024</t>
        </is>
      </c>
      <c r="B42" s="1" t="n">
        <v>45638</v>
      </c>
      <c r="C42" s="1" t="n">
        <v>45682</v>
      </c>
      <c r="D42" t="inlineStr">
        <is>
          <t>STOCKHOLMS LÄN</t>
        </is>
      </c>
      <c r="E42" t="inlineStr">
        <is>
          <t>NORRTÄLJE</t>
        </is>
      </c>
      <c r="F42" t="inlineStr">
        <is>
          <t>Holmen skog AB</t>
        </is>
      </c>
      <c r="G42" t="n">
        <v>2.7</v>
      </c>
      <c r="H42" t="n">
        <v>3</v>
      </c>
      <c r="I42" t="n">
        <v>4</v>
      </c>
      <c r="J42" t="n">
        <v>3</v>
      </c>
      <c r="K42" t="n">
        <v>0</v>
      </c>
      <c r="L42" t="n">
        <v>0</v>
      </c>
      <c r="M42" t="n">
        <v>0</v>
      </c>
      <c r="N42" t="n">
        <v>0</v>
      </c>
      <c r="O42" t="n">
        <v>3</v>
      </c>
      <c r="P42" t="n">
        <v>0</v>
      </c>
      <c r="Q42" t="n">
        <v>8</v>
      </c>
      <c r="R42" s="2" t="inlineStr">
        <is>
          <t>Duvhök
Skogshare
Spillkråka
Bronshjon
Granbräken
Spädstarr
Vågbandad barkbock
Revlummer</t>
        </is>
      </c>
      <c r="S42">
        <f>HYPERLINK("https://klasma.github.io/Logging_0188/artfynd/A 59582-2024 artfynd.xlsx", "A 59582-2024")</f>
        <v/>
      </c>
      <c r="T42">
        <f>HYPERLINK("https://klasma.github.io/Logging_0188/kartor/A 59582-2024 karta.png", "A 59582-2024")</f>
        <v/>
      </c>
      <c r="V42">
        <f>HYPERLINK("https://klasma.github.io/Logging_0188/klagomål/A 59582-2024 FSC-klagomål.docx", "A 59582-2024")</f>
        <v/>
      </c>
      <c r="W42">
        <f>HYPERLINK("https://klasma.github.io/Logging_0188/klagomålsmail/A 59582-2024 FSC-klagomål mail.docx", "A 59582-2024")</f>
        <v/>
      </c>
      <c r="X42">
        <f>HYPERLINK("https://klasma.github.io/Logging_0188/tillsyn/A 59582-2024 tillsynsbegäran.docx", "A 59582-2024")</f>
        <v/>
      </c>
      <c r="Y42">
        <f>HYPERLINK("https://klasma.github.io/Logging_0188/tillsynsmail/A 59582-2024 tillsynsbegäran mail.docx", "A 59582-2024")</f>
        <v/>
      </c>
      <c r="Z42">
        <f>HYPERLINK("https://klasma.github.io/Logging_0188/fåglar/A 59582-2024 prioriterade fågelarter.docx", "A 59582-2024")</f>
        <v/>
      </c>
    </row>
    <row r="43" ht="15" customHeight="1">
      <c r="A43" t="inlineStr">
        <is>
          <t>A 47346-2021</t>
        </is>
      </c>
      <c r="B43" s="1" t="n">
        <v>44447</v>
      </c>
      <c r="C43" s="1" t="n">
        <v>45682</v>
      </c>
      <c r="D43" t="inlineStr">
        <is>
          <t>STOCKHOLMS LÄN</t>
        </is>
      </c>
      <c r="E43" t="inlineStr">
        <is>
          <t>NORRTÄLJE</t>
        </is>
      </c>
      <c r="G43" t="n">
        <v>5.5</v>
      </c>
      <c r="H43" t="n">
        <v>1</v>
      </c>
      <c r="I43" t="n">
        <v>4</v>
      </c>
      <c r="J43" t="n">
        <v>0</v>
      </c>
      <c r="K43" t="n">
        <v>2</v>
      </c>
      <c r="L43" t="n">
        <v>0</v>
      </c>
      <c r="M43" t="n">
        <v>0</v>
      </c>
      <c r="N43" t="n">
        <v>0</v>
      </c>
      <c r="O43" t="n">
        <v>2</v>
      </c>
      <c r="P43" t="n">
        <v>2</v>
      </c>
      <c r="Q43" t="n">
        <v>7</v>
      </c>
      <c r="R43" s="2" t="inlineStr">
        <is>
          <t>Grangråticka
Violgubbe
Anisspindling
Fjällig taggsvamp s.str.
Skarp dropptaggsvamp
Toppvaxskivling
Revlummer</t>
        </is>
      </c>
      <c r="S43">
        <f>HYPERLINK("https://klasma.github.io/Logging_0188/artfynd/A 47346-2021 artfynd.xlsx", "A 47346-2021")</f>
        <v/>
      </c>
      <c r="T43">
        <f>HYPERLINK("https://klasma.github.io/Logging_0188/kartor/A 47346-2021 karta.png", "A 47346-2021")</f>
        <v/>
      </c>
      <c r="V43">
        <f>HYPERLINK("https://klasma.github.io/Logging_0188/klagomål/A 47346-2021 FSC-klagomål.docx", "A 47346-2021")</f>
        <v/>
      </c>
      <c r="W43">
        <f>HYPERLINK("https://klasma.github.io/Logging_0188/klagomålsmail/A 47346-2021 FSC-klagomål mail.docx", "A 47346-2021")</f>
        <v/>
      </c>
      <c r="X43">
        <f>HYPERLINK("https://klasma.github.io/Logging_0188/tillsyn/A 47346-2021 tillsynsbegäran.docx", "A 47346-2021")</f>
        <v/>
      </c>
      <c r="Y43">
        <f>HYPERLINK("https://klasma.github.io/Logging_0188/tillsynsmail/A 47346-2021 tillsynsbegäran mail.docx", "A 47346-2021")</f>
        <v/>
      </c>
    </row>
    <row r="44" ht="15" customHeight="1">
      <c r="A44" t="inlineStr">
        <is>
          <t>A 8644-2022</t>
        </is>
      </c>
      <c r="B44" s="1" t="n">
        <v>44613</v>
      </c>
      <c r="C44" s="1" t="n">
        <v>45682</v>
      </c>
      <c r="D44" t="inlineStr">
        <is>
          <t>STOCKHOLMS LÄN</t>
        </is>
      </c>
      <c r="E44" t="inlineStr">
        <is>
          <t>NORRTÄLJE</t>
        </is>
      </c>
      <c r="G44" t="n">
        <v>5.7</v>
      </c>
      <c r="H44" t="n">
        <v>1</v>
      </c>
      <c r="I44" t="n">
        <v>4</v>
      </c>
      <c r="J44" t="n">
        <v>1</v>
      </c>
      <c r="K44" t="n">
        <v>1</v>
      </c>
      <c r="L44" t="n">
        <v>0</v>
      </c>
      <c r="M44" t="n">
        <v>0</v>
      </c>
      <c r="N44" t="n">
        <v>0</v>
      </c>
      <c r="O44" t="n">
        <v>2</v>
      </c>
      <c r="P44" t="n">
        <v>1</v>
      </c>
      <c r="Q44" t="n">
        <v>7</v>
      </c>
      <c r="R44" s="2" t="inlineStr">
        <is>
          <t>Vågticka
Såpfingersvamp
Blomkålssvamp
Diskvaxskivling
Grönpyrola
Hasselticka
Blåsippa</t>
        </is>
      </c>
      <c r="S44">
        <f>HYPERLINK("https://klasma.github.io/Logging_0188/artfynd/A 8644-2022 artfynd.xlsx", "A 8644-2022")</f>
        <v/>
      </c>
      <c r="T44">
        <f>HYPERLINK("https://klasma.github.io/Logging_0188/kartor/A 8644-2022 karta.png", "A 8644-2022")</f>
        <v/>
      </c>
      <c r="V44">
        <f>HYPERLINK("https://klasma.github.io/Logging_0188/klagomål/A 8644-2022 FSC-klagomål.docx", "A 8644-2022")</f>
        <v/>
      </c>
      <c r="W44">
        <f>HYPERLINK("https://klasma.github.io/Logging_0188/klagomålsmail/A 8644-2022 FSC-klagomål mail.docx", "A 8644-2022")</f>
        <v/>
      </c>
      <c r="X44">
        <f>HYPERLINK("https://klasma.github.io/Logging_0188/tillsyn/A 8644-2022 tillsynsbegäran.docx", "A 8644-2022")</f>
        <v/>
      </c>
      <c r="Y44">
        <f>HYPERLINK("https://klasma.github.io/Logging_0188/tillsynsmail/A 8644-2022 tillsynsbegäran mail.docx", "A 8644-2022")</f>
        <v/>
      </c>
    </row>
    <row r="45" ht="15" customHeight="1">
      <c r="A45" t="inlineStr">
        <is>
          <t>A 13933-2022</t>
        </is>
      </c>
      <c r="B45" s="1" t="n">
        <v>44650</v>
      </c>
      <c r="C45" s="1" t="n">
        <v>45682</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24150-2022</t>
        </is>
      </c>
      <c r="B46" s="1" t="n">
        <v>44725</v>
      </c>
      <c r="C46" s="1" t="n">
        <v>45682</v>
      </c>
      <c r="D46" t="inlineStr">
        <is>
          <t>STOCKHOLMS LÄN</t>
        </is>
      </c>
      <c r="E46" t="inlineStr">
        <is>
          <t>NORRTÄLJE</t>
        </is>
      </c>
      <c r="G46" t="n">
        <v>7</v>
      </c>
      <c r="H46" t="n">
        <v>7</v>
      </c>
      <c r="I46" t="n">
        <v>0</v>
      </c>
      <c r="J46" t="n">
        <v>2</v>
      </c>
      <c r="K46" t="n">
        <v>0</v>
      </c>
      <c r="L46" t="n">
        <v>0</v>
      </c>
      <c r="M46" t="n">
        <v>0</v>
      </c>
      <c r="N46" t="n">
        <v>0</v>
      </c>
      <c r="O46" t="n">
        <v>2</v>
      </c>
      <c r="P46" t="n">
        <v>0</v>
      </c>
      <c r="Q46" t="n">
        <v>7</v>
      </c>
      <c r="R46" s="2" t="inlineStr">
        <is>
          <t>Brunlångöra
Nordfladdermus
Dvärgpipistrell
Gråskimlig fladdermus
Större brunfladdermus
Trollpipistrell
Vattenfladdermus</t>
        </is>
      </c>
      <c r="S46">
        <f>HYPERLINK("https://klasma.github.io/Logging_0188/artfynd/A 24150-2022 artfynd.xlsx", "A 24150-2022")</f>
        <v/>
      </c>
      <c r="T46">
        <f>HYPERLINK("https://klasma.github.io/Logging_0188/kartor/A 24150-2022 karta.png", "A 24150-2022")</f>
        <v/>
      </c>
      <c r="V46">
        <f>HYPERLINK("https://klasma.github.io/Logging_0188/klagomål/A 24150-2022 FSC-klagomål.docx", "A 24150-2022")</f>
        <v/>
      </c>
      <c r="W46">
        <f>HYPERLINK("https://klasma.github.io/Logging_0188/klagomålsmail/A 24150-2022 FSC-klagomål mail.docx", "A 24150-2022")</f>
        <v/>
      </c>
      <c r="X46">
        <f>HYPERLINK("https://klasma.github.io/Logging_0188/tillsyn/A 24150-2022 tillsynsbegäran.docx", "A 24150-2022")</f>
        <v/>
      </c>
      <c r="Y46">
        <f>HYPERLINK("https://klasma.github.io/Logging_0188/tillsynsmail/A 24150-2022 tillsynsbegäran mail.docx", "A 24150-2022")</f>
        <v/>
      </c>
    </row>
    <row r="47" ht="15" customHeight="1">
      <c r="A47" t="inlineStr">
        <is>
          <t>A 45811-2022</t>
        </is>
      </c>
      <c r="B47" s="1" t="n">
        <v>44846</v>
      </c>
      <c r="C47" s="1" t="n">
        <v>45682</v>
      </c>
      <c r="D47" t="inlineStr">
        <is>
          <t>STOCKHOLMS LÄN</t>
        </is>
      </c>
      <c r="E47" t="inlineStr">
        <is>
          <t>NORRTÄLJE</t>
        </is>
      </c>
      <c r="G47" t="n">
        <v>0.8</v>
      </c>
      <c r="H47" t="n">
        <v>0</v>
      </c>
      <c r="I47" t="n">
        <v>5</v>
      </c>
      <c r="J47" t="n">
        <v>0</v>
      </c>
      <c r="K47" t="n">
        <v>0</v>
      </c>
      <c r="L47" t="n">
        <v>1</v>
      </c>
      <c r="M47" t="n">
        <v>1</v>
      </c>
      <c r="N47" t="n">
        <v>0</v>
      </c>
      <c r="O47" t="n">
        <v>2</v>
      </c>
      <c r="P47" t="n">
        <v>2</v>
      </c>
      <c r="Q47" t="n">
        <v>7</v>
      </c>
      <c r="R47" s="2" t="inlineStr">
        <is>
          <t>Skogsalm
Ask
Hässleklocka
Myskmadra
Strävlosta
Tibast
Underviol</t>
        </is>
      </c>
      <c r="S47">
        <f>HYPERLINK("https://klasma.github.io/Logging_0188/artfynd/A 45811-2022 artfynd.xlsx", "A 45811-2022")</f>
        <v/>
      </c>
      <c r="T47">
        <f>HYPERLINK("https://klasma.github.io/Logging_0188/kartor/A 45811-2022 karta.png", "A 45811-2022")</f>
        <v/>
      </c>
      <c r="V47">
        <f>HYPERLINK("https://klasma.github.io/Logging_0188/klagomål/A 45811-2022 FSC-klagomål.docx", "A 45811-2022")</f>
        <v/>
      </c>
      <c r="W47">
        <f>HYPERLINK("https://klasma.github.io/Logging_0188/klagomålsmail/A 45811-2022 FSC-klagomål mail.docx", "A 45811-2022")</f>
        <v/>
      </c>
      <c r="X47">
        <f>HYPERLINK("https://klasma.github.io/Logging_0188/tillsyn/A 45811-2022 tillsynsbegäran.docx", "A 45811-2022")</f>
        <v/>
      </c>
      <c r="Y47">
        <f>HYPERLINK("https://klasma.github.io/Logging_0188/tillsynsmail/A 45811-2022 tillsynsbegäran mail.docx", "A 45811-2022")</f>
        <v/>
      </c>
    </row>
    <row r="48" ht="15" customHeight="1">
      <c r="A48" t="inlineStr">
        <is>
          <t>A 48490-2022</t>
        </is>
      </c>
      <c r="B48" s="1" t="n">
        <v>44858</v>
      </c>
      <c r="C48" s="1" t="n">
        <v>45682</v>
      </c>
      <c r="D48" t="inlineStr">
        <is>
          <t>STOCKHOLMS LÄN</t>
        </is>
      </c>
      <c r="E48" t="inlineStr">
        <is>
          <t>NORRTÄLJE</t>
        </is>
      </c>
      <c r="G48" t="n">
        <v>15.8</v>
      </c>
      <c r="H48" t="n">
        <v>2</v>
      </c>
      <c r="I48" t="n">
        <v>6</v>
      </c>
      <c r="J48" t="n">
        <v>0</v>
      </c>
      <c r="K48" t="n">
        <v>0</v>
      </c>
      <c r="L48" t="n">
        <v>0</v>
      </c>
      <c r="M48" t="n">
        <v>0</v>
      </c>
      <c r="N48" t="n">
        <v>0</v>
      </c>
      <c r="O48" t="n">
        <v>0</v>
      </c>
      <c r="P48" t="n">
        <v>0</v>
      </c>
      <c r="Q48" t="n">
        <v>7</v>
      </c>
      <c r="R48" s="2" t="inlineStr">
        <is>
          <t>Kragjordstjärna
Skogsknipprot
Svart trolldruva
Svavelriska
Tibast
Vårärt
Blåsippa</t>
        </is>
      </c>
      <c r="S48">
        <f>HYPERLINK("https://klasma.github.io/Logging_0188/artfynd/A 48490-2022 artfynd.xlsx", "A 48490-2022")</f>
        <v/>
      </c>
      <c r="T48">
        <f>HYPERLINK("https://klasma.github.io/Logging_0188/kartor/A 48490-2022 karta.png", "A 48490-2022")</f>
        <v/>
      </c>
      <c r="V48">
        <f>HYPERLINK("https://klasma.github.io/Logging_0188/klagomål/A 48490-2022 FSC-klagomål.docx", "A 48490-2022")</f>
        <v/>
      </c>
      <c r="W48">
        <f>HYPERLINK("https://klasma.github.io/Logging_0188/klagomålsmail/A 48490-2022 FSC-klagomål mail.docx", "A 48490-2022")</f>
        <v/>
      </c>
      <c r="X48">
        <f>HYPERLINK("https://klasma.github.io/Logging_0188/tillsyn/A 48490-2022 tillsynsbegäran.docx", "A 48490-2022")</f>
        <v/>
      </c>
      <c r="Y48">
        <f>HYPERLINK("https://klasma.github.io/Logging_0188/tillsynsmail/A 48490-2022 tillsynsbegäran mail.docx", "A 48490-2022")</f>
        <v/>
      </c>
    </row>
    <row r="49" ht="15" customHeight="1">
      <c r="A49" t="inlineStr">
        <is>
          <t>A 15278-2024</t>
        </is>
      </c>
      <c r="B49" s="1" t="n">
        <v>45400</v>
      </c>
      <c r="C49" s="1" t="n">
        <v>45682</v>
      </c>
      <c r="D49" t="inlineStr">
        <is>
          <t>STOCKHOLMS LÄN</t>
        </is>
      </c>
      <c r="E49" t="inlineStr">
        <is>
          <t>NORRTÄLJE</t>
        </is>
      </c>
      <c r="G49" t="n">
        <v>7.4</v>
      </c>
      <c r="H49" t="n">
        <v>2</v>
      </c>
      <c r="I49" t="n">
        <v>4</v>
      </c>
      <c r="J49" t="n">
        <v>1</v>
      </c>
      <c r="K49" t="n">
        <v>1</v>
      </c>
      <c r="L49" t="n">
        <v>0</v>
      </c>
      <c r="M49" t="n">
        <v>0</v>
      </c>
      <c r="N49" t="n">
        <v>0</v>
      </c>
      <c r="O49" t="n">
        <v>2</v>
      </c>
      <c r="P49" t="n">
        <v>1</v>
      </c>
      <c r="Q49" t="n">
        <v>7</v>
      </c>
      <c r="R49" s="2" t="inlineStr">
        <is>
          <t>Knärot
Ullticka
Fjällig taggsvamp s.str.
Grönpyrola
Kattfotslav
Vedticka
Blåsippa</t>
        </is>
      </c>
      <c r="S49">
        <f>HYPERLINK("https://klasma.github.io/Logging_0188/artfynd/A 15278-2024 artfynd.xlsx", "A 15278-2024")</f>
        <v/>
      </c>
      <c r="T49">
        <f>HYPERLINK("https://klasma.github.io/Logging_0188/kartor/A 15278-2024 karta.png", "A 15278-2024")</f>
        <v/>
      </c>
      <c r="U49">
        <f>HYPERLINK("https://klasma.github.io/Logging_0188/knärot/A 15278-2024 karta knärot.png", "A 15278-2024")</f>
        <v/>
      </c>
      <c r="V49">
        <f>HYPERLINK("https://klasma.github.io/Logging_0188/klagomål/A 15278-2024 FSC-klagomål.docx", "A 15278-2024")</f>
        <v/>
      </c>
      <c r="W49">
        <f>HYPERLINK("https://klasma.github.io/Logging_0188/klagomålsmail/A 15278-2024 FSC-klagomål mail.docx", "A 15278-2024")</f>
        <v/>
      </c>
      <c r="X49">
        <f>HYPERLINK("https://klasma.github.io/Logging_0188/tillsyn/A 15278-2024 tillsynsbegäran.docx", "A 15278-2024")</f>
        <v/>
      </c>
      <c r="Y49">
        <f>HYPERLINK("https://klasma.github.io/Logging_0188/tillsynsmail/A 15278-2024 tillsynsbegäran mail.docx", "A 15278-2024")</f>
        <v/>
      </c>
    </row>
    <row r="50" ht="15" customHeight="1">
      <c r="A50" t="inlineStr">
        <is>
          <t>A 60084-2024</t>
        </is>
      </c>
      <c r="B50" s="1" t="n">
        <v>45642</v>
      </c>
      <c r="C50" s="1" t="n">
        <v>45682</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45682</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45682</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45682</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45682</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45682</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45682</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45682</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45682</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45682</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45682</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45682</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45682</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45682</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45682</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45682</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45682</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45682</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45682</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45682</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8024-2022</t>
        </is>
      </c>
      <c r="B70" s="1" t="n">
        <v>44609</v>
      </c>
      <c r="C70" s="1" t="n">
        <v>45682</v>
      </c>
      <c r="D70" t="inlineStr">
        <is>
          <t>STOCKHOLMS LÄN</t>
        </is>
      </c>
      <c r="E70" t="inlineStr">
        <is>
          <t>NORRTÄLJE</t>
        </is>
      </c>
      <c r="F70" t="inlineStr">
        <is>
          <t>Kyrkan</t>
        </is>
      </c>
      <c r="G70" t="n">
        <v>28.2</v>
      </c>
      <c r="H70" t="n">
        <v>4</v>
      </c>
      <c r="I70" t="n">
        <v>0</v>
      </c>
      <c r="J70" t="n">
        <v>2</v>
      </c>
      <c r="K70" t="n">
        <v>0</v>
      </c>
      <c r="L70" t="n">
        <v>0</v>
      </c>
      <c r="M70" t="n">
        <v>0</v>
      </c>
      <c r="N70" t="n">
        <v>0</v>
      </c>
      <c r="O70" t="n">
        <v>2</v>
      </c>
      <c r="P70" t="n">
        <v>0</v>
      </c>
      <c r="Q70" t="n">
        <v>4</v>
      </c>
      <c r="R70" s="2" t="inlineStr">
        <is>
          <t>Björktrast
Havsörn
Hökuggla
Revlummer</t>
        </is>
      </c>
      <c r="S70">
        <f>HYPERLINK("https://klasma.github.io/Logging_0188/artfynd/A 8024-2022 artfynd.xlsx", "A 8024-2022")</f>
        <v/>
      </c>
      <c r="T70">
        <f>HYPERLINK("https://klasma.github.io/Logging_0188/kartor/A 8024-2022 karta.png", "A 8024-2022")</f>
        <v/>
      </c>
      <c r="V70">
        <f>HYPERLINK("https://klasma.github.io/Logging_0188/klagomål/A 8024-2022 FSC-klagomål.docx", "A 8024-2022")</f>
        <v/>
      </c>
      <c r="W70">
        <f>HYPERLINK("https://klasma.github.io/Logging_0188/klagomålsmail/A 8024-2022 FSC-klagomål mail.docx", "A 8024-2022")</f>
        <v/>
      </c>
      <c r="X70">
        <f>HYPERLINK("https://klasma.github.io/Logging_0188/tillsyn/A 8024-2022 tillsynsbegäran.docx", "A 8024-2022")</f>
        <v/>
      </c>
      <c r="Y70">
        <f>HYPERLINK("https://klasma.github.io/Logging_0188/tillsynsmail/A 8024-2022 tillsynsbegäran mail.docx", "A 8024-2022")</f>
        <v/>
      </c>
      <c r="Z70">
        <f>HYPERLINK("https://klasma.github.io/Logging_0188/fåglar/A 8024-2022 prioriterade fågelarter.docx", "A 8024-2022")</f>
        <v/>
      </c>
    </row>
    <row r="71" ht="15" customHeight="1">
      <c r="A71" t="inlineStr">
        <is>
          <t>A 56785-2023</t>
        </is>
      </c>
      <c r="B71" s="1" t="n">
        <v>45244</v>
      </c>
      <c r="C71" s="1" t="n">
        <v>45682</v>
      </c>
      <c r="D71" t="inlineStr">
        <is>
          <t>STOCKHOLMS LÄN</t>
        </is>
      </c>
      <c r="E71" t="inlineStr">
        <is>
          <t>NORRTÄLJE</t>
        </is>
      </c>
      <c r="G71" t="n">
        <v>7.7</v>
      </c>
      <c r="H71" t="n">
        <v>0</v>
      </c>
      <c r="I71" t="n">
        <v>1</v>
      </c>
      <c r="J71" t="n">
        <v>3</v>
      </c>
      <c r="K71" t="n">
        <v>0</v>
      </c>
      <c r="L71" t="n">
        <v>0</v>
      </c>
      <c r="M71" t="n">
        <v>0</v>
      </c>
      <c r="N71" t="n">
        <v>0</v>
      </c>
      <c r="O71" t="n">
        <v>3</v>
      </c>
      <c r="P71" t="n">
        <v>0</v>
      </c>
      <c r="Q71" t="n">
        <v>4</v>
      </c>
      <c r="R71" s="2" t="inlineStr">
        <is>
          <t>Plattad lövvedborre
Skeppsvarvsfluga
Triplax rufipes
Dorcatoma chrysomelina</t>
        </is>
      </c>
      <c r="S71">
        <f>HYPERLINK("https://klasma.github.io/Logging_0188/artfynd/A 56785-2023 artfynd.xlsx", "A 56785-2023")</f>
        <v/>
      </c>
      <c r="T71">
        <f>HYPERLINK("https://klasma.github.io/Logging_0188/kartor/A 56785-2023 karta.png", "A 56785-2023")</f>
        <v/>
      </c>
      <c r="V71">
        <f>HYPERLINK("https://klasma.github.io/Logging_0188/klagomål/A 56785-2023 FSC-klagomål.docx", "A 56785-2023")</f>
        <v/>
      </c>
      <c r="W71">
        <f>HYPERLINK("https://klasma.github.io/Logging_0188/klagomålsmail/A 56785-2023 FSC-klagomål mail.docx", "A 56785-2023")</f>
        <v/>
      </c>
      <c r="X71">
        <f>HYPERLINK("https://klasma.github.io/Logging_0188/tillsyn/A 56785-2023 tillsynsbegäran.docx", "A 56785-2023")</f>
        <v/>
      </c>
      <c r="Y71">
        <f>HYPERLINK("https://klasma.github.io/Logging_0188/tillsynsmail/A 56785-2023 tillsynsbegäran mail.docx", "A 56785-2023")</f>
        <v/>
      </c>
    </row>
    <row r="72" ht="15" customHeight="1">
      <c r="A72" t="inlineStr">
        <is>
          <t>A 19617-2019</t>
        </is>
      </c>
      <c r="B72" s="1" t="n">
        <v>43566</v>
      </c>
      <c r="C72" s="1" t="n">
        <v>45682</v>
      </c>
      <c r="D72" t="inlineStr">
        <is>
          <t>STOCKHOLMS LÄN</t>
        </is>
      </c>
      <c r="E72" t="inlineStr">
        <is>
          <t>NORRTÄLJE</t>
        </is>
      </c>
      <c r="G72" t="n">
        <v>16.1</v>
      </c>
      <c r="H72" t="n">
        <v>2</v>
      </c>
      <c r="I72" t="n">
        <v>1</v>
      </c>
      <c r="J72" t="n">
        <v>1</v>
      </c>
      <c r="K72" t="n">
        <v>0</v>
      </c>
      <c r="L72" t="n">
        <v>0</v>
      </c>
      <c r="M72" t="n">
        <v>0</v>
      </c>
      <c r="N72" t="n">
        <v>0</v>
      </c>
      <c r="O72" t="n">
        <v>1</v>
      </c>
      <c r="P72" t="n">
        <v>0</v>
      </c>
      <c r="Q72" t="n">
        <v>3</v>
      </c>
      <c r="R72" s="2" t="inlineStr">
        <is>
          <t>Havsörn
Myskbock
Blåsippa</t>
        </is>
      </c>
      <c r="S72">
        <f>HYPERLINK("https://klasma.github.io/Logging_0188/artfynd/A 19617-2019 artfynd.xlsx", "A 19617-2019")</f>
        <v/>
      </c>
      <c r="T72">
        <f>HYPERLINK("https://klasma.github.io/Logging_0188/kartor/A 19617-2019 karta.png", "A 19617-2019")</f>
        <v/>
      </c>
      <c r="V72">
        <f>HYPERLINK("https://klasma.github.io/Logging_0188/klagomål/A 19617-2019 FSC-klagomål.docx", "A 19617-2019")</f>
        <v/>
      </c>
      <c r="W72">
        <f>HYPERLINK("https://klasma.github.io/Logging_0188/klagomålsmail/A 19617-2019 FSC-klagomål mail.docx", "A 19617-2019")</f>
        <v/>
      </c>
      <c r="X72">
        <f>HYPERLINK("https://klasma.github.io/Logging_0188/tillsyn/A 19617-2019 tillsynsbegäran.docx", "A 19617-2019")</f>
        <v/>
      </c>
      <c r="Y72">
        <f>HYPERLINK("https://klasma.github.io/Logging_0188/tillsynsmail/A 19617-2019 tillsynsbegäran mail.docx", "A 19617-2019")</f>
        <v/>
      </c>
      <c r="Z72">
        <f>HYPERLINK("https://klasma.github.io/Logging_0188/fåglar/A 19617-2019 prioriterade fågelarter.docx", "A 19617-2019")</f>
        <v/>
      </c>
    </row>
    <row r="73" ht="15" customHeight="1">
      <c r="A73" t="inlineStr">
        <is>
          <t>A 28495-2020</t>
        </is>
      </c>
      <c r="B73" s="1" t="n">
        <v>43999</v>
      </c>
      <c r="C73" s="1" t="n">
        <v>45682</v>
      </c>
      <c r="D73" t="inlineStr">
        <is>
          <t>STOCKHOLMS LÄN</t>
        </is>
      </c>
      <c r="E73" t="inlineStr">
        <is>
          <t>NORRTÄLJE</t>
        </is>
      </c>
      <c r="G73" t="n">
        <v>0.5</v>
      </c>
      <c r="H73" t="n">
        <v>1</v>
      </c>
      <c r="I73" t="n">
        <v>0</v>
      </c>
      <c r="J73" t="n">
        <v>2</v>
      </c>
      <c r="K73" t="n">
        <v>0</v>
      </c>
      <c r="L73" t="n">
        <v>0</v>
      </c>
      <c r="M73" t="n">
        <v>0</v>
      </c>
      <c r="N73" t="n">
        <v>0</v>
      </c>
      <c r="O73" t="n">
        <v>2</v>
      </c>
      <c r="P73" t="n">
        <v>0</v>
      </c>
      <c r="Q73" t="n">
        <v>3</v>
      </c>
      <c r="R73" s="2" t="inlineStr">
        <is>
          <t>Backklöver
Slåtterfibbla
Grönvit nattviol</t>
        </is>
      </c>
      <c r="S73">
        <f>HYPERLINK("https://klasma.github.io/Logging_0188/artfynd/A 28495-2020 artfynd.xlsx", "A 28495-2020")</f>
        <v/>
      </c>
      <c r="T73">
        <f>HYPERLINK("https://klasma.github.io/Logging_0188/kartor/A 28495-2020 karta.png", "A 28495-2020")</f>
        <v/>
      </c>
      <c r="V73">
        <f>HYPERLINK("https://klasma.github.io/Logging_0188/klagomål/A 28495-2020 FSC-klagomål.docx", "A 28495-2020")</f>
        <v/>
      </c>
      <c r="W73">
        <f>HYPERLINK("https://klasma.github.io/Logging_0188/klagomålsmail/A 28495-2020 FSC-klagomål mail.docx", "A 28495-2020")</f>
        <v/>
      </c>
      <c r="X73">
        <f>HYPERLINK("https://klasma.github.io/Logging_0188/tillsyn/A 28495-2020 tillsynsbegäran.docx", "A 28495-2020")</f>
        <v/>
      </c>
      <c r="Y73">
        <f>HYPERLINK("https://klasma.github.io/Logging_0188/tillsynsmail/A 28495-2020 tillsynsbegäran mail.docx", "A 28495-2020")</f>
        <v/>
      </c>
    </row>
    <row r="74" ht="15" customHeight="1">
      <c r="A74" t="inlineStr">
        <is>
          <t>A 14560-2021</t>
        </is>
      </c>
      <c r="B74" s="1" t="n">
        <v>44279</v>
      </c>
      <c r="C74" s="1" t="n">
        <v>45682</v>
      </c>
      <c r="D74" t="inlineStr">
        <is>
          <t>STOCKHOLMS LÄN</t>
        </is>
      </c>
      <c r="E74" t="inlineStr">
        <is>
          <t>NORRTÄLJE</t>
        </is>
      </c>
      <c r="G74" t="n">
        <v>1.8</v>
      </c>
      <c r="H74" t="n">
        <v>0</v>
      </c>
      <c r="I74" t="n">
        <v>2</v>
      </c>
      <c r="J74" t="n">
        <v>1</v>
      </c>
      <c r="K74" t="n">
        <v>0</v>
      </c>
      <c r="L74" t="n">
        <v>0</v>
      </c>
      <c r="M74" t="n">
        <v>0</v>
      </c>
      <c r="N74" t="n">
        <v>0</v>
      </c>
      <c r="O74" t="n">
        <v>1</v>
      </c>
      <c r="P74" t="n">
        <v>0</v>
      </c>
      <c r="Q74" t="n">
        <v>3</v>
      </c>
      <c r="R74" s="2" t="inlineStr">
        <is>
          <t>Vit vedfingersvamp
Stor aspticka
Vedticka</t>
        </is>
      </c>
      <c r="S74">
        <f>HYPERLINK("https://klasma.github.io/Logging_0188/artfynd/A 14560-2021 artfynd.xlsx", "A 14560-2021")</f>
        <v/>
      </c>
      <c r="T74">
        <f>HYPERLINK("https://klasma.github.io/Logging_0188/kartor/A 14560-2021 karta.png", "A 14560-2021")</f>
        <v/>
      </c>
      <c r="V74">
        <f>HYPERLINK("https://klasma.github.io/Logging_0188/klagomål/A 14560-2021 FSC-klagomål.docx", "A 14560-2021")</f>
        <v/>
      </c>
      <c r="W74">
        <f>HYPERLINK("https://klasma.github.io/Logging_0188/klagomålsmail/A 14560-2021 FSC-klagomål mail.docx", "A 14560-2021")</f>
        <v/>
      </c>
      <c r="X74">
        <f>HYPERLINK("https://klasma.github.io/Logging_0188/tillsyn/A 14560-2021 tillsynsbegäran.docx", "A 14560-2021")</f>
        <v/>
      </c>
      <c r="Y74">
        <f>HYPERLINK("https://klasma.github.io/Logging_0188/tillsynsmail/A 14560-2021 tillsynsbegäran mail.docx", "A 14560-2021")</f>
        <v/>
      </c>
    </row>
    <row r="75" ht="15" customHeight="1">
      <c r="A75" t="inlineStr">
        <is>
          <t>A 17673-2021</t>
        </is>
      </c>
      <c r="B75" s="1" t="n">
        <v>44300</v>
      </c>
      <c r="C75" s="1" t="n">
        <v>45682</v>
      </c>
      <c r="D75" t="inlineStr">
        <is>
          <t>STOCKHOLMS LÄN</t>
        </is>
      </c>
      <c r="E75" t="inlineStr">
        <is>
          <t>NORRTÄLJE</t>
        </is>
      </c>
      <c r="G75" t="n">
        <v>10.4</v>
      </c>
      <c r="H75" t="n">
        <v>3</v>
      </c>
      <c r="I75" t="n">
        <v>0</v>
      </c>
      <c r="J75" t="n">
        <v>2</v>
      </c>
      <c r="K75" t="n">
        <v>0</v>
      </c>
      <c r="L75" t="n">
        <v>0</v>
      </c>
      <c r="M75" t="n">
        <v>0</v>
      </c>
      <c r="N75" t="n">
        <v>0</v>
      </c>
      <c r="O75" t="n">
        <v>2</v>
      </c>
      <c r="P75" t="n">
        <v>0</v>
      </c>
      <c r="Q75" t="n">
        <v>3</v>
      </c>
      <c r="R75" s="2" t="inlineStr">
        <is>
          <t>Grönsångare
Havsörn
Blåsippa</t>
        </is>
      </c>
      <c r="S75">
        <f>HYPERLINK("https://klasma.github.io/Logging_0188/artfynd/A 17673-2021 artfynd.xlsx", "A 17673-2021")</f>
        <v/>
      </c>
      <c r="T75">
        <f>HYPERLINK("https://klasma.github.io/Logging_0188/kartor/A 17673-2021 karta.png", "A 17673-2021")</f>
        <v/>
      </c>
      <c r="V75">
        <f>HYPERLINK("https://klasma.github.io/Logging_0188/klagomål/A 17673-2021 FSC-klagomål.docx", "A 17673-2021")</f>
        <v/>
      </c>
      <c r="W75">
        <f>HYPERLINK("https://klasma.github.io/Logging_0188/klagomålsmail/A 17673-2021 FSC-klagomål mail.docx", "A 17673-2021")</f>
        <v/>
      </c>
      <c r="X75">
        <f>HYPERLINK("https://klasma.github.io/Logging_0188/tillsyn/A 17673-2021 tillsynsbegäran.docx", "A 17673-2021")</f>
        <v/>
      </c>
      <c r="Y75">
        <f>HYPERLINK("https://klasma.github.io/Logging_0188/tillsynsmail/A 17673-2021 tillsynsbegäran mail.docx", "A 17673-2021")</f>
        <v/>
      </c>
      <c r="Z75">
        <f>HYPERLINK("https://klasma.github.io/Logging_0188/fåglar/A 17673-2021 prioriterade fågelarter.docx", "A 17673-2021")</f>
        <v/>
      </c>
    </row>
    <row r="76" ht="15" customHeight="1">
      <c r="A76" t="inlineStr">
        <is>
          <t>A 65629-2021</t>
        </is>
      </c>
      <c r="B76" s="1" t="n">
        <v>44516</v>
      </c>
      <c r="C76" s="1" t="n">
        <v>45682</v>
      </c>
      <c r="D76" t="inlineStr">
        <is>
          <t>STOCKHOLMS LÄN</t>
        </is>
      </c>
      <c r="E76" t="inlineStr">
        <is>
          <t>NORRTÄLJE</t>
        </is>
      </c>
      <c r="G76" t="n">
        <v>3</v>
      </c>
      <c r="H76" t="n">
        <v>0</v>
      </c>
      <c r="I76" t="n">
        <v>1</v>
      </c>
      <c r="J76" t="n">
        <v>2</v>
      </c>
      <c r="K76" t="n">
        <v>0</v>
      </c>
      <c r="L76" t="n">
        <v>0</v>
      </c>
      <c r="M76" t="n">
        <v>0</v>
      </c>
      <c r="N76" t="n">
        <v>0</v>
      </c>
      <c r="O76" t="n">
        <v>2</v>
      </c>
      <c r="P76" t="n">
        <v>0</v>
      </c>
      <c r="Q76" t="n">
        <v>3</v>
      </c>
      <c r="R76" s="2" t="inlineStr">
        <is>
          <t>Granticka
Ullticka
Granbarkgnagare</t>
        </is>
      </c>
      <c r="S76">
        <f>HYPERLINK("https://klasma.github.io/Logging_0188/artfynd/A 65629-2021 artfynd.xlsx", "A 65629-2021")</f>
        <v/>
      </c>
      <c r="T76">
        <f>HYPERLINK("https://klasma.github.io/Logging_0188/kartor/A 65629-2021 karta.png", "A 65629-2021")</f>
        <v/>
      </c>
      <c r="V76">
        <f>HYPERLINK("https://klasma.github.io/Logging_0188/klagomål/A 65629-2021 FSC-klagomål.docx", "A 65629-2021")</f>
        <v/>
      </c>
      <c r="W76">
        <f>HYPERLINK("https://klasma.github.io/Logging_0188/klagomålsmail/A 65629-2021 FSC-klagomål mail.docx", "A 65629-2021")</f>
        <v/>
      </c>
      <c r="X76">
        <f>HYPERLINK("https://klasma.github.io/Logging_0188/tillsyn/A 65629-2021 tillsynsbegäran.docx", "A 65629-2021")</f>
        <v/>
      </c>
      <c r="Y76">
        <f>HYPERLINK("https://klasma.github.io/Logging_0188/tillsynsmail/A 65629-2021 tillsynsbegäran mail.docx", "A 65629-2021")</f>
        <v/>
      </c>
    </row>
    <row r="77" ht="15" customHeight="1">
      <c r="A77" t="inlineStr">
        <is>
          <t>A 12215-2022</t>
        </is>
      </c>
      <c r="B77" s="1" t="n">
        <v>44637</v>
      </c>
      <c r="C77" s="1" t="n">
        <v>45682</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45682</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45682</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45682</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45682</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45682</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45682</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45682</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45682</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45682</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45682</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45682</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45682</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45682</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45682</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45682</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45682</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45682</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45682</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45682</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45682</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45682</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45682</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45682</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45682</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45682</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45682</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45682</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45682</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45682</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45682</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45682</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45682</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45682</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45682</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45682</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45682</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45682</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45682</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45682</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45682</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45682</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45682</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45682</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45682</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45682</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45682</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45682</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45682</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45682</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45682</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45682</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45682</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45682</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45682</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45682</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45682</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45682</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45682</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45682</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45682</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45682</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45682</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45682</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45682</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45682</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45682</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45682</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45682</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45682</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45682</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45682</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45682</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45682</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45682</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45682</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45682</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45682</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45682</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45682</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45682</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45682</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45682</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45682</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45682</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45682</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45682</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45682</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45682</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45682</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45682</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45682</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45682</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45682</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45682</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45682</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43178-2023</t>
        </is>
      </c>
      <c r="B173" s="1" t="n">
        <v>45183</v>
      </c>
      <c r="C173" s="1" t="n">
        <v>45682</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45682</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45682</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45682</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45682</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45682</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45682</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45682</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45682</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45682</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45682</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45682</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45682</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45682</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45682</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45682</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45682</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45682</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45682</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45682</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45682</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45682</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45682</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45682</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45682</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45682</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3116-2025</t>
        </is>
      </c>
      <c r="B199" s="1" t="n">
        <v>45678</v>
      </c>
      <c r="C199" s="1" t="n">
        <v>45682</v>
      </c>
      <c r="D199" t="inlineStr">
        <is>
          <t>STOCKHOLMS LÄN</t>
        </is>
      </c>
      <c r="E199" t="inlineStr">
        <is>
          <t>NORRTÄLJE</t>
        </is>
      </c>
      <c r="G199" t="n">
        <v>10.8</v>
      </c>
      <c r="H199" t="n">
        <v>1</v>
      </c>
      <c r="I199" t="n">
        <v>0</v>
      </c>
      <c r="J199" t="n">
        <v>0</v>
      </c>
      <c r="K199" t="n">
        <v>0</v>
      </c>
      <c r="L199" t="n">
        <v>0</v>
      </c>
      <c r="M199" t="n">
        <v>0</v>
      </c>
      <c r="N199" t="n">
        <v>0</v>
      </c>
      <c r="O199" t="n">
        <v>0</v>
      </c>
      <c r="P199" t="n">
        <v>0</v>
      </c>
      <c r="Q199" t="n">
        <v>1</v>
      </c>
      <c r="R199" s="2" t="inlineStr">
        <is>
          <t>Mattlummer</t>
        </is>
      </c>
      <c r="S199">
        <f>HYPERLINK("https://klasma.github.io/Logging_0188/artfynd/A 3116-2025 artfynd.xlsx", "A 3116-2025")</f>
        <v/>
      </c>
      <c r="T199">
        <f>HYPERLINK("https://klasma.github.io/Logging_0188/kartor/A 3116-2025 karta.png", "A 3116-2025")</f>
        <v/>
      </c>
      <c r="V199">
        <f>HYPERLINK("https://klasma.github.io/Logging_0188/klagomål/A 3116-2025 FSC-klagomål.docx", "A 3116-2025")</f>
        <v/>
      </c>
      <c r="W199">
        <f>HYPERLINK("https://klasma.github.io/Logging_0188/klagomålsmail/A 3116-2025 FSC-klagomål mail.docx", "A 3116-2025")</f>
        <v/>
      </c>
      <c r="X199">
        <f>HYPERLINK("https://klasma.github.io/Logging_0188/tillsyn/A 3116-2025 tillsynsbegäran.docx", "A 3116-2025")</f>
        <v/>
      </c>
      <c r="Y199">
        <f>HYPERLINK("https://klasma.github.io/Logging_0188/tillsynsmail/A 3116-2025 tillsynsbegäran mail.docx", "A 3116-2025")</f>
        <v/>
      </c>
    </row>
    <row r="200" ht="15" customHeight="1">
      <c r="A200" t="inlineStr">
        <is>
          <t>A 17752-2019</t>
        </is>
      </c>
      <c r="B200" s="1" t="n">
        <v>43556</v>
      </c>
      <c r="C200" s="1" t="n">
        <v>45682</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17795-2019</t>
        </is>
      </c>
      <c r="B201" s="1" t="n">
        <v>43556</v>
      </c>
      <c r="C201" s="1" t="n">
        <v>45682</v>
      </c>
      <c r="D201" t="inlineStr">
        <is>
          <t>STOCKHOLMS LÄN</t>
        </is>
      </c>
      <c r="E201" t="inlineStr">
        <is>
          <t>NORRTÄLJE</t>
        </is>
      </c>
      <c r="G201" t="n">
        <v>0.8</v>
      </c>
      <c r="H201" t="n">
        <v>0</v>
      </c>
      <c r="I201" t="n">
        <v>0</v>
      </c>
      <c r="J201" t="n">
        <v>0</v>
      </c>
      <c r="K201" t="n">
        <v>0</v>
      </c>
      <c r="L201" t="n">
        <v>0</v>
      </c>
      <c r="M201" t="n">
        <v>0</v>
      </c>
      <c r="N201" t="n">
        <v>0</v>
      </c>
      <c r="O201" t="n">
        <v>0</v>
      </c>
      <c r="P201" t="n">
        <v>0</v>
      </c>
      <c r="Q201" t="n">
        <v>0</v>
      </c>
      <c r="R201" s="2" t="inlineStr"/>
    </row>
    <row r="202" ht="15" customHeight="1">
      <c r="A202" t="inlineStr">
        <is>
          <t>A 17757-2019</t>
        </is>
      </c>
      <c r="B202" s="1" t="n">
        <v>43556</v>
      </c>
      <c r="C202" s="1" t="n">
        <v>45682</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17963-2019</t>
        </is>
      </c>
      <c r="B203" s="1" t="n">
        <v>43557</v>
      </c>
      <c r="C203" s="1" t="n">
        <v>45682</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18378-2019</t>
        </is>
      </c>
      <c r="B204" s="1" t="n">
        <v>43559</v>
      </c>
      <c r="C204" s="1" t="n">
        <v>45682</v>
      </c>
      <c r="D204" t="inlineStr">
        <is>
          <t>STOCKHOLMS LÄN</t>
        </is>
      </c>
      <c r="E204" t="inlineStr">
        <is>
          <t>NORRTÄLJE</t>
        </is>
      </c>
      <c r="G204" t="n">
        <v>5.8</v>
      </c>
      <c r="H204" t="n">
        <v>0</v>
      </c>
      <c r="I204" t="n">
        <v>0</v>
      </c>
      <c r="J204" t="n">
        <v>0</v>
      </c>
      <c r="K204" t="n">
        <v>0</v>
      </c>
      <c r="L204" t="n">
        <v>0</v>
      </c>
      <c r="M204" t="n">
        <v>0</v>
      </c>
      <c r="N204" t="n">
        <v>0</v>
      </c>
      <c r="O204" t="n">
        <v>0</v>
      </c>
      <c r="P204" t="n">
        <v>0</v>
      </c>
      <c r="Q204" t="n">
        <v>0</v>
      </c>
      <c r="R204" s="2" t="inlineStr"/>
    </row>
    <row r="205" ht="15" customHeight="1">
      <c r="A205" t="inlineStr">
        <is>
          <t>A 18664-2019</t>
        </is>
      </c>
      <c r="B205" s="1" t="n">
        <v>43560</v>
      </c>
      <c r="C205" s="1" t="n">
        <v>45682</v>
      </c>
      <c r="D205" t="inlineStr">
        <is>
          <t>STOCKHOLMS LÄN</t>
        </is>
      </c>
      <c r="E205" t="inlineStr">
        <is>
          <t>NORRTÄLJE</t>
        </is>
      </c>
      <c r="G205" t="n">
        <v>0.6</v>
      </c>
      <c r="H205" t="n">
        <v>0</v>
      </c>
      <c r="I205" t="n">
        <v>0</v>
      </c>
      <c r="J205" t="n">
        <v>0</v>
      </c>
      <c r="K205" t="n">
        <v>0</v>
      </c>
      <c r="L205" t="n">
        <v>0</v>
      </c>
      <c r="M205" t="n">
        <v>0</v>
      </c>
      <c r="N205" t="n">
        <v>0</v>
      </c>
      <c r="O205" t="n">
        <v>0</v>
      </c>
      <c r="P205" t="n">
        <v>0</v>
      </c>
      <c r="Q205" t="n">
        <v>0</v>
      </c>
      <c r="R205" s="2" t="inlineStr"/>
    </row>
    <row r="206" ht="15" customHeight="1">
      <c r="A206" t="inlineStr">
        <is>
          <t>A 18767-2019</t>
        </is>
      </c>
      <c r="B206" s="1" t="n">
        <v>43560</v>
      </c>
      <c r="C206" s="1" t="n">
        <v>45682</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18820-2019</t>
        </is>
      </c>
      <c r="B207" s="1" t="n">
        <v>43563</v>
      </c>
      <c r="C207" s="1" t="n">
        <v>45682</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18890-2019</t>
        </is>
      </c>
      <c r="B208" s="1" t="n">
        <v>43563</v>
      </c>
      <c r="C208" s="1" t="n">
        <v>45682</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18909-2019</t>
        </is>
      </c>
      <c r="B209" s="1" t="n">
        <v>43563</v>
      </c>
      <c r="C209" s="1" t="n">
        <v>45682</v>
      </c>
      <c r="D209" t="inlineStr">
        <is>
          <t>STOCKHOLMS LÄN</t>
        </is>
      </c>
      <c r="E209" t="inlineStr">
        <is>
          <t>NORRTÄLJE</t>
        </is>
      </c>
      <c r="G209" t="n">
        <v>2.9</v>
      </c>
      <c r="H209" t="n">
        <v>0</v>
      </c>
      <c r="I209" t="n">
        <v>0</v>
      </c>
      <c r="J209" t="n">
        <v>0</v>
      </c>
      <c r="K209" t="n">
        <v>0</v>
      </c>
      <c r="L209" t="n">
        <v>0</v>
      </c>
      <c r="M209" t="n">
        <v>0</v>
      </c>
      <c r="N209" t="n">
        <v>0</v>
      </c>
      <c r="O209" t="n">
        <v>0</v>
      </c>
      <c r="P209" t="n">
        <v>0</v>
      </c>
      <c r="Q209" t="n">
        <v>0</v>
      </c>
      <c r="R209" s="2" t="inlineStr"/>
    </row>
    <row r="210" ht="15" customHeight="1">
      <c r="A210" t="inlineStr">
        <is>
          <t>A 19026-2019</t>
        </is>
      </c>
      <c r="B210" s="1" t="n">
        <v>43563</v>
      </c>
      <c r="C210" s="1" t="n">
        <v>45682</v>
      </c>
      <c r="D210" t="inlineStr">
        <is>
          <t>STOCKHOLMS LÄN</t>
        </is>
      </c>
      <c r="E210" t="inlineStr">
        <is>
          <t>NORRTÄLJE</t>
        </is>
      </c>
      <c r="G210" t="n">
        <v>4.4</v>
      </c>
      <c r="H210" t="n">
        <v>0</v>
      </c>
      <c r="I210" t="n">
        <v>0</v>
      </c>
      <c r="J210" t="n">
        <v>0</v>
      </c>
      <c r="K210" t="n">
        <v>0</v>
      </c>
      <c r="L210" t="n">
        <v>0</v>
      </c>
      <c r="M210" t="n">
        <v>0</v>
      </c>
      <c r="N210" t="n">
        <v>0</v>
      </c>
      <c r="O210" t="n">
        <v>0</v>
      </c>
      <c r="P210" t="n">
        <v>0</v>
      </c>
      <c r="Q210" t="n">
        <v>0</v>
      </c>
      <c r="R210" s="2" t="inlineStr"/>
    </row>
    <row r="211" ht="15" customHeight="1">
      <c r="A211" t="inlineStr">
        <is>
          <t>A 19014-2019</t>
        </is>
      </c>
      <c r="B211" s="1" t="n">
        <v>43563</v>
      </c>
      <c r="C211" s="1" t="n">
        <v>45682</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19247-2019</t>
        </is>
      </c>
      <c r="B212" s="1" t="n">
        <v>43564</v>
      </c>
      <c r="C212" s="1" t="n">
        <v>45682</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19255-2019</t>
        </is>
      </c>
      <c r="B213" s="1" t="n">
        <v>43564</v>
      </c>
      <c r="C213" s="1" t="n">
        <v>45682</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19302-2019</t>
        </is>
      </c>
      <c r="B214" s="1" t="n">
        <v>43565</v>
      </c>
      <c r="C214" s="1" t="n">
        <v>45682</v>
      </c>
      <c r="D214" t="inlineStr">
        <is>
          <t>STOCKHOLMS LÄN</t>
        </is>
      </c>
      <c r="E214" t="inlineStr">
        <is>
          <t>NORRTÄLJE</t>
        </is>
      </c>
      <c r="F214" t="inlineStr">
        <is>
          <t>Kommuner</t>
        </is>
      </c>
      <c r="G214" t="n">
        <v>4.2</v>
      </c>
      <c r="H214" t="n">
        <v>0</v>
      </c>
      <c r="I214" t="n">
        <v>0</v>
      </c>
      <c r="J214" t="n">
        <v>0</v>
      </c>
      <c r="K214" t="n">
        <v>0</v>
      </c>
      <c r="L214" t="n">
        <v>0</v>
      </c>
      <c r="M214" t="n">
        <v>0</v>
      </c>
      <c r="N214" t="n">
        <v>0</v>
      </c>
      <c r="O214" t="n">
        <v>0</v>
      </c>
      <c r="P214" t="n">
        <v>0</v>
      </c>
      <c r="Q214" t="n">
        <v>0</v>
      </c>
      <c r="R214" s="2" t="inlineStr"/>
    </row>
    <row r="215" ht="15" customHeight="1">
      <c r="A215" t="inlineStr">
        <is>
          <t>A 19301-2019</t>
        </is>
      </c>
      <c r="B215" s="1" t="n">
        <v>43565</v>
      </c>
      <c r="C215" s="1" t="n">
        <v>45682</v>
      </c>
      <c r="D215" t="inlineStr">
        <is>
          <t>STOCKHOLMS LÄN</t>
        </is>
      </c>
      <c r="E215" t="inlineStr">
        <is>
          <t>NORRTÄLJE</t>
        </is>
      </c>
      <c r="F215" t="inlineStr">
        <is>
          <t>Kommuner</t>
        </is>
      </c>
      <c r="G215" t="n">
        <v>3.9</v>
      </c>
      <c r="H215" t="n">
        <v>0</v>
      </c>
      <c r="I215" t="n">
        <v>0</v>
      </c>
      <c r="J215" t="n">
        <v>0</v>
      </c>
      <c r="K215" t="n">
        <v>0</v>
      </c>
      <c r="L215" t="n">
        <v>0</v>
      </c>
      <c r="M215" t="n">
        <v>0</v>
      </c>
      <c r="N215" t="n">
        <v>0</v>
      </c>
      <c r="O215" t="n">
        <v>0</v>
      </c>
      <c r="P215" t="n">
        <v>0</v>
      </c>
      <c r="Q215" t="n">
        <v>0</v>
      </c>
      <c r="R215" s="2" t="inlineStr"/>
    </row>
    <row r="216" ht="15" customHeight="1">
      <c r="A216" t="inlineStr">
        <is>
          <t>A 19297-2019</t>
        </is>
      </c>
      <c r="B216" s="1" t="n">
        <v>43565</v>
      </c>
      <c r="C216" s="1" t="n">
        <v>45682</v>
      </c>
      <c r="D216" t="inlineStr">
        <is>
          <t>STOCKHOLMS LÄN</t>
        </is>
      </c>
      <c r="E216" t="inlineStr">
        <is>
          <t>NORRTÄLJE</t>
        </is>
      </c>
      <c r="F216" t="inlineStr">
        <is>
          <t>Kommuner</t>
        </is>
      </c>
      <c r="G216" t="n">
        <v>1.2</v>
      </c>
      <c r="H216" t="n">
        <v>0</v>
      </c>
      <c r="I216" t="n">
        <v>0</v>
      </c>
      <c r="J216" t="n">
        <v>0</v>
      </c>
      <c r="K216" t="n">
        <v>0</v>
      </c>
      <c r="L216" t="n">
        <v>0</v>
      </c>
      <c r="M216" t="n">
        <v>0</v>
      </c>
      <c r="N216" t="n">
        <v>0</v>
      </c>
      <c r="O216" t="n">
        <v>0</v>
      </c>
      <c r="P216" t="n">
        <v>0</v>
      </c>
      <c r="Q216" t="n">
        <v>0</v>
      </c>
      <c r="R216" s="2" t="inlineStr"/>
    </row>
    <row r="217" ht="15" customHeight="1">
      <c r="A217" t="inlineStr">
        <is>
          <t>A 19537-2019</t>
        </is>
      </c>
      <c r="B217" s="1" t="n">
        <v>43565</v>
      </c>
      <c r="C217" s="1" t="n">
        <v>45682</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19539-2019</t>
        </is>
      </c>
      <c r="B218" s="1" t="n">
        <v>43565</v>
      </c>
      <c r="C218" s="1" t="n">
        <v>45682</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19540-2019</t>
        </is>
      </c>
      <c r="B219" s="1" t="n">
        <v>43565</v>
      </c>
      <c r="C219" s="1" t="n">
        <v>45682</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19638-2019</t>
        </is>
      </c>
      <c r="B220" s="1" t="n">
        <v>43566</v>
      </c>
      <c r="C220" s="1" t="n">
        <v>45682</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19593-2019</t>
        </is>
      </c>
      <c r="B221" s="1" t="n">
        <v>43566</v>
      </c>
      <c r="C221" s="1" t="n">
        <v>45682</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19872-2019</t>
        </is>
      </c>
      <c r="B222" s="1" t="n">
        <v>43567</v>
      </c>
      <c r="C222" s="1" t="n">
        <v>45682</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19811-2019</t>
        </is>
      </c>
      <c r="B223" s="1" t="n">
        <v>43567</v>
      </c>
      <c r="C223" s="1" t="n">
        <v>45682</v>
      </c>
      <c r="D223" t="inlineStr">
        <is>
          <t>STOCKHOLMS LÄN</t>
        </is>
      </c>
      <c r="E223" t="inlineStr">
        <is>
          <t>NORRTÄLJE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19812-2019</t>
        </is>
      </c>
      <c r="B224" s="1" t="n">
        <v>43567</v>
      </c>
      <c r="C224" s="1" t="n">
        <v>45682</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19931-2019</t>
        </is>
      </c>
      <c r="B225" s="1" t="n">
        <v>43568</v>
      </c>
      <c r="C225" s="1" t="n">
        <v>45682</v>
      </c>
      <c r="D225" t="inlineStr">
        <is>
          <t>STOCKHOLMS LÄN</t>
        </is>
      </c>
      <c r="E225" t="inlineStr">
        <is>
          <t>NORRTÄLJE</t>
        </is>
      </c>
      <c r="G225" t="n">
        <v>4.2</v>
      </c>
      <c r="H225" t="n">
        <v>0</v>
      </c>
      <c r="I225" t="n">
        <v>0</v>
      </c>
      <c r="J225" t="n">
        <v>0</v>
      </c>
      <c r="K225" t="n">
        <v>0</v>
      </c>
      <c r="L225" t="n">
        <v>0</v>
      </c>
      <c r="M225" t="n">
        <v>0</v>
      </c>
      <c r="N225" t="n">
        <v>0</v>
      </c>
      <c r="O225" t="n">
        <v>0</v>
      </c>
      <c r="P225" t="n">
        <v>0</v>
      </c>
      <c r="Q225" t="n">
        <v>0</v>
      </c>
      <c r="R225" s="2" t="inlineStr"/>
    </row>
    <row r="226" ht="15" customHeight="1">
      <c r="A226" t="inlineStr">
        <is>
          <t>A 20033-2019</t>
        </is>
      </c>
      <c r="B226" s="1" t="n">
        <v>43570</v>
      </c>
      <c r="C226" s="1" t="n">
        <v>45682</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20020-2019</t>
        </is>
      </c>
      <c r="B227" s="1" t="n">
        <v>43570</v>
      </c>
      <c r="C227" s="1" t="n">
        <v>45682</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20051-2019</t>
        </is>
      </c>
      <c r="B228" s="1" t="n">
        <v>43570</v>
      </c>
      <c r="C228" s="1" t="n">
        <v>45682</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20137-2019</t>
        </is>
      </c>
      <c r="B229" s="1" t="n">
        <v>43570</v>
      </c>
      <c r="C229" s="1" t="n">
        <v>45682</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20007-2019</t>
        </is>
      </c>
      <c r="B230" s="1" t="n">
        <v>43570</v>
      </c>
      <c r="C230" s="1" t="n">
        <v>45682</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20052-2019</t>
        </is>
      </c>
      <c r="B231" s="1" t="n">
        <v>43570</v>
      </c>
      <c r="C231" s="1" t="n">
        <v>45682</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20159-2019</t>
        </is>
      </c>
      <c r="B232" s="1" t="n">
        <v>43570</v>
      </c>
      <c r="C232" s="1" t="n">
        <v>45682</v>
      </c>
      <c r="D232" t="inlineStr">
        <is>
          <t>STOCKHOLMS LÄN</t>
        </is>
      </c>
      <c r="E232" t="inlineStr">
        <is>
          <t>NORRTÄLJE</t>
        </is>
      </c>
      <c r="F232" t="inlineStr">
        <is>
          <t>Kommuner</t>
        </is>
      </c>
      <c r="G232" t="n">
        <v>2</v>
      </c>
      <c r="H232" t="n">
        <v>0</v>
      </c>
      <c r="I232" t="n">
        <v>0</v>
      </c>
      <c r="J232" t="n">
        <v>0</v>
      </c>
      <c r="K232" t="n">
        <v>0</v>
      </c>
      <c r="L232" t="n">
        <v>0</v>
      </c>
      <c r="M232" t="n">
        <v>0</v>
      </c>
      <c r="N232" t="n">
        <v>0</v>
      </c>
      <c r="O232" t="n">
        <v>0</v>
      </c>
      <c r="P232" t="n">
        <v>0</v>
      </c>
      <c r="Q232" t="n">
        <v>0</v>
      </c>
      <c r="R232" s="2" t="inlineStr"/>
    </row>
    <row r="233" ht="15" customHeight="1">
      <c r="A233" t="inlineStr">
        <is>
          <t>A 20181-2019</t>
        </is>
      </c>
      <c r="B233" s="1" t="n">
        <v>43570</v>
      </c>
      <c r="C233" s="1" t="n">
        <v>45682</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20184-2019</t>
        </is>
      </c>
      <c r="B234" s="1" t="n">
        <v>43570</v>
      </c>
      <c r="C234" s="1" t="n">
        <v>45682</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20193-2019</t>
        </is>
      </c>
      <c r="B235" s="1" t="n">
        <v>43570</v>
      </c>
      <c r="C235" s="1" t="n">
        <v>45682</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20090-2019</t>
        </is>
      </c>
      <c r="B236" s="1" t="n">
        <v>43570</v>
      </c>
      <c r="C236" s="1" t="n">
        <v>45682</v>
      </c>
      <c r="D236" t="inlineStr">
        <is>
          <t>STOCKHOLMS LÄN</t>
        </is>
      </c>
      <c r="E236" t="inlineStr">
        <is>
          <t>NORRTÄLJE</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20165-2019</t>
        </is>
      </c>
      <c r="B237" s="1" t="n">
        <v>43570</v>
      </c>
      <c r="C237" s="1" t="n">
        <v>45682</v>
      </c>
      <c r="D237" t="inlineStr">
        <is>
          <t>STOCKHOLMS LÄN</t>
        </is>
      </c>
      <c r="E237" t="inlineStr">
        <is>
          <t>NORRTÄLJE</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20023-2019</t>
        </is>
      </c>
      <c r="B238" s="1" t="n">
        <v>43570</v>
      </c>
      <c r="C238" s="1" t="n">
        <v>45682</v>
      </c>
      <c r="D238" t="inlineStr">
        <is>
          <t>STOCKHOLMS LÄN</t>
        </is>
      </c>
      <c r="E238" t="inlineStr">
        <is>
          <t>NORRTÄLJE</t>
        </is>
      </c>
      <c r="G238" t="n">
        <v>5.1</v>
      </c>
      <c r="H238" t="n">
        <v>0</v>
      </c>
      <c r="I238" t="n">
        <v>0</v>
      </c>
      <c r="J238" t="n">
        <v>0</v>
      </c>
      <c r="K238" t="n">
        <v>0</v>
      </c>
      <c r="L238" t="n">
        <v>0</v>
      </c>
      <c r="M238" t="n">
        <v>0</v>
      </c>
      <c r="N238" t="n">
        <v>0</v>
      </c>
      <c r="O238" t="n">
        <v>0</v>
      </c>
      <c r="P238" t="n">
        <v>0</v>
      </c>
      <c r="Q238" t="n">
        <v>0</v>
      </c>
      <c r="R238" s="2" t="inlineStr"/>
    </row>
    <row r="239" ht="15" customHeight="1">
      <c r="A239" t="inlineStr">
        <is>
          <t>A 20531-2019</t>
        </is>
      </c>
      <c r="B239" s="1" t="n">
        <v>43572</v>
      </c>
      <c r="C239" s="1" t="n">
        <v>45682</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20743-2019</t>
        </is>
      </c>
      <c r="B240" s="1" t="n">
        <v>43573</v>
      </c>
      <c r="C240" s="1" t="n">
        <v>45682</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20809-2019</t>
        </is>
      </c>
      <c r="B241" s="1" t="n">
        <v>43573</v>
      </c>
      <c r="C241" s="1" t="n">
        <v>45682</v>
      </c>
      <c r="D241" t="inlineStr">
        <is>
          <t>STOCKHOLMS LÄN</t>
        </is>
      </c>
      <c r="E241" t="inlineStr">
        <is>
          <t>NORRTÄLJE</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20925-2019</t>
        </is>
      </c>
      <c r="B242" s="1" t="n">
        <v>43578</v>
      </c>
      <c r="C242" s="1" t="n">
        <v>45682</v>
      </c>
      <c r="D242" t="inlineStr">
        <is>
          <t>STOCKHOLMS LÄN</t>
        </is>
      </c>
      <c r="E242" t="inlineStr">
        <is>
          <t>NORRTÄLJE</t>
        </is>
      </c>
      <c r="G242" t="n">
        <v>5</v>
      </c>
      <c r="H242" t="n">
        <v>0</v>
      </c>
      <c r="I242" t="n">
        <v>0</v>
      </c>
      <c r="J242" t="n">
        <v>0</v>
      </c>
      <c r="K242" t="n">
        <v>0</v>
      </c>
      <c r="L242" t="n">
        <v>0</v>
      </c>
      <c r="M242" t="n">
        <v>0</v>
      </c>
      <c r="N242" t="n">
        <v>0</v>
      </c>
      <c r="O242" t="n">
        <v>0</v>
      </c>
      <c r="P242" t="n">
        <v>0</v>
      </c>
      <c r="Q242" t="n">
        <v>0</v>
      </c>
      <c r="R242" s="2" t="inlineStr"/>
    </row>
    <row r="243" ht="15" customHeight="1">
      <c r="A243" t="inlineStr">
        <is>
          <t>A 21062-2019</t>
        </is>
      </c>
      <c r="B243" s="1" t="n">
        <v>43578</v>
      </c>
      <c r="C243" s="1" t="n">
        <v>45682</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21441-2019</t>
        </is>
      </c>
      <c r="B244" s="1" t="n">
        <v>43580</v>
      </c>
      <c r="C244" s="1" t="n">
        <v>45682</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21521-2019</t>
        </is>
      </c>
      <c r="B245" s="1" t="n">
        <v>43580</v>
      </c>
      <c r="C245" s="1" t="n">
        <v>45682</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21508-2019</t>
        </is>
      </c>
      <c r="B246" s="1" t="n">
        <v>43580</v>
      </c>
      <c r="C246" s="1" t="n">
        <v>45682</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21457-2019</t>
        </is>
      </c>
      <c r="B247" s="1" t="n">
        <v>43580</v>
      </c>
      <c r="C247" s="1" t="n">
        <v>45682</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21501-2019</t>
        </is>
      </c>
      <c r="B248" s="1" t="n">
        <v>43580</v>
      </c>
      <c r="C248" s="1" t="n">
        <v>45682</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21616-2019</t>
        </is>
      </c>
      <c r="B249" s="1" t="n">
        <v>43581</v>
      </c>
      <c r="C249" s="1" t="n">
        <v>45682</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21662-2019</t>
        </is>
      </c>
      <c r="B250" s="1" t="n">
        <v>43581</v>
      </c>
      <c r="C250" s="1" t="n">
        <v>45682</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21720-2019</t>
        </is>
      </c>
      <c r="B251" s="1" t="n">
        <v>43581</v>
      </c>
      <c r="C251" s="1" t="n">
        <v>45682</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21692-2019</t>
        </is>
      </c>
      <c r="B252" s="1" t="n">
        <v>43581</v>
      </c>
      <c r="C252" s="1" t="n">
        <v>45682</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21811-2019</t>
        </is>
      </c>
      <c r="B253" s="1" t="n">
        <v>43582</v>
      </c>
      <c r="C253" s="1" t="n">
        <v>45682</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22207-2019</t>
        </is>
      </c>
      <c r="B254" s="1" t="n">
        <v>43585</v>
      </c>
      <c r="C254" s="1" t="n">
        <v>45682</v>
      </c>
      <c r="D254" t="inlineStr">
        <is>
          <t>STOCKHOLMS LÄN</t>
        </is>
      </c>
      <c r="E254" t="inlineStr">
        <is>
          <t>NORRTÄLJE</t>
        </is>
      </c>
      <c r="G254" t="n">
        <v>0.8</v>
      </c>
      <c r="H254" t="n">
        <v>0</v>
      </c>
      <c r="I254" t="n">
        <v>0</v>
      </c>
      <c r="J254" t="n">
        <v>0</v>
      </c>
      <c r="K254" t="n">
        <v>0</v>
      </c>
      <c r="L254" t="n">
        <v>0</v>
      </c>
      <c r="M254" t="n">
        <v>0</v>
      </c>
      <c r="N254" t="n">
        <v>0</v>
      </c>
      <c r="O254" t="n">
        <v>0</v>
      </c>
      <c r="P254" t="n">
        <v>0</v>
      </c>
      <c r="Q254" t="n">
        <v>0</v>
      </c>
      <c r="R254" s="2" t="inlineStr"/>
    </row>
    <row r="255" ht="15" customHeight="1">
      <c r="A255" t="inlineStr">
        <is>
          <t>A 22211-2019</t>
        </is>
      </c>
      <c r="B255" s="1" t="n">
        <v>43585</v>
      </c>
      <c r="C255" s="1" t="n">
        <v>45682</v>
      </c>
      <c r="D255" t="inlineStr">
        <is>
          <t>STOCKHOLMS LÄN</t>
        </is>
      </c>
      <c r="E255" t="inlineStr">
        <is>
          <t>NORRTÄLJE</t>
        </is>
      </c>
      <c r="G255" t="n">
        <v>6.8</v>
      </c>
      <c r="H255" t="n">
        <v>0</v>
      </c>
      <c r="I255" t="n">
        <v>0</v>
      </c>
      <c r="J255" t="n">
        <v>0</v>
      </c>
      <c r="K255" t="n">
        <v>0</v>
      </c>
      <c r="L255" t="n">
        <v>0</v>
      </c>
      <c r="M255" t="n">
        <v>0</v>
      </c>
      <c r="N255" t="n">
        <v>0</v>
      </c>
      <c r="O255" t="n">
        <v>0</v>
      </c>
      <c r="P255" t="n">
        <v>0</v>
      </c>
      <c r="Q255" t="n">
        <v>0</v>
      </c>
      <c r="R255" s="2" t="inlineStr"/>
    </row>
    <row r="256" ht="15" customHeight="1">
      <c r="A256" t="inlineStr">
        <is>
          <t>A 22254-2019</t>
        </is>
      </c>
      <c r="B256" s="1" t="n">
        <v>43585</v>
      </c>
      <c r="C256" s="1" t="n">
        <v>45682</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22218-2019</t>
        </is>
      </c>
      <c r="B257" s="1" t="n">
        <v>43585</v>
      </c>
      <c r="C257" s="1" t="n">
        <v>45682</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22331-2019</t>
        </is>
      </c>
      <c r="B258" s="1" t="n">
        <v>43586</v>
      </c>
      <c r="C258" s="1" t="n">
        <v>45682</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22359-2019</t>
        </is>
      </c>
      <c r="B259" s="1" t="n">
        <v>43587</v>
      </c>
      <c r="C259" s="1" t="n">
        <v>45682</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22422-2019</t>
        </is>
      </c>
      <c r="B260" s="1" t="n">
        <v>43587</v>
      </c>
      <c r="C260" s="1" t="n">
        <v>45682</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22490-2019</t>
        </is>
      </c>
      <c r="B261" s="1" t="n">
        <v>43587</v>
      </c>
      <c r="C261" s="1" t="n">
        <v>45682</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22496-2019</t>
        </is>
      </c>
      <c r="B262" s="1" t="n">
        <v>43587</v>
      </c>
      <c r="C262" s="1" t="n">
        <v>45682</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23711-2019</t>
        </is>
      </c>
      <c r="B263" s="1" t="n">
        <v>43594</v>
      </c>
      <c r="C263" s="1" t="n">
        <v>45682</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23710-2019</t>
        </is>
      </c>
      <c r="B264" s="1" t="n">
        <v>43594</v>
      </c>
      <c r="C264" s="1" t="n">
        <v>45682</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23862-2019</t>
        </is>
      </c>
      <c r="B265" s="1" t="n">
        <v>43595</v>
      </c>
      <c r="C265" s="1" t="n">
        <v>45682</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23878-2019</t>
        </is>
      </c>
      <c r="B266" s="1" t="n">
        <v>43595</v>
      </c>
      <c r="C266" s="1" t="n">
        <v>45682</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23961-2019</t>
        </is>
      </c>
      <c r="B267" s="1" t="n">
        <v>43597</v>
      </c>
      <c r="C267" s="1" t="n">
        <v>45682</v>
      </c>
      <c r="D267" t="inlineStr">
        <is>
          <t>STOCKHOLMS LÄN</t>
        </is>
      </c>
      <c r="E267" t="inlineStr">
        <is>
          <t>NORRTÄLJE</t>
        </is>
      </c>
      <c r="G267" t="n">
        <v>17.6</v>
      </c>
      <c r="H267" t="n">
        <v>0</v>
      </c>
      <c r="I267" t="n">
        <v>0</v>
      </c>
      <c r="J267" t="n">
        <v>0</v>
      </c>
      <c r="K267" t="n">
        <v>0</v>
      </c>
      <c r="L267" t="n">
        <v>0</v>
      </c>
      <c r="M267" t="n">
        <v>0</v>
      </c>
      <c r="N267" t="n">
        <v>0</v>
      </c>
      <c r="O267" t="n">
        <v>0</v>
      </c>
      <c r="P267" t="n">
        <v>0</v>
      </c>
      <c r="Q267" t="n">
        <v>0</v>
      </c>
      <c r="R267" s="2" t="inlineStr"/>
    </row>
    <row r="268" ht="15" customHeight="1">
      <c r="A268" t="inlineStr">
        <is>
          <t>A 23965-2019</t>
        </is>
      </c>
      <c r="B268" s="1" t="n">
        <v>43597</v>
      </c>
      <c r="C268" s="1" t="n">
        <v>45682</v>
      </c>
      <c r="D268" t="inlineStr">
        <is>
          <t>STOCKHOLMS LÄN</t>
        </is>
      </c>
      <c r="E268" t="inlineStr">
        <is>
          <t>NORRTÄLJE</t>
        </is>
      </c>
      <c r="G268" t="n">
        <v>6.1</v>
      </c>
      <c r="H268" t="n">
        <v>0</v>
      </c>
      <c r="I268" t="n">
        <v>0</v>
      </c>
      <c r="J268" t="n">
        <v>0</v>
      </c>
      <c r="K268" t="n">
        <v>0</v>
      </c>
      <c r="L268" t="n">
        <v>0</v>
      </c>
      <c r="M268" t="n">
        <v>0</v>
      </c>
      <c r="N268" t="n">
        <v>0</v>
      </c>
      <c r="O268" t="n">
        <v>0</v>
      </c>
      <c r="P268" t="n">
        <v>0</v>
      </c>
      <c r="Q268" t="n">
        <v>0</v>
      </c>
      <c r="R268" s="2" t="inlineStr"/>
    </row>
    <row r="269" ht="15" customHeight="1">
      <c r="A269" t="inlineStr">
        <is>
          <t>A 23963-2019</t>
        </is>
      </c>
      <c r="B269" s="1" t="n">
        <v>43597</v>
      </c>
      <c r="C269" s="1" t="n">
        <v>45682</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24124-2019</t>
        </is>
      </c>
      <c r="B270" s="1" t="n">
        <v>43598</v>
      </c>
      <c r="C270" s="1" t="n">
        <v>45682</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24058-2019</t>
        </is>
      </c>
      <c r="B271" s="1" t="n">
        <v>43598</v>
      </c>
      <c r="C271" s="1" t="n">
        <v>45682</v>
      </c>
      <c r="D271" t="inlineStr">
        <is>
          <t>STOCKHOLMS LÄN</t>
        </is>
      </c>
      <c r="E271" t="inlineStr">
        <is>
          <t>NORRTÄLJE</t>
        </is>
      </c>
      <c r="G271" t="n">
        <v>2.5</v>
      </c>
      <c r="H271" t="n">
        <v>0</v>
      </c>
      <c r="I271" t="n">
        <v>0</v>
      </c>
      <c r="J271" t="n">
        <v>0</v>
      </c>
      <c r="K271" t="n">
        <v>0</v>
      </c>
      <c r="L271" t="n">
        <v>0</v>
      </c>
      <c r="M271" t="n">
        <v>0</v>
      </c>
      <c r="N271" t="n">
        <v>0</v>
      </c>
      <c r="O271" t="n">
        <v>0</v>
      </c>
      <c r="P271" t="n">
        <v>0</v>
      </c>
      <c r="Q271" t="n">
        <v>0</v>
      </c>
      <c r="R271" s="2" t="inlineStr"/>
    </row>
    <row r="272" ht="15" customHeight="1">
      <c r="A272" t="inlineStr">
        <is>
          <t>A 24562-2019</t>
        </is>
      </c>
      <c r="B272" s="1" t="n">
        <v>43600</v>
      </c>
      <c r="C272" s="1" t="n">
        <v>45682</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24721-2019</t>
        </is>
      </c>
      <c r="B273" s="1" t="n">
        <v>43601</v>
      </c>
      <c r="C273" s="1" t="n">
        <v>45682</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25284-2019</t>
        </is>
      </c>
      <c r="B274" s="1" t="n">
        <v>43605</v>
      </c>
      <c r="C274" s="1" t="n">
        <v>45682</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25535-2019</t>
        </is>
      </c>
      <c r="B275" s="1" t="n">
        <v>43606</v>
      </c>
      <c r="C275" s="1" t="n">
        <v>45682</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25316-2019</t>
        </is>
      </c>
      <c r="B276" s="1" t="n">
        <v>43606</v>
      </c>
      <c r="C276" s="1" t="n">
        <v>45682</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26374-2019</t>
        </is>
      </c>
      <c r="B277" s="1" t="n">
        <v>43606</v>
      </c>
      <c r="C277" s="1" t="n">
        <v>45682</v>
      </c>
      <c r="D277" t="inlineStr">
        <is>
          <t>STOCKHOLMS LÄN</t>
        </is>
      </c>
      <c r="E277" t="inlineStr">
        <is>
          <t>NORRTÄLJE</t>
        </is>
      </c>
      <c r="G277" t="n">
        <v>11.6</v>
      </c>
      <c r="H277" t="n">
        <v>0</v>
      </c>
      <c r="I277" t="n">
        <v>0</v>
      </c>
      <c r="J277" t="n">
        <v>0</v>
      </c>
      <c r="K277" t="n">
        <v>0</v>
      </c>
      <c r="L277" t="n">
        <v>0</v>
      </c>
      <c r="M277" t="n">
        <v>0</v>
      </c>
      <c r="N277" t="n">
        <v>0</v>
      </c>
      <c r="O277" t="n">
        <v>0</v>
      </c>
      <c r="P277" t="n">
        <v>0</v>
      </c>
      <c r="Q277" t="n">
        <v>0</v>
      </c>
      <c r="R277" s="2" t="inlineStr"/>
    </row>
    <row r="278" ht="15" customHeight="1">
      <c r="A278" t="inlineStr">
        <is>
          <t>A 25315-2019</t>
        </is>
      </c>
      <c r="B278" s="1" t="n">
        <v>43606</v>
      </c>
      <c r="C278" s="1" t="n">
        <v>45682</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25625-2019</t>
        </is>
      </c>
      <c r="B279" s="1" t="n">
        <v>43607</v>
      </c>
      <c r="C279" s="1" t="n">
        <v>45682</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26272-2019</t>
        </is>
      </c>
      <c r="B280" s="1" t="n">
        <v>43611</v>
      </c>
      <c r="C280" s="1" t="n">
        <v>45682</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26620-2019</t>
        </is>
      </c>
      <c r="B281" s="1" t="n">
        <v>43612</v>
      </c>
      <c r="C281" s="1" t="n">
        <v>45682</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26391-2019</t>
        </is>
      </c>
      <c r="B282" s="1" t="n">
        <v>43612</v>
      </c>
      <c r="C282" s="1" t="n">
        <v>45682</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26933-2019</t>
        </is>
      </c>
      <c r="B283" s="1" t="n">
        <v>43613</v>
      </c>
      <c r="C283" s="1" t="n">
        <v>45682</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26830-2019</t>
        </is>
      </c>
      <c r="B284" s="1" t="n">
        <v>43613</v>
      </c>
      <c r="C284" s="1" t="n">
        <v>45682</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27095-2019</t>
        </is>
      </c>
      <c r="B285" s="1" t="n">
        <v>43614</v>
      </c>
      <c r="C285" s="1" t="n">
        <v>45682</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28157-2019</t>
        </is>
      </c>
      <c r="B286" s="1" t="n">
        <v>43614</v>
      </c>
      <c r="C286" s="1" t="n">
        <v>45682</v>
      </c>
      <c r="D286" t="inlineStr">
        <is>
          <t>STOCKHOLMS LÄN</t>
        </is>
      </c>
      <c r="E286" t="inlineStr">
        <is>
          <t>NORRTÄLJE</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27264-2019</t>
        </is>
      </c>
      <c r="B287" s="1" t="n">
        <v>43615</v>
      </c>
      <c r="C287" s="1" t="n">
        <v>45682</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27971-2019</t>
        </is>
      </c>
      <c r="B288" s="1" t="n">
        <v>43620</v>
      </c>
      <c r="C288" s="1" t="n">
        <v>45682</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27967-2019</t>
        </is>
      </c>
      <c r="B289" s="1" t="n">
        <v>43620</v>
      </c>
      <c r="C289" s="1" t="n">
        <v>45682</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28121-2019</t>
        </is>
      </c>
      <c r="B290" s="1" t="n">
        <v>43621</v>
      </c>
      <c r="C290" s="1" t="n">
        <v>45682</v>
      </c>
      <c r="D290" t="inlineStr">
        <is>
          <t>STOCKHOLMS LÄN</t>
        </is>
      </c>
      <c r="E290" t="inlineStr">
        <is>
          <t>NORRTÄLJE</t>
        </is>
      </c>
      <c r="F290" t="inlineStr">
        <is>
          <t>Kyrkan</t>
        </is>
      </c>
      <c r="G290" t="n">
        <v>2.5</v>
      </c>
      <c r="H290" t="n">
        <v>0</v>
      </c>
      <c r="I290" t="n">
        <v>0</v>
      </c>
      <c r="J290" t="n">
        <v>0</v>
      </c>
      <c r="K290" t="n">
        <v>0</v>
      </c>
      <c r="L290" t="n">
        <v>0</v>
      </c>
      <c r="M290" t="n">
        <v>0</v>
      </c>
      <c r="N290" t="n">
        <v>0</v>
      </c>
      <c r="O290" t="n">
        <v>0</v>
      </c>
      <c r="P290" t="n">
        <v>0</v>
      </c>
      <c r="Q290" t="n">
        <v>0</v>
      </c>
      <c r="R290" s="2" t="inlineStr"/>
    </row>
    <row r="291" ht="15" customHeight="1">
      <c r="A291" t="inlineStr">
        <is>
          <t>A 28289-2019</t>
        </is>
      </c>
      <c r="B291" s="1" t="n">
        <v>43623</v>
      </c>
      <c r="C291" s="1" t="n">
        <v>45682</v>
      </c>
      <c r="D291" t="inlineStr">
        <is>
          <t>STOCKHOLMS LÄN</t>
        </is>
      </c>
      <c r="E291" t="inlineStr">
        <is>
          <t>NORRTÄLJE</t>
        </is>
      </c>
      <c r="G291" t="n">
        <v>7.7</v>
      </c>
      <c r="H291" t="n">
        <v>0</v>
      </c>
      <c r="I291" t="n">
        <v>0</v>
      </c>
      <c r="J291" t="n">
        <v>0</v>
      </c>
      <c r="K291" t="n">
        <v>0</v>
      </c>
      <c r="L291" t="n">
        <v>0</v>
      </c>
      <c r="M291" t="n">
        <v>0</v>
      </c>
      <c r="N291" t="n">
        <v>0</v>
      </c>
      <c r="O291" t="n">
        <v>0</v>
      </c>
      <c r="P291" t="n">
        <v>0</v>
      </c>
      <c r="Q291" t="n">
        <v>0</v>
      </c>
      <c r="R291" s="2" t="inlineStr"/>
    </row>
    <row r="292" ht="15" customHeight="1">
      <c r="A292" t="inlineStr">
        <is>
          <t>A 28519-2019</t>
        </is>
      </c>
      <c r="B292" s="1" t="n">
        <v>43626</v>
      </c>
      <c r="C292" s="1" t="n">
        <v>45682</v>
      </c>
      <c r="D292" t="inlineStr">
        <is>
          <t>STOCKHOLMS LÄN</t>
        </is>
      </c>
      <c r="E292" t="inlineStr">
        <is>
          <t>NORRTÄLJE</t>
        </is>
      </c>
      <c r="G292" t="n">
        <v>3</v>
      </c>
      <c r="H292" t="n">
        <v>0</v>
      </c>
      <c r="I292" t="n">
        <v>0</v>
      </c>
      <c r="J292" t="n">
        <v>0</v>
      </c>
      <c r="K292" t="n">
        <v>0</v>
      </c>
      <c r="L292" t="n">
        <v>0</v>
      </c>
      <c r="M292" t="n">
        <v>0</v>
      </c>
      <c r="N292" t="n">
        <v>0</v>
      </c>
      <c r="O292" t="n">
        <v>0</v>
      </c>
      <c r="P292" t="n">
        <v>0</v>
      </c>
      <c r="Q292" t="n">
        <v>0</v>
      </c>
      <c r="R292" s="2" t="inlineStr"/>
    </row>
    <row r="293" ht="15" customHeight="1">
      <c r="A293" t="inlineStr">
        <is>
          <t>A 28495-2019</t>
        </is>
      </c>
      <c r="B293" s="1" t="n">
        <v>43626</v>
      </c>
      <c r="C293" s="1" t="n">
        <v>45682</v>
      </c>
      <c r="D293" t="inlineStr">
        <is>
          <t>STOCKHOLMS LÄN</t>
        </is>
      </c>
      <c r="E293" t="inlineStr">
        <is>
          <t>NORRTÄLJE</t>
        </is>
      </c>
      <c r="G293" t="n">
        <v>14.7</v>
      </c>
      <c r="H293" t="n">
        <v>0</v>
      </c>
      <c r="I293" t="n">
        <v>0</v>
      </c>
      <c r="J293" t="n">
        <v>0</v>
      </c>
      <c r="K293" t="n">
        <v>0</v>
      </c>
      <c r="L293" t="n">
        <v>0</v>
      </c>
      <c r="M293" t="n">
        <v>0</v>
      </c>
      <c r="N293" t="n">
        <v>0</v>
      </c>
      <c r="O293" t="n">
        <v>0</v>
      </c>
      <c r="P293" t="n">
        <v>0</v>
      </c>
      <c r="Q293" t="n">
        <v>0</v>
      </c>
      <c r="R293" s="2" t="inlineStr"/>
    </row>
    <row r="294" ht="15" customHeight="1">
      <c r="A294" t="inlineStr">
        <is>
          <t>A 28394-2019</t>
        </is>
      </c>
      <c r="B294" s="1" t="n">
        <v>43626</v>
      </c>
      <c r="C294" s="1" t="n">
        <v>45682</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29260-2019</t>
        </is>
      </c>
      <c r="B295" s="1" t="n">
        <v>43629</v>
      </c>
      <c r="C295" s="1" t="n">
        <v>45682</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29312-2019</t>
        </is>
      </c>
      <c r="B296" s="1" t="n">
        <v>43629</v>
      </c>
      <c r="C296" s="1" t="n">
        <v>45682</v>
      </c>
      <c r="D296" t="inlineStr">
        <is>
          <t>STOCKHOLMS LÄN</t>
        </is>
      </c>
      <c r="E296" t="inlineStr">
        <is>
          <t>NORRTÄLJE</t>
        </is>
      </c>
      <c r="G296" t="n">
        <v>7.1</v>
      </c>
      <c r="H296" t="n">
        <v>0</v>
      </c>
      <c r="I296" t="n">
        <v>0</v>
      </c>
      <c r="J296" t="n">
        <v>0</v>
      </c>
      <c r="K296" t="n">
        <v>0</v>
      </c>
      <c r="L296" t="n">
        <v>0</v>
      </c>
      <c r="M296" t="n">
        <v>0</v>
      </c>
      <c r="N296" t="n">
        <v>0</v>
      </c>
      <c r="O296" t="n">
        <v>0</v>
      </c>
      <c r="P296" t="n">
        <v>0</v>
      </c>
      <c r="Q296" t="n">
        <v>0</v>
      </c>
      <c r="R296" s="2" t="inlineStr"/>
    </row>
    <row r="297" ht="15" customHeight="1">
      <c r="A297" t="inlineStr">
        <is>
          <t>A 29759-2019</t>
        </is>
      </c>
      <c r="B297" s="1" t="n">
        <v>43631</v>
      </c>
      <c r="C297" s="1" t="n">
        <v>45682</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30000-2019</t>
        </is>
      </c>
      <c r="B298" s="1" t="n">
        <v>43633</v>
      </c>
      <c r="C298" s="1" t="n">
        <v>45682</v>
      </c>
      <c r="D298" t="inlineStr">
        <is>
          <t>STOCKHOLMS LÄN</t>
        </is>
      </c>
      <c r="E298" t="inlineStr">
        <is>
          <t>NORRTÄLJE</t>
        </is>
      </c>
      <c r="G298" t="n">
        <v>5.4</v>
      </c>
      <c r="H298" t="n">
        <v>0</v>
      </c>
      <c r="I298" t="n">
        <v>0</v>
      </c>
      <c r="J298" t="n">
        <v>0</v>
      </c>
      <c r="K298" t="n">
        <v>0</v>
      </c>
      <c r="L298" t="n">
        <v>0</v>
      </c>
      <c r="M298" t="n">
        <v>0</v>
      </c>
      <c r="N298" t="n">
        <v>0</v>
      </c>
      <c r="O298" t="n">
        <v>0</v>
      </c>
      <c r="P298" t="n">
        <v>0</v>
      </c>
      <c r="Q298" t="n">
        <v>0</v>
      </c>
      <c r="R298" s="2" t="inlineStr"/>
    </row>
    <row r="299" ht="15" customHeight="1">
      <c r="A299" t="inlineStr">
        <is>
          <t>A 30833-2019</t>
        </is>
      </c>
      <c r="B299" s="1" t="n">
        <v>43636</v>
      </c>
      <c r="C299" s="1" t="n">
        <v>45682</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31215-2019</t>
        </is>
      </c>
      <c r="B300" s="1" t="n">
        <v>43640</v>
      </c>
      <c r="C300" s="1" t="n">
        <v>45682</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31017-2019</t>
        </is>
      </c>
      <c r="B301" s="1" t="n">
        <v>43640</v>
      </c>
      <c r="C301" s="1" t="n">
        <v>45682</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31966-2019</t>
        </is>
      </c>
      <c r="B302" s="1" t="n">
        <v>43643</v>
      </c>
      <c r="C302" s="1" t="n">
        <v>45682</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32725-2019</t>
        </is>
      </c>
      <c r="B303" s="1" t="n">
        <v>43647</v>
      </c>
      <c r="C303" s="1" t="n">
        <v>45682</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32726-2019</t>
        </is>
      </c>
      <c r="B304" s="1" t="n">
        <v>43647</v>
      </c>
      <c r="C304" s="1" t="n">
        <v>45682</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33207-2019</t>
        </is>
      </c>
      <c r="B305" s="1" t="n">
        <v>43649</v>
      </c>
      <c r="C305" s="1" t="n">
        <v>45682</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33955-2019</t>
        </is>
      </c>
      <c r="B306" s="1" t="n">
        <v>43654</v>
      </c>
      <c r="C306" s="1" t="n">
        <v>45682</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33966-2019</t>
        </is>
      </c>
      <c r="B307" s="1" t="n">
        <v>43654</v>
      </c>
      <c r="C307" s="1" t="n">
        <v>45682</v>
      </c>
      <c r="D307" t="inlineStr">
        <is>
          <t>STOCKHOLMS LÄN</t>
        </is>
      </c>
      <c r="E307" t="inlineStr">
        <is>
          <t>NORRTÄLJE</t>
        </is>
      </c>
      <c r="G307" t="n">
        <v>3.2</v>
      </c>
      <c r="H307" t="n">
        <v>0</v>
      </c>
      <c r="I307" t="n">
        <v>0</v>
      </c>
      <c r="J307" t="n">
        <v>0</v>
      </c>
      <c r="K307" t="n">
        <v>0</v>
      </c>
      <c r="L307" t="n">
        <v>0</v>
      </c>
      <c r="M307" t="n">
        <v>0</v>
      </c>
      <c r="N307" t="n">
        <v>0</v>
      </c>
      <c r="O307" t="n">
        <v>0</v>
      </c>
      <c r="P307" t="n">
        <v>0</v>
      </c>
      <c r="Q307" t="n">
        <v>0</v>
      </c>
      <c r="R307" s="2" t="inlineStr"/>
    </row>
    <row r="308" ht="15" customHeight="1">
      <c r="A308" t="inlineStr">
        <is>
          <t>A 35247-2019</t>
        </is>
      </c>
      <c r="B308" s="1" t="n">
        <v>43656</v>
      </c>
      <c r="C308" s="1" t="n">
        <v>45682</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35244-2019</t>
        </is>
      </c>
      <c r="B309" s="1" t="n">
        <v>43656</v>
      </c>
      <c r="C309" s="1" t="n">
        <v>45682</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35249-2019</t>
        </is>
      </c>
      <c r="B310" s="1" t="n">
        <v>43656</v>
      </c>
      <c r="C310" s="1" t="n">
        <v>45682</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35251-2019</t>
        </is>
      </c>
      <c r="B311" s="1" t="n">
        <v>43656</v>
      </c>
      <c r="C311" s="1" t="n">
        <v>45682</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35492-2019</t>
        </is>
      </c>
      <c r="B312" s="1" t="n">
        <v>43663</v>
      </c>
      <c r="C312" s="1" t="n">
        <v>45682</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35770-2019</t>
        </is>
      </c>
      <c r="B313" s="1" t="n">
        <v>43665</v>
      </c>
      <c r="C313" s="1" t="n">
        <v>45682</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35766-2019</t>
        </is>
      </c>
      <c r="B314" s="1" t="n">
        <v>43665</v>
      </c>
      <c r="C314" s="1" t="n">
        <v>45682</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36418-2019</t>
        </is>
      </c>
      <c r="B315" s="1" t="n">
        <v>43670</v>
      </c>
      <c r="C315" s="1" t="n">
        <v>45682</v>
      </c>
      <c r="D315" t="inlineStr">
        <is>
          <t>STOCKHOLMS LÄN</t>
        </is>
      </c>
      <c r="E315" t="inlineStr">
        <is>
          <t>NORRTÄLJE</t>
        </is>
      </c>
      <c r="G315" t="n">
        <v>16.8</v>
      </c>
      <c r="H315" t="n">
        <v>0</v>
      </c>
      <c r="I315" t="n">
        <v>0</v>
      </c>
      <c r="J315" t="n">
        <v>0</v>
      </c>
      <c r="K315" t="n">
        <v>0</v>
      </c>
      <c r="L315" t="n">
        <v>0</v>
      </c>
      <c r="M315" t="n">
        <v>0</v>
      </c>
      <c r="N315" t="n">
        <v>0</v>
      </c>
      <c r="O315" t="n">
        <v>0</v>
      </c>
      <c r="P315" t="n">
        <v>0</v>
      </c>
      <c r="Q315" t="n">
        <v>0</v>
      </c>
      <c r="R315" s="2" t="inlineStr"/>
    </row>
    <row r="316" ht="15" customHeight="1">
      <c r="A316" t="inlineStr">
        <is>
          <t>A 37401-2019</t>
        </is>
      </c>
      <c r="B316" s="1" t="n">
        <v>43678</v>
      </c>
      <c r="C316" s="1" t="n">
        <v>45682</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37662-2019</t>
        </is>
      </c>
      <c r="B317" s="1" t="n">
        <v>43682</v>
      </c>
      <c r="C317" s="1" t="n">
        <v>45682</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38144-2019</t>
        </is>
      </c>
      <c r="B318" s="1" t="n">
        <v>43684</v>
      </c>
      <c r="C318" s="1" t="n">
        <v>45682</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38139-2019</t>
        </is>
      </c>
      <c r="B319" s="1" t="n">
        <v>43684</v>
      </c>
      <c r="C319" s="1" t="n">
        <v>45682</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38145-2019</t>
        </is>
      </c>
      <c r="B320" s="1" t="n">
        <v>43684</v>
      </c>
      <c r="C320" s="1" t="n">
        <v>45682</v>
      </c>
      <c r="D320" t="inlineStr">
        <is>
          <t>STOCKHOLMS LÄN</t>
        </is>
      </c>
      <c r="E320" t="inlineStr">
        <is>
          <t>NORRTÄLJE</t>
        </is>
      </c>
      <c r="G320" t="n">
        <v>9.9</v>
      </c>
      <c r="H320" t="n">
        <v>0</v>
      </c>
      <c r="I320" t="n">
        <v>0</v>
      </c>
      <c r="J320" t="n">
        <v>0</v>
      </c>
      <c r="K320" t="n">
        <v>0</v>
      </c>
      <c r="L320" t="n">
        <v>0</v>
      </c>
      <c r="M320" t="n">
        <v>0</v>
      </c>
      <c r="N320" t="n">
        <v>0</v>
      </c>
      <c r="O320" t="n">
        <v>0</v>
      </c>
      <c r="P320" t="n">
        <v>0</v>
      </c>
      <c r="Q320" t="n">
        <v>0</v>
      </c>
      <c r="R320" s="2" t="inlineStr"/>
    </row>
    <row r="321" ht="15" customHeight="1">
      <c r="A321" t="inlineStr">
        <is>
          <t>A 38140-2019</t>
        </is>
      </c>
      <c r="B321" s="1" t="n">
        <v>43684</v>
      </c>
      <c r="C321" s="1" t="n">
        <v>45682</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38143-2019</t>
        </is>
      </c>
      <c r="B322" s="1" t="n">
        <v>43684</v>
      </c>
      <c r="C322" s="1" t="n">
        <v>45682</v>
      </c>
      <c r="D322" t="inlineStr">
        <is>
          <t>STOCKHOLMS LÄN</t>
        </is>
      </c>
      <c r="E322" t="inlineStr">
        <is>
          <t>NORRTÄLJE</t>
        </is>
      </c>
      <c r="G322" t="n">
        <v>12.7</v>
      </c>
      <c r="H322" t="n">
        <v>0</v>
      </c>
      <c r="I322" t="n">
        <v>0</v>
      </c>
      <c r="J322" t="n">
        <v>0</v>
      </c>
      <c r="K322" t="n">
        <v>0</v>
      </c>
      <c r="L322" t="n">
        <v>0</v>
      </c>
      <c r="M322" t="n">
        <v>0</v>
      </c>
      <c r="N322" t="n">
        <v>0</v>
      </c>
      <c r="O322" t="n">
        <v>0</v>
      </c>
      <c r="P322" t="n">
        <v>0</v>
      </c>
      <c r="Q322" t="n">
        <v>0</v>
      </c>
      <c r="R322" s="2" t="inlineStr"/>
    </row>
    <row r="323" ht="15" customHeight="1">
      <c r="A323" t="inlineStr">
        <is>
          <t>A 38506-2019</t>
        </is>
      </c>
      <c r="B323" s="1" t="n">
        <v>43685</v>
      </c>
      <c r="C323" s="1" t="n">
        <v>45682</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38605-2019</t>
        </is>
      </c>
      <c r="B324" s="1" t="n">
        <v>43686</v>
      </c>
      <c r="C324" s="1" t="n">
        <v>45682</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38737-2019</t>
        </is>
      </c>
      <c r="B325" s="1" t="n">
        <v>43686</v>
      </c>
      <c r="C325" s="1" t="n">
        <v>45682</v>
      </c>
      <c r="D325" t="inlineStr">
        <is>
          <t>STOCKHOLMS LÄN</t>
        </is>
      </c>
      <c r="E325" t="inlineStr">
        <is>
          <t>NORRTÄLJE</t>
        </is>
      </c>
      <c r="G325" t="n">
        <v>4.7</v>
      </c>
      <c r="H325" t="n">
        <v>0</v>
      </c>
      <c r="I325" t="n">
        <v>0</v>
      </c>
      <c r="J325" t="n">
        <v>0</v>
      </c>
      <c r="K325" t="n">
        <v>0</v>
      </c>
      <c r="L325" t="n">
        <v>0</v>
      </c>
      <c r="M325" t="n">
        <v>0</v>
      </c>
      <c r="N325" t="n">
        <v>0</v>
      </c>
      <c r="O325" t="n">
        <v>0</v>
      </c>
      <c r="P325" t="n">
        <v>0</v>
      </c>
      <c r="Q325" t="n">
        <v>0</v>
      </c>
      <c r="R325" s="2" t="inlineStr"/>
    </row>
    <row r="326" ht="15" customHeight="1">
      <c r="A326" t="inlineStr">
        <is>
          <t>A 40571-2019</t>
        </is>
      </c>
      <c r="B326" s="1" t="n">
        <v>43696</v>
      </c>
      <c r="C326" s="1" t="n">
        <v>45682</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42330-2019</t>
        </is>
      </c>
      <c r="B327" s="1" t="n">
        <v>43703</v>
      </c>
      <c r="C327" s="1" t="n">
        <v>45682</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43379-2019</t>
        </is>
      </c>
      <c r="B328" s="1" t="n">
        <v>43703</v>
      </c>
      <c r="C328" s="1" t="n">
        <v>45682</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43296-2019</t>
        </is>
      </c>
      <c r="B329" s="1" t="n">
        <v>43706</v>
      </c>
      <c r="C329" s="1" t="n">
        <v>45682</v>
      </c>
      <c r="D329" t="inlineStr">
        <is>
          <t>STOCKHOLMS LÄN</t>
        </is>
      </c>
      <c r="E329" t="inlineStr">
        <is>
          <t>NORRTÄLJE</t>
        </is>
      </c>
      <c r="F329" t="inlineStr">
        <is>
          <t>Kommuner</t>
        </is>
      </c>
      <c r="G329" t="n">
        <v>1.7</v>
      </c>
      <c r="H329" t="n">
        <v>0</v>
      </c>
      <c r="I329" t="n">
        <v>0</v>
      </c>
      <c r="J329" t="n">
        <v>0</v>
      </c>
      <c r="K329" t="n">
        <v>0</v>
      </c>
      <c r="L329" t="n">
        <v>0</v>
      </c>
      <c r="M329" t="n">
        <v>0</v>
      </c>
      <c r="N329" t="n">
        <v>0</v>
      </c>
      <c r="O329" t="n">
        <v>0</v>
      </c>
      <c r="P329" t="n">
        <v>0</v>
      </c>
      <c r="Q329" t="n">
        <v>0</v>
      </c>
      <c r="R329" s="2" t="inlineStr"/>
    </row>
    <row r="330" ht="15" customHeight="1">
      <c r="A330" t="inlineStr">
        <is>
          <t>A 44643-2019</t>
        </is>
      </c>
      <c r="B330" s="1" t="n">
        <v>43712</v>
      </c>
      <c r="C330" s="1" t="n">
        <v>45682</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45463-2019</t>
        </is>
      </c>
      <c r="B331" s="1" t="n">
        <v>43714</v>
      </c>
      <c r="C331" s="1" t="n">
        <v>45682</v>
      </c>
      <c r="D331" t="inlineStr">
        <is>
          <t>STOCKHOLMS LÄN</t>
        </is>
      </c>
      <c r="E331" t="inlineStr">
        <is>
          <t>NORRTÄLJE</t>
        </is>
      </c>
      <c r="F331" t="inlineStr">
        <is>
          <t>Övriga statliga verk och myndigheter</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45477-2019</t>
        </is>
      </c>
      <c r="B332" s="1" t="n">
        <v>43714</v>
      </c>
      <c r="C332" s="1" t="n">
        <v>45682</v>
      </c>
      <c r="D332" t="inlineStr">
        <is>
          <t>STOCKHOLMS LÄN</t>
        </is>
      </c>
      <c r="E332" t="inlineStr">
        <is>
          <t>NORRTÄLJE</t>
        </is>
      </c>
      <c r="F332" t="inlineStr">
        <is>
          <t>Övriga statliga verk och myndigheter</t>
        </is>
      </c>
      <c r="G332" t="n">
        <v>8.9</v>
      </c>
      <c r="H332" t="n">
        <v>0</v>
      </c>
      <c r="I332" t="n">
        <v>0</v>
      </c>
      <c r="J332" t="n">
        <v>0</v>
      </c>
      <c r="K332" t="n">
        <v>0</v>
      </c>
      <c r="L332" t="n">
        <v>0</v>
      </c>
      <c r="M332" t="n">
        <v>0</v>
      </c>
      <c r="N332" t="n">
        <v>0</v>
      </c>
      <c r="O332" t="n">
        <v>0</v>
      </c>
      <c r="P332" t="n">
        <v>0</v>
      </c>
      <c r="Q332" t="n">
        <v>0</v>
      </c>
      <c r="R332" s="2" t="inlineStr"/>
    </row>
    <row r="333" ht="15" customHeight="1">
      <c r="A333" t="inlineStr">
        <is>
          <t>A 46327-2019</t>
        </is>
      </c>
      <c r="B333" s="1" t="n">
        <v>43718</v>
      </c>
      <c r="C333" s="1" t="n">
        <v>45682</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47876-2019</t>
        </is>
      </c>
      <c r="B334" s="1" t="n">
        <v>43725</v>
      </c>
      <c r="C334" s="1" t="n">
        <v>45682</v>
      </c>
      <c r="D334" t="inlineStr">
        <is>
          <t>STOCKHOLMS LÄN</t>
        </is>
      </c>
      <c r="E334" t="inlineStr">
        <is>
          <t>NORRTÄLJE</t>
        </is>
      </c>
      <c r="G334" t="n">
        <v>11.4</v>
      </c>
      <c r="H334" t="n">
        <v>0</v>
      </c>
      <c r="I334" t="n">
        <v>0</v>
      </c>
      <c r="J334" t="n">
        <v>0</v>
      </c>
      <c r="K334" t="n">
        <v>0</v>
      </c>
      <c r="L334" t="n">
        <v>0</v>
      </c>
      <c r="M334" t="n">
        <v>0</v>
      </c>
      <c r="N334" t="n">
        <v>0</v>
      </c>
      <c r="O334" t="n">
        <v>0</v>
      </c>
      <c r="P334" t="n">
        <v>0</v>
      </c>
      <c r="Q334" t="n">
        <v>0</v>
      </c>
      <c r="R334" s="2" t="inlineStr"/>
    </row>
    <row r="335" ht="15" customHeight="1">
      <c r="A335" t="inlineStr">
        <is>
          <t>A 47877-2019</t>
        </is>
      </c>
      <c r="B335" s="1" t="n">
        <v>43725</v>
      </c>
      <c r="C335" s="1" t="n">
        <v>45682</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47903-2019</t>
        </is>
      </c>
      <c r="B336" s="1" t="n">
        <v>43725</v>
      </c>
      <c r="C336" s="1" t="n">
        <v>45682</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47901-2019</t>
        </is>
      </c>
      <c r="B337" s="1" t="n">
        <v>43725</v>
      </c>
      <c r="C337" s="1" t="n">
        <v>45682</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47939-2019</t>
        </is>
      </c>
      <c r="B338" s="1" t="n">
        <v>43725</v>
      </c>
      <c r="C338" s="1" t="n">
        <v>45682</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47941-2019</t>
        </is>
      </c>
      <c r="B339" s="1" t="n">
        <v>43725</v>
      </c>
      <c r="C339" s="1" t="n">
        <v>45682</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47879-2019</t>
        </is>
      </c>
      <c r="B340" s="1" t="n">
        <v>43725</v>
      </c>
      <c r="C340" s="1" t="n">
        <v>45682</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48730-2019</t>
        </is>
      </c>
      <c r="B341" s="1" t="n">
        <v>43728</v>
      </c>
      <c r="C341" s="1" t="n">
        <v>45682</v>
      </c>
      <c r="D341" t="inlineStr">
        <is>
          <t>STOCKHOLMS LÄN</t>
        </is>
      </c>
      <c r="E341" t="inlineStr">
        <is>
          <t>NORRTÄLJE</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49252-2019</t>
        </is>
      </c>
      <c r="B342" s="1" t="n">
        <v>43731</v>
      </c>
      <c r="C342" s="1" t="n">
        <v>45682</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51940-2019</t>
        </is>
      </c>
      <c r="B343" s="1" t="n">
        <v>43741</v>
      </c>
      <c r="C343" s="1" t="n">
        <v>45682</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51942-2019</t>
        </is>
      </c>
      <c r="B344" s="1" t="n">
        <v>43741</v>
      </c>
      <c r="C344" s="1" t="n">
        <v>45682</v>
      </c>
      <c r="D344" t="inlineStr">
        <is>
          <t>STOCKHOLMS LÄN</t>
        </is>
      </c>
      <c r="E344" t="inlineStr">
        <is>
          <t>NORRTÄLJE</t>
        </is>
      </c>
      <c r="G344" t="n">
        <v>5.6</v>
      </c>
      <c r="H344" t="n">
        <v>0</v>
      </c>
      <c r="I344" t="n">
        <v>0</v>
      </c>
      <c r="J344" t="n">
        <v>0</v>
      </c>
      <c r="K344" t="n">
        <v>0</v>
      </c>
      <c r="L344" t="n">
        <v>0</v>
      </c>
      <c r="M344" t="n">
        <v>0</v>
      </c>
      <c r="N344" t="n">
        <v>0</v>
      </c>
      <c r="O344" t="n">
        <v>0</v>
      </c>
      <c r="P344" t="n">
        <v>0</v>
      </c>
      <c r="Q344" t="n">
        <v>0</v>
      </c>
      <c r="R344" s="2" t="inlineStr"/>
    </row>
    <row r="345" ht="15" customHeight="1">
      <c r="A345" t="inlineStr">
        <is>
          <t>A 55481-2019</t>
        </is>
      </c>
      <c r="B345" s="1" t="n">
        <v>43759</v>
      </c>
      <c r="C345" s="1" t="n">
        <v>45682</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55891-2019</t>
        </is>
      </c>
      <c r="B346" s="1" t="n">
        <v>43761</v>
      </c>
      <c r="C346" s="1" t="n">
        <v>45682</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56349-2019</t>
        </is>
      </c>
      <c r="B347" s="1" t="n">
        <v>43762</v>
      </c>
      <c r="C347" s="1" t="n">
        <v>45682</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57759-2019</t>
        </is>
      </c>
      <c r="B348" s="1" t="n">
        <v>43763</v>
      </c>
      <c r="C348" s="1" t="n">
        <v>45682</v>
      </c>
      <c r="D348" t="inlineStr">
        <is>
          <t>STOCKHOLMS LÄN</t>
        </is>
      </c>
      <c r="E348" t="inlineStr">
        <is>
          <t>NORRTÄLJE</t>
        </is>
      </c>
      <c r="F348" t="inlineStr">
        <is>
          <t>Övriga Aktiebolag</t>
        </is>
      </c>
      <c r="G348" t="n">
        <v>7.3</v>
      </c>
      <c r="H348" t="n">
        <v>0</v>
      </c>
      <c r="I348" t="n">
        <v>0</v>
      </c>
      <c r="J348" t="n">
        <v>0</v>
      </c>
      <c r="K348" t="n">
        <v>0</v>
      </c>
      <c r="L348" t="n">
        <v>0</v>
      </c>
      <c r="M348" t="n">
        <v>0</v>
      </c>
      <c r="N348" t="n">
        <v>0</v>
      </c>
      <c r="O348" t="n">
        <v>0</v>
      </c>
      <c r="P348" t="n">
        <v>0</v>
      </c>
      <c r="Q348" t="n">
        <v>0</v>
      </c>
      <c r="R348" s="2" t="inlineStr"/>
    </row>
    <row r="349" ht="15" customHeight="1">
      <c r="A349" t="inlineStr">
        <is>
          <t>A 57063-2019</t>
        </is>
      </c>
      <c r="B349" s="1" t="n">
        <v>43766</v>
      </c>
      <c r="C349" s="1" t="n">
        <v>45682</v>
      </c>
      <c r="D349" t="inlineStr">
        <is>
          <t>STOCKHOLMS LÄN</t>
        </is>
      </c>
      <c r="E349" t="inlineStr">
        <is>
          <t>NORRTÄLJE</t>
        </is>
      </c>
      <c r="F349" t="inlineStr">
        <is>
          <t>Kyrkan</t>
        </is>
      </c>
      <c r="G349" t="n">
        <v>1.3</v>
      </c>
      <c r="H349" t="n">
        <v>0</v>
      </c>
      <c r="I349" t="n">
        <v>0</v>
      </c>
      <c r="J349" t="n">
        <v>0</v>
      </c>
      <c r="K349" t="n">
        <v>0</v>
      </c>
      <c r="L349" t="n">
        <v>0</v>
      </c>
      <c r="M349" t="n">
        <v>0</v>
      </c>
      <c r="N349" t="n">
        <v>0</v>
      </c>
      <c r="O349" t="n">
        <v>0</v>
      </c>
      <c r="P349" t="n">
        <v>0</v>
      </c>
      <c r="Q349" t="n">
        <v>0</v>
      </c>
      <c r="R349" s="2" t="inlineStr"/>
    </row>
    <row r="350" ht="15" customHeight="1">
      <c r="A350" t="inlineStr">
        <is>
          <t>A 56950-2019</t>
        </is>
      </c>
      <c r="B350" s="1" t="n">
        <v>43766</v>
      </c>
      <c r="C350" s="1" t="n">
        <v>45682</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57605-2019</t>
        </is>
      </c>
      <c r="B351" s="1" t="n">
        <v>43768</v>
      </c>
      <c r="C351" s="1" t="n">
        <v>45682</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58064-2019</t>
        </is>
      </c>
      <c r="B352" s="1" t="n">
        <v>43769</v>
      </c>
      <c r="C352" s="1" t="n">
        <v>45682</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58631-2019</t>
        </is>
      </c>
      <c r="B353" s="1" t="n">
        <v>43773</v>
      </c>
      <c r="C353" s="1" t="n">
        <v>45682</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60214-2019</t>
        </is>
      </c>
      <c r="B354" s="1" t="n">
        <v>43780</v>
      </c>
      <c r="C354" s="1" t="n">
        <v>45682</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60208-2019</t>
        </is>
      </c>
      <c r="B355" s="1" t="n">
        <v>43780</v>
      </c>
      <c r="C355" s="1" t="n">
        <v>45682</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60842-2019</t>
        </is>
      </c>
      <c r="B356" s="1" t="n">
        <v>43781</v>
      </c>
      <c r="C356" s="1" t="n">
        <v>45682</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60844-2019</t>
        </is>
      </c>
      <c r="B357" s="1" t="n">
        <v>43781</v>
      </c>
      <c r="C357" s="1" t="n">
        <v>45682</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61657-2019</t>
        </is>
      </c>
      <c r="B358" s="1" t="n">
        <v>43784</v>
      </c>
      <c r="C358" s="1" t="n">
        <v>45682</v>
      </c>
      <c r="D358" t="inlineStr">
        <is>
          <t>STOCKHOLMS LÄN</t>
        </is>
      </c>
      <c r="E358" t="inlineStr">
        <is>
          <t>NORRTÄLJE</t>
        </is>
      </c>
      <c r="G358" t="n">
        <v>5</v>
      </c>
      <c r="H358" t="n">
        <v>0</v>
      </c>
      <c r="I358" t="n">
        <v>0</v>
      </c>
      <c r="J358" t="n">
        <v>0</v>
      </c>
      <c r="K358" t="n">
        <v>0</v>
      </c>
      <c r="L358" t="n">
        <v>0</v>
      </c>
      <c r="M358" t="n">
        <v>0</v>
      </c>
      <c r="N358" t="n">
        <v>0</v>
      </c>
      <c r="O358" t="n">
        <v>0</v>
      </c>
      <c r="P358" t="n">
        <v>0</v>
      </c>
      <c r="Q358" t="n">
        <v>0</v>
      </c>
      <c r="R358" s="2" t="inlineStr"/>
    </row>
    <row r="359" ht="15" customHeight="1">
      <c r="A359" t="inlineStr">
        <is>
          <t>A 62980-2019</t>
        </is>
      </c>
      <c r="B359" s="1" t="n">
        <v>43790</v>
      </c>
      <c r="C359" s="1" t="n">
        <v>45682</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63513-2019</t>
        </is>
      </c>
      <c r="B360" s="1" t="n">
        <v>43794</v>
      </c>
      <c r="C360" s="1" t="n">
        <v>45682</v>
      </c>
      <c r="D360" t="inlineStr">
        <is>
          <t>STOCKHOLMS LÄN</t>
        </is>
      </c>
      <c r="E360" t="inlineStr">
        <is>
          <t>NORRTÄLJE</t>
        </is>
      </c>
      <c r="G360" t="n">
        <v>9</v>
      </c>
      <c r="H360" t="n">
        <v>0</v>
      </c>
      <c r="I360" t="n">
        <v>0</v>
      </c>
      <c r="J360" t="n">
        <v>0</v>
      </c>
      <c r="K360" t="n">
        <v>0</v>
      </c>
      <c r="L360" t="n">
        <v>0</v>
      </c>
      <c r="M360" t="n">
        <v>0</v>
      </c>
      <c r="N360" t="n">
        <v>0</v>
      </c>
      <c r="O360" t="n">
        <v>0</v>
      </c>
      <c r="P360" t="n">
        <v>0</v>
      </c>
      <c r="Q360" t="n">
        <v>0</v>
      </c>
      <c r="R360" s="2" t="inlineStr"/>
    </row>
    <row r="361" ht="15" customHeight="1">
      <c r="A361" t="inlineStr">
        <is>
          <t>A 63529-2019</t>
        </is>
      </c>
      <c r="B361" s="1" t="n">
        <v>43794</v>
      </c>
      <c r="C361" s="1" t="n">
        <v>45682</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63495-2019</t>
        </is>
      </c>
      <c r="B362" s="1" t="n">
        <v>43794</v>
      </c>
      <c r="C362" s="1" t="n">
        <v>45682</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63504-2019</t>
        </is>
      </c>
      <c r="B363" s="1" t="n">
        <v>43794</v>
      </c>
      <c r="C363" s="1" t="n">
        <v>45682</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63528-2019</t>
        </is>
      </c>
      <c r="B364" s="1" t="n">
        <v>43794</v>
      </c>
      <c r="C364" s="1" t="n">
        <v>45682</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63515-2019</t>
        </is>
      </c>
      <c r="B365" s="1" t="n">
        <v>43794</v>
      </c>
      <c r="C365" s="1" t="n">
        <v>45682</v>
      </c>
      <c r="D365" t="inlineStr">
        <is>
          <t>STOCKHOLMS LÄN</t>
        </is>
      </c>
      <c r="E365" t="inlineStr">
        <is>
          <t>NORRTÄLJE</t>
        </is>
      </c>
      <c r="G365" t="n">
        <v>7.1</v>
      </c>
      <c r="H365" t="n">
        <v>0</v>
      </c>
      <c r="I365" t="n">
        <v>0</v>
      </c>
      <c r="J365" t="n">
        <v>0</v>
      </c>
      <c r="K365" t="n">
        <v>0</v>
      </c>
      <c r="L365" t="n">
        <v>0</v>
      </c>
      <c r="M365" t="n">
        <v>0</v>
      </c>
      <c r="N365" t="n">
        <v>0</v>
      </c>
      <c r="O365" t="n">
        <v>0</v>
      </c>
      <c r="P365" t="n">
        <v>0</v>
      </c>
      <c r="Q365" t="n">
        <v>0</v>
      </c>
      <c r="R365" s="2" t="inlineStr"/>
    </row>
    <row r="366" ht="15" customHeight="1">
      <c r="A366" t="inlineStr">
        <is>
          <t>A 64293-2019</t>
        </is>
      </c>
      <c r="B366" s="1" t="n">
        <v>43797</v>
      </c>
      <c r="C366" s="1" t="n">
        <v>45682</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65640-2019</t>
        </is>
      </c>
      <c r="B367" s="1" t="n">
        <v>43804</v>
      </c>
      <c r="C367" s="1" t="n">
        <v>45682</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65998-2019</t>
        </is>
      </c>
      <c r="B368" s="1" t="n">
        <v>43805</v>
      </c>
      <c r="C368" s="1" t="n">
        <v>45682</v>
      </c>
      <c r="D368" t="inlineStr">
        <is>
          <t>STOCKHOLMS LÄN</t>
        </is>
      </c>
      <c r="E368" t="inlineStr">
        <is>
          <t>NORRTÄLJE</t>
        </is>
      </c>
      <c r="G368" t="n">
        <v>6.5</v>
      </c>
      <c r="H368" t="n">
        <v>0</v>
      </c>
      <c r="I368" t="n">
        <v>0</v>
      </c>
      <c r="J368" t="n">
        <v>0</v>
      </c>
      <c r="K368" t="n">
        <v>0</v>
      </c>
      <c r="L368" t="n">
        <v>0</v>
      </c>
      <c r="M368" t="n">
        <v>0</v>
      </c>
      <c r="N368" t="n">
        <v>0</v>
      </c>
      <c r="O368" t="n">
        <v>0</v>
      </c>
      <c r="P368" t="n">
        <v>0</v>
      </c>
      <c r="Q368" t="n">
        <v>0</v>
      </c>
      <c r="R368" s="2" t="inlineStr"/>
    </row>
    <row r="369" ht="15" customHeight="1">
      <c r="A369" t="inlineStr">
        <is>
          <t>A 66604-2019</t>
        </is>
      </c>
      <c r="B369" s="1" t="n">
        <v>43809</v>
      </c>
      <c r="C369" s="1" t="n">
        <v>45682</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67158-2019</t>
        </is>
      </c>
      <c r="B370" s="1" t="n">
        <v>43811</v>
      </c>
      <c r="C370" s="1" t="n">
        <v>45682</v>
      </c>
      <c r="D370" t="inlineStr">
        <is>
          <t>STOCKHOLMS LÄN</t>
        </is>
      </c>
      <c r="E370" t="inlineStr">
        <is>
          <t>NORRTÄLJE</t>
        </is>
      </c>
      <c r="G370" t="n">
        <v>4.4</v>
      </c>
      <c r="H370" t="n">
        <v>0</v>
      </c>
      <c r="I370" t="n">
        <v>0</v>
      </c>
      <c r="J370" t="n">
        <v>0</v>
      </c>
      <c r="K370" t="n">
        <v>0</v>
      </c>
      <c r="L370" t="n">
        <v>0</v>
      </c>
      <c r="M370" t="n">
        <v>0</v>
      </c>
      <c r="N370" t="n">
        <v>0</v>
      </c>
      <c r="O370" t="n">
        <v>0</v>
      </c>
      <c r="P370" t="n">
        <v>0</v>
      </c>
      <c r="Q370" t="n">
        <v>0</v>
      </c>
      <c r="R370" s="2" t="inlineStr"/>
    </row>
    <row r="371" ht="15" customHeight="1">
      <c r="A371" t="inlineStr">
        <is>
          <t>A 67324-2019</t>
        </is>
      </c>
      <c r="B371" s="1" t="n">
        <v>43812</v>
      </c>
      <c r="C371" s="1" t="n">
        <v>45682</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68865-2019</t>
        </is>
      </c>
      <c r="B372" s="1" t="n">
        <v>43821</v>
      </c>
      <c r="C372" s="1" t="n">
        <v>45682</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1099-2020</t>
        </is>
      </c>
      <c r="B373" s="1" t="n">
        <v>43822</v>
      </c>
      <c r="C373" s="1" t="n">
        <v>45682</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4475-2020</t>
        </is>
      </c>
      <c r="B374" s="1" t="n">
        <v>43849</v>
      </c>
      <c r="C374" s="1" t="n">
        <v>45682</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3882-2020</t>
        </is>
      </c>
      <c r="B375" s="1" t="n">
        <v>43854</v>
      </c>
      <c r="C375" s="1" t="n">
        <v>45682</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4094-2020</t>
        </is>
      </c>
      <c r="B376" s="1" t="n">
        <v>43857</v>
      </c>
      <c r="C376" s="1" t="n">
        <v>45682</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4950-2020</t>
        </is>
      </c>
      <c r="B377" s="1" t="n">
        <v>43859</v>
      </c>
      <c r="C377" s="1" t="n">
        <v>45682</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5084-2020</t>
        </is>
      </c>
      <c r="B378" s="1" t="n">
        <v>43859</v>
      </c>
      <c r="C378" s="1" t="n">
        <v>45682</v>
      </c>
      <c r="D378" t="inlineStr">
        <is>
          <t>STOCKHOLMS LÄN</t>
        </is>
      </c>
      <c r="E378" t="inlineStr">
        <is>
          <t>NORRTÄLJE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4952-2020</t>
        </is>
      </c>
      <c r="B379" s="1" t="n">
        <v>43859</v>
      </c>
      <c r="C379" s="1" t="n">
        <v>45682</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5735-2020</t>
        </is>
      </c>
      <c r="B380" s="1" t="n">
        <v>43863</v>
      </c>
      <c r="C380" s="1" t="n">
        <v>45682</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5733-2020</t>
        </is>
      </c>
      <c r="B381" s="1" t="n">
        <v>43863</v>
      </c>
      <c r="C381" s="1" t="n">
        <v>45682</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5739-2020</t>
        </is>
      </c>
      <c r="B382" s="1" t="n">
        <v>43863</v>
      </c>
      <c r="C382" s="1" t="n">
        <v>45682</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7471-2020</t>
        </is>
      </c>
      <c r="B383" s="1" t="n">
        <v>43871</v>
      </c>
      <c r="C383" s="1" t="n">
        <v>45682</v>
      </c>
      <c r="D383" t="inlineStr">
        <is>
          <t>STOCKHOLMS LÄN</t>
        </is>
      </c>
      <c r="E383" t="inlineStr">
        <is>
          <t>NORRTÄLJE</t>
        </is>
      </c>
      <c r="G383" t="n">
        <v>7.8</v>
      </c>
      <c r="H383" t="n">
        <v>0</v>
      </c>
      <c r="I383" t="n">
        <v>0</v>
      </c>
      <c r="J383" t="n">
        <v>0</v>
      </c>
      <c r="K383" t="n">
        <v>0</v>
      </c>
      <c r="L383" t="n">
        <v>0</v>
      </c>
      <c r="M383" t="n">
        <v>0</v>
      </c>
      <c r="N383" t="n">
        <v>0</v>
      </c>
      <c r="O383" t="n">
        <v>0</v>
      </c>
      <c r="P383" t="n">
        <v>0</v>
      </c>
      <c r="Q383" t="n">
        <v>0</v>
      </c>
      <c r="R383" s="2" t="inlineStr"/>
    </row>
    <row r="384" ht="15" customHeight="1">
      <c r="A384" t="inlineStr">
        <is>
          <t>A 9845-2020</t>
        </is>
      </c>
      <c r="B384" s="1" t="n">
        <v>43881</v>
      </c>
      <c r="C384" s="1" t="n">
        <v>45682</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10618-2020</t>
        </is>
      </c>
      <c r="B385" s="1" t="n">
        <v>43887</v>
      </c>
      <c r="C385" s="1" t="n">
        <v>45682</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11184-2020</t>
        </is>
      </c>
      <c r="B386" s="1" t="n">
        <v>43892</v>
      </c>
      <c r="C386" s="1" t="n">
        <v>45682</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11576-2020</t>
        </is>
      </c>
      <c r="B387" s="1" t="n">
        <v>43893</v>
      </c>
      <c r="C387" s="1" t="n">
        <v>45682</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12113-2020</t>
        </is>
      </c>
      <c r="B388" s="1" t="n">
        <v>43895</v>
      </c>
      <c r="C388" s="1" t="n">
        <v>45682</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12970-2020</t>
        </is>
      </c>
      <c r="B389" s="1" t="n">
        <v>43900</v>
      </c>
      <c r="C389" s="1" t="n">
        <v>45682</v>
      </c>
      <c r="D389" t="inlineStr">
        <is>
          <t>STOCKHOLMS LÄN</t>
        </is>
      </c>
      <c r="E389" t="inlineStr">
        <is>
          <t>NORRTÄLJE</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13230-2020</t>
        </is>
      </c>
      <c r="B390" s="1" t="n">
        <v>43901</v>
      </c>
      <c r="C390" s="1" t="n">
        <v>45682</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13287-2020</t>
        </is>
      </c>
      <c r="B391" s="1" t="n">
        <v>43901</v>
      </c>
      <c r="C391" s="1" t="n">
        <v>45682</v>
      </c>
      <c r="D391" t="inlineStr">
        <is>
          <t>STOCKHOLMS LÄN</t>
        </is>
      </c>
      <c r="E391" t="inlineStr">
        <is>
          <t>NORRTÄLJE</t>
        </is>
      </c>
      <c r="F391" t="inlineStr">
        <is>
          <t>Kommuner</t>
        </is>
      </c>
      <c r="G391" t="n">
        <v>3.2</v>
      </c>
      <c r="H391" t="n">
        <v>0</v>
      </c>
      <c r="I391" t="n">
        <v>0</v>
      </c>
      <c r="J391" t="n">
        <v>0</v>
      </c>
      <c r="K391" t="n">
        <v>0</v>
      </c>
      <c r="L391" t="n">
        <v>0</v>
      </c>
      <c r="M391" t="n">
        <v>0</v>
      </c>
      <c r="N391" t="n">
        <v>0</v>
      </c>
      <c r="O391" t="n">
        <v>0</v>
      </c>
      <c r="P391" t="n">
        <v>0</v>
      </c>
      <c r="Q391" t="n">
        <v>0</v>
      </c>
      <c r="R391" s="2" t="inlineStr"/>
    </row>
    <row r="392" ht="15" customHeight="1">
      <c r="A392" t="inlineStr">
        <is>
          <t>A 13281-2020</t>
        </is>
      </c>
      <c r="B392" s="1" t="n">
        <v>43901</v>
      </c>
      <c r="C392" s="1" t="n">
        <v>45682</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13501-2020</t>
        </is>
      </c>
      <c r="B393" s="1" t="n">
        <v>43902</v>
      </c>
      <c r="C393" s="1" t="n">
        <v>45682</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13506-2020</t>
        </is>
      </c>
      <c r="B394" s="1" t="n">
        <v>43902</v>
      </c>
      <c r="C394" s="1" t="n">
        <v>45682</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14525-2020</t>
        </is>
      </c>
      <c r="B395" s="1" t="n">
        <v>43908</v>
      </c>
      <c r="C395" s="1" t="n">
        <v>45682</v>
      </c>
      <c r="D395" t="inlineStr">
        <is>
          <t>STOCKHOLMS LÄN</t>
        </is>
      </c>
      <c r="E395" t="inlineStr">
        <is>
          <t>NORRTÄLJE</t>
        </is>
      </c>
      <c r="G395" t="n">
        <v>10.2</v>
      </c>
      <c r="H395" t="n">
        <v>0</v>
      </c>
      <c r="I395" t="n">
        <v>0</v>
      </c>
      <c r="J395" t="n">
        <v>0</v>
      </c>
      <c r="K395" t="n">
        <v>0</v>
      </c>
      <c r="L395" t="n">
        <v>0</v>
      </c>
      <c r="M395" t="n">
        <v>0</v>
      </c>
      <c r="N395" t="n">
        <v>0</v>
      </c>
      <c r="O395" t="n">
        <v>0</v>
      </c>
      <c r="P395" t="n">
        <v>0</v>
      </c>
      <c r="Q395" t="n">
        <v>0</v>
      </c>
      <c r="R395" s="2" t="inlineStr"/>
    </row>
    <row r="396" ht="15" customHeight="1">
      <c r="A396" t="inlineStr">
        <is>
          <t>A 14831-2020</t>
        </is>
      </c>
      <c r="B396" s="1" t="n">
        <v>43909</v>
      </c>
      <c r="C396" s="1" t="n">
        <v>45682</v>
      </c>
      <c r="D396" t="inlineStr">
        <is>
          <t>STOCKHOLMS LÄN</t>
        </is>
      </c>
      <c r="E396" t="inlineStr">
        <is>
          <t>NORRTÄLJE</t>
        </is>
      </c>
      <c r="G396" t="n">
        <v>11.4</v>
      </c>
      <c r="H396" t="n">
        <v>0</v>
      </c>
      <c r="I396" t="n">
        <v>0</v>
      </c>
      <c r="J396" t="n">
        <v>0</v>
      </c>
      <c r="K396" t="n">
        <v>0</v>
      </c>
      <c r="L396" t="n">
        <v>0</v>
      </c>
      <c r="M396" t="n">
        <v>0</v>
      </c>
      <c r="N396" t="n">
        <v>0</v>
      </c>
      <c r="O396" t="n">
        <v>0</v>
      </c>
      <c r="P396" t="n">
        <v>0</v>
      </c>
      <c r="Q396" t="n">
        <v>0</v>
      </c>
      <c r="R396" s="2" t="inlineStr"/>
    </row>
    <row r="397" ht="15" customHeight="1">
      <c r="A397" t="inlineStr">
        <is>
          <t>A 15663-2020</t>
        </is>
      </c>
      <c r="B397" s="1" t="n">
        <v>43915</v>
      </c>
      <c r="C397" s="1" t="n">
        <v>45682</v>
      </c>
      <c r="D397" t="inlineStr">
        <is>
          <t>STOCKHOLMS LÄN</t>
        </is>
      </c>
      <c r="E397" t="inlineStr">
        <is>
          <t>NORRTÄLJE</t>
        </is>
      </c>
      <c r="G397" t="n">
        <v>11.1</v>
      </c>
      <c r="H397" t="n">
        <v>0</v>
      </c>
      <c r="I397" t="n">
        <v>0</v>
      </c>
      <c r="J397" t="n">
        <v>0</v>
      </c>
      <c r="K397" t="n">
        <v>0</v>
      </c>
      <c r="L397" t="n">
        <v>0</v>
      </c>
      <c r="M397" t="n">
        <v>0</v>
      </c>
      <c r="N397" t="n">
        <v>0</v>
      </c>
      <c r="O397" t="n">
        <v>0</v>
      </c>
      <c r="P397" t="n">
        <v>0</v>
      </c>
      <c r="Q397" t="n">
        <v>0</v>
      </c>
      <c r="R397" s="2" t="inlineStr"/>
    </row>
    <row r="398" ht="15" customHeight="1">
      <c r="A398" t="inlineStr">
        <is>
          <t>A 16273-2020</t>
        </is>
      </c>
      <c r="B398" s="1" t="n">
        <v>43917</v>
      </c>
      <c r="C398" s="1" t="n">
        <v>45682</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17965-2020</t>
        </is>
      </c>
      <c r="B399" s="1" t="n">
        <v>43925</v>
      </c>
      <c r="C399" s="1" t="n">
        <v>45682</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19258-2020</t>
        </is>
      </c>
      <c r="B400" s="1" t="n">
        <v>43937</v>
      </c>
      <c r="C400" s="1" t="n">
        <v>45682</v>
      </c>
      <c r="D400" t="inlineStr">
        <is>
          <t>STOCKHOLMS LÄN</t>
        </is>
      </c>
      <c r="E400" t="inlineStr">
        <is>
          <t>NORRTÄLJE</t>
        </is>
      </c>
      <c r="F400" t="inlineStr">
        <is>
          <t>Övriga statliga verk och myndigheter</t>
        </is>
      </c>
      <c r="G400" t="n">
        <v>2.9</v>
      </c>
      <c r="H400" t="n">
        <v>0</v>
      </c>
      <c r="I400" t="n">
        <v>0</v>
      </c>
      <c r="J400" t="n">
        <v>0</v>
      </c>
      <c r="K400" t="n">
        <v>0</v>
      </c>
      <c r="L400" t="n">
        <v>0</v>
      </c>
      <c r="M400" t="n">
        <v>0</v>
      </c>
      <c r="N400" t="n">
        <v>0</v>
      </c>
      <c r="O400" t="n">
        <v>0</v>
      </c>
      <c r="P400" t="n">
        <v>0</v>
      </c>
      <c r="Q400" t="n">
        <v>0</v>
      </c>
      <c r="R400" s="2" t="inlineStr"/>
    </row>
    <row r="401" ht="15" customHeight="1">
      <c r="A401" t="inlineStr">
        <is>
          <t>A 20257-2020</t>
        </is>
      </c>
      <c r="B401" s="1" t="n">
        <v>43944</v>
      </c>
      <c r="C401" s="1" t="n">
        <v>45682</v>
      </c>
      <c r="D401" t="inlineStr">
        <is>
          <t>STOCKHOLMS LÄN</t>
        </is>
      </c>
      <c r="E401" t="inlineStr">
        <is>
          <t>NORRTÄLJE</t>
        </is>
      </c>
      <c r="G401" t="n">
        <v>80.09999999999999</v>
      </c>
      <c r="H401" t="n">
        <v>0</v>
      </c>
      <c r="I401" t="n">
        <v>0</v>
      </c>
      <c r="J401" t="n">
        <v>0</v>
      </c>
      <c r="K401" t="n">
        <v>0</v>
      </c>
      <c r="L401" t="n">
        <v>0</v>
      </c>
      <c r="M401" t="n">
        <v>0</v>
      </c>
      <c r="N401" t="n">
        <v>0</v>
      </c>
      <c r="O401" t="n">
        <v>0</v>
      </c>
      <c r="P401" t="n">
        <v>0</v>
      </c>
      <c r="Q401" t="n">
        <v>0</v>
      </c>
      <c r="R401" s="2" t="inlineStr"/>
    </row>
    <row r="402" ht="15" customHeight="1">
      <c r="A402" t="inlineStr">
        <is>
          <t>A 21849-2020</t>
        </is>
      </c>
      <c r="B402" s="1" t="n">
        <v>43958</v>
      </c>
      <c r="C402" s="1" t="n">
        <v>45682</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21875-2020</t>
        </is>
      </c>
      <c r="B403" s="1" t="n">
        <v>43958</v>
      </c>
      <c r="C403" s="1" t="n">
        <v>45682</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23751-2020</t>
        </is>
      </c>
      <c r="B404" s="1" t="n">
        <v>43970</v>
      </c>
      <c r="C404" s="1" t="n">
        <v>45682</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24136-2020</t>
        </is>
      </c>
      <c r="B405" s="1" t="n">
        <v>43973</v>
      </c>
      <c r="C405" s="1" t="n">
        <v>45682</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25584-2020</t>
        </is>
      </c>
      <c r="B406" s="1" t="n">
        <v>43983</v>
      </c>
      <c r="C406" s="1" t="n">
        <v>45682</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25589-2020</t>
        </is>
      </c>
      <c r="B407" s="1" t="n">
        <v>43983</v>
      </c>
      <c r="C407" s="1" t="n">
        <v>45682</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25897-2020</t>
        </is>
      </c>
      <c r="B408" s="1" t="n">
        <v>43984</v>
      </c>
      <c r="C408" s="1" t="n">
        <v>45682</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30600-2020</t>
        </is>
      </c>
      <c r="B409" s="1" t="n">
        <v>44008</v>
      </c>
      <c r="C409" s="1" t="n">
        <v>45682</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31783-2020</t>
        </is>
      </c>
      <c r="B410" s="1" t="n">
        <v>44014</v>
      </c>
      <c r="C410" s="1" t="n">
        <v>45682</v>
      </c>
      <c r="D410" t="inlineStr">
        <is>
          <t>STOCKHOLMS LÄN</t>
        </is>
      </c>
      <c r="E410" t="inlineStr">
        <is>
          <t>NORRTÄLJE</t>
        </is>
      </c>
      <c r="G410" t="n">
        <v>4.8</v>
      </c>
      <c r="H410" t="n">
        <v>0</v>
      </c>
      <c r="I410" t="n">
        <v>0</v>
      </c>
      <c r="J410" t="n">
        <v>0</v>
      </c>
      <c r="K410" t="n">
        <v>0</v>
      </c>
      <c r="L410" t="n">
        <v>0</v>
      </c>
      <c r="M410" t="n">
        <v>0</v>
      </c>
      <c r="N410" t="n">
        <v>0</v>
      </c>
      <c r="O410" t="n">
        <v>0</v>
      </c>
      <c r="P410" t="n">
        <v>0</v>
      </c>
      <c r="Q410" t="n">
        <v>0</v>
      </c>
      <c r="R410" s="2" t="inlineStr"/>
    </row>
    <row r="411" ht="15" customHeight="1">
      <c r="A411" t="inlineStr">
        <is>
          <t>A 33749-2020</t>
        </is>
      </c>
      <c r="B411" s="1" t="n">
        <v>44026</v>
      </c>
      <c r="C411" s="1" t="n">
        <v>45682</v>
      </c>
      <c r="D411" t="inlineStr">
        <is>
          <t>STOCKHOLMS LÄN</t>
        </is>
      </c>
      <c r="E411" t="inlineStr">
        <is>
          <t>NORRTÄLJE</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34651-2020</t>
        </is>
      </c>
      <c r="B412" s="1" t="n">
        <v>44034</v>
      </c>
      <c r="C412" s="1" t="n">
        <v>45682</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34650-2020</t>
        </is>
      </c>
      <c r="B413" s="1" t="n">
        <v>44034</v>
      </c>
      <c r="C413" s="1" t="n">
        <v>45682</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36314-2020</t>
        </is>
      </c>
      <c r="B414" s="1" t="n">
        <v>44049</v>
      </c>
      <c r="C414" s="1" t="n">
        <v>45682</v>
      </c>
      <c r="D414" t="inlineStr">
        <is>
          <t>STOCKHOLMS LÄN</t>
        </is>
      </c>
      <c r="E414" t="inlineStr">
        <is>
          <t>NORRTÄLJE</t>
        </is>
      </c>
      <c r="G414" t="n">
        <v>5</v>
      </c>
      <c r="H414" t="n">
        <v>0</v>
      </c>
      <c r="I414" t="n">
        <v>0</v>
      </c>
      <c r="J414" t="n">
        <v>0</v>
      </c>
      <c r="K414" t="n">
        <v>0</v>
      </c>
      <c r="L414" t="n">
        <v>0</v>
      </c>
      <c r="M414" t="n">
        <v>0</v>
      </c>
      <c r="N414" t="n">
        <v>0</v>
      </c>
      <c r="O414" t="n">
        <v>0</v>
      </c>
      <c r="P414" t="n">
        <v>0</v>
      </c>
      <c r="Q414" t="n">
        <v>0</v>
      </c>
      <c r="R414" s="2" t="inlineStr"/>
    </row>
    <row r="415" ht="15" customHeight="1">
      <c r="A415" t="inlineStr">
        <is>
          <t>A 36359-2020</t>
        </is>
      </c>
      <c r="B415" s="1" t="n">
        <v>44049</v>
      </c>
      <c r="C415" s="1" t="n">
        <v>45682</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40837-2020</t>
        </is>
      </c>
      <c r="B416" s="1" t="n">
        <v>44067</v>
      </c>
      <c r="C416" s="1" t="n">
        <v>45682</v>
      </c>
      <c r="D416" t="inlineStr">
        <is>
          <t>STOCKHOLMS LÄN</t>
        </is>
      </c>
      <c r="E416" t="inlineStr">
        <is>
          <t>NORRTÄLJE</t>
        </is>
      </c>
      <c r="G416" t="n">
        <v>20.6</v>
      </c>
      <c r="H416" t="n">
        <v>0</v>
      </c>
      <c r="I416" t="n">
        <v>0</v>
      </c>
      <c r="J416" t="n">
        <v>0</v>
      </c>
      <c r="K416" t="n">
        <v>0</v>
      </c>
      <c r="L416" t="n">
        <v>0</v>
      </c>
      <c r="M416" t="n">
        <v>0</v>
      </c>
      <c r="N416" t="n">
        <v>0</v>
      </c>
      <c r="O416" t="n">
        <v>0</v>
      </c>
      <c r="P416" t="n">
        <v>0</v>
      </c>
      <c r="Q416" t="n">
        <v>0</v>
      </c>
      <c r="R416" s="2" t="inlineStr"/>
    </row>
    <row r="417" ht="15" customHeight="1">
      <c r="A417" t="inlineStr">
        <is>
          <t>A 40661-2020</t>
        </is>
      </c>
      <c r="B417" s="1" t="n">
        <v>44069</v>
      </c>
      <c r="C417" s="1" t="n">
        <v>45682</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42247-2020</t>
        </is>
      </c>
      <c r="B418" s="1" t="n">
        <v>44074</v>
      </c>
      <c r="C418" s="1" t="n">
        <v>45682</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42256-2020</t>
        </is>
      </c>
      <c r="B419" s="1" t="n">
        <v>44074</v>
      </c>
      <c r="C419" s="1" t="n">
        <v>45682</v>
      </c>
      <c r="D419" t="inlineStr">
        <is>
          <t>STOCKHOLMS LÄN</t>
        </is>
      </c>
      <c r="E419" t="inlineStr">
        <is>
          <t>NORRTÄLJE</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41694-2020</t>
        </is>
      </c>
      <c r="B420" s="1" t="n">
        <v>44074</v>
      </c>
      <c r="C420" s="1" t="n">
        <v>45682</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42365-2020</t>
        </is>
      </c>
      <c r="B421" s="1" t="n">
        <v>44076</v>
      </c>
      <c r="C421" s="1" t="n">
        <v>45682</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42361-2020</t>
        </is>
      </c>
      <c r="B422" s="1" t="n">
        <v>44076</v>
      </c>
      <c r="C422" s="1" t="n">
        <v>45682</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42455-2020</t>
        </is>
      </c>
      <c r="B423" s="1" t="n">
        <v>44076</v>
      </c>
      <c r="C423" s="1" t="n">
        <v>45682</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43751-2020</t>
        </is>
      </c>
      <c r="B424" s="1" t="n">
        <v>44082</v>
      </c>
      <c r="C424" s="1" t="n">
        <v>45682</v>
      </c>
      <c r="D424" t="inlineStr">
        <is>
          <t>STOCKHOLMS LÄN</t>
        </is>
      </c>
      <c r="E424" t="inlineStr">
        <is>
          <t>NORRTÄLJE</t>
        </is>
      </c>
      <c r="G424" t="n">
        <v>8</v>
      </c>
      <c r="H424" t="n">
        <v>0</v>
      </c>
      <c r="I424" t="n">
        <v>0</v>
      </c>
      <c r="J424" t="n">
        <v>0</v>
      </c>
      <c r="K424" t="n">
        <v>0</v>
      </c>
      <c r="L424" t="n">
        <v>0</v>
      </c>
      <c r="M424" t="n">
        <v>0</v>
      </c>
      <c r="N424" t="n">
        <v>0</v>
      </c>
      <c r="O424" t="n">
        <v>0</v>
      </c>
      <c r="P424" t="n">
        <v>0</v>
      </c>
      <c r="Q424" t="n">
        <v>0</v>
      </c>
      <c r="R424" s="2" t="inlineStr"/>
    </row>
    <row r="425" ht="15" customHeight="1">
      <c r="A425" t="inlineStr">
        <is>
          <t>A 44096-2020</t>
        </is>
      </c>
      <c r="B425" s="1" t="n">
        <v>44083</v>
      </c>
      <c r="C425" s="1" t="n">
        <v>45682</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44071-2020</t>
        </is>
      </c>
      <c r="B426" s="1" t="n">
        <v>44083</v>
      </c>
      <c r="C426" s="1" t="n">
        <v>45682</v>
      </c>
      <c r="D426" t="inlineStr">
        <is>
          <t>STOCKHOLMS LÄN</t>
        </is>
      </c>
      <c r="E426" t="inlineStr">
        <is>
          <t>NORRTÄLJE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44183-2020</t>
        </is>
      </c>
      <c r="B427" s="1" t="n">
        <v>44083</v>
      </c>
      <c r="C427" s="1" t="n">
        <v>45682</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44792-2020</t>
        </is>
      </c>
      <c r="B428" s="1" t="n">
        <v>44085</v>
      </c>
      <c r="C428" s="1" t="n">
        <v>45682</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45988-2020</t>
        </is>
      </c>
      <c r="B429" s="1" t="n">
        <v>44091</v>
      </c>
      <c r="C429" s="1" t="n">
        <v>45682</v>
      </c>
      <c r="D429" t="inlineStr">
        <is>
          <t>STOCKHOLMS LÄN</t>
        </is>
      </c>
      <c r="E429" t="inlineStr">
        <is>
          <t>NORRTÄLJE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46556-2020</t>
        </is>
      </c>
      <c r="B430" s="1" t="n">
        <v>44095</v>
      </c>
      <c r="C430" s="1" t="n">
        <v>45682</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47291-2020</t>
        </is>
      </c>
      <c r="B431" s="1" t="n">
        <v>44097</v>
      </c>
      <c r="C431" s="1" t="n">
        <v>45682</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48392-2020</t>
        </is>
      </c>
      <c r="B432" s="1" t="n">
        <v>44097</v>
      </c>
      <c r="C432" s="1" t="n">
        <v>45682</v>
      </c>
      <c r="D432" t="inlineStr">
        <is>
          <t>STOCKHOLMS LÄN</t>
        </is>
      </c>
      <c r="E432" t="inlineStr">
        <is>
          <t>NORRTÄLJE</t>
        </is>
      </c>
      <c r="G432" t="n">
        <v>12.5</v>
      </c>
      <c r="H432" t="n">
        <v>0</v>
      </c>
      <c r="I432" t="n">
        <v>0</v>
      </c>
      <c r="J432" t="n">
        <v>0</v>
      </c>
      <c r="K432" t="n">
        <v>0</v>
      </c>
      <c r="L432" t="n">
        <v>0</v>
      </c>
      <c r="M432" t="n">
        <v>0</v>
      </c>
      <c r="N432" t="n">
        <v>0</v>
      </c>
      <c r="O432" t="n">
        <v>0</v>
      </c>
      <c r="P432" t="n">
        <v>0</v>
      </c>
      <c r="Q432" t="n">
        <v>0</v>
      </c>
      <c r="R432" s="2" t="inlineStr"/>
    </row>
    <row r="433" ht="15" customHeight="1">
      <c r="A433" t="inlineStr">
        <is>
          <t>A 47869-2020</t>
        </is>
      </c>
      <c r="B433" s="1" t="n">
        <v>44098</v>
      </c>
      <c r="C433" s="1" t="n">
        <v>45682</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47868-2020</t>
        </is>
      </c>
      <c r="B434" s="1" t="n">
        <v>44098</v>
      </c>
      <c r="C434" s="1" t="n">
        <v>45682</v>
      </c>
      <c r="D434" t="inlineStr">
        <is>
          <t>STOCKHOLMS LÄN</t>
        </is>
      </c>
      <c r="E434" t="inlineStr">
        <is>
          <t>NORRTÄLJE</t>
        </is>
      </c>
      <c r="G434" t="n">
        <v>4.7</v>
      </c>
      <c r="H434" t="n">
        <v>0</v>
      </c>
      <c r="I434" t="n">
        <v>0</v>
      </c>
      <c r="J434" t="n">
        <v>0</v>
      </c>
      <c r="K434" t="n">
        <v>0</v>
      </c>
      <c r="L434" t="n">
        <v>0</v>
      </c>
      <c r="M434" t="n">
        <v>0</v>
      </c>
      <c r="N434" t="n">
        <v>0</v>
      </c>
      <c r="O434" t="n">
        <v>0</v>
      </c>
      <c r="P434" t="n">
        <v>0</v>
      </c>
      <c r="Q434" t="n">
        <v>0</v>
      </c>
      <c r="R434" s="2" t="inlineStr"/>
    </row>
    <row r="435" ht="15" customHeight="1">
      <c r="A435" t="inlineStr">
        <is>
          <t>A 48066-2020</t>
        </is>
      </c>
      <c r="B435" s="1" t="n">
        <v>44100</v>
      </c>
      <c r="C435" s="1" t="n">
        <v>45682</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48071-2020</t>
        </is>
      </c>
      <c r="B436" s="1" t="n">
        <v>44100</v>
      </c>
      <c r="C436" s="1" t="n">
        <v>45682</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48496-2020</t>
        </is>
      </c>
      <c r="B437" s="1" t="n">
        <v>44103</v>
      </c>
      <c r="C437" s="1" t="n">
        <v>45682</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48522-2020</t>
        </is>
      </c>
      <c r="B438" s="1" t="n">
        <v>44103</v>
      </c>
      <c r="C438" s="1" t="n">
        <v>45682</v>
      </c>
      <c r="D438" t="inlineStr">
        <is>
          <t>STOCKHOLMS LÄN</t>
        </is>
      </c>
      <c r="E438" t="inlineStr">
        <is>
          <t>NORRTÄLJE</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49334-2020</t>
        </is>
      </c>
      <c r="B439" s="1" t="n">
        <v>44105</v>
      </c>
      <c r="C439" s="1" t="n">
        <v>45682</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49327-2020</t>
        </is>
      </c>
      <c r="B440" s="1" t="n">
        <v>44105</v>
      </c>
      <c r="C440" s="1" t="n">
        <v>45682</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49898-2020</t>
        </is>
      </c>
      <c r="B441" s="1" t="n">
        <v>44108</v>
      </c>
      <c r="C441" s="1" t="n">
        <v>45682</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50497-2020</t>
        </is>
      </c>
      <c r="B442" s="1" t="n">
        <v>44110</v>
      </c>
      <c r="C442" s="1" t="n">
        <v>45682</v>
      </c>
      <c r="D442" t="inlineStr">
        <is>
          <t>STOCKHOLMS LÄN</t>
        </is>
      </c>
      <c r="E442" t="inlineStr">
        <is>
          <t>NORRTÄLJE</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50738-2020</t>
        </is>
      </c>
      <c r="B443" s="1" t="n">
        <v>44111</v>
      </c>
      <c r="C443" s="1" t="n">
        <v>45682</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50746-2020</t>
        </is>
      </c>
      <c r="B444" s="1" t="n">
        <v>44111</v>
      </c>
      <c r="C444" s="1" t="n">
        <v>45682</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50742-2020</t>
        </is>
      </c>
      <c r="B445" s="1" t="n">
        <v>44111</v>
      </c>
      <c r="C445" s="1" t="n">
        <v>45682</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51720-2020</t>
        </is>
      </c>
      <c r="B446" s="1" t="n">
        <v>44113</v>
      </c>
      <c r="C446" s="1" t="n">
        <v>45682</v>
      </c>
      <c r="D446" t="inlineStr">
        <is>
          <t>STOCKHOLMS LÄN</t>
        </is>
      </c>
      <c r="E446" t="inlineStr">
        <is>
          <t>NORRTÄLJE</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51787-2020</t>
        </is>
      </c>
      <c r="B447" s="1" t="n">
        <v>44116</v>
      </c>
      <c r="C447" s="1" t="n">
        <v>45682</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51798-2020</t>
        </is>
      </c>
      <c r="B448" s="1" t="n">
        <v>44116</v>
      </c>
      <c r="C448" s="1" t="n">
        <v>45682</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53768-2020</t>
        </is>
      </c>
      <c r="B449" s="1" t="n">
        <v>44123</v>
      </c>
      <c r="C449" s="1" t="n">
        <v>45682</v>
      </c>
      <c r="D449" t="inlineStr">
        <is>
          <t>STOCKHOLMS LÄN</t>
        </is>
      </c>
      <c r="E449" t="inlineStr">
        <is>
          <t>NORRTÄLJE</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53652-2020</t>
        </is>
      </c>
      <c r="B450" s="1" t="n">
        <v>44124</v>
      </c>
      <c r="C450" s="1" t="n">
        <v>45682</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53690-2020</t>
        </is>
      </c>
      <c r="B451" s="1" t="n">
        <v>44124</v>
      </c>
      <c r="C451" s="1" t="n">
        <v>45682</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53607-2020</t>
        </is>
      </c>
      <c r="B452" s="1" t="n">
        <v>44124</v>
      </c>
      <c r="C452" s="1" t="n">
        <v>45682</v>
      </c>
      <c r="D452" t="inlineStr">
        <is>
          <t>STOCKHOLMS LÄN</t>
        </is>
      </c>
      <c r="E452" t="inlineStr">
        <is>
          <t>NORRTÄLJE</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55089-2020</t>
        </is>
      </c>
      <c r="B453" s="1" t="n">
        <v>44130</v>
      </c>
      <c r="C453" s="1" t="n">
        <v>45682</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55895-2020</t>
        </is>
      </c>
      <c r="B454" s="1" t="n">
        <v>44132</v>
      </c>
      <c r="C454" s="1" t="n">
        <v>45682</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55890-2020</t>
        </is>
      </c>
      <c r="B455" s="1" t="n">
        <v>44132</v>
      </c>
      <c r="C455" s="1" t="n">
        <v>45682</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55982-2020</t>
        </is>
      </c>
      <c r="B456" s="1" t="n">
        <v>44132</v>
      </c>
      <c r="C456" s="1" t="n">
        <v>45682</v>
      </c>
      <c r="D456" t="inlineStr">
        <is>
          <t>STOCKHOLMS LÄN</t>
        </is>
      </c>
      <c r="E456" t="inlineStr">
        <is>
          <t>NORRTÄLJE</t>
        </is>
      </c>
      <c r="G456" t="n">
        <v>11.3</v>
      </c>
      <c r="H456" t="n">
        <v>0</v>
      </c>
      <c r="I456" t="n">
        <v>0</v>
      </c>
      <c r="J456" t="n">
        <v>0</v>
      </c>
      <c r="K456" t="n">
        <v>0</v>
      </c>
      <c r="L456" t="n">
        <v>0</v>
      </c>
      <c r="M456" t="n">
        <v>0</v>
      </c>
      <c r="N456" t="n">
        <v>0</v>
      </c>
      <c r="O456" t="n">
        <v>0</v>
      </c>
      <c r="P456" t="n">
        <v>0</v>
      </c>
      <c r="Q456" t="n">
        <v>0</v>
      </c>
      <c r="R456" s="2" t="inlineStr"/>
    </row>
    <row r="457" ht="15" customHeight="1">
      <c r="A457" t="inlineStr">
        <is>
          <t>A 56166-2020</t>
        </is>
      </c>
      <c r="B457" s="1" t="n">
        <v>44133</v>
      </c>
      <c r="C457" s="1" t="n">
        <v>45682</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56323-2020</t>
        </is>
      </c>
      <c r="B458" s="1" t="n">
        <v>44134</v>
      </c>
      <c r="C458" s="1" t="n">
        <v>45682</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57216-2020</t>
        </is>
      </c>
      <c r="B459" s="1" t="n">
        <v>44139</v>
      </c>
      <c r="C459" s="1" t="n">
        <v>45682</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57957-2020</t>
        </is>
      </c>
      <c r="B460" s="1" t="n">
        <v>44143</v>
      </c>
      <c r="C460" s="1" t="n">
        <v>45682</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57987-2020</t>
        </is>
      </c>
      <c r="B461" s="1" t="n">
        <v>44143</v>
      </c>
      <c r="C461" s="1" t="n">
        <v>45682</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58493-2020</t>
        </is>
      </c>
      <c r="B462" s="1" t="n">
        <v>44145</v>
      </c>
      <c r="C462" s="1" t="n">
        <v>45682</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58661-2020</t>
        </is>
      </c>
      <c r="B463" s="1" t="n">
        <v>44145</v>
      </c>
      <c r="C463" s="1" t="n">
        <v>45682</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58665-2020</t>
        </is>
      </c>
      <c r="B464" s="1" t="n">
        <v>44145</v>
      </c>
      <c r="C464" s="1" t="n">
        <v>45682</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58888-2020</t>
        </is>
      </c>
      <c r="B465" s="1" t="n">
        <v>44146</v>
      </c>
      <c r="C465" s="1" t="n">
        <v>45682</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60321-2020</t>
        </is>
      </c>
      <c r="B466" s="1" t="n">
        <v>44152</v>
      </c>
      <c r="C466" s="1" t="n">
        <v>45682</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60542-2020</t>
        </is>
      </c>
      <c r="B467" s="1" t="n">
        <v>44153</v>
      </c>
      <c r="C467" s="1" t="n">
        <v>45682</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60977-2020</t>
        </is>
      </c>
      <c r="B468" s="1" t="n">
        <v>44154</v>
      </c>
      <c r="C468" s="1" t="n">
        <v>45682</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60891-2020</t>
        </is>
      </c>
      <c r="B469" s="1" t="n">
        <v>44154</v>
      </c>
      <c r="C469" s="1" t="n">
        <v>45682</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60961-2020</t>
        </is>
      </c>
      <c r="B470" s="1" t="n">
        <v>44154</v>
      </c>
      <c r="C470" s="1" t="n">
        <v>45682</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61195-2020</t>
        </is>
      </c>
      <c r="B471" s="1" t="n">
        <v>44155</v>
      </c>
      <c r="C471" s="1" t="n">
        <v>45682</v>
      </c>
      <c r="D471" t="inlineStr">
        <is>
          <t>STOCKHOLMS LÄN</t>
        </is>
      </c>
      <c r="E471" t="inlineStr">
        <is>
          <t>NORRTÄLJE</t>
        </is>
      </c>
      <c r="G471" t="n">
        <v>7.8</v>
      </c>
      <c r="H471" t="n">
        <v>0</v>
      </c>
      <c r="I471" t="n">
        <v>0</v>
      </c>
      <c r="J471" t="n">
        <v>0</v>
      </c>
      <c r="K471" t="n">
        <v>0</v>
      </c>
      <c r="L471" t="n">
        <v>0</v>
      </c>
      <c r="M471" t="n">
        <v>0</v>
      </c>
      <c r="N471" t="n">
        <v>0</v>
      </c>
      <c r="O471" t="n">
        <v>0</v>
      </c>
      <c r="P471" t="n">
        <v>0</v>
      </c>
      <c r="Q471" t="n">
        <v>0</v>
      </c>
      <c r="R471" s="2" t="inlineStr"/>
    </row>
    <row r="472" ht="15" customHeight="1">
      <c r="A472" t="inlineStr">
        <is>
          <t>A 61221-2020</t>
        </is>
      </c>
      <c r="B472" s="1" t="n">
        <v>44155</v>
      </c>
      <c r="C472" s="1" t="n">
        <v>45682</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61363-2020</t>
        </is>
      </c>
      <c r="B473" s="1" t="n">
        <v>44155</v>
      </c>
      <c r="C473" s="1" t="n">
        <v>45682</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61469-2020</t>
        </is>
      </c>
      <c r="B474" s="1" t="n">
        <v>44155</v>
      </c>
      <c r="C474" s="1" t="n">
        <v>45682</v>
      </c>
      <c r="D474" t="inlineStr">
        <is>
          <t>STOCKHOLMS LÄN</t>
        </is>
      </c>
      <c r="E474" t="inlineStr">
        <is>
          <t>NORRTÄLJE</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61192-2020</t>
        </is>
      </c>
      <c r="B475" s="1" t="n">
        <v>44155</v>
      </c>
      <c r="C475" s="1" t="n">
        <v>45682</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62460-2020</t>
        </is>
      </c>
      <c r="B476" s="1" t="n">
        <v>44160</v>
      </c>
      <c r="C476" s="1" t="n">
        <v>45682</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62854-2020</t>
        </is>
      </c>
      <c r="B477" s="1" t="n">
        <v>44161</v>
      </c>
      <c r="C477" s="1" t="n">
        <v>45682</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63824-2020</t>
        </is>
      </c>
      <c r="B478" s="1" t="n">
        <v>44162</v>
      </c>
      <c r="C478" s="1" t="n">
        <v>45682</v>
      </c>
      <c r="D478" t="inlineStr">
        <is>
          <t>STOCKHOLMS LÄN</t>
        </is>
      </c>
      <c r="E478" t="inlineStr">
        <is>
          <t>NORRTÄLJE</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66372-2020</t>
        </is>
      </c>
      <c r="B479" s="1" t="n">
        <v>44176</v>
      </c>
      <c r="C479" s="1" t="n">
        <v>45682</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45682</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67393-2020</t>
        </is>
      </c>
      <c r="B481" s="1" t="n">
        <v>44181</v>
      </c>
      <c r="C481" s="1" t="n">
        <v>45682</v>
      </c>
      <c r="D481" t="inlineStr">
        <is>
          <t>STOCKHOLMS LÄN</t>
        </is>
      </c>
      <c r="E481" t="inlineStr">
        <is>
          <t>NORRTÄLJE</t>
        </is>
      </c>
      <c r="G481" t="n">
        <v>5.5</v>
      </c>
      <c r="H481" t="n">
        <v>0</v>
      </c>
      <c r="I481" t="n">
        <v>0</v>
      </c>
      <c r="J481" t="n">
        <v>0</v>
      </c>
      <c r="K481" t="n">
        <v>0</v>
      </c>
      <c r="L481" t="n">
        <v>0</v>
      </c>
      <c r="M481" t="n">
        <v>0</v>
      </c>
      <c r="N481" t="n">
        <v>0</v>
      </c>
      <c r="O481" t="n">
        <v>0</v>
      </c>
      <c r="P481" t="n">
        <v>0</v>
      </c>
      <c r="Q481" t="n">
        <v>0</v>
      </c>
      <c r="R481" s="2" t="inlineStr"/>
    </row>
    <row r="482" ht="15" customHeight="1">
      <c r="A482" t="inlineStr">
        <is>
          <t>A 68081-2020</t>
        </is>
      </c>
      <c r="B482" s="1" t="n">
        <v>44183</v>
      </c>
      <c r="C482" s="1" t="n">
        <v>45682</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367-2021</t>
        </is>
      </c>
      <c r="B483" s="1" t="n">
        <v>44201</v>
      </c>
      <c r="C483" s="1" t="n">
        <v>45682</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348-2021</t>
        </is>
      </c>
      <c r="B484" s="1" t="n">
        <v>44201</v>
      </c>
      <c r="C484" s="1" t="n">
        <v>45682</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1637-2021</t>
        </is>
      </c>
      <c r="B485" s="1" t="n">
        <v>44209</v>
      </c>
      <c r="C485" s="1" t="n">
        <v>45682</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1970-2021</t>
        </is>
      </c>
      <c r="B486" s="1" t="n">
        <v>44210</v>
      </c>
      <c r="C486" s="1" t="n">
        <v>45682</v>
      </c>
      <c r="D486" t="inlineStr">
        <is>
          <t>STOCKHOLMS LÄN</t>
        </is>
      </c>
      <c r="E486" t="inlineStr">
        <is>
          <t>NORRTÄLJE</t>
        </is>
      </c>
      <c r="G486" t="n">
        <v>3.1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45682</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2976-2021</t>
        </is>
      </c>
      <c r="B488" s="1" t="n">
        <v>44216</v>
      </c>
      <c r="C488" s="1" t="n">
        <v>45682</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3143-2021</t>
        </is>
      </c>
      <c r="B489" s="1" t="n">
        <v>44217</v>
      </c>
      <c r="C489" s="1" t="n">
        <v>45682</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3386-2021</t>
        </is>
      </c>
      <c r="B490" s="1" t="n">
        <v>44218</v>
      </c>
      <c r="C490" s="1" t="n">
        <v>45682</v>
      </c>
      <c r="D490" t="inlineStr">
        <is>
          <t>STOCKHOLMS LÄN</t>
        </is>
      </c>
      <c r="E490" t="inlineStr">
        <is>
          <t>NORRTÄLJE</t>
        </is>
      </c>
      <c r="G490" t="n">
        <v>8</v>
      </c>
      <c r="H490" t="n">
        <v>0</v>
      </c>
      <c r="I490" t="n">
        <v>0</v>
      </c>
      <c r="J490" t="n">
        <v>0</v>
      </c>
      <c r="K490" t="n">
        <v>0</v>
      </c>
      <c r="L490" t="n">
        <v>0</v>
      </c>
      <c r="M490" t="n">
        <v>0</v>
      </c>
      <c r="N490" t="n">
        <v>0</v>
      </c>
      <c r="O490" t="n">
        <v>0</v>
      </c>
      <c r="P490" t="n">
        <v>0</v>
      </c>
      <c r="Q490" t="n">
        <v>0</v>
      </c>
      <c r="R490" s="2" t="inlineStr"/>
    </row>
    <row r="491" ht="15" customHeight="1">
      <c r="A491" t="inlineStr">
        <is>
          <t>A 4634-2021</t>
        </is>
      </c>
      <c r="B491" s="1" t="n">
        <v>44224</v>
      </c>
      <c r="C491" s="1" t="n">
        <v>45682</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4632-2021</t>
        </is>
      </c>
      <c r="B492" s="1" t="n">
        <v>44224</v>
      </c>
      <c r="C492" s="1" t="n">
        <v>45682</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5037-2021</t>
        </is>
      </c>
      <c r="B493" s="1" t="n">
        <v>44228</v>
      </c>
      <c r="C493" s="1" t="n">
        <v>45682</v>
      </c>
      <c r="D493" t="inlineStr">
        <is>
          <t>STOCKHOLMS LÄN</t>
        </is>
      </c>
      <c r="E493" t="inlineStr">
        <is>
          <t>NORRTÄLJE</t>
        </is>
      </c>
      <c r="F493" t="inlineStr">
        <is>
          <t>Holmen skog AB</t>
        </is>
      </c>
      <c r="G493" t="n">
        <v>3.8</v>
      </c>
      <c r="H493" t="n">
        <v>0</v>
      </c>
      <c r="I493" t="n">
        <v>0</v>
      </c>
      <c r="J493" t="n">
        <v>0</v>
      </c>
      <c r="K493" t="n">
        <v>0</v>
      </c>
      <c r="L493" t="n">
        <v>0</v>
      </c>
      <c r="M493" t="n">
        <v>0</v>
      </c>
      <c r="N493" t="n">
        <v>0</v>
      </c>
      <c r="O493" t="n">
        <v>0</v>
      </c>
      <c r="P493" t="n">
        <v>0</v>
      </c>
      <c r="Q493" t="n">
        <v>0</v>
      </c>
      <c r="R493" s="2" t="inlineStr"/>
    </row>
    <row r="494" ht="15" customHeight="1">
      <c r="A494" t="inlineStr">
        <is>
          <t>A 5562-2021</t>
        </is>
      </c>
      <c r="B494" s="1" t="n">
        <v>44230</v>
      </c>
      <c r="C494" s="1" t="n">
        <v>45682</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5566-2021</t>
        </is>
      </c>
      <c r="B495" s="1" t="n">
        <v>44230</v>
      </c>
      <c r="C495" s="1" t="n">
        <v>45682</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45682</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6049-2021</t>
        </is>
      </c>
      <c r="B497" s="1" t="n">
        <v>44231</v>
      </c>
      <c r="C497" s="1" t="n">
        <v>45682</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7903-2021</t>
        </is>
      </c>
      <c r="B498" s="1" t="n">
        <v>44243</v>
      </c>
      <c r="C498" s="1" t="n">
        <v>45682</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7999-2021</t>
        </is>
      </c>
      <c r="B499" s="1" t="n">
        <v>44243</v>
      </c>
      <c r="C499" s="1" t="n">
        <v>45682</v>
      </c>
      <c r="D499" t="inlineStr">
        <is>
          <t>STOCKHOLMS LÄN</t>
        </is>
      </c>
      <c r="E499" t="inlineStr">
        <is>
          <t>NORRTÄLJE</t>
        </is>
      </c>
      <c r="G499" t="n">
        <v>6.8</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45682</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9467-2021</t>
        </is>
      </c>
      <c r="B501" s="1" t="n">
        <v>44251</v>
      </c>
      <c r="C501" s="1" t="n">
        <v>45682</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9469-2021</t>
        </is>
      </c>
      <c r="B502" s="1" t="n">
        <v>44251</v>
      </c>
      <c r="C502" s="1" t="n">
        <v>45682</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9446-2021</t>
        </is>
      </c>
      <c r="B503" s="1" t="n">
        <v>44251</v>
      </c>
      <c r="C503" s="1" t="n">
        <v>45682</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9719-2021</t>
        </is>
      </c>
      <c r="B504" s="1" t="n">
        <v>44252</v>
      </c>
      <c r="C504" s="1" t="n">
        <v>45682</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9703-2021</t>
        </is>
      </c>
      <c r="B505" s="1" t="n">
        <v>44252</v>
      </c>
      <c r="C505" s="1" t="n">
        <v>45682</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10687-2021</t>
        </is>
      </c>
      <c r="B506" s="1" t="n">
        <v>44258</v>
      </c>
      <c r="C506" s="1" t="n">
        <v>45682</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10684-2021</t>
        </is>
      </c>
      <c r="B507" s="1" t="n">
        <v>44258</v>
      </c>
      <c r="C507" s="1" t="n">
        <v>45682</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11122-2021</t>
        </is>
      </c>
      <c r="B508" s="1" t="n">
        <v>44260</v>
      </c>
      <c r="C508" s="1" t="n">
        <v>45682</v>
      </c>
      <c r="D508" t="inlineStr">
        <is>
          <t>STOCKHOLMS LÄN</t>
        </is>
      </c>
      <c r="E508" t="inlineStr">
        <is>
          <t>NORRTÄLJE</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11438-2021</t>
        </is>
      </c>
      <c r="B509" s="1" t="n">
        <v>44263</v>
      </c>
      <c r="C509" s="1" t="n">
        <v>45682</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11988-2021</t>
        </is>
      </c>
      <c r="B510" s="1" t="n">
        <v>44266</v>
      </c>
      <c r="C510" s="1" t="n">
        <v>45682</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45682</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12111-2021</t>
        </is>
      </c>
      <c r="B512" s="1" t="n">
        <v>44266</v>
      </c>
      <c r="C512" s="1" t="n">
        <v>45682</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12132-2021</t>
        </is>
      </c>
      <c r="B513" s="1" t="n">
        <v>44266</v>
      </c>
      <c r="C513" s="1" t="n">
        <v>45682</v>
      </c>
      <c r="D513" t="inlineStr">
        <is>
          <t>STOCKHOLMS LÄN</t>
        </is>
      </c>
      <c r="E513" t="inlineStr">
        <is>
          <t>NORRTÄLJE</t>
        </is>
      </c>
      <c r="G513" t="n">
        <v>4</v>
      </c>
      <c r="H513" t="n">
        <v>0</v>
      </c>
      <c r="I513" t="n">
        <v>0</v>
      </c>
      <c r="J513" t="n">
        <v>0</v>
      </c>
      <c r="K513" t="n">
        <v>0</v>
      </c>
      <c r="L513" t="n">
        <v>0</v>
      </c>
      <c r="M513" t="n">
        <v>0</v>
      </c>
      <c r="N513" t="n">
        <v>0</v>
      </c>
      <c r="O513" t="n">
        <v>0</v>
      </c>
      <c r="P513" t="n">
        <v>0</v>
      </c>
      <c r="Q513" t="n">
        <v>0</v>
      </c>
      <c r="R513" s="2" t="inlineStr"/>
    </row>
    <row r="514" ht="15" customHeight="1">
      <c r="A514" t="inlineStr">
        <is>
          <t>A 12564-2021</t>
        </is>
      </c>
      <c r="B514" s="1" t="n">
        <v>44270</v>
      </c>
      <c r="C514" s="1" t="n">
        <v>45682</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12779-2021</t>
        </is>
      </c>
      <c r="B515" s="1" t="n">
        <v>44270</v>
      </c>
      <c r="C515" s="1" t="n">
        <v>45682</v>
      </c>
      <c r="D515" t="inlineStr">
        <is>
          <t>STOCKHOLMS LÄN</t>
        </is>
      </c>
      <c r="E515" t="inlineStr">
        <is>
          <t>NORRTÄLJE</t>
        </is>
      </c>
      <c r="G515" t="n">
        <v>10.8</v>
      </c>
      <c r="H515" t="n">
        <v>0</v>
      </c>
      <c r="I515" t="n">
        <v>0</v>
      </c>
      <c r="J515" t="n">
        <v>0</v>
      </c>
      <c r="K515" t="n">
        <v>0</v>
      </c>
      <c r="L515" t="n">
        <v>0</v>
      </c>
      <c r="M515" t="n">
        <v>0</v>
      </c>
      <c r="N515" t="n">
        <v>0</v>
      </c>
      <c r="O515" t="n">
        <v>0</v>
      </c>
      <c r="P515" t="n">
        <v>0</v>
      </c>
      <c r="Q515" t="n">
        <v>0</v>
      </c>
      <c r="R515" s="2" t="inlineStr"/>
    </row>
    <row r="516" ht="15" customHeight="1">
      <c r="A516" t="inlineStr">
        <is>
          <t>A 12782-2021</t>
        </is>
      </c>
      <c r="B516" s="1" t="n">
        <v>44270</v>
      </c>
      <c r="C516" s="1" t="n">
        <v>45682</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13051-2021</t>
        </is>
      </c>
      <c r="B517" s="1" t="n">
        <v>44272</v>
      </c>
      <c r="C517" s="1" t="n">
        <v>45682</v>
      </c>
      <c r="D517" t="inlineStr">
        <is>
          <t>STOCKHOLMS LÄN</t>
        </is>
      </c>
      <c r="E517" t="inlineStr">
        <is>
          <t>NORRTÄLJE</t>
        </is>
      </c>
      <c r="G517" t="n">
        <v>9.1</v>
      </c>
      <c r="H517" t="n">
        <v>0</v>
      </c>
      <c r="I517" t="n">
        <v>0</v>
      </c>
      <c r="J517" t="n">
        <v>0</v>
      </c>
      <c r="K517" t="n">
        <v>0</v>
      </c>
      <c r="L517" t="n">
        <v>0</v>
      </c>
      <c r="M517" t="n">
        <v>0</v>
      </c>
      <c r="N517" t="n">
        <v>0</v>
      </c>
      <c r="O517" t="n">
        <v>0</v>
      </c>
      <c r="P517" t="n">
        <v>0</v>
      </c>
      <c r="Q517" t="n">
        <v>0</v>
      </c>
      <c r="R517" s="2" t="inlineStr"/>
    </row>
    <row r="518" ht="15" customHeight="1">
      <c r="A518" t="inlineStr">
        <is>
          <t>A 13148-2021</t>
        </is>
      </c>
      <c r="B518" s="1" t="n">
        <v>44272</v>
      </c>
      <c r="C518" s="1" t="n">
        <v>45682</v>
      </c>
      <c r="D518" t="inlineStr">
        <is>
          <t>STOCKHOLMS LÄN</t>
        </is>
      </c>
      <c r="E518" t="inlineStr">
        <is>
          <t>NORRTÄLJE</t>
        </is>
      </c>
      <c r="G518" t="n">
        <v>12.4</v>
      </c>
      <c r="H518" t="n">
        <v>0</v>
      </c>
      <c r="I518" t="n">
        <v>0</v>
      </c>
      <c r="J518" t="n">
        <v>0</v>
      </c>
      <c r="K518" t="n">
        <v>0</v>
      </c>
      <c r="L518" t="n">
        <v>0</v>
      </c>
      <c r="M518" t="n">
        <v>0</v>
      </c>
      <c r="N518" t="n">
        <v>0</v>
      </c>
      <c r="O518" t="n">
        <v>0</v>
      </c>
      <c r="P518" t="n">
        <v>0</v>
      </c>
      <c r="Q518" t="n">
        <v>0</v>
      </c>
      <c r="R518" s="2" t="inlineStr"/>
    </row>
    <row r="519" ht="15" customHeight="1">
      <c r="A519" t="inlineStr">
        <is>
          <t>A 13736-2021</t>
        </is>
      </c>
      <c r="B519" s="1" t="n">
        <v>44274</v>
      </c>
      <c r="C519" s="1" t="n">
        <v>45682</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13752-2021</t>
        </is>
      </c>
      <c r="B520" s="1" t="n">
        <v>44274</v>
      </c>
      <c r="C520" s="1" t="n">
        <v>45682</v>
      </c>
      <c r="D520" t="inlineStr">
        <is>
          <t>STOCKHOLMS LÄN</t>
        </is>
      </c>
      <c r="E520" t="inlineStr">
        <is>
          <t>NORRTÄLJE</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14381-2021</t>
        </is>
      </c>
      <c r="B521" s="1" t="n">
        <v>44279</v>
      </c>
      <c r="C521" s="1" t="n">
        <v>45682</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14922-2021</t>
        </is>
      </c>
      <c r="B522" s="1" t="n">
        <v>44281</v>
      </c>
      <c r="C522" s="1" t="n">
        <v>45682</v>
      </c>
      <c r="D522" t="inlineStr">
        <is>
          <t>STOCKHOLMS LÄN</t>
        </is>
      </c>
      <c r="E522" t="inlineStr">
        <is>
          <t>NORRTÄLJE</t>
        </is>
      </c>
      <c r="G522" t="n">
        <v>4.8</v>
      </c>
      <c r="H522" t="n">
        <v>0</v>
      </c>
      <c r="I522" t="n">
        <v>0</v>
      </c>
      <c r="J522" t="n">
        <v>0</v>
      </c>
      <c r="K522" t="n">
        <v>0</v>
      </c>
      <c r="L522" t="n">
        <v>0</v>
      </c>
      <c r="M522" t="n">
        <v>0</v>
      </c>
      <c r="N522" t="n">
        <v>0</v>
      </c>
      <c r="O522" t="n">
        <v>0</v>
      </c>
      <c r="P522" t="n">
        <v>0</v>
      </c>
      <c r="Q522" t="n">
        <v>0</v>
      </c>
      <c r="R522" s="2" t="inlineStr"/>
    </row>
    <row r="523" ht="15" customHeight="1">
      <c r="A523" t="inlineStr">
        <is>
          <t>A 14933-2021</t>
        </is>
      </c>
      <c r="B523" s="1" t="n">
        <v>44281</v>
      </c>
      <c r="C523" s="1" t="n">
        <v>45682</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15289-2021</t>
        </is>
      </c>
      <c r="B524" s="1" t="n">
        <v>44284</v>
      </c>
      <c r="C524" s="1" t="n">
        <v>45682</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15441-2021</t>
        </is>
      </c>
      <c r="B525" s="1" t="n">
        <v>44284</v>
      </c>
      <c r="C525" s="1" t="n">
        <v>45682</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15552-2021</t>
        </is>
      </c>
      <c r="B526" s="1" t="n">
        <v>44285</v>
      </c>
      <c r="C526" s="1" t="n">
        <v>45682</v>
      </c>
      <c r="D526" t="inlineStr">
        <is>
          <t>STOCKHOLMS LÄN</t>
        </is>
      </c>
      <c r="E526" t="inlineStr">
        <is>
          <t>NORRTÄLJE</t>
        </is>
      </c>
      <c r="G526" t="n">
        <v>10</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45682</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17460-2021</t>
        </is>
      </c>
      <c r="B528" s="1" t="n">
        <v>44299</v>
      </c>
      <c r="C528" s="1" t="n">
        <v>45682</v>
      </c>
      <c r="D528" t="inlineStr">
        <is>
          <t>STOCKHOLMS LÄN</t>
        </is>
      </c>
      <c r="E528" t="inlineStr">
        <is>
          <t>NORRTÄLJE</t>
        </is>
      </c>
      <c r="G528" t="n">
        <v>3.2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45682</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18580-2021</t>
        </is>
      </c>
      <c r="B530" s="1" t="n">
        <v>44306</v>
      </c>
      <c r="C530" s="1" t="n">
        <v>45682</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18609-2021</t>
        </is>
      </c>
      <c r="B531" s="1" t="n">
        <v>44306</v>
      </c>
      <c r="C531" s="1" t="n">
        <v>45682</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18539-2021</t>
        </is>
      </c>
      <c r="B532" s="1" t="n">
        <v>44306</v>
      </c>
      <c r="C532" s="1" t="n">
        <v>45682</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18570-2021</t>
        </is>
      </c>
      <c r="B533" s="1" t="n">
        <v>44306</v>
      </c>
      <c r="C533" s="1" t="n">
        <v>45682</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19283-2021</t>
        </is>
      </c>
      <c r="B534" s="1" t="n">
        <v>44309</v>
      </c>
      <c r="C534" s="1" t="n">
        <v>45682</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19400-2021</t>
        </is>
      </c>
      <c r="B535" s="1" t="n">
        <v>44309</v>
      </c>
      <c r="C535" s="1" t="n">
        <v>45682</v>
      </c>
      <c r="D535" t="inlineStr">
        <is>
          <t>STOCKHOLMS LÄN</t>
        </is>
      </c>
      <c r="E535" t="inlineStr">
        <is>
          <t>NORRTÄLJE</t>
        </is>
      </c>
      <c r="F535" t="inlineStr">
        <is>
          <t>Kommuner</t>
        </is>
      </c>
      <c r="G535" t="n">
        <v>2.4</v>
      </c>
      <c r="H535" t="n">
        <v>0</v>
      </c>
      <c r="I535" t="n">
        <v>0</v>
      </c>
      <c r="J535" t="n">
        <v>0</v>
      </c>
      <c r="K535" t="n">
        <v>0</v>
      </c>
      <c r="L535" t="n">
        <v>0</v>
      </c>
      <c r="M535" t="n">
        <v>0</v>
      </c>
      <c r="N535" t="n">
        <v>0</v>
      </c>
      <c r="O535" t="n">
        <v>0</v>
      </c>
      <c r="P535" t="n">
        <v>0</v>
      </c>
      <c r="Q535" t="n">
        <v>0</v>
      </c>
      <c r="R535" s="2" t="inlineStr"/>
    </row>
    <row r="536" ht="15" customHeight="1">
      <c r="A536" t="inlineStr">
        <is>
          <t>A 19307-2021</t>
        </is>
      </c>
      <c r="B536" s="1" t="n">
        <v>44309</v>
      </c>
      <c r="C536" s="1" t="n">
        <v>45682</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19398-2021</t>
        </is>
      </c>
      <c r="B537" s="1" t="n">
        <v>44309</v>
      </c>
      <c r="C537" s="1" t="n">
        <v>45682</v>
      </c>
      <c r="D537" t="inlineStr">
        <is>
          <t>STOCKHOLMS LÄN</t>
        </is>
      </c>
      <c r="E537" t="inlineStr">
        <is>
          <t>NORRTÄLJE</t>
        </is>
      </c>
      <c r="F537" t="inlineStr">
        <is>
          <t>Kommuner</t>
        </is>
      </c>
      <c r="G537" t="n">
        <v>2.1</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45682</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20473-2021</t>
        </is>
      </c>
      <c r="B539" s="1" t="n">
        <v>44315</v>
      </c>
      <c r="C539" s="1" t="n">
        <v>45682</v>
      </c>
      <c r="D539" t="inlineStr">
        <is>
          <t>STOCKHOLMS LÄN</t>
        </is>
      </c>
      <c r="E539" t="inlineStr">
        <is>
          <t>NORRTÄLJE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21291-2021</t>
        </is>
      </c>
      <c r="B540" s="1" t="n">
        <v>44319</v>
      </c>
      <c r="C540" s="1" t="n">
        <v>45682</v>
      </c>
      <c r="D540" t="inlineStr">
        <is>
          <t>STOCKHOLMS LÄN</t>
        </is>
      </c>
      <c r="E540" t="inlineStr">
        <is>
          <t>NORRTÄLJE</t>
        </is>
      </c>
      <c r="G540" t="n">
        <v>12.7</v>
      </c>
      <c r="H540" t="n">
        <v>0</v>
      </c>
      <c r="I540" t="n">
        <v>0</v>
      </c>
      <c r="J540" t="n">
        <v>0</v>
      </c>
      <c r="K540" t="n">
        <v>0</v>
      </c>
      <c r="L540" t="n">
        <v>0</v>
      </c>
      <c r="M540" t="n">
        <v>0</v>
      </c>
      <c r="N540" t="n">
        <v>0</v>
      </c>
      <c r="O540" t="n">
        <v>0</v>
      </c>
      <c r="P540" t="n">
        <v>0</v>
      </c>
      <c r="Q540" t="n">
        <v>0</v>
      </c>
      <c r="R540" s="2" t="inlineStr"/>
    </row>
    <row r="541" ht="15" customHeight="1">
      <c r="A541" t="inlineStr">
        <is>
          <t>A 21529-2021</t>
        </is>
      </c>
      <c r="B541" s="1" t="n">
        <v>44321</v>
      </c>
      <c r="C541" s="1" t="n">
        <v>45682</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22832-2021</t>
        </is>
      </c>
      <c r="B542" s="1" t="n">
        <v>44325</v>
      </c>
      <c r="C542" s="1" t="n">
        <v>45682</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45682</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22369-2021</t>
        </is>
      </c>
      <c r="B544" s="1" t="n">
        <v>44326</v>
      </c>
      <c r="C544" s="1" t="n">
        <v>45682</v>
      </c>
      <c r="D544" t="inlineStr">
        <is>
          <t>STOCKHOLMS LÄN</t>
        </is>
      </c>
      <c r="E544" t="inlineStr">
        <is>
          <t>NORRTÄLJE</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22421-2021</t>
        </is>
      </c>
      <c r="B545" s="1" t="n">
        <v>44326</v>
      </c>
      <c r="C545" s="1" t="n">
        <v>45682</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22412-2021</t>
        </is>
      </c>
      <c r="B546" s="1" t="n">
        <v>44326</v>
      </c>
      <c r="C546" s="1" t="n">
        <v>45682</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45682</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23096-2021</t>
        </is>
      </c>
      <c r="B548" s="1" t="n">
        <v>44330</v>
      </c>
      <c r="C548" s="1" t="n">
        <v>45682</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45682</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23453-2021</t>
        </is>
      </c>
      <c r="B550" s="1" t="n">
        <v>44333</v>
      </c>
      <c r="C550" s="1" t="n">
        <v>45682</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24082-2021</t>
        </is>
      </c>
      <c r="B551" s="1" t="n">
        <v>44336</v>
      </c>
      <c r="C551" s="1" t="n">
        <v>45682</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25463-2021</t>
        </is>
      </c>
      <c r="B552" s="1" t="n">
        <v>44342</v>
      </c>
      <c r="C552" s="1" t="n">
        <v>45682</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27217-2021</t>
        </is>
      </c>
      <c r="B553" s="1" t="n">
        <v>44350</v>
      </c>
      <c r="C553" s="1" t="n">
        <v>45682</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27214-2021</t>
        </is>
      </c>
      <c r="B554" s="1" t="n">
        <v>44350</v>
      </c>
      <c r="C554" s="1" t="n">
        <v>45682</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29357-2021</t>
        </is>
      </c>
      <c r="B555" s="1" t="n">
        <v>44361</v>
      </c>
      <c r="C555" s="1" t="n">
        <v>45682</v>
      </c>
      <c r="D555" t="inlineStr">
        <is>
          <t>STOCKHOLMS LÄN</t>
        </is>
      </c>
      <c r="E555" t="inlineStr">
        <is>
          <t>NORRTÄLJE</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29680-2021</t>
        </is>
      </c>
      <c r="B556" s="1" t="n">
        <v>44362</v>
      </c>
      <c r="C556" s="1" t="n">
        <v>45682</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29684-2021</t>
        </is>
      </c>
      <c r="B557" s="1" t="n">
        <v>44362</v>
      </c>
      <c r="C557" s="1" t="n">
        <v>45682</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v>
      </c>
      <c r="C558" s="1" t="n">
        <v>45682</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31688-2021</t>
        </is>
      </c>
      <c r="B559" s="1" t="n">
        <v>44369</v>
      </c>
      <c r="C559" s="1" t="n">
        <v>45682</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32002-2021</t>
        </is>
      </c>
      <c r="B560" s="1" t="n">
        <v>44370</v>
      </c>
      <c r="C560" s="1" t="n">
        <v>45682</v>
      </c>
      <c r="D560" t="inlineStr">
        <is>
          <t>STOCKHOLMS LÄN</t>
        </is>
      </c>
      <c r="E560" t="inlineStr">
        <is>
          <t>NORRTÄLJE</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32051-2021</t>
        </is>
      </c>
      <c r="B561" s="1" t="n">
        <v>44370</v>
      </c>
      <c r="C561" s="1" t="n">
        <v>45682</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32055-2021</t>
        </is>
      </c>
      <c r="B562" s="1" t="n">
        <v>44370</v>
      </c>
      <c r="C562" s="1" t="n">
        <v>45682</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45682</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32857-2021</t>
        </is>
      </c>
      <c r="B564" s="1" t="n">
        <v>44375</v>
      </c>
      <c r="C564" s="1" t="n">
        <v>45682</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33053-2021</t>
        </is>
      </c>
      <c r="B565" s="1" t="n">
        <v>44376</v>
      </c>
      <c r="C565" s="1" t="n">
        <v>45682</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33046-2021</t>
        </is>
      </c>
      <c r="B566" s="1" t="n">
        <v>44376</v>
      </c>
      <c r="C566" s="1" t="n">
        <v>45682</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33040-2021</t>
        </is>
      </c>
      <c r="B567" s="1" t="n">
        <v>44376</v>
      </c>
      <c r="C567" s="1" t="n">
        <v>45682</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34520-2021</t>
        </is>
      </c>
      <c r="B568" s="1" t="n">
        <v>44379</v>
      </c>
      <c r="C568" s="1" t="n">
        <v>45682</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v>
      </c>
      <c r="C569" s="1" t="n">
        <v>45682</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45682</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34436-2021</t>
        </is>
      </c>
      <c r="B571" s="1" t="n">
        <v>44380</v>
      </c>
      <c r="C571" s="1" t="n">
        <v>45682</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34731-2021</t>
        </is>
      </c>
      <c r="B572" s="1" t="n">
        <v>44382</v>
      </c>
      <c r="C572" s="1" t="n">
        <v>45682</v>
      </c>
      <c r="D572" t="inlineStr">
        <is>
          <t>STOCKHOLMS LÄN</t>
        </is>
      </c>
      <c r="E572" t="inlineStr">
        <is>
          <t>NORRTÄLJE</t>
        </is>
      </c>
      <c r="G572" t="n">
        <v>0.2</v>
      </c>
      <c r="H572" t="n">
        <v>0</v>
      </c>
      <c r="I572" t="n">
        <v>0</v>
      </c>
      <c r="J572" t="n">
        <v>0</v>
      </c>
      <c r="K572" t="n">
        <v>0</v>
      </c>
      <c r="L572" t="n">
        <v>0</v>
      </c>
      <c r="M572" t="n">
        <v>0</v>
      </c>
      <c r="N572" t="n">
        <v>0</v>
      </c>
      <c r="O572" t="n">
        <v>0</v>
      </c>
      <c r="P572" t="n">
        <v>0</v>
      </c>
      <c r="Q572" t="n">
        <v>0</v>
      </c>
      <c r="R572" s="2" t="inlineStr"/>
    </row>
    <row r="573" ht="15" customHeight="1">
      <c r="A573" t="inlineStr">
        <is>
          <t>A 34792-2021</t>
        </is>
      </c>
      <c r="B573" s="1" t="n">
        <v>44383</v>
      </c>
      <c r="C573" s="1" t="n">
        <v>45682</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36246-2021</t>
        </is>
      </c>
      <c r="B574" s="1" t="n">
        <v>44390</v>
      </c>
      <c r="C574" s="1" t="n">
        <v>45682</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36565-2021</t>
        </is>
      </c>
      <c r="B575" s="1" t="n">
        <v>44391</v>
      </c>
      <c r="C575" s="1" t="n">
        <v>45682</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37085-2021</t>
        </is>
      </c>
      <c r="B576" s="1" t="n">
        <v>44395</v>
      </c>
      <c r="C576" s="1" t="n">
        <v>45682</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37344-2021</t>
        </is>
      </c>
      <c r="B577" s="1" t="n">
        <v>44397</v>
      </c>
      <c r="C577" s="1" t="n">
        <v>45682</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37415-2021</t>
        </is>
      </c>
      <c r="B578" s="1" t="n">
        <v>44397</v>
      </c>
      <c r="C578" s="1" t="n">
        <v>45682</v>
      </c>
      <c r="D578" t="inlineStr">
        <is>
          <t>STOCKHOLMS LÄN</t>
        </is>
      </c>
      <c r="E578" t="inlineStr">
        <is>
          <t>NORRTÄLJE</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45682</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37462-2021</t>
        </is>
      </c>
      <c r="B580" s="1" t="n">
        <v>44398</v>
      </c>
      <c r="C580" s="1" t="n">
        <v>45682</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37530-2021</t>
        </is>
      </c>
      <c r="B581" s="1" t="n">
        <v>44399</v>
      </c>
      <c r="C581" s="1" t="n">
        <v>45682</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37522-2021</t>
        </is>
      </c>
      <c r="B582" s="1" t="n">
        <v>44399</v>
      </c>
      <c r="C582" s="1" t="n">
        <v>45682</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37525-2021</t>
        </is>
      </c>
      <c r="B583" s="1" t="n">
        <v>44399</v>
      </c>
      <c r="C583" s="1" t="n">
        <v>45682</v>
      </c>
      <c r="D583" t="inlineStr">
        <is>
          <t>STOCKHOLMS LÄN</t>
        </is>
      </c>
      <c r="E583" t="inlineStr">
        <is>
          <t>NORRTÄLJE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45682</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37859-2021</t>
        </is>
      </c>
      <c r="B585" s="1" t="n">
        <v>44403</v>
      </c>
      <c r="C585" s="1" t="n">
        <v>45682</v>
      </c>
      <c r="D585" t="inlineStr">
        <is>
          <t>STOCKHOLMS LÄN</t>
        </is>
      </c>
      <c r="E585" t="inlineStr">
        <is>
          <t>NORRTÄLJE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39157-2021</t>
        </is>
      </c>
      <c r="B586" s="1" t="n">
        <v>44412</v>
      </c>
      <c r="C586" s="1" t="n">
        <v>45682</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39496-2021</t>
        </is>
      </c>
      <c r="B587" s="1" t="n">
        <v>44414</v>
      </c>
      <c r="C587" s="1" t="n">
        <v>45682</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v>
      </c>
      <c r="C588" s="1" t="n">
        <v>45682</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40425-2021</t>
        </is>
      </c>
      <c r="B589" s="1" t="n">
        <v>44419</v>
      </c>
      <c r="C589" s="1" t="n">
        <v>45682</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40542-2021</t>
        </is>
      </c>
      <c r="B590" s="1" t="n">
        <v>44420</v>
      </c>
      <c r="C590" s="1" t="n">
        <v>45682</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40546-2021</t>
        </is>
      </c>
      <c r="B591" s="1" t="n">
        <v>44420</v>
      </c>
      <c r="C591" s="1" t="n">
        <v>45682</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41595-2021</t>
        </is>
      </c>
      <c r="B592" s="1" t="n">
        <v>44425</v>
      </c>
      <c r="C592" s="1" t="n">
        <v>45682</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41823-2021</t>
        </is>
      </c>
      <c r="B593" s="1" t="n">
        <v>44425</v>
      </c>
      <c r="C593" s="1" t="n">
        <v>45682</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41822-2021</t>
        </is>
      </c>
      <c r="B594" s="1" t="n">
        <v>44425</v>
      </c>
      <c r="C594" s="1" t="n">
        <v>45682</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42396-2021</t>
        </is>
      </c>
      <c r="B595" s="1" t="n">
        <v>44427</v>
      </c>
      <c r="C595" s="1" t="n">
        <v>45682</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43478-2021</t>
        </is>
      </c>
      <c r="B596" s="1" t="n">
        <v>44432</v>
      </c>
      <c r="C596" s="1" t="n">
        <v>45682</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44274-2021</t>
        </is>
      </c>
      <c r="B597" s="1" t="n">
        <v>44435</v>
      </c>
      <c r="C597" s="1" t="n">
        <v>45682</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47344-2021</t>
        </is>
      </c>
      <c r="B598" s="1" t="n">
        <v>44447</v>
      </c>
      <c r="C598" s="1" t="n">
        <v>45682</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47349-2021</t>
        </is>
      </c>
      <c r="B599" s="1" t="n">
        <v>44447</v>
      </c>
      <c r="C599" s="1" t="n">
        <v>45682</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47691-2021</t>
        </is>
      </c>
      <c r="B600" s="1" t="n">
        <v>44448</v>
      </c>
      <c r="C600" s="1" t="n">
        <v>45682</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48384-2021</t>
        </is>
      </c>
      <c r="B601" s="1" t="n">
        <v>44451</v>
      </c>
      <c r="C601" s="1" t="n">
        <v>45682</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48798-2021</t>
        </is>
      </c>
      <c r="B602" s="1" t="n">
        <v>44452</v>
      </c>
      <c r="C602" s="1" t="n">
        <v>45682</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48932-2021</t>
        </is>
      </c>
      <c r="B603" s="1" t="n">
        <v>44453</v>
      </c>
      <c r="C603" s="1" t="n">
        <v>45682</v>
      </c>
      <c r="D603" t="inlineStr">
        <is>
          <t>STOCKHOLMS LÄN</t>
        </is>
      </c>
      <c r="E603" t="inlineStr">
        <is>
          <t>NORRTÄLJE</t>
        </is>
      </c>
      <c r="G603" t="n">
        <v>11.2</v>
      </c>
      <c r="H603" t="n">
        <v>0</v>
      </c>
      <c r="I603" t="n">
        <v>0</v>
      </c>
      <c r="J603" t="n">
        <v>0</v>
      </c>
      <c r="K603" t="n">
        <v>0</v>
      </c>
      <c r="L603" t="n">
        <v>0</v>
      </c>
      <c r="M603" t="n">
        <v>0</v>
      </c>
      <c r="N603" t="n">
        <v>0</v>
      </c>
      <c r="O603" t="n">
        <v>0</v>
      </c>
      <c r="P603" t="n">
        <v>0</v>
      </c>
      <c r="Q603" t="n">
        <v>0</v>
      </c>
      <c r="R603" s="2" t="inlineStr"/>
    </row>
    <row r="604" ht="15" customHeight="1">
      <c r="A604" t="inlineStr">
        <is>
          <t>A 49113-2021</t>
        </is>
      </c>
      <c r="B604" s="1" t="n">
        <v>44453</v>
      </c>
      <c r="C604" s="1" t="n">
        <v>45682</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50038-2021</t>
        </is>
      </c>
      <c r="B605" s="1" t="n">
        <v>44456</v>
      </c>
      <c r="C605" s="1" t="n">
        <v>45682</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50108-2021</t>
        </is>
      </c>
      <c r="B606" s="1" t="n">
        <v>44456</v>
      </c>
      <c r="C606" s="1" t="n">
        <v>45682</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50252-2021</t>
        </is>
      </c>
      <c r="B607" s="1" t="n">
        <v>44458</v>
      </c>
      <c r="C607" s="1" t="n">
        <v>45682</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50602-2021</t>
        </is>
      </c>
      <c r="B608" s="1" t="n">
        <v>44459</v>
      </c>
      <c r="C608" s="1" t="n">
        <v>45682</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51279-2021</t>
        </is>
      </c>
      <c r="B609" s="1" t="n">
        <v>44461</v>
      </c>
      <c r="C609" s="1" t="n">
        <v>45682</v>
      </c>
      <c r="D609" t="inlineStr">
        <is>
          <t>STOCKHOLMS LÄN</t>
        </is>
      </c>
      <c r="E609" t="inlineStr">
        <is>
          <t>NORRTÄLJE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51315-2021</t>
        </is>
      </c>
      <c r="B610" s="1" t="n">
        <v>44461</v>
      </c>
      <c r="C610" s="1" t="n">
        <v>45682</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52090-2021</t>
        </is>
      </c>
      <c r="B611" s="1" t="n">
        <v>44463</v>
      </c>
      <c r="C611" s="1" t="n">
        <v>45682</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52449-2021</t>
        </is>
      </c>
      <c r="B612" s="1" t="n">
        <v>44466</v>
      </c>
      <c r="C612" s="1" t="n">
        <v>45682</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54276-2021</t>
        </is>
      </c>
      <c r="B613" s="1" t="n">
        <v>44470</v>
      </c>
      <c r="C613" s="1" t="n">
        <v>45682</v>
      </c>
      <c r="D613" t="inlineStr">
        <is>
          <t>STOCKHOLMS LÄN</t>
        </is>
      </c>
      <c r="E613" t="inlineStr">
        <is>
          <t>NORRTÄLJE</t>
        </is>
      </c>
      <c r="G613" t="n">
        <v>7.3</v>
      </c>
      <c r="H613" t="n">
        <v>0</v>
      </c>
      <c r="I613" t="n">
        <v>0</v>
      </c>
      <c r="J613" t="n">
        <v>0</v>
      </c>
      <c r="K613" t="n">
        <v>0</v>
      </c>
      <c r="L613" t="n">
        <v>0</v>
      </c>
      <c r="M613" t="n">
        <v>0</v>
      </c>
      <c r="N613" t="n">
        <v>0</v>
      </c>
      <c r="O613" t="n">
        <v>0</v>
      </c>
      <c r="P613" t="n">
        <v>0</v>
      </c>
      <c r="Q613" t="n">
        <v>0</v>
      </c>
      <c r="R613" s="2" t="inlineStr"/>
    </row>
    <row r="614" ht="15" customHeight="1">
      <c r="A614" t="inlineStr">
        <is>
          <t>A 54273-2021</t>
        </is>
      </c>
      <c r="B614" s="1" t="n">
        <v>44470</v>
      </c>
      <c r="C614" s="1" t="n">
        <v>45682</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54272-2021</t>
        </is>
      </c>
      <c r="B615" s="1" t="n">
        <v>44470</v>
      </c>
      <c r="C615" s="1" t="n">
        <v>45682</v>
      </c>
      <c r="D615" t="inlineStr">
        <is>
          <t>STOCKHOLMS LÄN</t>
        </is>
      </c>
      <c r="E615" t="inlineStr">
        <is>
          <t>NORRTÄLJE</t>
        </is>
      </c>
      <c r="G615" t="n">
        <v>5.8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45682</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v>
      </c>
      <c r="C617" s="1" t="n">
        <v>45682</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56219-2021</t>
        </is>
      </c>
      <c r="B618" s="1" t="n">
        <v>44477</v>
      </c>
      <c r="C618" s="1" t="n">
        <v>45682</v>
      </c>
      <c r="D618" t="inlineStr">
        <is>
          <t>STOCKHOLMS LÄN</t>
        </is>
      </c>
      <c r="E618" t="inlineStr">
        <is>
          <t>NORRTÄLJE</t>
        </is>
      </c>
      <c r="F618" t="inlineStr">
        <is>
          <t>Kommuner</t>
        </is>
      </c>
      <c r="G618" t="n">
        <v>2.3</v>
      </c>
      <c r="H618" t="n">
        <v>0</v>
      </c>
      <c r="I618" t="n">
        <v>0</v>
      </c>
      <c r="J618" t="n">
        <v>0</v>
      </c>
      <c r="K618" t="n">
        <v>0</v>
      </c>
      <c r="L618" t="n">
        <v>0</v>
      </c>
      <c r="M618" t="n">
        <v>0</v>
      </c>
      <c r="N618" t="n">
        <v>0</v>
      </c>
      <c r="O618" t="n">
        <v>0</v>
      </c>
      <c r="P618" t="n">
        <v>0</v>
      </c>
      <c r="Q618" t="n">
        <v>0</v>
      </c>
      <c r="R618" s="2" t="inlineStr"/>
    </row>
    <row r="619" ht="15" customHeight="1">
      <c r="A619" t="inlineStr">
        <is>
          <t>A 56225-2021</t>
        </is>
      </c>
      <c r="B619" s="1" t="n">
        <v>44478</v>
      </c>
      <c r="C619" s="1" t="n">
        <v>45682</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56878-2021</t>
        </is>
      </c>
      <c r="B620" s="1" t="n">
        <v>44481</v>
      </c>
      <c r="C620" s="1" t="n">
        <v>45682</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45682</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57507-2021</t>
        </is>
      </c>
      <c r="B622" s="1" t="n">
        <v>44483</v>
      </c>
      <c r="C622" s="1" t="n">
        <v>45682</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v>
      </c>
      <c r="C623" s="1" t="n">
        <v>45682</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58990-2021</t>
        </is>
      </c>
      <c r="B624" s="1" t="n">
        <v>44490</v>
      </c>
      <c r="C624" s="1" t="n">
        <v>45682</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v>
      </c>
      <c r="C625" s="1" t="n">
        <v>45682</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60184-2021</t>
        </is>
      </c>
      <c r="B626" s="1" t="n">
        <v>44495</v>
      </c>
      <c r="C626" s="1" t="n">
        <v>45682</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60186-2021</t>
        </is>
      </c>
      <c r="B627" s="1" t="n">
        <v>44495</v>
      </c>
      <c r="C627" s="1" t="n">
        <v>45682</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45682</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60671-2021</t>
        </is>
      </c>
      <c r="B629" s="1" t="n">
        <v>44496</v>
      </c>
      <c r="C629" s="1" t="n">
        <v>45682</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v>
      </c>
      <c r="C630" s="1" t="n">
        <v>45682</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60813-2021</t>
        </is>
      </c>
      <c r="B631" s="1" t="n">
        <v>44496</v>
      </c>
      <c r="C631" s="1" t="n">
        <v>45682</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60822-2021</t>
        </is>
      </c>
      <c r="B632" s="1" t="n">
        <v>44496</v>
      </c>
      <c r="C632" s="1" t="n">
        <v>45682</v>
      </c>
      <c r="D632" t="inlineStr">
        <is>
          <t>STOCKHOLMS LÄN</t>
        </is>
      </c>
      <c r="E632" t="inlineStr">
        <is>
          <t>NORRTÄLJE</t>
        </is>
      </c>
      <c r="G632" t="n">
        <v>7.6</v>
      </c>
      <c r="H632" t="n">
        <v>0</v>
      </c>
      <c r="I632" t="n">
        <v>0</v>
      </c>
      <c r="J632" t="n">
        <v>0</v>
      </c>
      <c r="K632" t="n">
        <v>0</v>
      </c>
      <c r="L632" t="n">
        <v>0</v>
      </c>
      <c r="M632" t="n">
        <v>0</v>
      </c>
      <c r="N632" t="n">
        <v>0</v>
      </c>
      <c r="O632" t="n">
        <v>0</v>
      </c>
      <c r="P632" t="n">
        <v>0</v>
      </c>
      <c r="Q632" t="n">
        <v>0</v>
      </c>
      <c r="R632" s="2" t="inlineStr"/>
    </row>
    <row r="633" ht="15" customHeight="1">
      <c r="A633" t="inlineStr">
        <is>
          <t>A 62030-2021</t>
        </is>
      </c>
      <c r="B633" s="1" t="n">
        <v>44502</v>
      </c>
      <c r="C633" s="1" t="n">
        <v>45682</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63530-2021</t>
        </is>
      </c>
      <c r="B634" s="1" t="n">
        <v>44508</v>
      </c>
      <c r="C634" s="1" t="n">
        <v>45682</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64137-2021</t>
        </is>
      </c>
      <c r="B635" s="1" t="n">
        <v>44510</v>
      </c>
      <c r="C635" s="1" t="n">
        <v>45682</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64212-2021</t>
        </is>
      </c>
      <c r="B636" s="1" t="n">
        <v>44510</v>
      </c>
      <c r="C636" s="1" t="n">
        <v>45682</v>
      </c>
      <c r="D636" t="inlineStr">
        <is>
          <t>STOCKHOLMS LÄN</t>
        </is>
      </c>
      <c r="E636" t="inlineStr">
        <is>
          <t>NORRTÄLJE</t>
        </is>
      </c>
      <c r="G636" t="n">
        <v>28.7</v>
      </c>
      <c r="H636" t="n">
        <v>0</v>
      </c>
      <c r="I636" t="n">
        <v>0</v>
      </c>
      <c r="J636" t="n">
        <v>0</v>
      </c>
      <c r="K636" t="n">
        <v>0</v>
      </c>
      <c r="L636" t="n">
        <v>0</v>
      </c>
      <c r="M636" t="n">
        <v>0</v>
      </c>
      <c r="N636" t="n">
        <v>0</v>
      </c>
      <c r="O636" t="n">
        <v>0</v>
      </c>
      <c r="P636" t="n">
        <v>0</v>
      </c>
      <c r="Q636" t="n">
        <v>0</v>
      </c>
      <c r="R636" s="2" t="inlineStr"/>
    </row>
    <row r="637" ht="15" customHeight="1">
      <c r="A637" t="inlineStr">
        <is>
          <t>A 64074-2021</t>
        </is>
      </c>
      <c r="B637" s="1" t="n">
        <v>44510</v>
      </c>
      <c r="C637" s="1" t="n">
        <v>45682</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64145-2021</t>
        </is>
      </c>
      <c r="B638" s="1" t="n">
        <v>44510</v>
      </c>
      <c r="C638" s="1" t="n">
        <v>45682</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64600-2021</t>
        </is>
      </c>
      <c r="B639" s="1" t="n">
        <v>44511</v>
      </c>
      <c r="C639" s="1" t="n">
        <v>45682</v>
      </c>
      <c r="D639" t="inlineStr">
        <is>
          <t>STOCKHOLMS LÄN</t>
        </is>
      </c>
      <c r="E639" t="inlineStr">
        <is>
          <t>NORRTÄLJE</t>
        </is>
      </c>
      <c r="G639" t="n">
        <v>6.2</v>
      </c>
      <c r="H639" t="n">
        <v>0</v>
      </c>
      <c r="I639" t="n">
        <v>0</v>
      </c>
      <c r="J639" t="n">
        <v>0</v>
      </c>
      <c r="K639" t="n">
        <v>0</v>
      </c>
      <c r="L639" t="n">
        <v>0</v>
      </c>
      <c r="M639" t="n">
        <v>0</v>
      </c>
      <c r="N639" t="n">
        <v>0</v>
      </c>
      <c r="O639" t="n">
        <v>0</v>
      </c>
      <c r="P639" t="n">
        <v>0</v>
      </c>
      <c r="Q639" t="n">
        <v>0</v>
      </c>
      <c r="R639" s="2" t="inlineStr"/>
    </row>
    <row r="640" ht="15" customHeight="1">
      <c r="A640" t="inlineStr">
        <is>
          <t>A 64599-2021</t>
        </is>
      </c>
      <c r="B640" s="1" t="n">
        <v>44511</v>
      </c>
      <c r="C640" s="1" t="n">
        <v>45682</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45682</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64915-2021</t>
        </is>
      </c>
      <c r="B642" s="1" t="n">
        <v>44512</v>
      </c>
      <c r="C642" s="1" t="n">
        <v>45682</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65359-2021</t>
        </is>
      </c>
      <c r="B643" s="1" t="n">
        <v>44515</v>
      </c>
      <c r="C643" s="1" t="n">
        <v>45682</v>
      </c>
      <c r="D643" t="inlineStr">
        <is>
          <t>STOCKHOLMS LÄN</t>
        </is>
      </c>
      <c r="E643" t="inlineStr">
        <is>
          <t>NORRTÄLJE</t>
        </is>
      </c>
      <c r="F643" t="inlineStr">
        <is>
          <t>Kyrkan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65499-2021</t>
        </is>
      </c>
      <c r="B644" s="1" t="n">
        <v>44516</v>
      </c>
      <c r="C644" s="1" t="n">
        <v>45682</v>
      </c>
      <c r="D644" t="inlineStr">
        <is>
          <t>STOCKHOLMS LÄN</t>
        </is>
      </c>
      <c r="E644" t="inlineStr">
        <is>
          <t>NORRTÄLJE</t>
        </is>
      </c>
      <c r="F644" t="inlineStr">
        <is>
          <t>Kommuner</t>
        </is>
      </c>
      <c r="G644" t="n">
        <v>5.2</v>
      </c>
      <c r="H644" t="n">
        <v>0</v>
      </c>
      <c r="I644" t="n">
        <v>0</v>
      </c>
      <c r="J644" t="n">
        <v>0</v>
      </c>
      <c r="K644" t="n">
        <v>0</v>
      </c>
      <c r="L644" t="n">
        <v>0</v>
      </c>
      <c r="M644" t="n">
        <v>0</v>
      </c>
      <c r="N644" t="n">
        <v>0</v>
      </c>
      <c r="O644" t="n">
        <v>0</v>
      </c>
      <c r="P644" t="n">
        <v>0</v>
      </c>
      <c r="Q644" t="n">
        <v>0</v>
      </c>
      <c r="R644" s="2" t="inlineStr"/>
    </row>
    <row r="645" ht="15" customHeight="1">
      <c r="A645" t="inlineStr">
        <is>
          <t>A 65513-2021</t>
        </is>
      </c>
      <c r="B645" s="1" t="n">
        <v>44516</v>
      </c>
      <c r="C645" s="1" t="n">
        <v>45682</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65511-2021</t>
        </is>
      </c>
      <c r="B646" s="1" t="n">
        <v>44516</v>
      </c>
      <c r="C646" s="1" t="n">
        <v>45682</v>
      </c>
      <c r="D646" t="inlineStr">
        <is>
          <t>STOCKHOLMS LÄN</t>
        </is>
      </c>
      <c r="E646" t="inlineStr">
        <is>
          <t>NORRTÄLJE</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65501-2021</t>
        </is>
      </c>
      <c r="B647" s="1" t="n">
        <v>44516</v>
      </c>
      <c r="C647" s="1" t="n">
        <v>45682</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65509-2021</t>
        </is>
      </c>
      <c r="B648" s="1" t="n">
        <v>44516</v>
      </c>
      <c r="C648" s="1" t="n">
        <v>45682</v>
      </c>
      <c r="D648" t="inlineStr">
        <is>
          <t>STOCKHOLMS LÄN</t>
        </is>
      </c>
      <c r="E648" t="inlineStr">
        <is>
          <t>NORRTÄLJE</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45682</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65737-2021</t>
        </is>
      </c>
      <c r="B650" s="1" t="n">
        <v>44516</v>
      </c>
      <c r="C650" s="1" t="n">
        <v>45682</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66450-2021</t>
        </is>
      </c>
      <c r="B651" s="1" t="n">
        <v>44518</v>
      </c>
      <c r="C651" s="1" t="n">
        <v>45682</v>
      </c>
      <c r="D651" t="inlineStr">
        <is>
          <t>STOCKHOLMS LÄN</t>
        </is>
      </c>
      <c r="E651" t="inlineStr">
        <is>
          <t>NORRTÄLJE</t>
        </is>
      </c>
      <c r="G651" t="n">
        <v>9.1</v>
      </c>
      <c r="H651" t="n">
        <v>0</v>
      </c>
      <c r="I651" t="n">
        <v>0</v>
      </c>
      <c r="J651" t="n">
        <v>0</v>
      </c>
      <c r="K651" t="n">
        <v>0</v>
      </c>
      <c r="L651" t="n">
        <v>0</v>
      </c>
      <c r="M651" t="n">
        <v>0</v>
      </c>
      <c r="N651" t="n">
        <v>0</v>
      </c>
      <c r="O651" t="n">
        <v>0</v>
      </c>
      <c r="P651" t="n">
        <v>0</v>
      </c>
      <c r="Q651" t="n">
        <v>0</v>
      </c>
      <c r="R651" s="2" t="inlineStr"/>
    </row>
    <row r="652" ht="15" customHeight="1">
      <c r="A652" t="inlineStr">
        <is>
          <t>A 66608-2021</t>
        </is>
      </c>
      <c r="B652" s="1" t="n">
        <v>44519</v>
      </c>
      <c r="C652" s="1" t="n">
        <v>45682</v>
      </c>
      <c r="D652" t="inlineStr">
        <is>
          <t>STOCKHOLMS LÄN</t>
        </is>
      </c>
      <c r="E652" t="inlineStr">
        <is>
          <t>NORRTÄLJE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66592-2021</t>
        </is>
      </c>
      <c r="B653" s="1" t="n">
        <v>44519</v>
      </c>
      <c r="C653" s="1" t="n">
        <v>45682</v>
      </c>
      <c r="D653" t="inlineStr">
        <is>
          <t>STOCKHOLMS LÄN</t>
        </is>
      </c>
      <c r="E653" t="inlineStr">
        <is>
          <t>NORRTÄLJE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66769-2021</t>
        </is>
      </c>
      <c r="B654" s="1" t="n">
        <v>44521</v>
      </c>
      <c r="C654" s="1" t="n">
        <v>45682</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67285-2021</t>
        </is>
      </c>
      <c r="B655" s="1" t="n">
        <v>44523</v>
      </c>
      <c r="C655" s="1" t="n">
        <v>45682</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67525-2021</t>
        </is>
      </c>
      <c r="B656" s="1" t="n">
        <v>44524</v>
      </c>
      <c r="C656" s="1" t="n">
        <v>45682</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45682</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45682</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67990-2021</t>
        </is>
      </c>
      <c r="B659" s="1" t="n">
        <v>44525</v>
      </c>
      <c r="C659" s="1" t="n">
        <v>45682</v>
      </c>
      <c r="D659" t="inlineStr">
        <is>
          <t>STOCKHOLMS LÄN</t>
        </is>
      </c>
      <c r="E659" t="inlineStr">
        <is>
          <t>NORRTÄLJE</t>
        </is>
      </c>
      <c r="F659" t="inlineStr">
        <is>
          <t>Sveaskog</t>
        </is>
      </c>
      <c r="G659" t="n">
        <v>7.8</v>
      </c>
      <c r="H659" t="n">
        <v>0</v>
      </c>
      <c r="I659" t="n">
        <v>0</v>
      </c>
      <c r="J659" t="n">
        <v>0</v>
      </c>
      <c r="K659" t="n">
        <v>0</v>
      </c>
      <c r="L659" t="n">
        <v>0</v>
      </c>
      <c r="M659" t="n">
        <v>0</v>
      </c>
      <c r="N659" t="n">
        <v>0</v>
      </c>
      <c r="O659" t="n">
        <v>0</v>
      </c>
      <c r="P659" t="n">
        <v>0</v>
      </c>
      <c r="Q659" t="n">
        <v>0</v>
      </c>
      <c r="R659" s="2" t="inlineStr"/>
    </row>
    <row r="660" ht="15" customHeight="1">
      <c r="A660" t="inlineStr">
        <is>
          <t>A 67992-2021</t>
        </is>
      </c>
      <c r="B660" s="1" t="n">
        <v>44525</v>
      </c>
      <c r="C660" s="1" t="n">
        <v>45682</v>
      </c>
      <c r="D660" t="inlineStr">
        <is>
          <t>STOCKHOLMS LÄN</t>
        </is>
      </c>
      <c r="E660" t="inlineStr">
        <is>
          <t>NORRTÄLJE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67993-2021</t>
        </is>
      </c>
      <c r="B661" s="1" t="n">
        <v>44525</v>
      </c>
      <c r="C661" s="1" t="n">
        <v>45682</v>
      </c>
      <c r="D661" t="inlineStr">
        <is>
          <t>STOCKHOLMS LÄN</t>
        </is>
      </c>
      <c r="E661" t="inlineStr">
        <is>
          <t>NORRTÄLJE</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45682</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v>
      </c>
      <c r="C663" s="1" t="n">
        <v>45682</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69034-2021</t>
        </is>
      </c>
      <c r="B664" s="1" t="n">
        <v>44529</v>
      </c>
      <c r="C664" s="1" t="n">
        <v>45682</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69539-2021</t>
        </is>
      </c>
      <c r="B665" s="1" t="n">
        <v>44531</v>
      </c>
      <c r="C665" s="1" t="n">
        <v>45682</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69723-2021</t>
        </is>
      </c>
      <c r="B666" s="1" t="n">
        <v>44532</v>
      </c>
      <c r="C666" s="1" t="n">
        <v>45682</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69816-2021</t>
        </is>
      </c>
      <c r="B667" s="1" t="n">
        <v>44532</v>
      </c>
      <c r="C667" s="1" t="n">
        <v>45682</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70170-2021</t>
        </is>
      </c>
      <c r="B668" s="1" t="n">
        <v>44533</v>
      </c>
      <c r="C668" s="1" t="n">
        <v>45682</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69988-2021</t>
        </is>
      </c>
      <c r="B669" s="1" t="n">
        <v>44533</v>
      </c>
      <c r="C669" s="1" t="n">
        <v>45682</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70469-2021</t>
        </is>
      </c>
      <c r="B670" s="1" t="n">
        <v>44536</v>
      </c>
      <c r="C670" s="1" t="n">
        <v>45682</v>
      </c>
      <c r="D670" t="inlineStr">
        <is>
          <t>STOCKHOLMS LÄN</t>
        </is>
      </c>
      <c r="E670" t="inlineStr">
        <is>
          <t>NORRTÄLJE</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71325-2021</t>
        </is>
      </c>
      <c r="B671" s="1" t="n">
        <v>44539</v>
      </c>
      <c r="C671" s="1" t="n">
        <v>45682</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71552-2021</t>
        </is>
      </c>
      <c r="B672" s="1" t="n">
        <v>44540</v>
      </c>
      <c r="C672" s="1" t="n">
        <v>45682</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71479-2021</t>
        </is>
      </c>
      <c r="B673" s="1" t="n">
        <v>44540</v>
      </c>
      <c r="C673" s="1" t="n">
        <v>45682</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71543-2021</t>
        </is>
      </c>
      <c r="B674" s="1" t="n">
        <v>44540</v>
      </c>
      <c r="C674" s="1" t="n">
        <v>45682</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45682</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71876-2021</t>
        </is>
      </c>
      <c r="B676" s="1" t="n">
        <v>44543</v>
      </c>
      <c r="C676" s="1" t="n">
        <v>45682</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45682</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45682</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71878-2021</t>
        </is>
      </c>
      <c r="B679" s="1" t="n">
        <v>44543</v>
      </c>
      <c r="C679" s="1" t="n">
        <v>45682</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72085-2021</t>
        </is>
      </c>
      <c r="B680" s="1" t="n">
        <v>44544</v>
      </c>
      <c r="C680" s="1" t="n">
        <v>45682</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72202-2021</t>
        </is>
      </c>
      <c r="B681" s="1" t="n">
        <v>44544</v>
      </c>
      <c r="C681" s="1" t="n">
        <v>45682</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72308-2021</t>
        </is>
      </c>
      <c r="B682" s="1" t="n">
        <v>44545</v>
      </c>
      <c r="C682" s="1" t="n">
        <v>45682</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72343-2021</t>
        </is>
      </c>
      <c r="B683" s="1" t="n">
        <v>44545</v>
      </c>
      <c r="C683" s="1" t="n">
        <v>45682</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72357-2021</t>
        </is>
      </c>
      <c r="B684" s="1" t="n">
        <v>44545</v>
      </c>
      <c r="C684" s="1" t="n">
        <v>45682</v>
      </c>
      <c r="D684" t="inlineStr">
        <is>
          <t>STOCKHOLMS LÄN</t>
        </is>
      </c>
      <c r="E684" t="inlineStr">
        <is>
          <t>NORRTÄLJE</t>
        </is>
      </c>
      <c r="G684" t="n">
        <v>5.1</v>
      </c>
      <c r="H684" t="n">
        <v>0</v>
      </c>
      <c r="I684" t="n">
        <v>0</v>
      </c>
      <c r="J684" t="n">
        <v>0</v>
      </c>
      <c r="K684" t="n">
        <v>0</v>
      </c>
      <c r="L684" t="n">
        <v>0</v>
      </c>
      <c r="M684" t="n">
        <v>0</v>
      </c>
      <c r="N684" t="n">
        <v>0</v>
      </c>
      <c r="O684" t="n">
        <v>0</v>
      </c>
      <c r="P684" t="n">
        <v>0</v>
      </c>
      <c r="Q684" t="n">
        <v>0</v>
      </c>
      <c r="R684" s="2" t="inlineStr"/>
    </row>
    <row r="685" ht="15" customHeight="1">
      <c r="A685" t="inlineStr">
        <is>
          <t>A 72355-2021</t>
        </is>
      </c>
      <c r="B685" s="1" t="n">
        <v>44545</v>
      </c>
      <c r="C685" s="1" t="n">
        <v>45682</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72353-2021</t>
        </is>
      </c>
      <c r="B686" s="1" t="n">
        <v>44545</v>
      </c>
      <c r="C686" s="1" t="n">
        <v>45682</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72747-2021</t>
        </is>
      </c>
      <c r="B687" s="1" t="n">
        <v>44546</v>
      </c>
      <c r="C687" s="1" t="n">
        <v>45682</v>
      </c>
      <c r="D687" t="inlineStr">
        <is>
          <t>STOCKHOLMS LÄN</t>
        </is>
      </c>
      <c r="E687" t="inlineStr">
        <is>
          <t>NORRTÄLJE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45682</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72890-2021</t>
        </is>
      </c>
      <c r="B689" s="1" t="n">
        <v>44547</v>
      </c>
      <c r="C689" s="1" t="n">
        <v>45682</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73311-2021</t>
        </is>
      </c>
      <c r="B690" s="1" t="n">
        <v>44549</v>
      </c>
      <c r="C690" s="1" t="n">
        <v>45682</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73307-2021</t>
        </is>
      </c>
      <c r="B691" s="1" t="n">
        <v>44549</v>
      </c>
      <c r="C691" s="1" t="n">
        <v>45682</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73271-2021</t>
        </is>
      </c>
      <c r="B692" s="1" t="n">
        <v>44550</v>
      </c>
      <c r="C692" s="1" t="n">
        <v>45682</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73504-2021</t>
        </is>
      </c>
      <c r="B693" s="1" t="n">
        <v>44551</v>
      </c>
      <c r="C693" s="1" t="n">
        <v>45682</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73855-2021</t>
        </is>
      </c>
      <c r="B694" s="1" t="n">
        <v>44552</v>
      </c>
      <c r="C694" s="1" t="n">
        <v>45682</v>
      </c>
      <c r="D694" t="inlineStr">
        <is>
          <t>STOCKHOLMS LÄN</t>
        </is>
      </c>
      <c r="E694" t="inlineStr">
        <is>
          <t>NORRTÄLJE</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73992-2021</t>
        </is>
      </c>
      <c r="B695" s="1" t="n">
        <v>44556</v>
      </c>
      <c r="C695" s="1" t="n">
        <v>45682</v>
      </c>
      <c r="D695" t="inlineStr">
        <is>
          <t>STOCKHOLMS LÄN</t>
        </is>
      </c>
      <c r="E695" t="inlineStr">
        <is>
          <t>NORRTÄLJE</t>
        </is>
      </c>
      <c r="G695" t="n">
        <v>12.5</v>
      </c>
      <c r="H695" t="n">
        <v>0</v>
      </c>
      <c r="I695" t="n">
        <v>0</v>
      </c>
      <c r="J695" t="n">
        <v>0</v>
      </c>
      <c r="K695" t="n">
        <v>0</v>
      </c>
      <c r="L695" t="n">
        <v>0</v>
      </c>
      <c r="M695" t="n">
        <v>0</v>
      </c>
      <c r="N695" t="n">
        <v>0</v>
      </c>
      <c r="O695" t="n">
        <v>0</v>
      </c>
      <c r="P695" t="n">
        <v>0</v>
      </c>
      <c r="Q695" t="n">
        <v>0</v>
      </c>
      <c r="R695" s="2" t="inlineStr"/>
    </row>
    <row r="696" ht="15" customHeight="1">
      <c r="A696" t="inlineStr">
        <is>
          <t>A 73993-2021</t>
        </is>
      </c>
      <c r="B696" s="1" t="n">
        <v>44556</v>
      </c>
      <c r="C696" s="1" t="n">
        <v>45682</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74468-2021</t>
        </is>
      </c>
      <c r="B697" s="1" t="n">
        <v>44560</v>
      </c>
      <c r="C697" s="1" t="n">
        <v>45682</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185-2022</t>
        </is>
      </c>
      <c r="B698" s="1" t="n">
        <v>44564</v>
      </c>
      <c r="C698" s="1" t="n">
        <v>45682</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190-2022</t>
        </is>
      </c>
      <c r="B699" s="1" t="n">
        <v>44564</v>
      </c>
      <c r="C699" s="1" t="n">
        <v>45682</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187-2022</t>
        </is>
      </c>
      <c r="B700" s="1" t="n">
        <v>44564</v>
      </c>
      <c r="C700" s="1" t="n">
        <v>45682</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77-2022</t>
        </is>
      </c>
      <c r="B701" s="1" t="n">
        <v>44564</v>
      </c>
      <c r="C701" s="1" t="n">
        <v>45682</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45682</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45682</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45682</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45682</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45682</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45682</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45682</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45682</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45682</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45682</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45682</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45682</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45682</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45682</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45682</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45682</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45682</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45682</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45682</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45682</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45682</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45682</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45682</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45682</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45682</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45682</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45682</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45682</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45682</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45682</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45682</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45682</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45682</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45682</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45682</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45682</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45682</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45682</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45682</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45682</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45682</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45682</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45682</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45682</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45682</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45682</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45682</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45682</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45682</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45682</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45682</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45682</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45682</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45682</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45682</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45682</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45682</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45682</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45682</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45682</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45682</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45682</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45682</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45682</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45682</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45682</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45682</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45682</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45682</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45682</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45682</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45682</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45682</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45682</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45682</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45682</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45682</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45682</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45682</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45682</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45682</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45682</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45682</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45682</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45682</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45682</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45682</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45682</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45682</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45682</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45682</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45682</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45682</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45682</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45682</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45682</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45682</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45682</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45682</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45682</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45682</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45682</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45682</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45682</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45682</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45682</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45682</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45682</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45682</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45682</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45682</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45682</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45682</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45682</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45682</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45682</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45682</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45682</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45682</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45682</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45682</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45682</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45682</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45682</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45682</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45682</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45682</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45682</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45682</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45682</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45682</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45682</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45682</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45682</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45682</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45682</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45682</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45682</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45682</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45682</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45682</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45682</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45682</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45682</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45682</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45682</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45682</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45682</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45682</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45682</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45682</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45682</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45682</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45682</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45682</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45682</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45682</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45682</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45682</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45682</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45682</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45682</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45682</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45682</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45682</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45682</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45682</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45682</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45682</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45682</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45682</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45682</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45682</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45682</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45682</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45682</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45682</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45682</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45682</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45682</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45682</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45682</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45682</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45682</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45682</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45682</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45682</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45682</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45682</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45682</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45682</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45682</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45682</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45682</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45682</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45682</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45682</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45682</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45682</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45682</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45682</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45682</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45682</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45682</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45682</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45682</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45682</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45682</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45682</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45682</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45682</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45682</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45682</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45682</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45682</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45682</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45682</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45682</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45682</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45682</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45682</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45682</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45682</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45682</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45682</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45682</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45682</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45682</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45682</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45682</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45682</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45682</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45682</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45682</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45682</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45682</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45682</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45682</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45682</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45682</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45682</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45682</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45682</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45682</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45682</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45682</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45682</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45682</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45682</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45682</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45682</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45682</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45682</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45682</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45682</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45682</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45682</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45682</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45682</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45682</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45682</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45682</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45682</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45682</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45682</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45682</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45682</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45682</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45682</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45682</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45682</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45682</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45682</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45682</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45682</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45682</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45682</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45682</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45682</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45682</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45682</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45682</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45682</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45682</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45682</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45682</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45682</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45682</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45682</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45682</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45682</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45682</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45682</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45682</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45682</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45682</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45682</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45682</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45682</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45682</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45682</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45682</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45682</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45682</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45682</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45682</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45682</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45682</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45682</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45682</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45682</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45682</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45682</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45682</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45682</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45682</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45682</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45682</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45682</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45682</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45682</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45682</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45682</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45682</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45682</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45682</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45682</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45682</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45682</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45682</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45682</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45682</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45682</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45682</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45682</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45682</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45682</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45682</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45682</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45682</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45682</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45682</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45682</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45682</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45682</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45682</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45682</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45682</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45682</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45682</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45682</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45682</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45682</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45682</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45682</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45682</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45682</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45682</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45682</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45682</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45682</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45682</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45682</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45682</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45682</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45682</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45682</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45682</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45682</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45682</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45682</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45682</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45682</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45682</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45682</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45682</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45682</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45682</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45682</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45682</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45682</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45682</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45682</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45682</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45682</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45682</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45682</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45682</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45682</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45682</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45682</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45682</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45682</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45682</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45682</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45682</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45682</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45682</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45682</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45682</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45682</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45682</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45682</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45682</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45682</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45682</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45682</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45682</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45682</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45682</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45682</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45682</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45682</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45682</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45682</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45682</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45682</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45682</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45682</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45682</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45682</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45682</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45682</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45682</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45682</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45682</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45682</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45682</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45682</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45682</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45682</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45682</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45682</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45682</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45682</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45682</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45682</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45682</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45682</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45682</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45682</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45682</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45682</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45682</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45682</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45682</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45682</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45682</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45682</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45682</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45682</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45682</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45682</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45682</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45682</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45682</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45682</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45682</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45682</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45682</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45682</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45682</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45682</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45682</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45682</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45682</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45682</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45682</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45682</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45682</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45682</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45682</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45682</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45682</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45682</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45682</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45682</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45682</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45682</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45682</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45682</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45682</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45682</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45682</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45682</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45682</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45682</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45682</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45682</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45682</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45682</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45682</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45682</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45682</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45682</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45682</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45682</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45682</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45682</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45682</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45682</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45682</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45682</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45682</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45682</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45682</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45682</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45682</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45682</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45682</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45682</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45682</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45682</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45682</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45682</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45682</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45682</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45682</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45682</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45682</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45682</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45682</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45682</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45682</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45682</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45682</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45682</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45682</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45682</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45682</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45682</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45682</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45682</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45682</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45682</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45682</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45682</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45682</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45682</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45682</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45682</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45682</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45682</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45682</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45682</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45682</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45682</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45682</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45682</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45682</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45682</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45682</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45682</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45682</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45682</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45682</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45682</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45682</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45682</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45682</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45682</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45682</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45682</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45682</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45682</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45682</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45682</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45682</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45682</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45682</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45682</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45682</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45682</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45682</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45682</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45682</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45682</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45682</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45682</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45682</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45682</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45682</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45682</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45682</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45682</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45682</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45682</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45682</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45682</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45682</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45682</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45682</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45682</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45682</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45682</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45682</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45682</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45682</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45682</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45682</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45682</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45682</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45682</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45682</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45682</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45682</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45682</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45682</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45682</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39255-2023</t>
        </is>
      </c>
      <c r="B1311" s="1" t="n">
        <v>45166</v>
      </c>
      <c r="C1311" s="1" t="n">
        <v>45682</v>
      </c>
      <c r="D1311" t="inlineStr">
        <is>
          <t>STOCKHOLMS LÄN</t>
        </is>
      </c>
      <c r="E1311" t="inlineStr">
        <is>
          <t>NORRTÄLJE</t>
        </is>
      </c>
      <c r="G1311" t="n">
        <v>14.2</v>
      </c>
      <c r="H1311" t="n">
        <v>0</v>
      </c>
      <c r="I1311" t="n">
        <v>0</v>
      </c>
      <c r="J1311" t="n">
        <v>0</v>
      </c>
      <c r="K1311" t="n">
        <v>0</v>
      </c>
      <c r="L1311" t="n">
        <v>0</v>
      </c>
      <c r="M1311" t="n">
        <v>0</v>
      </c>
      <c r="N1311" t="n">
        <v>0</v>
      </c>
      <c r="O1311" t="n">
        <v>0</v>
      </c>
      <c r="P1311" t="n">
        <v>0</v>
      </c>
      <c r="Q1311" t="n">
        <v>0</v>
      </c>
      <c r="R1311" s="2" t="inlineStr"/>
    </row>
    <row r="1312" ht="15" customHeight="1">
      <c r="A1312" t="inlineStr">
        <is>
          <t>A 39879-2023</t>
        </is>
      </c>
      <c r="B1312" s="1" t="n">
        <v>45168</v>
      </c>
      <c r="C1312" s="1" t="n">
        <v>45682</v>
      </c>
      <c r="D1312" t="inlineStr">
        <is>
          <t>STOCKHOLMS LÄN</t>
        </is>
      </c>
      <c r="E1312" t="inlineStr">
        <is>
          <t>NORRTÄLJE</t>
        </is>
      </c>
      <c r="F1312" t="inlineStr">
        <is>
          <t>Holmen skog AB</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39905-2023</t>
        </is>
      </c>
      <c r="B1313" s="1" t="n">
        <v>45168</v>
      </c>
      <c r="C1313" s="1" t="n">
        <v>45682</v>
      </c>
      <c r="D1313" t="inlineStr">
        <is>
          <t>STOCKHOLMS LÄN</t>
        </is>
      </c>
      <c r="E1313" t="inlineStr">
        <is>
          <t>NORRTÄLJE</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40139-2023</t>
        </is>
      </c>
      <c r="B1314" s="1" t="n">
        <v>45169</v>
      </c>
      <c r="C1314" s="1" t="n">
        <v>45682</v>
      </c>
      <c r="D1314" t="inlineStr">
        <is>
          <t>STOCKHOLMS LÄN</t>
        </is>
      </c>
      <c r="E1314" t="inlineStr">
        <is>
          <t>NORRTÄLJE</t>
        </is>
      </c>
      <c r="F1314" t="inlineStr">
        <is>
          <t>Kyrkan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40192-2023</t>
        </is>
      </c>
      <c r="B1315" s="1" t="n">
        <v>45169</v>
      </c>
      <c r="C1315" s="1" t="n">
        <v>45682</v>
      </c>
      <c r="D1315" t="inlineStr">
        <is>
          <t>STOCKHOLMS LÄN</t>
        </is>
      </c>
      <c r="E1315" t="inlineStr">
        <is>
          <t>NORRTÄLJE</t>
        </is>
      </c>
      <c r="F1315" t="inlineStr">
        <is>
          <t>Kyrkan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40161-2023</t>
        </is>
      </c>
      <c r="B1316" s="1" t="n">
        <v>45169</v>
      </c>
      <c r="C1316" s="1" t="n">
        <v>45682</v>
      </c>
      <c r="D1316" t="inlineStr">
        <is>
          <t>STOCKHOLMS LÄN</t>
        </is>
      </c>
      <c r="E1316" t="inlineStr">
        <is>
          <t>NORRTÄLJE</t>
        </is>
      </c>
      <c r="F1316" t="inlineStr">
        <is>
          <t>Kyrkan</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40190-2023</t>
        </is>
      </c>
      <c r="B1317" s="1" t="n">
        <v>45169</v>
      </c>
      <c r="C1317" s="1" t="n">
        <v>45682</v>
      </c>
      <c r="D1317" t="inlineStr">
        <is>
          <t>STOCKHOLMS LÄN</t>
        </is>
      </c>
      <c r="E1317" t="inlineStr">
        <is>
          <t>NORRTÄLJE</t>
        </is>
      </c>
      <c r="F1317" t="inlineStr">
        <is>
          <t>Kyrkan</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40379-2023</t>
        </is>
      </c>
      <c r="B1318" s="1" t="n">
        <v>45169</v>
      </c>
      <c r="C1318" s="1" t="n">
        <v>45682</v>
      </c>
      <c r="D1318" t="inlineStr">
        <is>
          <t>STOCKHOLMS LÄN</t>
        </is>
      </c>
      <c r="E1318" t="inlineStr">
        <is>
          <t>NORRTÄLJE</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41172-2023</t>
        </is>
      </c>
      <c r="B1319" s="1" t="n">
        <v>45170</v>
      </c>
      <c r="C1319" s="1" t="n">
        <v>45682</v>
      </c>
      <c r="D1319" t="inlineStr">
        <is>
          <t>STOCKHOLMS LÄN</t>
        </is>
      </c>
      <c r="E1319" t="inlineStr">
        <is>
          <t>NORRTÄLJE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40995-2023</t>
        </is>
      </c>
      <c r="B1320" s="1" t="n">
        <v>45173</v>
      </c>
      <c r="C1320" s="1" t="n">
        <v>45682</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41335-2023</t>
        </is>
      </c>
      <c r="B1321" s="1" t="n">
        <v>45174</v>
      </c>
      <c r="C1321" s="1" t="n">
        <v>45682</v>
      </c>
      <c r="D1321" t="inlineStr">
        <is>
          <t>STOCKHOLMS LÄN</t>
        </is>
      </c>
      <c r="E1321" t="inlineStr">
        <is>
          <t>NORRTÄLJE</t>
        </is>
      </c>
      <c r="F1321" t="inlineStr">
        <is>
          <t>Holmen skog AB</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41587-2023</t>
        </is>
      </c>
      <c r="B1322" s="1" t="n">
        <v>45175</v>
      </c>
      <c r="C1322" s="1" t="n">
        <v>45682</v>
      </c>
      <c r="D1322" t="inlineStr">
        <is>
          <t>STOCKHOLMS LÄN</t>
        </is>
      </c>
      <c r="E1322" t="inlineStr">
        <is>
          <t>NORRTÄLJE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41716-2023</t>
        </is>
      </c>
      <c r="B1323" s="1" t="n">
        <v>45176</v>
      </c>
      <c r="C1323" s="1" t="n">
        <v>45682</v>
      </c>
      <c r="D1323" t="inlineStr">
        <is>
          <t>STOCKHOLMS LÄN</t>
        </is>
      </c>
      <c r="E1323" t="inlineStr">
        <is>
          <t>NORRTÄLJE</t>
        </is>
      </c>
      <c r="F1323" t="inlineStr">
        <is>
          <t>Kyrkan</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41715-2023</t>
        </is>
      </c>
      <c r="B1324" s="1" t="n">
        <v>45176</v>
      </c>
      <c r="C1324" s="1" t="n">
        <v>45682</v>
      </c>
      <c r="D1324" t="inlineStr">
        <is>
          <t>STOCKHOLMS LÄN</t>
        </is>
      </c>
      <c r="E1324" t="inlineStr">
        <is>
          <t>NORRTÄLJE</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41880-2023</t>
        </is>
      </c>
      <c r="B1325" s="1" t="n">
        <v>45176</v>
      </c>
      <c r="C1325" s="1" t="n">
        <v>45682</v>
      </c>
      <c r="D1325" t="inlineStr">
        <is>
          <t>STOCKHOLMS LÄN</t>
        </is>
      </c>
      <c r="E1325" t="inlineStr">
        <is>
          <t>NORRTÄLJE</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42094-2023</t>
        </is>
      </c>
      <c r="B1326" s="1" t="n">
        <v>45177</v>
      </c>
      <c r="C1326" s="1" t="n">
        <v>45682</v>
      </c>
      <c r="D1326" t="inlineStr">
        <is>
          <t>STOCKHOLMS LÄN</t>
        </is>
      </c>
      <c r="E1326" t="inlineStr">
        <is>
          <t>NORRTÄLJE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42075-2023</t>
        </is>
      </c>
      <c r="B1327" s="1" t="n">
        <v>45177</v>
      </c>
      <c r="C1327" s="1" t="n">
        <v>45682</v>
      </c>
      <c r="D1327" t="inlineStr">
        <is>
          <t>STOCKHOLMS LÄN</t>
        </is>
      </c>
      <c r="E1327" t="inlineStr">
        <is>
          <t>NORRTÄLJE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42199-2023</t>
        </is>
      </c>
      <c r="B1328" s="1" t="n">
        <v>45179</v>
      </c>
      <c r="C1328" s="1" t="n">
        <v>45682</v>
      </c>
      <c r="D1328" t="inlineStr">
        <is>
          <t>STOCKHOLMS LÄN</t>
        </is>
      </c>
      <c r="E1328" t="inlineStr">
        <is>
          <t>NORRTÄLJE</t>
        </is>
      </c>
      <c r="F1328" t="inlineStr">
        <is>
          <t>Sveaskog</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42200-2023</t>
        </is>
      </c>
      <c r="B1329" s="1" t="n">
        <v>45179</v>
      </c>
      <c r="C1329" s="1" t="n">
        <v>45682</v>
      </c>
      <c r="D1329" t="inlineStr">
        <is>
          <t>STOCKHOLMS LÄN</t>
        </is>
      </c>
      <c r="E1329" t="inlineStr">
        <is>
          <t>NORRTÄLJE</t>
        </is>
      </c>
      <c r="F1329" t="inlineStr">
        <is>
          <t>Sveaskog</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42765-2023</t>
        </is>
      </c>
      <c r="B1330" s="1" t="n">
        <v>45181</v>
      </c>
      <c r="C1330" s="1" t="n">
        <v>45682</v>
      </c>
      <c r="D1330" t="inlineStr">
        <is>
          <t>STOCKHOLMS LÄN</t>
        </is>
      </c>
      <c r="E1330" t="inlineStr">
        <is>
          <t>NORRTÄLJE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42775-2023</t>
        </is>
      </c>
      <c r="B1331" s="1" t="n">
        <v>45181</v>
      </c>
      <c r="C1331" s="1" t="n">
        <v>45682</v>
      </c>
      <c r="D1331" t="inlineStr">
        <is>
          <t>STOCKHOLMS LÄN</t>
        </is>
      </c>
      <c r="E1331" t="inlineStr">
        <is>
          <t>NORRTÄLJE</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42948-2023</t>
        </is>
      </c>
      <c r="B1332" s="1" t="n">
        <v>45182</v>
      </c>
      <c r="C1332" s="1" t="n">
        <v>45682</v>
      </c>
      <c r="D1332" t="inlineStr">
        <is>
          <t>STOCKHOLMS LÄN</t>
        </is>
      </c>
      <c r="E1332" t="inlineStr">
        <is>
          <t>NORRTÄLJE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42977-2023</t>
        </is>
      </c>
      <c r="B1333" s="1" t="n">
        <v>45182</v>
      </c>
      <c r="C1333" s="1" t="n">
        <v>45682</v>
      </c>
      <c r="D1333" t="inlineStr">
        <is>
          <t>STOCKHOLMS LÄN</t>
        </is>
      </c>
      <c r="E1333" t="inlineStr">
        <is>
          <t>NORRTÄLJE</t>
        </is>
      </c>
      <c r="F1333" t="inlineStr">
        <is>
          <t>Sveaskog</t>
        </is>
      </c>
      <c r="G1333" t="n">
        <v>11.8</v>
      </c>
      <c r="H1333" t="n">
        <v>0</v>
      </c>
      <c r="I1333" t="n">
        <v>0</v>
      </c>
      <c r="J1333" t="n">
        <v>0</v>
      </c>
      <c r="K1333" t="n">
        <v>0</v>
      </c>
      <c r="L1333" t="n">
        <v>0</v>
      </c>
      <c r="M1333" t="n">
        <v>0</v>
      </c>
      <c r="N1333" t="n">
        <v>0</v>
      </c>
      <c r="O1333" t="n">
        <v>0</v>
      </c>
      <c r="P1333" t="n">
        <v>0</v>
      </c>
      <c r="Q1333" t="n">
        <v>0</v>
      </c>
      <c r="R1333" s="2" t="inlineStr"/>
    </row>
    <row r="1334" ht="15" customHeight="1">
      <c r="A1334" t="inlineStr">
        <is>
          <t>A 43140-2023</t>
        </is>
      </c>
      <c r="B1334" s="1" t="n">
        <v>45183</v>
      </c>
      <c r="C1334" s="1" t="n">
        <v>45682</v>
      </c>
      <c r="D1334" t="inlineStr">
        <is>
          <t>STOCKHOLMS LÄN</t>
        </is>
      </c>
      <c r="E1334" t="inlineStr">
        <is>
          <t>NORRTÄLJE</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43207-2023</t>
        </is>
      </c>
      <c r="B1335" s="1" t="n">
        <v>45183</v>
      </c>
      <c r="C1335" s="1" t="n">
        <v>45682</v>
      </c>
      <c r="D1335" t="inlineStr">
        <is>
          <t>STOCKHOLMS LÄN</t>
        </is>
      </c>
      <c r="E1335" t="inlineStr">
        <is>
          <t>NORRTÄLJE</t>
        </is>
      </c>
      <c r="F1335" t="inlineStr">
        <is>
          <t>Kyrkan</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43150-2023</t>
        </is>
      </c>
      <c r="B1336" s="1" t="n">
        <v>45183</v>
      </c>
      <c r="C1336" s="1" t="n">
        <v>45682</v>
      </c>
      <c r="D1336" t="inlineStr">
        <is>
          <t>STOCKHOLMS LÄN</t>
        </is>
      </c>
      <c r="E1336" t="inlineStr">
        <is>
          <t>NORRTÄLJE</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43170-2023</t>
        </is>
      </c>
      <c r="B1337" s="1" t="n">
        <v>45183</v>
      </c>
      <c r="C1337" s="1" t="n">
        <v>45682</v>
      </c>
      <c r="D1337" t="inlineStr">
        <is>
          <t>STOCKHOLMS LÄN</t>
        </is>
      </c>
      <c r="E1337" t="inlineStr">
        <is>
          <t>NORRTÄLJE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43289-2023</t>
        </is>
      </c>
      <c r="B1338" s="1" t="n">
        <v>45183</v>
      </c>
      <c r="C1338" s="1" t="n">
        <v>45682</v>
      </c>
      <c r="D1338" t="inlineStr">
        <is>
          <t>STOCKHOLMS LÄN</t>
        </is>
      </c>
      <c r="E1338" t="inlineStr">
        <is>
          <t>NORRTÄLJE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43300-2023</t>
        </is>
      </c>
      <c r="B1339" s="1" t="n">
        <v>45183</v>
      </c>
      <c r="C1339" s="1" t="n">
        <v>45682</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43638-2023</t>
        </is>
      </c>
      <c r="B1340" s="1" t="n">
        <v>45186</v>
      </c>
      <c r="C1340" s="1" t="n">
        <v>45682</v>
      </c>
      <c r="D1340" t="inlineStr">
        <is>
          <t>STOCKHOLMS LÄN</t>
        </is>
      </c>
      <c r="E1340" t="inlineStr">
        <is>
          <t>NORRTÄLJE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43684-2023</t>
        </is>
      </c>
      <c r="B1341" s="1" t="n">
        <v>45187</v>
      </c>
      <c r="C1341" s="1" t="n">
        <v>45682</v>
      </c>
      <c r="D1341" t="inlineStr">
        <is>
          <t>STOCKHOLMS LÄN</t>
        </is>
      </c>
      <c r="E1341" t="inlineStr">
        <is>
          <t>NORRTÄLJE</t>
        </is>
      </c>
      <c r="F1341" t="inlineStr">
        <is>
          <t>Holmen skog AB</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43836-2023</t>
        </is>
      </c>
      <c r="B1342" s="1" t="n">
        <v>45187</v>
      </c>
      <c r="C1342" s="1" t="n">
        <v>45682</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43710-2023</t>
        </is>
      </c>
      <c r="B1343" s="1" t="n">
        <v>45187</v>
      </c>
      <c r="C1343" s="1" t="n">
        <v>45682</v>
      </c>
      <c r="D1343" t="inlineStr">
        <is>
          <t>STOCKHOLMS LÄN</t>
        </is>
      </c>
      <c r="E1343" t="inlineStr">
        <is>
          <t>NORRTÄLJE</t>
        </is>
      </c>
      <c r="F1343" t="inlineStr">
        <is>
          <t>Holmen skog AB</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44891-2023</t>
        </is>
      </c>
      <c r="B1344" s="1" t="n">
        <v>45187</v>
      </c>
      <c r="C1344" s="1" t="n">
        <v>45682</v>
      </c>
      <c r="D1344" t="inlineStr">
        <is>
          <t>STOCKHOLMS LÄN</t>
        </is>
      </c>
      <c r="E1344" t="inlineStr">
        <is>
          <t>NORRTÄLJE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44885-2023</t>
        </is>
      </c>
      <c r="B1345" s="1" t="n">
        <v>45187</v>
      </c>
      <c r="C1345" s="1" t="n">
        <v>45682</v>
      </c>
      <c r="D1345" t="inlineStr">
        <is>
          <t>STOCKHOLMS LÄN</t>
        </is>
      </c>
      <c r="E1345" t="inlineStr">
        <is>
          <t>NORRTÄLJE</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44075-2023</t>
        </is>
      </c>
      <c r="B1346" s="1" t="n">
        <v>45188</v>
      </c>
      <c r="C1346" s="1" t="n">
        <v>45682</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44154-2023</t>
        </is>
      </c>
      <c r="B1347" s="1" t="n">
        <v>45188</v>
      </c>
      <c r="C1347" s="1" t="n">
        <v>45682</v>
      </c>
      <c r="D1347" t="inlineStr">
        <is>
          <t>STOCKHOLMS LÄN</t>
        </is>
      </c>
      <c r="E1347" t="inlineStr">
        <is>
          <t>NORRTÄLJE</t>
        </is>
      </c>
      <c r="F1347" t="inlineStr">
        <is>
          <t>Holmen skog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44571-2023</t>
        </is>
      </c>
      <c r="B1348" s="1" t="n">
        <v>45189</v>
      </c>
      <c r="C1348" s="1" t="n">
        <v>45682</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44836-2023</t>
        </is>
      </c>
      <c r="B1349" s="1" t="n">
        <v>45190</v>
      </c>
      <c r="C1349" s="1" t="n">
        <v>45682</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45173-2023</t>
        </is>
      </c>
      <c r="B1350" s="1" t="n">
        <v>45191</v>
      </c>
      <c r="C1350" s="1" t="n">
        <v>45682</v>
      </c>
      <c r="D1350" t="inlineStr">
        <is>
          <t>STOCKHOLMS LÄN</t>
        </is>
      </c>
      <c r="E1350" t="inlineStr">
        <is>
          <t>NORRTÄLJE</t>
        </is>
      </c>
      <c r="F1350" t="inlineStr">
        <is>
          <t>Sveaskog</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45174-2023</t>
        </is>
      </c>
      <c r="B1351" s="1" t="n">
        <v>45191</v>
      </c>
      <c r="C1351" s="1" t="n">
        <v>45682</v>
      </c>
      <c r="D1351" t="inlineStr">
        <is>
          <t>STOCKHOLMS LÄN</t>
        </is>
      </c>
      <c r="E1351" t="inlineStr">
        <is>
          <t>NORRTÄLJE</t>
        </is>
      </c>
      <c r="F1351" t="inlineStr">
        <is>
          <t>Sveaskog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46161-2023</t>
        </is>
      </c>
      <c r="B1352" s="1" t="n">
        <v>45196</v>
      </c>
      <c r="C1352" s="1" t="n">
        <v>45682</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46155-2023</t>
        </is>
      </c>
      <c r="B1353" s="1" t="n">
        <v>45196</v>
      </c>
      <c r="C1353" s="1" t="n">
        <v>45682</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46621-2023</t>
        </is>
      </c>
      <c r="B1354" s="1" t="n">
        <v>45198</v>
      </c>
      <c r="C1354" s="1" t="n">
        <v>45682</v>
      </c>
      <c r="D1354" t="inlineStr">
        <is>
          <t>STOCKHOLMS LÄN</t>
        </is>
      </c>
      <c r="E1354" t="inlineStr">
        <is>
          <t>NORRTÄLJE</t>
        </is>
      </c>
      <c r="F1354" t="inlineStr">
        <is>
          <t>Holmen skog AB</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47419-2023</t>
        </is>
      </c>
      <c r="B1355" s="1" t="n">
        <v>45202</v>
      </c>
      <c r="C1355" s="1" t="n">
        <v>45682</v>
      </c>
      <c r="D1355" t="inlineStr">
        <is>
          <t>STOCKHOLMS LÄN</t>
        </is>
      </c>
      <c r="E1355" t="inlineStr">
        <is>
          <t>NORRTÄLJE</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47431-2023</t>
        </is>
      </c>
      <c r="B1356" s="1" t="n">
        <v>45202</v>
      </c>
      <c r="C1356" s="1" t="n">
        <v>45682</v>
      </c>
      <c r="D1356" t="inlineStr">
        <is>
          <t>STOCKHOLMS LÄN</t>
        </is>
      </c>
      <c r="E1356" t="inlineStr">
        <is>
          <t>NORRTÄLJE</t>
        </is>
      </c>
      <c r="F1356" t="inlineStr">
        <is>
          <t>Naturvårdsverket</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47325-2023</t>
        </is>
      </c>
      <c r="B1357" s="1" t="n">
        <v>45202</v>
      </c>
      <c r="C1357" s="1" t="n">
        <v>45682</v>
      </c>
      <c r="D1357" t="inlineStr">
        <is>
          <t>STOCKHOLMS LÄN</t>
        </is>
      </c>
      <c r="E1357" t="inlineStr">
        <is>
          <t>NORRTÄLJE</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47433-2023</t>
        </is>
      </c>
      <c r="B1358" s="1" t="n">
        <v>45202</v>
      </c>
      <c r="C1358" s="1" t="n">
        <v>45682</v>
      </c>
      <c r="D1358" t="inlineStr">
        <is>
          <t>STOCKHOLMS LÄN</t>
        </is>
      </c>
      <c r="E1358" t="inlineStr">
        <is>
          <t>NORRTÄLJE</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47388-2023</t>
        </is>
      </c>
      <c r="B1359" s="1" t="n">
        <v>45202</v>
      </c>
      <c r="C1359" s="1" t="n">
        <v>45682</v>
      </c>
      <c r="D1359" t="inlineStr">
        <is>
          <t>STOCKHOLMS LÄN</t>
        </is>
      </c>
      <c r="E1359" t="inlineStr">
        <is>
          <t>NORRTÄLJE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47430-2023</t>
        </is>
      </c>
      <c r="B1360" s="1" t="n">
        <v>45202</v>
      </c>
      <c r="C1360" s="1" t="n">
        <v>45682</v>
      </c>
      <c r="D1360" t="inlineStr">
        <is>
          <t>STOCKHOLMS LÄN</t>
        </is>
      </c>
      <c r="E1360" t="inlineStr">
        <is>
          <t>NORRTÄLJE</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49775-2023</t>
        </is>
      </c>
      <c r="B1361" s="1" t="n">
        <v>45202</v>
      </c>
      <c r="C1361" s="1" t="n">
        <v>45682</v>
      </c>
      <c r="D1361" t="inlineStr">
        <is>
          <t>STOCKHOLMS LÄN</t>
        </is>
      </c>
      <c r="E1361" t="inlineStr">
        <is>
          <t>NORRTÄLJE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48578-2023</t>
        </is>
      </c>
      <c r="B1362" s="1" t="n">
        <v>45202</v>
      </c>
      <c r="C1362" s="1" t="n">
        <v>45682</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49774-2023</t>
        </is>
      </c>
      <c r="B1363" s="1" t="n">
        <v>45202</v>
      </c>
      <c r="C1363" s="1" t="n">
        <v>45682</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47672-2023</t>
        </is>
      </c>
      <c r="B1364" s="1" t="n">
        <v>45203</v>
      </c>
      <c r="C1364" s="1" t="n">
        <v>45682</v>
      </c>
      <c r="D1364" t="inlineStr">
        <is>
          <t>STOCKHOLMS LÄN</t>
        </is>
      </c>
      <c r="E1364" t="inlineStr">
        <is>
          <t>NORRTÄLJE</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47694-2023</t>
        </is>
      </c>
      <c r="B1365" s="1" t="n">
        <v>45203</v>
      </c>
      <c r="C1365" s="1" t="n">
        <v>45682</v>
      </c>
      <c r="D1365" t="inlineStr">
        <is>
          <t>STOCKHOLMS LÄN</t>
        </is>
      </c>
      <c r="E1365" t="inlineStr">
        <is>
          <t>NORRTÄLJE</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47708-2023</t>
        </is>
      </c>
      <c r="B1366" s="1" t="n">
        <v>45203</v>
      </c>
      <c r="C1366" s="1" t="n">
        <v>45682</v>
      </c>
      <c r="D1366" t="inlineStr">
        <is>
          <t>STOCKHOLMS LÄN</t>
        </is>
      </c>
      <c r="E1366" t="inlineStr">
        <is>
          <t>NORRTÄLJE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47758-2023</t>
        </is>
      </c>
      <c r="B1367" s="1" t="n">
        <v>45203</v>
      </c>
      <c r="C1367" s="1" t="n">
        <v>45682</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47699-2023</t>
        </is>
      </c>
      <c r="B1368" s="1" t="n">
        <v>45203</v>
      </c>
      <c r="C1368" s="1" t="n">
        <v>45682</v>
      </c>
      <c r="D1368" t="inlineStr">
        <is>
          <t>STOCKHOLMS LÄN</t>
        </is>
      </c>
      <c r="E1368" t="inlineStr">
        <is>
          <t>NORRTÄLJE</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47735-2023</t>
        </is>
      </c>
      <c r="B1369" s="1" t="n">
        <v>45203</v>
      </c>
      <c r="C1369" s="1" t="n">
        <v>45682</v>
      </c>
      <c r="D1369" t="inlineStr">
        <is>
          <t>STOCKHOLMS LÄN</t>
        </is>
      </c>
      <c r="E1369" t="inlineStr">
        <is>
          <t>NORRTÄLJE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48167-2023</t>
        </is>
      </c>
      <c r="B1370" s="1" t="n">
        <v>45205</v>
      </c>
      <c r="C1370" s="1" t="n">
        <v>45682</v>
      </c>
      <c r="D1370" t="inlineStr">
        <is>
          <t>STOCKHOLMS LÄN</t>
        </is>
      </c>
      <c r="E1370" t="inlineStr">
        <is>
          <t>NORRTÄLJE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48180-2023</t>
        </is>
      </c>
      <c r="B1371" s="1" t="n">
        <v>45205</v>
      </c>
      <c r="C1371" s="1" t="n">
        <v>45682</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48185-2023</t>
        </is>
      </c>
      <c r="B1372" s="1" t="n">
        <v>45205</v>
      </c>
      <c r="C1372" s="1" t="n">
        <v>45682</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48302-2023</t>
        </is>
      </c>
      <c r="B1373" s="1" t="n">
        <v>45205</v>
      </c>
      <c r="C1373" s="1" t="n">
        <v>45682</v>
      </c>
      <c r="D1373" t="inlineStr">
        <is>
          <t>STOCKHOLMS LÄN</t>
        </is>
      </c>
      <c r="E1373" t="inlineStr">
        <is>
          <t>NORRTÄLJE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48333-2023</t>
        </is>
      </c>
      <c r="B1374" s="1" t="n">
        <v>45205</v>
      </c>
      <c r="C1374" s="1" t="n">
        <v>45682</v>
      </c>
      <c r="D1374" t="inlineStr">
        <is>
          <t>STOCKHOLMS LÄN</t>
        </is>
      </c>
      <c r="E1374" t="inlineStr">
        <is>
          <t>NORRTÄLJE</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48541-2023</t>
        </is>
      </c>
      <c r="B1375" s="1" t="n">
        <v>45208</v>
      </c>
      <c r="C1375" s="1" t="n">
        <v>45682</v>
      </c>
      <c r="D1375" t="inlineStr">
        <is>
          <t>STOCKHOLMS LÄN</t>
        </is>
      </c>
      <c r="E1375" t="inlineStr">
        <is>
          <t>NORRTÄLJE</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48552-2023</t>
        </is>
      </c>
      <c r="B1376" s="1" t="n">
        <v>45208</v>
      </c>
      <c r="C1376" s="1" t="n">
        <v>45682</v>
      </c>
      <c r="D1376" t="inlineStr">
        <is>
          <t>STOCKHOLMS LÄN</t>
        </is>
      </c>
      <c r="E1376" t="inlineStr">
        <is>
          <t>NORRTÄLJE</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48587-2023</t>
        </is>
      </c>
      <c r="B1377" s="1" t="n">
        <v>45208</v>
      </c>
      <c r="C1377" s="1" t="n">
        <v>45682</v>
      </c>
      <c r="D1377" t="inlineStr">
        <is>
          <t>STOCKHOLMS LÄN</t>
        </is>
      </c>
      <c r="E1377" t="inlineStr">
        <is>
          <t>NORRTÄLJE</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48633-2023</t>
        </is>
      </c>
      <c r="B1378" s="1" t="n">
        <v>45208</v>
      </c>
      <c r="C1378" s="1" t="n">
        <v>45682</v>
      </c>
      <c r="D1378" t="inlineStr">
        <is>
          <t>STOCKHOLMS LÄN</t>
        </is>
      </c>
      <c r="E1378" t="inlineStr">
        <is>
          <t>NORRTÄLJE</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48641-2023</t>
        </is>
      </c>
      <c r="B1379" s="1" t="n">
        <v>45208</v>
      </c>
      <c r="C1379" s="1" t="n">
        <v>45682</v>
      </c>
      <c r="D1379" t="inlineStr">
        <is>
          <t>STOCKHOLMS LÄN</t>
        </is>
      </c>
      <c r="E1379" t="inlineStr">
        <is>
          <t>NORRTÄLJE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48686-2023</t>
        </is>
      </c>
      <c r="B1380" s="1" t="n">
        <v>45208</v>
      </c>
      <c r="C1380" s="1" t="n">
        <v>45682</v>
      </c>
      <c r="D1380" t="inlineStr">
        <is>
          <t>STOCKHOLMS LÄN</t>
        </is>
      </c>
      <c r="E1380" t="inlineStr">
        <is>
          <t>NORRTÄLJE</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48629-2023</t>
        </is>
      </c>
      <c r="B1381" s="1" t="n">
        <v>45208</v>
      </c>
      <c r="C1381" s="1" t="n">
        <v>45682</v>
      </c>
      <c r="D1381" t="inlineStr">
        <is>
          <t>STOCKHOLMS LÄN</t>
        </is>
      </c>
      <c r="E1381" t="inlineStr">
        <is>
          <t>NORRTÄLJE</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48668-2023</t>
        </is>
      </c>
      <c r="B1382" s="1" t="n">
        <v>45208</v>
      </c>
      <c r="C1382" s="1" t="n">
        <v>45682</v>
      </c>
      <c r="D1382" t="inlineStr">
        <is>
          <t>STOCKHOLMS LÄN</t>
        </is>
      </c>
      <c r="E1382" t="inlineStr">
        <is>
          <t>NORRTÄLJE</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48685-2023</t>
        </is>
      </c>
      <c r="B1383" s="1" t="n">
        <v>45208</v>
      </c>
      <c r="C1383" s="1" t="n">
        <v>45682</v>
      </c>
      <c r="D1383" t="inlineStr">
        <is>
          <t>STOCKHOLMS LÄN</t>
        </is>
      </c>
      <c r="E1383" t="inlineStr">
        <is>
          <t>NORRTÄLJE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48691-2023</t>
        </is>
      </c>
      <c r="B1384" s="1" t="n">
        <v>45208</v>
      </c>
      <c r="C1384" s="1" t="n">
        <v>45682</v>
      </c>
      <c r="D1384" t="inlineStr">
        <is>
          <t>STOCKHOLMS LÄN</t>
        </is>
      </c>
      <c r="E1384" t="inlineStr">
        <is>
          <t>NORRTÄLJE</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48701-2023</t>
        </is>
      </c>
      <c r="B1385" s="1" t="n">
        <v>45208</v>
      </c>
      <c r="C1385" s="1" t="n">
        <v>45682</v>
      </c>
      <c r="D1385" t="inlineStr">
        <is>
          <t>STOCKHOLMS LÄN</t>
        </is>
      </c>
      <c r="E1385" t="inlineStr">
        <is>
          <t>NORRTÄLJE</t>
        </is>
      </c>
      <c r="G1385" t="n">
        <v>12.2</v>
      </c>
      <c r="H1385" t="n">
        <v>0</v>
      </c>
      <c r="I1385" t="n">
        <v>0</v>
      </c>
      <c r="J1385" t="n">
        <v>0</v>
      </c>
      <c r="K1385" t="n">
        <v>0</v>
      </c>
      <c r="L1385" t="n">
        <v>0</v>
      </c>
      <c r="M1385" t="n">
        <v>0</v>
      </c>
      <c r="N1385" t="n">
        <v>0</v>
      </c>
      <c r="O1385" t="n">
        <v>0</v>
      </c>
      <c r="P1385" t="n">
        <v>0</v>
      </c>
      <c r="Q1385" t="n">
        <v>0</v>
      </c>
      <c r="R1385" s="2" t="inlineStr"/>
    </row>
    <row r="1386" ht="15" customHeight="1">
      <c r="A1386" t="inlineStr">
        <is>
          <t>A 48716-2023</t>
        </is>
      </c>
      <c r="B1386" s="1" t="n">
        <v>45208</v>
      </c>
      <c r="C1386" s="1" t="n">
        <v>45682</v>
      </c>
      <c r="D1386" t="inlineStr">
        <is>
          <t>STOCKHOLMS LÄN</t>
        </is>
      </c>
      <c r="E1386" t="inlineStr">
        <is>
          <t>NORRTÄLJE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48709-2023</t>
        </is>
      </c>
      <c r="B1387" s="1" t="n">
        <v>45208</v>
      </c>
      <c r="C1387" s="1" t="n">
        <v>45682</v>
      </c>
      <c r="D1387" t="inlineStr">
        <is>
          <t>STOCKHOLMS LÄN</t>
        </is>
      </c>
      <c r="E1387" t="inlineStr">
        <is>
          <t>NORRTÄLJE</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48722-2023</t>
        </is>
      </c>
      <c r="B1388" s="1" t="n">
        <v>45208</v>
      </c>
      <c r="C1388" s="1" t="n">
        <v>45682</v>
      </c>
      <c r="D1388" t="inlineStr">
        <is>
          <t>STOCKHOLMS LÄN</t>
        </is>
      </c>
      <c r="E1388" t="inlineStr">
        <is>
          <t>NORRTÄLJE</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48726-2023</t>
        </is>
      </c>
      <c r="B1389" s="1" t="n">
        <v>45208</v>
      </c>
      <c r="C1389" s="1" t="n">
        <v>45682</v>
      </c>
      <c r="D1389" t="inlineStr">
        <is>
          <t>STOCKHOLMS LÄN</t>
        </is>
      </c>
      <c r="E1389" t="inlineStr">
        <is>
          <t>NORRTÄLJE</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49169-2023</t>
        </is>
      </c>
      <c r="B1390" s="1" t="n">
        <v>45210</v>
      </c>
      <c r="C1390" s="1" t="n">
        <v>45682</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49176-2023</t>
        </is>
      </c>
      <c r="B1391" s="1" t="n">
        <v>45210</v>
      </c>
      <c r="C1391" s="1" t="n">
        <v>45682</v>
      </c>
      <c r="D1391" t="inlineStr">
        <is>
          <t>STOCKHOLMS LÄN</t>
        </is>
      </c>
      <c r="E1391" t="inlineStr">
        <is>
          <t>NORRTÄLJE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49224-2023</t>
        </is>
      </c>
      <c r="B1392" s="1" t="n">
        <v>45210</v>
      </c>
      <c r="C1392" s="1" t="n">
        <v>45682</v>
      </c>
      <c r="D1392" t="inlineStr">
        <is>
          <t>STOCKHOLMS LÄN</t>
        </is>
      </c>
      <c r="E1392" t="inlineStr">
        <is>
          <t>NORRTÄLJE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49696-2023</t>
        </is>
      </c>
      <c r="B1393" s="1" t="n">
        <v>45212</v>
      </c>
      <c r="C1393" s="1" t="n">
        <v>45682</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49700-2023</t>
        </is>
      </c>
      <c r="B1394" s="1" t="n">
        <v>45212</v>
      </c>
      <c r="C1394" s="1" t="n">
        <v>45682</v>
      </c>
      <c r="D1394" t="inlineStr">
        <is>
          <t>STOCKHOLMS LÄN</t>
        </is>
      </c>
      <c r="E1394" t="inlineStr">
        <is>
          <t>NORRTÄLJE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49694-2023</t>
        </is>
      </c>
      <c r="B1395" s="1" t="n">
        <v>45212</v>
      </c>
      <c r="C1395" s="1" t="n">
        <v>45682</v>
      </c>
      <c r="D1395" t="inlineStr">
        <is>
          <t>STOCKHOLMS LÄN</t>
        </is>
      </c>
      <c r="E1395" t="inlineStr">
        <is>
          <t>NORRTÄLJE</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50143-2023</t>
        </is>
      </c>
      <c r="B1396" s="1" t="n">
        <v>45215</v>
      </c>
      <c r="C1396" s="1" t="n">
        <v>45682</v>
      </c>
      <c r="D1396" t="inlineStr">
        <is>
          <t>STOCKHOLMS LÄN</t>
        </is>
      </c>
      <c r="E1396" t="inlineStr">
        <is>
          <t>NORRTÄLJE</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50107-2023</t>
        </is>
      </c>
      <c r="B1397" s="1" t="n">
        <v>45215</v>
      </c>
      <c r="C1397" s="1" t="n">
        <v>45682</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50033-2023</t>
        </is>
      </c>
      <c r="B1398" s="1" t="n">
        <v>45215</v>
      </c>
      <c r="C1398" s="1" t="n">
        <v>45682</v>
      </c>
      <c r="D1398" t="inlineStr">
        <is>
          <t>STOCKHOLMS LÄN</t>
        </is>
      </c>
      <c r="E1398" t="inlineStr">
        <is>
          <t>NORRTÄLJE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50136-2023</t>
        </is>
      </c>
      <c r="B1399" s="1" t="n">
        <v>45215</v>
      </c>
      <c r="C1399" s="1" t="n">
        <v>45682</v>
      </c>
      <c r="D1399" t="inlineStr">
        <is>
          <t>STOCKHOLMS LÄN</t>
        </is>
      </c>
      <c r="E1399" t="inlineStr">
        <is>
          <t>NORRTÄLJE</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50150-2023</t>
        </is>
      </c>
      <c r="B1400" s="1" t="n">
        <v>45215</v>
      </c>
      <c r="C1400" s="1" t="n">
        <v>45682</v>
      </c>
      <c r="D1400" t="inlineStr">
        <is>
          <t>STOCKHOLMS LÄN</t>
        </is>
      </c>
      <c r="E1400" t="inlineStr">
        <is>
          <t>NORRTÄLJE</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50289-2023</t>
        </is>
      </c>
      <c r="B1401" s="1" t="n">
        <v>45216</v>
      </c>
      <c r="C1401" s="1" t="n">
        <v>45682</v>
      </c>
      <c r="D1401" t="inlineStr">
        <is>
          <t>STOCKHOLMS LÄN</t>
        </is>
      </c>
      <c r="E1401" t="inlineStr">
        <is>
          <t>NORRTÄLJE</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50436-2023</t>
        </is>
      </c>
      <c r="B1402" s="1" t="n">
        <v>45216</v>
      </c>
      <c r="C1402" s="1" t="n">
        <v>45682</v>
      </c>
      <c r="D1402" t="inlineStr">
        <is>
          <t>STOCKHOLMS LÄN</t>
        </is>
      </c>
      <c r="E1402" t="inlineStr">
        <is>
          <t>NORRTÄLJE</t>
        </is>
      </c>
      <c r="G1402" t="n">
        <v>12.1</v>
      </c>
      <c r="H1402" t="n">
        <v>0</v>
      </c>
      <c r="I1402" t="n">
        <v>0</v>
      </c>
      <c r="J1402" t="n">
        <v>0</v>
      </c>
      <c r="K1402" t="n">
        <v>0</v>
      </c>
      <c r="L1402" t="n">
        <v>0</v>
      </c>
      <c r="M1402" t="n">
        <v>0</v>
      </c>
      <c r="N1402" t="n">
        <v>0</v>
      </c>
      <c r="O1402" t="n">
        <v>0</v>
      </c>
      <c r="P1402" t="n">
        <v>0</v>
      </c>
      <c r="Q1402" t="n">
        <v>0</v>
      </c>
      <c r="R1402" s="2" t="inlineStr"/>
    </row>
    <row r="1403" ht="15" customHeight="1">
      <c r="A1403" t="inlineStr">
        <is>
          <t>A 50690-2023</t>
        </is>
      </c>
      <c r="B1403" s="1" t="n">
        <v>45217</v>
      </c>
      <c r="C1403" s="1" t="n">
        <v>45682</v>
      </c>
      <c r="D1403" t="inlineStr">
        <is>
          <t>STOCKHOLMS LÄN</t>
        </is>
      </c>
      <c r="E1403" t="inlineStr">
        <is>
          <t>NORRTÄLJE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51049-2023</t>
        </is>
      </c>
      <c r="B1404" s="1" t="n">
        <v>45218</v>
      </c>
      <c r="C1404" s="1" t="n">
        <v>45682</v>
      </c>
      <c r="D1404" t="inlineStr">
        <is>
          <t>STOCKHOLMS LÄN</t>
        </is>
      </c>
      <c r="E1404" t="inlineStr">
        <is>
          <t>NORRTÄLJE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51063-2023</t>
        </is>
      </c>
      <c r="B1405" s="1" t="n">
        <v>45218</v>
      </c>
      <c r="C1405" s="1" t="n">
        <v>45682</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50880-2023</t>
        </is>
      </c>
      <c r="B1406" s="1" t="n">
        <v>45218</v>
      </c>
      <c r="C1406" s="1" t="n">
        <v>45682</v>
      </c>
      <c r="D1406" t="inlineStr">
        <is>
          <t>STOCKHOLMS LÄN</t>
        </is>
      </c>
      <c r="E1406" t="inlineStr">
        <is>
          <t>NORRTÄLJE</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51046-2023</t>
        </is>
      </c>
      <c r="B1407" s="1" t="n">
        <v>45218</v>
      </c>
      <c r="C1407" s="1" t="n">
        <v>45682</v>
      </c>
      <c r="D1407" t="inlineStr">
        <is>
          <t>STOCKHOLMS LÄN</t>
        </is>
      </c>
      <c r="E1407" t="inlineStr">
        <is>
          <t>NORRTÄLJE</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51043-2023</t>
        </is>
      </c>
      <c r="B1408" s="1" t="n">
        <v>45218</v>
      </c>
      <c r="C1408" s="1" t="n">
        <v>45682</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51061-2023</t>
        </is>
      </c>
      <c r="B1409" s="1" t="n">
        <v>45218</v>
      </c>
      <c r="C1409" s="1" t="n">
        <v>45682</v>
      </c>
      <c r="D1409" t="inlineStr">
        <is>
          <t>STOCKHOLMS LÄN</t>
        </is>
      </c>
      <c r="E1409" t="inlineStr">
        <is>
          <t>NORRTÄLJE</t>
        </is>
      </c>
      <c r="G1409" t="n">
        <v>8.699999999999999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51325-2023</t>
        </is>
      </c>
      <c r="B1410" s="1" t="n">
        <v>45219</v>
      </c>
      <c r="C1410" s="1" t="n">
        <v>45682</v>
      </c>
      <c r="D1410" t="inlineStr">
        <is>
          <t>STOCKHOLMS LÄN</t>
        </is>
      </c>
      <c r="E1410" t="inlineStr">
        <is>
          <t>NORRTÄLJE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51312-2023</t>
        </is>
      </c>
      <c r="B1411" s="1" t="n">
        <v>45219</v>
      </c>
      <c r="C1411" s="1" t="n">
        <v>45682</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51597-2023</t>
        </is>
      </c>
      <c r="B1412" s="1" t="n">
        <v>45222</v>
      </c>
      <c r="C1412" s="1" t="n">
        <v>45682</v>
      </c>
      <c r="D1412" t="inlineStr">
        <is>
          <t>STOCKHOLMS LÄN</t>
        </is>
      </c>
      <c r="E1412" t="inlineStr">
        <is>
          <t>NORRTÄLJE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51657-2023</t>
        </is>
      </c>
      <c r="B1413" s="1" t="n">
        <v>45222</v>
      </c>
      <c r="C1413" s="1" t="n">
        <v>45682</v>
      </c>
      <c r="D1413" t="inlineStr">
        <is>
          <t>STOCKHOLMS LÄN</t>
        </is>
      </c>
      <c r="E1413" t="inlineStr">
        <is>
          <t>NORRTÄLJE</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51903-2023</t>
        </is>
      </c>
      <c r="B1414" s="1" t="n">
        <v>45223</v>
      </c>
      <c r="C1414" s="1" t="n">
        <v>45682</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52095-2023</t>
        </is>
      </c>
      <c r="B1415" s="1" t="n">
        <v>45223</v>
      </c>
      <c r="C1415" s="1" t="n">
        <v>45682</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51978-2023</t>
        </is>
      </c>
      <c r="B1416" s="1" t="n">
        <v>45223</v>
      </c>
      <c r="C1416" s="1" t="n">
        <v>45682</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51997-2023</t>
        </is>
      </c>
      <c r="B1417" s="1" t="n">
        <v>45223</v>
      </c>
      <c r="C1417" s="1" t="n">
        <v>45682</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52001-2023</t>
        </is>
      </c>
      <c r="B1418" s="1" t="n">
        <v>45223</v>
      </c>
      <c r="C1418" s="1" t="n">
        <v>45682</v>
      </c>
      <c r="D1418" t="inlineStr">
        <is>
          <t>STOCKHOLMS LÄN</t>
        </is>
      </c>
      <c r="E1418" t="inlineStr">
        <is>
          <t>NORRTÄLJE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52096-2023</t>
        </is>
      </c>
      <c r="B1419" s="1" t="n">
        <v>45223</v>
      </c>
      <c r="C1419" s="1" t="n">
        <v>45682</v>
      </c>
      <c r="D1419" t="inlineStr">
        <is>
          <t>STOCKHOLMS LÄN</t>
        </is>
      </c>
      <c r="E1419" t="inlineStr">
        <is>
          <t>NORRTÄLJE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53362-2023</t>
        </is>
      </c>
      <c r="B1420" s="1" t="n">
        <v>45223</v>
      </c>
      <c r="C1420" s="1" t="n">
        <v>45682</v>
      </c>
      <c r="D1420" t="inlineStr">
        <is>
          <t>STOCKHOLMS LÄN</t>
        </is>
      </c>
      <c r="E1420" t="inlineStr">
        <is>
          <t>NORRTÄLJE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53372-2023</t>
        </is>
      </c>
      <c r="B1421" s="1" t="n">
        <v>45223</v>
      </c>
      <c r="C1421" s="1" t="n">
        <v>45682</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52221-2023</t>
        </is>
      </c>
      <c r="B1422" s="1" t="n">
        <v>45224</v>
      </c>
      <c r="C1422" s="1" t="n">
        <v>45682</v>
      </c>
      <c r="D1422" t="inlineStr">
        <is>
          <t>STOCKHOLMS LÄN</t>
        </is>
      </c>
      <c r="E1422" t="inlineStr">
        <is>
          <t>NORRTÄLJE</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53561-2023</t>
        </is>
      </c>
      <c r="B1423" s="1" t="n">
        <v>45224</v>
      </c>
      <c r="C1423" s="1" t="n">
        <v>45682</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53556-2023</t>
        </is>
      </c>
      <c r="B1424" s="1" t="n">
        <v>45224</v>
      </c>
      <c r="C1424" s="1" t="n">
        <v>45682</v>
      </c>
      <c r="D1424" t="inlineStr">
        <is>
          <t>STOCKHOLMS LÄN</t>
        </is>
      </c>
      <c r="E1424" t="inlineStr">
        <is>
          <t>NORRTÄLJE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52570-2023</t>
        </is>
      </c>
      <c r="B1425" s="1" t="n">
        <v>45225</v>
      </c>
      <c r="C1425" s="1" t="n">
        <v>45682</v>
      </c>
      <c r="D1425" t="inlineStr">
        <is>
          <t>STOCKHOLMS LÄN</t>
        </is>
      </c>
      <c r="E1425" t="inlineStr">
        <is>
          <t>NORRTÄLJE</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52619-2023</t>
        </is>
      </c>
      <c r="B1426" s="1" t="n">
        <v>45225</v>
      </c>
      <c r="C1426" s="1" t="n">
        <v>45682</v>
      </c>
      <c r="D1426" t="inlineStr">
        <is>
          <t>STOCKHOLMS LÄN</t>
        </is>
      </c>
      <c r="E1426" t="inlineStr">
        <is>
          <t>NORRTÄLJE</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52875-2023</t>
        </is>
      </c>
      <c r="B1427" s="1" t="n">
        <v>45226</v>
      </c>
      <c r="C1427" s="1" t="n">
        <v>45682</v>
      </c>
      <c r="D1427" t="inlineStr">
        <is>
          <t>STOCKHOLMS LÄN</t>
        </is>
      </c>
      <c r="E1427" t="inlineStr">
        <is>
          <t>NORRTÄLJE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52899-2023</t>
        </is>
      </c>
      <c r="B1428" s="1" t="n">
        <v>45226</v>
      </c>
      <c r="C1428" s="1" t="n">
        <v>45682</v>
      </c>
      <c r="D1428" t="inlineStr">
        <is>
          <t>STOCKHOLMS LÄN</t>
        </is>
      </c>
      <c r="E1428" t="inlineStr">
        <is>
          <t>NORRTÄLJE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53563-2023</t>
        </is>
      </c>
      <c r="B1429" s="1" t="n">
        <v>45230</v>
      </c>
      <c r="C1429" s="1" t="n">
        <v>45682</v>
      </c>
      <c r="D1429" t="inlineStr">
        <is>
          <t>STOCKHOLMS LÄN</t>
        </is>
      </c>
      <c r="E1429" t="inlineStr">
        <is>
          <t>NORRTÄLJE</t>
        </is>
      </c>
      <c r="G1429" t="n">
        <v>17.2</v>
      </c>
      <c r="H1429" t="n">
        <v>0</v>
      </c>
      <c r="I1429" t="n">
        <v>0</v>
      </c>
      <c r="J1429" t="n">
        <v>0</v>
      </c>
      <c r="K1429" t="n">
        <v>0</v>
      </c>
      <c r="L1429" t="n">
        <v>0</v>
      </c>
      <c r="M1429" t="n">
        <v>0</v>
      </c>
      <c r="N1429" t="n">
        <v>0</v>
      </c>
      <c r="O1429" t="n">
        <v>0</v>
      </c>
      <c r="P1429" t="n">
        <v>0</v>
      </c>
      <c r="Q1429" t="n">
        <v>0</v>
      </c>
      <c r="R1429" s="2" t="inlineStr"/>
    </row>
    <row r="1430" ht="15" customHeight="1">
      <c r="A1430" t="inlineStr">
        <is>
          <t>A 53718-2023</t>
        </is>
      </c>
      <c r="B1430" s="1" t="n">
        <v>45230</v>
      </c>
      <c r="C1430" s="1" t="n">
        <v>45682</v>
      </c>
      <c r="D1430" t="inlineStr">
        <is>
          <t>STOCKHOLMS LÄN</t>
        </is>
      </c>
      <c r="E1430" t="inlineStr">
        <is>
          <t>NORRTÄLJE</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53787-2023</t>
        </is>
      </c>
      <c r="B1431" s="1" t="n">
        <v>45231</v>
      </c>
      <c r="C1431" s="1" t="n">
        <v>45682</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53792-2023</t>
        </is>
      </c>
      <c r="B1432" s="1" t="n">
        <v>45231</v>
      </c>
      <c r="C1432" s="1" t="n">
        <v>45682</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55518-2023</t>
        </is>
      </c>
      <c r="B1433" s="1" t="n">
        <v>45231</v>
      </c>
      <c r="C1433" s="1" t="n">
        <v>45682</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55533-2023</t>
        </is>
      </c>
      <c r="B1434" s="1" t="n">
        <v>45231</v>
      </c>
      <c r="C1434" s="1" t="n">
        <v>45682</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54259-2023</t>
        </is>
      </c>
      <c r="B1435" s="1" t="n">
        <v>45232</v>
      </c>
      <c r="C1435" s="1" t="n">
        <v>45682</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54546-2023</t>
        </is>
      </c>
      <c r="B1436" s="1" t="n">
        <v>45233</v>
      </c>
      <c r="C1436" s="1" t="n">
        <v>45682</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54776-2023</t>
        </is>
      </c>
      <c r="B1437" s="1" t="n">
        <v>45236</v>
      </c>
      <c r="C1437" s="1" t="n">
        <v>45682</v>
      </c>
      <c r="D1437" t="inlineStr">
        <is>
          <t>STOCKHOLMS LÄN</t>
        </is>
      </c>
      <c r="E1437" t="inlineStr">
        <is>
          <t>NORRTÄLJE</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55038-2023</t>
        </is>
      </c>
      <c r="B1438" s="1" t="n">
        <v>45237</v>
      </c>
      <c r="C1438" s="1" t="n">
        <v>45682</v>
      </c>
      <c r="D1438" t="inlineStr">
        <is>
          <t>STOCKHOLMS LÄN</t>
        </is>
      </c>
      <c r="E1438" t="inlineStr">
        <is>
          <t>NORRTÄLJE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55243-2023</t>
        </is>
      </c>
      <c r="B1439" s="1" t="n">
        <v>45237</v>
      </c>
      <c r="C1439" s="1" t="n">
        <v>45682</v>
      </c>
      <c r="D1439" t="inlineStr">
        <is>
          <t>STOCKHOLMS LÄN</t>
        </is>
      </c>
      <c r="E1439" t="inlineStr">
        <is>
          <t>NORRTÄLJE</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55369-2023</t>
        </is>
      </c>
      <c r="B1440" s="1" t="n">
        <v>45238</v>
      </c>
      <c r="C1440" s="1" t="n">
        <v>45682</v>
      </c>
      <c r="D1440" t="inlineStr">
        <is>
          <t>STOCKHOLMS LÄN</t>
        </is>
      </c>
      <c r="E1440" t="inlineStr">
        <is>
          <t>NORRTÄLJE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55755-2023</t>
        </is>
      </c>
      <c r="B1441" s="1" t="n">
        <v>45239</v>
      </c>
      <c r="C1441" s="1" t="n">
        <v>45682</v>
      </c>
      <c r="D1441" t="inlineStr">
        <is>
          <t>STOCKHOLMS LÄN</t>
        </is>
      </c>
      <c r="E1441" t="inlineStr">
        <is>
          <t>NORRTÄLJE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56428-2023</t>
        </is>
      </c>
      <c r="B1442" s="1" t="n">
        <v>45243</v>
      </c>
      <c r="C1442" s="1" t="n">
        <v>45682</v>
      </c>
      <c r="D1442" t="inlineStr">
        <is>
          <t>STOCKHOLMS LÄN</t>
        </is>
      </c>
      <c r="E1442" t="inlineStr">
        <is>
          <t>NORRTÄLJE</t>
        </is>
      </c>
      <c r="F1442" t="inlineStr">
        <is>
          <t>Kyrkan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56439-2023</t>
        </is>
      </c>
      <c r="B1443" s="1" t="n">
        <v>45243</v>
      </c>
      <c r="C1443" s="1" t="n">
        <v>45682</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56445-2023</t>
        </is>
      </c>
      <c r="B1444" s="1" t="n">
        <v>45243</v>
      </c>
      <c r="C1444" s="1" t="n">
        <v>45682</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56577-2023</t>
        </is>
      </c>
      <c r="B1445" s="1" t="n">
        <v>45243</v>
      </c>
      <c r="C1445" s="1" t="n">
        <v>45682</v>
      </c>
      <c r="D1445" t="inlineStr">
        <is>
          <t>STOCKHOLMS LÄN</t>
        </is>
      </c>
      <c r="E1445" t="inlineStr">
        <is>
          <t>NORRTÄLJE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56593-2023</t>
        </is>
      </c>
      <c r="B1446" s="1" t="n">
        <v>45243</v>
      </c>
      <c r="C1446" s="1" t="n">
        <v>45682</v>
      </c>
      <c r="D1446" t="inlineStr">
        <is>
          <t>STOCKHOLMS LÄN</t>
        </is>
      </c>
      <c r="E1446" t="inlineStr">
        <is>
          <t>NORRTÄLJE</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56819-2023</t>
        </is>
      </c>
      <c r="B1447" s="1" t="n">
        <v>45244</v>
      </c>
      <c r="C1447" s="1" t="n">
        <v>45682</v>
      </c>
      <c r="D1447" t="inlineStr">
        <is>
          <t>STOCKHOLMS LÄN</t>
        </is>
      </c>
      <c r="E1447" t="inlineStr">
        <is>
          <t>NORRTÄLJE</t>
        </is>
      </c>
      <c r="G1447" t="n">
        <v>13.6</v>
      </c>
      <c r="H1447" t="n">
        <v>0</v>
      </c>
      <c r="I1447" t="n">
        <v>0</v>
      </c>
      <c r="J1447" t="n">
        <v>0</v>
      </c>
      <c r="K1447" t="n">
        <v>0</v>
      </c>
      <c r="L1447" t="n">
        <v>0</v>
      </c>
      <c r="M1447" t="n">
        <v>0</v>
      </c>
      <c r="N1447" t="n">
        <v>0</v>
      </c>
      <c r="O1447" t="n">
        <v>0</v>
      </c>
      <c r="P1447" t="n">
        <v>0</v>
      </c>
      <c r="Q1447" t="n">
        <v>0</v>
      </c>
      <c r="R1447" s="2" t="inlineStr"/>
    </row>
    <row r="1448" ht="15" customHeight="1">
      <c r="A1448" t="inlineStr">
        <is>
          <t>A 58261-2023</t>
        </is>
      </c>
      <c r="B1448" s="1" t="n">
        <v>45245</v>
      </c>
      <c r="C1448" s="1" t="n">
        <v>45682</v>
      </c>
      <c r="D1448" t="inlineStr">
        <is>
          <t>STOCKHOLMS LÄN</t>
        </is>
      </c>
      <c r="E1448" t="inlineStr">
        <is>
          <t>NORRTÄLJE</t>
        </is>
      </c>
      <c r="G1448" t="n">
        <v>53.5</v>
      </c>
      <c r="H1448" t="n">
        <v>0</v>
      </c>
      <c r="I1448" t="n">
        <v>0</v>
      </c>
      <c r="J1448" t="n">
        <v>0</v>
      </c>
      <c r="K1448" t="n">
        <v>0</v>
      </c>
      <c r="L1448" t="n">
        <v>0</v>
      </c>
      <c r="M1448" t="n">
        <v>0</v>
      </c>
      <c r="N1448" t="n">
        <v>0</v>
      </c>
      <c r="O1448" t="n">
        <v>0</v>
      </c>
      <c r="P1448" t="n">
        <v>0</v>
      </c>
      <c r="Q1448" t="n">
        <v>0</v>
      </c>
      <c r="R1448" s="2" t="inlineStr"/>
    </row>
    <row r="1449" ht="15" customHeight="1">
      <c r="A1449" t="inlineStr">
        <is>
          <t>A 58209-2023</t>
        </is>
      </c>
      <c r="B1449" s="1" t="n">
        <v>45245</v>
      </c>
      <c r="C1449" s="1" t="n">
        <v>45682</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58227-2023</t>
        </is>
      </c>
      <c r="B1450" s="1" t="n">
        <v>45245</v>
      </c>
      <c r="C1450" s="1" t="n">
        <v>45682</v>
      </c>
      <c r="D1450" t="inlineStr">
        <is>
          <t>STOCKHOLMS LÄN</t>
        </is>
      </c>
      <c r="E1450" t="inlineStr">
        <is>
          <t>NORRTÄLJE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58291-2023</t>
        </is>
      </c>
      <c r="B1451" s="1" t="n">
        <v>45245</v>
      </c>
      <c r="C1451" s="1" t="n">
        <v>45682</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58277-2023</t>
        </is>
      </c>
      <c r="B1452" s="1" t="n">
        <v>45245</v>
      </c>
      <c r="C1452" s="1" t="n">
        <v>45682</v>
      </c>
      <c r="D1452" t="inlineStr">
        <is>
          <t>STOCKHOLMS LÄN</t>
        </is>
      </c>
      <c r="E1452" t="inlineStr">
        <is>
          <t>NORRTÄLJE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58213-2023</t>
        </is>
      </c>
      <c r="B1453" s="1" t="n">
        <v>45245</v>
      </c>
      <c r="C1453" s="1" t="n">
        <v>45682</v>
      </c>
      <c r="D1453" t="inlineStr">
        <is>
          <t>STOCKHOLMS LÄN</t>
        </is>
      </c>
      <c r="E1453" t="inlineStr">
        <is>
          <t>NORRTÄLJE</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58311-2023</t>
        </is>
      </c>
      <c r="B1454" s="1" t="n">
        <v>45245</v>
      </c>
      <c r="C1454" s="1" t="n">
        <v>45682</v>
      </c>
      <c r="D1454" t="inlineStr">
        <is>
          <t>STOCKHOLMS LÄN</t>
        </is>
      </c>
      <c r="E1454" t="inlineStr">
        <is>
          <t>NORRTÄLJE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58300-2023</t>
        </is>
      </c>
      <c r="B1455" s="1" t="n">
        <v>45245</v>
      </c>
      <c r="C1455" s="1" t="n">
        <v>45682</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58260-2023</t>
        </is>
      </c>
      <c r="B1456" s="1" t="n">
        <v>45245</v>
      </c>
      <c r="C1456" s="1" t="n">
        <v>45682</v>
      </c>
      <c r="D1456" t="inlineStr">
        <is>
          <t>STOCKHOLMS LÄN</t>
        </is>
      </c>
      <c r="E1456" t="inlineStr">
        <is>
          <t>NORRTÄLJE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58297-2023</t>
        </is>
      </c>
      <c r="B1457" s="1" t="n">
        <v>45245</v>
      </c>
      <c r="C1457" s="1" t="n">
        <v>45682</v>
      </c>
      <c r="D1457" t="inlineStr">
        <is>
          <t>STOCKHOLMS LÄN</t>
        </is>
      </c>
      <c r="E1457" t="inlineStr">
        <is>
          <t>NORRTÄLJE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58306-2023</t>
        </is>
      </c>
      <c r="B1458" s="1" t="n">
        <v>45245</v>
      </c>
      <c r="C1458" s="1" t="n">
        <v>45682</v>
      </c>
      <c r="D1458" t="inlineStr">
        <is>
          <t>STOCKHOLMS LÄN</t>
        </is>
      </c>
      <c r="E1458" t="inlineStr">
        <is>
          <t>NORRTÄLJE</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58404-2023</t>
        </is>
      </c>
      <c r="B1459" s="1" t="n">
        <v>45245</v>
      </c>
      <c r="C1459" s="1" t="n">
        <v>45682</v>
      </c>
      <c r="D1459" t="inlineStr">
        <is>
          <t>STOCKHOLMS LÄN</t>
        </is>
      </c>
      <c r="E1459" t="inlineStr">
        <is>
          <t>NORRTÄLJE</t>
        </is>
      </c>
      <c r="G1459" t="n">
        <v>53.5</v>
      </c>
      <c r="H1459" t="n">
        <v>0</v>
      </c>
      <c r="I1459" t="n">
        <v>0</v>
      </c>
      <c r="J1459" t="n">
        <v>0</v>
      </c>
      <c r="K1459" t="n">
        <v>0</v>
      </c>
      <c r="L1459" t="n">
        <v>0</v>
      </c>
      <c r="M1459" t="n">
        <v>0</v>
      </c>
      <c r="N1459" t="n">
        <v>0</v>
      </c>
      <c r="O1459" t="n">
        <v>0</v>
      </c>
      <c r="P1459" t="n">
        <v>0</v>
      </c>
      <c r="Q1459" t="n">
        <v>0</v>
      </c>
      <c r="R1459" s="2" t="inlineStr"/>
    </row>
    <row r="1460" ht="15" customHeight="1">
      <c r="A1460" t="inlineStr">
        <is>
          <t>A 58191-2023</t>
        </is>
      </c>
      <c r="B1460" s="1" t="n">
        <v>45250</v>
      </c>
      <c r="C1460" s="1" t="n">
        <v>45682</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58186-2023</t>
        </is>
      </c>
      <c r="B1461" s="1" t="n">
        <v>45250</v>
      </c>
      <c r="C1461" s="1" t="n">
        <v>45682</v>
      </c>
      <c r="D1461" t="inlineStr">
        <is>
          <t>STOCKHOLMS LÄN</t>
        </is>
      </c>
      <c r="E1461" t="inlineStr">
        <is>
          <t>NORRTÄLJE</t>
        </is>
      </c>
      <c r="F1461" t="inlineStr">
        <is>
          <t>Kyrkan</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58981-2023</t>
        </is>
      </c>
      <c r="B1462" s="1" t="n">
        <v>45250</v>
      </c>
      <c r="C1462" s="1" t="n">
        <v>45682</v>
      </c>
      <c r="D1462" t="inlineStr">
        <is>
          <t>STOCKHOLMS LÄN</t>
        </is>
      </c>
      <c r="E1462" t="inlineStr">
        <is>
          <t>NORRTÄLJE</t>
        </is>
      </c>
      <c r="F1462" t="inlineStr">
        <is>
          <t>Övriga statliga verk och myndigheter</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58601-2023</t>
        </is>
      </c>
      <c r="B1463" s="1" t="n">
        <v>45251</v>
      </c>
      <c r="C1463" s="1" t="n">
        <v>45682</v>
      </c>
      <c r="D1463" t="inlineStr">
        <is>
          <t>STOCKHOLMS LÄN</t>
        </is>
      </c>
      <c r="E1463" t="inlineStr">
        <is>
          <t>NORRTÄLJE</t>
        </is>
      </c>
      <c r="F1463" t="inlineStr">
        <is>
          <t>Holmen skog AB</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59310-2023</t>
        </is>
      </c>
      <c r="B1464" s="1" t="n">
        <v>45253</v>
      </c>
      <c r="C1464" s="1" t="n">
        <v>45682</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59326-2023</t>
        </is>
      </c>
      <c r="B1465" s="1" t="n">
        <v>45253</v>
      </c>
      <c r="C1465" s="1" t="n">
        <v>45682</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59212-2023</t>
        </is>
      </c>
      <c r="B1466" s="1" t="n">
        <v>45253</v>
      </c>
      <c r="C1466" s="1" t="n">
        <v>45682</v>
      </c>
      <c r="D1466" t="inlineStr">
        <is>
          <t>STOCKHOLMS LÄN</t>
        </is>
      </c>
      <c r="E1466" t="inlineStr">
        <is>
          <t>NORRTÄLJE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59276-2023</t>
        </is>
      </c>
      <c r="B1467" s="1" t="n">
        <v>45253</v>
      </c>
      <c r="C1467" s="1" t="n">
        <v>45682</v>
      </c>
      <c r="D1467" t="inlineStr">
        <is>
          <t>STOCKHOLMS LÄN</t>
        </is>
      </c>
      <c r="E1467" t="inlineStr">
        <is>
          <t>NORRTÄLJE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59468-2023</t>
        </is>
      </c>
      <c r="B1468" s="1" t="n">
        <v>45254</v>
      </c>
      <c r="C1468" s="1" t="n">
        <v>45682</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59499-2023</t>
        </is>
      </c>
      <c r="B1469" s="1" t="n">
        <v>45254</v>
      </c>
      <c r="C1469" s="1" t="n">
        <v>45682</v>
      </c>
      <c r="D1469" t="inlineStr">
        <is>
          <t>STOCKHOLMS LÄN</t>
        </is>
      </c>
      <c r="E1469" t="inlineStr">
        <is>
          <t>NORRTÄLJE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59504-2023</t>
        </is>
      </c>
      <c r="B1470" s="1" t="n">
        <v>45254</v>
      </c>
      <c r="C1470" s="1" t="n">
        <v>45682</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59676-2023</t>
        </is>
      </c>
      <c r="B1471" s="1" t="n">
        <v>45255</v>
      </c>
      <c r="C1471" s="1" t="n">
        <v>45682</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59904-2023</t>
        </is>
      </c>
      <c r="B1472" s="1" t="n">
        <v>45257</v>
      </c>
      <c r="C1472" s="1" t="n">
        <v>45682</v>
      </c>
      <c r="D1472" t="inlineStr">
        <is>
          <t>STOCKHOLMS LÄN</t>
        </is>
      </c>
      <c r="E1472" t="inlineStr">
        <is>
          <t>NORRTÄLJE</t>
        </is>
      </c>
      <c r="G1472" t="n">
        <v>17.4</v>
      </c>
      <c r="H1472" t="n">
        <v>0</v>
      </c>
      <c r="I1472" t="n">
        <v>0</v>
      </c>
      <c r="J1472" t="n">
        <v>0</v>
      </c>
      <c r="K1472" t="n">
        <v>0</v>
      </c>
      <c r="L1472" t="n">
        <v>0</v>
      </c>
      <c r="M1472" t="n">
        <v>0</v>
      </c>
      <c r="N1472" t="n">
        <v>0</v>
      </c>
      <c r="O1472" t="n">
        <v>0</v>
      </c>
      <c r="P1472" t="n">
        <v>0</v>
      </c>
      <c r="Q1472" t="n">
        <v>0</v>
      </c>
      <c r="R1472" s="2" t="inlineStr"/>
    </row>
    <row r="1473" ht="15" customHeight="1">
      <c r="A1473" t="inlineStr">
        <is>
          <t>A 59906-2023</t>
        </is>
      </c>
      <c r="B1473" s="1" t="n">
        <v>45257</v>
      </c>
      <c r="C1473" s="1" t="n">
        <v>45682</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59992-2023</t>
        </is>
      </c>
      <c r="B1474" s="1" t="n">
        <v>45257</v>
      </c>
      <c r="C1474" s="1" t="n">
        <v>45682</v>
      </c>
      <c r="D1474" t="inlineStr">
        <is>
          <t>STOCKHOLMS LÄN</t>
        </is>
      </c>
      <c r="E1474" t="inlineStr">
        <is>
          <t>NORRTÄLJE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60224-2023</t>
        </is>
      </c>
      <c r="B1475" s="1" t="n">
        <v>45257</v>
      </c>
      <c r="C1475" s="1" t="n">
        <v>45682</v>
      </c>
      <c r="D1475" t="inlineStr">
        <is>
          <t>STOCKHOLMS LÄN</t>
        </is>
      </c>
      <c r="E1475" t="inlineStr">
        <is>
          <t>NORRTÄLJE</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60073-2023</t>
        </is>
      </c>
      <c r="B1476" s="1" t="n">
        <v>45258</v>
      </c>
      <c r="C1476" s="1" t="n">
        <v>45682</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60492-2023</t>
        </is>
      </c>
      <c r="B1477" s="1" t="n">
        <v>45259</v>
      </c>
      <c r="C1477" s="1" t="n">
        <v>45682</v>
      </c>
      <c r="D1477" t="inlineStr">
        <is>
          <t>STOCKHOLMS LÄN</t>
        </is>
      </c>
      <c r="E1477" t="inlineStr">
        <is>
          <t>NORRTÄLJE</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60529-2023</t>
        </is>
      </c>
      <c r="B1478" s="1" t="n">
        <v>45259</v>
      </c>
      <c r="C1478" s="1" t="n">
        <v>45682</v>
      </c>
      <c r="D1478" t="inlineStr">
        <is>
          <t>STOCKHOLMS LÄN</t>
        </is>
      </c>
      <c r="E1478" t="inlineStr">
        <is>
          <t>NORRTÄLJE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60822-2023</t>
        </is>
      </c>
      <c r="B1479" s="1" t="n">
        <v>45259</v>
      </c>
      <c r="C1479" s="1" t="n">
        <v>45682</v>
      </c>
      <c r="D1479" t="inlineStr">
        <is>
          <t>STOCKHOLMS LÄN</t>
        </is>
      </c>
      <c r="E1479" t="inlineStr">
        <is>
          <t>NORRTÄLJE</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60654-2023</t>
        </is>
      </c>
      <c r="B1480" s="1" t="n">
        <v>45260</v>
      </c>
      <c r="C1480" s="1" t="n">
        <v>45682</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60640-2023</t>
        </is>
      </c>
      <c r="B1481" s="1" t="n">
        <v>45260</v>
      </c>
      <c r="C1481" s="1" t="n">
        <v>45682</v>
      </c>
      <c r="D1481" t="inlineStr">
        <is>
          <t>STOCKHOLMS LÄN</t>
        </is>
      </c>
      <c r="E1481" t="inlineStr">
        <is>
          <t>NORRTÄLJE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60672-2023</t>
        </is>
      </c>
      <c r="B1482" s="1" t="n">
        <v>45260</v>
      </c>
      <c r="C1482" s="1" t="n">
        <v>45682</v>
      </c>
      <c r="D1482" t="inlineStr">
        <is>
          <t>STOCKHOLMS LÄN</t>
        </is>
      </c>
      <c r="E1482" t="inlineStr">
        <is>
          <t>NORRTÄLJE</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60823-2023</t>
        </is>
      </c>
      <c r="B1483" s="1" t="n">
        <v>45260</v>
      </c>
      <c r="C1483" s="1" t="n">
        <v>45682</v>
      </c>
      <c r="D1483" t="inlineStr">
        <is>
          <t>STOCKHOLMS LÄN</t>
        </is>
      </c>
      <c r="E1483" t="inlineStr">
        <is>
          <t>NORRTÄLJE</t>
        </is>
      </c>
      <c r="G1483" t="n">
        <v>8.699999999999999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60656-2023</t>
        </is>
      </c>
      <c r="B1484" s="1" t="n">
        <v>45260</v>
      </c>
      <c r="C1484" s="1" t="n">
        <v>45682</v>
      </c>
      <c r="D1484" t="inlineStr">
        <is>
          <t>STOCKHOLMS LÄN</t>
        </is>
      </c>
      <c r="E1484" t="inlineStr">
        <is>
          <t>NORRTÄLJE</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60765-2023</t>
        </is>
      </c>
      <c r="B1485" s="1" t="n">
        <v>45260</v>
      </c>
      <c r="C1485" s="1" t="n">
        <v>45682</v>
      </c>
      <c r="D1485" t="inlineStr">
        <is>
          <t>STOCKHOLMS LÄN</t>
        </is>
      </c>
      <c r="E1485" t="inlineStr">
        <is>
          <t>NORRTÄLJE</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61113-2023</t>
        </is>
      </c>
      <c r="B1486" s="1" t="n">
        <v>45261</v>
      </c>
      <c r="C1486" s="1" t="n">
        <v>45682</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62644-2023</t>
        </is>
      </c>
      <c r="B1487" s="1" t="n">
        <v>45271</v>
      </c>
      <c r="C1487" s="1" t="n">
        <v>45682</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62998-2023</t>
        </is>
      </c>
      <c r="B1488" s="1" t="n">
        <v>45272</v>
      </c>
      <c r="C1488" s="1" t="n">
        <v>45682</v>
      </c>
      <c r="D1488" t="inlineStr">
        <is>
          <t>STOCKHOLMS LÄN</t>
        </is>
      </c>
      <c r="E1488" t="inlineStr">
        <is>
          <t>NORRTÄLJE</t>
        </is>
      </c>
      <c r="G1488" t="n">
        <v>16.3</v>
      </c>
      <c r="H1488" t="n">
        <v>0</v>
      </c>
      <c r="I1488" t="n">
        <v>0</v>
      </c>
      <c r="J1488" t="n">
        <v>0</v>
      </c>
      <c r="K1488" t="n">
        <v>0</v>
      </c>
      <c r="L1488" t="n">
        <v>0</v>
      </c>
      <c r="M1488" t="n">
        <v>0</v>
      </c>
      <c r="N1488" t="n">
        <v>0</v>
      </c>
      <c r="O1488" t="n">
        <v>0</v>
      </c>
      <c r="P1488" t="n">
        <v>0</v>
      </c>
      <c r="Q1488" t="n">
        <v>0</v>
      </c>
      <c r="R1488" s="2" t="inlineStr"/>
    </row>
    <row r="1489" ht="15" customHeight="1">
      <c r="A1489" t="inlineStr">
        <is>
          <t>A 63015-2023</t>
        </is>
      </c>
      <c r="B1489" s="1" t="n">
        <v>45272</v>
      </c>
      <c r="C1489" s="1" t="n">
        <v>45682</v>
      </c>
      <c r="D1489" t="inlineStr">
        <is>
          <t>STOCKHOLMS LÄN</t>
        </is>
      </c>
      <c r="E1489" t="inlineStr">
        <is>
          <t>NORRTÄLJE</t>
        </is>
      </c>
      <c r="G1489" t="n">
        <v>13.1</v>
      </c>
      <c r="H1489" t="n">
        <v>0</v>
      </c>
      <c r="I1489" t="n">
        <v>0</v>
      </c>
      <c r="J1489" t="n">
        <v>0</v>
      </c>
      <c r="K1489" t="n">
        <v>0</v>
      </c>
      <c r="L1489" t="n">
        <v>0</v>
      </c>
      <c r="M1489" t="n">
        <v>0</v>
      </c>
      <c r="N1489" t="n">
        <v>0</v>
      </c>
      <c r="O1489" t="n">
        <v>0</v>
      </c>
      <c r="P1489" t="n">
        <v>0</v>
      </c>
      <c r="Q1489" t="n">
        <v>0</v>
      </c>
      <c r="R1489" s="2" t="inlineStr"/>
    </row>
    <row r="1490" ht="15" customHeight="1">
      <c r="A1490" t="inlineStr">
        <is>
          <t>A 62971-2023</t>
        </is>
      </c>
      <c r="B1490" s="1" t="n">
        <v>45272</v>
      </c>
      <c r="C1490" s="1" t="n">
        <v>45682</v>
      </c>
      <c r="D1490" t="inlineStr">
        <is>
          <t>STOCKHOLMS LÄN</t>
        </is>
      </c>
      <c r="E1490" t="inlineStr">
        <is>
          <t>NORRTÄLJE</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63013-2023</t>
        </is>
      </c>
      <c r="B1491" s="1" t="n">
        <v>45272</v>
      </c>
      <c r="C1491" s="1" t="n">
        <v>45682</v>
      </c>
      <c r="D1491" t="inlineStr">
        <is>
          <t>STOCKHOLMS LÄN</t>
        </is>
      </c>
      <c r="E1491" t="inlineStr">
        <is>
          <t>NORRTÄLJE</t>
        </is>
      </c>
      <c r="G1491" t="n">
        <v>14.9</v>
      </c>
      <c r="H1491" t="n">
        <v>0</v>
      </c>
      <c r="I1491" t="n">
        <v>0</v>
      </c>
      <c r="J1491" t="n">
        <v>0</v>
      </c>
      <c r="K1491" t="n">
        <v>0</v>
      </c>
      <c r="L1491" t="n">
        <v>0</v>
      </c>
      <c r="M1491" t="n">
        <v>0</v>
      </c>
      <c r="N1491" t="n">
        <v>0</v>
      </c>
      <c r="O1491" t="n">
        <v>0</v>
      </c>
      <c r="P1491" t="n">
        <v>0</v>
      </c>
      <c r="Q1491" t="n">
        <v>0</v>
      </c>
      <c r="R1491" s="2" t="inlineStr"/>
    </row>
    <row r="1492" ht="15" customHeight="1">
      <c r="A1492" t="inlineStr">
        <is>
          <t>A 63161-2023</t>
        </is>
      </c>
      <c r="B1492" s="1" t="n">
        <v>45273</v>
      </c>
      <c r="C1492" s="1" t="n">
        <v>45682</v>
      </c>
      <c r="D1492" t="inlineStr">
        <is>
          <t>STOCKHOLMS LÄN</t>
        </is>
      </c>
      <c r="E1492" t="inlineStr">
        <is>
          <t>NORRTÄLJE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63655-2023</t>
        </is>
      </c>
      <c r="B1493" s="1" t="n">
        <v>45275</v>
      </c>
      <c r="C1493" s="1" t="n">
        <v>45682</v>
      </c>
      <c r="D1493" t="inlineStr">
        <is>
          <t>STOCKHOLMS LÄN</t>
        </is>
      </c>
      <c r="E1493" t="inlineStr">
        <is>
          <t>NORRTÄLJE</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64902-2023</t>
        </is>
      </c>
      <c r="B1494" s="1" t="n">
        <v>45282</v>
      </c>
      <c r="C1494" s="1" t="n">
        <v>45682</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64899-2023</t>
        </is>
      </c>
      <c r="B1495" s="1" t="n">
        <v>45282</v>
      </c>
      <c r="C1495" s="1" t="n">
        <v>45682</v>
      </c>
      <c r="D1495" t="inlineStr">
        <is>
          <t>STOCKHOLMS LÄN</t>
        </is>
      </c>
      <c r="E1495" t="inlineStr">
        <is>
          <t>NORRTÄLJE</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9-2024</t>
        </is>
      </c>
      <c r="B1496" s="1" t="n">
        <v>45293</v>
      </c>
      <c r="C1496" s="1" t="n">
        <v>45682</v>
      </c>
      <c r="D1496" t="inlineStr">
        <is>
          <t>STOCKHOLMS LÄN</t>
        </is>
      </c>
      <c r="E1496" t="inlineStr">
        <is>
          <t>NORRTÄLJE</t>
        </is>
      </c>
      <c r="F1496" t="inlineStr">
        <is>
          <t>Sveaskog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13-2024</t>
        </is>
      </c>
      <c r="B1497" s="1" t="n">
        <v>45293</v>
      </c>
      <c r="C1497" s="1" t="n">
        <v>45682</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11-2024</t>
        </is>
      </c>
      <c r="B1498" s="1" t="n">
        <v>45293</v>
      </c>
      <c r="C1498" s="1" t="n">
        <v>45682</v>
      </c>
      <c r="D1498" t="inlineStr">
        <is>
          <t>STOCKHOLMS LÄN</t>
        </is>
      </c>
      <c r="E1498" t="inlineStr">
        <is>
          <t>NORRTÄLJE</t>
        </is>
      </c>
      <c r="F1498" t="inlineStr">
        <is>
          <t>Sveaskog</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19-2024</t>
        </is>
      </c>
      <c r="B1499" s="1" t="n">
        <v>45293</v>
      </c>
      <c r="C1499" s="1" t="n">
        <v>45682</v>
      </c>
      <c r="D1499" t="inlineStr">
        <is>
          <t>STOCKHOLMS LÄN</t>
        </is>
      </c>
      <c r="E1499" t="inlineStr">
        <is>
          <t>NORRTÄLJE</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329-2024</t>
        </is>
      </c>
      <c r="B1500" s="1" t="n">
        <v>45295</v>
      </c>
      <c r="C1500" s="1" t="n">
        <v>45682</v>
      </c>
      <c r="D1500" t="inlineStr">
        <is>
          <t>STOCKHOLMS LÄN</t>
        </is>
      </c>
      <c r="E1500" t="inlineStr">
        <is>
          <t>NORRTÄLJE</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498-2024</t>
        </is>
      </c>
      <c r="B1501" s="1" t="n">
        <v>45299</v>
      </c>
      <c r="C1501" s="1" t="n">
        <v>45682</v>
      </c>
      <c r="D1501" t="inlineStr">
        <is>
          <t>STOCKHOLMS LÄN</t>
        </is>
      </c>
      <c r="E1501" t="inlineStr">
        <is>
          <t>NORRTÄLJE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577-2024</t>
        </is>
      </c>
      <c r="B1502" s="1" t="n">
        <v>45299</v>
      </c>
      <c r="C1502" s="1" t="n">
        <v>45682</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1372-2024</t>
        </is>
      </c>
      <c r="B1503" s="1" t="n">
        <v>45303</v>
      </c>
      <c r="C1503" s="1" t="n">
        <v>45682</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1996-2024</t>
        </is>
      </c>
      <c r="B1504" s="1" t="n">
        <v>45308</v>
      </c>
      <c r="C1504" s="1" t="n">
        <v>45682</v>
      </c>
      <c r="D1504" t="inlineStr">
        <is>
          <t>STOCKHOLMS LÄN</t>
        </is>
      </c>
      <c r="E1504" t="inlineStr">
        <is>
          <t>NORRTÄLJE</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2287-2024</t>
        </is>
      </c>
      <c r="B1505" s="1" t="n">
        <v>45310</v>
      </c>
      <c r="C1505" s="1" t="n">
        <v>45682</v>
      </c>
      <c r="D1505" t="inlineStr">
        <is>
          <t>STOCKHOLMS LÄN</t>
        </is>
      </c>
      <c r="E1505" t="inlineStr">
        <is>
          <t>NORRTÄLJE</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2281-2024</t>
        </is>
      </c>
      <c r="B1506" s="1" t="n">
        <v>45310</v>
      </c>
      <c r="C1506" s="1" t="n">
        <v>45682</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2613-2024</t>
        </is>
      </c>
      <c r="B1507" s="1" t="n">
        <v>45313</v>
      </c>
      <c r="C1507" s="1" t="n">
        <v>45682</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2611-2024</t>
        </is>
      </c>
      <c r="B1508" s="1" t="n">
        <v>45313</v>
      </c>
      <c r="C1508" s="1" t="n">
        <v>45682</v>
      </c>
      <c r="D1508" t="inlineStr">
        <is>
          <t>STOCKHOLMS LÄN</t>
        </is>
      </c>
      <c r="E1508" t="inlineStr">
        <is>
          <t>NORRTÄLJE</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3084-2024</t>
        </is>
      </c>
      <c r="B1509" s="1" t="n">
        <v>45316</v>
      </c>
      <c r="C1509" s="1" t="n">
        <v>45682</v>
      </c>
      <c r="D1509" t="inlineStr">
        <is>
          <t>STOCKHOLMS LÄN</t>
        </is>
      </c>
      <c r="E1509" t="inlineStr">
        <is>
          <t>NORRTÄLJE</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3152-2024</t>
        </is>
      </c>
      <c r="B1510" s="1" t="n">
        <v>45316</v>
      </c>
      <c r="C1510" s="1" t="n">
        <v>45682</v>
      </c>
      <c r="D1510" t="inlineStr">
        <is>
          <t>STOCKHOLMS LÄN</t>
        </is>
      </c>
      <c r="E1510" t="inlineStr">
        <is>
          <t>NORRTÄLJE</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3381-2024</t>
        </is>
      </c>
      <c r="B1511" s="1" t="n">
        <v>45317</v>
      </c>
      <c r="C1511" s="1" t="n">
        <v>45682</v>
      </c>
      <c r="D1511" t="inlineStr">
        <is>
          <t>STOCKHOLMS LÄN</t>
        </is>
      </c>
      <c r="E1511" t="inlineStr">
        <is>
          <t>NORRTÄLJE</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3942-2024</t>
        </is>
      </c>
      <c r="B1512" s="1" t="n">
        <v>45322</v>
      </c>
      <c r="C1512" s="1" t="n">
        <v>45682</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3966-2024</t>
        </is>
      </c>
      <c r="B1513" s="1" t="n">
        <v>45322</v>
      </c>
      <c r="C1513" s="1" t="n">
        <v>45682</v>
      </c>
      <c r="D1513" t="inlineStr">
        <is>
          <t>STOCKHOLMS LÄN</t>
        </is>
      </c>
      <c r="E1513" t="inlineStr">
        <is>
          <t>NORRTÄLJE</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4051-2024</t>
        </is>
      </c>
      <c r="B1514" s="1" t="n">
        <v>45323</v>
      </c>
      <c r="C1514" s="1" t="n">
        <v>45682</v>
      </c>
      <c r="D1514" t="inlineStr">
        <is>
          <t>STOCKHOLMS LÄN</t>
        </is>
      </c>
      <c r="E1514" t="inlineStr">
        <is>
          <t>NORRTÄLJE</t>
        </is>
      </c>
      <c r="F1514" t="inlineStr">
        <is>
          <t>Kyrkan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4542-2024</t>
        </is>
      </c>
      <c r="B1515" s="1" t="n">
        <v>45327</v>
      </c>
      <c r="C1515" s="1" t="n">
        <v>45682</v>
      </c>
      <c r="D1515" t="inlineStr">
        <is>
          <t>STOCKHOLMS LÄN</t>
        </is>
      </c>
      <c r="E1515" t="inlineStr">
        <is>
          <t>NORRTÄLJE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4658-2024</t>
        </is>
      </c>
      <c r="B1516" s="1" t="n">
        <v>45328</v>
      </c>
      <c r="C1516" s="1" t="n">
        <v>45682</v>
      </c>
      <c r="D1516" t="inlineStr">
        <is>
          <t>STOCKHOLMS LÄN</t>
        </is>
      </c>
      <c r="E1516" t="inlineStr">
        <is>
          <t>NORRTÄLJE</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4730-2024</t>
        </is>
      </c>
      <c r="B1517" s="1" t="n">
        <v>45328</v>
      </c>
      <c r="C1517" s="1" t="n">
        <v>45682</v>
      </c>
      <c r="D1517" t="inlineStr">
        <is>
          <t>STOCKHOLMS LÄN</t>
        </is>
      </c>
      <c r="E1517" t="inlineStr">
        <is>
          <t>NORRTÄLJE</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5158-2024</t>
        </is>
      </c>
      <c r="B1518" s="1" t="n">
        <v>45330</v>
      </c>
      <c r="C1518" s="1" t="n">
        <v>45682</v>
      </c>
      <c r="D1518" t="inlineStr">
        <is>
          <t>STOCKHOLMS LÄN</t>
        </is>
      </c>
      <c r="E1518" t="inlineStr">
        <is>
          <t>NORRTÄLJE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5670-2024</t>
        </is>
      </c>
      <c r="B1519" s="1" t="n">
        <v>45334</v>
      </c>
      <c r="C1519" s="1" t="n">
        <v>45682</v>
      </c>
      <c r="D1519" t="inlineStr">
        <is>
          <t>STOCKHOLMS LÄN</t>
        </is>
      </c>
      <c r="E1519" t="inlineStr">
        <is>
          <t>NORRTÄLJE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5664-2024</t>
        </is>
      </c>
      <c r="B1520" s="1" t="n">
        <v>45334</v>
      </c>
      <c r="C1520" s="1" t="n">
        <v>45682</v>
      </c>
      <c r="D1520" t="inlineStr">
        <is>
          <t>STOCKHOLMS LÄN</t>
        </is>
      </c>
      <c r="E1520" t="inlineStr">
        <is>
          <t>NORRTÄLJE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5683-2024</t>
        </is>
      </c>
      <c r="B1521" s="1" t="n">
        <v>45334</v>
      </c>
      <c r="C1521" s="1" t="n">
        <v>45682</v>
      </c>
      <c r="D1521" t="inlineStr">
        <is>
          <t>STOCKHOLMS LÄN</t>
        </is>
      </c>
      <c r="E1521" t="inlineStr">
        <is>
          <t>NORRTÄLJE</t>
        </is>
      </c>
      <c r="G1521" t="n">
        <v>11.3</v>
      </c>
      <c r="H1521" t="n">
        <v>0</v>
      </c>
      <c r="I1521" t="n">
        <v>0</v>
      </c>
      <c r="J1521" t="n">
        <v>0</v>
      </c>
      <c r="K1521" t="n">
        <v>0</v>
      </c>
      <c r="L1521" t="n">
        <v>0</v>
      </c>
      <c r="M1521" t="n">
        <v>0</v>
      </c>
      <c r="N1521" t="n">
        <v>0</v>
      </c>
      <c r="O1521" t="n">
        <v>0</v>
      </c>
      <c r="P1521" t="n">
        <v>0</v>
      </c>
      <c r="Q1521" t="n">
        <v>0</v>
      </c>
      <c r="R1521" s="2" t="inlineStr"/>
    </row>
    <row r="1522" ht="15" customHeight="1">
      <c r="A1522" t="inlineStr">
        <is>
          <t>A 5625-2024</t>
        </is>
      </c>
      <c r="B1522" s="1" t="n">
        <v>45334</v>
      </c>
      <c r="C1522" s="1" t="n">
        <v>45682</v>
      </c>
      <c r="D1522" t="inlineStr">
        <is>
          <t>STOCKHOLMS LÄN</t>
        </is>
      </c>
      <c r="E1522" t="inlineStr">
        <is>
          <t>NORRTÄLJE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5862-2024</t>
        </is>
      </c>
      <c r="B1523" s="1" t="n">
        <v>45335</v>
      </c>
      <c r="C1523" s="1" t="n">
        <v>45682</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5831-2024</t>
        </is>
      </c>
      <c r="B1524" s="1" t="n">
        <v>45335</v>
      </c>
      <c r="C1524" s="1" t="n">
        <v>45682</v>
      </c>
      <c r="D1524" t="inlineStr">
        <is>
          <t>STOCKHOLMS LÄN</t>
        </is>
      </c>
      <c r="E1524" t="inlineStr">
        <is>
          <t>NORRTÄLJE</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5894-2024</t>
        </is>
      </c>
      <c r="B1525" s="1" t="n">
        <v>45335</v>
      </c>
      <c r="C1525" s="1" t="n">
        <v>45682</v>
      </c>
      <c r="D1525" t="inlineStr">
        <is>
          <t>STOCKHOLMS LÄN</t>
        </is>
      </c>
      <c r="E1525" t="inlineStr">
        <is>
          <t>NORRTÄLJE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6401-2024</t>
        </is>
      </c>
      <c r="B1526" s="1" t="n">
        <v>45338</v>
      </c>
      <c r="C1526" s="1" t="n">
        <v>45682</v>
      </c>
      <c r="D1526" t="inlineStr">
        <is>
          <t>STOCKHOLMS LÄN</t>
        </is>
      </c>
      <c r="E1526" t="inlineStr">
        <is>
          <t>NORRTÄLJE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6537-2024</t>
        </is>
      </c>
      <c r="B1527" s="1" t="n">
        <v>45341</v>
      </c>
      <c r="C1527" s="1" t="n">
        <v>45682</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7009-2024</t>
        </is>
      </c>
      <c r="B1528" s="1" t="n">
        <v>45343</v>
      </c>
      <c r="C1528" s="1" t="n">
        <v>45682</v>
      </c>
      <c r="D1528" t="inlineStr">
        <is>
          <t>STOCKHOLMS LÄN</t>
        </is>
      </c>
      <c r="E1528" t="inlineStr">
        <is>
          <t>NORRTÄLJE</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7186-2024</t>
        </is>
      </c>
      <c r="B1529" s="1" t="n">
        <v>45344</v>
      </c>
      <c r="C1529" s="1" t="n">
        <v>45682</v>
      </c>
      <c r="D1529" t="inlineStr">
        <is>
          <t>STOCKHOLMS LÄN</t>
        </is>
      </c>
      <c r="E1529" t="inlineStr">
        <is>
          <t>NORRTÄLJE</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7408-2024</t>
        </is>
      </c>
      <c r="B1530" s="1" t="n">
        <v>45345</v>
      </c>
      <c r="C1530" s="1" t="n">
        <v>45682</v>
      </c>
      <c r="D1530" t="inlineStr">
        <is>
          <t>STOCKHOLMS LÄN</t>
        </is>
      </c>
      <c r="E1530" t="inlineStr">
        <is>
          <t>NORRTÄLJE</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7573-2024</t>
        </is>
      </c>
      <c r="B1531" s="1" t="n">
        <v>45345</v>
      </c>
      <c r="C1531" s="1" t="n">
        <v>45682</v>
      </c>
      <c r="D1531" t="inlineStr">
        <is>
          <t>STOCKHOLMS LÄN</t>
        </is>
      </c>
      <c r="E1531" t="inlineStr">
        <is>
          <t>NORRTÄLJE</t>
        </is>
      </c>
      <c r="F1531" t="inlineStr">
        <is>
          <t>Övriga Aktiebolag</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7425-2024</t>
        </is>
      </c>
      <c r="B1532" s="1" t="n">
        <v>45345</v>
      </c>
      <c r="C1532" s="1" t="n">
        <v>45682</v>
      </c>
      <c r="D1532" t="inlineStr">
        <is>
          <t>STOCKHOLMS LÄN</t>
        </is>
      </c>
      <c r="E1532" t="inlineStr">
        <is>
          <t>NORRTÄLJE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7413-2024</t>
        </is>
      </c>
      <c r="B1533" s="1" t="n">
        <v>45345</v>
      </c>
      <c r="C1533" s="1" t="n">
        <v>45682</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7385-2024</t>
        </is>
      </c>
      <c r="B1534" s="1" t="n">
        <v>45345</v>
      </c>
      <c r="C1534" s="1" t="n">
        <v>45682</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7329-2024</t>
        </is>
      </c>
      <c r="B1535" s="1" t="n">
        <v>45345</v>
      </c>
      <c r="C1535" s="1" t="n">
        <v>45682</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7483-2024</t>
        </is>
      </c>
      <c r="B1536" s="1" t="n">
        <v>45346</v>
      </c>
      <c r="C1536" s="1" t="n">
        <v>45682</v>
      </c>
      <c r="D1536" t="inlineStr">
        <is>
          <t>STOCKHOLMS LÄN</t>
        </is>
      </c>
      <c r="E1536" t="inlineStr">
        <is>
          <t>NORRTÄLJE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7571-2024</t>
        </is>
      </c>
      <c r="B1537" s="1" t="n">
        <v>45348</v>
      </c>
      <c r="C1537" s="1" t="n">
        <v>45682</v>
      </c>
      <c r="D1537" t="inlineStr">
        <is>
          <t>STOCKHOLMS LÄN</t>
        </is>
      </c>
      <c r="E1537" t="inlineStr">
        <is>
          <t>NORRTÄLJE</t>
        </is>
      </c>
      <c r="F1537" t="inlineStr">
        <is>
          <t>Holmen skog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8270-2024</t>
        </is>
      </c>
      <c r="B1538" s="1" t="n">
        <v>45352</v>
      </c>
      <c r="C1538" s="1" t="n">
        <v>45682</v>
      </c>
      <c r="D1538" t="inlineStr">
        <is>
          <t>STOCKHOLMS LÄN</t>
        </is>
      </c>
      <c r="E1538" t="inlineStr">
        <is>
          <t>NORRTÄLJE</t>
        </is>
      </c>
      <c r="F1538" t="inlineStr">
        <is>
          <t>Kyrkan</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8399-2024</t>
        </is>
      </c>
      <c r="B1539" s="1" t="n">
        <v>45352</v>
      </c>
      <c r="C1539" s="1" t="n">
        <v>45682</v>
      </c>
      <c r="D1539" t="inlineStr">
        <is>
          <t>STOCKHOLMS LÄN</t>
        </is>
      </c>
      <c r="E1539" t="inlineStr">
        <is>
          <t>NORRTÄLJE</t>
        </is>
      </c>
      <c r="G1539" t="n">
        <v>11.4</v>
      </c>
      <c r="H1539" t="n">
        <v>0</v>
      </c>
      <c r="I1539" t="n">
        <v>0</v>
      </c>
      <c r="J1539" t="n">
        <v>0</v>
      </c>
      <c r="K1539" t="n">
        <v>0</v>
      </c>
      <c r="L1539" t="n">
        <v>0</v>
      </c>
      <c r="M1539" t="n">
        <v>0</v>
      </c>
      <c r="N1539" t="n">
        <v>0</v>
      </c>
      <c r="O1539" t="n">
        <v>0</v>
      </c>
      <c r="P1539" t="n">
        <v>0</v>
      </c>
      <c r="Q1539" t="n">
        <v>0</v>
      </c>
      <c r="R1539" s="2" t="inlineStr"/>
    </row>
    <row r="1540" ht="15" customHeight="1">
      <c r="A1540" t="inlineStr">
        <is>
          <t>A 8365-2024</t>
        </is>
      </c>
      <c r="B1540" s="1" t="n">
        <v>45352</v>
      </c>
      <c r="C1540" s="1" t="n">
        <v>45682</v>
      </c>
      <c r="D1540" t="inlineStr">
        <is>
          <t>STOCKHOLMS LÄN</t>
        </is>
      </c>
      <c r="E1540" t="inlineStr">
        <is>
          <t>NORRTÄLJE</t>
        </is>
      </c>
      <c r="F1540" t="inlineStr">
        <is>
          <t>Naturvårdsverket</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8400-2024</t>
        </is>
      </c>
      <c r="B1541" s="1" t="n">
        <v>45352</v>
      </c>
      <c r="C1541" s="1" t="n">
        <v>45682</v>
      </c>
      <c r="D1541" t="inlineStr">
        <is>
          <t>STOCKHOLMS LÄN</t>
        </is>
      </c>
      <c r="E1541" t="inlineStr">
        <is>
          <t>NORRTÄLJE</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8401-2024</t>
        </is>
      </c>
      <c r="B1542" s="1" t="n">
        <v>45352</v>
      </c>
      <c r="C1542" s="1" t="n">
        <v>45682</v>
      </c>
      <c r="D1542" t="inlineStr">
        <is>
          <t>STOCKHOLMS LÄN</t>
        </is>
      </c>
      <c r="E1542" t="inlineStr">
        <is>
          <t>NORRTÄLJE</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8739-2024</t>
        </is>
      </c>
      <c r="B1543" s="1" t="n">
        <v>45356</v>
      </c>
      <c r="C1543" s="1" t="n">
        <v>45682</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8736-2024</t>
        </is>
      </c>
      <c r="B1544" s="1" t="n">
        <v>45356</v>
      </c>
      <c r="C1544" s="1" t="n">
        <v>45682</v>
      </c>
      <c r="D1544" t="inlineStr">
        <is>
          <t>STOCKHOLMS LÄN</t>
        </is>
      </c>
      <c r="E1544" t="inlineStr">
        <is>
          <t>NORRTÄLJE</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9246-2024</t>
        </is>
      </c>
      <c r="B1545" s="1" t="n">
        <v>45357</v>
      </c>
      <c r="C1545" s="1" t="n">
        <v>45682</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9300-2024</t>
        </is>
      </c>
      <c r="B1546" s="1" t="n">
        <v>45358</v>
      </c>
      <c r="C1546" s="1" t="n">
        <v>45682</v>
      </c>
      <c r="D1546" t="inlineStr">
        <is>
          <t>STOCKHOLMS LÄN</t>
        </is>
      </c>
      <c r="E1546" t="inlineStr">
        <is>
          <t>NORRTÄLJE</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9297-2024</t>
        </is>
      </c>
      <c r="B1547" s="1" t="n">
        <v>45358</v>
      </c>
      <c r="C1547" s="1" t="n">
        <v>45682</v>
      </c>
      <c r="D1547" t="inlineStr">
        <is>
          <t>STOCKHOLMS LÄN</t>
        </is>
      </c>
      <c r="E1547" t="inlineStr">
        <is>
          <t>NORRTÄLJE</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9301-2024</t>
        </is>
      </c>
      <c r="B1548" s="1" t="n">
        <v>45358</v>
      </c>
      <c r="C1548" s="1" t="n">
        <v>45682</v>
      </c>
      <c r="D1548" t="inlineStr">
        <is>
          <t>STOCKHOLMS LÄN</t>
        </is>
      </c>
      <c r="E1548" t="inlineStr">
        <is>
          <t>NORRTÄLJE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9305-2024</t>
        </is>
      </c>
      <c r="B1549" s="1" t="n">
        <v>45358</v>
      </c>
      <c r="C1549" s="1" t="n">
        <v>45682</v>
      </c>
      <c r="D1549" t="inlineStr">
        <is>
          <t>STOCKHOLMS LÄN</t>
        </is>
      </c>
      <c r="E1549" t="inlineStr">
        <is>
          <t>NORRTÄLJE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9765-2024</t>
        </is>
      </c>
      <c r="B1550" s="1" t="n">
        <v>45362</v>
      </c>
      <c r="C1550" s="1" t="n">
        <v>45682</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9959-2024</t>
        </is>
      </c>
      <c r="B1551" s="1" t="n">
        <v>45363</v>
      </c>
      <c r="C1551" s="1" t="n">
        <v>45682</v>
      </c>
      <c r="D1551" t="inlineStr">
        <is>
          <t>STOCKHOLMS LÄN</t>
        </is>
      </c>
      <c r="E1551" t="inlineStr">
        <is>
          <t>NORRTÄLJE</t>
        </is>
      </c>
      <c r="F1551" t="inlineStr">
        <is>
          <t>Naturvårdsverket</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10258-2024</t>
        </is>
      </c>
      <c r="B1552" s="1" t="n">
        <v>45365</v>
      </c>
      <c r="C1552" s="1" t="n">
        <v>45682</v>
      </c>
      <c r="D1552" t="inlineStr">
        <is>
          <t>STOCKHOLMS LÄN</t>
        </is>
      </c>
      <c r="E1552" t="inlineStr">
        <is>
          <t>NORRTÄLJE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10279-2024</t>
        </is>
      </c>
      <c r="B1553" s="1" t="n">
        <v>45365</v>
      </c>
      <c r="C1553" s="1" t="n">
        <v>45682</v>
      </c>
      <c r="D1553" t="inlineStr">
        <is>
          <t>STOCKHOLMS LÄN</t>
        </is>
      </c>
      <c r="E1553" t="inlineStr">
        <is>
          <t>NORRTÄLJE</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10643-2024</t>
        </is>
      </c>
      <c r="B1554" s="1" t="n">
        <v>45367</v>
      </c>
      <c r="C1554" s="1" t="n">
        <v>45682</v>
      </c>
      <c r="D1554" t="inlineStr">
        <is>
          <t>STOCKHOLMS LÄN</t>
        </is>
      </c>
      <c r="E1554" t="inlineStr">
        <is>
          <t>NORRTÄLJE</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10840-2024</t>
        </is>
      </c>
      <c r="B1555" s="1" t="n">
        <v>45369</v>
      </c>
      <c r="C1555" s="1" t="n">
        <v>45682</v>
      </c>
      <c r="D1555" t="inlineStr">
        <is>
          <t>STOCKHOLMS LÄN</t>
        </is>
      </c>
      <c r="E1555" t="inlineStr">
        <is>
          <t>NORRTÄLJE</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10810-2024</t>
        </is>
      </c>
      <c r="B1556" s="1" t="n">
        <v>45369</v>
      </c>
      <c r="C1556" s="1" t="n">
        <v>45682</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10930-2024</t>
        </is>
      </c>
      <c r="B1557" s="1" t="n">
        <v>45370</v>
      </c>
      <c r="C1557" s="1" t="n">
        <v>45682</v>
      </c>
      <c r="D1557" t="inlineStr">
        <is>
          <t>STOCKHOLMS LÄN</t>
        </is>
      </c>
      <c r="E1557" t="inlineStr">
        <is>
          <t>NORRTÄLJE</t>
        </is>
      </c>
      <c r="G1557" t="n">
        <v>8.699999999999999</v>
      </c>
      <c r="H1557" t="n">
        <v>0</v>
      </c>
      <c r="I1557" t="n">
        <v>0</v>
      </c>
      <c r="J1557" t="n">
        <v>0</v>
      </c>
      <c r="K1557" t="n">
        <v>0</v>
      </c>
      <c r="L1557" t="n">
        <v>0</v>
      </c>
      <c r="M1557" t="n">
        <v>0</v>
      </c>
      <c r="N1557" t="n">
        <v>0</v>
      </c>
      <c r="O1557" t="n">
        <v>0</v>
      </c>
      <c r="P1557" t="n">
        <v>0</v>
      </c>
      <c r="Q1557" t="n">
        <v>0</v>
      </c>
      <c r="R1557" s="2" t="inlineStr"/>
      <c r="U1557">
        <f>HYPERLINK("https://klasma.github.io/Logging_0188/knärot/A 10930-2024 karta knärot.png", "A 10930-2024")</f>
        <v/>
      </c>
      <c r="V1557">
        <f>HYPERLINK("https://klasma.github.io/Logging_0188/klagomål/A 10930-2024 FSC-klagomål.docx", "A 10930-2024")</f>
        <v/>
      </c>
      <c r="W1557">
        <f>HYPERLINK("https://klasma.github.io/Logging_0188/klagomålsmail/A 10930-2024 FSC-klagomål mail.docx", "A 10930-2024")</f>
        <v/>
      </c>
      <c r="X1557">
        <f>HYPERLINK("https://klasma.github.io/Logging_0188/tillsyn/A 10930-2024 tillsynsbegäran.docx", "A 10930-2024")</f>
        <v/>
      </c>
      <c r="Y1557">
        <f>HYPERLINK("https://klasma.github.io/Logging_0188/tillsynsmail/A 10930-2024 tillsynsbegäran mail.docx", "A 10930-2024")</f>
        <v/>
      </c>
    </row>
    <row r="1558" ht="15" customHeight="1">
      <c r="A1558" t="inlineStr">
        <is>
          <t>A 11062-2024</t>
        </is>
      </c>
      <c r="B1558" s="1" t="n">
        <v>45370</v>
      </c>
      <c r="C1558" s="1" t="n">
        <v>45682</v>
      </c>
      <c r="D1558" t="inlineStr">
        <is>
          <t>STOCKHOLMS LÄN</t>
        </is>
      </c>
      <c r="E1558" t="inlineStr">
        <is>
          <t>NORRTÄLJE</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10968-2024</t>
        </is>
      </c>
      <c r="B1559" s="1" t="n">
        <v>45370</v>
      </c>
      <c r="C1559" s="1" t="n">
        <v>45682</v>
      </c>
      <c r="D1559" t="inlineStr">
        <is>
          <t>STOCKHOLMS LÄN</t>
        </is>
      </c>
      <c r="E1559" t="inlineStr">
        <is>
          <t>NORRTÄLJE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11902-2024</t>
        </is>
      </c>
      <c r="B1560" s="1" t="n">
        <v>45376</v>
      </c>
      <c r="C1560" s="1" t="n">
        <v>45682</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11926-2024</t>
        </is>
      </c>
      <c r="B1561" s="1" t="n">
        <v>45376</v>
      </c>
      <c r="C1561" s="1" t="n">
        <v>45682</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11896-2024</t>
        </is>
      </c>
      <c r="B1562" s="1" t="n">
        <v>45376</v>
      </c>
      <c r="C1562" s="1" t="n">
        <v>45682</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11900-2024</t>
        </is>
      </c>
      <c r="B1563" s="1" t="n">
        <v>45376</v>
      </c>
      <c r="C1563" s="1" t="n">
        <v>45682</v>
      </c>
      <c r="D1563" t="inlineStr">
        <is>
          <t>STOCKHOLMS LÄN</t>
        </is>
      </c>
      <c r="E1563" t="inlineStr">
        <is>
          <t>NORRTÄLJE</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11924-2024</t>
        </is>
      </c>
      <c r="B1564" s="1" t="n">
        <v>45376</v>
      </c>
      <c r="C1564" s="1" t="n">
        <v>45682</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11893-2024</t>
        </is>
      </c>
      <c r="B1565" s="1" t="n">
        <v>45376</v>
      </c>
      <c r="C1565" s="1" t="n">
        <v>45682</v>
      </c>
      <c r="D1565" t="inlineStr">
        <is>
          <t>STOCKHOLMS LÄN</t>
        </is>
      </c>
      <c r="E1565" t="inlineStr">
        <is>
          <t>NORRTÄLJE</t>
        </is>
      </c>
      <c r="G1565" t="n">
        <v>9.9</v>
      </c>
      <c r="H1565" t="n">
        <v>0</v>
      </c>
      <c r="I1565" t="n">
        <v>0</v>
      </c>
      <c r="J1565" t="n">
        <v>0</v>
      </c>
      <c r="K1565" t="n">
        <v>0</v>
      </c>
      <c r="L1565" t="n">
        <v>0</v>
      </c>
      <c r="M1565" t="n">
        <v>0</v>
      </c>
      <c r="N1565" t="n">
        <v>0</v>
      </c>
      <c r="O1565" t="n">
        <v>0</v>
      </c>
      <c r="P1565" t="n">
        <v>0</v>
      </c>
      <c r="Q1565" t="n">
        <v>0</v>
      </c>
      <c r="R1565" s="2" t="inlineStr"/>
    </row>
    <row r="1566" ht="15" customHeight="1">
      <c r="A1566" t="inlineStr">
        <is>
          <t>A 11901-2024</t>
        </is>
      </c>
      <c r="B1566" s="1" t="n">
        <v>45376</v>
      </c>
      <c r="C1566" s="1" t="n">
        <v>45682</v>
      </c>
      <c r="D1566" t="inlineStr">
        <is>
          <t>STOCKHOLMS LÄN</t>
        </is>
      </c>
      <c r="E1566" t="inlineStr">
        <is>
          <t>NORRTÄLJE</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11929-2024</t>
        </is>
      </c>
      <c r="B1567" s="1" t="n">
        <v>45376</v>
      </c>
      <c r="C1567" s="1" t="n">
        <v>45682</v>
      </c>
      <c r="D1567" t="inlineStr">
        <is>
          <t>STOCKHOLMS LÄN</t>
        </is>
      </c>
      <c r="E1567" t="inlineStr">
        <is>
          <t>NORRTÄLJE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11996-2024</t>
        </is>
      </c>
      <c r="B1568" s="1" t="n">
        <v>45376</v>
      </c>
      <c r="C1568" s="1" t="n">
        <v>45682</v>
      </c>
      <c r="D1568" t="inlineStr">
        <is>
          <t>STOCKHOLMS LÄN</t>
        </is>
      </c>
      <c r="E1568" t="inlineStr">
        <is>
          <t>NORRTÄLJE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11997-2024</t>
        </is>
      </c>
      <c r="B1569" s="1" t="n">
        <v>45377</v>
      </c>
      <c r="C1569" s="1" t="n">
        <v>45682</v>
      </c>
      <c r="D1569" t="inlineStr">
        <is>
          <t>STOCKHOLMS LÄN</t>
        </is>
      </c>
      <c r="E1569" t="inlineStr">
        <is>
          <t>NORRTÄLJE</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12135-2024</t>
        </is>
      </c>
      <c r="B1570" s="1" t="n">
        <v>45377</v>
      </c>
      <c r="C1570" s="1" t="n">
        <v>45682</v>
      </c>
      <c r="D1570" t="inlineStr">
        <is>
          <t>STOCKHOLMS LÄN</t>
        </is>
      </c>
      <c r="E1570" t="inlineStr">
        <is>
          <t>NORRTÄLJE</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12022-2024</t>
        </is>
      </c>
      <c r="B1571" s="1" t="n">
        <v>45377</v>
      </c>
      <c r="C1571" s="1" t="n">
        <v>45682</v>
      </c>
      <c r="D1571" t="inlineStr">
        <is>
          <t>STOCKHOLMS LÄN</t>
        </is>
      </c>
      <c r="E1571" t="inlineStr">
        <is>
          <t>NORRTÄLJE</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12323-2024</t>
        </is>
      </c>
      <c r="B1572" s="1" t="n">
        <v>45378</v>
      </c>
      <c r="C1572" s="1" t="n">
        <v>45682</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12470-2024</t>
        </is>
      </c>
      <c r="B1573" s="1" t="n">
        <v>45379</v>
      </c>
      <c r="C1573" s="1" t="n">
        <v>45682</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12560-2024</t>
        </is>
      </c>
      <c r="B1574" s="1" t="n">
        <v>45379</v>
      </c>
      <c r="C1574" s="1" t="n">
        <v>45682</v>
      </c>
      <c r="D1574" t="inlineStr">
        <is>
          <t>STOCKHOLMS LÄN</t>
        </is>
      </c>
      <c r="E1574" t="inlineStr">
        <is>
          <t>NORRTÄLJE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12629-2024</t>
        </is>
      </c>
      <c r="B1575" s="1" t="n">
        <v>45383</v>
      </c>
      <c r="C1575" s="1" t="n">
        <v>45682</v>
      </c>
      <c r="D1575" t="inlineStr">
        <is>
          <t>STOCKHOLMS LÄN</t>
        </is>
      </c>
      <c r="E1575" t="inlineStr">
        <is>
          <t>NORRTÄLJE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12896-2024</t>
        </is>
      </c>
      <c r="B1576" s="1" t="n">
        <v>45385</v>
      </c>
      <c r="C1576" s="1" t="n">
        <v>45682</v>
      </c>
      <c r="D1576" t="inlineStr">
        <is>
          <t>STOCKHOLMS LÄN</t>
        </is>
      </c>
      <c r="E1576" t="inlineStr">
        <is>
          <t>NORRTÄLJE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12904-2024</t>
        </is>
      </c>
      <c r="B1577" s="1" t="n">
        <v>45385</v>
      </c>
      <c r="C1577" s="1" t="n">
        <v>45682</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12901-2024</t>
        </is>
      </c>
      <c r="B1578" s="1" t="n">
        <v>45385</v>
      </c>
      <c r="C1578" s="1" t="n">
        <v>45682</v>
      </c>
      <c r="D1578" t="inlineStr">
        <is>
          <t>STOCKHOLMS LÄN</t>
        </is>
      </c>
      <c r="E1578" t="inlineStr">
        <is>
          <t>NORRTÄLJE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12890-2024</t>
        </is>
      </c>
      <c r="B1579" s="1" t="n">
        <v>45385</v>
      </c>
      <c r="C1579" s="1" t="n">
        <v>45682</v>
      </c>
      <c r="D1579" t="inlineStr">
        <is>
          <t>STOCKHOLMS LÄN</t>
        </is>
      </c>
      <c r="E1579" t="inlineStr">
        <is>
          <t>NORRTÄLJE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12902-2024</t>
        </is>
      </c>
      <c r="B1580" s="1" t="n">
        <v>45385</v>
      </c>
      <c r="C1580" s="1" t="n">
        <v>45682</v>
      </c>
      <c r="D1580" t="inlineStr">
        <is>
          <t>STOCKHOLMS LÄN</t>
        </is>
      </c>
      <c r="E1580" t="inlineStr">
        <is>
          <t>NORRTÄLJE</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13115-2024</t>
        </is>
      </c>
      <c r="B1581" s="1" t="n">
        <v>45385</v>
      </c>
      <c r="C1581" s="1" t="n">
        <v>45682</v>
      </c>
      <c r="D1581" t="inlineStr">
        <is>
          <t>STOCKHOLMS LÄN</t>
        </is>
      </c>
      <c r="E1581" t="inlineStr">
        <is>
          <t>NORRTÄLJE</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13137-2024</t>
        </is>
      </c>
      <c r="B1582" s="1" t="n">
        <v>45386</v>
      </c>
      <c r="C1582" s="1" t="n">
        <v>45682</v>
      </c>
      <c r="D1582" t="inlineStr">
        <is>
          <t>STOCKHOLMS LÄN</t>
        </is>
      </c>
      <c r="E1582" t="inlineStr">
        <is>
          <t>NORRTÄLJE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13241-2024</t>
        </is>
      </c>
      <c r="B1583" s="1" t="n">
        <v>45386</v>
      </c>
      <c r="C1583" s="1" t="n">
        <v>45682</v>
      </c>
      <c r="D1583" t="inlineStr">
        <is>
          <t>STOCKHOLMS LÄN</t>
        </is>
      </c>
      <c r="E1583" t="inlineStr">
        <is>
          <t>NORRTÄLJE</t>
        </is>
      </c>
      <c r="G1583" t="n">
        <v>10.1</v>
      </c>
      <c r="H1583" t="n">
        <v>0</v>
      </c>
      <c r="I1583" t="n">
        <v>0</v>
      </c>
      <c r="J1583" t="n">
        <v>0</v>
      </c>
      <c r="K1583" t="n">
        <v>0</v>
      </c>
      <c r="L1583" t="n">
        <v>0</v>
      </c>
      <c r="M1583" t="n">
        <v>0</v>
      </c>
      <c r="N1583" t="n">
        <v>0</v>
      </c>
      <c r="O1583" t="n">
        <v>0</v>
      </c>
      <c r="P1583" t="n">
        <v>0</v>
      </c>
      <c r="Q1583" t="n">
        <v>0</v>
      </c>
      <c r="R1583" s="2" t="inlineStr"/>
    </row>
    <row r="1584" ht="15" customHeight="1">
      <c r="A1584" t="inlineStr">
        <is>
          <t>A 13391-2024</t>
        </is>
      </c>
      <c r="B1584" s="1" t="n">
        <v>45387</v>
      </c>
      <c r="C1584" s="1" t="n">
        <v>45682</v>
      </c>
      <c r="D1584" t="inlineStr">
        <is>
          <t>STOCKHOLMS LÄN</t>
        </is>
      </c>
      <c r="E1584" t="inlineStr">
        <is>
          <t>NORRTÄLJE</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13785-2024</t>
        </is>
      </c>
      <c r="B1585" s="1" t="n">
        <v>45391</v>
      </c>
      <c r="C1585" s="1" t="n">
        <v>45682</v>
      </c>
      <c r="D1585" t="inlineStr">
        <is>
          <t>STOCKHOLMS LÄN</t>
        </is>
      </c>
      <c r="E1585" t="inlineStr">
        <is>
          <t>NORRTÄLJE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14530-2024</t>
        </is>
      </c>
      <c r="B1586" s="1" t="n">
        <v>45394</v>
      </c>
      <c r="C1586" s="1" t="n">
        <v>45682</v>
      </c>
      <c r="D1586" t="inlineStr">
        <is>
          <t>STOCKHOLMS LÄN</t>
        </is>
      </c>
      <c r="E1586" t="inlineStr">
        <is>
          <t>NORRTÄLJE</t>
        </is>
      </c>
      <c r="F1586" t="inlineStr">
        <is>
          <t>Kyrkan</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14498-2024</t>
        </is>
      </c>
      <c r="B1587" s="1" t="n">
        <v>45394</v>
      </c>
      <c r="C1587" s="1" t="n">
        <v>45682</v>
      </c>
      <c r="D1587" t="inlineStr">
        <is>
          <t>STOCKHOLMS LÄN</t>
        </is>
      </c>
      <c r="E1587" t="inlineStr">
        <is>
          <t>NORRTÄLJE</t>
        </is>
      </c>
      <c r="F1587" t="inlineStr">
        <is>
          <t>Kyrkan</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14559-2024</t>
        </is>
      </c>
      <c r="B1588" s="1" t="n">
        <v>45394</v>
      </c>
      <c r="C1588" s="1" t="n">
        <v>45682</v>
      </c>
      <c r="D1588" t="inlineStr">
        <is>
          <t>STOCKHOLMS LÄN</t>
        </is>
      </c>
      <c r="E1588" t="inlineStr">
        <is>
          <t>NORRTÄLJE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14751-2024</t>
        </is>
      </c>
      <c r="B1589" s="1" t="n">
        <v>45397</v>
      </c>
      <c r="C1589" s="1" t="n">
        <v>45682</v>
      </c>
      <c r="D1589" t="inlineStr">
        <is>
          <t>STOCKHOLMS LÄN</t>
        </is>
      </c>
      <c r="E1589" t="inlineStr">
        <is>
          <t>NORRTÄLJE</t>
        </is>
      </c>
      <c r="F1589" t="inlineStr">
        <is>
          <t>Holmen skog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14762-2024</t>
        </is>
      </c>
      <c r="B1590" s="1" t="n">
        <v>45397</v>
      </c>
      <c r="C1590" s="1" t="n">
        <v>45682</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15347-2024</t>
        </is>
      </c>
      <c r="B1591" s="1" t="n">
        <v>45400</v>
      </c>
      <c r="C1591" s="1" t="n">
        <v>45682</v>
      </c>
      <c r="D1591" t="inlineStr">
        <is>
          <t>STOCKHOLMS LÄN</t>
        </is>
      </c>
      <c r="E1591" t="inlineStr">
        <is>
          <t>NORRTÄLJE</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15317-2024</t>
        </is>
      </c>
      <c r="B1592" s="1" t="n">
        <v>45400</v>
      </c>
      <c r="C1592" s="1" t="n">
        <v>45682</v>
      </c>
      <c r="D1592" t="inlineStr">
        <is>
          <t>STOCKHOLMS LÄN</t>
        </is>
      </c>
      <c r="E1592" t="inlineStr">
        <is>
          <t>NORRTÄLJE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15429-2024</t>
        </is>
      </c>
      <c r="B1593" s="1" t="n">
        <v>45401</v>
      </c>
      <c r="C1593" s="1" t="n">
        <v>45682</v>
      </c>
      <c r="D1593" t="inlineStr">
        <is>
          <t>STOCKHOLMS LÄN</t>
        </is>
      </c>
      <c r="E1593" t="inlineStr">
        <is>
          <t>NORRTÄLJE</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15422-2024</t>
        </is>
      </c>
      <c r="B1594" s="1" t="n">
        <v>45401</v>
      </c>
      <c r="C1594" s="1" t="n">
        <v>45682</v>
      </c>
      <c r="D1594" t="inlineStr">
        <is>
          <t>STOCKHOLMS LÄN</t>
        </is>
      </c>
      <c r="E1594" t="inlineStr">
        <is>
          <t>NORRTÄLJE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15470-2024</t>
        </is>
      </c>
      <c r="B1595" s="1" t="n">
        <v>45401</v>
      </c>
      <c r="C1595" s="1" t="n">
        <v>45682</v>
      </c>
      <c r="D1595" t="inlineStr">
        <is>
          <t>STOCKHOLMS LÄN</t>
        </is>
      </c>
      <c r="E1595" t="inlineStr">
        <is>
          <t>NORRTÄLJE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15428-2024</t>
        </is>
      </c>
      <c r="B1596" s="1" t="n">
        <v>45401</v>
      </c>
      <c r="C1596" s="1" t="n">
        <v>45682</v>
      </c>
      <c r="D1596" t="inlineStr">
        <is>
          <t>STOCKHOLMS LÄN</t>
        </is>
      </c>
      <c r="E1596" t="inlineStr">
        <is>
          <t>NORRTÄLJE</t>
        </is>
      </c>
      <c r="G1596" t="n">
        <v>7.7</v>
      </c>
      <c r="H1596" t="n">
        <v>0</v>
      </c>
      <c r="I1596" t="n">
        <v>0</v>
      </c>
      <c r="J1596" t="n">
        <v>0</v>
      </c>
      <c r="K1596" t="n">
        <v>0</v>
      </c>
      <c r="L1596" t="n">
        <v>0</v>
      </c>
      <c r="M1596" t="n">
        <v>0</v>
      </c>
      <c r="N1596" t="n">
        <v>0</v>
      </c>
      <c r="O1596" t="n">
        <v>0</v>
      </c>
      <c r="P1596" t="n">
        <v>0</v>
      </c>
      <c r="Q1596" t="n">
        <v>0</v>
      </c>
      <c r="R1596" s="2" t="inlineStr"/>
    </row>
    <row r="1597" ht="15" customHeight="1">
      <c r="A1597" t="inlineStr">
        <is>
          <t>A 15415-2024</t>
        </is>
      </c>
      <c r="B1597" s="1" t="n">
        <v>45401</v>
      </c>
      <c r="C1597" s="1" t="n">
        <v>45682</v>
      </c>
      <c r="D1597" t="inlineStr">
        <is>
          <t>STOCKHOLMS LÄN</t>
        </is>
      </c>
      <c r="E1597" t="inlineStr">
        <is>
          <t>NORRTÄLJE</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15956-2024</t>
        </is>
      </c>
      <c r="B1598" s="1" t="n">
        <v>45405</v>
      </c>
      <c r="C1598" s="1" t="n">
        <v>45682</v>
      </c>
      <c r="D1598" t="inlineStr">
        <is>
          <t>STOCKHOLMS LÄN</t>
        </is>
      </c>
      <c r="E1598" t="inlineStr">
        <is>
          <t>NORRTÄLJE</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15978-2024</t>
        </is>
      </c>
      <c r="B1599" s="1" t="n">
        <v>45405</v>
      </c>
      <c r="C1599" s="1" t="n">
        <v>45682</v>
      </c>
      <c r="D1599" t="inlineStr">
        <is>
          <t>STOCKHOLMS LÄN</t>
        </is>
      </c>
      <c r="E1599" t="inlineStr">
        <is>
          <t>NORRTÄLJE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16072-2024</t>
        </is>
      </c>
      <c r="B1600" s="1" t="n">
        <v>45406</v>
      </c>
      <c r="C1600" s="1" t="n">
        <v>45682</v>
      </c>
      <c r="D1600" t="inlineStr">
        <is>
          <t>STOCKHOLMS LÄN</t>
        </is>
      </c>
      <c r="E1600" t="inlineStr">
        <is>
          <t>NORRTÄLJE</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16071-2024</t>
        </is>
      </c>
      <c r="B1601" s="1" t="n">
        <v>45406</v>
      </c>
      <c r="C1601" s="1" t="n">
        <v>45682</v>
      </c>
      <c r="D1601" t="inlineStr">
        <is>
          <t>STOCKHOLMS LÄN</t>
        </is>
      </c>
      <c r="E1601" t="inlineStr">
        <is>
          <t>NORRTÄLJE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16075-2024</t>
        </is>
      </c>
      <c r="B1602" s="1" t="n">
        <v>45406</v>
      </c>
      <c r="C1602" s="1" t="n">
        <v>45682</v>
      </c>
      <c r="D1602" t="inlineStr">
        <is>
          <t>STOCKHOLMS LÄN</t>
        </is>
      </c>
      <c r="E1602" t="inlineStr">
        <is>
          <t>NORRTÄLJE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16620-2024</t>
        </is>
      </c>
      <c r="B1603" s="1" t="n">
        <v>45408</v>
      </c>
      <c r="C1603" s="1" t="n">
        <v>45682</v>
      </c>
      <c r="D1603" t="inlineStr">
        <is>
          <t>STOCKHOLMS LÄN</t>
        </is>
      </c>
      <c r="E1603" t="inlineStr">
        <is>
          <t>NORRTÄLJE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16852-2024</t>
        </is>
      </c>
      <c r="B1604" s="1" t="n">
        <v>45411</v>
      </c>
      <c r="C1604" s="1" t="n">
        <v>45682</v>
      </c>
      <c r="D1604" t="inlineStr">
        <is>
          <t>STOCKHOLMS LÄN</t>
        </is>
      </c>
      <c r="E1604" t="inlineStr">
        <is>
          <t>NORRTÄLJE</t>
        </is>
      </c>
      <c r="F1604" t="inlineStr">
        <is>
          <t>Holmen skog AB</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17013-2024</t>
        </is>
      </c>
      <c r="B1605" s="1" t="n">
        <v>45412</v>
      </c>
      <c r="C1605" s="1" t="n">
        <v>45682</v>
      </c>
      <c r="D1605" t="inlineStr">
        <is>
          <t>STOCKHOLMS LÄN</t>
        </is>
      </c>
      <c r="E1605" t="inlineStr">
        <is>
          <t>NORRTÄLJE</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17039-2024</t>
        </is>
      </c>
      <c r="B1606" s="1" t="n">
        <v>45412</v>
      </c>
      <c r="C1606" s="1" t="n">
        <v>45682</v>
      </c>
      <c r="D1606" t="inlineStr">
        <is>
          <t>STOCKHOLMS LÄN</t>
        </is>
      </c>
      <c r="E1606" t="inlineStr">
        <is>
          <t>NORRTÄLJE</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17348-2024</t>
        </is>
      </c>
      <c r="B1607" s="1" t="n">
        <v>45414</v>
      </c>
      <c r="C1607" s="1" t="n">
        <v>45682</v>
      </c>
      <c r="D1607" t="inlineStr">
        <is>
          <t>STOCKHOLMS LÄN</t>
        </is>
      </c>
      <c r="E1607" t="inlineStr">
        <is>
          <t>NORRTÄLJE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17304-2024</t>
        </is>
      </c>
      <c r="B1608" s="1" t="n">
        <v>45414</v>
      </c>
      <c r="C1608" s="1" t="n">
        <v>45682</v>
      </c>
      <c r="D1608" t="inlineStr">
        <is>
          <t>STOCKHOLMS LÄN</t>
        </is>
      </c>
      <c r="E1608" t="inlineStr">
        <is>
          <t>NORRTÄLJE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17354-2024</t>
        </is>
      </c>
      <c r="B1609" s="1" t="n">
        <v>45414</v>
      </c>
      <c r="C1609" s="1" t="n">
        <v>45682</v>
      </c>
      <c r="D1609" t="inlineStr">
        <is>
          <t>STOCKHOLMS LÄN</t>
        </is>
      </c>
      <c r="E1609" t="inlineStr">
        <is>
          <t>NORRTÄLJE</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17385-2024</t>
        </is>
      </c>
      <c r="B1610" s="1" t="n">
        <v>45414</v>
      </c>
      <c r="C1610" s="1" t="n">
        <v>45682</v>
      </c>
      <c r="D1610" t="inlineStr">
        <is>
          <t>STOCKHOLMS LÄN</t>
        </is>
      </c>
      <c r="E1610" t="inlineStr">
        <is>
          <t>NORRTÄLJE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17382-2024</t>
        </is>
      </c>
      <c r="B1611" s="1" t="n">
        <v>45414</v>
      </c>
      <c r="C1611" s="1" t="n">
        <v>45682</v>
      </c>
      <c r="D1611" t="inlineStr">
        <is>
          <t>STOCKHOLMS LÄN</t>
        </is>
      </c>
      <c r="E1611" t="inlineStr">
        <is>
          <t>NORRTÄLJE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17397-2024</t>
        </is>
      </c>
      <c r="B1612" s="1" t="n">
        <v>45414</v>
      </c>
      <c r="C1612" s="1" t="n">
        <v>45682</v>
      </c>
      <c r="D1612" t="inlineStr">
        <is>
          <t>STOCKHOLMS LÄN</t>
        </is>
      </c>
      <c r="E1612" t="inlineStr">
        <is>
          <t>NORRTÄLJE</t>
        </is>
      </c>
      <c r="F1612" t="inlineStr">
        <is>
          <t>Holmen skog AB</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17554-2024</t>
        </is>
      </c>
      <c r="B1613" s="1" t="n">
        <v>45415</v>
      </c>
      <c r="C1613" s="1" t="n">
        <v>45682</v>
      </c>
      <c r="D1613" t="inlineStr">
        <is>
          <t>STOCKHOLMS LÄN</t>
        </is>
      </c>
      <c r="E1613" t="inlineStr">
        <is>
          <t>NORRTÄLJE</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17775-2024</t>
        </is>
      </c>
      <c r="B1614" s="1" t="n">
        <v>45418</v>
      </c>
      <c r="C1614" s="1" t="n">
        <v>45682</v>
      </c>
      <c r="D1614" t="inlineStr">
        <is>
          <t>STOCKHOLMS LÄN</t>
        </is>
      </c>
      <c r="E1614" t="inlineStr">
        <is>
          <t>NORRTÄLJE</t>
        </is>
      </c>
      <c r="F1614" t="inlineStr">
        <is>
          <t>Holmen skog AB</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17785-2024</t>
        </is>
      </c>
      <c r="B1615" s="1" t="n">
        <v>45418</v>
      </c>
      <c r="C1615" s="1" t="n">
        <v>45682</v>
      </c>
      <c r="D1615" t="inlineStr">
        <is>
          <t>STOCKHOLMS LÄN</t>
        </is>
      </c>
      <c r="E1615" t="inlineStr">
        <is>
          <t>NORRTÄLJE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17843-2024</t>
        </is>
      </c>
      <c r="B1616" s="1" t="n">
        <v>45418</v>
      </c>
      <c r="C1616" s="1" t="n">
        <v>45682</v>
      </c>
      <c r="D1616" t="inlineStr">
        <is>
          <t>STOCKHOLMS LÄN</t>
        </is>
      </c>
      <c r="E1616" t="inlineStr">
        <is>
          <t>NORRTÄLJE</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18331-2024</t>
        </is>
      </c>
      <c r="B1617" s="1" t="n">
        <v>45422</v>
      </c>
      <c r="C1617" s="1" t="n">
        <v>45682</v>
      </c>
      <c r="D1617" t="inlineStr">
        <is>
          <t>STOCKHOLMS LÄN</t>
        </is>
      </c>
      <c r="E1617" t="inlineStr">
        <is>
          <t>NORRTÄLJE</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18285-2024</t>
        </is>
      </c>
      <c r="B1618" s="1" t="n">
        <v>45422</v>
      </c>
      <c r="C1618" s="1" t="n">
        <v>45682</v>
      </c>
      <c r="D1618" t="inlineStr">
        <is>
          <t>STOCKHOLMS LÄN</t>
        </is>
      </c>
      <c r="E1618" t="inlineStr">
        <is>
          <t>NORRTÄLJE</t>
        </is>
      </c>
      <c r="F1618" t="inlineStr">
        <is>
          <t>Sveaskog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18287-2024</t>
        </is>
      </c>
      <c r="B1619" s="1" t="n">
        <v>45422</v>
      </c>
      <c r="C1619" s="1" t="n">
        <v>45682</v>
      </c>
      <c r="D1619" t="inlineStr">
        <is>
          <t>STOCKHOLMS LÄN</t>
        </is>
      </c>
      <c r="E1619" t="inlineStr">
        <is>
          <t>NORRTÄLJE</t>
        </is>
      </c>
      <c r="F1619" t="inlineStr">
        <is>
          <t>Sveaskog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19058-2024</t>
        </is>
      </c>
      <c r="B1620" s="1" t="n">
        <v>45427</v>
      </c>
      <c r="C1620" s="1" t="n">
        <v>45682</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19057-2024</t>
        </is>
      </c>
      <c r="B1621" s="1" t="n">
        <v>45427</v>
      </c>
      <c r="C1621" s="1" t="n">
        <v>45682</v>
      </c>
      <c r="D1621" t="inlineStr">
        <is>
          <t>STOCKHOLMS LÄN</t>
        </is>
      </c>
      <c r="E1621" t="inlineStr">
        <is>
          <t>NORRTÄLJE</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19150-2024</t>
        </is>
      </c>
      <c r="B1622" s="1" t="n">
        <v>45428</v>
      </c>
      <c r="C1622" s="1" t="n">
        <v>45682</v>
      </c>
      <c r="D1622" t="inlineStr">
        <is>
          <t>STOCKHOLMS LÄN</t>
        </is>
      </c>
      <c r="E1622" t="inlineStr">
        <is>
          <t>NORRTÄLJE</t>
        </is>
      </c>
      <c r="F1622" t="inlineStr">
        <is>
          <t>Holmen skog AB</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19915-2024</t>
        </is>
      </c>
      <c r="B1623" s="1" t="n">
        <v>45433</v>
      </c>
      <c r="C1623" s="1" t="n">
        <v>45682</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19919-2024</t>
        </is>
      </c>
      <c r="B1624" s="1" t="n">
        <v>45433</v>
      </c>
      <c r="C1624" s="1" t="n">
        <v>45682</v>
      </c>
      <c r="D1624" t="inlineStr">
        <is>
          <t>STOCKHOLMS LÄN</t>
        </is>
      </c>
      <c r="E1624" t="inlineStr">
        <is>
          <t>NORRTÄLJE</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20336-2024</t>
        </is>
      </c>
      <c r="B1625" s="1" t="n">
        <v>45435</v>
      </c>
      <c r="C1625" s="1" t="n">
        <v>45682</v>
      </c>
      <c r="D1625" t="inlineStr">
        <is>
          <t>STOCKHOLMS LÄN</t>
        </is>
      </c>
      <c r="E1625" t="inlineStr">
        <is>
          <t>NORRTÄLJE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20345-2024</t>
        </is>
      </c>
      <c r="B1626" s="1" t="n">
        <v>45435</v>
      </c>
      <c r="C1626" s="1" t="n">
        <v>45682</v>
      </c>
      <c r="D1626" t="inlineStr">
        <is>
          <t>STOCKHOLMS LÄN</t>
        </is>
      </c>
      <c r="E1626" t="inlineStr">
        <is>
          <t>NORRTÄLJE</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20343-2024</t>
        </is>
      </c>
      <c r="B1627" s="1" t="n">
        <v>45435</v>
      </c>
      <c r="C1627" s="1" t="n">
        <v>45682</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20393-2024</t>
        </is>
      </c>
      <c r="B1628" s="1" t="n">
        <v>45435</v>
      </c>
      <c r="C1628" s="1" t="n">
        <v>45682</v>
      </c>
      <c r="D1628" t="inlineStr">
        <is>
          <t>STOCKHOLMS LÄN</t>
        </is>
      </c>
      <c r="E1628" t="inlineStr">
        <is>
          <t>NORRTÄLJE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20445-2024</t>
        </is>
      </c>
      <c r="B1629" s="1" t="n">
        <v>45435</v>
      </c>
      <c r="C1629" s="1" t="n">
        <v>45682</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20428-2024</t>
        </is>
      </c>
      <c r="B1630" s="1" t="n">
        <v>45435</v>
      </c>
      <c r="C1630" s="1" t="n">
        <v>45682</v>
      </c>
      <c r="D1630" t="inlineStr">
        <is>
          <t>STOCKHOLMS LÄN</t>
        </is>
      </c>
      <c r="E1630" t="inlineStr">
        <is>
          <t>NORRTÄLJE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20460-2024</t>
        </is>
      </c>
      <c r="B1631" s="1" t="n">
        <v>45435</v>
      </c>
      <c r="C1631" s="1" t="n">
        <v>45682</v>
      </c>
      <c r="D1631" t="inlineStr">
        <is>
          <t>STOCKHOLMS LÄN</t>
        </is>
      </c>
      <c r="E1631" t="inlineStr">
        <is>
          <t>NORRTÄLJE</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20464-2024</t>
        </is>
      </c>
      <c r="B1632" s="1" t="n">
        <v>45435</v>
      </c>
      <c r="C1632" s="1" t="n">
        <v>45682</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20431-2024</t>
        </is>
      </c>
      <c r="B1633" s="1" t="n">
        <v>45435</v>
      </c>
      <c r="C1633" s="1" t="n">
        <v>45682</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20680-2024</t>
        </is>
      </c>
      <c r="B1634" s="1" t="n">
        <v>45436</v>
      </c>
      <c r="C1634" s="1" t="n">
        <v>45682</v>
      </c>
      <c r="D1634" t="inlineStr">
        <is>
          <t>STOCKHOLMS LÄN</t>
        </is>
      </c>
      <c r="E1634" t="inlineStr">
        <is>
          <t>NORRTÄLJE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20698-2024</t>
        </is>
      </c>
      <c r="B1635" s="1" t="n">
        <v>45436</v>
      </c>
      <c r="C1635" s="1" t="n">
        <v>45682</v>
      </c>
      <c r="D1635" t="inlineStr">
        <is>
          <t>STOCKHOLMS LÄN</t>
        </is>
      </c>
      <c r="E1635" t="inlineStr">
        <is>
          <t>NORRTÄLJE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20730-2024</t>
        </is>
      </c>
      <c r="B1636" s="1" t="n">
        <v>45436</v>
      </c>
      <c r="C1636" s="1" t="n">
        <v>45682</v>
      </c>
      <c r="D1636" t="inlineStr">
        <is>
          <t>STOCKHOLMS LÄN</t>
        </is>
      </c>
      <c r="E1636" t="inlineStr">
        <is>
          <t>NORRTÄLJE</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20825-2024</t>
        </is>
      </c>
      <c r="B1637" s="1" t="n">
        <v>45439</v>
      </c>
      <c r="C1637" s="1" t="n">
        <v>45682</v>
      </c>
      <c r="D1637" t="inlineStr">
        <is>
          <t>STOCKHOLMS LÄN</t>
        </is>
      </c>
      <c r="E1637" t="inlineStr">
        <is>
          <t>NORRTÄLJE</t>
        </is>
      </c>
      <c r="F1637" t="inlineStr">
        <is>
          <t>Holmen skog AB</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20836-2024</t>
        </is>
      </c>
      <c r="B1638" s="1" t="n">
        <v>45439</v>
      </c>
      <c r="C1638" s="1" t="n">
        <v>45682</v>
      </c>
      <c r="D1638" t="inlineStr">
        <is>
          <t>STOCKHOLMS LÄN</t>
        </is>
      </c>
      <c r="E1638" t="inlineStr">
        <is>
          <t>NORRTÄLJE</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21066-2024</t>
        </is>
      </c>
      <c r="B1639" s="1" t="n">
        <v>45439</v>
      </c>
      <c r="C1639" s="1" t="n">
        <v>45682</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21729-2024</t>
        </is>
      </c>
      <c r="B1640" s="1" t="n">
        <v>45442</v>
      </c>
      <c r="C1640" s="1" t="n">
        <v>45682</v>
      </c>
      <c r="D1640" t="inlineStr">
        <is>
          <t>STOCKHOLMS LÄN</t>
        </is>
      </c>
      <c r="E1640" t="inlineStr">
        <is>
          <t>NORRTÄLJE</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21696-2024</t>
        </is>
      </c>
      <c r="B1641" s="1" t="n">
        <v>45442</v>
      </c>
      <c r="C1641" s="1" t="n">
        <v>45682</v>
      </c>
      <c r="D1641" t="inlineStr">
        <is>
          <t>STOCKHOLMS LÄN</t>
        </is>
      </c>
      <c r="E1641" t="inlineStr">
        <is>
          <t>NORRTÄLJE</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22008-2024</t>
        </is>
      </c>
      <c r="B1642" s="1" t="n">
        <v>45443</v>
      </c>
      <c r="C1642" s="1" t="n">
        <v>45682</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22232-2024</t>
        </is>
      </c>
      <c r="B1643" s="1" t="n">
        <v>45446</v>
      </c>
      <c r="C1643" s="1" t="n">
        <v>45682</v>
      </c>
      <c r="D1643" t="inlineStr">
        <is>
          <t>STOCKHOLMS LÄN</t>
        </is>
      </c>
      <c r="E1643" t="inlineStr">
        <is>
          <t>NORRTÄLJE</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22190-2024</t>
        </is>
      </c>
      <c r="B1644" s="1" t="n">
        <v>45446</v>
      </c>
      <c r="C1644" s="1" t="n">
        <v>45682</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22231-2024</t>
        </is>
      </c>
      <c r="B1645" s="1" t="n">
        <v>45446</v>
      </c>
      <c r="C1645" s="1" t="n">
        <v>45682</v>
      </c>
      <c r="D1645" t="inlineStr">
        <is>
          <t>STOCKHOLMS LÄN</t>
        </is>
      </c>
      <c r="E1645" t="inlineStr">
        <is>
          <t>NORRTÄLJE</t>
        </is>
      </c>
      <c r="F1645" t="inlineStr">
        <is>
          <t>Holmen skog AB</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22833-2024</t>
        </is>
      </c>
      <c r="B1646" s="1" t="n">
        <v>45448</v>
      </c>
      <c r="C1646" s="1" t="n">
        <v>45682</v>
      </c>
      <c r="D1646" t="inlineStr">
        <is>
          <t>STOCKHOLMS LÄN</t>
        </is>
      </c>
      <c r="E1646" t="inlineStr">
        <is>
          <t>NORRTÄLJE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23018-2024</t>
        </is>
      </c>
      <c r="B1647" s="1" t="n">
        <v>45450</v>
      </c>
      <c r="C1647" s="1" t="n">
        <v>45682</v>
      </c>
      <c r="D1647" t="inlineStr">
        <is>
          <t>STOCKHOLMS LÄN</t>
        </is>
      </c>
      <c r="E1647" t="inlineStr">
        <is>
          <t>NORRTÄLJE</t>
        </is>
      </c>
      <c r="G1647" t="n">
        <v>10.2</v>
      </c>
      <c r="H1647" t="n">
        <v>0</v>
      </c>
      <c r="I1647" t="n">
        <v>0</v>
      </c>
      <c r="J1647" t="n">
        <v>0</v>
      </c>
      <c r="K1647" t="n">
        <v>0</v>
      </c>
      <c r="L1647" t="n">
        <v>0</v>
      </c>
      <c r="M1647" t="n">
        <v>0</v>
      </c>
      <c r="N1647" t="n">
        <v>0</v>
      </c>
      <c r="O1647" t="n">
        <v>0</v>
      </c>
      <c r="P1647" t="n">
        <v>0</v>
      </c>
      <c r="Q1647" t="n">
        <v>0</v>
      </c>
      <c r="R1647" s="2" t="inlineStr"/>
    </row>
    <row r="1648" ht="15" customHeight="1">
      <c r="A1648" t="inlineStr">
        <is>
          <t>A 23149-2024</t>
        </is>
      </c>
      <c r="B1648" s="1" t="n">
        <v>45450</v>
      </c>
      <c r="C1648" s="1" t="n">
        <v>45682</v>
      </c>
      <c r="D1648" t="inlineStr">
        <is>
          <t>STOCKHOLMS LÄN</t>
        </is>
      </c>
      <c r="E1648" t="inlineStr">
        <is>
          <t>NORRTÄLJE</t>
        </is>
      </c>
      <c r="F1648" t="inlineStr">
        <is>
          <t>Kommuner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23150-2024</t>
        </is>
      </c>
      <c r="B1649" s="1" t="n">
        <v>45450</v>
      </c>
      <c r="C1649" s="1" t="n">
        <v>45682</v>
      </c>
      <c r="D1649" t="inlineStr">
        <is>
          <t>STOCKHOLMS LÄN</t>
        </is>
      </c>
      <c r="E1649" t="inlineStr">
        <is>
          <t>NORRTÄLJE</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23151-2024</t>
        </is>
      </c>
      <c r="B1650" s="1" t="n">
        <v>45450</v>
      </c>
      <c r="C1650" s="1" t="n">
        <v>45682</v>
      </c>
      <c r="D1650" t="inlineStr">
        <is>
          <t>STOCKHOLMS LÄN</t>
        </is>
      </c>
      <c r="E1650" t="inlineStr">
        <is>
          <t>NORRTÄLJE</t>
        </is>
      </c>
      <c r="F1650" t="inlineStr">
        <is>
          <t>Kommuner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23307-2024</t>
        </is>
      </c>
      <c r="B1651" s="1" t="n">
        <v>45453</v>
      </c>
      <c r="C1651" s="1" t="n">
        <v>45682</v>
      </c>
      <c r="D1651" t="inlineStr">
        <is>
          <t>STOCKHOLMS LÄN</t>
        </is>
      </c>
      <c r="E1651" t="inlineStr">
        <is>
          <t>NORRTÄLJE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23683-2024</t>
        </is>
      </c>
      <c r="B1652" s="1" t="n">
        <v>45454</v>
      </c>
      <c r="C1652" s="1" t="n">
        <v>45682</v>
      </c>
      <c r="D1652" t="inlineStr">
        <is>
          <t>STOCKHOLMS LÄN</t>
        </is>
      </c>
      <c r="E1652" t="inlineStr">
        <is>
          <t>NORRTÄLJE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23692-2024</t>
        </is>
      </c>
      <c r="B1653" s="1" t="n">
        <v>45454</v>
      </c>
      <c r="C1653" s="1" t="n">
        <v>45682</v>
      </c>
      <c r="D1653" t="inlineStr">
        <is>
          <t>STOCKHOLMS LÄN</t>
        </is>
      </c>
      <c r="E1653" t="inlineStr">
        <is>
          <t>NORRTÄLJE</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23572-2024</t>
        </is>
      </c>
      <c r="B1654" s="1" t="n">
        <v>45454</v>
      </c>
      <c r="C1654" s="1" t="n">
        <v>45682</v>
      </c>
      <c r="D1654" t="inlineStr">
        <is>
          <t>STOCKHOLMS LÄN</t>
        </is>
      </c>
      <c r="E1654" t="inlineStr">
        <is>
          <t>NORRTÄLJE</t>
        </is>
      </c>
      <c r="F1654" t="inlineStr">
        <is>
          <t>Kyrkan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23749-2024</t>
        </is>
      </c>
      <c r="B1655" s="1" t="n">
        <v>45455</v>
      </c>
      <c r="C1655" s="1" t="n">
        <v>45682</v>
      </c>
      <c r="D1655" t="inlineStr">
        <is>
          <t>STOCKHOLMS LÄN</t>
        </is>
      </c>
      <c r="E1655" t="inlineStr">
        <is>
          <t>NORRTÄLJE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23755-2024</t>
        </is>
      </c>
      <c r="B1656" s="1" t="n">
        <v>45455</v>
      </c>
      <c r="C1656" s="1" t="n">
        <v>45682</v>
      </c>
      <c r="D1656" t="inlineStr">
        <is>
          <t>STOCKHOLMS LÄN</t>
        </is>
      </c>
      <c r="E1656" t="inlineStr">
        <is>
          <t>NORRTÄLJE</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23998-2024</t>
        </is>
      </c>
      <c r="B1657" s="1" t="n">
        <v>45456</v>
      </c>
      <c r="C1657" s="1" t="n">
        <v>45682</v>
      </c>
      <c r="D1657" t="inlineStr">
        <is>
          <t>STOCKHOLMS LÄN</t>
        </is>
      </c>
      <c r="E1657" t="inlineStr">
        <is>
          <t>NORRTÄLJE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24027-2024</t>
        </is>
      </c>
      <c r="B1658" s="1" t="n">
        <v>45456</v>
      </c>
      <c r="C1658" s="1" t="n">
        <v>45682</v>
      </c>
      <c r="D1658" t="inlineStr">
        <is>
          <t>STOCKHOLMS LÄN</t>
        </is>
      </c>
      <c r="E1658" t="inlineStr">
        <is>
          <t>NORRTÄLJE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24024-2024</t>
        </is>
      </c>
      <c r="B1659" s="1" t="n">
        <v>45456</v>
      </c>
      <c r="C1659" s="1" t="n">
        <v>45682</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23991-2024</t>
        </is>
      </c>
      <c r="B1660" s="1" t="n">
        <v>45456</v>
      </c>
      <c r="C1660" s="1" t="n">
        <v>45682</v>
      </c>
      <c r="D1660" t="inlineStr">
        <is>
          <t>STOCKHOLMS LÄN</t>
        </is>
      </c>
      <c r="E1660" t="inlineStr">
        <is>
          <t>NORRTÄLJE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24021-2024</t>
        </is>
      </c>
      <c r="B1661" s="1" t="n">
        <v>45456</v>
      </c>
      <c r="C1661" s="1" t="n">
        <v>45682</v>
      </c>
      <c r="D1661" t="inlineStr">
        <is>
          <t>STOCKHOLMS LÄN</t>
        </is>
      </c>
      <c r="E1661" t="inlineStr">
        <is>
          <t>NORRTÄLJE</t>
        </is>
      </c>
      <c r="G1661" t="n">
        <v>17.5</v>
      </c>
      <c r="H1661" t="n">
        <v>0</v>
      </c>
      <c r="I1661" t="n">
        <v>0</v>
      </c>
      <c r="J1661" t="n">
        <v>0</v>
      </c>
      <c r="K1661" t="n">
        <v>0</v>
      </c>
      <c r="L1661" t="n">
        <v>0</v>
      </c>
      <c r="M1661" t="n">
        <v>0</v>
      </c>
      <c r="N1661" t="n">
        <v>0</v>
      </c>
      <c r="O1661" t="n">
        <v>0</v>
      </c>
      <c r="P1661" t="n">
        <v>0</v>
      </c>
      <c r="Q1661" t="n">
        <v>0</v>
      </c>
      <c r="R1661" s="2" t="inlineStr"/>
    </row>
    <row r="1662" ht="15" customHeight="1">
      <c r="A1662" t="inlineStr">
        <is>
          <t>A 24022-2024</t>
        </is>
      </c>
      <c r="B1662" s="1" t="n">
        <v>45456</v>
      </c>
      <c r="C1662" s="1" t="n">
        <v>45682</v>
      </c>
      <c r="D1662" t="inlineStr">
        <is>
          <t>STOCKHOLMS LÄN</t>
        </is>
      </c>
      <c r="E1662" t="inlineStr">
        <is>
          <t>NORRTÄLJE</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24245-2024</t>
        </is>
      </c>
      <c r="B1663" s="1" t="n">
        <v>45457</v>
      </c>
      <c r="C1663" s="1" t="n">
        <v>45682</v>
      </c>
      <c r="D1663" t="inlineStr">
        <is>
          <t>STOCKHOLMS LÄN</t>
        </is>
      </c>
      <c r="E1663" t="inlineStr">
        <is>
          <t>NORRTÄLJE</t>
        </is>
      </c>
      <c r="F1663" t="inlineStr">
        <is>
          <t>Holmen skog AB</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24357-2024</t>
        </is>
      </c>
      <c r="B1664" s="1" t="n">
        <v>45457</v>
      </c>
      <c r="C1664" s="1" t="n">
        <v>45682</v>
      </c>
      <c r="D1664" t="inlineStr">
        <is>
          <t>STOCKHOLMS LÄN</t>
        </is>
      </c>
      <c r="E1664" t="inlineStr">
        <is>
          <t>NORRTÄLJE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24731-2024</t>
        </is>
      </c>
      <c r="B1665" s="1" t="n">
        <v>45460</v>
      </c>
      <c r="C1665" s="1" t="n">
        <v>45682</v>
      </c>
      <c r="D1665" t="inlineStr">
        <is>
          <t>STOCKHOLMS LÄN</t>
        </is>
      </c>
      <c r="E1665" t="inlineStr">
        <is>
          <t>NORRTÄLJE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24575-2024</t>
        </is>
      </c>
      <c r="B1666" s="1" t="n">
        <v>45460</v>
      </c>
      <c r="C1666" s="1" t="n">
        <v>45682</v>
      </c>
      <c r="D1666" t="inlineStr">
        <is>
          <t>STOCKHOLMS LÄN</t>
        </is>
      </c>
      <c r="E1666" t="inlineStr">
        <is>
          <t>NORRTÄLJE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24563-2024</t>
        </is>
      </c>
      <c r="B1667" s="1" t="n">
        <v>45460</v>
      </c>
      <c r="C1667" s="1" t="n">
        <v>45682</v>
      </c>
      <c r="D1667" t="inlineStr">
        <is>
          <t>STOCKHOLMS LÄN</t>
        </is>
      </c>
      <c r="E1667" t="inlineStr">
        <is>
          <t>NORRTÄLJE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24610-2024</t>
        </is>
      </c>
      <c r="B1668" s="1" t="n">
        <v>45460</v>
      </c>
      <c r="C1668" s="1" t="n">
        <v>45682</v>
      </c>
      <c r="D1668" t="inlineStr">
        <is>
          <t>STOCKHOLMS LÄN</t>
        </is>
      </c>
      <c r="E1668" t="inlineStr">
        <is>
          <t>NORRTÄLJE</t>
        </is>
      </c>
      <c r="G1668" t="n">
        <v>18.4</v>
      </c>
      <c r="H1668" t="n">
        <v>0</v>
      </c>
      <c r="I1668" t="n">
        <v>0</v>
      </c>
      <c r="J1668" t="n">
        <v>0</v>
      </c>
      <c r="K1668" t="n">
        <v>0</v>
      </c>
      <c r="L1668" t="n">
        <v>0</v>
      </c>
      <c r="M1668" t="n">
        <v>0</v>
      </c>
      <c r="N1668" t="n">
        <v>0</v>
      </c>
      <c r="O1668" t="n">
        <v>0</v>
      </c>
      <c r="P1668" t="n">
        <v>0</v>
      </c>
      <c r="Q1668" t="n">
        <v>0</v>
      </c>
      <c r="R1668" s="2" t="inlineStr"/>
    </row>
    <row r="1669" ht="15" customHeight="1">
      <c r="A1669" t="inlineStr">
        <is>
          <t>A 24730-2024</t>
        </is>
      </c>
      <c r="B1669" s="1" t="n">
        <v>45460</v>
      </c>
      <c r="C1669" s="1" t="n">
        <v>45682</v>
      </c>
      <c r="D1669" t="inlineStr">
        <is>
          <t>STOCKHOLMS LÄN</t>
        </is>
      </c>
      <c r="E1669" t="inlineStr">
        <is>
          <t>NORRTÄLJE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25301-2024</t>
        </is>
      </c>
      <c r="B1670" s="1" t="n">
        <v>45462</v>
      </c>
      <c r="C1670" s="1" t="n">
        <v>45682</v>
      </c>
      <c r="D1670" t="inlineStr">
        <is>
          <t>STOCKHOLMS LÄN</t>
        </is>
      </c>
      <c r="E1670" t="inlineStr">
        <is>
          <t>NORRTÄLJE</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25055-2024</t>
        </is>
      </c>
      <c r="B1671" s="1" t="n">
        <v>45462</v>
      </c>
      <c r="C1671" s="1" t="n">
        <v>45682</v>
      </c>
      <c r="D1671" t="inlineStr">
        <is>
          <t>STOCKHOLMS LÄN</t>
        </is>
      </c>
      <c r="E1671" t="inlineStr">
        <is>
          <t>NORRTÄLJE</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25565-2024</t>
        </is>
      </c>
      <c r="B1672" s="1" t="n">
        <v>45463</v>
      </c>
      <c r="C1672" s="1" t="n">
        <v>45682</v>
      </c>
      <c r="D1672" t="inlineStr">
        <is>
          <t>STOCKHOLMS LÄN</t>
        </is>
      </c>
      <c r="E1672" t="inlineStr">
        <is>
          <t>NORRTÄLJE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25681-2024</t>
        </is>
      </c>
      <c r="B1673" s="1" t="n">
        <v>45463</v>
      </c>
      <c r="C1673" s="1" t="n">
        <v>45682</v>
      </c>
      <c r="D1673" t="inlineStr">
        <is>
          <t>STOCKHOLMS LÄN</t>
        </is>
      </c>
      <c r="E1673" t="inlineStr">
        <is>
          <t>NORRTÄLJE</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25817-2024</t>
        </is>
      </c>
      <c r="B1674" s="1" t="n">
        <v>45467</v>
      </c>
      <c r="C1674" s="1" t="n">
        <v>45682</v>
      </c>
      <c r="D1674" t="inlineStr">
        <is>
          <t>STOCKHOLMS LÄN</t>
        </is>
      </c>
      <c r="E1674" t="inlineStr">
        <is>
          <t>NORRTÄLJE</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26116-2024</t>
        </is>
      </c>
      <c r="B1675" s="1" t="n">
        <v>45468</v>
      </c>
      <c r="C1675" s="1" t="n">
        <v>45682</v>
      </c>
      <c r="D1675" t="inlineStr">
        <is>
          <t>STOCKHOLMS LÄN</t>
        </is>
      </c>
      <c r="E1675" t="inlineStr">
        <is>
          <t>NORRTÄLJE</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26115-2024</t>
        </is>
      </c>
      <c r="B1676" s="1" t="n">
        <v>45468</v>
      </c>
      <c r="C1676" s="1" t="n">
        <v>45682</v>
      </c>
      <c r="D1676" t="inlineStr">
        <is>
          <t>STOCKHOLMS LÄN</t>
        </is>
      </c>
      <c r="E1676" t="inlineStr">
        <is>
          <t>NORRTÄLJE</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26067-2024</t>
        </is>
      </c>
      <c r="B1677" s="1" t="n">
        <v>45468</v>
      </c>
      <c r="C1677" s="1" t="n">
        <v>45682</v>
      </c>
      <c r="D1677" t="inlineStr">
        <is>
          <t>STOCKHOLMS LÄN</t>
        </is>
      </c>
      <c r="E1677" t="inlineStr">
        <is>
          <t>NORRTÄLJE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26117-2024</t>
        </is>
      </c>
      <c r="B1678" s="1" t="n">
        <v>45468</v>
      </c>
      <c r="C1678" s="1" t="n">
        <v>45682</v>
      </c>
      <c r="D1678" t="inlineStr">
        <is>
          <t>STOCKHOLMS LÄN</t>
        </is>
      </c>
      <c r="E1678" t="inlineStr">
        <is>
          <t>NORRTÄLJE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26113-2024</t>
        </is>
      </c>
      <c r="B1679" s="1" t="n">
        <v>45468</v>
      </c>
      <c r="C1679" s="1" t="n">
        <v>45682</v>
      </c>
      <c r="D1679" t="inlineStr">
        <is>
          <t>STOCKHOLMS LÄN</t>
        </is>
      </c>
      <c r="E1679" t="inlineStr">
        <is>
          <t>NORRTÄLJE</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26090-2024</t>
        </is>
      </c>
      <c r="B1680" s="1" t="n">
        <v>45468</v>
      </c>
      <c r="C1680" s="1" t="n">
        <v>45682</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26355-2024</t>
        </is>
      </c>
      <c r="B1681" s="1" t="n">
        <v>45469</v>
      </c>
      <c r="C1681" s="1" t="n">
        <v>45682</v>
      </c>
      <c r="D1681" t="inlineStr">
        <is>
          <t>STOCKHOLMS LÄN</t>
        </is>
      </c>
      <c r="E1681" t="inlineStr">
        <is>
          <t>NORRTÄLJE</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26359-2024</t>
        </is>
      </c>
      <c r="B1682" s="1" t="n">
        <v>45469</v>
      </c>
      <c r="C1682" s="1" t="n">
        <v>45682</v>
      </c>
      <c r="D1682" t="inlineStr">
        <is>
          <t>STOCKHOLMS LÄN</t>
        </is>
      </c>
      <c r="E1682" t="inlineStr">
        <is>
          <t>NORRTÄLJE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26365-2024</t>
        </is>
      </c>
      <c r="B1683" s="1" t="n">
        <v>45469</v>
      </c>
      <c r="C1683" s="1" t="n">
        <v>45682</v>
      </c>
      <c r="D1683" t="inlineStr">
        <is>
          <t>STOCKHOLMS LÄN</t>
        </is>
      </c>
      <c r="E1683" t="inlineStr">
        <is>
          <t>NORRTÄLJE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26526-2024</t>
        </is>
      </c>
      <c r="B1684" s="1" t="n">
        <v>45469</v>
      </c>
      <c r="C1684" s="1" t="n">
        <v>45682</v>
      </c>
      <c r="D1684" t="inlineStr">
        <is>
          <t>STOCKHOLMS LÄN</t>
        </is>
      </c>
      <c r="E1684" t="inlineStr">
        <is>
          <t>NORRTÄLJE</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26407-2024</t>
        </is>
      </c>
      <c r="B1685" s="1" t="n">
        <v>45469</v>
      </c>
      <c r="C1685" s="1" t="n">
        <v>45682</v>
      </c>
      <c r="D1685" t="inlineStr">
        <is>
          <t>STOCKHOLMS LÄN</t>
        </is>
      </c>
      <c r="E1685" t="inlineStr">
        <is>
          <t>NORRTÄLJE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26600-2024</t>
        </is>
      </c>
      <c r="B1686" s="1" t="n">
        <v>45469</v>
      </c>
      <c r="C1686" s="1" t="n">
        <v>45682</v>
      </c>
      <c r="D1686" t="inlineStr">
        <is>
          <t>STOCKHOLMS LÄN</t>
        </is>
      </c>
      <c r="E1686" t="inlineStr">
        <is>
          <t>NORRTÄLJE</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26612-2024</t>
        </is>
      </c>
      <c r="B1687" s="1" t="n">
        <v>45469</v>
      </c>
      <c r="C1687" s="1" t="n">
        <v>45682</v>
      </c>
      <c r="D1687" t="inlineStr">
        <is>
          <t>STOCKHOLMS LÄN</t>
        </is>
      </c>
      <c r="E1687" t="inlineStr">
        <is>
          <t>NORRTÄLJE</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26644-2024</t>
        </is>
      </c>
      <c r="B1688" s="1" t="n">
        <v>45469</v>
      </c>
      <c r="C1688" s="1" t="n">
        <v>45682</v>
      </c>
      <c r="D1688" t="inlineStr">
        <is>
          <t>STOCKHOLMS LÄN</t>
        </is>
      </c>
      <c r="E1688" t="inlineStr">
        <is>
          <t>NORRTÄLJE</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26668-2024</t>
        </is>
      </c>
      <c r="B1689" s="1" t="n">
        <v>45469</v>
      </c>
      <c r="C1689" s="1" t="n">
        <v>45682</v>
      </c>
      <c r="D1689" t="inlineStr">
        <is>
          <t>STOCKHOLMS LÄN</t>
        </is>
      </c>
      <c r="E1689" t="inlineStr">
        <is>
          <t>NORRTÄLJE</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26698-2024</t>
        </is>
      </c>
      <c r="B1690" s="1" t="n">
        <v>45470</v>
      </c>
      <c r="C1690" s="1" t="n">
        <v>45682</v>
      </c>
      <c r="D1690" t="inlineStr">
        <is>
          <t>STOCKHOLMS LÄN</t>
        </is>
      </c>
      <c r="E1690" t="inlineStr">
        <is>
          <t>NORRTÄLJE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27059-2024</t>
        </is>
      </c>
      <c r="B1691" s="1" t="n">
        <v>45471</v>
      </c>
      <c r="C1691" s="1" t="n">
        <v>45682</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27248-2024</t>
        </is>
      </c>
      <c r="B1692" s="1" t="n">
        <v>45471</v>
      </c>
      <c r="C1692" s="1" t="n">
        <v>45682</v>
      </c>
      <c r="D1692" t="inlineStr">
        <is>
          <t>STOCKHOLMS LÄN</t>
        </is>
      </c>
      <c r="E1692" t="inlineStr">
        <is>
          <t>NORRTÄLJE</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27381-2024</t>
        </is>
      </c>
      <c r="B1693" s="1" t="n">
        <v>45474</v>
      </c>
      <c r="C1693" s="1" t="n">
        <v>45682</v>
      </c>
      <c r="D1693" t="inlineStr">
        <is>
          <t>STOCKHOLMS LÄN</t>
        </is>
      </c>
      <c r="E1693" t="inlineStr">
        <is>
          <t>NORRTÄLJE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27831-2024</t>
        </is>
      </c>
      <c r="B1694" s="1" t="n">
        <v>45475</v>
      </c>
      <c r="C1694" s="1" t="n">
        <v>45682</v>
      </c>
      <c r="D1694" t="inlineStr">
        <is>
          <t>STOCKHOLMS LÄN</t>
        </is>
      </c>
      <c r="E1694" t="inlineStr">
        <is>
          <t>NORRTÄLJE</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28190-2024</t>
        </is>
      </c>
      <c r="B1695" s="1" t="n">
        <v>45477</v>
      </c>
      <c r="C1695" s="1" t="n">
        <v>45682</v>
      </c>
      <c r="D1695" t="inlineStr">
        <is>
          <t>STOCKHOLMS LÄN</t>
        </is>
      </c>
      <c r="E1695" t="inlineStr">
        <is>
          <t>NORRTÄLJE</t>
        </is>
      </c>
      <c r="F1695" t="inlineStr">
        <is>
          <t>Kyrkan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28245-2024</t>
        </is>
      </c>
      <c r="B1696" s="1" t="n">
        <v>45477</v>
      </c>
      <c r="C1696" s="1" t="n">
        <v>45682</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28200-2024</t>
        </is>
      </c>
      <c r="B1697" s="1" t="n">
        <v>45477</v>
      </c>
      <c r="C1697" s="1" t="n">
        <v>45682</v>
      </c>
      <c r="D1697" t="inlineStr">
        <is>
          <t>STOCKHOLMS LÄN</t>
        </is>
      </c>
      <c r="E1697" t="inlineStr">
        <is>
          <t>NORRTÄLJE</t>
        </is>
      </c>
      <c r="F1697" t="inlineStr">
        <is>
          <t>Kyrkan</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28603-2024</t>
        </is>
      </c>
      <c r="B1698" s="1" t="n">
        <v>45478</v>
      </c>
      <c r="C1698" s="1" t="n">
        <v>45682</v>
      </c>
      <c r="D1698" t="inlineStr">
        <is>
          <t>STOCKHOLMS LÄN</t>
        </is>
      </c>
      <c r="E1698" t="inlineStr">
        <is>
          <t>NORRTÄLJE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28764-2024</t>
        </is>
      </c>
      <c r="B1699" s="1" t="n">
        <v>45478</v>
      </c>
      <c r="C1699" s="1" t="n">
        <v>45682</v>
      </c>
      <c r="D1699" t="inlineStr">
        <is>
          <t>STOCKHOLMS LÄN</t>
        </is>
      </c>
      <c r="E1699" t="inlineStr">
        <is>
          <t>NORRTÄLJE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29210-2024</t>
        </is>
      </c>
      <c r="B1700" s="1" t="n">
        <v>45482</v>
      </c>
      <c r="C1700" s="1" t="n">
        <v>45682</v>
      </c>
      <c r="D1700" t="inlineStr">
        <is>
          <t>STOCKHOLMS LÄN</t>
        </is>
      </c>
      <c r="E1700" t="inlineStr">
        <is>
          <t>NORRTÄLJE</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29176-2024</t>
        </is>
      </c>
      <c r="B1701" s="1" t="n">
        <v>45482</v>
      </c>
      <c r="C1701" s="1" t="n">
        <v>45682</v>
      </c>
      <c r="D1701" t="inlineStr">
        <is>
          <t>STOCKHOLMS LÄN</t>
        </is>
      </c>
      <c r="E1701" t="inlineStr">
        <is>
          <t>NORRTÄLJE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29369-2024</t>
        </is>
      </c>
      <c r="B1702" s="1" t="n">
        <v>45483</v>
      </c>
      <c r="C1702" s="1" t="n">
        <v>45682</v>
      </c>
      <c r="D1702" t="inlineStr">
        <is>
          <t>STOCKHOLMS LÄN</t>
        </is>
      </c>
      <c r="E1702" t="inlineStr">
        <is>
          <t>NORRTÄLJE</t>
        </is>
      </c>
      <c r="G1702" t="n">
        <v>15.9</v>
      </c>
      <c r="H1702" t="n">
        <v>0</v>
      </c>
      <c r="I1702" t="n">
        <v>0</v>
      </c>
      <c r="J1702" t="n">
        <v>0</v>
      </c>
      <c r="K1702" t="n">
        <v>0</v>
      </c>
      <c r="L1702" t="n">
        <v>0</v>
      </c>
      <c r="M1702" t="n">
        <v>0</v>
      </c>
      <c r="N1702" t="n">
        <v>0</v>
      </c>
      <c r="O1702" t="n">
        <v>0</v>
      </c>
      <c r="P1702" t="n">
        <v>0</v>
      </c>
      <c r="Q1702" t="n">
        <v>0</v>
      </c>
      <c r="R1702" s="2" t="inlineStr"/>
    </row>
    <row r="1703" ht="15" customHeight="1">
      <c r="A1703" t="inlineStr">
        <is>
          <t>A 29419-2024</t>
        </is>
      </c>
      <c r="B1703" s="1" t="n">
        <v>45483</v>
      </c>
      <c r="C1703" s="1" t="n">
        <v>45682</v>
      </c>
      <c r="D1703" t="inlineStr">
        <is>
          <t>STOCKHOLMS LÄN</t>
        </is>
      </c>
      <c r="E1703" t="inlineStr">
        <is>
          <t>NORRTÄLJE</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29504-2024</t>
        </is>
      </c>
      <c r="B1704" s="1" t="n">
        <v>45484</v>
      </c>
      <c r="C1704" s="1" t="n">
        <v>45682</v>
      </c>
      <c r="D1704" t="inlineStr">
        <is>
          <t>STOCKHOLMS LÄN</t>
        </is>
      </c>
      <c r="E1704" t="inlineStr">
        <is>
          <t>NORRTÄLJE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29589-2024</t>
        </is>
      </c>
      <c r="B1705" s="1" t="n">
        <v>45484</v>
      </c>
      <c r="C1705" s="1" t="n">
        <v>45682</v>
      </c>
      <c r="D1705" t="inlineStr">
        <is>
          <t>STOCKHOLMS LÄN</t>
        </is>
      </c>
      <c r="E1705" t="inlineStr">
        <is>
          <t>NORRTÄLJE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29583-2024</t>
        </is>
      </c>
      <c r="B1706" s="1" t="n">
        <v>45484</v>
      </c>
      <c r="C1706" s="1" t="n">
        <v>45682</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29578-2024</t>
        </is>
      </c>
      <c r="B1707" s="1" t="n">
        <v>45484</v>
      </c>
      <c r="C1707" s="1" t="n">
        <v>45682</v>
      </c>
      <c r="D1707" t="inlineStr">
        <is>
          <t>STOCKHOLMS LÄN</t>
        </is>
      </c>
      <c r="E1707" t="inlineStr">
        <is>
          <t>NORRTÄLJE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29505-2024</t>
        </is>
      </c>
      <c r="B1708" s="1" t="n">
        <v>45484</v>
      </c>
      <c r="C1708" s="1" t="n">
        <v>45682</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29972-2024</t>
        </is>
      </c>
      <c r="B1709" s="1" t="n">
        <v>45485</v>
      </c>
      <c r="C1709" s="1" t="n">
        <v>45682</v>
      </c>
      <c r="D1709" t="inlineStr">
        <is>
          <t>STOCKHOLMS LÄN</t>
        </is>
      </c>
      <c r="E1709" t="inlineStr">
        <is>
          <t>NORRTÄLJE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29841-2024</t>
        </is>
      </c>
      <c r="B1710" s="1" t="n">
        <v>45485</v>
      </c>
      <c r="C1710" s="1" t="n">
        <v>45682</v>
      </c>
      <c r="D1710" t="inlineStr">
        <is>
          <t>STOCKHOLMS LÄN</t>
        </is>
      </c>
      <c r="E1710" t="inlineStr">
        <is>
          <t>NORRTÄLJE</t>
        </is>
      </c>
      <c r="G1710" t="n">
        <v>15.9</v>
      </c>
      <c r="H1710" t="n">
        <v>0</v>
      </c>
      <c r="I1710" t="n">
        <v>0</v>
      </c>
      <c r="J1710" t="n">
        <v>0</v>
      </c>
      <c r="K1710" t="n">
        <v>0</v>
      </c>
      <c r="L1710" t="n">
        <v>0</v>
      </c>
      <c r="M1710" t="n">
        <v>0</v>
      </c>
      <c r="N1710" t="n">
        <v>0</v>
      </c>
      <c r="O1710" t="n">
        <v>0</v>
      </c>
      <c r="P1710" t="n">
        <v>0</v>
      </c>
      <c r="Q1710" t="n">
        <v>0</v>
      </c>
      <c r="R1710" s="2" t="inlineStr"/>
    </row>
    <row r="1711" ht="15" customHeight="1">
      <c r="A1711" t="inlineStr">
        <is>
          <t>A 30108-2024</t>
        </is>
      </c>
      <c r="B1711" s="1" t="n">
        <v>45487</v>
      </c>
      <c r="C1711" s="1" t="n">
        <v>45682</v>
      </c>
      <c r="D1711" t="inlineStr">
        <is>
          <t>STOCKHOLMS LÄN</t>
        </is>
      </c>
      <c r="E1711" t="inlineStr">
        <is>
          <t>NORRTÄLJE</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30033-2024</t>
        </is>
      </c>
      <c r="B1712" s="1" t="n">
        <v>45488</v>
      </c>
      <c r="C1712" s="1" t="n">
        <v>45682</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29994-2024</t>
        </is>
      </c>
      <c r="B1713" s="1" t="n">
        <v>45488</v>
      </c>
      <c r="C1713" s="1" t="n">
        <v>45682</v>
      </c>
      <c r="D1713" t="inlineStr">
        <is>
          <t>STOCKHOLMS LÄN</t>
        </is>
      </c>
      <c r="E1713" t="inlineStr">
        <is>
          <t>NORRTÄLJE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30096-2024</t>
        </is>
      </c>
      <c r="B1714" s="1" t="n">
        <v>45489</v>
      </c>
      <c r="C1714" s="1" t="n">
        <v>45682</v>
      </c>
      <c r="D1714" t="inlineStr">
        <is>
          <t>STOCKHOLMS LÄN</t>
        </is>
      </c>
      <c r="E1714" t="inlineStr">
        <is>
          <t>NORRTÄLJE</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30221-2024</t>
        </is>
      </c>
      <c r="B1715" s="1" t="n">
        <v>45490</v>
      </c>
      <c r="C1715" s="1" t="n">
        <v>45682</v>
      </c>
      <c r="D1715" t="inlineStr">
        <is>
          <t>STOCKHOLMS LÄN</t>
        </is>
      </c>
      <c r="E1715" t="inlineStr">
        <is>
          <t>NORRTÄLJE</t>
        </is>
      </c>
      <c r="F1715" t="inlineStr">
        <is>
          <t>Holmen skog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30268-2024</t>
        </is>
      </c>
      <c r="B1716" s="1" t="n">
        <v>45490</v>
      </c>
      <c r="C1716" s="1" t="n">
        <v>45682</v>
      </c>
      <c r="D1716" t="inlineStr">
        <is>
          <t>STOCKHOLMS LÄN</t>
        </is>
      </c>
      <c r="E1716" t="inlineStr">
        <is>
          <t>NORRTÄLJE</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30323-2024</t>
        </is>
      </c>
      <c r="B1717" s="1" t="n">
        <v>45490</v>
      </c>
      <c r="C1717" s="1" t="n">
        <v>45682</v>
      </c>
      <c r="D1717" t="inlineStr">
        <is>
          <t>STOCKHOLMS LÄN</t>
        </is>
      </c>
      <c r="E1717" t="inlineStr">
        <is>
          <t>NORRTÄLJE</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30396-2024</t>
        </is>
      </c>
      <c r="B1718" s="1" t="n">
        <v>45491</v>
      </c>
      <c r="C1718" s="1" t="n">
        <v>45682</v>
      </c>
      <c r="D1718" t="inlineStr">
        <is>
          <t>STOCKHOLMS LÄN</t>
        </is>
      </c>
      <c r="E1718" t="inlineStr">
        <is>
          <t>NORRTÄLJE</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30553-2024</t>
        </is>
      </c>
      <c r="B1719" s="1" t="n">
        <v>45492</v>
      </c>
      <c r="C1719" s="1" t="n">
        <v>45682</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30666-2024</t>
        </is>
      </c>
      <c r="B1720" s="1" t="n">
        <v>45495</v>
      </c>
      <c r="C1720" s="1" t="n">
        <v>45682</v>
      </c>
      <c r="D1720" t="inlineStr">
        <is>
          <t>STOCKHOLMS LÄN</t>
        </is>
      </c>
      <c r="E1720" t="inlineStr">
        <is>
          <t>NORRTÄLJE</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30963-2024</t>
        </is>
      </c>
      <c r="B1721" s="1" t="n">
        <v>45499</v>
      </c>
      <c r="C1721" s="1" t="n">
        <v>45682</v>
      </c>
      <c r="D1721" t="inlineStr">
        <is>
          <t>STOCKHOLMS LÄN</t>
        </is>
      </c>
      <c r="E1721" t="inlineStr">
        <is>
          <t>NORRTÄLJE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30995-2024</t>
        </is>
      </c>
      <c r="B1722" s="1" t="n">
        <v>45499</v>
      </c>
      <c r="C1722" s="1" t="n">
        <v>45682</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31027-2024</t>
        </is>
      </c>
      <c r="B1723" s="1" t="n">
        <v>45501</v>
      </c>
      <c r="C1723" s="1" t="n">
        <v>45682</v>
      </c>
      <c r="D1723" t="inlineStr">
        <is>
          <t>STOCKHOLMS LÄN</t>
        </is>
      </c>
      <c r="E1723" t="inlineStr">
        <is>
          <t>NORRTÄLJE</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31228-2024</t>
        </is>
      </c>
      <c r="B1724" s="1" t="n">
        <v>45503</v>
      </c>
      <c r="C1724" s="1" t="n">
        <v>45682</v>
      </c>
      <c r="D1724" t="inlineStr">
        <is>
          <t>STOCKHOLMS LÄN</t>
        </is>
      </c>
      <c r="E1724" t="inlineStr">
        <is>
          <t>NORRTÄLJE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31232-2024</t>
        </is>
      </c>
      <c r="B1725" s="1" t="n">
        <v>45503</v>
      </c>
      <c r="C1725" s="1" t="n">
        <v>45682</v>
      </c>
      <c r="D1725" t="inlineStr">
        <is>
          <t>STOCKHOLMS LÄN</t>
        </is>
      </c>
      <c r="E1725" t="inlineStr">
        <is>
          <t>NORRTÄLJE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31343-2024</t>
        </is>
      </c>
      <c r="B1726" s="1" t="n">
        <v>45504</v>
      </c>
      <c r="C1726" s="1" t="n">
        <v>45682</v>
      </c>
      <c r="D1726" t="inlineStr">
        <is>
          <t>STOCKHOLMS LÄN</t>
        </is>
      </c>
      <c r="E1726" t="inlineStr">
        <is>
          <t>NORRTÄLJE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31311-2024</t>
        </is>
      </c>
      <c r="B1727" s="1" t="n">
        <v>45504</v>
      </c>
      <c r="C1727" s="1" t="n">
        <v>45682</v>
      </c>
      <c r="D1727" t="inlineStr">
        <is>
          <t>STOCKHOLMS LÄN</t>
        </is>
      </c>
      <c r="E1727" t="inlineStr">
        <is>
          <t>NORRTÄLJE</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31279-2024</t>
        </is>
      </c>
      <c r="B1728" s="1" t="n">
        <v>45504</v>
      </c>
      <c r="C1728" s="1" t="n">
        <v>45682</v>
      </c>
      <c r="D1728" t="inlineStr">
        <is>
          <t>STOCKHOLMS LÄN</t>
        </is>
      </c>
      <c r="E1728" t="inlineStr">
        <is>
          <t>NORRTÄLJE</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32874-2024</t>
        </is>
      </c>
      <c r="B1729" s="1" t="n">
        <v>45516</v>
      </c>
      <c r="C1729" s="1" t="n">
        <v>45682</v>
      </c>
      <c r="D1729" t="inlineStr">
        <is>
          <t>STOCKHOLMS LÄN</t>
        </is>
      </c>
      <c r="E1729" t="inlineStr">
        <is>
          <t>NORRTÄLJE</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32706-2024</t>
        </is>
      </c>
      <c r="B1730" s="1" t="n">
        <v>45516</v>
      </c>
      <c r="C1730" s="1" t="n">
        <v>45682</v>
      </c>
      <c r="D1730" t="inlineStr">
        <is>
          <t>STOCKHOLMS LÄN</t>
        </is>
      </c>
      <c r="E1730" t="inlineStr">
        <is>
          <t>NORRTÄLJE</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33173-2024</t>
        </is>
      </c>
      <c r="B1731" s="1" t="n">
        <v>45518</v>
      </c>
      <c r="C1731" s="1" t="n">
        <v>45682</v>
      </c>
      <c r="D1731" t="inlineStr">
        <is>
          <t>STOCKHOLMS LÄN</t>
        </is>
      </c>
      <c r="E1731" t="inlineStr">
        <is>
          <t>NORRTÄLJE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33226-2024</t>
        </is>
      </c>
      <c r="B1732" s="1" t="n">
        <v>45518</v>
      </c>
      <c r="C1732" s="1" t="n">
        <v>45682</v>
      </c>
      <c r="D1732" t="inlineStr">
        <is>
          <t>STOCKHOLMS LÄN</t>
        </is>
      </c>
      <c r="E1732" t="inlineStr">
        <is>
          <t>NORRTÄLJE</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33175-2024</t>
        </is>
      </c>
      <c r="B1733" s="1" t="n">
        <v>45518</v>
      </c>
      <c r="C1733" s="1" t="n">
        <v>45682</v>
      </c>
      <c r="D1733" t="inlineStr">
        <is>
          <t>STOCKHOLMS LÄN</t>
        </is>
      </c>
      <c r="E1733" t="inlineStr">
        <is>
          <t>NORRTÄLJE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33385-2024</t>
        </is>
      </c>
      <c r="B1734" s="1" t="n">
        <v>45519</v>
      </c>
      <c r="C1734" s="1" t="n">
        <v>45682</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33592-2024</t>
        </is>
      </c>
      <c r="B1735" s="1" t="n">
        <v>45520</v>
      </c>
      <c r="C1735" s="1" t="n">
        <v>45682</v>
      </c>
      <c r="D1735" t="inlineStr">
        <is>
          <t>STOCKHOLMS LÄN</t>
        </is>
      </c>
      <c r="E1735" t="inlineStr">
        <is>
          <t>NORRTÄLJE</t>
        </is>
      </c>
      <c r="F1735" t="inlineStr">
        <is>
          <t>Kyrkan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33878-2024</t>
        </is>
      </c>
      <c r="B1736" s="1" t="n">
        <v>45522</v>
      </c>
      <c r="C1736" s="1" t="n">
        <v>45682</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34295-2024</t>
        </is>
      </c>
      <c r="B1737" s="1" t="n">
        <v>45524</v>
      </c>
      <c r="C1737" s="1" t="n">
        <v>45682</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34444-2024</t>
        </is>
      </c>
      <c r="B1738" s="1" t="n">
        <v>45525</v>
      </c>
      <c r="C1738" s="1" t="n">
        <v>45682</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34547-2024</t>
        </is>
      </c>
      <c r="B1739" s="1" t="n">
        <v>45525</v>
      </c>
      <c r="C1739" s="1" t="n">
        <v>45682</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34583-2024</t>
        </is>
      </c>
      <c r="B1740" s="1" t="n">
        <v>45526</v>
      </c>
      <c r="C1740" s="1" t="n">
        <v>45682</v>
      </c>
      <c r="D1740" t="inlineStr">
        <is>
          <t>STOCKHOLMS LÄN</t>
        </is>
      </c>
      <c r="E1740" t="inlineStr">
        <is>
          <t>NORRTÄLJE</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35239-2024</t>
        </is>
      </c>
      <c r="B1741" s="1" t="n">
        <v>45530</v>
      </c>
      <c r="C1741" s="1" t="n">
        <v>45682</v>
      </c>
      <c r="D1741" t="inlineStr">
        <is>
          <t>STOCKHOLMS LÄN</t>
        </is>
      </c>
      <c r="E1741" t="inlineStr">
        <is>
          <t>NORRTÄLJE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35235-2024</t>
        </is>
      </c>
      <c r="B1742" s="1" t="n">
        <v>45530</v>
      </c>
      <c r="C1742" s="1" t="n">
        <v>45682</v>
      </c>
      <c r="D1742" t="inlineStr">
        <is>
          <t>STOCKHOLMS LÄN</t>
        </is>
      </c>
      <c r="E1742" t="inlineStr">
        <is>
          <t>NORRTÄLJE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35532-2024</t>
        </is>
      </c>
      <c r="B1743" s="1" t="n">
        <v>45531</v>
      </c>
      <c r="C1743" s="1" t="n">
        <v>45682</v>
      </c>
      <c r="D1743" t="inlineStr">
        <is>
          <t>STOCKHOLMS LÄN</t>
        </is>
      </c>
      <c r="E1743" t="inlineStr">
        <is>
          <t>NORRTÄLJE</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35467-2024</t>
        </is>
      </c>
      <c r="B1744" s="1" t="n">
        <v>45531</v>
      </c>
      <c r="C1744" s="1" t="n">
        <v>45682</v>
      </c>
      <c r="D1744" t="inlineStr">
        <is>
          <t>STOCKHOLMS LÄN</t>
        </is>
      </c>
      <c r="E1744" t="inlineStr">
        <is>
          <t>NORRTÄLJE</t>
        </is>
      </c>
      <c r="F1744" t="inlineStr">
        <is>
          <t>Holmen skog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35640-2024</t>
        </is>
      </c>
      <c r="B1745" s="1" t="n">
        <v>45531</v>
      </c>
      <c r="C1745" s="1" t="n">
        <v>45682</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35719-2024</t>
        </is>
      </c>
      <c r="B1746" s="1" t="n">
        <v>45532</v>
      </c>
      <c r="C1746" s="1" t="n">
        <v>45682</v>
      </c>
      <c r="D1746" t="inlineStr">
        <is>
          <t>STOCKHOLMS LÄN</t>
        </is>
      </c>
      <c r="E1746" t="inlineStr">
        <is>
          <t>NORRTÄLJE</t>
        </is>
      </c>
      <c r="F1746" t="inlineStr">
        <is>
          <t>Holmen skog AB</t>
        </is>
      </c>
      <c r="G1746" t="n">
        <v>15.2</v>
      </c>
      <c r="H1746" t="n">
        <v>0</v>
      </c>
      <c r="I1746" t="n">
        <v>0</v>
      </c>
      <c r="J1746" t="n">
        <v>0</v>
      </c>
      <c r="K1746" t="n">
        <v>0</v>
      </c>
      <c r="L1746" t="n">
        <v>0</v>
      </c>
      <c r="M1746" t="n">
        <v>0</v>
      </c>
      <c r="N1746" t="n">
        <v>0</v>
      </c>
      <c r="O1746" t="n">
        <v>0</v>
      </c>
      <c r="P1746" t="n">
        <v>0</v>
      </c>
      <c r="Q1746" t="n">
        <v>0</v>
      </c>
      <c r="R1746" s="2" t="inlineStr"/>
    </row>
    <row r="1747" ht="15" customHeight="1">
      <c r="A1747" t="inlineStr">
        <is>
          <t>A 35782-2024</t>
        </is>
      </c>
      <c r="B1747" s="1" t="n">
        <v>45532</v>
      </c>
      <c r="C1747" s="1" t="n">
        <v>45682</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35647-2024</t>
        </is>
      </c>
      <c r="B1748" s="1" t="n">
        <v>45532</v>
      </c>
      <c r="C1748" s="1" t="n">
        <v>45682</v>
      </c>
      <c r="D1748" t="inlineStr">
        <is>
          <t>STOCKHOLMS LÄN</t>
        </is>
      </c>
      <c r="E1748" t="inlineStr">
        <is>
          <t>NORRTÄLJE</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35916-2024</t>
        </is>
      </c>
      <c r="B1749" s="1" t="n">
        <v>45533</v>
      </c>
      <c r="C1749" s="1" t="n">
        <v>45682</v>
      </c>
      <c r="D1749" t="inlineStr">
        <is>
          <t>STOCKHOLMS LÄN</t>
        </is>
      </c>
      <c r="E1749" t="inlineStr">
        <is>
          <t>NORRTÄLJE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36157-2024</t>
        </is>
      </c>
      <c r="B1750" s="1" t="n">
        <v>45534</v>
      </c>
      <c r="C1750" s="1" t="n">
        <v>45682</v>
      </c>
      <c r="D1750" t="inlineStr">
        <is>
          <t>STOCKHOLMS LÄN</t>
        </is>
      </c>
      <c r="E1750" t="inlineStr">
        <is>
          <t>NORRTÄLJE</t>
        </is>
      </c>
      <c r="F1750" t="inlineStr">
        <is>
          <t>Övriga Aktiebolag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36430-2024</t>
        </is>
      </c>
      <c r="B1751" s="1" t="n">
        <v>45536</v>
      </c>
      <c r="C1751" s="1" t="n">
        <v>45682</v>
      </c>
      <c r="D1751" t="inlineStr">
        <is>
          <t>STOCKHOLMS LÄN</t>
        </is>
      </c>
      <c r="E1751" t="inlineStr">
        <is>
          <t>NORRTÄLJE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36556-2024</t>
        </is>
      </c>
      <c r="B1752" s="1" t="n">
        <v>45537</v>
      </c>
      <c r="C1752" s="1" t="n">
        <v>45682</v>
      </c>
      <c r="D1752" t="inlineStr">
        <is>
          <t>STOCKHOLMS LÄN</t>
        </is>
      </c>
      <c r="E1752" t="inlineStr">
        <is>
          <t>NORRTÄLJE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36625-2024</t>
        </is>
      </c>
      <c r="B1753" s="1" t="n">
        <v>45537</v>
      </c>
      <c r="C1753" s="1" t="n">
        <v>45682</v>
      </c>
      <c r="D1753" t="inlineStr">
        <is>
          <t>STOCKHOLMS LÄN</t>
        </is>
      </c>
      <c r="E1753" t="inlineStr">
        <is>
          <t>NORRTÄLJE</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37273-2024</t>
        </is>
      </c>
      <c r="B1754" s="1" t="n">
        <v>45540</v>
      </c>
      <c r="C1754" s="1" t="n">
        <v>45682</v>
      </c>
      <c r="D1754" t="inlineStr">
        <is>
          <t>STOCKHOLMS LÄN</t>
        </is>
      </c>
      <c r="E1754" t="inlineStr">
        <is>
          <t>NORRTÄLJE</t>
        </is>
      </c>
      <c r="F1754" t="inlineStr">
        <is>
          <t>Sveaskog</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37663-2024</t>
        </is>
      </c>
      <c r="B1755" s="1" t="n">
        <v>45541</v>
      </c>
      <c r="C1755" s="1" t="n">
        <v>45682</v>
      </c>
      <c r="D1755" t="inlineStr">
        <is>
          <t>STOCKHOLMS LÄN</t>
        </is>
      </c>
      <c r="E1755" t="inlineStr">
        <is>
          <t>NORRTÄLJE</t>
        </is>
      </c>
      <c r="F1755" t="inlineStr">
        <is>
          <t>Holmen skog AB</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37684-2024</t>
        </is>
      </c>
      <c r="B1756" s="1" t="n">
        <v>45541</v>
      </c>
      <c r="C1756" s="1" t="n">
        <v>45682</v>
      </c>
      <c r="D1756" t="inlineStr">
        <is>
          <t>STOCKHOLMS LÄN</t>
        </is>
      </c>
      <c r="E1756" t="inlineStr">
        <is>
          <t>NORRTÄLJE</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37980-2024</t>
        </is>
      </c>
      <c r="B1757" s="1" t="n">
        <v>45544</v>
      </c>
      <c r="C1757" s="1" t="n">
        <v>45682</v>
      </c>
      <c r="D1757" t="inlineStr">
        <is>
          <t>STOCKHOLMS LÄN</t>
        </is>
      </c>
      <c r="E1757" t="inlineStr">
        <is>
          <t>NORRTÄLJE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38073-2024</t>
        </is>
      </c>
      <c r="B1758" s="1" t="n">
        <v>45544</v>
      </c>
      <c r="C1758" s="1" t="n">
        <v>45682</v>
      </c>
      <c r="D1758" t="inlineStr">
        <is>
          <t>STOCKHOLMS LÄN</t>
        </is>
      </c>
      <c r="E1758" t="inlineStr">
        <is>
          <t>NORRTÄLJE</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38878-2024</t>
        </is>
      </c>
      <c r="B1759" s="1" t="n">
        <v>45547</v>
      </c>
      <c r="C1759" s="1" t="n">
        <v>45682</v>
      </c>
      <c r="D1759" t="inlineStr">
        <is>
          <t>STOCKHOLMS LÄN</t>
        </is>
      </c>
      <c r="E1759" t="inlineStr">
        <is>
          <t>NORRTÄLJE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38889-2024</t>
        </is>
      </c>
      <c r="B1760" s="1" t="n">
        <v>45547</v>
      </c>
      <c r="C1760" s="1" t="n">
        <v>45682</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39203-2024</t>
        </is>
      </c>
      <c r="B1761" s="1" t="n">
        <v>45548</v>
      </c>
      <c r="C1761" s="1" t="n">
        <v>45682</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39202-2024</t>
        </is>
      </c>
      <c r="B1762" s="1" t="n">
        <v>45548</v>
      </c>
      <c r="C1762" s="1" t="n">
        <v>45682</v>
      </c>
      <c r="D1762" t="inlineStr">
        <is>
          <t>STOCKHOLMS LÄN</t>
        </is>
      </c>
      <c r="E1762" t="inlineStr">
        <is>
          <t>NORRTÄLJE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39238-2024</t>
        </is>
      </c>
      <c r="B1763" s="1" t="n">
        <v>45549</v>
      </c>
      <c r="C1763" s="1" t="n">
        <v>45682</v>
      </c>
      <c r="D1763" t="inlineStr">
        <is>
          <t>STOCKHOLMS LÄN</t>
        </is>
      </c>
      <c r="E1763" t="inlineStr">
        <is>
          <t>NORRTÄLJE</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39237-2024</t>
        </is>
      </c>
      <c r="B1764" s="1" t="n">
        <v>45549</v>
      </c>
      <c r="C1764" s="1" t="n">
        <v>45682</v>
      </c>
      <c r="D1764" t="inlineStr">
        <is>
          <t>STOCKHOLMS LÄN</t>
        </is>
      </c>
      <c r="E1764" t="inlineStr">
        <is>
          <t>NORRTÄLJE</t>
        </is>
      </c>
      <c r="G1764" t="n">
        <v>13.3</v>
      </c>
      <c r="H1764" t="n">
        <v>0</v>
      </c>
      <c r="I1764" t="n">
        <v>0</v>
      </c>
      <c r="J1764" t="n">
        <v>0</v>
      </c>
      <c r="K1764" t="n">
        <v>0</v>
      </c>
      <c r="L1764" t="n">
        <v>0</v>
      </c>
      <c r="M1764" t="n">
        <v>0</v>
      </c>
      <c r="N1764" t="n">
        <v>0</v>
      </c>
      <c r="O1764" t="n">
        <v>0</v>
      </c>
      <c r="P1764" t="n">
        <v>0</v>
      </c>
      <c r="Q1764" t="n">
        <v>0</v>
      </c>
      <c r="R1764" s="2" t="inlineStr"/>
    </row>
    <row r="1765" ht="15" customHeight="1">
      <c r="A1765" t="inlineStr">
        <is>
          <t>A 39669-2024</t>
        </is>
      </c>
      <c r="B1765" s="1" t="n">
        <v>45552</v>
      </c>
      <c r="C1765" s="1" t="n">
        <v>45682</v>
      </c>
      <c r="D1765" t="inlineStr">
        <is>
          <t>STOCKHOLMS LÄN</t>
        </is>
      </c>
      <c r="E1765" t="inlineStr">
        <is>
          <t>NORRTÄLJE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39667-2024</t>
        </is>
      </c>
      <c r="B1766" s="1" t="n">
        <v>45552</v>
      </c>
      <c r="C1766" s="1" t="n">
        <v>45682</v>
      </c>
      <c r="D1766" t="inlineStr">
        <is>
          <t>STOCKHOLMS LÄN</t>
        </is>
      </c>
      <c r="E1766" t="inlineStr">
        <is>
          <t>NORRTÄLJE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39913-2024</t>
        </is>
      </c>
      <c r="B1767" s="1" t="n">
        <v>45553</v>
      </c>
      <c r="C1767" s="1" t="n">
        <v>45682</v>
      </c>
      <c r="D1767" t="inlineStr">
        <is>
          <t>STOCKHOLMS LÄN</t>
        </is>
      </c>
      <c r="E1767" t="inlineStr">
        <is>
          <t>NORRTÄLJE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40175-2024</t>
        </is>
      </c>
      <c r="B1768" s="1" t="n">
        <v>45554</v>
      </c>
      <c r="C1768" s="1" t="n">
        <v>45682</v>
      </c>
      <c r="D1768" t="inlineStr">
        <is>
          <t>STOCKHOLMS LÄN</t>
        </is>
      </c>
      <c r="E1768" t="inlineStr">
        <is>
          <t>NORRTÄLJE</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40761-2024</t>
        </is>
      </c>
      <c r="B1769" s="1" t="n">
        <v>45558</v>
      </c>
      <c r="C1769" s="1" t="n">
        <v>45682</v>
      </c>
      <c r="D1769" t="inlineStr">
        <is>
          <t>STOCKHOLMS LÄN</t>
        </is>
      </c>
      <c r="E1769" t="inlineStr">
        <is>
          <t>NORRTÄLJE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41219-2024</t>
        </is>
      </c>
      <c r="B1770" s="1" t="n">
        <v>45559</v>
      </c>
      <c r="C1770" s="1" t="n">
        <v>45682</v>
      </c>
      <c r="D1770" t="inlineStr">
        <is>
          <t>STOCKHOLMS LÄN</t>
        </is>
      </c>
      <c r="E1770" t="inlineStr">
        <is>
          <t>NORRTÄLJE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41218-2024</t>
        </is>
      </c>
      <c r="B1771" s="1" t="n">
        <v>45559</v>
      </c>
      <c r="C1771" s="1" t="n">
        <v>45682</v>
      </c>
      <c r="D1771" t="inlineStr">
        <is>
          <t>STOCKHOLMS LÄN</t>
        </is>
      </c>
      <c r="E1771" t="inlineStr">
        <is>
          <t>NORRTÄLJE</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41243-2024</t>
        </is>
      </c>
      <c r="B1772" s="1" t="n">
        <v>45559</v>
      </c>
      <c r="C1772" s="1" t="n">
        <v>45682</v>
      </c>
      <c r="D1772" t="inlineStr">
        <is>
          <t>STOCKHOLMS LÄN</t>
        </is>
      </c>
      <c r="E1772" t="inlineStr">
        <is>
          <t>NORRTÄLJE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41253-2024</t>
        </is>
      </c>
      <c r="B1773" s="1" t="n">
        <v>45559</v>
      </c>
      <c r="C1773" s="1" t="n">
        <v>45682</v>
      </c>
      <c r="D1773" t="inlineStr">
        <is>
          <t>STOCKHOLMS LÄN</t>
        </is>
      </c>
      <c r="E1773" t="inlineStr">
        <is>
          <t>NORRTÄLJE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41310-2024</t>
        </is>
      </c>
      <c r="B1774" s="1" t="n">
        <v>45559</v>
      </c>
      <c r="C1774" s="1" t="n">
        <v>45682</v>
      </c>
      <c r="D1774" t="inlineStr">
        <is>
          <t>STOCKHOLMS LÄN</t>
        </is>
      </c>
      <c r="E1774" t="inlineStr">
        <is>
          <t>NORRTÄLJE</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41342-2024</t>
        </is>
      </c>
      <c r="B1775" s="1" t="n">
        <v>45559</v>
      </c>
      <c r="C1775" s="1" t="n">
        <v>45682</v>
      </c>
      <c r="D1775" t="inlineStr">
        <is>
          <t>STOCKHOLMS LÄN</t>
        </is>
      </c>
      <c r="E1775" t="inlineStr">
        <is>
          <t>NORRTÄLJE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41976-2024</t>
        </is>
      </c>
      <c r="B1776" s="1" t="n">
        <v>45561</v>
      </c>
      <c r="C1776" s="1" t="n">
        <v>45682</v>
      </c>
      <c r="D1776" t="inlineStr">
        <is>
          <t>STOCKHOLMS LÄN</t>
        </is>
      </c>
      <c r="E1776" t="inlineStr">
        <is>
          <t>NORRTÄLJE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44032-2024</t>
        </is>
      </c>
      <c r="B1777" s="1" t="n">
        <v>45572</v>
      </c>
      <c r="C1777" s="1" t="n">
        <v>45682</v>
      </c>
      <c r="D1777" t="inlineStr">
        <is>
          <t>STOCKHOLMS LÄN</t>
        </is>
      </c>
      <c r="E1777" t="inlineStr">
        <is>
          <t>NORRTÄLJE</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44776-2024</t>
        </is>
      </c>
      <c r="B1778" s="1" t="n">
        <v>45574</v>
      </c>
      <c r="C1778" s="1" t="n">
        <v>45682</v>
      </c>
      <c r="D1778" t="inlineStr">
        <is>
          <t>STOCKHOLMS LÄN</t>
        </is>
      </c>
      <c r="E1778" t="inlineStr">
        <is>
          <t>NORRTÄLJE</t>
        </is>
      </c>
      <c r="G1778" t="n">
        <v>12.6</v>
      </c>
      <c r="H1778" t="n">
        <v>0</v>
      </c>
      <c r="I1778" t="n">
        <v>0</v>
      </c>
      <c r="J1778" t="n">
        <v>0</v>
      </c>
      <c r="K1778" t="n">
        <v>0</v>
      </c>
      <c r="L1778" t="n">
        <v>0</v>
      </c>
      <c r="M1778" t="n">
        <v>0</v>
      </c>
      <c r="N1778" t="n">
        <v>0</v>
      </c>
      <c r="O1778" t="n">
        <v>0</v>
      </c>
      <c r="P1778" t="n">
        <v>0</v>
      </c>
      <c r="Q1778" t="n">
        <v>0</v>
      </c>
      <c r="R1778" s="2" t="inlineStr"/>
    </row>
    <row r="1779" ht="15" customHeight="1">
      <c r="A1779" t="inlineStr">
        <is>
          <t>A 44821-2024</t>
        </is>
      </c>
      <c r="B1779" s="1" t="n">
        <v>45574</v>
      </c>
      <c r="C1779" s="1" t="n">
        <v>45682</v>
      </c>
      <c r="D1779" t="inlineStr">
        <is>
          <t>STOCKHOLMS LÄN</t>
        </is>
      </c>
      <c r="E1779" t="inlineStr">
        <is>
          <t>NORRTÄLJE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45220-2024</t>
        </is>
      </c>
      <c r="B1780" s="1" t="n">
        <v>45575</v>
      </c>
      <c r="C1780" s="1" t="n">
        <v>45682</v>
      </c>
      <c r="D1780" t="inlineStr">
        <is>
          <t>STOCKHOLMS LÄN</t>
        </is>
      </c>
      <c r="E1780" t="inlineStr">
        <is>
          <t>NORRTÄLJE</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45254-2024</t>
        </is>
      </c>
      <c r="B1781" s="1" t="n">
        <v>45576</v>
      </c>
      <c r="C1781" s="1" t="n">
        <v>45682</v>
      </c>
      <c r="D1781" t="inlineStr">
        <is>
          <t>STOCKHOLMS LÄN</t>
        </is>
      </c>
      <c r="E1781" t="inlineStr">
        <is>
          <t>NORRTÄLJE</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45451-2024</t>
        </is>
      </c>
      <c r="B1782" s="1" t="n">
        <v>45576</v>
      </c>
      <c r="C1782" s="1" t="n">
        <v>45682</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45247-2024</t>
        </is>
      </c>
      <c r="B1783" s="1" t="n">
        <v>45576</v>
      </c>
      <c r="C1783" s="1" t="n">
        <v>45682</v>
      </c>
      <c r="D1783" t="inlineStr">
        <is>
          <t>STOCKHOLMS LÄN</t>
        </is>
      </c>
      <c r="E1783" t="inlineStr">
        <is>
          <t>NORRTÄLJE</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45739-2024</t>
        </is>
      </c>
      <c r="B1784" s="1" t="n">
        <v>45579</v>
      </c>
      <c r="C1784" s="1" t="n">
        <v>45682</v>
      </c>
      <c r="D1784" t="inlineStr">
        <is>
          <t>STOCKHOLMS LÄN</t>
        </is>
      </c>
      <c r="E1784" t="inlineStr">
        <is>
          <t>NORRTÄLJE</t>
        </is>
      </c>
      <c r="G1784" t="n">
        <v>21.9</v>
      </c>
      <c r="H1784" t="n">
        <v>0</v>
      </c>
      <c r="I1784" t="n">
        <v>0</v>
      </c>
      <c r="J1784" t="n">
        <v>0</v>
      </c>
      <c r="K1784" t="n">
        <v>0</v>
      </c>
      <c r="L1784" t="n">
        <v>0</v>
      </c>
      <c r="M1784" t="n">
        <v>0</v>
      </c>
      <c r="N1784" t="n">
        <v>0</v>
      </c>
      <c r="O1784" t="n">
        <v>0</v>
      </c>
      <c r="P1784" t="n">
        <v>0</v>
      </c>
      <c r="Q1784" t="n">
        <v>0</v>
      </c>
      <c r="R1784" s="2" t="inlineStr"/>
    </row>
    <row r="1785" ht="15" customHeight="1">
      <c r="A1785" t="inlineStr">
        <is>
          <t>A 45746-2024</t>
        </is>
      </c>
      <c r="B1785" s="1" t="n">
        <v>45579</v>
      </c>
      <c r="C1785" s="1" t="n">
        <v>45682</v>
      </c>
      <c r="D1785" t="inlineStr">
        <is>
          <t>STOCKHOLMS LÄN</t>
        </is>
      </c>
      <c r="E1785" t="inlineStr">
        <is>
          <t>NORRTÄLJE</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46073-2024</t>
        </is>
      </c>
      <c r="B1786" s="1" t="n">
        <v>45581</v>
      </c>
      <c r="C1786" s="1" t="n">
        <v>45682</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46326-2024</t>
        </is>
      </c>
      <c r="B1787" s="1" t="n">
        <v>45581</v>
      </c>
      <c r="C1787" s="1" t="n">
        <v>45682</v>
      </c>
      <c r="D1787" t="inlineStr">
        <is>
          <t>STOCKHOLMS LÄN</t>
        </is>
      </c>
      <c r="E1787" t="inlineStr">
        <is>
          <t>NORRTÄLJE</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46071-2024</t>
        </is>
      </c>
      <c r="B1788" s="1" t="n">
        <v>45581</v>
      </c>
      <c r="C1788" s="1" t="n">
        <v>45682</v>
      </c>
      <c r="D1788" t="inlineStr">
        <is>
          <t>STOCKHOLMS LÄN</t>
        </is>
      </c>
      <c r="E1788" t="inlineStr">
        <is>
          <t>NORRTÄLJE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46333-2024</t>
        </is>
      </c>
      <c r="B1789" s="1" t="n">
        <v>45581</v>
      </c>
      <c r="C1789" s="1" t="n">
        <v>45682</v>
      </c>
      <c r="D1789" t="inlineStr">
        <is>
          <t>STOCKHOLMS LÄN</t>
        </is>
      </c>
      <c r="E1789" t="inlineStr">
        <is>
          <t>NORRTÄLJE</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46448-2024</t>
        </is>
      </c>
      <c r="B1790" s="1" t="n">
        <v>45582</v>
      </c>
      <c r="C1790" s="1" t="n">
        <v>45682</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46988-2024</t>
        </is>
      </c>
      <c r="B1791" s="1" t="n">
        <v>45586</v>
      </c>
      <c r="C1791" s="1" t="n">
        <v>45682</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47257-2024</t>
        </is>
      </c>
      <c r="B1792" s="1" t="n">
        <v>45586</v>
      </c>
      <c r="C1792" s="1" t="n">
        <v>45682</v>
      </c>
      <c r="D1792" t="inlineStr">
        <is>
          <t>STOCKHOLMS LÄN</t>
        </is>
      </c>
      <c r="E1792" t="inlineStr">
        <is>
          <t>NORRTÄLJE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47259-2024</t>
        </is>
      </c>
      <c r="B1793" s="1" t="n">
        <v>45586</v>
      </c>
      <c r="C1793" s="1" t="n">
        <v>45682</v>
      </c>
      <c r="D1793" t="inlineStr">
        <is>
          <t>STOCKHOLMS LÄN</t>
        </is>
      </c>
      <c r="E1793" t="inlineStr">
        <is>
          <t>NORRTÄLJE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47521-2024</t>
        </is>
      </c>
      <c r="B1794" s="1" t="n">
        <v>45587</v>
      </c>
      <c r="C1794" s="1" t="n">
        <v>45682</v>
      </c>
      <c r="D1794" t="inlineStr">
        <is>
          <t>STOCKHOLMS LÄN</t>
        </is>
      </c>
      <c r="E1794" t="inlineStr">
        <is>
          <t>NORRTÄLJE</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47481-2024</t>
        </is>
      </c>
      <c r="B1795" s="1" t="n">
        <v>45587</v>
      </c>
      <c r="C1795" s="1" t="n">
        <v>45682</v>
      </c>
      <c r="D1795" t="inlineStr">
        <is>
          <t>STOCKHOLMS LÄN</t>
        </is>
      </c>
      <c r="E1795" t="inlineStr">
        <is>
          <t>NORRTÄLJE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48145-2024</t>
        </is>
      </c>
      <c r="B1796" s="1" t="n">
        <v>45589</v>
      </c>
      <c r="C1796" s="1" t="n">
        <v>45682</v>
      </c>
      <c r="D1796" t="inlineStr">
        <is>
          <t>STOCKHOLMS LÄN</t>
        </is>
      </c>
      <c r="E1796" t="inlineStr">
        <is>
          <t>NORRTÄLJE</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48151-2024</t>
        </is>
      </c>
      <c r="B1797" s="1" t="n">
        <v>45589</v>
      </c>
      <c r="C1797" s="1" t="n">
        <v>45682</v>
      </c>
      <c r="D1797" t="inlineStr">
        <is>
          <t>STOCKHOLMS LÄN</t>
        </is>
      </c>
      <c r="E1797" t="inlineStr">
        <is>
          <t>NORRTÄLJE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48564-2024</t>
        </is>
      </c>
      <c r="B1798" s="1" t="n">
        <v>45593</v>
      </c>
      <c r="C1798" s="1" t="n">
        <v>45682</v>
      </c>
      <c r="D1798" t="inlineStr">
        <is>
          <t>STOCKHOLMS LÄN</t>
        </is>
      </c>
      <c r="E1798" t="inlineStr">
        <is>
          <t>NORRTÄLJE</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48548-2024</t>
        </is>
      </c>
      <c r="B1799" s="1" t="n">
        <v>45593</v>
      </c>
      <c r="C1799" s="1" t="n">
        <v>45682</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48852-2024</t>
        </is>
      </c>
      <c r="B1800" s="1" t="n">
        <v>45593</v>
      </c>
      <c r="C1800" s="1" t="n">
        <v>45682</v>
      </c>
      <c r="D1800" t="inlineStr">
        <is>
          <t>STOCKHOLMS LÄN</t>
        </is>
      </c>
      <c r="E1800" t="inlineStr">
        <is>
          <t>NORRTÄLJE</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48850-2024</t>
        </is>
      </c>
      <c r="B1801" s="1" t="n">
        <v>45593</v>
      </c>
      <c r="C1801" s="1" t="n">
        <v>45682</v>
      </c>
      <c r="D1801" t="inlineStr">
        <is>
          <t>STOCKHOLMS LÄN</t>
        </is>
      </c>
      <c r="E1801" t="inlineStr">
        <is>
          <t>NORRTÄLJE</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48851-2024</t>
        </is>
      </c>
      <c r="B1802" s="1" t="n">
        <v>45593</v>
      </c>
      <c r="C1802" s="1" t="n">
        <v>45682</v>
      </c>
      <c r="D1802" t="inlineStr">
        <is>
          <t>STOCKHOLMS LÄN</t>
        </is>
      </c>
      <c r="E1802" t="inlineStr">
        <is>
          <t>NORRTÄLJE</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49949-2024</t>
        </is>
      </c>
      <c r="B1803" s="1" t="n">
        <v>45597</v>
      </c>
      <c r="C1803" s="1" t="n">
        <v>45682</v>
      </c>
      <c r="D1803" t="inlineStr">
        <is>
          <t>STOCKHOLMS LÄN</t>
        </is>
      </c>
      <c r="E1803" t="inlineStr">
        <is>
          <t>NORRTÄLJE</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50113-2024</t>
        </is>
      </c>
      <c r="B1804" s="1" t="n">
        <v>45600</v>
      </c>
      <c r="C1804" s="1" t="n">
        <v>45682</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50355-2024</t>
        </is>
      </c>
      <c r="B1805" s="1" t="n">
        <v>45600</v>
      </c>
      <c r="C1805" s="1" t="n">
        <v>45682</v>
      </c>
      <c r="D1805" t="inlineStr">
        <is>
          <t>STOCKHOLMS LÄN</t>
        </is>
      </c>
      <c r="E1805" t="inlineStr">
        <is>
          <t>NORRTÄLJE</t>
        </is>
      </c>
      <c r="F1805" t="inlineStr">
        <is>
          <t>Kommuner</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50154-2024</t>
        </is>
      </c>
      <c r="B1806" s="1" t="n">
        <v>45600</v>
      </c>
      <c r="C1806" s="1" t="n">
        <v>45682</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50182-2024</t>
        </is>
      </c>
      <c r="B1807" s="1" t="n">
        <v>45600</v>
      </c>
      <c r="C1807" s="1" t="n">
        <v>45682</v>
      </c>
      <c r="D1807" t="inlineStr">
        <is>
          <t>STOCKHOLMS LÄN</t>
        </is>
      </c>
      <c r="E1807" t="inlineStr">
        <is>
          <t>NORRTÄLJE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50534-2024</t>
        </is>
      </c>
      <c r="B1808" s="1" t="n">
        <v>45601</v>
      </c>
      <c r="C1808" s="1" t="n">
        <v>45682</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52287-2024</t>
        </is>
      </c>
      <c r="B1809" s="1" t="n">
        <v>45608</v>
      </c>
      <c r="C1809" s="1" t="n">
        <v>45682</v>
      </c>
      <c r="D1809" t="inlineStr">
        <is>
          <t>STOCKHOLMS LÄN</t>
        </is>
      </c>
      <c r="E1809" t="inlineStr">
        <is>
          <t>NORRTÄLJE</t>
        </is>
      </c>
      <c r="F1809" t="inlineStr">
        <is>
          <t>Holmen skog AB</t>
        </is>
      </c>
      <c r="G1809" t="n">
        <v>16.1</v>
      </c>
      <c r="H1809" t="n">
        <v>0</v>
      </c>
      <c r="I1809" t="n">
        <v>0</v>
      </c>
      <c r="J1809" t="n">
        <v>0</v>
      </c>
      <c r="K1809" t="n">
        <v>0</v>
      </c>
      <c r="L1809" t="n">
        <v>0</v>
      </c>
      <c r="M1809" t="n">
        <v>0</v>
      </c>
      <c r="N1809" t="n">
        <v>0</v>
      </c>
      <c r="O1809" t="n">
        <v>0</v>
      </c>
      <c r="P1809" t="n">
        <v>0</v>
      </c>
      <c r="Q1809" t="n">
        <v>0</v>
      </c>
      <c r="R1809" s="2" t="inlineStr"/>
    </row>
    <row r="1810" ht="15" customHeight="1">
      <c r="A1810" t="inlineStr">
        <is>
          <t>A 52321-2024</t>
        </is>
      </c>
      <c r="B1810" s="1" t="n">
        <v>45608</v>
      </c>
      <c r="C1810" s="1" t="n">
        <v>45682</v>
      </c>
      <c r="D1810" t="inlineStr">
        <is>
          <t>STOCKHOLMS LÄN</t>
        </is>
      </c>
      <c r="E1810" t="inlineStr">
        <is>
          <t>NORRTÄLJE</t>
        </is>
      </c>
      <c r="G1810" t="n">
        <v>18.1</v>
      </c>
      <c r="H1810" t="n">
        <v>0</v>
      </c>
      <c r="I1810" t="n">
        <v>0</v>
      </c>
      <c r="J1810" t="n">
        <v>0</v>
      </c>
      <c r="K1810" t="n">
        <v>0</v>
      </c>
      <c r="L1810" t="n">
        <v>0</v>
      </c>
      <c r="M1810" t="n">
        <v>0</v>
      </c>
      <c r="N1810" t="n">
        <v>0</v>
      </c>
      <c r="O1810" t="n">
        <v>0</v>
      </c>
      <c r="P1810" t="n">
        <v>0</v>
      </c>
      <c r="Q1810" t="n">
        <v>0</v>
      </c>
      <c r="R1810" s="2" t="inlineStr"/>
    </row>
    <row r="1811" ht="15" customHeight="1">
      <c r="A1811" t="inlineStr">
        <is>
          <t>A 52407-2024</t>
        </is>
      </c>
      <c r="B1811" s="1" t="n">
        <v>45609</v>
      </c>
      <c r="C1811" s="1" t="n">
        <v>45682</v>
      </c>
      <c r="D1811" t="inlineStr">
        <is>
          <t>STOCKHOLMS LÄN</t>
        </is>
      </c>
      <c r="E1811" t="inlineStr">
        <is>
          <t>NORRTÄLJE</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52615-2024</t>
        </is>
      </c>
      <c r="B1812" s="1" t="n">
        <v>45609</v>
      </c>
      <c r="C1812" s="1" t="n">
        <v>45682</v>
      </c>
      <c r="D1812" t="inlineStr">
        <is>
          <t>STOCKHOLMS LÄN</t>
        </is>
      </c>
      <c r="E1812" t="inlineStr">
        <is>
          <t>NORRTÄLJE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52614-2024</t>
        </is>
      </c>
      <c r="B1813" s="1" t="n">
        <v>45609</v>
      </c>
      <c r="C1813" s="1" t="n">
        <v>45682</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52618-2024</t>
        </is>
      </c>
      <c r="B1814" s="1" t="n">
        <v>45609</v>
      </c>
      <c r="C1814" s="1" t="n">
        <v>45682</v>
      </c>
      <c r="D1814" t="inlineStr">
        <is>
          <t>STOCKHOLMS LÄN</t>
        </is>
      </c>
      <c r="E1814" t="inlineStr">
        <is>
          <t>NORRTÄLJE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52593-2024</t>
        </is>
      </c>
      <c r="B1815" s="1" t="n">
        <v>45609</v>
      </c>
      <c r="C1815" s="1" t="n">
        <v>45682</v>
      </c>
      <c r="D1815" t="inlineStr">
        <is>
          <t>STOCKHOLMS LÄN</t>
        </is>
      </c>
      <c r="E1815" t="inlineStr">
        <is>
          <t>NORRTÄLJE</t>
        </is>
      </c>
      <c r="F1815" t="inlineStr">
        <is>
          <t>Holmen skog AB</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52617-2024</t>
        </is>
      </c>
      <c r="B1816" s="1" t="n">
        <v>45609</v>
      </c>
      <c r="C1816" s="1" t="n">
        <v>45682</v>
      </c>
      <c r="D1816" t="inlineStr">
        <is>
          <t>STOCKHOLMS LÄN</t>
        </is>
      </c>
      <c r="E1816" t="inlineStr">
        <is>
          <t>NORRTÄLJE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52715-2024</t>
        </is>
      </c>
      <c r="B1817" s="1" t="n">
        <v>45610</v>
      </c>
      <c r="C1817" s="1" t="n">
        <v>45682</v>
      </c>
      <c r="D1817" t="inlineStr">
        <is>
          <t>STOCKHOLMS LÄN</t>
        </is>
      </c>
      <c r="E1817" t="inlineStr">
        <is>
          <t>NORRTÄLJE</t>
        </is>
      </c>
      <c r="G1817" t="n">
        <v>11.1</v>
      </c>
      <c r="H1817" t="n">
        <v>0</v>
      </c>
      <c r="I1817" t="n">
        <v>0</v>
      </c>
      <c r="J1817" t="n">
        <v>0</v>
      </c>
      <c r="K1817" t="n">
        <v>0</v>
      </c>
      <c r="L1817" t="n">
        <v>0</v>
      </c>
      <c r="M1817" t="n">
        <v>0</v>
      </c>
      <c r="N1817" t="n">
        <v>0</v>
      </c>
      <c r="O1817" t="n">
        <v>0</v>
      </c>
      <c r="P1817" t="n">
        <v>0</v>
      </c>
      <c r="Q1817" t="n">
        <v>0</v>
      </c>
      <c r="R1817" s="2" t="inlineStr"/>
      <c r="U1817">
        <f>HYPERLINK("https://klasma.github.io/Logging_0188/knärot/A 52715-2024 karta knärot.png", "A 52715-2024")</f>
        <v/>
      </c>
      <c r="V1817">
        <f>HYPERLINK("https://klasma.github.io/Logging_0188/klagomål/A 52715-2024 FSC-klagomål.docx", "A 52715-2024")</f>
        <v/>
      </c>
      <c r="W1817">
        <f>HYPERLINK("https://klasma.github.io/Logging_0188/klagomålsmail/A 52715-2024 FSC-klagomål mail.docx", "A 52715-2024")</f>
        <v/>
      </c>
      <c r="X1817">
        <f>HYPERLINK("https://klasma.github.io/Logging_0188/tillsyn/A 52715-2024 tillsynsbegäran.docx", "A 52715-2024")</f>
        <v/>
      </c>
      <c r="Y1817">
        <f>HYPERLINK("https://klasma.github.io/Logging_0188/tillsynsmail/A 52715-2024 tillsynsbegäran mail.docx", "A 52715-2024")</f>
        <v/>
      </c>
    </row>
    <row r="1818" ht="15" customHeight="1">
      <c r="A1818" t="inlineStr">
        <is>
          <t>A 52743-2024</t>
        </is>
      </c>
      <c r="B1818" s="1" t="n">
        <v>45610</v>
      </c>
      <c r="C1818" s="1" t="n">
        <v>45682</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52686-2024</t>
        </is>
      </c>
      <c r="B1819" s="1" t="n">
        <v>45610</v>
      </c>
      <c r="C1819" s="1" t="n">
        <v>45682</v>
      </c>
      <c r="D1819" t="inlineStr">
        <is>
          <t>STOCKHOLMS LÄN</t>
        </is>
      </c>
      <c r="E1819" t="inlineStr">
        <is>
          <t>NORRTÄLJE</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53312-2024</t>
        </is>
      </c>
      <c r="B1820" s="1" t="n">
        <v>45614</v>
      </c>
      <c r="C1820" s="1" t="n">
        <v>45682</v>
      </c>
      <c r="D1820" t="inlineStr">
        <is>
          <t>STOCKHOLMS LÄN</t>
        </is>
      </c>
      <c r="E1820" t="inlineStr">
        <is>
          <t>NORRTÄLJE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53305-2024</t>
        </is>
      </c>
      <c r="B1821" s="1" t="n">
        <v>45614</v>
      </c>
      <c r="C1821" s="1" t="n">
        <v>45682</v>
      </c>
      <c r="D1821" t="inlineStr">
        <is>
          <t>STOCKHOLMS LÄN</t>
        </is>
      </c>
      <c r="E1821" t="inlineStr">
        <is>
          <t>NORRTÄLJE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54113-2024</t>
        </is>
      </c>
      <c r="B1822" s="1" t="n">
        <v>45616</v>
      </c>
      <c r="C1822" s="1" t="n">
        <v>45682</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54315-2024</t>
        </is>
      </c>
      <c r="B1823" s="1" t="n">
        <v>45617</v>
      </c>
      <c r="C1823" s="1" t="n">
        <v>45682</v>
      </c>
      <c r="D1823" t="inlineStr">
        <is>
          <t>STOCKHOLMS LÄN</t>
        </is>
      </c>
      <c r="E1823" t="inlineStr">
        <is>
          <t>NORRTÄLJE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54558-2024</t>
        </is>
      </c>
      <c r="B1824" s="1" t="n">
        <v>45617</v>
      </c>
      <c r="C1824" s="1" t="n">
        <v>45682</v>
      </c>
      <c r="D1824" t="inlineStr">
        <is>
          <t>STOCKHOLMS LÄN</t>
        </is>
      </c>
      <c r="E1824" t="inlineStr">
        <is>
          <t>NORRTÄLJE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54496-2024</t>
        </is>
      </c>
      <c r="B1825" s="1" t="n">
        <v>45617</v>
      </c>
      <c r="C1825" s="1" t="n">
        <v>45682</v>
      </c>
      <c r="D1825" t="inlineStr">
        <is>
          <t>STOCKHOLMS LÄN</t>
        </is>
      </c>
      <c r="E1825" t="inlineStr">
        <is>
          <t>NORRTÄLJE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54504-2024</t>
        </is>
      </c>
      <c r="B1826" s="1" t="n">
        <v>45617</v>
      </c>
      <c r="C1826" s="1" t="n">
        <v>45682</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55018-2024</t>
        </is>
      </c>
      <c r="B1827" s="1" t="n">
        <v>45621</v>
      </c>
      <c r="C1827" s="1" t="n">
        <v>45682</v>
      </c>
      <c r="D1827" t="inlineStr">
        <is>
          <t>STOCKHOLMS LÄN</t>
        </is>
      </c>
      <c r="E1827" t="inlineStr">
        <is>
          <t>NORRTÄLJE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55010-2024</t>
        </is>
      </c>
      <c r="B1828" s="1" t="n">
        <v>45621</v>
      </c>
      <c r="C1828" s="1" t="n">
        <v>45682</v>
      </c>
      <c r="D1828" t="inlineStr">
        <is>
          <t>STOCKHOLMS LÄN</t>
        </is>
      </c>
      <c r="E1828" t="inlineStr">
        <is>
          <t>NORRTÄLJE</t>
        </is>
      </c>
      <c r="F1828" t="inlineStr">
        <is>
          <t>Sveaskog</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55287-2024</t>
        </is>
      </c>
      <c r="B1829" s="1" t="n">
        <v>45621</v>
      </c>
      <c r="C1829" s="1" t="n">
        <v>45682</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55012-2024</t>
        </is>
      </c>
      <c r="B1830" s="1" t="n">
        <v>45621</v>
      </c>
      <c r="C1830" s="1" t="n">
        <v>45682</v>
      </c>
      <c r="D1830" t="inlineStr">
        <is>
          <t>STOCKHOLMS LÄN</t>
        </is>
      </c>
      <c r="E1830" t="inlineStr">
        <is>
          <t>NORRTÄLJE</t>
        </is>
      </c>
      <c r="F1830" t="inlineStr">
        <is>
          <t>Sveaskog</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55952-2024</t>
        </is>
      </c>
      <c r="B1831" s="1" t="n">
        <v>45623</v>
      </c>
      <c r="C1831" s="1" t="n">
        <v>45682</v>
      </c>
      <c r="D1831" t="inlineStr">
        <is>
          <t>STOCKHOLMS LÄN</t>
        </is>
      </c>
      <c r="E1831" t="inlineStr">
        <is>
          <t>NORRTÄLJE</t>
        </is>
      </c>
      <c r="F1831" t="inlineStr">
        <is>
          <t>Holmen skog AB</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56631-2024</t>
        </is>
      </c>
      <c r="B1832" s="1" t="n">
        <v>45625</v>
      </c>
      <c r="C1832" s="1" t="n">
        <v>45682</v>
      </c>
      <c r="D1832" t="inlineStr">
        <is>
          <t>STOCKHOLMS LÄN</t>
        </is>
      </c>
      <c r="E1832" t="inlineStr">
        <is>
          <t>NORRTÄLJE</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57155-2024</t>
        </is>
      </c>
      <c r="B1833" s="1" t="n">
        <v>45629</v>
      </c>
      <c r="C1833" s="1" t="n">
        <v>45682</v>
      </c>
      <c r="D1833" t="inlineStr">
        <is>
          <t>STOCKHOLMS LÄN</t>
        </is>
      </c>
      <c r="E1833" t="inlineStr">
        <is>
          <t>NORRTÄLJE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57353-2024</t>
        </is>
      </c>
      <c r="B1834" s="1" t="n">
        <v>45629</v>
      </c>
      <c r="C1834" s="1" t="n">
        <v>45682</v>
      </c>
      <c r="D1834" t="inlineStr">
        <is>
          <t>STOCKHOLMS LÄN</t>
        </is>
      </c>
      <c r="E1834" t="inlineStr">
        <is>
          <t>NORRTÄLJE</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57602-2024</t>
        </is>
      </c>
      <c r="B1835" s="1" t="n">
        <v>45630</v>
      </c>
      <c r="C1835" s="1" t="n">
        <v>45682</v>
      </c>
      <c r="D1835" t="inlineStr">
        <is>
          <t>STOCKHOLMS LÄN</t>
        </is>
      </c>
      <c r="E1835" t="inlineStr">
        <is>
          <t>NORRTÄLJE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58040-2024</t>
        </is>
      </c>
      <c r="B1836" s="1" t="n">
        <v>45631</v>
      </c>
      <c r="C1836" s="1" t="n">
        <v>45682</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58041-2024</t>
        </is>
      </c>
      <c r="B1837" s="1" t="n">
        <v>45631</v>
      </c>
      <c r="C1837" s="1" t="n">
        <v>45682</v>
      </c>
      <c r="D1837" t="inlineStr">
        <is>
          <t>STOCKHOLMS LÄN</t>
        </is>
      </c>
      <c r="E1837" t="inlineStr">
        <is>
          <t>NORRTÄLJE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58530-2024</t>
        </is>
      </c>
      <c r="B1838" s="1" t="n">
        <v>45635</v>
      </c>
      <c r="C1838" s="1" t="n">
        <v>45682</v>
      </c>
      <c r="D1838" t="inlineStr">
        <is>
          <t>STOCKHOLMS LÄN</t>
        </is>
      </c>
      <c r="E1838" t="inlineStr">
        <is>
          <t>NORRTÄLJE</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58785-2024</t>
        </is>
      </c>
      <c r="B1839" s="1" t="n">
        <v>45635</v>
      </c>
      <c r="C1839" s="1" t="n">
        <v>45682</v>
      </c>
      <c r="D1839" t="inlineStr">
        <is>
          <t>STOCKHOLMS LÄN</t>
        </is>
      </c>
      <c r="E1839" t="inlineStr">
        <is>
          <t>NORRTÄLJE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45682</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58853-2024</t>
        </is>
      </c>
      <c r="B1841" s="1" t="n">
        <v>45636</v>
      </c>
      <c r="C1841" s="1" t="n">
        <v>45682</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59091-2024</t>
        </is>
      </c>
      <c r="B1842" s="1" t="n">
        <v>45637</v>
      </c>
      <c r="C1842" s="1" t="n">
        <v>45682</v>
      </c>
      <c r="D1842" t="inlineStr">
        <is>
          <t>STOCKHOLMS LÄN</t>
        </is>
      </c>
      <c r="E1842" t="inlineStr">
        <is>
          <t>NORRTÄLJE</t>
        </is>
      </c>
      <c r="F1842" t="inlineStr">
        <is>
          <t>Övriga Aktiebolag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59274-2024</t>
        </is>
      </c>
      <c r="B1843" s="1" t="n">
        <v>45637</v>
      </c>
      <c r="C1843" s="1" t="n">
        <v>45682</v>
      </c>
      <c r="D1843" t="inlineStr">
        <is>
          <t>STOCKHOLMS LÄN</t>
        </is>
      </c>
      <c r="E1843" t="inlineStr">
        <is>
          <t>NORRTÄLJE</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59534-2024</t>
        </is>
      </c>
      <c r="B1844" s="1" t="n">
        <v>45638</v>
      </c>
      <c r="C1844" s="1" t="n">
        <v>45682</v>
      </c>
      <c r="D1844" t="inlineStr">
        <is>
          <t>STOCKHOLMS LÄN</t>
        </is>
      </c>
      <c r="E1844" t="inlineStr">
        <is>
          <t>NORRTÄLJE</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59535-2024</t>
        </is>
      </c>
      <c r="B1845" s="1" t="n">
        <v>45638</v>
      </c>
      <c r="C1845" s="1" t="n">
        <v>45682</v>
      </c>
      <c r="D1845" t="inlineStr">
        <is>
          <t>STOCKHOLMS LÄN</t>
        </is>
      </c>
      <c r="E1845" t="inlineStr">
        <is>
          <t>NORRTÄLJE</t>
        </is>
      </c>
      <c r="F1845" t="inlineStr">
        <is>
          <t>Holmen skog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45682</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59712-2024</t>
        </is>
      </c>
      <c r="B1847" s="1" t="n">
        <v>45639</v>
      </c>
      <c r="C1847" s="1" t="n">
        <v>45682</v>
      </c>
      <c r="D1847" t="inlineStr">
        <is>
          <t>STOCKHOLMS LÄN</t>
        </is>
      </c>
      <c r="E1847" t="inlineStr">
        <is>
          <t>NORRTÄLJE</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59876-2024</t>
        </is>
      </c>
      <c r="B1848" s="1" t="n">
        <v>45640</v>
      </c>
      <c r="C1848" s="1" t="n">
        <v>45682</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59875-2024</t>
        </is>
      </c>
      <c r="B1849" s="1" t="n">
        <v>45640</v>
      </c>
      <c r="C1849" s="1" t="n">
        <v>45682</v>
      </c>
      <c r="D1849" t="inlineStr">
        <is>
          <t>STOCKHOLMS LÄN</t>
        </is>
      </c>
      <c r="E1849" t="inlineStr">
        <is>
          <t>NORRTÄLJE</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59873-2024</t>
        </is>
      </c>
      <c r="B1850" s="1" t="n">
        <v>45640</v>
      </c>
      <c r="C1850" s="1" t="n">
        <v>45682</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59877-2024</t>
        </is>
      </c>
      <c r="B1851" s="1" t="n">
        <v>45640</v>
      </c>
      <c r="C1851" s="1" t="n">
        <v>45682</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59874-2024</t>
        </is>
      </c>
      <c r="B1852" s="1" t="n">
        <v>45640</v>
      </c>
      <c r="C1852" s="1" t="n">
        <v>45682</v>
      </c>
      <c r="D1852" t="inlineStr">
        <is>
          <t>STOCKHOLMS LÄN</t>
        </is>
      </c>
      <c r="E1852" t="inlineStr">
        <is>
          <t>NORRTÄLJE</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59878-2024</t>
        </is>
      </c>
      <c r="B1853" s="1" t="n">
        <v>45640</v>
      </c>
      <c r="C1853" s="1" t="n">
        <v>45682</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45682</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60166-2024</t>
        </is>
      </c>
      <c r="B1855" s="1" t="n">
        <v>45642</v>
      </c>
      <c r="C1855" s="1" t="n">
        <v>45682</v>
      </c>
      <c r="D1855" t="inlineStr">
        <is>
          <t>STOCKHOLMS LÄN</t>
        </is>
      </c>
      <c r="E1855" t="inlineStr">
        <is>
          <t>NORRTÄLJE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60160-2024</t>
        </is>
      </c>
      <c r="B1856" s="1" t="n">
        <v>45642</v>
      </c>
      <c r="C1856" s="1" t="n">
        <v>45682</v>
      </c>
      <c r="D1856" t="inlineStr">
        <is>
          <t>STOCKHOLMS LÄN</t>
        </is>
      </c>
      <c r="E1856" t="inlineStr">
        <is>
          <t>NORRTÄLJE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60317-2024</t>
        </is>
      </c>
      <c r="B1857" s="1" t="n">
        <v>45643</v>
      </c>
      <c r="C1857" s="1" t="n">
        <v>45682</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60694-2024</t>
        </is>
      </c>
      <c r="B1858" s="1" t="n">
        <v>45644</v>
      </c>
      <c r="C1858" s="1" t="n">
        <v>45682</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60884-2024</t>
        </is>
      </c>
      <c r="B1859" s="1" t="n">
        <v>45644</v>
      </c>
      <c r="C1859" s="1" t="n">
        <v>45682</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61516-2024</t>
        </is>
      </c>
      <c r="B1860" s="1" t="n">
        <v>45646</v>
      </c>
      <c r="C1860" s="1" t="n">
        <v>45682</v>
      </c>
      <c r="D1860" t="inlineStr">
        <is>
          <t>STOCKHOLMS LÄN</t>
        </is>
      </c>
      <c r="E1860" t="inlineStr">
        <is>
          <t>NORRTÄLJE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62129-2024</t>
        </is>
      </c>
      <c r="B1861" s="1" t="n">
        <v>45646</v>
      </c>
      <c r="C1861" s="1" t="n">
        <v>45682</v>
      </c>
      <c r="D1861" t="inlineStr">
        <is>
          <t>STOCKHOLMS LÄN</t>
        </is>
      </c>
      <c r="E1861" t="inlineStr">
        <is>
          <t>NORRTÄLJE</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62168-2024</t>
        </is>
      </c>
      <c r="B1862" s="1" t="n">
        <v>45657</v>
      </c>
      <c r="C1862" s="1" t="n">
        <v>45682</v>
      </c>
      <c r="D1862" t="inlineStr">
        <is>
          <t>STOCKHOLMS LÄN</t>
        </is>
      </c>
      <c r="E1862" t="inlineStr">
        <is>
          <t>NORRTÄLJE</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19-2025</t>
        </is>
      </c>
      <c r="B1863" s="1" t="n">
        <v>45658</v>
      </c>
      <c r="C1863" s="1" t="n">
        <v>45682</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22-2025</t>
        </is>
      </c>
      <c r="B1864" s="1" t="n">
        <v>45658</v>
      </c>
      <c r="C1864" s="1" t="n">
        <v>45682</v>
      </c>
      <c r="D1864" t="inlineStr">
        <is>
          <t>STOCKHOLMS LÄN</t>
        </is>
      </c>
      <c r="E1864" t="inlineStr">
        <is>
          <t>NORRTÄLJE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652-2025</t>
        </is>
      </c>
      <c r="B1865" s="1" t="n">
        <v>45664</v>
      </c>
      <c r="C1865" s="1" t="n">
        <v>45682</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520-2025</t>
        </is>
      </c>
      <c r="B1866" s="1" t="n">
        <v>45664</v>
      </c>
      <c r="C1866" s="1" t="n">
        <v>45682</v>
      </c>
      <c r="D1866" t="inlineStr">
        <is>
          <t>STOCKHOLMS LÄN</t>
        </is>
      </c>
      <c r="E1866" t="inlineStr">
        <is>
          <t>NORRTÄLJE</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824-2025</t>
        </is>
      </c>
      <c r="B1867" s="1" t="n">
        <v>45665</v>
      </c>
      <c r="C1867" s="1" t="n">
        <v>45682</v>
      </c>
      <c r="D1867" t="inlineStr">
        <is>
          <t>STOCKHOLMS LÄN</t>
        </is>
      </c>
      <c r="E1867" t="inlineStr">
        <is>
          <t>NORRTÄLJE</t>
        </is>
      </c>
      <c r="F1867" t="inlineStr">
        <is>
          <t>Övriga Aktiebolag</t>
        </is>
      </c>
      <c r="G1867" t="n">
        <v>10.9</v>
      </c>
      <c r="H1867" t="n">
        <v>0</v>
      </c>
      <c r="I1867" t="n">
        <v>0</v>
      </c>
      <c r="J1867" t="n">
        <v>0</v>
      </c>
      <c r="K1867" t="n">
        <v>0</v>
      </c>
      <c r="L1867" t="n">
        <v>0</v>
      </c>
      <c r="M1867" t="n">
        <v>0</v>
      </c>
      <c r="N1867" t="n">
        <v>0</v>
      </c>
      <c r="O1867" t="n">
        <v>0</v>
      </c>
      <c r="P1867" t="n">
        <v>0</v>
      </c>
      <c r="Q1867" t="n">
        <v>0</v>
      </c>
      <c r="R1867" s="2" t="inlineStr"/>
    </row>
    <row r="1868" ht="15" customHeight="1">
      <c r="A1868" t="inlineStr">
        <is>
          <t>A 827-2025</t>
        </is>
      </c>
      <c r="B1868" s="1" t="n">
        <v>45665</v>
      </c>
      <c r="C1868" s="1" t="n">
        <v>45682</v>
      </c>
      <c r="D1868" t="inlineStr">
        <is>
          <t>STOCKHOLMS LÄN</t>
        </is>
      </c>
      <c r="E1868" t="inlineStr">
        <is>
          <t>NORRTÄLJE</t>
        </is>
      </c>
      <c r="F1868" t="inlineStr">
        <is>
          <t>Övriga Aktiebolag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1283-2025</t>
        </is>
      </c>
      <c r="B1869" s="1" t="n">
        <v>45667</v>
      </c>
      <c r="C1869" s="1" t="n">
        <v>45682</v>
      </c>
      <c r="D1869" t="inlineStr">
        <is>
          <t>STOCKHOLMS LÄN</t>
        </is>
      </c>
      <c r="E1869" t="inlineStr">
        <is>
          <t>NORRTÄLJE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1360-2025</t>
        </is>
      </c>
      <c r="B1870" s="1" t="n">
        <v>45667</v>
      </c>
      <c r="C1870" s="1" t="n">
        <v>45682</v>
      </c>
      <c r="D1870" t="inlineStr">
        <is>
          <t>STOCKHOLMS LÄN</t>
        </is>
      </c>
      <c r="E1870" t="inlineStr">
        <is>
          <t>NORRTÄLJE</t>
        </is>
      </c>
      <c r="F1870" t="inlineStr">
        <is>
          <t>Kyrkan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1425-2025</t>
        </is>
      </c>
      <c r="B1871" s="1" t="n">
        <v>45668</v>
      </c>
      <c r="C1871" s="1" t="n">
        <v>45682</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1453-2025</t>
        </is>
      </c>
      <c r="B1872" s="1" t="n">
        <v>45670</v>
      </c>
      <c r="C1872" s="1" t="n">
        <v>45682</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1654-2025</t>
        </is>
      </c>
      <c r="B1873" s="1" t="n">
        <v>45670</v>
      </c>
      <c r="C1873" s="1" t="n">
        <v>45682</v>
      </c>
      <c r="D1873" t="inlineStr">
        <is>
          <t>STOCKHOLMS LÄN</t>
        </is>
      </c>
      <c r="E1873" t="inlineStr">
        <is>
          <t>NORRTÄLJE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1890-2025</t>
        </is>
      </c>
      <c r="B1874" s="1" t="n">
        <v>45671</v>
      </c>
      <c r="C1874" s="1" t="n">
        <v>45682</v>
      </c>
      <c r="D1874" t="inlineStr">
        <is>
          <t>STOCKHOLMS LÄN</t>
        </is>
      </c>
      <c r="E1874" t="inlineStr">
        <is>
          <t>NORRTÄLJE</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2153-2025</t>
        </is>
      </c>
      <c r="B1875" s="1" t="n">
        <v>45672</v>
      </c>
      <c r="C1875" s="1" t="n">
        <v>45682</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2127-2025</t>
        </is>
      </c>
      <c r="B1876" s="1" t="n">
        <v>45672</v>
      </c>
      <c r="C1876" s="1" t="n">
        <v>45682</v>
      </c>
      <c r="D1876" t="inlineStr">
        <is>
          <t>STOCKHOLMS LÄN</t>
        </is>
      </c>
      <c r="E1876" t="inlineStr">
        <is>
          <t>NORRTÄLJE</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2627-2025</t>
        </is>
      </c>
      <c r="B1877" s="1" t="n">
        <v>45675</v>
      </c>
      <c r="C1877" s="1" t="n">
        <v>45682</v>
      </c>
      <c r="D1877" t="inlineStr">
        <is>
          <t>STOCKHOLMS LÄN</t>
        </is>
      </c>
      <c r="E1877" t="inlineStr">
        <is>
          <t>NORRTÄLJE</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3117-2025</t>
        </is>
      </c>
      <c r="B1878" s="1" t="n">
        <v>45678</v>
      </c>
      <c r="C1878" s="1" t="n">
        <v>45682</v>
      </c>
      <c r="D1878" t="inlineStr">
        <is>
          <t>STOCKHOLMS LÄN</t>
        </is>
      </c>
      <c r="E1878" t="inlineStr">
        <is>
          <t>NORRTÄLJE</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3283-2025</t>
        </is>
      </c>
      <c r="B1879" s="1" t="n">
        <v>45679</v>
      </c>
      <c r="C1879" s="1" t="n">
        <v>45682</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3273-2025</t>
        </is>
      </c>
      <c r="B1880" s="1" t="n">
        <v>45679</v>
      </c>
      <c r="C1880" s="1" t="n">
        <v>45682</v>
      </c>
      <c r="D1880" t="inlineStr">
        <is>
          <t>STOCKHOLMS LÄN</t>
        </is>
      </c>
      <c r="E1880" t="inlineStr">
        <is>
          <t>NORRTÄLJE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3426-2025</t>
        </is>
      </c>
      <c r="B1881" s="1" t="n">
        <v>45680</v>
      </c>
      <c r="C1881" s="1" t="n">
        <v>45682</v>
      </c>
      <c r="D1881" t="inlineStr">
        <is>
          <t>STOCKHOLMS LÄN</t>
        </is>
      </c>
      <c r="E1881" t="inlineStr">
        <is>
          <t>NORRTÄLJE</t>
        </is>
      </c>
      <c r="G1881" t="n">
        <v>3.2</v>
      </c>
      <c r="H1881" t="n">
        <v>0</v>
      </c>
      <c r="I1881" t="n">
        <v>0</v>
      </c>
      <c r="J1881" t="n">
        <v>0</v>
      </c>
      <c r="K1881" t="n">
        <v>0</v>
      </c>
      <c r="L1881" t="n">
        <v>0</v>
      </c>
      <c r="M1881" t="n">
        <v>0</v>
      </c>
      <c r="N1881" t="n">
        <v>0</v>
      </c>
      <c r="O1881" t="n">
        <v>0</v>
      </c>
      <c r="P1881" t="n">
        <v>0</v>
      </c>
      <c r="Q1881" t="n">
        <v>0</v>
      </c>
      <c r="R1881" s="2" t="inlineStr"/>
    </row>
    <row r="1882">
      <c r="A1882" t="inlineStr">
        <is>
          <t>A 3512-2025</t>
        </is>
      </c>
      <c r="B1882" s="1" t="n">
        <v>45680</v>
      </c>
      <c r="C1882" s="1" t="n">
        <v>45682</v>
      </c>
      <c r="D1882" t="inlineStr">
        <is>
          <t>STOCKHOLMS LÄN</t>
        </is>
      </c>
      <c r="E1882" t="inlineStr">
        <is>
          <t>NORRTÄLJE</t>
        </is>
      </c>
      <c r="F1882" t="inlineStr">
        <is>
          <t>Naturvårdsverket</t>
        </is>
      </c>
      <c r="G1882" t="n">
        <v>1</v>
      </c>
      <c r="H1882" t="n">
        <v>0</v>
      </c>
      <c r="I1882" t="n">
        <v>0</v>
      </c>
      <c r="J1882" t="n">
        <v>0</v>
      </c>
      <c r="K1882" t="n">
        <v>0</v>
      </c>
      <c r="L1882" t="n">
        <v>0</v>
      </c>
      <c r="M1882" t="n">
        <v>0</v>
      </c>
      <c r="N1882" t="n">
        <v>0</v>
      </c>
      <c r="O1882" t="n">
        <v>0</v>
      </c>
      <c r="P1882" t="n">
        <v>0</v>
      </c>
      <c r="Q1882" t="n">
        <v>0</v>
      </c>
      <c r="R1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2025-01-25T16:23:15Z</dcterms:created>
  <dcterms:modified xmlns:dcterms="http://purl.org/dc/terms/" xmlns:xsi="http://www.w3.org/2001/XMLSchema-instance" xsi:type="dcterms:W3CDTF">2025-01-25T16:23:17Z</dcterms:modified>
</cp:coreProperties>
</file>