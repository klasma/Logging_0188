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45933</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45933</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45933</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45933</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45933</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45933</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45933</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45933</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45933</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45933</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45933</v>
      </c>
      <c r="D12" t="inlineStr">
        <is>
          <t>STOCKHOLMS LÄN</t>
        </is>
      </c>
      <c r="E12" t="inlineStr">
        <is>
          <t>NORRTÄLJE</t>
        </is>
      </c>
      <c r="F12" t="inlineStr">
        <is>
          <t>Holmen skog AB</t>
        </is>
      </c>
      <c r="G12" t="n">
        <v>7.9</v>
      </c>
      <c r="H12" t="n">
        <v>1</v>
      </c>
      <c r="I12" t="n">
        <v>7</v>
      </c>
      <c r="J12" t="n">
        <v>5</v>
      </c>
      <c r="K12" t="n">
        <v>2</v>
      </c>
      <c r="L12" t="n">
        <v>0</v>
      </c>
      <c r="M12" t="n">
        <v>0</v>
      </c>
      <c r="N12" t="n">
        <v>0</v>
      </c>
      <c r="O12" t="n">
        <v>7</v>
      </c>
      <c r="P12" t="n">
        <v>2</v>
      </c>
      <c r="Q12" t="n">
        <v>15</v>
      </c>
      <c r="R12" s="2" t="inlineStr">
        <is>
          <t>Grangråticka
Läderdoftande fingersvamp
Druvfingersvamp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45933</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45933</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20722-2024</t>
        </is>
      </c>
      <c r="B15" s="1" t="n">
        <v>45436</v>
      </c>
      <c r="C15" s="1" t="n">
        <v>45933</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11231-2021</t>
        </is>
      </c>
      <c r="B16" s="1" t="n">
        <v>44263</v>
      </c>
      <c r="C16" s="1" t="n">
        <v>45933</v>
      </c>
      <c r="D16" t="inlineStr">
        <is>
          <t>STOCKHOLMS LÄN</t>
        </is>
      </c>
      <c r="E16" t="inlineStr">
        <is>
          <t>NORRTÄLJE</t>
        </is>
      </c>
      <c r="F16" t="inlineStr">
        <is>
          <t>Holmen skog AB</t>
        </is>
      </c>
      <c r="G16" t="n">
        <v>12</v>
      </c>
      <c r="H16" t="n">
        <v>6</v>
      </c>
      <c r="I16" t="n">
        <v>2</v>
      </c>
      <c r="J16" t="n">
        <v>5</v>
      </c>
      <c r="K16" t="n">
        <v>0</v>
      </c>
      <c r="L16" t="n">
        <v>2</v>
      </c>
      <c r="M16" t="n">
        <v>0</v>
      </c>
      <c r="N16" t="n">
        <v>0</v>
      </c>
      <c r="O16" t="n">
        <v>7</v>
      </c>
      <c r="P16" t="n">
        <v>2</v>
      </c>
      <c r="Q16" t="n">
        <v>10</v>
      </c>
      <c r="R16" s="2" t="inlineStr">
        <is>
          <t>Grönfink
Tornseglare
Fiskmås
Havsörn
Motaggsvamp
Talltita
Vedskivlav
Björksplintborre
Dropptaggsvamp
Tjäder</t>
        </is>
      </c>
      <c r="S16">
        <f>HYPERLINK("https://klasma.github.io/Logging_0188/artfynd/A 11231-2021 artfynd.xlsx", "A 11231-2021")</f>
        <v/>
      </c>
      <c r="T16">
        <f>HYPERLINK("https://klasma.github.io/Logging_0188/kartor/A 11231-2021 karta.png", "A 11231-2021")</f>
        <v/>
      </c>
      <c r="V16">
        <f>HYPERLINK("https://klasma.github.io/Logging_0188/klagomål/A 11231-2021 FSC-klagomål.docx", "A 11231-2021")</f>
        <v/>
      </c>
      <c r="W16">
        <f>HYPERLINK("https://klasma.github.io/Logging_0188/klagomålsmail/A 11231-2021 FSC-klagomål mail.docx", "A 11231-2021")</f>
        <v/>
      </c>
      <c r="X16">
        <f>HYPERLINK("https://klasma.github.io/Logging_0188/tillsyn/A 11231-2021 tillsynsbegäran.docx", "A 11231-2021")</f>
        <v/>
      </c>
      <c r="Y16">
        <f>HYPERLINK("https://klasma.github.io/Logging_0188/tillsynsmail/A 11231-2021 tillsynsbegäran mail.docx", "A 11231-2021")</f>
        <v/>
      </c>
      <c r="Z16">
        <f>HYPERLINK("https://klasma.github.io/Logging_0188/fåglar/A 11231-2021 prioriterade fågelarter.docx", "A 11231-2021")</f>
        <v/>
      </c>
    </row>
    <row r="17" ht="15" customHeight="1">
      <c r="A17" t="inlineStr">
        <is>
          <t>A 44847-2023</t>
        </is>
      </c>
      <c r="B17" s="1" t="n">
        <v>45190</v>
      </c>
      <c r="C17" s="1" t="n">
        <v>45933</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50326-2024</t>
        </is>
      </c>
      <c r="B18" s="1" t="n">
        <v>45600</v>
      </c>
      <c r="C18" s="1" t="n">
        <v>45933</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52815-2021</t>
        </is>
      </c>
      <c r="B19" s="1" t="n">
        <v>44467</v>
      </c>
      <c r="C19" s="1" t="n">
        <v>45933</v>
      </c>
      <c r="D19" t="inlineStr">
        <is>
          <t>STOCKHOLMS LÄN</t>
        </is>
      </c>
      <c r="E19" t="inlineStr">
        <is>
          <t>NORRTÄLJE</t>
        </is>
      </c>
      <c r="G19" t="n">
        <v>2.8</v>
      </c>
      <c r="H19" t="n">
        <v>0</v>
      </c>
      <c r="I19" t="n">
        <v>2</v>
      </c>
      <c r="J19" t="n">
        <v>2</v>
      </c>
      <c r="K19" t="n">
        <v>4</v>
      </c>
      <c r="L19" t="n">
        <v>1</v>
      </c>
      <c r="M19" t="n">
        <v>0</v>
      </c>
      <c r="N19" t="n">
        <v>0</v>
      </c>
      <c r="O19" t="n">
        <v>7</v>
      </c>
      <c r="P19" t="n">
        <v>5</v>
      </c>
      <c r="Q19" t="n">
        <v>9</v>
      </c>
      <c r="R19" s="2" t="inlineStr">
        <is>
          <t>Raggtaggsvamp
Gul lammticka
Koppartaggsvamp
Spricktaggsvamp
Svartfjällig musseron
Bittermusseron
Flattoppad klubbsvamp
Diskvaxskivling
Fjällig taggsvamp s.str.</t>
        </is>
      </c>
      <c r="S19">
        <f>HYPERLINK("https://klasma.github.io/Logging_0188/artfynd/A 52815-2021 artfynd.xlsx", "A 52815-2021")</f>
        <v/>
      </c>
      <c r="T19">
        <f>HYPERLINK("https://klasma.github.io/Logging_0188/kartor/A 52815-2021 karta.png", "A 52815-2021")</f>
        <v/>
      </c>
      <c r="V19">
        <f>HYPERLINK("https://klasma.github.io/Logging_0188/klagomål/A 52815-2021 FSC-klagomål.docx", "A 52815-2021")</f>
        <v/>
      </c>
      <c r="W19">
        <f>HYPERLINK("https://klasma.github.io/Logging_0188/klagomålsmail/A 52815-2021 FSC-klagomål mail.docx", "A 52815-2021")</f>
        <v/>
      </c>
      <c r="X19">
        <f>HYPERLINK("https://klasma.github.io/Logging_0188/tillsyn/A 52815-2021 tillsynsbegäran.docx", "A 52815-2021")</f>
        <v/>
      </c>
      <c r="Y19">
        <f>HYPERLINK("https://klasma.github.io/Logging_0188/tillsynsmail/A 52815-2021 tillsynsbegäran mail.docx", "A 52815-2021")</f>
        <v/>
      </c>
    </row>
    <row r="20" ht="15" customHeight="1">
      <c r="A20" t="inlineStr">
        <is>
          <t>A 47274-2024</t>
        </is>
      </c>
      <c r="B20" s="1" t="n">
        <v>45586.88145833334</v>
      </c>
      <c r="C20" s="1" t="n">
        <v>45933</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73093-2021</t>
        </is>
      </c>
      <c r="B21" s="1" t="n">
        <v>44550</v>
      </c>
      <c r="C21" s="1" t="n">
        <v>45933</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59582-2024</t>
        </is>
      </c>
      <c r="B22" s="1" t="n">
        <v>45638</v>
      </c>
      <c r="C22" s="1" t="n">
        <v>45933</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45933</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45933</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45933</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47346-2021</t>
        </is>
      </c>
      <c r="B26" s="1" t="n">
        <v>44447</v>
      </c>
      <c r="C26" s="1" t="n">
        <v>45933</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45933</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25732-2025</t>
        </is>
      </c>
      <c r="B28" s="1" t="n">
        <v>45800</v>
      </c>
      <c r="C28" s="1" t="n">
        <v>45933</v>
      </c>
      <c r="D28" t="inlineStr">
        <is>
          <t>STOCKHOLMS LÄN</t>
        </is>
      </c>
      <c r="E28" t="inlineStr">
        <is>
          <t>NORRTÄLJE</t>
        </is>
      </c>
      <c r="G28" t="n">
        <v>7.4</v>
      </c>
      <c r="H28" t="n">
        <v>3</v>
      </c>
      <c r="I28" t="n">
        <v>3</v>
      </c>
      <c r="J28" t="n">
        <v>2</v>
      </c>
      <c r="K28" t="n">
        <v>1</v>
      </c>
      <c r="L28" t="n">
        <v>0</v>
      </c>
      <c r="M28" t="n">
        <v>0</v>
      </c>
      <c r="N28" t="n">
        <v>0</v>
      </c>
      <c r="O28" t="n">
        <v>3</v>
      </c>
      <c r="P28" t="n">
        <v>1</v>
      </c>
      <c r="Q28" t="n">
        <v>7</v>
      </c>
      <c r="R28" s="2" t="inlineStr">
        <is>
          <t>Knärot
Blå taggsvamp
Skrovlig taggsvamp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13933-2022</t>
        </is>
      </c>
      <c r="B29" s="1" t="n">
        <v>44650</v>
      </c>
      <c r="C29" s="1" t="n">
        <v>45933</v>
      </c>
      <c r="D29" t="inlineStr">
        <is>
          <t>STOCKHOLMS LÄN</t>
        </is>
      </c>
      <c r="E29" t="inlineStr">
        <is>
          <t>NORRTÄLJE</t>
        </is>
      </c>
      <c r="G29" t="n">
        <v>4.4</v>
      </c>
      <c r="H29" t="n">
        <v>3</v>
      </c>
      <c r="I29" t="n">
        <v>5</v>
      </c>
      <c r="J29" t="n">
        <v>1</v>
      </c>
      <c r="K29" t="n">
        <v>0</v>
      </c>
      <c r="L29" t="n">
        <v>0</v>
      </c>
      <c r="M29" t="n">
        <v>0</v>
      </c>
      <c r="N29" t="n">
        <v>0</v>
      </c>
      <c r="O29" t="n">
        <v>1</v>
      </c>
      <c r="P29" t="n">
        <v>0</v>
      </c>
      <c r="Q29" t="n">
        <v>7</v>
      </c>
      <c r="R29" s="2" t="inlineStr">
        <is>
          <t>Ullticka
Grön sköldmossa
Nästrot
Skogshakmossa
Tibast
Ögonpyrola
Blåsippa</t>
        </is>
      </c>
      <c r="S29">
        <f>HYPERLINK("https://klasma.github.io/Logging_0188/artfynd/A 13933-2022 artfynd.xlsx", "A 13933-2022")</f>
        <v/>
      </c>
      <c r="T29">
        <f>HYPERLINK("https://klasma.github.io/Logging_0188/kartor/A 13933-2022 karta.png", "A 13933-2022")</f>
        <v/>
      </c>
      <c r="V29">
        <f>HYPERLINK("https://klasma.github.io/Logging_0188/klagomål/A 13933-2022 FSC-klagomål.docx", "A 13933-2022")</f>
        <v/>
      </c>
      <c r="W29">
        <f>HYPERLINK("https://klasma.github.io/Logging_0188/klagomålsmail/A 13933-2022 FSC-klagomål mail.docx", "A 13933-2022")</f>
        <v/>
      </c>
      <c r="X29">
        <f>HYPERLINK("https://klasma.github.io/Logging_0188/tillsyn/A 13933-2022 tillsynsbegäran.docx", "A 13933-2022")</f>
        <v/>
      </c>
      <c r="Y29">
        <f>HYPERLINK("https://klasma.github.io/Logging_0188/tillsynsmail/A 13933-2022 tillsynsbegäran mail.docx", "A 13933-2022")</f>
        <v/>
      </c>
    </row>
    <row r="30" ht="15" customHeight="1">
      <c r="A30" t="inlineStr">
        <is>
          <t>A 34528-2025</t>
        </is>
      </c>
      <c r="B30" s="1" t="n">
        <v>45847.48436342592</v>
      </c>
      <c r="C30" s="1" t="n">
        <v>45933</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45933</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30687-2025</t>
        </is>
      </c>
      <c r="B32" s="1" t="n">
        <v>45831.53390046296</v>
      </c>
      <c r="C32" s="1" t="n">
        <v>45933</v>
      </c>
      <c r="D32" t="inlineStr">
        <is>
          <t>STOCKHOLMS LÄN</t>
        </is>
      </c>
      <c r="E32" t="inlineStr">
        <is>
          <t>NORRTÄLJE</t>
        </is>
      </c>
      <c r="G32" t="n">
        <v>6.7</v>
      </c>
      <c r="H32" t="n">
        <v>1</v>
      </c>
      <c r="I32" t="n">
        <v>2</v>
      </c>
      <c r="J32" t="n">
        <v>2</v>
      </c>
      <c r="K32" t="n">
        <v>0</v>
      </c>
      <c r="L32" t="n">
        <v>0</v>
      </c>
      <c r="M32" t="n">
        <v>0</v>
      </c>
      <c r="N32" t="n">
        <v>0</v>
      </c>
      <c r="O32" t="n">
        <v>2</v>
      </c>
      <c r="P32" t="n">
        <v>0</v>
      </c>
      <c r="Q32" t="n">
        <v>5</v>
      </c>
      <c r="R32" s="2" t="inlineStr">
        <is>
          <t>Ekvaxskivling
Kandelabersvamp
Stinkbrosking
Svart trolldruva
Blåsippa</t>
        </is>
      </c>
      <c r="S32">
        <f>HYPERLINK("https://klasma.github.io/Logging_0188/artfynd/A 30687-2025 artfynd.xlsx", "A 30687-2025")</f>
        <v/>
      </c>
      <c r="T32">
        <f>HYPERLINK("https://klasma.github.io/Logging_0188/kartor/A 30687-2025 karta.png", "A 30687-2025")</f>
        <v/>
      </c>
      <c r="V32">
        <f>HYPERLINK("https://klasma.github.io/Logging_0188/klagomål/A 30687-2025 FSC-klagomål.docx", "A 30687-2025")</f>
        <v/>
      </c>
      <c r="W32">
        <f>HYPERLINK("https://klasma.github.io/Logging_0188/klagomålsmail/A 30687-2025 FSC-klagomål mail.docx", "A 30687-2025")</f>
        <v/>
      </c>
      <c r="X32">
        <f>HYPERLINK("https://klasma.github.io/Logging_0188/tillsyn/A 30687-2025 tillsynsbegäran.docx", "A 30687-2025")</f>
        <v/>
      </c>
      <c r="Y32">
        <f>HYPERLINK("https://klasma.github.io/Logging_0188/tillsynsmail/A 30687-2025 tillsynsbegäran mail.docx", "A 30687-2025")</f>
        <v/>
      </c>
    </row>
    <row r="33" ht="15" customHeight="1">
      <c r="A33" t="inlineStr">
        <is>
          <t>A 15804-2025</t>
        </is>
      </c>
      <c r="B33" s="1" t="n">
        <v>45748.6521875</v>
      </c>
      <c r="C33" s="1" t="n">
        <v>45933</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21922-2023</t>
        </is>
      </c>
      <c r="B34" s="1" t="n">
        <v>45068</v>
      </c>
      <c r="C34" s="1" t="n">
        <v>45933</v>
      </c>
      <c r="D34" t="inlineStr">
        <is>
          <t>STOCKHOLMS LÄN</t>
        </is>
      </c>
      <c r="E34" t="inlineStr">
        <is>
          <t>NORRTÄLJE</t>
        </is>
      </c>
      <c r="G34" t="n">
        <v>4.9</v>
      </c>
      <c r="H34" t="n">
        <v>2</v>
      </c>
      <c r="I34" t="n">
        <v>2</v>
      </c>
      <c r="J34" t="n">
        <v>1</v>
      </c>
      <c r="K34" t="n">
        <v>0</v>
      </c>
      <c r="L34" t="n">
        <v>0</v>
      </c>
      <c r="M34" t="n">
        <v>0</v>
      </c>
      <c r="N34" t="n">
        <v>0</v>
      </c>
      <c r="O34" t="n">
        <v>1</v>
      </c>
      <c r="P34" t="n">
        <v>0</v>
      </c>
      <c r="Q34" t="n">
        <v>5</v>
      </c>
      <c r="R34" s="2" t="inlineStr">
        <is>
          <t>Asppraktbagge
Stor aspticka
Svavelriska
Blåsippa
Gullviva</t>
        </is>
      </c>
      <c r="S34">
        <f>HYPERLINK("https://klasma.github.io/Logging_0188/artfynd/A 21922-2023 artfynd.xlsx", "A 21922-2023")</f>
        <v/>
      </c>
      <c r="T34">
        <f>HYPERLINK("https://klasma.github.io/Logging_0188/kartor/A 21922-2023 karta.png", "A 21922-2023")</f>
        <v/>
      </c>
      <c r="V34">
        <f>HYPERLINK("https://klasma.github.io/Logging_0188/klagomål/A 21922-2023 FSC-klagomål.docx", "A 21922-2023")</f>
        <v/>
      </c>
      <c r="W34">
        <f>HYPERLINK("https://klasma.github.io/Logging_0188/klagomålsmail/A 21922-2023 FSC-klagomål mail.docx", "A 21922-2023")</f>
        <v/>
      </c>
      <c r="X34">
        <f>HYPERLINK("https://klasma.github.io/Logging_0188/tillsyn/A 21922-2023 tillsynsbegäran.docx", "A 21922-2023")</f>
        <v/>
      </c>
      <c r="Y34">
        <f>HYPERLINK("https://klasma.github.io/Logging_0188/tillsynsmail/A 21922-2023 tillsynsbegäran mail.docx", "A 21922-2023")</f>
        <v/>
      </c>
    </row>
    <row r="35" ht="15" customHeight="1">
      <c r="A35" t="inlineStr">
        <is>
          <t>A 72111-2021</t>
        </is>
      </c>
      <c r="B35" s="1" t="n">
        <v>44544</v>
      </c>
      <c r="C35" s="1" t="n">
        <v>45933</v>
      </c>
      <c r="D35" t="inlineStr">
        <is>
          <t>STOCKHOLMS LÄN</t>
        </is>
      </c>
      <c r="E35" t="inlineStr">
        <is>
          <t>NORRTÄLJE</t>
        </is>
      </c>
      <c r="G35" t="n">
        <v>5.1</v>
      </c>
      <c r="H35" t="n">
        <v>1</v>
      </c>
      <c r="I35" t="n">
        <v>3</v>
      </c>
      <c r="J35" t="n">
        <v>1</v>
      </c>
      <c r="K35" t="n">
        <v>0</v>
      </c>
      <c r="L35" t="n">
        <v>0</v>
      </c>
      <c r="M35" t="n">
        <v>0</v>
      </c>
      <c r="N35" t="n">
        <v>0</v>
      </c>
      <c r="O35" t="n">
        <v>1</v>
      </c>
      <c r="P35" t="n">
        <v>0</v>
      </c>
      <c r="Q35" t="n">
        <v>5</v>
      </c>
      <c r="R35" s="2" t="inlineStr">
        <is>
          <t>Lunglav
Scharlakansvårskål agg.
Sårläka
Vårärt
Blåsippa</t>
        </is>
      </c>
      <c r="S35">
        <f>HYPERLINK("https://klasma.github.io/Logging_0188/artfynd/A 72111-2021 artfynd.xlsx", "A 72111-2021")</f>
        <v/>
      </c>
      <c r="T35">
        <f>HYPERLINK("https://klasma.github.io/Logging_0188/kartor/A 72111-2021 karta.png", "A 72111-2021")</f>
        <v/>
      </c>
      <c r="V35">
        <f>HYPERLINK("https://klasma.github.io/Logging_0188/klagomål/A 72111-2021 FSC-klagomål.docx", "A 72111-2021")</f>
        <v/>
      </c>
      <c r="W35">
        <f>HYPERLINK("https://klasma.github.io/Logging_0188/klagomålsmail/A 72111-2021 FSC-klagomål mail.docx", "A 72111-2021")</f>
        <v/>
      </c>
      <c r="X35">
        <f>HYPERLINK("https://klasma.github.io/Logging_0188/tillsyn/A 72111-2021 tillsynsbegäran.docx", "A 72111-2021")</f>
        <v/>
      </c>
      <c r="Y35">
        <f>HYPERLINK("https://klasma.github.io/Logging_0188/tillsynsmail/A 72111-2021 tillsynsbegäran mail.docx", "A 72111-2021")</f>
        <v/>
      </c>
    </row>
    <row r="36" ht="15" customHeight="1">
      <c r="A36" t="inlineStr">
        <is>
          <t>A 22071-2022</t>
        </is>
      </c>
      <c r="B36" s="1" t="n">
        <v>44711</v>
      </c>
      <c r="C36" s="1" t="n">
        <v>45933</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72305-2021</t>
        </is>
      </c>
      <c r="B37" s="1" t="n">
        <v>44545</v>
      </c>
      <c r="C37" s="1" t="n">
        <v>45933</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24052-2021</t>
        </is>
      </c>
      <c r="B38" s="1" t="n">
        <v>44336</v>
      </c>
      <c r="C38" s="1" t="n">
        <v>45933</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34521-2025</t>
        </is>
      </c>
      <c r="B39" s="1" t="n">
        <v>45847.47052083333</v>
      </c>
      <c r="C39" s="1" t="n">
        <v>45933</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41276-2025</t>
        </is>
      </c>
      <c r="B40" s="1" t="n">
        <v>45898.62723379629</v>
      </c>
      <c r="C40" s="1" t="n">
        <v>45933</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10876-2025</t>
        </is>
      </c>
      <c r="B41" s="1" t="n">
        <v>45722</v>
      </c>
      <c r="C41" s="1" t="n">
        <v>45933</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44709-2022</t>
        </is>
      </c>
      <c r="B42" s="1" t="n">
        <v>44839</v>
      </c>
      <c r="C42" s="1" t="n">
        <v>45933</v>
      </c>
      <c r="D42" t="inlineStr">
        <is>
          <t>STOCKHOLMS LÄN</t>
        </is>
      </c>
      <c r="E42" t="inlineStr">
        <is>
          <t>NORRTÄLJE</t>
        </is>
      </c>
      <c r="G42" t="n">
        <v>16.3</v>
      </c>
      <c r="H42" t="n">
        <v>3</v>
      </c>
      <c r="I42" t="n">
        <v>0</v>
      </c>
      <c r="J42" t="n">
        <v>2</v>
      </c>
      <c r="K42" t="n">
        <v>0</v>
      </c>
      <c r="L42" t="n">
        <v>0</v>
      </c>
      <c r="M42" t="n">
        <v>0</v>
      </c>
      <c r="N42" t="n">
        <v>0</v>
      </c>
      <c r="O42" t="n">
        <v>2</v>
      </c>
      <c r="P42" t="n">
        <v>0</v>
      </c>
      <c r="Q42" t="n">
        <v>4</v>
      </c>
      <c r="R42" s="2" t="inlineStr">
        <is>
          <t>Asppraktbagge
Spillkråka
Enkelbeckasin
Orre</t>
        </is>
      </c>
      <c r="S42">
        <f>HYPERLINK("https://klasma.github.io/Logging_0188/artfynd/A 44709-2022 artfynd.xlsx", "A 44709-2022")</f>
        <v/>
      </c>
      <c r="T42">
        <f>HYPERLINK("https://klasma.github.io/Logging_0188/kartor/A 44709-2022 karta.png", "A 44709-2022")</f>
        <v/>
      </c>
      <c r="V42">
        <f>HYPERLINK("https://klasma.github.io/Logging_0188/klagomål/A 44709-2022 FSC-klagomål.docx", "A 44709-2022")</f>
        <v/>
      </c>
      <c r="W42">
        <f>HYPERLINK("https://klasma.github.io/Logging_0188/klagomålsmail/A 44709-2022 FSC-klagomål mail.docx", "A 44709-2022")</f>
        <v/>
      </c>
      <c r="X42">
        <f>HYPERLINK("https://klasma.github.io/Logging_0188/tillsyn/A 44709-2022 tillsynsbegäran.docx", "A 44709-2022")</f>
        <v/>
      </c>
      <c r="Y42">
        <f>HYPERLINK("https://klasma.github.io/Logging_0188/tillsynsmail/A 44709-2022 tillsynsbegäran mail.docx", "A 44709-2022")</f>
        <v/>
      </c>
      <c r="Z42">
        <f>HYPERLINK("https://klasma.github.io/Logging_0188/fåglar/A 44709-2022 prioriterade fågelarter.docx", "A 44709-2022")</f>
        <v/>
      </c>
    </row>
    <row r="43" ht="15" customHeight="1">
      <c r="A43" t="inlineStr">
        <is>
          <t>A 21837-2025</t>
        </is>
      </c>
      <c r="B43" s="1" t="n">
        <v>45784.32179398148</v>
      </c>
      <c r="C43" s="1" t="n">
        <v>45933</v>
      </c>
      <c r="D43" t="inlineStr">
        <is>
          <t>STOCKHOLMS LÄN</t>
        </is>
      </c>
      <c r="E43" t="inlineStr">
        <is>
          <t>NORRTÄLJE</t>
        </is>
      </c>
      <c r="G43" t="n">
        <v>6.4</v>
      </c>
      <c r="H43" t="n">
        <v>2</v>
      </c>
      <c r="I43" t="n">
        <v>2</v>
      </c>
      <c r="J43" t="n">
        <v>1</v>
      </c>
      <c r="K43" t="n">
        <v>0</v>
      </c>
      <c r="L43" t="n">
        <v>0</v>
      </c>
      <c r="M43" t="n">
        <v>0</v>
      </c>
      <c r="N43" t="n">
        <v>0</v>
      </c>
      <c r="O43" t="n">
        <v>1</v>
      </c>
      <c r="P43" t="n">
        <v>0</v>
      </c>
      <c r="Q43" t="n">
        <v>4</v>
      </c>
      <c r="R43" s="2" t="inlineStr">
        <is>
          <t>Granticka
Brandticka
Nästrot
Blåsippa</t>
        </is>
      </c>
      <c r="S43">
        <f>HYPERLINK("https://klasma.github.io/Logging_0188/artfynd/A 21837-2025 artfynd.xlsx", "A 21837-2025")</f>
        <v/>
      </c>
      <c r="T43">
        <f>HYPERLINK("https://klasma.github.io/Logging_0188/kartor/A 21837-2025 karta.png", "A 21837-2025")</f>
        <v/>
      </c>
      <c r="V43">
        <f>HYPERLINK("https://klasma.github.io/Logging_0188/klagomål/A 21837-2025 FSC-klagomål.docx", "A 21837-2025")</f>
        <v/>
      </c>
      <c r="W43">
        <f>HYPERLINK("https://klasma.github.io/Logging_0188/klagomålsmail/A 21837-2025 FSC-klagomål mail.docx", "A 21837-2025")</f>
        <v/>
      </c>
      <c r="X43">
        <f>HYPERLINK("https://klasma.github.io/Logging_0188/tillsyn/A 21837-2025 tillsynsbegäran.docx", "A 21837-2025")</f>
        <v/>
      </c>
      <c r="Y43">
        <f>HYPERLINK("https://klasma.github.io/Logging_0188/tillsynsmail/A 21837-2025 tillsynsbegäran mail.docx", "A 21837-2025")</f>
        <v/>
      </c>
    </row>
    <row r="44" ht="15" customHeight="1">
      <c r="A44" t="inlineStr">
        <is>
          <t>A 21730-2025</t>
        </is>
      </c>
      <c r="B44" s="1" t="n">
        <v>45783.58123842593</v>
      </c>
      <c r="C44" s="1" t="n">
        <v>45933</v>
      </c>
      <c r="D44" t="inlineStr">
        <is>
          <t>STOCKHOLMS LÄN</t>
        </is>
      </c>
      <c r="E44" t="inlineStr">
        <is>
          <t>NORRTÄLJE</t>
        </is>
      </c>
      <c r="G44" t="n">
        <v>4.2</v>
      </c>
      <c r="H44" t="n">
        <v>2</v>
      </c>
      <c r="I44" t="n">
        <v>2</v>
      </c>
      <c r="J44" t="n">
        <v>0</v>
      </c>
      <c r="K44" t="n">
        <v>0</v>
      </c>
      <c r="L44" t="n">
        <v>0</v>
      </c>
      <c r="M44" t="n">
        <v>0</v>
      </c>
      <c r="N44" t="n">
        <v>0</v>
      </c>
      <c r="O44" t="n">
        <v>0</v>
      </c>
      <c r="P44" t="n">
        <v>0</v>
      </c>
      <c r="Q44" t="n">
        <v>4</v>
      </c>
      <c r="R44" s="2" t="inlineStr">
        <is>
          <t>Blåmossa
Brandticka
Blåsippa
Revlummer</t>
        </is>
      </c>
      <c r="S44">
        <f>HYPERLINK("https://klasma.github.io/Logging_0188/artfynd/A 21730-2025 artfynd.xlsx", "A 21730-2025")</f>
        <v/>
      </c>
      <c r="T44">
        <f>HYPERLINK("https://klasma.github.io/Logging_0188/kartor/A 21730-2025 karta.png", "A 21730-2025")</f>
        <v/>
      </c>
      <c r="V44">
        <f>HYPERLINK("https://klasma.github.io/Logging_0188/klagomål/A 21730-2025 FSC-klagomål.docx", "A 21730-2025")</f>
        <v/>
      </c>
      <c r="W44">
        <f>HYPERLINK("https://klasma.github.io/Logging_0188/klagomålsmail/A 21730-2025 FSC-klagomål mail.docx", "A 21730-2025")</f>
        <v/>
      </c>
      <c r="X44">
        <f>HYPERLINK("https://klasma.github.io/Logging_0188/tillsyn/A 21730-2025 tillsynsbegäran.docx", "A 21730-2025")</f>
        <v/>
      </c>
      <c r="Y44">
        <f>HYPERLINK("https://klasma.github.io/Logging_0188/tillsynsmail/A 21730-2025 tillsynsbegäran mail.docx", "A 21730-2025")</f>
        <v/>
      </c>
    </row>
    <row r="45" ht="15" customHeight="1">
      <c r="A45" t="inlineStr">
        <is>
          <t>A 17673-2021</t>
        </is>
      </c>
      <c r="B45" s="1" t="n">
        <v>44300</v>
      </c>
      <c r="C45" s="1" t="n">
        <v>45933</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45933</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28836-2022</t>
        </is>
      </c>
      <c r="B47" s="1" t="n">
        <v>44749</v>
      </c>
      <c r="C47" s="1" t="n">
        <v>45933</v>
      </c>
      <c r="D47" t="inlineStr">
        <is>
          <t>STOCKHOLMS LÄN</t>
        </is>
      </c>
      <c r="E47" t="inlineStr">
        <is>
          <t>NORRTÄLJE</t>
        </is>
      </c>
      <c r="G47" t="n">
        <v>25</v>
      </c>
      <c r="H47" t="n">
        <v>2</v>
      </c>
      <c r="I47" t="n">
        <v>0</v>
      </c>
      <c r="J47" t="n">
        <v>2</v>
      </c>
      <c r="K47" t="n">
        <v>0</v>
      </c>
      <c r="L47" t="n">
        <v>0</v>
      </c>
      <c r="M47" t="n">
        <v>0</v>
      </c>
      <c r="N47" t="n">
        <v>0</v>
      </c>
      <c r="O47" t="n">
        <v>2</v>
      </c>
      <c r="P47" t="n">
        <v>0</v>
      </c>
      <c r="Q47" t="n">
        <v>3</v>
      </c>
      <c r="R47" s="2" t="inlineStr">
        <is>
          <t>Backklöver
Svartvit flugsnappare
Skogsödla</t>
        </is>
      </c>
      <c r="S47">
        <f>HYPERLINK("https://klasma.github.io/Logging_0188/artfynd/A 28836-2022 artfynd.xlsx", "A 28836-2022")</f>
        <v/>
      </c>
      <c r="T47">
        <f>HYPERLINK("https://klasma.github.io/Logging_0188/kartor/A 28836-2022 karta.png", "A 28836-2022")</f>
        <v/>
      </c>
      <c r="V47">
        <f>HYPERLINK("https://klasma.github.io/Logging_0188/klagomål/A 28836-2022 FSC-klagomål.docx", "A 28836-2022")</f>
        <v/>
      </c>
      <c r="W47">
        <f>HYPERLINK("https://klasma.github.io/Logging_0188/klagomålsmail/A 28836-2022 FSC-klagomål mail.docx", "A 28836-2022")</f>
        <v/>
      </c>
      <c r="X47">
        <f>HYPERLINK("https://klasma.github.io/Logging_0188/tillsyn/A 28836-2022 tillsynsbegäran.docx", "A 28836-2022")</f>
        <v/>
      </c>
      <c r="Y47">
        <f>HYPERLINK("https://klasma.github.io/Logging_0188/tillsynsmail/A 28836-2022 tillsynsbegäran mail.docx", "A 28836-2022")</f>
        <v/>
      </c>
      <c r="Z47">
        <f>HYPERLINK("https://klasma.github.io/Logging_0188/fåglar/A 28836-2022 prioriterade fågelarter.docx", "A 28836-2022")</f>
        <v/>
      </c>
    </row>
    <row r="48" ht="15" customHeight="1">
      <c r="A48" t="inlineStr">
        <is>
          <t>A 14560-2021</t>
        </is>
      </c>
      <c r="B48" s="1" t="n">
        <v>44279</v>
      </c>
      <c r="C48" s="1" t="n">
        <v>45933</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29185-2025</t>
        </is>
      </c>
      <c r="B49" s="1" t="n">
        <v>45821</v>
      </c>
      <c r="C49" s="1" t="n">
        <v>45933</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53065-2024</t>
        </is>
      </c>
      <c r="B50" s="1" t="n">
        <v>45611.47233796296</v>
      </c>
      <c r="C50" s="1" t="n">
        <v>45933</v>
      </c>
      <c r="D50" t="inlineStr">
        <is>
          <t>STOCKHOLMS LÄN</t>
        </is>
      </c>
      <c r="E50" t="inlineStr">
        <is>
          <t>NORRTÄLJE</t>
        </is>
      </c>
      <c r="G50" t="n">
        <v>12.3</v>
      </c>
      <c r="H50" t="n">
        <v>0</v>
      </c>
      <c r="I50" t="n">
        <v>1</v>
      </c>
      <c r="J50" t="n">
        <v>1</v>
      </c>
      <c r="K50" t="n">
        <v>1</v>
      </c>
      <c r="L50" t="n">
        <v>0</v>
      </c>
      <c r="M50" t="n">
        <v>0</v>
      </c>
      <c r="N50" t="n">
        <v>0</v>
      </c>
      <c r="O50" t="n">
        <v>2</v>
      </c>
      <c r="P50" t="n">
        <v>1</v>
      </c>
      <c r="Q50" t="n">
        <v>3</v>
      </c>
      <c r="R50" s="2" t="inlineStr">
        <is>
          <t>Aspsplintbock
Grön aspvedbock
Gulröd blankbock</t>
        </is>
      </c>
      <c r="S50">
        <f>HYPERLINK("https://klasma.github.io/Logging_0188/artfynd/A 53065-2024 artfynd.xlsx", "A 53065-2024")</f>
        <v/>
      </c>
      <c r="T50">
        <f>HYPERLINK("https://klasma.github.io/Logging_0188/kartor/A 53065-2024 karta.png", "A 53065-2024")</f>
        <v/>
      </c>
      <c r="V50">
        <f>HYPERLINK("https://klasma.github.io/Logging_0188/klagomål/A 53065-2024 FSC-klagomål.docx", "A 53065-2024")</f>
        <v/>
      </c>
      <c r="W50">
        <f>HYPERLINK("https://klasma.github.io/Logging_0188/klagomålsmail/A 53065-2024 FSC-klagomål mail.docx", "A 53065-2024")</f>
        <v/>
      </c>
      <c r="X50">
        <f>HYPERLINK("https://klasma.github.io/Logging_0188/tillsyn/A 53065-2024 tillsynsbegäran.docx", "A 53065-2024")</f>
        <v/>
      </c>
      <c r="Y50">
        <f>HYPERLINK("https://klasma.github.io/Logging_0188/tillsynsmail/A 53065-2024 tillsynsbegäran mail.docx", "A 53065-2024")</f>
        <v/>
      </c>
    </row>
    <row r="51" ht="15" customHeight="1">
      <c r="A51" t="inlineStr">
        <is>
          <t>A 34524-2025</t>
        </is>
      </c>
      <c r="B51" s="1" t="n">
        <v>45847.47685185185</v>
      </c>
      <c r="C51" s="1" t="n">
        <v>45933</v>
      </c>
      <c r="D51" t="inlineStr">
        <is>
          <t>STOCKHOLMS LÄN</t>
        </is>
      </c>
      <c r="E51" t="inlineStr">
        <is>
          <t>NORRTÄLJE</t>
        </is>
      </c>
      <c r="G51" t="n">
        <v>3.3</v>
      </c>
      <c r="H51" t="n">
        <v>0</v>
      </c>
      <c r="I51" t="n">
        <v>1</v>
      </c>
      <c r="J51" t="n">
        <v>2</v>
      </c>
      <c r="K51" t="n">
        <v>0</v>
      </c>
      <c r="L51" t="n">
        <v>0</v>
      </c>
      <c r="M51" t="n">
        <v>0</v>
      </c>
      <c r="N51" t="n">
        <v>0</v>
      </c>
      <c r="O51" t="n">
        <v>2</v>
      </c>
      <c r="P51" t="n">
        <v>0</v>
      </c>
      <c r="Q51" t="n">
        <v>3</v>
      </c>
      <c r="R51" s="2" t="inlineStr">
        <is>
          <t>Tallticka
Vedtrappmossa
Kornknutmossa</t>
        </is>
      </c>
      <c r="S51">
        <f>HYPERLINK("https://klasma.github.io/Logging_0188/artfynd/A 34524-2025 artfynd.xlsx", "A 34524-2025")</f>
        <v/>
      </c>
      <c r="T51">
        <f>HYPERLINK("https://klasma.github.io/Logging_0188/kartor/A 34524-2025 karta.png", "A 34524-2025")</f>
        <v/>
      </c>
      <c r="V51">
        <f>HYPERLINK("https://klasma.github.io/Logging_0188/klagomål/A 34524-2025 FSC-klagomål.docx", "A 34524-2025")</f>
        <v/>
      </c>
      <c r="W51">
        <f>HYPERLINK("https://klasma.github.io/Logging_0188/klagomålsmail/A 34524-2025 FSC-klagomål mail.docx", "A 34524-2025")</f>
        <v/>
      </c>
      <c r="X51">
        <f>HYPERLINK("https://klasma.github.io/Logging_0188/tillsyn/A 34524-2025 tillsynsbegäran.docx", "A 34524-2025")</f>
        <v/>
      </c>
      <c r="Y51">
        <f>HYPERLINK("https://klasma.github.io/Logging_0188/tillsynsmail/A 34524-2025 tillsynsbegäran mail.docx", "A 34524-2025")</f>
        <v/>
      </c>
    </row>
    <row r="52" ht="15" customHeight="1">
      <c r="A52" t="inlineStr">
        <is>
          <t>A 2851-2023</t>
        </is>
      </c>
      <c r="B52" s="1" t="n">
        <v>44945</v>
      </c>
      <c r="C52" s="1" t="n">
        <v>45933</v>
      </c>
      <c r="D52" t="inlineStr">
        <is>
          <t>STOCKHOLMS LÄN</t>
        </is>
      </c>
      <c r="E52" t="inlineStr">
        <is>
          <t>NORRTÄLJE</t>
        </is>
      </c>
      <c r="G52" t="n">
        <v>5.8</v>
      </c>
      <c r="H52" t="n">
        <v>1</v>
      </c>
      <c r="I52" t="n">
        <v>1</v>
      </c>
      <c r="J52" t="n">
        <v>2</v>
      </c>
      <c r="K52" t="n">
        <v>0</v>
      </c>
      <c r="L52" t="n">
        <v>0</v>
      </c>
      <c r="M52" t="n">
        <v>0</v>
      </c>
      <c r="N52" t="n">
        <v>0</v>
      </c>
      <c r="O52" t="n">
        <v>2</v>
      </c>
      <c r="P52" t="n">
        <v>0</v>
      </c>
      <c r="Q52" t="n">
        <v>3</v>
      </c>
      <c r="R52" s="2" t="inlineStr">
        <is>
          <t>Gulsparv
Vedflikmossa
Terpentinmossa</t>
        </is>
      </c>
      <c r="S52">
        <f>HYPERLINK("https://klasma.github.io/Logging_0188/artfynd/A 2851-2023 artfynd.xlsx", "A 2851-2023")</f>
        <v/>
      </c>
      <c r="T52">
        <f>HYPERLINK("https://klasma.github.io/Logging_0188/kartor/A 2851-2023 karta.png", "A 2851-2023")</f>
        <v/>
      </c>
      <c r="V52">
        <f>HYPERLINK("https://klasma.github.io/Logging_0188/klagomål/A 2851-2023 FSC-klagomål.docx", "A 2851-2023")</f>
        <v/>
      </c>
      <c r="W52">
        <f>HYPERLINK("https://klasma.github.io/Logging_0188/klagomålsmail/A 2851-2023 FSC-klagomål mail.docx", "A 2851-2023")</f>
        <v/>
      </c>
      <c r="X52">
        <f>HYPERLINK("https://klasma.github.io/Logging_0188/tillsyn/A 2851-2023 tillsynsbegäran.docx", "A 2851-2023")</f>
        <v/>
      </c>
      <c r="Y52">
        <f>HYPERLINK("https://klasma.github.io/Logging_0188/tillsynsmail/A 2851-2023 tillsynsbegäran mail.docx", "A 2851-2023")</f>
        <v/>
      </c>
      <c r="Z52">
        <f>HYPERLINK("https://klasma.github.io/Logging_0188/fåglar/A 2851-2023 prioriterade fågelarter.docx", "A 2851-2023")</f>
        <v/>
      </c>
    </row>
    <row r="53" ht="15" customHeight="1">
      <c r="A53" t="inlineStr">
        <is>
          <t>A 50618-2022</t>
        </is>
      </c>
      <c r="B53" s="1" t="n">
        <v>44866</v>
      </c>
      <c r="C53" s="1" t="n">
        <v>45933</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20185-2022</t>
        </is>
      </c>
      <c r="B54" s="1" t="n">
        <v>44698</v>
      </c>
      <c r="C54" s="1" t="n">
        <v>45933</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27870-2022</t>
        </is>
      </c>
      <c r="B55" s="1" t="n">
        <v>44743.64592592593</v>
      </c>
      <c r="C55" s="1" t="n">
        <v>45933</v>
      </c>
      <c r="D55" t="inlineStr">
        <is>
          <t>STOCKHOLMS LÄN</t>
        </is>
      </c>
      <c r="E55" t="inlineStr">
        <is>
          <t>NORRTÄLJE</t>
        </is>
      </c>
      <c r="F55" t="inlineStr">
        <is>
          <t>Holmen skog AB</t>
        </is>
      </c>
      <c r="G55" t="n">
        <v>1.8</v>
      </c>
      <c r="H55" t="n">
        <v>3</v>
      </c>
      <c r="I55" t="n">
        <v>0</v>
      </c>
      <c r="J55" t="n">
        <v>1</v>
      </c>
      <c r="K55" t="n">
        <v>0</v>
      </c>
      <c r="L55" t="n">
        <v>0</v>
      </c>
      <c r="M55" t="n">
        <v>0</v>
      </c>
      <c r="N55" t="n">
        <v>0</v>
      </c>
      <c r="O55" t="n">
        <v>1</v>
      </c>
      <c r="P55" t="n">
        <v>0</v>
      </c>
      <c r="Q55" t="n">
        <v>3</v>
      </c>
      <c r="R55" s="2" t="inlineStr">
        <is>
          <t>Nordfladdermus
Dvärgpipistrell
Större brunfladdermus</t>
        </is>
      </c>
      <c r="S55">
        <f>HYPERLINK("https://klasma.github.io/Logging_0188/artfynd/A 27870-2022 artfynd.xlsx", "A 27870-2022")</f>
        <v/>
      </c>
      <c r="T55">
        <f>HYPERLINK("https://klasma.github.io/Logging_0188/kartor/A 27870-2022 karta.png", "A 27870-2022")</f>
        <v/>
      </c>
      <c r="V55">
        <f>HYPERLINK("https://klasma.github.io/Logging_0188/klagomål/A 27870-2022 FSC-klagomål.docx", "A 27870-2022")</f>
        <v/>
      </c>
      <c r="W55">
        <f>HYPERLINK("https://klasma.github.io/Logging_0188/klagomålsmail/A 27870-2022 FSC-klagomål mail.docx", "A 27870-2022")</f>
        <v/>
      </c>
      <c r="X55">
        <f>HYPERLINK("https://klasma.github.io/Logging_0188/tillsyn/A 27870-2022 tillsynsbegäran.docx", "A 27870-2022")</f>
        <v/>
      </c>
      <c r="Y55">
        <f>HYPERLINK("https://klasma.github.io/Logging_0188/tillsynsmail/A 27870-2022 tillsynsbegäran mail.docx", "A 27870-2022")</f>
        <v/>
      </c>
    </row>
    <row r="56" ht="15" customHeight="1">
      <c r="A56" t="inlineStr">
        <is>
          <t>A 54110-2024</t>
        </is>
      </c>
      <c r="B56" s="1" t="n">
        <v>45616.54866898148</v>
      </c>
      <c r="C56" s="1" t="n">
        <v>45933</v>
      </c>
      <c r="D56" t="inlineStr">
        <is>
          <t>STOCKHOLMS LÄN</t>
        </is>
      </c>
      <c r="E56" t="inlineStr">
        <is>
          <t>NORRTÄLJE</t>
        </is>
      </c>
      <c r="G56" t="n">
        <v>6.7</v>
      </c>
      <c r="H56" t="n">
        <v>2</v>
      </c>
      <c r="I56" t="n">
        <v>0</v>
      </c>
      <c r="J56" t="n">
        <v>1</v>
      </c>
      <c r="K56" t="n">
        <v>0</v>
      </c>
      <c r="L56" t="n">
        <v>0</v>
      </c>
      <c r="M56" t="n">
        <v>0</v>
      </c>
      <c r="N56" t="n">
        <v>0</v>
      </c>
      <c r="O56" t="n">
        <v>1</v>
      </c>
      <c r="P56" t="n">
        <v>0</v>
      </c>
      <c r="Q56" t="n">
        <v>3</v>
      </c>
      <c r="R56" s="2" t="inlineStr">
        <is>
          <t>Klasefibbla
Nattviol
Gullviva</t>
        </is>
      </c>
      <c r="S56">
        <f>HYPERLINK("https://klasma.github.io/Logging_0188/artfynd/A 54110-2024 artfynd.xlsx", "A 54110-2024")</f>
        <v/>
      </c>
      <c r="T56">
        <f>HYPERLINK("https://klasma.github.io/Logging_0188/kartor/A 54110-2024 karta.png", "A 54110-2024")</f>
        <v/>
      </c>
      <c r="V56">
        <f>HYPERLINK("https://klasma.github.io/Logging_0188/klagomål/A 54110-2024 FSC-klagomål.docx", "A 54110-2024")</f>
        <v/>
      </c>
      <c r="W56">
        <f>HYPERLINK("https://klasma.github.io/Logging_0188/klagomålsmail/A 54110-2024 FSC-klagomål mail.docx", "A 54110-2024")</f>
        <v/>
      </c>
      <c r="X56">
        <f>HYPERLINK("https://klasma.github.io/Logging_0188/tillsyn/A 54110-2024 tillsynsbegäran.docx", "A 54110-2024")</f>
        <v/>
      </c>
      <c r="Y56">
        <f>HYPERLINK("https://klasma.github.io/Logging_0188/tillsynsmail/A 54110-2024 tillsynsbegäran mail.docx", "A 54110-2024")</f>
        <v/>
      </c>
    </row>
    <row r="57" ht="15" customHeight="1">
      <c r="A57" t="inlineStr">
        <is>
          <t>A 31803-2021</t>
        </is>
      </c>
      <c r="B57" s="1" t="n">
        <v>44370</v>
      </c>
      <c r="C57" s="1" t="n">
        <v>45933</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45933</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51220-2023</t>
        </is>
      </c>
      <c r="B59" s="1" t="n">
        <v>45219</v>
      </c>
      <c r="C59" s="1" t="n">
        <v>45933</v>
      </c>
      <c r="D59" t="inlineStr">
        <is>
          <t>STOCKHOLMS LÄN</t>
        </is>
      </c>
      <c r="E59" t="inlineStr">
        <is>
          <t>NORRTÄLJE</t>
        </is>
      </c>
      <c r="G59" t="n">
        <v>7.7</v>
      </c>
      <c r="H59" t="n">
        <v>1</v>
      </c>
      <c r="I59" t="n">
        <v>0</v>
      </c>
      <c r="J59" t="n">
        <v>1</v>
      </c>
      <c r="K59" t="n">
        <v>0</v>
      </c>
      <c r="L59" t="n">
        <v>0</v>
      </c>
      <c r="M59" t="n">
        <v>0</v>
      </c>
      <c r="N59" t="n">
        <v>0</v>
      </c>
      <c r="O59" t="n">
        <v>1</v>
      </c>
      <c r="P59" t="n">
        <v>0</v>
      </c>
      <c r="Q59" t="n">
        <v>2</v>
      </c>
      <c r="R59" s="2" t="inlineStr">
        <is>
          <t>Ullticka
Blåsippa</t>
        </is>
      </c>
      <c r="S59">
        <f>HYPERLINK("https://klasma.github.io/Logging_0188/artfynd/A 51220-2023 artfynd.xlsx", "A 51220-2023")</f>
        <v/>
      </c>
      <c r="T59">
        <f>HYPERLINK("https://klasma.github.io/Logging_0188/kartor/A 51220-2023 karta.png", "A 51220-2023")</f>
        <v/>
      </c>
      <c r="V59">
        <f>HYPERLINK("https://klasma.github.io/Logging_0188/klagomål/A 51220-2023 FSC-klagomål.docx", "A 51220-2023")</f>
        <v/>
      </c>
      <c r="W59">
        <f>HYPERLINK("https://klasma.github.io/Logging_0188/klagomålsmail/A 51220-2023 FSC-klagomål mail.docx", "A 51220-2023")</f>
        <v/>
      </c>
      <c r="X59">
        <f>HYPERLINK("https://klasma.github.io/Logging_0188/tillsyn/A 51220-2023 tillsynsbegäran.docx", "A 51220-2023")</f>
        <v/>
      </c>
      <c r="Y59">
        <f>HYPERLINK("https://klasma.github.io/Logging_0188/tillsynsmail/A 51220-2023 tillsynsbegäran mail.docx", "A 51220-2023")</f>
        <v/>
      </c>
    </row>
    <row r="60" ht="15" customHeight="1">
      <c r="A60" t="inlineStr">
        <is>
          <t>A 30693-2022</t>
        </is>
      </c>
      <c r="B60" s="1" t="n">
        <v>44763</v>
      </c>
      <c r="C60" s="1" t="n">
        <v>45933</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11031-2025</t>
        </is>
      </c>
      <c r="B61" s="1" t="n">
        <v>45723</v>
      </c>
      <c r="C61" s="1" t="n">
        <v>45933</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45933</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22190-2024</t>
        </is>
      </c>
      <c r="B63" s="1" t="n">
        <v>45446.35888888889</v>
      </c>
      <c r="C63" s="1" t="n">
        <v>45933</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25731-2025</t>
        </is>
      </c>
      <c r="B64" s="1" t="n">
        <v>45800</v>
      </c>
      <c r="C64" s="1" t="n">
        <v>45933</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52825-2023</t>
        </is>
      </c>
      <c r="B65" s="1" t="n">
        <v>45226</v>
      </c>
      <c r="C65" s="1" t="n">
        <v>45933</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20012-2025</t>
        </is>
      </c>
      <c r="B66" s="1" t="n">
        <v>45772.30234953704</v>
      </c>
      <c r="C66" s="1" t="n">
        <v>45933</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52360-2024</t>
        </is>
      </c>
      <c r="B67" s="1" t="n">
        <v>45609.37094907407</v>
      </c>
      <c r="C67" s="1" t="n">
        <v>45933</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52124-2022</t>
        </is>
      </c>
      <c r="B68" s="1" t="n">
        <v>44868</v>
      </c>
      <c r="C68" s="1" t="n">
        <v>45933</v>
      </c>
      <c r="D68" t="inlineStr">
        <is>
          <t>STOCKHOLMS LÄN</t>
        </is>
      </c>
      <c r="E68" t="inlineStr">
        <is>
          <t>NORRTÄLJE</t>
        </is>
      </c>
      <c r="G68" t="n">
        <v>4.8</v>
      </c>
      <c r="H68" t="n">
        <v>1</v>
      </c>
      <c r="I68" t="n">
        <v>0</v>
      </c>
      <c r="J68" t="n">
        <v>1</v>
      </c>
      <c r="K68" t="n">
        <v>0</v>
      </c>
      <c r="L68" t="n">
        <v>0</v>
      </c>
      <c r="M68" t="n">
        <v>0</v>
      </c>
      <c r="N68" t="n">
        <v>0</v>
      </c>
      <c r="O68" t="n">
        <v>1</v>
      </c>
      <c r="P68" t="n">
        <v>0</v>
      </c>
      <c r="Q68" t="n">
        <v>2</v>
      </c>
      <c r="R68" s="2" t="inlineStr">
        <is>
          <t>Kandelabersvamp
Blåsippa</t>
        </is>
      </c>
      <c r="S68">
        <f>HYPERLINK("https://klasma.github.io/Logging_0188/artfynd/A 52124-2022 artfynd.xlsx", "A 52124-2022")</f>
        <v/>
      </c>
      <c r="T68">
        <f>HYPERLINK("https://klasma.github.io/Logging_0188/kartor/A 52124-2022 karta.png", "A 52124-2022")</f>
        <v/>
      </c>
      <c r="V68">
        <f>HYPERLINK("https://klasma.github.io/Logging_0188/klagomål/A 52124-2022 FSC-klagomål.docx", "A 52124-2022")</f>
        <v/>
      </c>
      <c r="W68">
        <f>HYPERLINK("https://klasma.github.io/Logging_0188/klagomålsmail/A 52124-2022 FSC-klagomål mail.docx", "A 52124-2022")</f>
        <v/>
      </c>
      <c r="X68">
        <f>HYPERLINK("https://klasma.github.io/Logging_0188/tillsyn/A 52124-2022 tillsynsbegäran.docx", "A 52124-2022")</f>
        <v/>
      </c>
      <c r="Y68">
        <f>HYPERLINK("https://klasma.github.io/Logging_0188/tillsynsmail/A 52124-2022 tillsynsbegäran mail.docx", "A 52124-2022")</f>
        <v/>
      </c>
    </row>
    <row r="69" ht="15" customHeight="1">
      <c r="A69" t="inlineStr">
        <is>
          <t>A 51980-2022</t>
        </is>
      </c>
      <c r="B69" s="1" t="n">
        <v>44872</v>
      </c>
      <c r="C69" s="1" t="n">
        <v>45933</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1547-2022</t>
        </is>
      </c>
      <c r="B70" s="1" t="n">
        <v>44573</v>
      </c>
      <c r="C70" s="1" t="n">
        <v>45933</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45933</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45933</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45933</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45933</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45933</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25669-2025</t>
        </is>
      </c>
      <c r="B76" s="1" t="n">
        <v>45803.62766203703</v>
      </c>
      <c r="C76" s="1" t="n">
        <v>45933</v>
      </c>
      <c r="D76" t="inlineStr">
        <is>
          <t>STOCKHOLMS LÄN</t>
        </is>
      </c>
      <c r="E76" t="inlineStr">
        <is>
          <t>NORRTÄLJE</t>
        </is>
      </c>
      <c r="F76" t="inlineStr">
        <is>
          <t>Holmen skog AB</t>
        </is>
      </c>
      <c r="G76" t="n">
        <v>3.1</v>
      </c>
      <c r="H76" t="n">
        <v>1</v>
      </c>
      <c r="I76" t="n">
        <v>0</v>
      </c>
      <c r="J76" t="n">
        <v>0</v>
      </c>
      <c r="K76" t="n">
        <v>0</v>
      </c>
      <c r="L76" t="n">
        <v>0</v>
      </c>
      <c r="M76" t="n">
        <v>0</v>
      </c>
      <c r="N76" t="n">
        <v>0</v>
      </c>
      <c r="O76" t="n">
        <v>0</v>
      </c>
      <c r="P76" t="n">
        <v>0</v>
      </c>
      <c r="Q76" t="n">
        <v>1</v>
      </c>
      <c r="R76" s="2" t="inlineStr">
        <is>
          <t>Tjäder</t>
        </is>
      </c>
      <c r="S76">
        <f>HYPERLINK("https://klasma.github.io/Logging_0188/artfynd/A 25669-2025 artfynd.xlsx", "A 25669-2025")</f>
        <v/>
      </c>
      <c r="T76">
        <f>HYPERLINK("https://klasma.github.io/Logging_0188/kartor/A 25669-2025 karta.png", "A 25669-2025")</f>
        <v/>
      </c>
      <c r="V76">
        <f>HYPERLINK("https://klasma.github.io/Logging_0188/klagomål/A 25669-2025 FSC-klagomål.docx", "A 25669-2025")</f>
        <v/>
      </c>
      <c r="W76">
        <f>HYPERLINK("https://klasma.github.io/Logging_0188/klagomålsmail/A 25669-2025 FSC-klagomål mail.docx", "A 25669-2025")</f>
        <v/>
      </c>
      <c r="X76">
        <f>HYPERLINK("https://klasma.github.io/Logging_0188/tillsyn/A 25669-2025 tillsynsbegäran.docx", "A 25669-2025")</f>
        <v/>
      </c>
      <c r="Y76">
        <f>HYPERLINK("https://klasma.github.io/Logging_0188/tillsynsmail/A 25669-2025 tillsynsbegäran mail.docx", "A 25669-2025")</f>
        <v/>
      </c>
      <c r="Z76">
        <f>HYPERLINK("https://klasma.github.io/Logging_0188/fåglar/A 25669-2025 prioriterade fågelarter.docx", "A 25669-2025")</f>
        <v/>
      </c>
    </row>
    <row r="77" ht="15" customHeight="1">
      <c r="A77" t="inlineStr">
        <is>
          <t>A 6381-2023</t>
        </is>
      </c>
      <c r="B77" s="1" t="n">
        <v>44965</v>
      </c>
      <c r="C77" s="1" t="n">
        <v>45933</v>
      </c>
      <c r="D77" t="inlineStr">
        <is>
          <t>STOCKHOLMS LÄN</t>
        </is>
      </c>
      <c r="E77" t="inlineStr">
        <is>
          <t>NORRTÄLJE</t>
        </is>
      </c>
      <c r="G77" t="n">
        <v>3.5</v>
      </c>
      <c r="H77" t="n">
        <v>1</v>
      </c>
      <c r="I77" t="n">
        <v>1</v>
      </c>
      <c r="J77" t="n">
        <v>0</v>
      </c>
      <c r="K77" t="n">
        <v>0</v>
      </c>
      <c r="L77" t="n">
        <v>0</v>
      </c>
      <c r="M77" t="n">
        <v>0</v>
      </c>
      <c r="N77" t="n">
        <v>0</v>
      </c>
      <c r="O77" t="n">
        <v>0</v>
      </c>
      <c r="P77" t="n">
        <v>0</v>
      </c>
      <c r="Q77" t="n">
        <v>1</v>
      </c>
      <c r="R77" s="2" t="inlineStr">
        <is>
          <t>Guckusko</t>
        </is>
      </c>
      <c r="S77">
        <f>HYPERLINK("https://klasma.github.io/Logging_0188/artfynd/A 6381-2023 artfynd.xlsx", "A 6381-2023")</f>
        <v/>
      </c>
      <c r="T77">
        <f>HYPERLINK("https://klasma.github.io/Logging_0188/kartor/A 6381-2023 karta.png", "A 6381-2023")</f>
        <v/>
      </c>
      <c r="V77">
        <f>HYPERLINK("https://klasma.github.io/Logging_0188/klagomål/A 6381-2023 FSC-klagomål.docx", "A 6381-2023")</f>
        <v/>
      </c>
      <c r="W77">
        <f>HYPERLINK("https://klasma.github.io/Logging_0188/klagomålsmail/A 6381-2023 FSC-klagomål mail.docx", "A 6381-2023")</f>
        <v/>
      </c>
      <c r="X77">
        <f>HYPERLINK("https://klasma.github.io/Logging_0188/tillsyn/A 6381-2023 tillsynsbegäran.docx", "A 6381-2023")</f>
        <v/>
      </c>
      <c r="Y77">
        <f>HYPERLINK("https://klasma.github.io/Logging_0188/tillsynsmail/A 6381-2023 tillsynsbegäran mail.docx", "A 6381-2023")</f>
        <v/>
      </c>
    </row>
    <row r="78" ht="15" customHeight="1">
      <c r="A78" t="inlineStr">
        <is>
          <t>A 32111-2022</t>
        </is>
      </c>
      <c r="B78" s="1" t="n">
        <v>44778.92797453704</v>
      </c>
      <c r="C78" s="1" t="n">
        <v>45933</v>
      </c>
      <c r="D78" t="inlineStr">
        <is>
          <t>STOCKHOLMS LÄN</t>
        </is>
      </c>
      <c r="E78" t="inlineStr">
        <is>
          <t>NORRTÄLJE</t>
        </is>
      </c>
      <c r="G78" t="n">
        <v>3.1</v>
      </c>
      <c r="H78" t="n">
        <v>0</v>
      </c>
      <c r="I78" t="n">
        <v>0</v>
      </c>
      <c r="J78" t="n">
        <v>1</v>
      </c>
      <c r="K78" t="n">
        <v>0</v>
      </c>
      <c r="L78" t="n">
        <v>0</v>
      </c>
      <c r="M78" t="n">
        <v>0</v>
      </c>
      <c r="N78" t="n">
        <v>0</v>
      </c>
      <c r="O78" t="n">
        <v>1</v>
      </c>
      <c r="P78" t="n">
        <v>0</v>
      </c>
      <c r="Q78" t="n">
        <v>1</v>
      </c>
      <c r="R78" s="2" t="inlineStr">
        <is>
          <t>Orange taggsvamp</t>
        </is>
      </c>
      <c r="S78">
        <f>HYPERLINK("https://klasma.github.io/Logging_0188/artfynd/A 32111-2022 artfynd.xlsx", "A 32111-2022")</f>
        <v/>
      </c>
      <c r="T78">
        <f>HYPERLINK("https://klasma.github.io/Logging_0188/kartor/A 32111-2022 karta.png", "A 32111-2022")</f>
        <v/>
      </c>
      <c r="V78">
        <f>HYPERLINK("https://klasma.github.io/Logging_0188/klagomål/A 32111-2022 FSC-klagomål.docx", "A 32111-2022")</f>
        <v/>
      </c>
      <c r="W78">
        <f>HYPERLINK("https://klasma.github.io/Logging_0188/klagomålsmail/A 32111-2022 FSC-klagomål mail.docx", "A 32111-2022")</f>
        <v/>
      </c>
      <c r="X78">
        <f>HYPERLINK("https://klasma.github.io/Logging_0188/tillsyn/A 32111-2022 tillsynsbegäran.docx", "A 32111-2022")</f>
        <v/>
      </c>
      <c r="Y78">
        <f>HYPERLINK("https://klasma.github.io/Logging_0188/tillsynsmail/A 32111-2022 tillsynsbegäran mail.docx", "A 32111-2022")</f>
        <v/>
      </c>
    </row>
    <row r="79" ht="15" customHeight="1">
      <c r="A79" t="inlineStr">
        <is>
          <t>A 4860-2022</t>
        </is>
      </c>
      <c r="B79" s="1" t="n">
        <v>44592</v>
      </c>
      <c r="C79" s="1" t="n">
        <v>45933</v>
      </c>
      <c r="D79" t="inlineStr">
        <is>
          <t>STOCKHOLMS LÄN</t>
        </is>
      </c>
      <c r="E79" t="inlineStr">
        <is>
          <t>NORRTÄLJE</t>
        </is>
      </c>
      <c r="G79" t="n">
        <v>22.3</v>
      </c>
      <c r="H79" t="n">
        <v>0</v>
      </c>
      <c r="I79" t="n">
        <v>0</v>
      </c>
      <c r="J79" t="n">
        <v>1</v>
      </c>
      <c r="K79" t="n">
        <v>0</v>
      </c>
      <c r="L79" t="n">
        <v>0</v>
      </c>
      <c r="M79" t="n">
        <v>0</v>
      </c>
      <c r="N79" t="n">
        <v>0</v>
      </c>
      <c r="O79" t="n">
        <v>1</v>
      </c>
      <c r="P79" t="n">
        <v>0</v>
      </c>
      <c r="Q79" t="n">
        <v>1</v>
      </c>
      <c r="R79" s="2" t="inlineStr">
        <is>
          <t>Igelkott</t>
        </is>
      </c>
      <c r="S79">
        <f>HYPERLINK("https://klasma.github.io/Logging_0188/artfynd/A 4860-2022 artfynd.xlsx", "A 4860-2022")</f>
        <v/>
      </c>
      <c r="T79">
        <f>HYPERLINK("https://klasma.github.io/Logging_0188/kartor/A 4860-2022 karta.png", "A 4860-2022")</f>
        <v/>
      </c>
      <c r="V79">
        <f>HYPERLINK("https://klasma.github.io/Logging_0188/klagomål/A 4860-2022 FSC-klagomål.docx", "A 4860-2022")</f>
        <v/>
      </c>
      <c r="W79">
        <f>HYPERLINK("https://klasma.github.io/Logging_0188/klagomålsmail/A 4860-2022 FSC-klagomål mail.docx", "A 4860-2022")</f>
        <v/>
      </c>
      <c r="X79">
        <f>HYPERLINK("https://klasma.github.io/Logging_0188/tillsyn/A 4860-2022 tillsynsbegäran.docx", "A 4860-2022")</f>
        <v/>
      </c>
      <c r="Y79">
        <f>HYPERLINK("https://klasma.github.io/Logging_0188/tillsynsmail/A 4860-2022 tillsynsbegäran mail.docx", "A 4860-2022")</f>
        <v/>
      </c>
    </row>
    <row r="80" ht="15" customHeight="1">
      <c r="A80" t="inlineStr">
        <is>
          <t>A 29946-2025</t>
        </is>
      </c>
      <c r="B80" s="1" t="n">
        <v>45826.46392361111</v>
      </c>
      <c r="C80" s="1" t="n">
        <v>45933</v>
      </c>
      <c r="D80" t="inlineStr">
        <is>
          <t>STOCKHOLMS LÄN</t>
        </is>
      </c>
      <c r="E80" t="inlineStr">
        <is>
          <t>NORRTÄLJE</t>
        </is>
      </c>
      <c r="F80" t="inlineStr">
        <is>
          <t>Holmen skog AB</t>
        </is>
      </c>
      <c r="G80" t="n">
        <v>3.6</v>
      </c>
      <c r="H80" t="n">
        <v>1</v>
      </c>
      <c r="I80" t="n">
        <v>0</v>
      </c>
      <c r="J80" t="n">
        <v>0</v>
      </c>
      <c r="K80" t="n">
        <v>0</v>
      </c>
      <c r="L80" t="n">
        <v>1</v>
      </c>
      <c r="M80" t="n">
        <v>0</v>
      </c>
      <c r="N80" t="n">
        <v>0</v>
      </c>
      <c r="O80" t="n">
        <v>1</v>
      </c>
      <c r="P80" t="n">
        <v>1</v>
      </c>
      <c r="Q80" t="n">
        <v>1</v>
      </c>
      <c r="R80" s="2" t="inlineStr">
        <is>
          <t>Asknätfjäril</t>
        </is>
      </c>
      <c r="S80">
        <f>HYPERLINK("https://klasma.github.io/Logging_0188/artfynd/A 29946-2025 artfynd.xlsx", "A 29946-2025")</f>
        <v/>
      </c>
      <c r="T80">
        <f>HYPERLINK("https://klasma.github.io/Logging_0188/kartor/A 29946-2025 karta.png", "A 29946-2025")</f>
        <v/>
      </c>
      <c r="V80">
        <f>HYPERLINK("https://klasma.github.io/Logging_0188/klagomål/A 29946-2025 FSC-klagomål.docx", "A 29946-2025")</f>
        <v/>
      </c>
      <c r="W80">
        <f>HYPERLINK("https://klasma.github.io/Logging_0188/klagomålsmail/A 29946-2025 FSC-klagomål mail.docx", "A 29946-2025")</f>
        <v/>
      </c>
      <c r="X80">
        <f>HYPERLINK("https://klasma.github.io/Logging_0188/tillsyn/A 29946-2025 tillsynsbegäran.docx", "A 29946-2025")</f>
        <v/>
      </c>
      <c r="Y80">
        <f>HYPERLINK("https://klasma.github.io/Logging_0188/tillsynsmail/A 29946-2025 tillsynsbegäran mail.docx", "A 29946-2025")</f>
        <v/>
      </c>
    </row>
    <row r="81" ht="15" customHeight="1">
      <c r="A81" t="inlineStr">
        <is>
          <t>A 47898-2022</t>
        </is>
      </c>
      <c r="B81" s="1" t="n">
        <v>44855</v>
      </c>
      <c r="C81" s="1" t="n">
        <v>45933</v>
      </c>
      <c r="D81" t="inlineStr">
        <is>
          <t>STOCKHOLMS LÄN</t>
        </is>
      </c>
      <c r="E81" t="inlineStr">
        <is>
          <t>NORRTÄLJE</t>
        </is>
      </c>
      <c r="G81" t="n">
        <v>6.7</v>
      </c>
      <c r="H81" t="n">
        <v>1</v>
      </c>
      <c r="I81" t="n">
        <v>1</v>
      </c>
      <c r="J81" t="n">
        <v>0</v>
      </c>
      <c r="K81" t="n">
        <v>0</v>
      </c>
      <c r="L81" t="n">
        <v>0</v>
      </c>
      <c r="M81" t="n">
        <v>0</v>
      </c>
      <c r="N81" t="n">
        <v>0</v>
      </c>
      <c r="O81" t="n">
        <v>0</v>
      </c>
      <c r="P81" t="n">
        <v>0</v>
      </c>
      <c r="Q81" t="n">
        <v>1</v>
      </c>
      <c r="R81" s="2" t="inlineStr">
        <is>
          <t>Guckusko</t>
        </is>
      </c>
      <c r="S81">
        <f>HYPERLINK("https://klasma.github.io/Logging_0188/artfynd/A 47898-2022 artfynd.xlsx", "A 47898-2022")</f>
        <v/>
      </c>
      <c r="T81">
        <f>HYPERLINK("https://klasma.github.io/Logging_0188/kartor/A 47898-2022 karta.png", "A 47898-2022")</f>
        <v/>
      </c>
      <c r="V81">
        <f>HYPERLINK("https://klasma.github.io/Logging_0188/klagomål/A 47898-2022 FSC-klagomål.docx", "A 47898-2022")</f>
        <v/>
      </c>
      <c r="W81">
        <f>HYPERLINK("https://klasma.github.io/Logging_0188/klagomålsmail/A 47898-2022 FSC-klagomål mail.docx", "A 47898-2022")</f>
        <v/>
      </c>
      <c r="X81">
        <f>HYPERLINK("https://klasma.github.io/Logging_0188/tillsyn/A 47898-2022 tillsynsbegäran.docx", "A 47898-2022")</f>
        <v/>
      </c>
      <c r="Y81">
        <f>HYPERLINK("https://klasma.github.io/Logging_0188/tillsynsmail/A 47898-2022 tillsynsbegäran mail.docx", "A 47898-2022")</f>
        <v/>
      </c>
    </row>
    <row r="82" ht="15" customHeight="1">
      <c r="A82" t="inlineStr">
        <is>
          <t>A 33548-2025</t>
        </is>
      </c>
      <c r="B82" s="1" t="n">
        <v>45841.5721875</v>
      </c>
      <c r="C82" s="1" t="n">
        <v>45933</v>
      </c>
      <c r="D82" t="inlineStr">
        <is>
          <t>STOCKHOLMS LÄN</t>
        </is>
      </c>
      <c r="E82" t="inlineStr">
        <is>
          <t>NORRTÄLJE</t>
        </is>
      </c>
      <c r="G82" t="n">
        <v>12.2</v>
      </c>
      <c r="H82" t="n">
        <v>0</v>
      </c>
      <c r="I82" t="n">
        <v>0</v>
      </c>
      <c r="J82" t="n">
        <v>1</v>
      </c>
      <c r="K82" t="n">
        <v>0</v>
      </c>
      <c r="L82" t="n">
        <v>0</v>
      </c>
      <c r="M82" t="n">
        <v>0</v>
      </c>
      <c r="N82" t="n">
        <v>0</v>
      </c>
      <c r="O82" t="n">
        <v>1</v>
      </c>
      <c r="P82" t="n">
        <v>0</v>
      </c>
      <c r="Q82" t="n">
        <v>1</v>
      </c>
      <c r="R82" s="2" t="inlineStr">
        <is>
          <t>Dofttaggsvamp</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row>
    <row r="83" ht="15" customHeight="1">
      <c r="A83" t="inlineStr">
        <is>
          <t>A 4595-2023</t>
        </is>
      </c>
      <c r="B83" s="1" t="n">
        <v>44956</v>
      </c>
      <c r="C83" s="1" t="n">
        <v>45933</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33546-2025</t>
        </is>
      </c>
      <c r="B84" s="1" t="n">
        <v>45841.56996527778</v>
      </c>
      <c r="C84" s="1" t="n">
        <v>45933</v>
      </c>
      <c r="D84" t="inlineStr">
        <is>
          <t>STOCKHOLMS LÄN</t>
        </is>
      </c>
      <c r="E84" t="inlineStr">
        <is>
          <t>NORRTÄLJE</t>
        </is>
      </c>
      <c r="G84" t="n">
        <v>7.2</v>
      </c>
      <c r="H84" t="n">
        <v>1</v>
      </c>
      <c r="I84" t="n">
        <v>1</v>
      </c>
      <c r="J84" t="n">
        <v>0</v>
      </c>
      <c r="K84" t="n">
        <v>0</v>
      </c>
      <c r="L84" t="n">
        <v>0</v>
      </c>
      <c r="M84" t="n">
        <v>0</v>
      </c>
      <c r="N84" t="n">
        <v>0</v>
      </c>
      <c r="O84" t="n">
        <v>0</v>
      </c>
      <c r="P84" t="n">
        <v>0</v>
      </c>
      <c r="Q84" t="n">
        <v>1</v>
      </c>
      <c r="R84" s="2" t="inlineStr">
        <is>
          <t>Nästrot</t>
        </is>
      </c>
      <c r="S84">
        <f>HYPERLINK("https://klasma.github.io/Logging_0188/artfynd/A 33546-2025 artfynd.xlsx", "A 33546-2025")</f>
        <v/>
      </c>
      <c r="T84">
        <f>HYPERLINK("https://klasma.github.io/Logging_0188/kartor/A 33546-2025 karta.png", "A 33546-2025")</f>
        <v/>
      </c>
      <c r="V84">
        <f>HYPERLINK("https://klasma.github.io/Logging_0188/klagomål/A 33546-2025 FSC-klagomål.docx", "A 33546-2025")</f>
        <v/>
      </c>
      <c r="W84">
        <f>HYPERLINK("https://klasma.github.io/Logging_0188/klagomålsmail/A 33546-2025 FSC-klagomål mail.docx", "A 33546-2025")</f>
        <v/>
      </c>
      <c r="X84">
        <f>HYPERLINK("https://klasma.github.io/Logging_0188/tillsyn/A 33546-2025 tillsynsbegäran.docx", "A 33546-2025")</f>
        <v/>
      </c>
      <c r="Y84">
        <f>HYPERLINK("https://klasma.github.io/Logging_0188/tillsynsmail/A 33546-2025 tillsynsbegäran mail.docx", "A 33546-2025")</f>
        <v/>
      </c>
    </row>
    <row r="85" ht="15" customHeight="1">
      <c r="A85" t="inlineStr">
        <is>
          <t>A 39158-2025</t>
        </is>
      </c>
      <c r="B85" s="1" t="n">
        <v>45888.62712962963</v>
      </c>
      <c r="C85" s="1" t="n">
        <v>45933</v>
      </c>
      <c r="D85" t="inlineStr">
        <is>
          <t>STOCKHOLMS LÄN</t>
        </is>
      </c>
      <c r="E85" t="inlineStr">
        <is>
          <t>NORRTÄLJE</t>
        </is>
      </c>
      <c r="G85" t="n">
        <v>1.5</v>
      </c>
      <c r="H85" t="n">
        <v>1</v>
      </c>
      <c r="I85" t="n">
        <v>0</v>
      </c>
      <c r="J85" t="n">
        <v>0</v>
      </c>
      <c r="K85" t="n">
        <v>0</v>
      </c>
      <c r="L85" t="n">
        <v>0</v>
      </c>
      <c r="M85" t="n">
        <v>0</v>
      </c>
      <c r="N85" t="n">
        <v>0</v>
      </c>
      <c r="O85" t="n">
        <v>0</v>
      </c>
      <c r="P85" t="n">
        <v>0</v>
      </c>
      <c r="Q85" t="n">
        <v>1</v>
      </c>
      <c r="R85" s="2" t="inlineStr">
        <is>
          <t>Blåsippa</t>
        </is>
      </c>
      <c r="S85">
        <f>HYPERLINK("https://klasma.github.io/Logging_0188/artfynd/A 39158-2025 artfynd.xlsx", "A 39158-2025")</f>
        <v/>
      </c>
      <c r="T85">
        <f>HYPERLINK("https://klasma.github.io/Logging_0188/kartor/A 39158-2025 karta.png", "A 39158-2025")</f>
        <v/>
      </c>
      <c r="V85">
        <f>HYPERLINK("https://klasma.github.io/Logging_0188/klagomål/A 39158-2025 FSC-klagomål.docx", "A 39158-2025")</f>
        <v/>
      </c>
      <c r="W85">
        <f>HYPERLINK("https://klasma.github.io/Logging_0188/klagomålsmail/A 39158-2025 FSC-klagomål mail.docx", "A 39158-2025")</f>
        <v/>
      </c>
      <c r="X85">
        <f>HYPERLINK("https://klasma.github.io/Logging_0188/tillsyn/A 39158-2025 tillsynsbegäran.docx", "A 39158-2025")</f>
        <v/>
      </c>
      <c r="Y85">
        <f>HYPERLINK("https://klasma.github.io/Logging_0188/tillsynsmail/A 39158-2025 tillsynsbegäran mail.docx", "A 39158-2025")</f>
        <v/>
      </c>
    </row>
    <row r="86" ht="15" customHeight="1">
      <c r="A86" t="inlineStr">
        <is>
          <t>A 4532-2025</t>
        </is>
      </c>
      <c r="B86" s="1" t="n">
        <v>45687.34177083334</v>
      </c>
      <c r="C86" s="1" t="n">
        <v>45933</v>
      </c>
      <c r="D86" t="inlineStr">
        <is>
          <t>STOCKHOLMS LÄN</t>
        </is>
      </c>
      <c r="E86" t="inlineStr">
        <is>
          <t>NORRTÄLJE</t>
        </is>
      </c>
      <c r="F86" t="inlineStr">
        <is>
          <t>Holmen skog AB</t>
        </is>
      </c>
      <c r="G86" t="n">
        <v>6.4</v>
      </c>
      <c r="H86" t="n">
        <v>1</v>
      </c>
      <c r="I86" t="n">
        <v>0</v>
      </c>
      <c r="J86" t="n">
        <v>0</v>
      </c>
      <c r="K86" t="n">
        <v>0</v>
      </c>
      <c r="L86" t="n">
        <v>1</v>
      </c>
      <c r="M86" t="n">
        <v>0</v>
      </c>
      <c r="N86" t="n">
        <v>0</v>
      </c>
      <c r="O86" t="n">
        <v>1</v>
      </c>
      <c r="P86" t="n">
        <v>1</v>
      </c>
      <c r="Q86" t="n">
        <v>1</v>
      </c>
      <c r="R86" s="2" t="inlineStr">
        <is>
          <t>Asknätfjäril</t>
        </is>
      </c>
      <c r="S86">
        <f>HYPERLINK("https://klasma.github.io/Logging_0188/artfynd/A 4532-2025 artfynd.xlsx", "A 4532-2025")</f>
        <v/>
      </c>
      <c r="T86">
        <f>HYPERLINK("https://klasma.github.io/Logging_0188/kartor/A 4532-2025 karta.png", "A 4532-2025")</f>
        <v/>
      </c>
      <c r="V86">
        <f>HYPERLINK("https://klasma.github.io/Logging_0188/klagomål/A 4532-2025 FSC-klagomål.docx", "A 4532-2025")</f>
        <v/>
      </c>
      <c r="W86">
        <f>HYPERLINK("https://klasma.github.io/Logging_0188/klagomålsmail/A 4532-2025 FSC-klagomål mail.docx", "A 4532-2025")</f>
        <v/>
      </c>
      <c r="X86">
        <f>HYPERLINK("https://klasma.github.io/Logging_0188/tillsyn/A 4532-2025 tillsynsbegäran.docx", "A 4532-2025")</f>
        <v/>
      </c>
      <c r="Y86">
        <f>HYPERLINK("https://klasma.github.io/Logging_0188/tillsynsmail/A 4532-2025 tillsynsbegäran mail.docx", "A 4532-2025")</f>
        <v/>
      </c>
    </row>
    <row r="87" ht="15" customHeight="1">
      <c r="A87" t="inlineStr">
        <is>
          <t>A 16870-2025</t>
        </is>
      </c>
      <c r="B87" s="1" t="n">
        <v>45754</v>
      </c>
      <c r="C87" s="1" t="n">
        <v>45933</v>
      </c>
      <c r="D87" t="inlineStr">
        <is>
          <t>STOCKHOLMS LÄN</t>
        </is>
      </c>
      <c r="E87" t="inlineStr">
        <is>
          <t>NORRTÄLJE</t>
        </is>
      </c>
      <c r="G87" t="n">
        <v>24.6</v>
      </c>
      <c r="H87" t="n">
        <v>1</v>
      </c>
      <c r="I87" t="n">
        <v>0</v>
      </c>
      <c r="J87" t="n">
        <v>0</v>
      </c>
      <c r="K87" t="n">
        <v>0</v>
      </c>
      <c r="L87" t="n">
        <v>0</v>
      </c>
      <c r="M87" t="n">
        <v>0</v>
      </c>
      <c r="N87" t="n">
        <v>0</v>
      </c>
      <c r="O87" t="n">
        <v>0</v>
      </c>
      <c r="P87" t="n">
        <v>0</v>
      </c>
      <c r="Q87" t="n">
        <v>1</v>
      </c>
      <c r="R87" s="2" t="inlineStr">
        <is>
          <t>Vanlig groda</t>
        </is>
      </c>
      <c r="S87">
        <f>HYPERLINK("https://klasma.github.io/Logging_0188/artfynd/A 16870-2025 artfynd.xlsx", "A 16870-2025")</f>
        <v/>
      </c>
      <c r="T87">
        <f>HYPERLINK("https://klasma.github.io/Logging_0188/kartor/A 16870-2025 karta.png", "A 16870-2025")</f>
        <v/>
      </c>
      <c r="V87">
        <f>HYPERLINK("https://klasma.github.io/Logging_0188/klagomål/A 16870-2025 FSC-klagomål.docx", "A 16870-2025")</f>
        <v/>
      </c>
      <c r="W87">
        <f>HYPERLINK("https://klasma.github.io/Logging_0188/klagomålsmail/A 16870-2025 FSC-klagomål mail.docx", "A 16870-2025")</f>
        <v/>
      </c>
      <c r="X87">
        <f>HYPERLINK("https://klasma.github.io/Logging_0188/tillsyn/A 16870-2025 tillsynsbegäran.docx", "A 16870-2025")</f>
        <v/>
      </c>
      <c r="Y87">
        <f>HYPERLINK("https://klasma.github.io/Logging_0188/tillsynsmail/A 16870-2025 tillsynsbegäran mail.docx", "A 16870-2025")</f>
        <v/>
      </c>
    </row>
    <row r="88" ht="15" customHeight="1">
      <c r="A88" t="inlineStr">
        <is>
          <t>A 58888-2021</t>
        </is>
      </c>
      <c r="B88" s="1" t="n">
        <v>44489</v>
      </c>
      <c r="C88" s="1" t="n">
        <v>45933</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40861-2025</t>
        </is>
      </c>
      <c r="B89" s="1" t="n">
        <v>45897.56356481482</v>
      </c>
      <c r="C89" s="1" t="n">
        <v>45933</v>
      </c>
      <c r="D89" t="inlineStr">
        <is>
          <t>STOCKHOLMS LÄN</t>
        </is>
      </c>
      <c r="E89" t="inlineStr">
        <is>
          <t>NORRTÄLJE</t>
        </is>
      </c>
      <c r="G89" t="n">
        <v>4</v>
      </c>
      <c r="H89" t="n">
        <v>0</v>
      </c>
      <c r="I89" t="n">
        <v>0</v>
      </c>
      <c r="J89" t="n">
        <v>1</v>
      </c>
      <c r="K89" t="n">
        <v>0</v>
      </c>
      <c r="L89" t="n">
        <v>0</v>
      </c>
      <c r="M89" t="n">
        <v>0</v>
      </c>
      <c r="N89" t="n">
        <v>0</v>
      </c>
      <c r="O89" t="n">
        <v>1</v>
      </c>
      <c r="P89" t="n">
        <v>0</v>
      </c>
      <c r="Q89" t="n">
        <v>1</v>
      </c>
      <c r="R89" s="2" t="inlineStr">
        <is>
          <t>Skogsklocka</t>
        </is>
      </c>
      <c r="S89">
        <f>HYPERLINK("https://klasma.github.io/Logging_0188/artfynd/A 40861-2025 artfynd.xlsx", "A 40861-2025")</f>
        <v/>
      </c>
      <c r="T89">
        <f>HYPERLINK("https://klasma.github.io/Logging_0188/kartor/A 40861-2025 karta.png", "A 40861-2025")</f>
        <v/>
      </c>
      <c r="V89">
        <f>HYPERLINK("https://klasma.github.io/Logging_0188/klagomål/A 40861-2025 FSC-klagomål.docx", "A 40861-2025")</f>
        <v/>
      </c>
      <c r="W89">
        <f>HYPERLINK("https://klasma.github.io/Logging_0188/klagomålsmail/A 40861-2025 FSC-klagomål mail.docx", "A 40861-2025")</f>
        <v/>
      </c>
      <c r="X89">
        <f>HYPERLINK("https://klasma.github.io/Logging_0188/tillsyn/A 40861-2025 tillsynsbegäran.docx", "A 40861-2025")</f>
        <v/>
      </c>
      <c r="Y89">
        <f>HYPERLINK("https://klasma.github.io/Logging_0188/tillsynsmail/A 40861-2025 tillsynsbegäran mail.docx", "A 40861-2025")</f>
        <v/>
      </c>
    </row>
    <row r="90" ht="15" customHeight="1">
      <c r="A90" t="inlineStr">
        <is>
          <t>A 42313-2025</t>
        </is>
      </c>
      <c r="B90" s="1" t="n">
        <v>45904.6575</v>
      </c>
      <c r="C90" s="1" t="n">
        <v>45933</v>
      </c>
      <c r="D90" t="inlineStr">
        <is>
          <t>STOCKHOLMS LÄN</t>
        </is>
      </c>
      <c r="E90" t="inlineStr">
        <is>
          <t>NORRTÄLJE</t>
        </is>
      </c>
      <c r="G90" t="n">
        <v>1.7</v>
      </c>
      <c r="H90" t="n">
        <v>1</v>
      </c>
      <c r="I90" t="n">
        <v>0</v>
      </c>
      <c r="J90" t="n">
        <v>0</v>
      </c>
      <c r="K90" t="n">
        <v>0</v>
      </c>
      <c r="L90" t="n">
        <v>0</v>
      </c>
      <c r="M90" t="n">
        <v>0</v>
      </c>
      <c r="N90" t="n">
        <v>0</v>
      </c>
      <c r="O90" t="n">
        <v>0</v>
      </c>
      <c r="P90" t="n">
        <v>0</v>
      </c>
      <c r="Q90" t="n">
        <v>1</v>
      </c>
      <c r="R90" s="2" t="inlineStr">
        <is>
          <t>Vanlig padda</t>
        </is>
      </c>
      <c r="S90">
        <f>HYPERLINK("https://klasma.github.io/Logging_0188/artfynd/A 42313-2025 artfynd.xlsx", "A 42313-2025")</f>
        <v/>
      </c>
      <c r="T90">
        <f>HYPERLINK("https://klasma.github.io/Logging_0188/kartor/A 42313-2025 karta.png", "A 42313-2025")</f>
        <v/>
      </c>
      <c r="V90">
        <f>HYPERLINK("https://klasma.github.io/Logging_0188/klagomål/A 42313-2025 FSC-klagomål.docx", "A 42313-2025")</f>
        <v/>
      </c>
      <c r="W90">
        <f>HYPERLINK("https://klasma.github.io/Logging_0188/klagomålsmail/A 42313-2025 FSC-klagomål mail.docx", "A 42313-2025")</f>
        <v/>
      </c>
      <c r="X90">
        <f>HYPERLINK("https://klasma.github.io/Logging_0188/tillsyn/A 42313-2025 tillsynsbegäran.docx", "A 42313-2025")</f>
        <v/>
      </c>
      <c r="Y90">
        <f>HYPERLINK("https://klasma.github.io/Logging_0188/tillsynsmail/A 42313-2025 tillsynsbegäran mail.docx", "A 42313-2025")</f>
        <v/>
      </c>
    </row>
    <row r="91" ht="15" customHeight="1">
      <c r="A91" t="inlineStr">
        <is>
          <t>A 14365-2025</t>
        </is>
      </c>
      <c r="B91" s="1" t="n">
        <v>45741.38688657407</v>
      </c>
      <c r="C91" s="1" t="n">
        <v>45933</v>
      </c>
      <c r="D91" t="inlineStr">
        <is>
          <t>STOCKHOLMS LÄN</t>
        </is>
      </c>
      <c r="E91" t="inlineStr">
        <is>
          <t>NORRTÄLJE</t>
        </is>
      </c>
      <c r="G91" t="n">
        <v>2.4</v>
      </c>
      <c r="H91" t="n">
        <v>0</v>
      </c>
      <c r="I91" t="n">
        <v>0</v>
      </c>
      <c r="J91" t="n">
        <v>1</v>
      </c>
      <c r="K91" t="n">
        <v>0</v>
      </c>
      <c r="L91" t="n">
        <v>0</v>
      </c>
      <c r="M91" t="n">
        <v>0</v>
      </c>
      <c r="N91" t="n">
        <v>0</v>
      </c>
      <c r="O91" t="n">
        <v>1</v>
      </c>
      <c r="P91" t="n">
        <v>0</v>
      </c>
      <c r="Q91" t="n">
        <v>1</v>
      </c>
      <c r="R91" s="2" t="inlineStr">
        <is>
          <t>Granticka</t>
        </is>
      </c>
      <c r="S91">
        <f>HYPERLINK("https://klasma.github.io/Logging_0188/artfynd/A 14365-2025 artfynd.xlsx", "A 14365-2025")</f>
        <v/>
      </c>
      <c r="T91">
        <f>HYPERLINK("https://klasma.github.io/Logging_0188/kartor/A 14365-2025 karta.png", "A 14365-2025")</f>
        <v/>
      </c>
      <c r="V91">
        <f>HYPERLINK("https://klasma.github.io/Logging_0188/klagomål/A 14365-2025 FSC-klagomål.docx", "A 14365-2025")</f>
        <v/>
      </c>
      <c r="W91">
        <f>HYPERLINK("https://klasma.github.io/Logging_0188/klagomålsmail/A 14365-2025 FSC-klagomål mail.docx", "A 14365-2025")</f>
        <v/>
      </c>
      <c r="X91">
        <f>HYPERLINK("https://klasma.github.io/Logging_0188/tillsyn/A 14365-2025 tillsynsbegäran.docx", "A 14365-2025")</f>
        <v/>
      </c>
      <c r="Y91">
        <f>HYPERLINK("https://klasma.github.io/Logging_0188/tillsynsmail/A 14365-2025 tillsynsbegäran mail.docx", "A 14365-2025")</f>
        <v/>
      </c>
    </row>
    <row r="92" ht="15" customHeight="1">
      <c r="A92" t="inlineStr">
        <is>
          <t>A 21744-2023</t>
        </is>
      </c>
      <c r="B92" s="1" t="n">
        <v>45065</v>
      </c>
      <c r="C92" s="1" t="n">
        <v>45933</v>
      </c>
      <c r="D92" t="inlineStr">
        <is>
          <t>STOCKHOLMS LÄN</t>
        </is>
      </c>
      <c r="E92" t="inlineStr">
        <is>
          <t>NORRTÄLJE</t>
        </is>
      </c>
      <c r="F92" t="inlineStr">
        <is>
          <t>Holmen skog AB</t>
        </is>
      </c>
      <c r="G92" t="n">
        <v>4.2</v>
      </c>
      <c r="H92" t="n">
        <v>0</v>
      </c>
      <c r="I92" t="n">
        <v>1</v>
      </c>
      <c r="J92" t="n">
        <v>0</v>
      </c>
      <c r="K92" t="n">
        <v>0</v>
      </c>
      <c r="L92" t="n">
        <v>0</v>
      </c>
      <c r="M92" t="n">
        <v>0</v>
      </c>
      <c r="N92" t="n">
        <v>0</v>
      </c>
      <c r="O92" t="n">
        <v>0</v>
      </c>
      <c r="P92" t="n">
        <v>0</v>
      </c>
      <c r="Q92" t="n">
        <v>1</v>
      </c>
      <c r="R92" s="2" t="inlineStr">
        <is>
          <t>Korallblylav</t>
        </is>
      </c>
      <c r="S92">
        <f>HYPERLINK("https://klasma.github.io/Logging_0188/artfynd/A 21744-2023 artfynd.xlsx", "A 21744-2023")</f>
        <v/>
      </c>
      <c r="T92">
        <f>HYPERLINK("https://klasma.github.io/Logging_0188/kartor/A 21744-2023 karta.png", "A 21744-2023")</f>
        <v/>
      </c>
      <c r="V92">
        <f>HYPERLINK("https://klasma.github.io/Logging_0188/klagomål/A 21744-2023 FSC-klagomål.docx", "A 21744-2023")</f>
        <v/>
      </c>
      <c r="W92">
        <f>HYPERLINK("https://klasma.github.io/Logging_0188/klagomålsmail/A 21744-2023 FSC-klagomål mail.docx", "A 21744-2023")</f>
        <v/>
      </c>
      <c r="X92">
        <f>HYPERLINK("https://klasma.github.io/Logging_0188/tillsyn/A 21744-2023 tillsynsbegäran.docx", "A 21744-2023")</f>
        <v/>
      </c>
      <c r="Y92">
        <f>HYPERLINK("https://klasma.github.io/Logging_0188/tillsynsmail/A 21744-2023 tillsynsbegäran mail.docx", "A 21744-2023")</f>
        <v/>
      </c>
    </row>
    <row r="93" ht="15" customHeight="1">
      <c r="A93" t="inlineStr">
        <is>
          <t>A 21150-2022</t>
        </is>
      </c>
      <c r="B93" s="1" t="n">
        <v>44704</v>
      </c>
      <c r="C93" s="1" t="n">
        <v>45933</v>
      </c>
      <c r="D93" t="inlineStr">
        <is>
          <t>STOCKHOLMS LÄN</t>
        </is>
      </c>
      <c r="E93" t="inlineStr">
        <is>
          <t>NORRTÄLJE</t>
        </is>
      </c>
      <c r="G93" t="n">
        <v>12.5</v>
      </c>
      <c r="H93" t="n">
        <v>1</v>
      </c>
      <c r="I93" t="n">
        <v>0</v>
      </c>
      <c r="J93" t="n">
        <v>0</v>
      </c>
      <c r="K93" t="n">
        <v>0</v>
      </c>
      <c r="L93" t="n">
        <v>1</v>
      </c>
      <c r="M93" t="n">
        <v>0</v>
      </c>
      <c r="N93" t="n">
        <v>0</v>
      </c>
      <c r="O93" t="n">
        <v>1</v>
      </c>
      <c r="P93" t="n">
        <v>1</v>
      </c>
      <c r="Q93" t="n">
        <v>1</v>
      </c>
      <c r="R93" s="2" t="inlineStr">
        <is>
          <t>Asknätfjäril</t>
        </is>
      </c>
      <c r="S93">
        <f>HYPERLINK("https://klasma.github.io/Logging_0188/artfynd/A 21150-2022 artfynd.xlsx", "A 21150-2022")</f>
        <v/>
      </c>
      <c r="T93">
        <f>HYPERLINK("https://klasma.github.io/Logging_0188/kartor/A 21150-2022 karta.png", "A 21150-2022")</f>
        <v/>
      </c>
      <c r="V93">
        <f>HYPERLINK("https://klasma.github.io/Logging_0188/klagomål/A 21150-2022 FSC-klagomål.docx", "A 21150-2022")</f>
        <v/>
      </c>
      <c r="W93">
        <f>HYPERLINK("https://klasma.github.io/Logging_0188/klagomålsmail/A 21150-2022 FSC-klagomål mail.docx", "A 21150-2022")</f>
        <v/>
      </c>
      <c r="X93">
        <f>HYPERLINK("https://klasma.github.io/Logging_0188/tillsyn/A 21150-2022 tillsynsbegäran.docx", "A 21150-2022")</f>
        <v/>
      </c>
      <c r="Y93">
        <f>HYPERLINK("https://klasma.github.io/Logging_0188/tillsynsmail/A 21150-2022 tillsynsbegäran mail.docx", "A 21150-2022")</f>
        <v/>
      </c>
    </row>
    <row r="94" ht="15" customHeight="1">
      <c r="A94" t="inlineStr">
        <is>
          <t>A 17952-2022</t>
        </is>
      </c>
      <c r="B94" s="1" t="n">
        <v>44683</v>
      </c>
      <c r="C94" s="1" t="n">
        <v>45933</v>
      </c>
      <c r="D94" t="inlineStr">
        <is>
          <t>STOCKHOLMS LÄN</t>
        </is>
      </c>
      <c r="E94" t="inlineStr">
        <is>
          <t>NORRTÄLJE</t>
        </is>
      </c>
      <c r="G94" t="n">
        <v>51.1</v>
      </c>
      <c r="H94" t="n">
        <v>0</v>
      </c>
      <c r="I94" t="n">
        <v>0</v>
      </c>
      <c r="J94" t="n">
        <v>0</v>
      </c>
      <c r="K94" t="n">
        <v>1</v>
      </c>
      <c r="L94" t="n">
        <v>0</v>
      </c>
      <c r="M94" t="n">
        <v>0</v>
      </c>
      <c r="N94" t="n">
        <v>0</v>
      </c>
      <c r="O94" t="n">
        <v>1</v>
      </c>
      <c r="P94" t="n">
        <v>1</v>
      </c>
      <c r="Q94" t="n">
        <v>1</v>
      </c>
      <c r="R94" s="2" t="inlineStr">
        <is>
          <t>Kattunvisslare</t>
        </is>
      </c>
      <c r="S94">
        <f>HYPERLINK("https://klasma.github.io/Logging_0188/artfynd/A 17952-2022 artfynd.xlsx", "A 17952-2022")</f>
        <v/>
      </c>
      <c r="T94">
        <f>HYPERLINK("https://klasma.github.io/Logging_0188/kartor/A 17952-2022 karta.png", "A 17952-2022")</f>
        <v/>
      </c>
      <c r="V94">
        <f>HYPERLINK("https://klasma.github.io/Logging_0188/klagomål/A 17952-2022 FSC-klagomål.docx", "A 17952-2022")</f>
        <v/>
      </c>
      <c r="W94">
        <f>HYPERLINK("https://klasma.github.io/Logging_0188/klagomålsmail/A 17952-2022 FSC-klagomål mail.docx", "A 17952-2022")</f>
        <v/>
      </c>
      <c r="X94">
        <f>HYPERLINK("https://klasma.github.io/Logging_0188/tillsyn/A 17952-2022 tillsynsbegäran.docx", "A 17952-2022")</f>
        <v/>
      </c>
      <c r="Y94">
        <f>HYPERLINK("https://klasma.github.io/Logging_0188/tillsynsmail/A 17952-2022 tillsynsbegäran mail.docx", "A 17952-2022")</f>
        <v/>
      </c>
    </row>
    <row r="95" ht="15" customHeight="1">
      <c r="A95" t="inlineStr">
        <is>
          <t>A 8371-2025</t>
        </is>
      </c>
      <c r="B95" s="1" t="n">
        <v>45708</v>
      </c>
      <c r="C95" s="1" t="n">
        <v>45933</v>
      </c>
      <c r="D95" t="inlineStr">
        <is>
          <t>STOCKHOLMS LÄN</t>
        </is>
      </c>
      <c r="E95" t="inlineStr">
        <is>
          <t>NORRTÄLJE</t>
        </is>
      </c>
      <c r="F95" t="inlineStr">
        <is>
          <t>Övriga Aktiebolag</t>
        </is>
      </c>
      <c r="G95" t="n">
        <v>2.9</v>
      </c>
      <c r="H95" t="n">
        <v>1</v>
      </c>
      <c r="I95" t="n">
        <v>0</v>
      </c>
      <c r="J95" t="n">
        <v>1</v>
      </c>
      <c r="K95" t="n">
        <v>0</v>
      </c>
      <c r="L95" t="n">
        <v>0</v>
      </c>
      <c r="M95" t="n">
        <v>0</v>
      </c>
      <c r="N95" t="n">
        <v>0</v>
      </c>
      <c r="O95" t="n">
        <v>1</v>
      </c>
      <c r="P95" t="n">
        <v>0</v>
      </c>
      <c r="Q95" t="n">
        <v>1</v>
      </c>
      <c r="R95" s="2" t="inlineStr">
        <is>
          <t>Spillkråka</t>
        </is>
      </c>
      <c r="S95">
        <f>HYPERLINK("https://klasma.github.io/Logging_0188/artfynd/A 8371-2025 artfynd.xlsx", "A 8371-2025")</f>
        <v/>
      </c>
      <c r="T95">
        <f>HYPERLINK("https://klasma.github.io/Logging_0188/kartor/A 8371-2025 karta.png", "A 8371-2025")</f>
        <v/>
      </c>
      <c r="V95">
        <f>HYPERLINK("https://klasma.github.io/Logging_0188/klagomål/A 8371-2025 FSC-klagomål.docx", "A 8371-2025")</f>
        <v/>
      </c>
      <c r="W95">
        <f>HYPERLINK("https://klasma.github.io/Logging_0188/klagomålsmail/A 8371-2025 FSC-klagomål mail.docx", "A 8371-2025")</f>
        <v/>
      </c>
      <c r="X95">
        <f>HYPERLINK("https://klasma.github.io/Logging_0188/tillsyn/A 8371-2025 tillsynsbegäran.docx", "A 8371-2025")</f>
        <v/>
      </c>
      <c r="Y95">
        <f>HYPERLINK("https://klasma.github.io/Logging_0188/tillsynsmail/A 8371-2025 tillsynsbegäran mail.docx", "A 8371-2025")</f>
        <v/>
      </c>
      <c r="Z95">
        <f>HYPERLINK("https://klasma.github.io/Logging_0188/fåglar/A 8371-2025 prioriterade fågelarter.docx", "A 8371-2025")</f>
        <v/>
      </c>
    </row>
    <row r="96" ht="15" customHeight="1">
      <c r="A96" t="inlineStr">
        <is>
          <t>A 23146-2024</t>
        </is>
      </c>
      <c r="B96" s="1" t="n">
        <v>45450.63958333333</v>
      </c>
      <c r="C96" s="1" t="n">
        <v>45933</v>
      </c>
      <c r="D96" t="inlineStr">
        <is>
          <t>STOCKHOLMS LÄN</t>
        </is>
      </c>
      <c r="E96" t="inlineStr">
        <is>
          <t>NORRTÄLJE</t>
        </is>
      </c>
      <c r="F96" t="inlineStr">
        <is>
          <t>Kommuner</t>
        </is>
      </c>
      <c r="G96" t="n">
        <v>6</v>
      </c>
      <c r="H96" t="n">
        <v>0</v>
      </c>
      <c r="I96" t="n">
        <v>0</v>
      </c>
      <c r="J96" t="n">
        <v>1</v>
      </c>
      <c r="K96" t="n">
        <v>0</v>
      </c>
      <c r="L96" t="n">
        <v>0</v>
      </c>
      <c r="M96" t="n">
        <v>0</v>
      </c>
      <c r="N96" t="n">
        <v>0</v>
      </c>
      <c r="O96" t="n">
        <v>1</v>
      </c>
      <c r="P96" t="n">
        <v>0</v>
      </c>
      <c r="Q96" t="n">
        <v>1</v>
      </c>
      <c r="R96" s="2" t="inlineStr">
        <is>
          <t>Motaggsvamp</t>
        </is>
      </c>
      <c r="S96">
        <f>HYPERLINK("https://klasma.github.io/Logging_0188/artfynd/A 23146-2024 artfynd.xlsx", "A 23146-2024")</f>
        <v/>
      </c>
      <c r="T96">
        <f>HYPERLINK("https://klasma.github.io/Logging_0188/kartor/A 23146-2024 karta.png", "A 23146-2024")</f>
        <v/>
      </c>
      <c r="V96">
        <f>HYPERLINK("https://klasma.github.io/Logging_0188/klagomål/A 23146-2024 FSC-klagomål.docx", "A 23146-2024")</f>
        <v/>
      </c>
      <c r="W96">
        <f>HYPERLINK("https://klasma.github.io/Logging_0188/klagomålsmail/A 23146-2024 FSC-klagomål mail.docx", "A 23146-2024")</f>
        <v/>
      </c>
      <c r="X96">
        <f>HYPERLINK("https://klasma.github.io/Logging_0188/tillsyn/A 23146-2024 tillsynsbegäran.docx", "A 23146-2024")</f>
        <v/>
      </c>
      <c r="Y96">
        <f>HYPERLINK("https://klasma.github.io/Logging_0188/tillsynsmail/A 23146-2024 tillsynsbegäran mail.docx", "A 23146-2024")</f>
        <v/>
      </c>
    </row>
    <row r="97" ht="15" customHeight="1">
      <c r="A97" t="inlineStr">
        <is>
          <t>A 1162-2021</t>
        </is>
      </c>
      <c r="B97" s="1" t="n">
        <v>44207</v>
      </c>
      <c r="C97" s="1" t="n">
        <v>45933</v>
      </c>
      <c r="D97" t="inlineStr">
        <is>
          <t>STOCKHOLMS LÄN</t>
        </is>
      </c>
      <c r="E97" t="inlineStr">
        <is>
          <t>NORRTÄLJE</t>
        </is>
      </c>
      <c r="G97" t="n">
        <v>2.2</v>
      </c>
      <c r="H97" t="n">
        <v>1</v>
      </c>
      <c r="I97" t="n">
        <v>0</v>
      </c>
      <c r="J97" t="n">
        <v>0</v>
      </c>
      <c r="K97" t="n">
        <v>1</v>
      </c>
      <c r="L97" t="n">
        <v>0</v>
      </c>
      <c r="M97" t="n">
        <v>0</v>
      </c>
      <c r="N97" t="n">
        <v>0</v>
      </c>
      <c r="O97" t="n">
        <v>1</v>
      </c>
      <c r="P97" t="n">
        <v>1</v>
      </c>
      <c r="Q97" t="n">
        <v>1</v>
      </c>
      <c r="R97" s="2" t="inlineStr">
        <is>
          <t>Hällebräcka</t>
        </is>
      </c>
      <c r="S97">
        <f>HYPERLINK("https://klasma.github.io/Logging_0188/artfynd/A 1162-2021 artfynd.xlsx", "A 1162-2021")</f>
        <v/>
      </c>
      <c r="T97">
        <f>HYPERLINK("https://klasma.github.io/Logging_0188/kartor/A 1162-2021 karta.png", "A 1162-2021")</f>
        <v/>
      </c>
      <c r="V97">
        <f>HYPERLINK("https://klasma.github.io/Logging_0188/klagomål/A 1162-2021 FSC-klagomål.docx", "A 1162-2021")</f>
        <v/>
      </c>
      <c r="W97">
        <f>HYPERLINK("https://klasma.github.io/Logging_0188/klagomålsmail/A 1162-2021 FSC-klagomål mail.docx", "A 1162-2021")</f>
        <v/>
      </c>
      <c r="X97">
        <f>HYPERLINK("https://klasma.github.io/Logging_0188/tillsyn/A 1162-2021 tillsynsbegäran.docx", "A 1162-2021")</f>
        <v/>
      </c>
      <c r="Y97">
        <f>HYPERLINK("https://klasma.github.io/Logging_0188/tillsynsmail/A 1162-2021 tillsynsbegäran mail.docx", "A 1162-2021")</f>
        <v/>
      </c>
    </row>
    <row r="98" ht="15" customHeight="1">
      <c r="A98" t="inlineStr">
        <is>
          <t>A 27538-2024</t>
        </is>
      </c>
      <c r="B98" s="1" t="n">
        <v>45474</v>
      </c>
      <c r="C98" s="1" t="n">
        <v>45933</v>
      </c>
      <c r="D98" t="inlineStr">
        <is>
          <t>STOCKHOLMS LÄN</t>
        </is>
      </c>
      <c r="E98" t="inlineStr">
        <is>
          <t>NORRTÄLJE</t>
        </is>
      </c>
      <c r="G98" t="n">
        <v>1.5</v>
      </c>
      <c r="H98" t="n">
        <v>1</v>
      </c>
      <c r="I98" t="n">
        <v>1</v>
      </c>
      <c r="J98" t="n">
        <v>0</v>
      </c>
      <c r="K98" t="n">
        <v>0</v>
      </c>
      <c r="L98" t="n">
        <v>0</v>
      </c>
      <c r="M98" t="n">
        <v>0</v>
      </c>
      <c r="N98" t="n">
        <v>0</v>
      </c>
      <c r="O98" t="n">
        <v>0</v>
      </c>
      <c r="P98" t="n">
        <v>0</v>
      </c>
      <c r="Q98" t="n">
        <v>1</v>
      </c>
      <c r="R98" s="2" t="inlineStr">
        <is>
          <t>Skogsknipprot</t>
        </is>
      </c>
      <c r="S98">
        <f>HYPERLINK("https://klasma.github.io/Logging_0188/artfynd/A 27538-2024 artfynd.xlsx", "A 27538-2024")</f>
        <v/>
      </c>
      <c r="T98">
        <f>HYPERLINK("https://klasma.github.io/Logging_0188/kartor/A 27538-2024 karta.png", "A 27538-2024")</f>
        <v/>
      </c>
      <c r="V98">
        <f>HYPERLINK("https://klasma.github.io/Logging_0188/klagomål/A 27538-2024 FSC-klagomål.docx", "A 27538-2024")</f>
        <v/>
      </c>
      <c r="W98">
        <f>HYPERLINK("https://klasma.github.io/Logging_0188/klagomålsmail/A 27538-2024 FSC-klagomål mail.docx", "A 27538-2024")</f>
        <v/>
      </c>
      <c r="X98">
        <f>HYPERLINK("https://klasma.github.io/Logging_0188/tillsyn/A 27538-2024 tillsynsbegäran.docx", "A 27538-2024")</f>
        <v/>
      </c>
      <c r="Y98">
        <f>HYPERLINK("https://klasma.github.io/Logging_0188/tillsynsmail/A 27538-2024 tillsynsbegäran mail.docx", "A 27538-2024")</f>
        <v/>
      </c>
    </row>
    <row r="99" ht="15" customHeight="1">
      <c r="A99" t="inlineStr">
        <is>
          <t>A 13271-2025</t>
        </is>
      </c>
      <c r="B99" s="1" t="n">
        <v>45735.54510416667</v>
      </c>
      <c r="C99" s="1" t="n">
        <v>45933</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26120-2024</t>
        </is>
      </c>
      <c r="B100" s="1" t="n">
        <v>45468.45995370371</v>
      </c>
      <c r="C100" s="1" t="n">
        <v>45933</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4385-2023</t>
        </is>
      </c>
      <c r="B101" s="1" t="n">
        <v>44955.71322916666</v>
      </c>
      <c r="C101" s="1" t="n">
        <v>45933</v>
      </c>
      <c r="D101" t="inlineStr">
        <is>
          <t>STOCKHOLMS LÄN</t>
        </is>
      </c>
      <c r="E101" t="inlineStr">
        <is>
          <t>NORRTÄLJE</t>
        </is>
      </c>
      <c r="G101" t="n">
        <v>7.8</v>
      </c>
      <c r="H101" t="n">
        <v>1</v>
      </c>
      <c r="I101" t="n">
        <v>1</v>
      </c>
      <c r="J101" t="n">
        <v>0</v>
      </c>
      <c r="K101" t="n">
        <v>0</v>
      </c>
      <c r="L101" t="n">
        <v>0</v>
      </c>
      <c r="M101" t="n">
        <v>0</v>
      </c>
      <c r="N101" t="n">
        <v>0</v>
      </c>
      <c r="O101" t="n">
        <v>0</v>
      </c>
      <c r="P101" t="n">
        <v>0</v>
      </c>
      <c r="Q101" t="n">
        <v>1</v>
      </c>
      <c r="R101" s="2" t="inlineStr">
        <is>
          <t>Skogsknipprot</t>
        </is>
      </c>
      <c r="S101">
        <f>HYPERLINK("https://klasma.github.io/Logging_0188/artfynd/A 4385-2023 artfynd.xlsx", "A 4385-2023")</f>
        <v/>
      </c>
      <c r="T101">
        <f>HYPERLINK("https://klasma.github.io/Logging_0188/kartor/A 4385-2023 karta.png", "A 4385-2023")</f>
        <v/>
      </c>
      <c r="V101">
        <f>HYPERLINK("https://klasma.github.io/Logging_0188/klagomål/A 4385-2023 FSC-klagomål.docx", "A 4385-2023")</f>
        <v/>
      </c>
      <c r="W101">
        <f>HYPERLINK("https://klasma.github.io/Logging_0188/klagomålsmail/A 4385-2023 FSC-klagomål mail.docx", "A 4385-2023")</f>
        <v/>
      </c>
      <c r="X101">
        <f>HYPERLINK("https://klasma.github.io/Logging_0188/tillsyn/A 4385-2023 tillsynsbegäran.docx", "A 4385-2023")</f>
        <v/>
      </c>
      <c r="Y101">
        <f>HYPERLINK("https://klasma.github.io/Logging_0188/tillsynsmail/A 4385-2023 tillsynsbegäran mail.docx", "A 4385-2023")</f>
        <v/>
      </c>
    </row>
    <row r="102" ht="15" customHeight="1">
      <c r="A102" t="inlineStr">
        <is>
          <t>A 24330-2023</t>
        </is>
      </c>
      <c r="B102" s="1" t="n">
        <v>45081</v>
      </c>
      <c r="C102" s="1" t="n">
        <v>45933</v>
      </c>
      <c r="D102" t="inlineStr">
        <is>
          <t>STOCKHOLMS LÄN</t>
        </is>
      </c>
      <c r="E102" t="inlineStr">
        <is>
          <t>NORRTÄLJE</t>
        </is>
      </c>
      <c r="G102" t="n">
        <v>5</v>
      </c>
      <c r="H102" t="n">
        <v>1</v>
      </c>
      <c r="I102" t="n">
        <v>0</v>
      </c>
      <c r="J102" t="n">
        <v>1</v>
      </c>
      <c r="K102" t="n">
        <v>0</v>
      </c>
      <c r="L102" t="n">
        <v>0</v>
      </c>
      <c r="M102" t="n">
        <v>0</v>
      </c>
      <c r="N102" t="n">
        <v>0</v>
      </c>
      <c r="O102" t="n">
        <v>1</v>
      </c>
      <c r="P102" t="n">
        <v>0</v>
      </c>
      <c r="Q102" t="n">
        <v>1</v>
      </c>
      <c r="R102" s="2" t="inlineStr">
        <is>
          <t>Mindre hackspett</t>
        </is>
      </c>
      <c r="S102">
        <f>HYPERLINK("https://klasma.github.io/Logging_0188/artfynd/A 24330-2023 artfynd.xlsx", "A 24330-2023")</f>
        <v/>
      </c>
      <c r="T102">
        <f>HYPERLINK("https://klasma.github.io/Logging_0188/kartor/A 24330-2023 karta.png", "A 24330-2023")</f>
        <v/>
      </c>
      <c r="V102">
        <f>HYPERLINK("https://klasma.github.io/Logging_0188/klagomål/A 24330-2023 FSC-klagomål.docx", "A 24330-2023")</f>
        <v/>
      </c>
      <c r="W102">
        <f>HYPERLINK("https://klasma.github.io/Logging_0188/klagomålsmail/A 24330-2023 FSC-klagomål mail.docx", "A 24330-2023")</f>
        <v/>
      </c>
      <c r="X102">
        <f>HYPERLINK("https://klasma.github.io/Logging_0188/tillsyn/A 24330-2023 tillsynsbegäran.docx", "A 24330-2023")</f>
        <v/>
      </c>
      <c r="Y102">
        <f>HYPERLINK("https://klasma.github.io/Logging_0188/tillsynsmail/A 24330-2023 tillsynsbegäran mail.docx", "A 24330-2023")</f>
        <v/>
      </c>
      <c r="Z102">
        <f>HYPERLINK("https://klasma.github.io/Logging_0188/fåglar/A 24330-2023 prioriterade fågelarter.docx", "A 24330-2023")</f>
        <v/>
      </c>
    </row>
    <row r="103" ht="15" customHeight="1">
      <c r="A103" t="inlineStr">
        <is>
          <t>A 11429-2023</t>
        </is>
      </c>
      <c r="B103" s="1" t="n">
        <v>44993</v>
      </c>
      <c r="C103" s="1" t="n">
        <v>45933</v>
      </c>
      <c r="D103" t="inlineStr">
        <is>
          <t>STOCKHOLMS LÄN</t>
        </is>
      </c>
      <c r="E103" t="inlineStr">
        <is>
          <t>NORRTÄLJE</t>
        </is>
      </c>
      <c r="G103" t="n">
        <v>2</v>
      </c>
      <c r="H103" t="n">
        <v>0</v>
      </c>
      <c r="I103" t="n">
        <v>0</v>
      </c>
      <c r="J103" t="n">
        <v>1</v>
      </c>
      <c r="K103" t="n">
        <v>0</v>
      </c>
      <c r="L103" t="n">
        <v>0</v>
      </c>
      <c r="M103" t="n">
        <v>0</v>
      </c>
      <c r="N103" t="n">
        <v>0</v>
      </c>
      <c r="O103" t="n">
        <v>1</v>
      </c>
      <c r="P103" t="n">
        <v>0</v>
      </c>
      <c r="Q103" t="n">
        <v>1</v>
      </c>
      <c r="R103" s="2" t="inlineStr">
        <is>
          <t>Skogsklocka</t>
        </is>
      </c>
      <c r="S103">
        <f>HYPERLINK("https://klasma.github.io/Logging_0188/artfynd/A 11429-2023 artfynd.xlsx", "A 11429-2023")</f>
        <v/>
      </c>
      <c r="T103">
        <f>HYPERLINK("https://klasma.github.io/Logging_0188/kartor/A 11429-2023 karta.png", "A 11429-2023")</f>
        <v/>
      </c>
      <c r="V103">
        <f>HYPERLINK("https://klasma.github.io/Logging_0188/klagomål/A 11429-2023 FSC-klagomål.docx", "A 11429-2023")</f>
        <v/>
      </c>
      <c r="W103">
        <f>HYPERLINK("https://klasma.github.io/Logging_0188/klagomålsmail/A 11429-2023 FSC-klagomål mail.docx", "A 11429-2023")</f>
        <v/>
      </c>
      <c r="X103">
        <f>HYPERLINK("https://klasma.github.io/Logging_0188/tillsyn/A 11429-2023 tillsynsbegäran.docx", "A 11429-2023")</f>
        <v/>
      </c>
      <c r="Y103">
        <f>HYPERLINK("https://klasma.github.io/Logging_0188/tillsynsmail/A 11429-2023 tillsynsbegäran mail.docx", "A 11429-2023")</f>
        <v/>
      </c>
    </row>
    <row r="104" ht="15" customHeight="1">
      <c r="A104" t="inlineStr">
        <is>
          <t>A 24535-2023</t>
        </is>
      </c>
      <c r="B104" s="1" t="n">
        <v>45082</v>
      </c>
      <c r="C104" s="1" t="n">
        <v>45933</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50854-2022</t>
        </is>
      </c>
      <c r="B105" s="1" t="n">
        <v>44863</v>
      </c>
      <c r="C105" s="1" t="n">
        <v>45933</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26635-2023</t>
        </is>
      </c>
      <c r="B106" s="1" t="n">
        <v>45092</v>
      </c>
      <c r="C106" s="1" t="n">
        <v>45933</v>
      </c>
      <c r="D106" t="inlineStr">
        <is>
          <t>STOCKHOLMS LÄN</t>
        </is>
      </c>
      <c r="E106" t="inlineStr">
        <is>
          <t>NORRTÄLJE</t>
        </is>
      </c>
      <c r="G106" t="n">
        <v>3.1</v>
      </c>
      <c r="H106" t="n">
        <v>1</v>
      </c>
      <c r="I106" t="n">
        <v>0</v>
      </c>
      <c r="J106" t="n">
        <v>0</v>
      </c>
      <c r="K106" t="n">
        <v>0</v>
      </c>
      <c r="L106" t="n">
        <v>0</v>
      </c>
      <c r="M106" t="n">
        <v>0</v>
      </c>
      <c r="N106" t="n">
        <v>0</v>
      </c>
      <c r="O106" t="n">
        <v>0</v>
      </c>
      <c r="P106" t="n">
        <v>0</v>
      </c>
      <c r="Q106" t="n">
        <v>1</v>
      </c>
      <c r="R106" s="2" t="inlineStr">
        <is>
          <t>Fläcknycklar</t>
        </is>
      </c>
      <c r="S106">
        <f>HYPERLINK("https://klasma.github.io/Logging_0188/artfynd/A 26635-2023 artfynd.xlsx", "A 26635-2023")</f>
        <v/>
      </c>
      <c r="T106">
        <f>HYPERLINK("https://klasma.github.io/Logging_0188/kartor/A 26635-2023 karta.png", "A 26635-2023")</f>
        <v/>
      </c>
      <c r="V106">
        <f>HYPERLINK("https://klasma.github.io/Logging_0188/klagomål/A 26635-2023 FSC-klagomål.docx", "A 26635-2023")</f>
        <v/>
      </c>
      <c r="W106">
        <f>HYPERLINK("https://klasma.github.io/Logging_0188/klagomålsmail/A 26635-2023 FSC-klagomål mail.docx", "A 26635-2023")</f>
        <v/>
      </c>
      <c r="X106">
        <f>HYPERLINK("https://klasma.github.io/Logging_0188/tillsyn/A 26635-2023 tillsynsbegäran.docx", "A 26635-2023")</f>
        <v/>
      </c>
      <c r="Y106">
        <f>HYPERLINK("https://klasma.github.io/Logging_0188/tillsynsmail/A 26635-2023 tillsynsbegäran mail.docx", "A 26635-2023")</f>
        <v/>
      </c>
    </row>
    <row r="107" ht="15" customHeight="1">
      <c r="A107" t="inlineStr">
        <is>
          <t>A 64456-2023</t>
        </is>
      </c>
      <c r="B107" s="1" t="n">
        <v>45280</v>
      </c>
      <c r="C107" s="1" t="n">
        <v>45933</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19829-2022</t>
        </is>
      </c>
      <c r="B108" s="1" t="n">
        <v>44695.43527777777</v>
      </c>
      <c r="C108" s="1" t="n">
        <v>45933</v>
      </c>
      <c r="D108" t="inlineStr">
        <is>
          <t>STOCKHOLMS LÄN</t>
        </is>
      </c>
      <c r="E108" t="inlineStr">
        <is>
          <t>NORRTÄLJE</t>
        </is>
      </c>
      <c r="G108" t="n">
        <v>2</v>
      </c>
      <c r="H108" t="n">
        <v>1</v>
      </c>
      <c r="I108" t="n">
        <v>1</v>
      </c>
      <c r="J108" t="n">
        <v>0</v>
      </c>
      <c r="K108" t="n">
        <v>0</v>
      </c>
      <c r="L108" t="n">
        <v>0</v>
      </c>
      <c r="M108" t="n">
        <v>0</v>
      </c>
      <c r="N108" t="n">
        <v>0</v>
      </c>
      <c r="O108" t="n">
        <v>0</v>
      </c>
      <c r="P108" t="n">
        <v>0</v>
      </c>
      <c r="Q108" t="n">
        <v>1</v>
      </c>
      <c r="R108" s="2" t="inlineStr">
        <is>
          <t>Guckusko</t>
        </is>
      </c>
      <c r="S108">
        <f>HYPERLINK("https://klasma.github.io/Logging_0188/artfynd/A 19829-2022 artfynd.xlsx", "A 19829-2022")</f>
        <v/>
      </c>
      <c r="T108">
        <f>HYPERLINK("https://klasma.github.io/Logging_0188/kartor/A 19829-2022 karta.png", "A 19829-2022")</f>
        <v/>
      </c>
      <c r="V108">
        <f>HYPERLINK("https://klasma.github.io/Logging_0188/klagomål/A 19829-2022 FSC-klagomål.docx", "A 19829-2022")</f>
        <v/>
      </c>
      <c r="W108">
        <f>HYPERLINK("https://klasma.github.io/Logging_0188/klagomålsmail/A 19829-2022 FSC-klagomål mail.docx", "A 19829-2022")</f>
        <v/>
      </c>
      <c r="X108">
        <f>HYPERLINK("https://klasma.github.io/Logging_0188/tillsyn/A 19829-2022 tillsynsbegäran.docx", "A 19829-2022")</f>
        <v/>
      </c>
      <c r="Y108">
        <f>HYPERLINK("https://klasma.github.io/Logging_0188/tillsynsmail/A 19829-2022 tillsynsbegäran mail.docx", "A 19829-2022")</f>
        <v/>
      </c>
    </row>
    <row r="109" ht="15" customHeight="1">
      <c r="A109" t="inlineStr">
        <is>
          <t>A 52611-2024</t>
        </is>
      </c>
      <c r="B109" s="1" t="n">
        <v>45609.83747685186</v>
      </c>
      <c r="C109" s="1" t="n">
        <v>45933</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52508-2023</t>
        </is>
      </c>
      <c r="B110" s="1" t="n">
        <v>45225</v>
      </c>
      <c r="C110" s="1" t="n">
        <v>45933</v>
      </c>
      <c r="D110" t="inlineStr">
        <is>
          <t>STOCKHOLMS LÄN</t>
        </is>
      </c>
      <c r="E110" t="inlineStr">
        <is>
          <t>NORRTÄLJE</t>
        </is>
      </c>
      <c r="G110" t="n">
        <v>19.7</v>
      </c>
      <c r="H110" t="n">
        <v>1</v>
      </c>
      <c r="I110" t="n">
        <v>0</v>
      </c>
      <c r="J110" t="n">
        <v>0</v>
      </c>
      <c r="K110" t="n">
        <v>1</v>
      </c>
      <c r="L110" t="n">
        <v>0</v>
      </c>
      <c r="M110" t="n">
        <v>0</v>
      </c>
      <c r="N110" t="n">
        <v>0</v>
      </c>
      <c r="O110" t="n">
        <v>1</v>
      </c>
      <c r="P110" t="n">
        <v>1</v>
      </c>
      <c r="Q110" t="n">
        <v>1</v>
      </c>
      <c r="R110" s="2" t="inlineStr">
        <is>
          <t>Svärta</t>
        </is>
      </c>
      <c r="S110">
        <f>HYPERLINK("https://klasma.github.io/Logging_0188/artfynd/A 52508-2023 artfynd.xlsx", "A 52508-2023")</f>
        <v/>
      </c>
      <c r="T110">
        <f>HYPERLINK("https://klasma.github.io/Logging_0188/kartor/A 52508-2023 karta.png", "A 52508-2023")</f>
        <v/>
      </c>
      <c r="V110">
        <f>HYPERLINK("https://klasma.github.io/Logging_0188/klagomål/A 52508-2023 FSC-klagomål.docx", "A 52508-2023")</f>
        <v/>
      </c>
      <c r="W110">
        <f>HYPERLINK("https://klasma.github.io/Logging_0188/klagomålsmail/A 52508-2023 FSC-klagomål mail.docx", "A 52508-2023")</f>
        <v/>
      </c>
      <c r="X110">
        <f>HYPERLINK("https://klasma.github.io/Logging_0188/tillsyn/A 52508-2023 tillsynsbegäran.docx", "A 52508-2023")</f>
        <v/>
      </c>
      <c r="Y110">
        <f>HYPERLINK("https://klasma.github.io/Logging_0188/tillsynsmail/A 52508-2023 tillsynsbegäran mail.docx", "A 52508-2023")</f>
        <v/>
      </c>
    </row>
    <row r="111" ht="15" customHeight="1">
      <c r="A111" t="inlineStr">
        <is>
          <t>A 48131-2023</t>
        </is>
      </c>
      <c r="B111" s="1" t="n">
        <v>45205</v>
      </c>
      <c r="C111" s="1" t="n">
        <v>45933</v>
      </c>
      <c r="D111" t="inlineStr">
        <is>
          <t>STOCKHOLMS LÄN</t>
        </is>
      </c>
      <c r="E111" t="inlineStr">
        <is>
          <t>NORRTÄLJE</t>
        </is>
      </c>
      <c r="G111" t="n">
        <v>2.3</v>
      </c>
      <c r="H111" t="n">
        <v>0</v>
      </c>
      <c r="I111" t="n">
        <v>0</v>
      </c>
      <c r="J111" t="n">
        <v>1</v>
      </c>
      <c r="K111" t="n">
        <v>0</v>
      </c>
      <c r="L111" t="n">
        <v>0</v>
      </c>
      <c r="M111" t="n">
        <v>0</v>
      </c>
      <c r="N111" t="n">
        <v>0</v>
      </c>
      <c r="O111" t="n">
        <v>1</v>
      </c>
      <c r="P111" t="n">
        <v>0</v>
      </c>
      <c r="Q111" t="n">
        <v>1</v>
      </c>
      <c r="R111" s="2" t="inlineStr">
        <is>
          <t>Slåtterfibbla</t>
        </is>
      </c>
      <c r="S111">
        <f>HYPERLINK("https://klasma.github.io/Logging_0188/artfynd/A 48131-2023 artfynd.xlsx", "A 48131-2023")</f>
        <v/>
      </c>
      <c r="T111">
        <f>HYPERLINK("https://klasma.github.io/Logging_0188/kartor/A 48131-2023 karta.png", "A 48131-2023")</f>
        <v/>
      </c>
      <c r="V111">
        <f>HYPERLINK("https://klasma.github.io/Logging_0188/klagomål/A 48131-2023 FSC-klagomål.docx", "A 48131-2023")</f>
        <v/>
      </c>
      <c r="W111">
        <f>HYPERLINK("https://klasma.github.io/Logging_0188/klagomålsmail/A 48131-2023 FSC-klagomål mail.docx", "A 48131-2023")</f>
        <v/>
      </c>
      <c r="X111">
        <f>HYPERLINK("https://klasma.github.io/Logging_0188/tillsyn/A 48131-2023 tillsynsbegäran.docx", "A 48131-2023")</f>
        <v/>
      </c>
      <c r="Y111">
        <f>HYPERLINK("https://klasma.github.io/Logging_0188/tillsynsmail/A 48131-2023 tillsynsbegäran mail.docx", "A 48131-2023")</f>
        <v/>
      </c>
    </row>
    <row r="112" ht="15" customHeight="1">
      <c r="A112" t="inlineStr">
        <is>
          <t>A 27827-2022</t>
        </is>
      </c>
      <c r="B112" s="1" t="n">
        <v>44743.59504629629</v>
      </c>
      <c r="C112" s="1" t="n">
        <v>45933</v>
      </c>
      <c r="D112" t="inlineStr">
        <is>
          <t>STOCKHOLMS LÄN</t>
        </is>
      </c>
      <c r="E112" t="inlineStr">
        <is>
          <t>NORRTÄLJE</t>
        </is>
      </c>
      <c r="F112" t="inlineStr">
        <is>
          <t>Holmen skog AB</t>
        </is>
      </c>
      <c r="G112" t="n">
        <v>4.7</v>
      </c>
      <c r="H112" t="n">
        <v>1</v>
      </c>
      <c r="I112" t="n">
        <v>0</v>
      </c>
      <c r="J112" t="n">
        <v>1</v>
      </c>
      <c r="K112" t="n">
        <v>0</v>
      </c>
      <c r="L112" t="n">
        <v>0</v>
      </c>
      <c r="M112" t="n">
        <v>0</v>
      </c>
      <c r="N112" t="n">
        <v>0</v>
      </c>
      <c r="O112" t="n">
        <v>1</v>
      </c>
      <c r="P112" t="n">
        <v>0</v>
      </c>
      <c r="Q112" t="n">
        <v>1</v>
      </c>
      <c r="R112" s="2" t="inlineStr">
        <is>
          <t>Nordfladdermus</t>
        </is>
      </c>
      <c r="S112">
        <f>HYPERLINK("https://klasma.github.io/Logging_0188/artfynd/A 27827-2022 artfynd.xlsx", "A 27827-2022")</f>
        <v/>
      </c>
      <c r="T112">
        <f>HYPERLINK("https://klasma.github.io/Logging_0188/kartor/A 27827-2022 karta.png", "A 27827-2022")</f>
        <v/>
      </c>
      <c r="V112">
        <f>HYPERLINK("https://klasma.github.io/Logging_0188/klagomål/A 27827-2022 FSC-klagomål.docx", "A 27827-2022")</f>
        <v/>
      </c>
      <c r="W112">
        <f>HYPERLINK("https://klasma.github.io/Logging_0188/klagomålsmail/A 27827-2022 FSC-klagomål mail.docx", "A 27827-2022")</f>
        <v/>
      </c>
      <c r="X112">
        <f>HYPERLINK("https://klasma.github.io/Logging_0188/tillsyn/A 27827-2022 tillsynsbegäran.docx", "A 27827-2022")</f>
        <v/>
      </c>
      <c r="Y112">
        <f>HYPERLINK("https://klasma.github.io/Logging_0188/tillsynsmail/A 27827-2022 tillsynsbegäran mail.docx", "A 27827-2022")</f>
        <v/>
      </c>
    </row>
    <row r="113" ht="15" customHeight="1">
      <c r="A113" t="inlineStr">
        <is>
          <t>A 21927-2025</t>
        </is>
      </c>
      <c r="B113" s="1" t="n">
        <v>45784.54878472222</v>
      </c>
      <c r="C113" s="1" t="n">
        <v>45933</v>
      </c>
      <c r="D113" t="inlineStr">
        <is>
          <t>STOCKHOLMS LÄN</t>
        </is>
      </c>
      <c r="E113" t="inlineStr">
        <is>
          <t>NORRTÄLJE</t>
        </is>
      </c>
      <c r="G113" t="n">
        <v>3.4</v>
      </c>
      <c r="H113" t="n">
        <v>1</v>
      </c>
      <c r="I113" t="n">
        <v>1</v>
      </c>
      <c r="J113" t="n">
        <v>0</v>
      </c>
      <c r="K113" t="n">
        <v>0</v>
      </c>
      <c r="L113" t="n">
        <v>0</v>
      </c>
      <c r="M113" t="n">
        <v>0</v>
      </c>
      <c r="N113" t="n">
        <v>0</v>
      </c>
      <c r="O113" t="n">
        <v>0</v>
      </c>
      <c r="P113" t="n">
        <v>0</v>
      </c>
      <c r="Q113" t="n">
        <v>1</v>
      </c>
      <c r="R113" s="2" t="inlineStr">
        <is>
          <t>Nästrot</t>
        </is>
      </c>
      <c r="S113">
        <f>HYPERLINK("https://klasma.github.io/Logging_0188/artfynd/A 21927-2025 artfynd.xlsx", "A 21927-2025")</f>
        <v/>
      </c>
      <c r="T113">
        <f>HYPERLINK("https://klasma.github.io/Logging_0188/kartor/A 21927-2025 karta.png", "A 21927-2025")</f>
        <v/>
      </c>
      <c r="V113">
        <f>HYPERLINK("https://klasma.github.io/Logging_0188/klagomål/A 21927-2025 FSC-klagomål.docx", "A 21927-2025")</f>
        <v/>
      </c>
      <c r="W113">
        <f>HYPERLINK("https://klasma.github.io/Logging_0188/klagomålsmail/A 21927-2025 FSC-klagomål mail.docx", "A 21927-2025")</f>
        <v/>
      </c>
      <c r="X113">
        <f>HYPERLINK("https://klasma.github.io/Logging_0188/tillsyn/A 21927-2025 tillsynsbegäran.docx", "A 21927-2025")</f>
        <v/>
      </c>
      <c r="Y113">
        <f>HYPERLINK("https://klasma.github.io/Logging_0188/tillsynsmail/A 21927-2025 tillsynsbegäran mail.docx", "A 21927-2025")</f>
        <v/>
      </c>
    </row>
    <row r="114" ht="15" customHeight="1">
      <c r="A114" t="inlineStr">
        <is>
          <t>A 9955-2022</t>
        </is>
      </c>
      <c r="B114" s="1" t="n">
        <v>44620</v>
      </c>
      <c r="C114" s="1" t="n">
        <v>45933</v>
      </c>
      <c r="D114" t="inlineStr">
        <is>
          <t>STOCKHOLMS LÄN</t>
        </is>
      </c>
      <c r="E114" t="inlineStr">
        <is>
          <t>NORRTÄLJE</t>
        </is>
      </c>
      <c r="G114" t="n">
        <v>7.8</v>
      </c>
      <c r="H114" t="n">
        <v>1</v>
      </c>
      <c r="I114" t="n">
        <v>0</v>
      </c>
      <c r="J114" t="n">
        <v>0</v>
      </c>
      <c r="K114" t="n">
        <v>0</v>
      </c>
      <c r="L114" t="n">
        <v>0</v>
      </c>
      <c r="M114" t="n">
        <v>0</v>
      </c>
      <c r="N114" t="n">
        <v>0</v>
      </c>
      <c r="O114" t="n">
        <v>0</v>
      </c>
      <c r="P114" t="n">
        <v>0</v>
      </c>
      <c r="Q114" t="n">
        <v>1</v>
      </c>
      <c r="R114" s="2" t="inlineStr">
        <is>
          <t>Åkergroda</t>
        </is>
      </c>
      <c r="S114">
        <f>HYPERLINK("https://klasma.github.io/Logging_0188/artfynd/A 9955-2022 artfynd.xlsx", "A 9955-2022")</f>
        <v/>
      </c>
      <c r="T114">
        <f>HYPERLINK("https://klasma.github.io/Logging_0188/kartor/A 9955-2022 karta.png", "A 9955-2022")</f>
        <v/>
      </c>
      <c r="V114">
        <f>HYPERLINK("https://klasma.github.io/Logging_0188/klagomål/A 9955-2022 FSC-klagomål.docx", "A 9955-2022")</f>
        <v/>
      </c>
      <c r="W114">
        <f>HYPERLINK("https://klasma.github.io/Logging_0188/klagomålsmail/A 9955-2022 FSC-klagomål mail.docx", "A 9955-2022")</f>
        <v/>
      </c>
      <c r="X114">
        <f>HYPERLINK("https://klasma.github.io/Logging_0188/tillsyn/A 9955-2022 tillsynsbegäran.docx", "A 9955-2022")</f>
        <v/>
      </c>
      <c r="Y114">
        <f>HYPERLINK("https://klasma.github.io/Logging_0188/tillsynsmail/A 9955-2022 tillsynsbegäran mail.docx", "A 9955-2022")</f>
        <v/>
      </c>
    </row>
    <row r="115" ht="15" customHeight="1">
      <c r="A115" t="inlineStr">
        <is>
          <t>A 23905-2025</t>
        </is>
      </c>
      <c r="B115" s="1" t="n">
        <v>45794.63298611111</v>
      </c>
      <c r="C115" s="1" t="n">
        <v>45933</v>
      </c>
      <c r="D115" t="inlineStr">
        <is>
          <t>STOCKHOLMS LÄN</t>
        </is>
      </c>
      <c r="E115" t="inlineStr">
        <is>
          <t>NORRTÄLJE</t>
        </is>
      </c>
      <c r="G115" t="n">
        <v>8.4</v>
      </c>
      <c r="H115" t="n">
        <v>1</v>
      </c>
      <c r="I115" t="n">
        <v>0</v>
      </c>
      <c r="J115" t="n">
        <v>0</v>
      </c>
      <c r="K115" t="n">
        <v>0</v>
      </c>
      <c r="L115" t="n">
        <v>0</v>
      </c>
      <c r="M115" t="n">
        <v>0</v>
      </c>
      <c r="N115" t="n">
        <v>0</v>
      </c>
      <c r="O115" t="n">
        <v>0</v>
      </c>
      <c r="P115" t="n">
        <v>0</v>
      </c>
      <c r="Q115" t="n">
        <v>1</v>
      </c>
      <c r="R115" s="2" t="inlineStr">
        <is>
          <t>Blåsippa</t>
        </is>
      </c>
      <c r="S115">
        <f>HYPERLINK("https://klasma.github.io/Logging_0188/artfynd/A 23905-2025 artfynd.xlsx", "A 23905-2025")</f>
        <v/>
      </c>
      <c r="T115">
        <f>HYPERLINK("https://klasma.github.io/Logging_0188/kartor/A 23905-2025 karta.png", "A 23905-2025")</f>
        <v/>
      </c>
      <c r="V115">
        <f>HYPERLINK("https://klasma.github.io/Logging_0188/klagomål/A 23905-2025 FSC-klagomål.docx", "A 23905-2025")</f>
        <v/>
      </c>
      <c r="W115">
        <f>HYPERLINK("https://klasma.github.io/Logging_0188/klagomålsmail/A 23905-2025 FSC-klagomål mail.docx", "A 23905-2025")</f>
        <v/>
      </c>
      <c r="X115">
        <f>HYPERLINK("https://klasma.github.io/Logging_0188/tillsyn/A 23905-2025 tillsynsbegäran.docx", "A 23905-2025")</f>
        <v/>
      </c>
      <c r="Y115">
        <f>HYPERLINK("https://klasma.github.io/Logging_0188/tillsynsmail/A 23905-2025 tillsynsbegäran mail.docx", "A 23905-2025")</f>
        <v/>
      </c>
    </row>
    <row r="116" ht="15" customHeight="1">
      <c r="A116" t="inlineStr">
        <is>
          <t>A 25687-2025</t>
        </is>
      </c>
      <c r="B116" s="1" t="n">
        <v>45800</v>
      </c>
      <c r="C116" s="1" t="n">
        <v>45933</v>
      </c>
      <c r="D116" t="inlineStr">
        <is>
          <t>STOCKHOLMS LÄN</t>
        </is>
      </c>
      <c r="E116" t="inlineStr">
        <is>
          <t>NORRTÄLJE</t>
        </is>
      </c>
      <c r="G116" t="n">
        <v>15.7</v>
      </c>
      <c r="H116" t="n">
        <v>0</v>
      </c>
      <c r="I116" t="n">
        <v>1</v>
      </c>
      <c r="J116" t="n">
        <v>0</v>
      </c>
      <c r="K116" t="n">
        <v>0</v>
      </c>
      <c r="L116" t="n">
        <v>0</v>
      </c>
      <c r="M116" t="n">
        <v>0</v>
      </c>
      <c r="N116" t="n">
        <v>0</v>
      </c>
      <c r="O116" t="n">
        <v>0</v>
      </c>
      <c r="P116" t="n">
        <v>0</v>
      </c>
      <c r="Q116" t="n">
        <v>1</v>
      </c>
      <c r="R116" s="2" t="inlineStr">
        <is>
          <t>Grönpyrola</t>
        </is>
      </c>
      <c r="S116">
        <f>HYPERLINK("https://klasma.github.io/Logging_0188/artfynd/A 25687-2025 artfynd.xlsx", "A 25687-2025")</f>
        <v/>
      </c>
      <c r="T116">
        <f>HYPERLINK("https://klasma.github.io/Logging_0188/kartor/A 25687-2025 karta.png", "A 25687-2025")</f>
        <v/>
      </c>
      <c r="V116">
        <f>HYPERLINK("https://klasma.github.io/Logging_0188/klagomål/A 25687-2025 FSC-klagomål.docx", "A 25687-2025")</f>
        <v/>
      </c>
      <c r="W116">
        <f>HYPERLINK("https://klasma.github.io/Logging_0188/klagomålsmail/A 25687-2025 FSC-klagomål mail.docx", "A 25687-2025")</f>
        <v/>
      </c>
      <c r="X116">
        <f>HYPERLINK("https://klasma.github.io/Logging_0188/tillsyn/A 25687-2025 tillsynsbegäran.docx", "A 25687-2025")</f>
        <v/>
      </c>
      <c r="Y116">
        <f>HYPERLINK("https://klasma.github.io/Logging_0188/tillsynsmail/A 25687-2025 tillsynsbegäran mail.docx", "A 25687-2025")</f>
        <v/>
      </c>
    </row>
    <row r="117" ht="15" customHeight="1">
      <c r="A117" t="inlineStr">
        <is>
          <t>A 35649-2023</t>
        </is>
      </c>
      <c r="B117" s="1" t="n">
        <v>45146</v>
      </c>
      <c r="C117" s="1" t="n">
        <v>45933</v>
      </c>
      <c r="D117" t="inlineStr">
        <is>
          <t>STOCKHOLMS LÄN</t>
        </is>
      </c>
      <c r="E117" t="inlineStr">
        <is>
          <t>NORRTÄLJE</t>
        </is>
      </c>
      <c r="G117" t="n">
        <v>25.1</v>
      </c>
      <c r="H117" t="n">
        <v>0</v>
      </c>
      <c r="I117" t="n">
        <v>0</v>
      </c>
      <c r="J117" t="n">
        <v>1</v>
      </c>
      <c r="K117" t="n">
        <v>0</v>
      </c>
      <c r="L117" t="n">
        <v>0</v>
      </c>
      <c r="M117" t="n">
        <v>0</v>
      </c>
      <c r="N117" t="n">
        <v>0</v>
      </c>
      <c r="O117" t="n">
        <v>1</v>
      </c>
      <c r="P117" t="n">
        <v>0</v>
      </c>
      <c r="Q117" t="n">
        <v>1</v>
      </c>
      <c r="R117" s="2" t="inlineStr">
        <is>
          <t>Månlåsbräken</t>
        </is>
      </c>
      <c r="S117">
        <f>HYPERLINK("https://klasma.github.io/Logging_0188/artfynd/A 35649-2023 artfynd.xlsx", "A 35649-2023")</f>
        <v/>
      </c>
      <c r="T117">
        <f>HYPERLINK("https://klasma.github.io/Logging_0188/kartor/A 35649-2023 karta.png", "A 35649-2023")</f>
        <v/>
      </c>
      <c r="V117">
        <f>HYPERLINK("https://klasma.github.io/Logging_0188/klagomål/A 35649-2023 FSC-klagomål.docx", "A 35649-2023")</f>
        <v/>
      </c>
      <c r="W117">
        <f>HYPERLINK("https://klasma.github.io/Logging_0188/klagomålsmail/A 35649-2023 FSC-klagomål mail.docx", "A 35649-2023")</f>
        <v/>
      </c>
      <c r="X117">
        <f>HYPERLINK("https://klasma.github.io/Logging_0188/tillsyn/A 35649-2023 tillsynsbegäran.docx", "A 35649-2023")</f>
        <v/>
      </c>
      <c r="Y117">
        <f>HYPERLINK("https://klasma.github.io/Logging_0188/tillsynsmail/A 35649-2023 tillsynsbegäran mail.docx", "A 35649-2023")</f>
        <v/>
      </c>
    </row>
    <row r="118" ht="15" customHeight="1">
      <c r="A118" t="inlineStr">
        <is>
          <t>A 35764-2024</t>
        </is>
      </c>
      <c r="B118" s="1" t="n">
        <v>45532</v>
      </c>
      <c r="C118" s="1" t="n">
        <v>45933</v>
      </c>
      <c r="D118" t="inlineStr">
        <is>
          <t>STOCKHOLMS LÄN</t>
        </is>
      </c>
      <c r="E118" t="inlineStr">
        <is>
          <t>NORRTÄLJE</t>
        </is>
      </c>
      <c r="G118" t="n">
        <v>14.2</v>
      </c>
      <c r="H118" t="n">
        <v>1</v>
      </c>
      <c r="I118" t="n">
        <v>0</v>
      </c>
      <c r="J118" t="n">
        <v>0</v>
      </c>
      <c r="K118" t="n">
        <v>1</v>
      </c>
      <c r="L118" t="n">
        <v>0</v>
      </c>
      <c r="M118" t="n">
        <v>0</v>
      </c>
      <c r="N118" t="n">
        <v>0</v>
      </c>
      <c r="O118" t="n">
        <v>1</v>
      </c>
      <c r="P118" t="n">
        <v>1</v>
      </c>
      <c r="Q118" t="n">
        <v>1</v>
      </c>
      <c r="R118" s="2" t="inlineStr">
        <is>
          <t>Knärot</t>
        </is>
      </c>
      <c r="S118">
        <f>HYPERLINK("https://klasma.github.io/Logging_0188/artfynd/A 35764-2024 artfynd.xlsx", "A 35764-2024")</f>
        <v/>
      </c>
      <c r="T118">
        <f>HYPERLINK("https://klasma.github.io/Logging_0188/kartor/A 35764-2024 karta.png", "A 35764-2024")</f>
        <v/>
      </c>
      <c r="U118">
        <f>HYPERLINK("https://klasma.github.io/Logging_0188/knärot/A 35764-2024 karta knärot.png", "A 35764-2024")</f>
        <v/>
      </c>
      <c r="V118">
        <f>HYPERLINK("https://klasma.github.io/Logging_0188/klagomål/A 35764-2024 FSC-klagomål.docx", "A 35764-2024")</f>
        <v/>
      </c>
      <c r="W118">
        <f>HYPERLINK("https://klasma.github.io/Logging_0188/klagomålsmail/A 35764-2024 FSC-klagomål mail.docx", "A 35764-2024")</f>
        <v/>
      </c>
      <c r="X118">
        <f>HYPERLINK("https://klasma.github.io/Logging_0188/tillsyn/A 35764-2024 tillsynsbegäran.docx", "A 35764-2024")</f>
        <v/>
      </c>
      <c r="Y118">
        <f>HYPERLINK("https://klasma.github.io/Logging_0188/tillsynsmail/A 35764-2024 tillsynsbegäran mail.docx", "A 35764-2024")</f>
        <v/>
      </c>
    </row>
    <row r="119" ht="15" customHeight="1">
      <c r="A119" t="inlineStr">
        <is>
          <t>A 1970-2021</t>
        </is>
      </c>
      <c r="B119" s="1" t="n">
        <v>44210</v>
      </c>
      <c r="C119" s="1" t="n">
        <v>45933</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45933</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45933</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45933</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45933</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45933</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45933</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45933</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45933</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45933</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45933</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45933</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45933</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45933</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45933</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45933</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74468-2021</t>
        </is>
      </c>
      <c r="B135" s="1" t="n">
        <v>44560</v>
      </c>
      <c r="C135" s="1" t="n">
        <v>45933</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45933</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45933</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45933</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45933</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45933</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45933</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45933</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45933</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45933</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45933</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45933</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45933</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45933</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45933</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45933</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45933</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45933</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45933</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45933</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45933</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45933</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45933</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45933</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45933</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45933</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45933</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45933</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45933</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45933</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45933</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45933</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45933</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45933</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45933</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45933</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45933</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45933</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45933</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45933</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45933</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45933</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45933</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45933</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45933</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45933</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45933</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45933</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45933</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45933</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45933</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45933</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45933</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45933</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45933</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45933</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45933</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45933</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45933</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45933</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45933</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45933</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45933</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14543-2022</t>
        </is>
      </c>
      <c r="B199" s="1" t="n">
        <v>44655.45373842592</v>
      </c>
      <c r="C199" s="1" t="n">
        <v>45933</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32561-2021</t>
        </is>
      </c>
      <c r="B200" s="1" t="n">
        <v>44375</v>
      </c>
      <c r="C200" s="1" t="n">
        <v>45933</v>
      </c>
      <c r="D200" t="inlineStr">
        <is>
          <t>STOCKHOLMS LÄN</t>
        </is>
      </c>
      <c r="E200" t="inlineStr">
        <is>
          <t>NORRTÄLJE</t>
        </is>
      </c>
      <c r="G200" t="n">
        <v>3.4</v>
      </c>
      <c r="H200" t="n">
        <v>0</v>
      </c>
      <c r="I200" t="n">
        <v>0</v>
      </c>
      <c r="J200" t="n">
        <v>0</v>
      </c>
      <c r="K200" t="n">
        <v>0</v>
      </c>
      <c r="L200" t="n">
        <v>0</v>
      </c>
      <c r="M200" t="n">
        <v>0</v>
      </c>
      <c r="N200" t="n">
        <v>0</v>
      </c>
      <c r="O200" t="n">
        <v>0</v>
      </c>
      <c r="P200" t="n">
        <v>0</v>
      </c>
      <c r="Q200" t="n">
        <v>0</v>
      </c>
      <c r="R200" s="2" t="inlineStr"/>
    </row>
    <row r="201" ht="15" customHeight="1">
      <c r="A201" t="inlineStr">
        <is>
          <t>A 52449-2021</t>
        </is>
      </c>
      <c r="B201" s="1" t="n">
        <v>44466.37496527778</v>
      </c>
      <c r="C201" s="1" t="n">
        <v>45933</v>
      </c>
      <c r="D201" t="inlineStr">
        <is>
          <t>STOCKHOLMS LÄN</t>
        </is>
      </c>
      <c r="E201" t="inlineStr">
        <is>
          <t>NORRTÄLJE</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45933</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33046-2021</t>
        </is>
      </c>
      <c r="B203" s="1" t="n">
        <v>44376</v>
      </c>
      <c r="C203" s="1" t="n">
        <v>45933</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17673-2021</t>
        </is>
      </c>
      <c r="B204" s="1" t="n">
        <v>44300</v>
      </c>
      <c r="C204" s="1" t="n">
        <v>45933</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65611-2021</t>
        </is>
      </c>
      <c r="B205" s="1" t="n">
        <v>44516.5275462963</v>
      </c>
      <c r="C205" s="1" t="n">
        <v>45933</v>
      </c>
      <c r="D205" t="inlineStr">
        <is>
          <t>STOCKHOLMS LÄN</t>
        </is>
      </c>
      <c r="E205" t="inlineStr">
        <is>
          <t>NORRTÄLJE</t>
        </is>
      </c>
      <c r="G205" t="n">
        <v>2.5</v>
      </c>
      <c r="H205" t="n">
        <v>0</v>
      </c>
      <c r="I205" t="n">
        <v>0</v>
      </c>
      <c r="J205" t="n">
        <v>0</v>
      </c>
      <c r="K205" t="n">
        <v>0</v>
      </c>
      <c r="L205" t="n">
        <v>0</v>
      </c>
      <c r="M205" t="n">
        <v>0</v>
      </c>
      <c r="N205" t="n">
        <v>0</v>
      </c>
      <c r="O205" t="n">
        <v>0</v>
      </c>
      <c r="P205" t="n">
        <v>0</v>
      </c>
      <c r="Q205" t="n">
        <v>0</v>
      </c>
      <c r="R205" s="2" t="inlineStr"/>
    </row>
    <row r="206" ht="15" customHeight="1">
      <c r="A206" t="inlineStr">
        <is>
          <t>A 26328-2022</t>
        </is>
      </c>
      <c r="B206" s="1" t="n">
        <v>44735</v>
      </c>
      <c r="C206" s="1" t="n">
        <v>45933</v>
      </c>
      <c r="D206" t="inlineStr">
        <is>
          <t>STOCKHOLMS LÄN</t>
        </is>
      </c>
      <c r="E206" t="inlineStr">
        <is>
          <t>NORRTÄLJE</t>
        </is>
      </c>
      <c r="G206" t="n">
        <v>2.8</v>
      </c>
      <c r="H206" t="n">
        <v>0</v>
      </c>
      <c r="I206" t="n">
        <v>0</v>
      </c>
      <c r="J206" t="n">
        <v>0</v>
      </c>
      <c r="K206" t="n">
        <v>0</v>
      </c>
      <c r="L206" t="n">
        <v>0</v>
      </c>
      <c r="M206" t="n">
        <v>0</v>
      </c>
      <c r="N206" t="n">
        <v>0</v>
      </c>
      <c r="O206" t="n">
        <v>0</v>
      </c>
      <c r="P206" t="n">
        <v>0</v>
      </c>
      <c r="Q206" t="n">
        <v>0</v>
      </c>
      <c r="R206" s="2" t="inlineStr"/>
    </row>
    <row r="207" ht="15" customHeight="1">
      <c r="A207" t="inlineStr">
        <is>
          <t>A 66372-2020</t>
        </is>
      </c>
      <c r="B207" s="1" t="n">
        <v>44176</v>
      </c>
      <c r="C207" s="1" t="n">
        <v>45933</v>
      </c>
      <c r="D207" t="inlineStr">
        <is>
          <t>STOCKHOLMS LÄN</t>
        </is>
      </c>
      <c r="E207" t="inlineStr">
        <is>
          <t>NORRTÄLJE</t>
        </is>
      </c>
      <c r="G207" t="n">
        <v>1.3</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45933</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27217-2021</t>
        </is>
      </c>
      <c r="B209" s="1" t="n">
        <v>44350</v>
      </c>
      <c r="C209" s="1" t="n">
        <v>45933</v>
      </c>
      <c r="D209" t="inlineStr">
        <is>
          <t>STOCKHOLMS LÄN</t>
        </is>
      </c>
      <c r="E209" t="inlineStr">
        <is>
          <t>NORRTÄLJE</t>
        </is>
      </c>
      <c r="G209" t="n">
        <v>5.5</v>
      </c>
      <c r="H209" t="n">
        <v>0</v>
      </c>
      <c r="I209" t="n">
        <v>0</v>
      </c>
      <c r="J209" t="n">
        <v>0</v>
      </c>
      <c r="K209" t="n">
        <v>0</v>
      </c>
      <c r="L209" t="n">
        <v>0</v>
      </c>
      <c r="M209" t="n">
        <v>0</v>
      </c>
      <c r="N209" t="n">
        <v>0</v>
      </c>
      <c r="O209" t="n">
        <v>0</v>
      </c>
      <c r="P209" t="n">
        <v>0</v>
      </c>
      <c r="Q209" t="n">
        <v>0</v>
      </c>
      <c r="R209" s="2" t="inlineStr"/>
    </row>
    <row r="210" ht="15" customHeight="1">
      <c r="A210" t="inlineStr">
        <is>
          <t>A 57957-2020</t>
        </is>
      </c>
      <c r="B210" s="1" t="n">
        <v>44143</v>
      </c>
      <c r="C210" s="1" t="n">
        <v>45933</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5513-2022</t>
        </is>
      </c>
      <c r="B211" s="1" t="n">
        <v>44595</v>
      </c>
      <c r="C211" s="1" t="n">
        <v>45933</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45933</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62030-2021</t>
        </is>
      </c>
      <c r="B213" s="1" t="n">
        <v>44502</v>
      </c>
      <c r="C213" s="1" t="n">
        <v>45933</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15441-2021</t>
        </is>
      </c>
      <c r="B214" s="1" t="n">
        <v>44284</v>
      </c>
      <c r="C214" s="1" t="n">
        <v>45933</v>
      </c>
      <c r="D214" t="inlineStr">
        <is>
          <t>STOCKHOLMS LÄN</t>
        </is>
      </c>
      <c r="E214" t="inlineStr">
        <is>
          <t>NORRTÄLJE</t>
        </is>
      </c>
      <c r="G214" t="n">
        <v>27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45933</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12875-2022</t>
        </is>
      </c>
      <c r="B216" s="1" t="n">
        <v>44642.55565972222</v>
      </c>
      <c r="C216" s="1" t="n">
        <v>45933</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60542-2020</t>
        </is>
      </c>
      <c r="B217" s="1" t="n">
        <v>44153</v>
      </c>
      <c r="C217" s="1" t="n">
        <v>45933</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67598-2021</t>
        </is>
      </c>
      <c r="B218" s="1" t="n">
        <v>44524</v>
      </c>
      <c r="C218" s="1" t="n">
        <v>45933</v>
      </c>
      <c r="D218" t="inlineStr">
        <is>
          <t>STOCKHOLMS LÄN</t>
        </is>
      </c>
      <c r="E218" t="inlineStr">
        <is>
          <t>NORRTÄLJE</t>
        </is>
      </c>
      <c r="G218" t="n">
        <v>1.2</v>
      </c>
      <c r="H218" t="n">
        <v>0</v>
      </c>
      <c r="I218" t="n">
        <v>0</v>
      </c>
      <c r="J218" t="n">
        <v>0</v>
      </c>
      <c r="K218" t="n">
        <v>0</v>
      </c>
      <c r="L218" t="n">
        <v>0</v>
      </c>
      <c r="M218" t="n">
        <v>0</v>
      </c>
      <c r="N218" t="n">
        <v>0</v>
      </c>
      <c r="O218" t="n">
        <v>0</v>
      </c>
      <c r="P218" t="n">
        <v>0</v>
      </c>
      <c r="Q218" t="n">
        <v>0</v>
      </c>
      <c r="R218" s="2" t="inlineStr"/>
    </row>
    <row r="219" ht="15" customHeight="1">
      <c r="A219" t="inlineStr">
        <is>
          <t>A 28042-2022</t>
        </is>
      </c>
      <c r="B219" s="1" t="n">
        <v>44744</v>
      </c>
      <c r="C219" s="1" t="n">
        <v>45933</v>
      </c>
      <c r="D219" t="inlineStr">
        <is>
          <t>STOCKHOLMS LÄN</t>
        </is>
      </c>
      <c r="E219" t="inlineStr">
        <is>
          <t>NORRTÄLJE</t>
        </is>
      </c>
      <c r="G219" t="n">
        <v>0.2</v>
      </c>
      <c r="H219" t="n">
        <v>0</v>
      </c>
      <c r="I219" t="n">
        <v>0</v>
      </c>
      <c r="J219" t="n">
        <v>0</v>
      </c>
      <c r="K219" t="n">
        <v>0</v>
      </c>
      <c r="L219" t="n">
        <v>0</v>
      </c>
      <c r="M219" t="n">
        <v>0</v>
      </c>
      <c r="N219" t="n">
        <v>0</v>
      </c>
      <c r="O219" t="n">
        <v>0</v>
      </c>
      <c r="P219" t="n">
        <v>0</v>
      </c>
      <c r="Q219" t="n">
        <v>0</v>
      </c>
      <c r="R219" s="2" t="inlineStr"/>
    </row>
    <row r="220" ht="15" customHeight="1">
      <c r="A220" t="inlineStr">
        <is>
          <t>A 34520-2021</t>
        </is>
      </c>
      <c r="B220" s="1" t="n">
        <v>44379</v>
      </c>
      <c r="C220" s="1" t="n">
        <v>45933</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45933</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45933</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23453-2021</t>
        </is>
      </c>
      <c r="B223" s="1" t="n">
        <v>44333</v>
      </c>
      <c r="C223" s="1" t="n">
        <v>45933</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1968-2022</t>
        </is>
      </c>
      <c r="B224" s="1" t="n">
        <v>44575.52831018518</v>
      </c>
      <c r="C224" s="1" t="n">
        <v>45933</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41398-2022</t>
        </is>
      </c>
      <c r="B225" s="1" t="n">
        <v>44826</v>
      </c>
      <c r="C225" s="1" t="n">
        <v>45933</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22369-2021</t>
        </is>
      </c>
      <c r="B226" s="1" t="n">
        <v>44326</v>
      </c>
      <c r="C226" s="1" t="n">
        <v>45933</v>
      </c>
      <c r="D226" t="inlineStr">
        <is>
          <t>STOCKHOLMS LÄN</t>
        </is>
      </c>
      <c r="E226" t="inlineStr">
        <is>
          <t>NORRTÄLJE</t>
        </is>
      </c>
      <c r="F226" t="inlineStr">
        <is>
          <t>Holmen skog AB</t>
        </is>
      </c>
      <c r="G226" t="n">
        <v>3.4</v>
      </c>
      <c r="H226" t="n">
        <v>0</v>
      </c>
      <c r="I226" t="n">
        <v>0</v>
      </c>
      <c r="J226" t="n">
        <v>0</v>
      </c>
      <c r="K226" t="n">
        <v>0</v>
      </c>
      <c r="L226" t="n">
        <v>0</v>
      </c>
      <c r="M226" t="n">
        <v>0</v>
      </c>
      <c r="N226" t="n">
        <v>0</v>
      </c>
      <c r="O226" t="n">
        <v>0</v>
      </c>
      <c r="P226" t="n">
        <v>0</v>
      </c>
      <c r="Q226" t="n">
        <v>0</v>
      </c>
      <c r="R226" s="2" t="inlineStr"/>
    </row>
    <row r="227" ht="15" customHeight="1">
      <c r="A227" t="inlineStr">
        <is>
          <t>A 27214-2021</t>
        </is>
      </c>
      <c r="B227" s="1" t="n">
        <v>44350</v>
      </c>
      <c r="C227" s="1" t="n">
        <v>45933</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30129-2021</t>
        </is>
      </c>
      <c r="B228" s="1" t="n">
        <v>44363.5784375</v>
      </c>
      <c r="C228" s="1" t="n">
        <v>45933</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45933</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22316-2022</t>
        </is>
      </c>
      <c r="B230" s="1" t="n">
        <v>44712.83118055556</v>
      </c>
      <c r="C230" s="1" t="n">
        <v>45933</v>
      </c>
      <c r="D230" t="inlineStr">
        <is>
          <t>STOCKHOLMS LÄN</t>
        </is>
      </c>
      <c r="E230" t="inlineStr">
        <is>
          <t>NORRTÄLJE</t>
        </is>
      </c>
      <c r="G230" t="n">
        <v>6.3</v>
      </c>
      <c r="H230" t="n">
        <v>0</v>
      </c>
      <c r="I230" t="n">
        <v>0</v>
      </c>
      <c r="J230" t="n">
        <v>0</v>
      </c>
      <c r="K230" t="n">
        <v>0</v>
      </c>
      <c r="L230" t="n">
        <v>0</v>
      </c>
      <c r="M230" t="n">
        <v>0</v>
      </c>
      <c r="N230" t="n">
        <v>0</v>
      </c>
      <c r="O230" t="n">
        <v>0</v>
      </c>
      <c r="P230" t="n">
        <v>0</v>
      </c>
      <c r="Q230" t="n">
        <v>0</v>
      </c>
      <c r="R230" s="2" t="inlineStr"/>
    </row>
    <row r="231" ht="15" customHeight="1">
      <c r="A231" t="inlineStr">
        <is>
          <t>A 31092-2022</t>
        </is>
      </c>
      <c r="B231" s="1" t="n">
        <v>44769.62320601852</v>
      </c>
      <c r="C231" s="1" t="n">
        <v>45933</v>
      </c>
      <c r="D231" t="inlineStr">
        <is>
          <t>STOCKHOLMS LÄN</t>
        </is>
      </c>
      <c r="E231" t="inlineStr">
        <is>
          <t>NORRTÄLJE</t>
        </is>
      </c>
      <c r="G231" t="n">
        <v>1.6</v>
      </c>
      <c r="H231" t="n">
        <v>0</v>
      </c>
      <c r="I231" t="n">
        <v>0</v>
      </c>
      <c r="J231" t="n">
        <v>0</v>
      </c>
      <c r="K231" t="n">
        <v>0</v>
      </c>
      <c r="L231" t="n">
        <v>0</v>
      </c>
      <c r="M231" t="n">
        <v>0</v>
      </c>
      <c r="N231" t="n">
        <v>0</v>
      </c>
      <c r="O231" t="n">
        <v>0</v>
      </c>
      <c r="P231" t="n">
        <v>0</v>
      </c>
      <c r="Q231" t="n">
        <v>0</v>
      </c>
      <c r="R231" s="2" t="inlineStr"/>
    </row>
    <row r="232" ht="15" customHeight="1">
      <c r="A232" t="inlineStr">
        <is>
          <t>A 7565-2022</t>
        </is>
      </c>
      <c r="B232" s="1" t="n">
        <v>44607</v>
      </c>
      <c r="C232" s="1" t="n">
        <v>45933</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41822-2021</t>
        </is>
      </c>
      <c r="B233" s="1" t="n">
        <v>44425</v>
      </c>
      <c r="C233" s="1" t="n">
        <v>45933</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41823-2021</t>
        </is>
      </c>
      <c r="B234" s="1" t="n">
        <v>44425</v>
      </c>
      <c r="C234" s="1" t="n">
        <v>45933</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1229-2022</t>
        </is>
      </c>
      <c r="B235" s="1" t="n">
        <v>44572</v>
      </c>
      <c r="C235" s="1" t="n">
        <v>45933</v>
      </c>
      <c r="D235" t="inlineStr">
        <is>
          <t>STOCKHOLMS LÄN</t>
        </is>
      </c>
      <c r="E235" t="inlineStr">
        <is>
          <t>NORRTÄLJE</t>
        </is>
      </c>
      <c r="G235" t="n">
        <v>11.5</v>
      </c>
      <c r="H235" t="n">
        <v>0</v>
      </c>
      <c r="I235" t="n">
        <v>0</v>
      </c>
      <c r="J235" t="n">
        <v>0</v>
      </c>
      <c r="K235" t="n">
        <v>0</v>
      </c>
      <c r="L235" t="n">
        <v>0</v>
      </c>
      <c r="M235" t="n">
        <v>0</v>
      </c>
      <c r="N235" t="n">
        <v>0</v>
      </c>
      <c r="O235" t="n">
        <v>0</v>
      </c>
      <c r="P235" t="n">
        <v>0</v>
      </c>
      <c r="Q235" t="n">
        <v>0</v>
      </c>
      <c r="R235" s="2" t="inlineStr"/>
    </row>
    <row r="236" ht="15" customHeight="1">
      <c r="A236" t="inlineStr">
        <is>
          <t>A 19398-2021</t>
        </is>
      </c>
      <c r="B236" s="1" t="n">
        <v>44309</v>
      </c>
      <c r="C236" s="1" t="n">
        <v>45933</v>
      </c>
      <c r="D236" t="inlineStr">
        <is>
          <t>STOCKHOLMS LÄN</t>
        </is>
      </c>
      <c r="E236" t="inlineStr">
        <is>
          <t>NORRTÄLJE</t>
        </is>
      </c>
      <c r="F236" t="inlineStr">
        <is>
          <t>Kommuner</t>
        </is>
      </c>
      <c r="G236" t="n">
        <v>2.1</v>
      </c>
      <c r="H236" t="n">
        <v>0</v>
      </c>
      <c r="I236" t="n">
        <v>0</v>
      </c>
      <c r="J236" t="n">
        <v>0</v>
      </c>
      <c r="K236" t="n">
        <v>0</v>
      </c>
      <c r="L236" t="n">
        <v>0</v>
      </c>
      <c r="M236" t="n">
        <v>0</v>
      </c>
      <c r="N236" t="n">
        <v>0</v>
      </c>
      <c r="O236" t="n">
        <v>0</v>
      </c>
      <c r="P236" t="n">
        <v>0</v>
      </c>
      <c r="Q236" t="n">
        <v>0</v>
      </c>
      <c r="R236" s="2" t="inlineStr"/>
    </row>
    <row r="237" ht="15" customHeight="1">
      <c r="A237" t="inlineStr">
        <is>
          <t>A 9467-2021</t>
        </is>
      </c>
      <c r="B237" s="1" t="n">
        <v>44251.43971064815</v>
      </c>
      <c r="C237" s="1" t="n">
        <v>45933</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45933</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45541-2022</t>
        </is>
      </c>
      <c r="B239" s="1" t="n">
        <v>44845.47672453704</v>
      </c>
      <c r="C239" s="1" t="n">
        <v>45933</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71871-2021</t>
        </is>
      </c>
      <c r="B240" s="1" t="n">
        <v>44543</v>
      </c>
      <c r="C240" s="1" t="n">
        <v>45933</v>
      </c>
      <c r="D240" t="inlineStr">
        <is>
          <t>STOCKHOLMS LÄN</t>
        </is>
      </c>
      <c r="E240" t="inlineStr">
        <is>
          <t>NORRTÄLJE</t>
        </is>
      </c>
      <c r="G240" t="n">
        <v>2.5</v>
      </c>
      <c r="H240" t="n">
        <v>0</v>
      </c>
      <c r="I240" t="n">
        <v>0</v>
      </c>
      <c r="J240" t="n">
        <v>0</v>
      </c>
      <c r="K240" t="n">
        <v>0</v>
      </c>
      <c r="L240" t="n">
        <v>0</v>
      </c>
      <c r="M240" t="n">
        <v>0</v>
      </c>
      <c r="N240" t="n">
        <v>0</v>
      </c>
      <c r="O240" t="n">
        <v>0</v>
      </c>
      <c r="P240" t="n">
        <v>0</v>
      </c>
      <c r="Q240" t="n">
        <v>0</v>
      </c>
      <c r="R240" s="2" t="inlineStr"/>
    </row>
    <row r="241" ht="15" customHeight="1">
      <c r="A241" t="inlineStr">
        <is>
          <t>A 71873-2021</t>
        </is>
      </c>
      <c r="B241" s="1" t="n">
        <v>44543</v>
      </c>
      <c r="C241" s="1" t="n">
        <v>45933</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12779-2021</t>
        </is>
      </c>
      <c r="B242" s="1" t="n">
        <v>44270</v>
      </c>
      <c r="C242" s="1" t="n">
        <v>45933</v>
      </c>
      <c r="D242" t="inlineStr">
        <is>
          <t>STOCKHOLMS LÄN</t>
        </is>
      </c>
      <c r="E242" t="inlineStr">
        <is>
          <t>NORRTÄLJE</t>
        </is>
      </c>
      <c r="G242" t="n">
        <v>10.8</v>
      </c>
      <c r="H242" t="n">
        <v>0</v>
      </c>
      <c r="I242" t="n">
        <v>0</v>
      </c>
      <c r="J242" t="n">
        <v>0</v>
      </c>
      <c r="K242" t="n">
        <v>0</v>
      </c>
      <c r="L242" t="n">
        <v>0</v>
      </c>
      <c r="M242" t="n">
        <v>0</v>
      </c>
      <c r="N242" t="n">
        <v>0</v>
      </c>
      <c r="O242" t="n">
        <v>0</v>
      </c>
      <c r="P242" t="n">
        <v>0</v>
      </c>
      <c r="Q242" t="n">
        <v>0</v>
      </c>
      <c r="R242" s="2" t="inlineStr"/>
    </row>
    <row r="243" ht="15" customHeight="1">
      <c r="A243" t="inlineStr">
        <is>
          <t>A 12782-2021</t>
        </is>
      </c>
      <c r="B243" s="1" t="n">
        <v>44270</v>
      </c>
      <c r="C243" s="1" t="n">
        <v>45933</v>
      </c>
      <c r="D243" t="inlineStr">
        <is>
          <t>STOCKHOLMS LÄN</t>
        </is>
      </c>
      <c r="E243" t="inlineStr">
        <is>
          <t>NORRTÄLJE</t>
        </is>
      </c>
      <c r="G243" t="n">
        <v>3.8</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45933</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45933</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45933</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37415-2021</t>
        </is>
      </c>
      <c r="B247" s="1" t="n">
        <v>44397</v>
      </c>
      <c r="C247" s="1" t="n">
        <v>45933</v>
      </c>
      <c r="D247" t="inlineStr">
        <is>
          <t>STOCKHOLMS LÄN</t>
        </is>
      </c>
      <c r="E247" t="inlineStr">
        <is>
          <t>NORRTÄLJE</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45933</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72355-2021</t>
        </is>
      </c>
      <c r="B249" s="1" t="n">
        <v>44545</v>
      </c>
      <c r="C249" s="1" t="n">
        <v>45933</v>
      </c>
      <c r="D249" t="inlineStr">
        <is>
          <t>STOCKHOLMS LÄN</t>
        </is>
      </c>
      <c r="E249" t="inlineStr">
        <is>
          <t>NORRTÄLJE</t>
        </is>
      </c>
      <c r="G249" t="n">
        <v>3.6</v>
      </c>
      <c r="H249" t="n">
        <v>0</v>
      </c>
      <c r="I249" t="n">
        <v>0</v>
      </c>
      <c r="J249" t="n">
        <v>0</v>
      </c>
      <c r="K249" t="n">
        <v>0</v>
      </c>
      <c r="L249" t="n">
        <v>0</v>
      </c>
      <c r="M249" t="n">
        <v>0</v>
      </c>
      <c r="N249" t="n">
        <v>0</v>
      </c>
      <c r="O249" t="n">
        <v>0</v>
      </c>
      <c r="P249" t="n">
        <v>0</v>
      </c>
      <c r="Q249" t="n">
        <v>0</v>
      </c>
      <c r="R249" s="2" t="inlineStr"/>
    </row>
    <row r="250" ht="15" customHeight="1">
      <c r="A250" t="inlineStr">
        <is>
          <t>A 72357-2021</t>
        </is>
      </c>
      <c r="B250" s="1" t="n">
        <v>44545</v>
      </c>
      <c r="C250" s="1" t="n">
        <v>45933</v>
      </c>
      <c r="D250" t="inlineStr">
        <is>
          <t>STOCKHOLMS LÄN</t>
        </is>
      </c>
      <c r="E250" t="inlineStr">
        <is>
          <t>NORRTÄLJE</t>
        </is>
      </c>
      <c r="G250" t="n">
        <v>5.1</v>
      </c>
      <c r="H250" t="n">
        <v>0</v>
      </c>
      <c r="I250" t="n">
        <v>0</v>
      </c>
      <c r="J250" t="n">
        <v>0</v>
      </c>
      <c r="K250" t="n">
        <v>0</v>
      </c>
      <c r="L250" t="n">
        <v>0</v>
      </c>
      <c r="M250" t="n">
        <v>0</v>
      </c>
      <c r="N250" t="n">
        <v>0</v>
      </c>
      <c r="O250" t="n">
        <v>0</v>
      </c>
      <c r="P250" t="n">
        <v>0</v>
      </c>
      <c r="Q250" t="n">
        <v>0</v>
      </c>
      <c r="R250" s="2" t="inlineStr"/>
    </row>
    <row r="251" ht="15" customHeight="1">
      <c r="A251" t="inlineStr">
        <is>
          <t>A 30286-2022</t>
        </is>
      </c>
      <c r="B251" s="1" t="n">
        <v>44760</v>
      </c>
      <c r="C251" s="1" t="n">
        <v>45933</v>
      </c>
      <c r="D251" t="inlineStr">
        <is>
          <t>STOCKHOLMS LÄN</t>
        </is>
      </c>
      <c r="E251" t="inlineStr">
        <is>
          <t>NORRTÄLJE</t>
        </is>
      </c>
      <c r="G251" t="n">
        <v>0.3</v>
      </c>
      <c r="H251" t="n">
        <v>0</v>
      </c>
      <c r="I251" t="n">
        <v>0</v>
      </c>
      <c r="J251" t="n">
        <v>0</v>
      </c>
      <c r="K251" t="n">
        <v>0</v>
      </c>
      <c r="L251" t="n">
        <v>0</v>
      </c>
      <c r="M251" t="n">
        <v>0</v>
      </c>
      <c r="N251" t="n">
        <v>0</v>
      </c>
      <c r="O251" t="n">
        <v>0</v>
      </c>
      <c r="P251" t="n">
        <v>0</v>
      </c>
      <c r="Q251" t="n">
        <v>0</v>
      </c>
      <c r="R251" s="2" t="inlineStr"/>
    </row>
    <row r="252" ht="15" customHeight="1">
      <c r="A252" t="inlineStr">
        <is>
          <t>A 8160-2022</t>
        </is>
      </c>
      <c r="B252" s="1" t="n">
        <v>44609</v>
      </c>
      <c r="C252" s="1" t="n">
        <v>45933</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5562-2021</t>
        </is>
      </c>
      <c r="B253" s="1" t="n">
        <v>44230</v>
      </c>
      <c r="C253" s="1" t="n">
        <v>45933</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5566-2021</t>
        </is>
      </c>
      <c r="B254" s="1" t="n">
        <v>44230</v>
      </c>
      <c r="C254" s="1" t="n">
        <v>45933</v>
      </c>
      <c r="D254" t="inlineStr">
        <is>
          <t>STOCKHOLMS LÄN</t>
        </is>
      </c>
      <c r="E254" t="inlineStr">
        <is>
          <t>NORRTÄLJE</t>
        </is>
      </c>
      <c r="G254" t="n">
        <v>3.1</v>
      </c>
      <c r="H254" t="n">
        <v>0</v>
      </c>
      <c r="I254" t="n">
        <v>0</v>
      </c>
      <c r="J254" t="n">
        <v>0</v>
      </c>
      <c r="K254" t="n">
        <v>0</v>
      </c>
      <c r="L254" t="n">
        <v>0</v>
      </c>
      <c r="M254" t="n">
        <v>0</v>
      </c>
      <c r="N254" t="n">
        <v>0</v>
      </c>
      <c r="O254" t="n">
        <v>0</v>
      </c>
      <c r="P254" t="n">
        <v>0</v>
      </c>
      <c r="Q254" t="n">
        <v>0</v>
      </c>
      <c r="R254" s="2" t="inlineStr"/>
    </row>
    <row r="255" ht="15" customHeight="1">
      <c r="A255" t="inlineStr">
        <is>
          <t>A 39319-2022</t>
        </is>
      </c>
      <c r="B255" s="1" t="n">
        <v>44817.70516203704</v>
      </c>
      <c r="C255" s="1" t="n">
        <v>45933</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9988-2022</t>
        </is>
      </c>
      <c r="B256" s="1" t="n">
        <v>44621</v>
      </c>
      <c r="C256" s="1" t="n">
        <v>45933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56219-2021</t>
        </is>
      </c>
      <c r="B257" s="1" t="n">
        <v>44477</v>
      </c>
      <c r="C257" s="1" t="n">
        <v>45933</v>
      </c>
      <c r="D257" t="inlineStr">
        <is>
          <t>STOCKHOLMS LÄN</t>
        </is>
      </c>
      <c r="E257" t="inlineStr">
        <is>
          <t>NORRTÄLJE</t>
        </is>
      </c>
      <c r="F257" t="inlineStr">
        <is>
          <t>Kommuner</t>
        </is>
      </c>
      <c r="G257" t="n">
        <v>2.3</v>
      </c>
      <c r="H257" t="n">
        <v>0</v>
      </c>
      <c r="I257" t="n">
        <v>0</v>
      </c>
      <c r="J257" t="n">
        <v>0</v>
      </c>
      <c r="K257" t="n">
        <v>0</v>
      </c>
      <c r="L257" t="n">
        <v>0</v>
      </c>
      <c r="M257" t="n">
        <v>0</v>
      </c>
      <c r="N257" t="n">
        <v>0</v>
      </c>
      <c r="O257" t="n">
        <v>0</v>
      </c>
      <c r="P257" t="n">
        <v>0</v>
      </c>
      <c r="Q257" t="n">
        <v>0</v>
      </c>
      <c r="R257" s="2" t="inlineStr"/>
    </row>
    <row r="258" ht="15" customHeight="1">
      <c r="A258" t="inlineStr">
        <is>
          <t>A 2732-2022</t>
        </is>
      </c>
      <c r="B258" s="1" t="n">
        <v>44580</v>
      </c>
      <c r="C258" s="1" t="n">
        <v>45933</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60733-2021</t>
        </is>
      </c>
      <c r="B259" s="1" t="n">
        <v>44496.77542824074</v>
      </c>
      <c r="C259" s="1" t="n">
        <v>45933</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16119-2022</t>
        </is>
      </c>
      <c r="B260" s="1" t="n">
        <v>44665.66407407408</v>
      </c>
      <c r="C260" s="1" t="n">
        <v>45933</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31924-2022</t>
        </is>
      </c>
      <c r="B261" s="1" t="n">
        <v>44777</v>
      </c>
      <c r="C261" s="1" t="n">
        <v>45933</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52139-2022</t>
        </is>
      </c>
      <c r="B262" s="1" t="n">
        <v>44868</v>
      </c>
      <c r="C262" s="1" t="n">
        <v>45933</v>
      </c>
      <c r="D262" t="inlineStr">
        <is>
          <t>STOCKHOLMS LÄN</t>
        </is>
      </c>
      <c r="E262" t="inlineStr">
        <is>
          <t>NORRTÄLJE</t>
        </is>
      </c>
      <c r="G262" t="n">
        <v>3.2</v>
      </c>
      <c r="H262" t="n">
        <v>0</v>
      </c>
      <c r="I262" t="n">
        <v>0</v>
      </c>
      <c r="J262" t="n">
        <v>0</v>
      </c>
      <c r="K262" t="n">
        <v>0</v>
      </c>
      <c r="L262" t="n">
        <v>0</v>
      </c>
      <c r="M262" t="n">
        <v>0</v>
      </c>
      <c r="N262" t="n">
        <v>0</v>
      </c>
      <c r="O262" t="n">
        <v>0</v>
      </c>
      <c r="P262" t="n">
        <v>0</v>
      </c>
      <c r="Q262" t="n">
        <v>0</v>
      </c>
      <c r="R262" s="2" t="inlineStr"/>
    </row>
    <row r="263" ht="15" customHeight="1">
      <c r="A263" t="inlineStr">
        <is>
          <t>A 9446-2021</t>
        </is>
      </c>
      <c r="B263" s="1" t="n">
        <v>44251</v>
      </c>
      <c r="C263" s="1" t="n">
        <v>45933</v>
      </c>
      <c r="D263" t="inlineStr">
        <is>
          <t>STOCKHOLMS LÄN</t>
        </is>
      </c>
      <c r="E263" t="inlineStr">
        <is>
          <t>NORRTÄLJE</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12270-2022</t>
        </is>
      </c>
      <c r="B264" s="1" t="n">
        <v>44637</v>
      </c>
      <c r="C264" s="1" t="n">
        <v>45933</v>
      </c>
      <c r="D264" t="inlineStr">
        <is>
          <t>STOCKHOLMS LÄN</t>
        </is>
      </c>
      <c r="E264" t="inlineStr">
        <is>
          <t>NORRTÄLJE</t>
        </is>
      </c>
      <c r="G264" t="n">
        <v>2.3</v>
      </c>
      <c r="H264" t="n">
        <v>0</v>
      </c>
      <c r="I264" t="n">
        <v>0</v>
      </c>
      <c r="J264" t="n">
        <v>0</v>
      </c>
      <c r="K264" t="n">
        <v>0</v>
      </c>
      <c r="L264" t="n">
        <v>0</v>
      </c>
      <c r="M264" t="n">
        <v>0</v>
      </c>
      <c r="N264" t="n">
        <v>0</v>
      </c>
      <c r="O264" t="n">
        <v>0</v>
      </c>
      <c r="P264" t="n">
        <v>0</v>
      </c>
      <c r="Q264" t="n">
        <v>0</v>
      </c>
      <c r="R264" s="2" t="inlineStr"/>
    </row>
    <row r="265" ht="15" customHeight="1">
      <c r="A265" t="inlineStr">
        <is>
          <t>A 32071-2023</t>
        </is>
      </c>
      <c r="B265" s="1" t="n">
        <v>45119.57728009259</v>
      </c>
      <c r="C265" s="1" t="n">
        <v>45933</v>
      </c>
      <c r="D265" t="inlineStr">
        <is>
          <t>STOCKHOLMS LÄN</t>
        </is>
      </c>
      <c r="E265" t="inlineStr">
        <is>
          <t>NORRTÄLJE</t>
        </is>
      </c>
      <c r="G265" t="n">
        <v>6.5</v>
      </c>
      <c r="H265" t="n">
        <v>0</v>
      </c>
      <c r="I265" t="n">
        <v>0</v>
      </c>
      <c r="J265" t="n">
        <v>0</v>
      </c>
      <c r="K265" t="n">
        <v>0</v>
      </c>
      <c r="L265" t="n">
        <v>0</v>
      </c>
      <c r="M265" t="n">
        <v>0</v>
      </c>
      <c r="N265" t="n">
        <v>0</v>
      </c>
      <c r="O265" t="n">
        <v>0</v>
      </c>
      <c r="P265" t="n">
        <v>0</v>
      </c>
      <c r="Q265" t="n">
        <v>0</v>
      </c>
      <c r="R265" s="2" t="inlineStr"/>
    </row>
    <row r="266" ht="15" customHeight="1">
      <c r="A266" t="inlineStr">
        <is>
          <t>A 25681-2024</t>
        </is>
      </c>
      <c r="B266" s="1" t="n">
        <v>45463.80486111111</v>
      </c>
      <c r="C266" s="1" t="n">
        <v>45933</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53884-2022</t>
        </is>
      </c>
      <c r="B267" s="1" t="n">
        <v>44880.68423611111</v>
      </c>
      <c r="C267" s="1" t="n">
        <v>45933</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12357-2022</t>
        </is>
      </c>
      <c r="B268" s="1" t="n">
        <v>44637</v>
      </c>
      <c r="C268" s="1" t="n">
        <v>45933</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26335-2022</t>
        </is>
      </c>
      <c r="B269" s="1" t="n">
        <v>44735</v>
      </c>
      <c r="C269" s="1" t="n">
        <v>45933</v>
      </c>
      <c r="D269" t="inlineStr">
        <is>
          <t>STOCKHOLMS LÄN</t>
        </is>
      </c>
      <c r="E269" t="inlineStr">
        <is>
          <t>NORRTÄLJE</t>
        </is>
      </c>
      <c r="G269" t="n">
        <v>3.3</v>
      </c>
      <c r="H269" t="n">
        <v>0</v>
      </c>
      <c r="I269" t="n">
        <v>0</v>
      </c>
      <c r="J269" t="n">
        <v>0</v>
      </c>
      <c r="K269" t="n">
        <v>0</v>
      </c>
      <c r="L269" t="n">
        <v>0</v>
      </c>
      <c r="M269" t="n">
        <v>0</v>
      </c>
      <c r="N269" t="n">
        <v>0</v>
      </c>
      <c r="O269" t="n">
        <v>0</v>
      </c>
      <c r="P269" t="n">
        <v>0</v>
      </c>
      <c r="Q269" t="n">
        <v>0</v>
      </c>
      <c r="R269" s="2" t="inlineStr"/>
    </row>
    <row r="270" ht="15" customHeight="1">
      <c r="A270" t="inlineStr">
        <is>
          <t>A 24245-2024</t>
        </is>
      </c>
      <c r="B270" s="1" t="n">
        <v>45457</v>
      </c>
      <c r="C270" s="1" t="n">
        <v>45933</v>
      </c>
      <c r="D270" t="inlineStr">
        <is>
          <t>STOCKHOLMS LÄN</t>
        </is>
      </c>
      <c r="E270" t="inlineStr">
        <is>
          <t>NORRTÄLJE</t>
        </is>
      </c>
      <c r="F270" t="inlineStr">
        <is>
          <t>Holmen skog AB</t>
        </is>
      </c>
      <c r="G270" t="n">
        <v>3.4</v>
      </c>
      <c r="H270" t="n">
        <v>0</v>
      </c>
      <c r="I270" t="n">
        <v>0</v>
      </c>
      <c r="J270" t="n">
        <v>0</v>
      </c>
      <c r="K270" t="n">
        <v>0</v>
      </c>
      <c r="L270" t="n">
        <v>0</v>
      </c>
      <c r="M270" t="n">
        <v>0</v>
      </c>
      <c r="N270" t="n">
        <v>0</v>
      </c>
      <c r="O270" t="n">
        <v>0</v>
      </c>
      <c r="P270" t="n">
        <v>0</v>
      </c>
      <c r="Q270" t="n">
        <v>0</v>
      </c>
      <c r="R270" s="2" t="inlineStr"/>
    </row>
    <row r="271" ht="15" customHeight="1">
      <c r="A271" t="inlineStr">
        <is>
          <t>A 17843-2024</t>
        </is>
      </c>
      <c r="B271" s="1" t="n">
        <v>45418</v>
      </c>
      <c r="C271" s="1" t="n">
        <v>45933</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26115-2024</t>
        </is>
      </c>
      <c r="B272" s="1" t="n">
        <v>45468.45628472222</v>
      </c>
      <c r="C272" s="1" t="n">
        <v>45933</v>
      </c>
      <c r="D272" t="inlineStr">
        <is>
          <t>STOCKHOLMS LÄN</t>
        </is>
      </c>
      <c r="E272" t="inlineStr">
        <is>
          <t>NORRTÄLJE</t>
        </is>
      </c>
      <c r="G272" t="n">
        <v>0.3</v>
      </c>
      <c r="H272" t="n">
        <v>0</v>
      </c>
      <c r="I272" t="n">
        <v>0</v>
      </c>
      <c r="J272" t="n">
        <v>0</v>
      </c>
      <c r="K272" t="n">
        <v>0</v>
      </c>
      <c r="L272" t="n">
        <v>0</v>
      </c>
      <c r="M272" t="n">
        <v>0</v>
      </c>
      <c r="N272" t="n">
        <v>0</v>
      </c>
      <c r="O272" t="n">
        <v>0</v>
      </c>
      <c r="P272" t="n">
        <v>0</v>
      </c>
      <c r="Q272" t="n">
        <v>0</v>
      </c>
      <c r="R272" s="2" t="inlineStr"/>
    </row>
    <row r="273" ht="15" customHeight="1">
      <c r="A273" t="inlineStr">
        <is>
          <t>A 12890-2024</t>
        </is>
      </c>
      <c r="B273" s="1" t="n">
        <v>45385.36243055556</v>
      </c>
      <c r="C273" s="1" t="n">
        <v>45933</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15226-2022</t>
        </is>
      </c>
      <c r="B274" s="1" t="n">
        <v>44658</v>
      </c>
      <c r="C274" s="1" t="n">
        <v>45933</v>
      </c>
      <c r="D274" t="inlineStr">
        <is>
          <t>STOCKHOLMS LÄN</t>
        </is>
      </c>
      <c r="E274" t="inlineStr">
        <is>
          <t>NORRTÄLJE</t>
        </is>
      </c>
      <c r="G274" t="n">
        <v>1.1</v>
      </c>
      <c r="H274" t="n">
        <v>0</v>
      </c>
      <c r="I274" t="n">
        <v>0</v>
      </c>
      <c r="J274" t="n">
        <v>0</v>
      </c>
      <c r="K274" t="n">
        <v>0</v>
      </c>
      <c r="L274" t="n">
        <v>0</v>
      </c>
      <c r="M274" t="n">
        <v>0</v>
      </c>
      <c r="N274" t="n">
        <v>0</v>
      </c>
      <c r="O274" t="n">
        <v>0</v>
      </c>
      <c r="P274" t="n">
        <v>0</v>
      </c>
      <c r="Q274" t="n">
        <v>0</v>
      </c>
      <c r="R274" s="2" t="inlineStr"/>
    </row>
    <row r="275" ht="15" customHeight="1">
      <c r="A275" t="inlineStr">
        <is>
          <t>A 30624-2022</t>
        </is>
      </c>
      <c r="B275" s="1" t="n">
        <v>44763.4182175926</v>
      </c>
      <c r="C275" s="1" t="n">
        <v>45933</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3300-2022</t>
        </is>
      </c>
      <c r="B276" s="1" t="n">
        <v>44584.91538194445</v>
      </c>
      <c r="C276" s="1" t="n">
        <v>45933</v>
      </c>
      <c r="D276" t="inlineStr">
        <is>
          <t>STOCKHOLMS LÄN</t>
        </is>
      </c>
      <c r="E276" t="inlineStr">
        <is>
          <t>NORRTÄLJE</t>
        </is>
      </c>
      <c r="G276" t="n">
        <v>0.4</v>
      </c>
      <c r="H276" t="n">
        <v>0</v>
      </c>
      <c r="I276" t="n">
        <v>0</v>
      </c>
      <c r="J276" t="n">
        <v>0</v>
      </c>
      <c r="K276" t="n">
        <v>0</v>
      </c>
      <c r="L276" t="n">
        <v>0</v>
      </c>
      <c r="M276" t="n">
        <v>0</v>
      </c>
      <c r="N276" t="n">
        <v>0</v>
      </c>
      <c r="O276" t="n">
        <v>0</v>
      </c>
      <c r="P276" t="n">
        <v>0</v>
      </c>
      <c r="Q276" t="n">
        <v>0</v>
      </c>
      <c r="R276" s="2" t="inlineStr"/>
    </row>
    <row r="277" ht="15" customHeight="1">
      <c r="A277" t="inlineStr">
        <is>
          <t>A 17388-2022</t>
        </is>
      </c>
      <c r="B277" s="1" t="n">
        <v>44678</v>
      </c>
      <c r="C277" s="1" t="n">
        <v>45933</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36430-2024</t>
        </is>
      </c>
      <c r="B278" s="1" t="n">
        <v>45536</v>
      </c>
      <c r="C278" s="1" t="n">
        <v>45933</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38991-2022</t>
        </is>
      </c>
      <c r="B279" s="1" t="n">
        <v>44816.89569444444</v>
      </c>
      <c r="C279" s="1" t="n">
        <v>45933</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45933</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45933</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54273-2021</t>
        </is>
      </c>
      <c r="B282" s="1" t="n">
        <v>44470.72987268519</v>
      </c>
      <c r="C282" s="1" t="n">
        <v>45933</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43212-2022</t>
        </is>
      </c>
      <c r="B283" s="1" t="n">
        <v>44834.38636574074</v>
      </c>
      <c r="C283" s="1" t="n">
        <v>45933</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51720-2020</t>
        </is>
      </c>
      <c r="B284" s="1" t="n">
        <v>44113</v>
      </c>
      <c r="C284" s="1" t="n">
        <v>45933</v>
      </c>
      <c r="D284" t="inlineStr">
        <is>
          <t>STOCKHOLMS LÄN</t>
        </is>
      </c>
      <c r="E284" t="inlineStr">
        <is>
          <t>NORRTÄLJE</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10521-2022</t>
        </is>
      </c>
      <c r="B285" s="1" t="n">
        <v>44623</v>
      </c>
      <c r="C285" s="1" t="n">
        <v>45933</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41172-2023</t>
        </is>
      </c>
      <c r="B286" s="1" t="n">
        <v>45170</v>
      </c>
      <c r="C286" s="1" t="n">
        <v>45933</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55982-2020</t>
        </is>
      </c>
      <c r="B287" s="1" t="n">
        <v>44132</v>
      </c>
      <c r="C287" s="1" t="n">
        <v>45933</v>
      </c>
      <c r="D287" t="inlineStr">
        <is>
          <t>STOCKHOLMS LÄN</t>
        </is>
      </c>
      <c r="E287" t="inlineStr">
        <is>
          <t>NORRTÄLJE</t>
        </is>
      </c>
      <c r="G287" t="n">
        <v>11.3</v>
      </c>
      <c r="H287" t="n">
        <v>0</v>
      </c>
      <c r="I287" t="n">
        <v>0</v>
      </c>
      <c r="J287" t="n">
        <v>0</v>
      </c>
      <c r="K287" t="n">
        <v>0</v>
      </c>
      <c r="L287" t="n">
        <v>0</v>
      </c>
      <c r="M287" t="n">
        <v>0</v>
      </c>
      <c r="N287" t="n">
        <v>0</v>
      </c>
      <c r="O287" t="n">
        <v>0</v>
      </c>
      <c r="P287" t="n">
        <v>0</v>
      </c>
      <c r="Q287" t="n">
        <v>0</v>
      </c>
      <c r="R287" s="2" t="inlineStr"/>
    </row>
    <row r="288" ht="15" customHeight="1">
      <c r="A288" t="inlineStr">
        <is>
          <t>A 67921-2021</t>
        </is>
      </c>
      <c r="B288" s="1" t="n">
        <v>44525</v>
      </c>
      <c r="C288" s="1" t="n">
        <v>45933</v>
      </c>
      <c r="D288" t="inlineStr">
        <is>
          <t>STOCKHOLMS LÄN</t>
        </is>
      </c>
      <c r="E288" t="inlineStr">
        <is>
          <t>NORRTÄLJE</t>
        </is>
      </c>
      <c r="G288" t="n">
        <v>6.3</v>
      </c>
      <c r="H288" t="n">
        <v>0</v>
      </c>
      <c r="I288" t="n">
        <v>0</v>
      </c>
      <c r="J288" t="n">
        <v>0</v>
      </c>
      <c r="K288" t="n">
        <v>0</v>
      </c>
      <c r="L288" t="n">
        <v>0</v>
      </c>
      <c r="M288" t="n">
        <v>0</v>
      </c>
      <c r="N288" t="n">
        <v>0</v>
      </c>
      <c r="O288" t="n">
        <v>0</v>
      </c>
      <c r="P288" t="n">
        <v>0</v>
      </c>
      <c r="Q288" t="n">
        <v>0</v>
      </c>
      <c r="R288" s="2" t="inlineStr"/>
    </row>
    <row r="289" ht="15" customHeight="1">
      <c r="A289" t="inlineStr">
        <is>
          <t>A 72704-2021</t>
        </is>
      </c>
      <c r="B289" s="1" t="n">
        <v>44546</v>
      </c>
      <c r="C289" s="1" t="n">
        <v>45933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65499-2021</t>
        </is>
      </c>
      <c r="B290" s="1" t="n">
        <v>44516</v>
      </c>
      <c r="C290" s="1" t="n">
        <v>45933</v>
      </c>
      <c r="D290" t="inlineStr">
        <is>
          <t>STOCKHOLMS LÄN</t>
        </is>
      </c>
      <c r="E290" t="inlineStr">
        <is>
          <t>NORRTÄLJE</t>
        </is>
      </c>
      <c r="F290" t="inlineStr">
        <is>
          <t>Kommuner</t>
        </is>
      </c>
      <c r="G290" t="n">
        <v>5.2</v>
      </c>
      <c r="H290" t="n">
        <v>0</v>
      </c>
      <c r="I290" t="n">
        <v>0</v>
      </c>
      <c r="J290" t="n">
        <v>0</v>
      </c>
      <c r="K290" t="n">
        <v>0</v>
      </c>
      <c r="L290" t="n">
        <v>0</v>
      </c>
      <c r="M290" t="n">
        <v>0</v>
      </c>
      <c r="N290" t="n">
        <v>0</v>
      </c>
      <c r="O290" t="n">
        <v>0</v>
      </c>
      <c r="P290" t="n">
        <v>0</v>
      </c>
      <c r="Q290" t="n">
        <v>0</v>
      </c>
      <c r="R290" s="2" t="inlineStr"/>
    </row>
    <row r="291" ht="15" customHeight="1">
      <c r="A291" t="inlineStr">
        <is>
          <t>A 65511-2021</t>
        </is>
      </c>
      <c r="B291" s="1" t="n">
        <v>44516.40674768519</v>
      </c>
      <c r="C291" s="1" t="n">
        <v>45933</v>
      </c>
      <c r="D291" t="inlineStr">
        <is>
          <t>STOCKHOLMS LÄN</t>
        </is>
      </c>
      <c r="E291" t="inlineStr">
        <is>
          <t>NORRTÄLJE</t>
        </is>
      </c>
      <c r="F291" t="inlineStr">
        <is>
          <t>Kommuner</t>
        </is>
      </c>
      <c r="G291" t="n">
        <v>2.8</v>
      </c>
      <c r="H291" t="n">
        <v>0</v>
      </c>
      <c r="I291" t="n">
        <v>0</v>
      </c>
      <c r="J291" t="n">
        <v>0</v>
      </c>
      <c r="K291" t="n">
        <v>0</v>
      </c>
      <c r="L291" t="n">
        <v>0</v>
      </c>
      <c r="M291" t="n">
        <v>0</v>
      </c>
      <c r="N291" t="n">
        <v>0</v>
      </c>
      <c r="O291" t="n">
        <v>0</v>
      </c>
      <c r="P291" t="n">
        <v>0</v>
      </c>
      <c r="Q291" t="n">
        <v>0</v>
      </c>
      <c r="R291" s="2" t="inlineStr"/>
    </row>
    <row r="292" ht="15" customHeight="1">
      <c r="A292" t="inlineStr">
        <is>
          <t>A 25697-2025</t>
        </is>
      </c>
      <c r="B292" s="1" t="n">
        <v>45803.66587962963</v>
      </c>
      <c r="C292" s="1" t="n">
        <v>45933</v>
      </c>
      <c r="D292" t="inlineStr">
        <is>
          <t>STOCKHOLMS LÄN</t>
        </is>
      </c>
      <c r="E292" t="inlineStr">
        <is>
          <t>NORRTÄLJE</t>
        </is>
      </c>
      <c r="G292" t="n">
        <v>2.5</v>
      </c>
      <c r="H292" t="n">
        <v>0</v>
      </c>
      <c r="I292" t="n">
        <v>0</v>
      </c>
      <c r="J292" t="n">
        <v>0</v>
      </c>
      <c r="K292" t="n">
        <v>0</v>
      </c>
      <c r="L292" t="n">
        <v>0</v>
      </c>
      <c r="M292" t="n">
        <v>0</v>
      </c>
      <c r="N292" t="n">
        <v>0</v>
      </c>
      <c r="O292" t="n">
        <v>0</v>
      </c>
      <c r="P292" t="n">
        <v>0</v>
      </c>
      <c r="Q292" t="n">
        <v>0</v>
      </c>
      <c r="R292" s="2" t="inlineStr"/>
    </row>
    <row r="293" ht="15" customHeight="1">
      <c r="A293" t="inlineStr">
        <is>
          <t>A 34295-2024</t>
        </is>
      </c>
      <c r="B293" s="1" t="n">
        <v>45524</v>
      </c>
      <c r="C293" s="1" t="n">
        <v>45933</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16117-2022</t>
        </is>
      </c>
      <c r="B294" s="1" t="n">
        <v>44665.65474537037</v>
      </c>
      <c r="C294" s="1" t="n">
        <v>45933</v>
      </c>
      <c r="D294" t="inlineStr">
        <is>
          <t>STOCKHOLMS LÄN</t>
        </is>
      </c>
      <c r="E294" t="inlineStr">
        <is>
          <t>NORRTÄLJE</t>
        </is>
      </c>
      <c r="G294" t="n">
        <v>8.1</v>
      </c>
      <c r="H294" t="n">
        <v>0</v>
      </c>
      <c r="I294" t="n">
        <v>0</v>
      </c>
      <c r="J294" t="n">
        <v>0</v>
      </c>
      <c r="K294" t="n">
        <v>0</v>
      </c>
      <c r="L294" t="n">
        <v>0</v>
      </c>
      <c r="M294" t="n">
        <v>0</v>
      </c>
      <c r="N294" t="n">
        <v>0</v>
      </c>
      <c r="O294" t="n">
        <v>0</v>
      </c>
      <c r="P294" t="n">
        <v>0</v>
      </c>
      <c r="Q294" t="n">
        <v>0</v>
      </c>
      <c r="R294" s="2" t="inlineStr"/>
    </row>
    <row r="295" ht="15" customHeight="1">
      <c r="A295" t="inlineStr">
        <is>
          <t>A 16132-2022</t>
        </is>
      </c>
      <c r="B295" s="1" t="n">
        <v>44665.78351851852</v>
      </c>
      <c r="C295" s="1" t="n">
        <v>45933</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26113-2024</t>
        </is>
      </c>
      <c r="B296" s="1" t="n">
        <v>45468.45541666666</v>
      </c>
      <c r="C296" s="1" t="n">
        <v>45933</v>
      </c>
      <c r="D296" t="inlineStr">
        <is>
          <t>STOCKHOLMS LÄN</t>
        </is>
      </c>
      <c r="E296" t="inlineStr">
        <is>
          <t>NORRTÄLJE</t>
        </is>
      </c>
      <c r="G296" t="n">
        <v>0.4</v>
      </c>
      <c r="H296" t="n">
        <v>0</v>
      </c>
      <c r="I296" t="n">
        <v>0</v>
      </c>
      <c r="J296" t="n">
        <v>0</v>
      </c>
      <c r="K296" t="n">
        <v>0</v>
      </c>
      <c r="L296" t="n">
        <v>0</v>
      </c>
      <c r="M296" t="n">
        <v>0</v>
      </c>
      <c r="N296" t="n">
        <v>0</v>
      </c>
      <c r="O296" t="n">
        <v>0</v>
      </c>
      <c r="P296" t="n">
        <v>0</v>
      </c>
      <c r="Q296" t="n">
        <v>0</v>
      </c>
      <c r="R296" s="2" t="inlineStr"/>
    </row>
    <row r="297" ht="15" customHeight="1">
      <c r="A297" t="inlineStr">
        <is>
          <t>A 26116-2024</t>
        </is>
      </c>
      <c r="B297" s="1" t="n">
        <v>45468.45747685185</v>
      </c>
      <c r="C297" s="1" t="n">
        <v>45933</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47259-2024</t>
        </is>
      </c>
      <c r="B298" s="1" t="n">
        <v>45586</v>
      </c>
      <c r="C298" s="1" t="n">
        <v>45933</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6537-2024</t>
        </is>
      </c>
      <c r="B299" s="1" t="n">
        <v>45341.39853009259</v>
      </c>
      <c r="C299" s="1" t="n">
        <v>45933</v>
      </c>
      <c r="D299" t="inlineStr">
        <is>
          <t>STOCKHOLMS LÄN</t>
        </is>
      </c>
      <c r="E299" t="inlineStr">
        <is>
          <t>NORRTÄLJE</t>
        </is>
      </c>
      <c r="G299" t="n">
        <v>1.2</v>
      </c>
      <c r="H299" t="n">
        <v>0</v>
      </c>
      <c r="I299" t="n">
        <v>0</v>
      </c>
      <c r="J299" t="n">
        <v>0</v>
      </c>
      <c r="K299" t="n">
        <v>0</v>
      </c>
      <c r="L299" t="n">
        <v>0</v>
      </c>
      <c r="M299" t="n">
        <v>0</v>
      </c>
      <c r="N299" t="n">
        <v>0</v>
      </c>
      <c r="O299" t="n">
        <v>0</v>
      </c>
      <c r="P299" t="n">
        <v>0</v>
      </c>
      <c r="Q299" t="n">
        <v>0</v>
      </c>
      <c r="R299" s="2" t="inlineStr"/>
    </row>
    <row r="300" ht="15" customHeight="1">
      <c r="A300" t="inlineStr">
        <is>
          <t>A 52686-2024</t>
        </is>
      </c>
      <c r="B300" s="1" t="n">
        <v>45610.39271990741</v>
      </c>
      <c r="C300" s="1" t="n">
        <v>45933</v>
      </c>
      <c r="D300" t="inlineStr">
        <is>
          <t>STOCKHOLMS LÄN</t>
        </is>
      </c>
      <c r="E300" t="inlineStr">
        <is>
          <t>NORRTÄLJE</t>
        </is>
      </c>
      <c r="G300" t="n">
        <v>5.7</v>
      </c>
      <c r="H300" t="n">
        <v>0</v>
      </c>
      <c r="I300" t="n">
        <v>0</v>
      </c>
      <c r="J300" t="n">
        <v>0</v>
      </c>
      <c r="K300" t="n">
        <v>0</v>
      </c>
      <c r="L300" t="n">
        <v>0</v>
      </c>
      <c r="M300" t="n">
        <v>0</v>
      </c>
      <c r="N300" t="n">
        <v>0</v>
      </c>
      <c r="O300" t="n">
        <v>0</v>
      </c>
      <c r="P300" t="n">
        <v>0</v>
      </c>
      <c r="Q300" t="n">
        <v>0</v>
      </c>
      <c r="R300" s="2" t="inlineStr"/>
    </row>
    <row r="301" ht="15" customHeight="1">
      <c r="A301" t="inlineStr">
        <is>
          <t>A 70170-2021</t>
        </is>
      </c>
      <c r="B301" s="1" t="n">
        <v>44533</v>
      </c>
      <c r="C301" s="1" t="n">
        <v>45933</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34478-2025</t>
        </is>
      </c>
      <c r="B302" s="1" t="n">
        <v>45847.37414351852</v>
      </c>
      <c r="C302" s="1" t="n">
        <v>45933</v>
      </c>
      <c r="D302" t="inlineStr">
        <is>
          <t>STOCKHOLMS LÄN</t>
        </is>
      </c>
      <c r="E302" t="inlineStr">
        <is>
          <t>NORRTÄLJE</t>
        </is>
      </c>
      <c r="F302" t="inlineStr">
        <is>
          <t>Övriga Aktiebolag</t>
        </is>
      </c>
      <c r="G302" t="n">
        <v>10.8</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45933</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25463-2021</t>
        </is>
      </c>
      <c r="B304" s="1" t="n">
        <v>44342</v>
      </c>
      <c r="C304" s="1" t="n">
        <v>45933</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21102-2022</t>
        </is>
      </c>
      <c r="B305" s="1" t="n">
        <v>44704</v>
      </c>
      <c r="C305" s="1" t="n">
        <v>45933</v>
      </c>
      <c r="D305" t="inlineStr">
        <is>
          <t>STOCKHOLMS LÄN</t>
        </is>
      </c>
      <c r="E305" t="inlineStr">
        <is>
          <t>NORRTÄLJE</t>
        </is>
      </c>
      <c r="G305" t="n">
        <v>0.2</v>
      </c>
      <c r="H305" t="n">
        <v>0</v>
      </c>
      <c r="I305" t="n">
        <v>0</v>
      </c>
      <c r="J305" t="n">
        <v>0</v>
      </c>
      <c r="K305" t="n">
        <v>0</v>
      </c>
      <c r="L305" t="n">
        <v>0</v>
      </c>
      <c r="M305" t="n">
        <v>0</v>
      </c>
      <c r="N305" t="n">
        <v>0</v>
      </c>
      <c r="O305" t="n">
        <v>0</v>
      </c>
      <c r="P305" t="n">
        <v>0</v>
      </c>
      <c r="Q305" t="n">
        <v>0</v>
      </c>
      <c r="R305" s="2" t="inlineStr"/>
    </row>
    <row r="306" ht="15" customHeight="1">
      <c r="A306" t="inlineStr">
        <is>
          <t>A 71880-2021</t>
        </is>
      </c>
      <c r="B306" s="1" t="n">
        <v>44543</v>
      </c>
      <c r="C306" s="1" t="n">
        <v>45933</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55058-2021</t>
        </is>
      </c>
      <c r="B307" s="1" t="n">
        <v>44474.62141203704</v>
      </c>
      <c r="C307" s="1" t="n">
        <v>45933</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40192-2023</t>
        </is>
      </c>
      <c r="B308" s="1" t="n">
        <v>45169</v>
      </c>
      <c r="C308" s="1" t="n">
        <v>45933</v>
      </c>
      <c r="D308" t="inlineStr">
        <is>
          <t>STOCKHOLMS LÄN</t>
        </is>
      </c>
      <c r="E308" t="inlineStr">
        <is>
          <t>NORRTÄLJE</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31105-2022</t>
        </is>
      </c>
      <c r="B309" s="1" t="n">
        <v>44769.66039351852</v>
      </c>
      <c r="C309" s="1" t="n">
        <v>45933</v>
      </c>
      <c r="D309" t="inlineStr">
        <is>
          <t>STOCKHOLMS LÄN</t>
        </is>
      </c>
      <c r="E309" t="inlineStr">
        <is>
          <t>NORRTÄLJE</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17772-2022</t>
        </is>
      </c>
      <c r="B310" s="1" t="n">
        <v>44682.76528935185</v>
      </c>
      <c r="C310" s="1" t="n">
        <v>45933</v>
      </c>
      <c r="D310" t="inlineStr">
        <is>
          <t>STOCKHOLMS LÄN</t>
        </is>
      </c>
      <c r="E310" t="inlineStr">
        <is>
          <t>NORRTÄLJE</t>
        </is>
      </c>
      <c r="G310" t="n">
        <v>4</v>
      </c>
      <c r="H310" t="n">
        <v>0</v>
      </c>
      <c r="I310" t="n">
        <v>0</v>
      </c>
      <c r="J310" t="n">
        <v>0</v>
      </c>
      <c r="K310" t="n">
        <v>0</v>
      </c>
      <c r="L310" t="n">
        <v>0</v>
      </c>
      <c r="M310" t="n">
        <v>0</v>
      </c>
      <c r="N310" t="n">
        <v>0</v>
      </c>
      <c r="O310" t="n">
        <v>0</v>
      </c>
      <c r="P310" t="n">
        <v>0</v>
      </c>
      <c r="Q310" t="n">
        <v>0</v>
      </c>
      <c r="R310" s="2" t="inlineStr"/>
    </row>
    <row r="311" ht="15" customHeight="1">
      <c r="A311" t="inlineStr">
        <is>
          <t>A 26675-2025</t>
        </is>
      </c>
      <c r="B311" s="1" t="n">
        <v>45810.42393518519</v>
      </c>
      <c r="C311" s="1" t="n">
        <v>45933</v>
      </c>
      <c r="D311" t="inlineStr">
        <is>
          <t>STOCKHOLMS LÄN</t>
        </is>
      </c>
      <c r="E311" t="inlineStr">
        <is>
          <t>NORRTÄLJE</t>
        </is>
      </c>
      <c r="G311" t="n">
        <v>2.7</v>
      </c>
      <c r="H311" t="n">
        <v>0</v>
      </c>
      <c r="I311" t="n">
        <v>0</v>
      </c>
      <c r="J311" t="n">
        <v>0</v>
      </c>
      <c r="K311" t="n">
        <v>0</v>
      </c>
      <c r="L311" t="n">
        <v>0</v>
      </c>
      <c r="M311" t="n">
        <v>0</v>
      </c>
      <c r="N311" t="n">
        <v>0</v>
      </c>
      <c r="O311" t="n">
        <v>0</v>
      </c>
      <c r="P311" t="n">
        <v>0</v>
      </c>
      <c r="Q311" t="n">
        <v>0</v>
      </c>
      <c r="R311" s="2" t="inlineStr"/>
    </row>
    <row r="312" ht="15" customHeight="1">
      <c r="A312" t="inlineStr">
        <is>
          <t>A 67285-2021</t>
        </is>
      </c>
      <c r="B312" s="1" t="n">
        <v>44523.61635416667</v>
      </c>
      <c r="C312" s="1" t="n">
        <v>45933</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4035-2023</t>
        </is>
      </c>
      <c r="B313" s="1" t="n">
        <v>44952.57989583333</v>
      </c>
      <c r="C313" s="1" t="n">
        <v>45933</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5611-2022</t>
        </is>
      </c>
      <c r="B314" s="1" t="n">
        <v>44595</v>
      </c>
      <c r="C314" s="1" t="n">
        <v>45933</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32055-2021</t>
        </is>
      </c>
      <c r="B315" s="1" t="n">
        <v>44370.72197916666</v>
      </c>
      <c r="C315" s="1" t="n">
        <v>45933</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24101-2022</t>
        </is>
      </c>
      <c r="B316" s="1" t="n">
        <v>44725</v>
      </c>
      <c r="C316" s="1" t="n">
        <v>45933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62644-2023</t>
        </is>
      </c>
      <c r="B317" s="1" t="n">
        <v>45271</v>
      </c>
      <c r="C317" s="1" t="n">
        <v>45933</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26644-2024</t>
        </is>
      </c>
      <c r="B318" s="1" t="n">
        <v>45469</v>
      </c>
      <c r="C318" s="1" t="n">
        <v>45933</v>
      </c>
      <c r="D318" t="inlineStr">
        <is>
          <t>STOCKHOLMS LÄN</t>
        </is>
      </c>
      <c r="E318" t="inlineStr">
        <is>
          <t>NORRTÄLJE</t>
        </is>
      </c>
      <c r="G318" t="n">
        <v>4.3</v>
      </c>
      <c r="H318" t="n">
        <v>0</v>
      </c>
      <c r="I318" t="n">
        <v>0</v>
      </c>
      <c r="J318" t="n">
        <v>0</v>
      </c>
      <c r="K318" t="n">
        <v>0</v>
      </c>
      <c r="L318" t="n">
        <v>0</v>
      </c>
      <c r="M318" t="n">
        <v>0</v>
      </c>
      <c r="N318" t="n">
        <v>0</v>
      </c>
      <c r="O318" t="n">
        <v>0</v>
      </c>
      <c r="P318" t="n">
        <v>0</v>
      </c>
      <c r="Q318" t="n">
        <v>0</v>
      </c>
      <c r="R318" s="2" t="inlineStr"/>
    </row>
    <row r="319" ht="15" customHeight="1">
      <c r="A319" t="inlineStr">
        <is>
          <t>A 60185-2024</t>
        </is>
      </c>
      <c r="B319" s="1" t="n">
        <v>45642.64634259259</v>
      </c>
      <c r="C319" s="1" t="n">
        <v>45933</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23061-2025</t>
        </is>
      </c>
      <c r="B320" s="1" t="n">
        <v>45790.81410879629</v>
      </c>
      <c r="C320" s="1" t="n">
        <v>45933</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60765-2023</t>
        </is>
      </c>
      <c r="B321" s="1" t="n">
        <v>45260</v>
      </c>
      <c r="C321" s="1" t="n">
        <v>45933</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12268-2022</t>
        </is>
      </c>
      <c r="B322" s="1" t="n">
        <v>44637</v>
      </c>
      <c r="C322" s="1" t="n">
        <v>45933</v>
      </c>
      <c r="D322" t="inlineStr">
        <is>
          <t>STOCKHOLMS LÄN</t>
        </is>
      </c>
      <c r="E322" t="inlineStr">
        <is>
          <t>NORRTÄLJE</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22832-2021</t>
        </is>
      </c>
      <c r="B323" s="1" t="n">
        <v>44325</v>
      </c>
      <c r="C323" s="1" t="n">
        <v>45933</v>
      </c>
      <c r="D323" t="inlineStr">
        <is>
          <t>STOCKHOLMS LÄN</t>
        </is>
      </c>
      <c r="E323" t="inlineStr">
        <is>
          <t>NORRTÄLJE</t>
        </is>
      </c>
      <c r="G323" t="n">
        <v>6.8</v>
      </c>
      <c r="H323" t="n">
        <v>0</v>
      </c>
      <c r="I323" t="n">
        <v>0</v>
      </c>
      <c r="J323" t="n">
        <v>0</v>
      </c>
      <c r="K323" t="n">
        <v>0</v>
      </c>
      <c r="L323" t="n">
        <v>0</v>
      </c>
      <c r="M323" t="n">
        <v>0</v>
      </c>
      <c r="N323" t="n">
        <v>0</v>
      </c>
      <c r="O323" t="n">
        <v>0</v>
      </c>
      <c r="P323" t="n">
        <v>0</v>
      </c>
      <c r="Q323" t="n">
        <v>0</v>
      </c>
      <c r="R323" s="2" t="inlineStr"/>
    </row>
    <row r="324" ht="15" customHeight="1">
      <c r="A324" t="inlineStr">
        <is>
          <t>A 51315-2021</t>
        </is>
      </c>
      <c r="B324" s="1" t="n">
        <v>44461</v>
      </c>
      <c r="C324" s="1" t="n">
        <v>45933</v>
      </c>
      <c r="D324" t="inlineStr">
        <is>
          <t>STOCKHOLMS LÄN</t>
        </is>
      </c>
      <c r="E324" t="inlineStr">
        <is>
          <t>NORRTÄLJE</t>
        </is>
      </c>
      <c r="F324" t="inlineStr">
        <is>
          <t>Holmen skog AB</t>
        </is>
      </c>
      <c r="G324" t="n">
        <v>2.2</v>
      </c>
      <c r="H324" t="n">
        <v>0</v>
      </c>
      <c r="I324" t="n">
        <v>0</v>
      </c>
      <c r="J324" t="n">
        <v>0</v>
      </c>
      <c r="K324" t="n">
        <v>0</v>
      </c>
      <c r="L324" t="n">
        <v>0</v>
      </c>
      <c r="M324" t="n">
        <v>0</v>
      </c>
      <c r="N324" t="n">
        <v>0</v>
      </c>
      <c r="O324" t="n">
        <v>0</v>
      </c>
      <c r="P324" t="n">
        <v>0</v>
      </c>
      <c r="Q324" t="n">
        <v>0</v>
      </c>
      <c r="R324" s="2" t="inlineStr"/>
    </row>
    <row r="325" ht="15" customHeight="1">
      <c r="A325" t="inlineStr">
        <is>
          <t>A 26747-2025</t>
        </is>
      </c>
      <c r="B325" s="1" t="n">
        <v>45810.5333912037</v>
      </c>
      <c r="C325" s="1" t="n">
        <v>45933</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22008-2024</t>
        </is>
      </c>
      <c r="B326" s="1" t="n">
        <v>45443</v>
      </c>
      <c r="C326" s="1" t="n">
        <v>45933</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26668-2024</t>
        </is>
      </c>
      <c r="B327" s="1" t="n">
        <v>45469</v>
      </c>
      <c r="C327" s="1" t="n">
        <v>45933</v>
      </c>
      <c r="D327" t="inlineStr">
        <is>
          <t>STOCKHOLMS LÄN</t>
        </is>
      </c>
      <c r="E327" t="inlineStr">
        <is>
          <t>NORRTÄLJE</t>
        </is>
      </c>
      <c r="G327" t="n">
        <v>4.8</v>
      </c>
      <c r="H327" t="n">
        <v>0</v>
      </c>
      <c r="I327" t="n">
        <v>0</v>
      </c>
      <c r="J327" t="n">
        <v>0</v>
      </c>
      <c r="K327" t="n">
        <v>0</v>
      </c>
      <c r="L327" t="n">
        <v>0</v>
      </c>
      <c r="M327" t="n">
        <v>0</v>
      </c>
      <c r="N327" t="n">
        <v>0</v>
      </c>
      <c r="O327" t="n">
        <v>0</v>
      </c>
      <c r="P327" t="n">
        <v>0</v>
      </c>
      <c r="Q327" t="n">
        <v>0</v>
      </c>
      <c r="R327" s="2" t="inlineStr"/>
    </row>
    <row r="328" ht="15" customHeight="1">
      <c r="A328" t="inlineStr">
        <is>
          <t>A 58277-2023</t>
        </is>
      </c>
      <c r="B328" s="1" t="n">
        <v>45245</v>
      </c>
      <c r="C328" s="1" t="n">
        <v>45933</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9480-2025</t>
        </is>
      </c>
      <c r="B329" s="1" t="n">
        <v>45715</v>
      </c>
      <c r="C329" s="1" t="n">
        <v>45933</v>
      </c>
      <c r="D329" t="inlineStr">
        <is>
          <t>STOCKHOLMS LÄN</t>
        </is>
      </c>
      <c r="E329" t="inlineStr">
        <is>
          <t>NORRTÄLJE</t>
        </is>
      </c>
      <c r="F329" t="inlineStr">
        <is>
          <t>Övriga Aktiebolag</t>
        </is>
      </c>
      <c r="G329" t="n">
        <v>3.9</v>
      </c>
      <c r="H329" t="n">
        <v>0</v>
      </c>
      <c r="I329" t="n">
        <v>0</v>
      </c>
      <c r="J329" t="n">
        <v>0</v>
      </c>
      <c r="K329" t="n">
        <v>0</v>
      </c>
      <c r="L329" t="n">
        <v>0</v>
      </c>
      <c r="M329" t="n">
        <v>0</v>
      </c>
      <c r="N329" t="n">
        <v>0</v>
      </c>
      <c r="O329" t="n">
        <v>0</v>
      </c>
      <c r="P329" t="n">
        <v>0</v>
      </c>
      <c r="Q329" t="n">
        <v>0</v>
      </c>
      <c r="R329" s="2" t="inlineStr"/>
    </row>
    <row r="330" ht="15" customHeight="1">
      <c r="A330" t="inlineStr">
        <is>
          <t>A 26702-2025</t>
        </is>
      </c>
      <c r="B330" s="1" t="n">
        <v>45810.45236111111</v>
      </c>
      <c r="C330" s="1" t="n">
        <v>45933</v>
      </c>
      <c r="D330" t="inlineStr">
        <is>
          <t>STOCKHOLMS LÄN</t>
        </is>
      </c>
      <c r="E330" t="inlineStr">
        <is>
          <t>NORRTÄLJE</t>
        </is>
      </c>
      <c r="G330" t="n">
        <v>7.3</v>
      </c>
      <c r="H330" t="n">
        <v>0</v>
      </c>
      <c r="I330" t="n">
        <v>0</v>
      </c>
      <c r="J330" t="n">
        <v>0</v>
      </c>
      <c r="K330" t="n">
        <v>0</v>
      </c>
      <c r="L330" t="n">
        <v>0</v>
      </c>
      <c r="M330" t="n">
        <v>0</v>
      </c>
      <c r="N330" t="n">
        <v>0</v>
      </c>
      <c r="O330" t="n">
        <v>0</v>
      </c>
      <c r="P330" t="n">
        <v>0</v>
      </c>
      <c r="Q330" t="n">
        <v>0</v>
      </c>
      <c r="R330" s="2" t="inlineStr"/>
    </row>
    <row r="331" ht="15" customHeight="1">
      <c r="A331" t="inlineStr">
        <is>
          <t>A 49898-2020</t>
        </is>
      </c>
      <c r="B331" s="1" t="n">
        <v>44108</v>
      </c>
      <c r="C331" s="1" t="n">
        <v>45933</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4322-2023</t>
        </is>
      </c>
      <c r="B332" s="1" t="n">
        <v>44953.69298611111</v>
      </c>
      <c r="C332" s="1" t="n">
        <v>45933</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35916-2024</t>
        </is>
      </c>
      <c r="B333" s="1" t="n">
        <v>45533</v>
      </c>
      <c r="C333" s="1" t="n">
        <v>45933</v>
      </c>
      <c r="D333" t="inlineStr">
        <is>
          <t>STOCKHOLMS LÄN</t>
        </is>
      </c>
      <c r="E333" t="inlineStr">
        <is>
          <t>NORRTÄLJE</t>
        </is>
      </c>
      <c r="G333" t="n">
        <v>0.5</v>
      </c>
      <c r="H333" t="n">
        <v>0</v>
      </c>
      <c r="I333" t="n">
        <v>0</v>
      </c>
      <c r="J333" t="n">
        <v>0</v>
      </c>
      <c r="K333" t="n">
        <v>0</v>
      </c>
      <c r="L333" t="n">
        <v>0</v>
      </c>
      <c r="M333" t="n">
        <v>0</v>
      </c>
      <c r="N333" t="n">
        <v>0</v>
      </c>
      <c r="O333" t="n">
        <v>0</v>
      </c>
      <c r="P333" t="n">
        <v>0</v>
      </c>
      <c r="Q333" t="n">
        <v>0</v>
      </c>
      <c r="R333" s="2" t="inlineStr"/>
    </row>
    <row r="334" ht="15" customHeight="1">
      <c r="A334" t="inlineStr">
        <is>
          <t>A 38889-2024</t>
        </is>
      </c>
      <c r="B334" s="1" t="n">
        <v>45547</v>
      </c>
      <c r="C334" s="1" t="n">
        <v>45933</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57216-2020</t>
        </is>
      </c>
      <c r="B335" s="1" t="n">
        <v>44139.54078703704</v>
      </c>
      <c r="C335" s="1" t="n">
        <v>45933</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38721-2022</t>
        </is>
      </c>
      <c r="B336" s="1" t="n">
        <v>44815</v>
      </c>
      <c r="C336" s="1" t="n">
        <v>45933</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26708-2025</t>
        </is>
      </c>
      <c r="B337" s="1" t="n">
        <v>45810.45633101852</v>
      </c>
      <c r="C337" s="1" t="n">
        <v>45933</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27040-2025</t>
        </is>
      </c>
      <c r="B338" s="1" t="n">
        <v>45811.60451388889</v>
      </c>
      <c r="C338" s="1" t="n">
        <v>45933</v>
      </c>
      <c r="D338" t="inlineStr">
        <is>
          <t>STOCKHOLMS LÄN</t>
        </is>
      </c>
      <c r="E338" t="inlineStr">
        <is>
          <t>NORRTÄLJE</t>
        </is>
      </c>
      <c r="G338" t="n">
        <v>4.3</v>
      </c>
      <c r="H338" t="n">
        <v>0</v>
      </c>
      <c r="I338" t="n">
        <v>0</v>
      </c>
      <c r="J338" t="n">
        <v>0</v>
      </c>
      <c r="K338" t="n">
        <v>0</v>
      </c>
      <c r="L338" t="n">
        <v>0</v>
      </c>
      <c r="M338" t="n">
        <v>0</v>
      </c>
      <c r="N338" t="n">
        <v>0</v>
      </c>
      <c r="O338" t="n">
        <v>0</v>
      </c>
      <c r="P338" t="n">
        <v>0</v>
      </c>
      <c r="Q338" t="n">
        <v>0</v>
      </c>
      <c r="R338" s="2" t="inlineStr"/>
    </row>
    <row r="339" ht="15" customHeight="1">
      <c r="A339" t="inlineStr">
        <is>
          <t>A 37085-2021</t>
        </is>
      </c>
      <c r="B339" s="1" t="n">
        <v>44395</v>
      </c>
      <c r="C339" s="1" t="n">
        <v>45933</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60184-2021</t>
        </is>
      </c>
      <c r="B340" s="1" t="n">
        <v>44495</v>
      </c>
      <c r="C340" s="1" t="n">
        <v>45933</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55890-2020</t>
        </is>
      </c>
      <c r="B341" s="1" t="n">
        <v>44132</v>
      </c>
      <c r="C341" s="1" t="n">
        <v>45933</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3299-2022</t>
        </is>
      </c>
      <c r="B342" s="1" t="n">
        <v>44584.91001157407</v>
      </c>
      <c r="C342" s="1" t="n">
        <v>45933</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42075-2023</t>
        </is>
      </c>
      <c r="B343" s="1" t="n">
        <v>45177</v>
      </c>
      <c r="C343" s="1" t="n">
        <v>45933</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10676-2025</t>
        </is>
      </c>
      <c r="B344" s="1" t="n">
        <v>45721.88684027778</v>
      </c>
      <c r="C344" s="1" t="n">
        <v>45933</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46988-2024</t>
        </is>
      </c>
      <c r="B345" s="1" t="n">
        <v>45586</v>
      </c>
      <c r="C345" s="1" t="n">
        <v>45933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55012-2024</t>
        </is>
      </c>
      <c r="B346" s="1" t="n">
        <v>45621.34813657407</v>
      </c>
      <c r="C346" s="1" t="n">
        <v>45933</v>
      </c>
      <c r="D346" t="inlineStr">
        <is>
          <t>STOCKHOLMS LÄN</t>
        </is>
      </c>
      <c r="E346" t="inlineStr">
        <is>
          <t>NORRTÄLJE</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71552-2021</t>
        </is>
      </c>
      <c r="B347" s="1" t="n">
        <v>44540</v>
      </c>
      <c r="C347" s="1" t="n">
        <v>45933</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45933</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27697-2025</t>
        </is>
      </c>
      <c r="B349" s="1" t="n">
        <v>45813.66961805556</v>
      </c>
      <c r="C349" s="1" t="n">
        <v>45933</v>
      </c>
      <c r="D349" t="inlineStr">
        <is>
          <t>STOCKHOLMS LÄN</t>
        </is>
      </c>
      <c r="E349" t="inlineStr">
        <is>
          <t>NORRTÄLJE</t>
        </is>
      </c>
      <c r="G349" t="n">
        <v>6.2</v>
      </c>
      <c r="H349" t="n">
        <v>0</v>
      </c>
      <c r="I349" t="n">
        <v>0</v>
      </c>
      <c r="J349" t="n">
        <v>0</v>
      </c>
      <c r="K349" t="n">
        <v>0</v>
      </c>
      <c r="L349" t="n">
        <v>0</v>
      </c>
      <c r="M349" t="n">
        <v>0</v>
      </c>
      <c r="N349" t="n">
        <v>0</v>
      </c>
      <c r="O349" t="n">
        <v>0</v>
      </c>
      <c r="P349" t="n">
        <v>0</v>
      </c>
      <c r="Q349" t="n">
        <v>0</v>
      </c>
      <c r="R349" s="2" t="inlineStr"/>
    </row>
    <row r="350" ht="15" customHeight="1">
      <c r="A350" t="inlineStr">
        <is>
          <t>A 27700-2025</t>
        </is>
      </c>
      <c r="B350" s="1" t="n">
        <v>45813.6799537037</v>
      </c>
      <c r="C350" s="1" t="n">
        <v>45933</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27554-2025</t>
        </is>
      </c>
      <c r="B351" s="1" t="n">
        <v>45813.4709375</v>
      </c>
      <c r="C351" s="1" t="n">
        <v>45933</v>
      </c>
      <c r="D351" t="inlineStr">
        <is>
          <t>STOCKHOLMS LÄN</t>
        </is>
      </c>
      <c r="E351" t="inlineStr">
        <is>
          <t>NORRTÄLJE</t>
        </is>
      </c>
      <c r="F351" t="inlineStr">
        <is>
          <t>Övriga Aktiebolag</t>
        </is>
      </c>
      <c r="G351" t="n">
        <v>2.5</v>
      </c>
      <c r="H351" t="n">
        <v>0</v>
      </c>
      <c r="I351" t="n">
        <v>0</v>
      </c>
      <c r="J351" t="n">
        <v>0</v>
      </c>
      <c r="K351" t="n">
        <v>0</v>
      </c>
      <c r="L351" t="n">
        <v>0</v>
      </c>
      <c r="M351" t="n">
        <v>0</v>
      </c>
      <c r="N351" t="n">
        <v>0</v>
      </c>
      <c r="O351" t="n">
        <v>0</v>
      </c>
      <c r="P351" t="n">
        <v>0</v>
      </c>
      <c r="Q351" t="n">
        <v>0</v>
      </c>
      <c r="R351" s="2" t="inlineStr"/>
    </row>
    <row r="352" ht="15" customHeight="1">
      <c r="A352" t="inlineStr">
        <is>
          <t>A 37273-2024</t>
        </is>
      </c>
      <c r="B352" s="1" t="n">
        <v>45540</v>
      </c>
      <c r="C352" s="1" t="n">
        <v>45933</v>
      </c>
      <c r="D352" t="inlineStr">
        <is>
          <t>STOCKHOLMS LÄN</t>
        </is>
      </c>
      <c r="E352" t="inlineStr">
        <is>
          <t>NORRTÄLJE</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12348-2025</t>
        </is>
      </c>
      <c r="B353" s="1" t="n">
        <v>45730.35026620371</v>
      </c>
      <c r="C353" s="1" t="n">
        <v>45933</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11901-2024</t>
        </is>
      </c>
      <c r="B354" s="1" t="n">
        <v>45376.55638888889</v>
      </c>
      <c r="C354" s="1" t="n">
        <v>45933</v>
      </c>
      <c r="D354" t="inlineStr">
        <is>
          <t>STOCKHOLMS LÄN</t>
        </is>
      </c>
      <c r="E354" t="inlineStr">
        <is>
          <t>NORRTÄLJE</t>
        </is>
      </c>
      <c r="F354" t="inlineStr">
        <is>
          <t>Holmen skog AB</t>
        </is>
      </c>
      <c r="G354" t="n">
        <v>3.5</v>
      </c>
      <c r="H354" t="n">
        <v>0</v>
      </c>
      <c r="I354" t="n">
        <v>0</v>
      </c>
      <c r="J354" t="n">
        <v>0</v>
      </c>
      <c r="K354" t="n">
        <v>0</v>
      </c>
      <c r="L354" t="n">
        <v>0</v>
      </c>
      <c r="M354" t="n">
        <v>0</v>
      </c>
      <c r="N354" t="n">
        <v>0</v>
      </c>
      <c r="O354" t="n">
        <v>0</v>
      </c>
      <c r="P354" t="n">
        <v>0</v>
      </c>
      <c r="Q354" t="n">
        <v>0</v>
      </c>
      <c r="R354" s="2" t="inlineStr"/>
    </row>
    <row r="355" ht="15" customHeight="1">
      <c r="A355" t="inlineStr">
        <is>
          <t>A 13148-2021</t>
        </is>
      </c>
      <c r="B355" s="1" t="n">
        <v>44272</v>
      </c>
      <c r="C355" s="1" t="n">
        <v>45933</v>
      </c>
      <c r="D355" t="inlineStr">
        <is>
          <t>STOCKHOLMS LÄN</t>
        </is>
      </c>
      <c r="E355" t="inlineStr">
        <is>
          <t>NORRTÄLJE</t>
        </is>
      </c>
      <c r="G355" t="n">
        <v>12.4</v>
      </c>
      <c r="H355" t="n">
        <v>0</v>
      </c>
      <c r="I355" t="n">
        <v>0</v>
      </c>
      <c r="J355" t="n">
        <v>0</v>
      </c>
      <c r="K355" t="n">
        <v>0</v>
      </c>
      <c r="L355" t="n">
        <v>0</v>
      </c>
      <c r="M355" t="n">
        <v>0</v>
      </c>
      <c r="N355" t="n">
        <v>0</v>
      </c>
      <c r="O355" t="n">
        <v>0</v>
      </c>
      <c r="P355" t="n">
        <v>0</v>
      </c>
      <c r="Q355" t="n">
        <v>0</v>
      </c>
      <c r="R355" s="2" t="inlineStr"/>
    </row>
    <row r="356" ht="15" customHeight="1">
      <c r="A356" t="inlineStr">
        <is>
          <t>A 27715-2022</t>
        </is>
      </c>
      <c r="B356" s="1" t="n">
        <v>44743.47407407407</v>
      </c>
      <c r="C356" s="1" t="n">
        <v>45933</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17382-2024</t>
        </is>
      </c>
      <c r="B357" s="1" t="n">
        <v>45414.65855324074</v>
      </c>
      <c r="C357" s="1" t="n">
        <v>45933</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34773-2022</t>
        </is>
      </c>
      <c r="B358" s="1" t="n">
        <v>44795</v>
      </c>
      <c r="C358" s="1" t="n">
        <v>45933</v>
      </c>
      <c r="D358" t="inlineStr">
        <is>
          <t>STOCKHOLMS LÄN</t>
        </is>
      </c>
      <c r="E358" t="inlineStr">
        <is>
          <t>NORRTÄLJE</t>
        </is>
      </c>
      <c r="G358" t="n">
        <v>3.9</v>
      </c>
      <c r="H358" t="n">
        <v>0</v>
      </c>
      <c r="I358" t="n">
        <v>0</v>
      </c>
      <c r="J358" t="n">
        <v>0</v>
      </c>
      <c r="K358" t="n">
        <v>0</v>
      </c>
      <c r="L358" t="n">
        <v>0</v>
      </c>
      <c r="M358" t="n">
        <v>0</v>
      </c>
      <c r="N358" t="n">
        <v>0</v>
      </c>
      <c r="O358" t="n">
        <v>0</v>
      </c>
      <c r="P358" t="n">
        <v>0</v>
      </c>
      <c r="Q358" t="n">
        <v>0</v>
      </c>
      <c r="R358" s="2" t="inlineStr"/>
    </row>
    <row r="359" ht="15" customHeight="1">
      <c r="A359" t="inlineStr">
        <is>
          <t>A 56166-2020</t>
        </is>
      </c>
      <c r="B359" s="1" t="n">
        <v>44133</v>
      </c>
      <c r="C359" s="1" t="n">
        <v>45933</v>
      </c>
      <c r="D359" t="inlineStr">
        <is>
          <t>STOCKHOLMS LÄN</t>
        </is>
      </c>
      <c r="E359" t="inlineStr">
        <is>
          <t>NORRTÄLJE</t>
        </is>
      </c>
      <c r="G359" t="n">
        <v>4.4</v>
      </c>
      <c r="H359" t="n">
        <v>0</v>
      </c>
      <c r="I359" t="n">
        <v>0</v>
      </c>
      <c r="J359" t="n">
        <v>0</v>
      </c>
      <c r="K359" t="n">
        <v>0</v>
      </c>
      <c r="L359" t="n">
        <v>0</v>
      </c>
      <c r="M359" t="n">
        <v>0</v>
      </c>
      <c r="N359" t="n">
        <v>0</v>
      </c>
      <c r="O359" t="n">
        <v>0</v>
      </c>
      <c r="P359" t="n">
        <v>0</v>
      </c>
      <c r="Q359" t="n">
        <v>0</v>
      </c>
      <c r="R359" s="2" t="inlineStr"/>
    </row>
    <row r="360" ht="15" customHeight="1">
      <c r="A360" t="inlineStr">
        <is>
          <t>A 27802-2025</t>
        </is>
      </c>
      <c r="B360" s="1" t="n">
        <v>45817.2565625</v>
      </c>
      <c r="C360" s="1" t="n">
        <v>45933</v>
      </c>
      <c r="D360" t="inlineStr">
        <is>
          <t>STOCKHOLMS LÄN</t>
        </is>
      </c>
      <c r="E360" t="inlineStr">
        <is>
          <t>NORRTÄLJE</t>
        </is>
      </c>
      <c r="G360" t="n">
        <v>3</v>
      </c>
      <c r="H360" t="n">
        <v>0</v>
      </c>
      <c r="I360" t="n">
        <v>0</v>
      </c>
      <c r="J360" t="n">
        <v>0</v>
      </c>
      <c r="K360" t="n">
        <v>0</v>
      </c>
      <c r="L360" t="n">
        <v>0</v>
      </c>
      <c r="M360" t="n">
        <v>0</v>
      </c>
      <c r="N360" t="n">
        <v>0</v>
      </c>
      <c r="O360" t="n">
        <v>0</v>
      </c>
      <c r="P360" t="n">
        <v>0</v>
      </c>
      <c r="Q360" t="n">
        <v>0</v>
      </c>
      <c r="R360" s="2" t="inlineStr"/>
    </row>
    <row r="361" ht="15" customHeight="1">
      <c r="A361" t="inlineStr">
        <is>
          <t>A 27806-2025</t>
        </is>
      </c>
      <c r="B361" s="1" t="n">
        <v>45817.30329861111</v>
      </c>
      <c r="C361" s="1" t="n">
        <v>45933</v>
      </c>
      <c r="D361" t="inlineStr">
        <is>
          <t>STOCKHOLMS LÄN</t>
        </is>
      </c>
      <c r="E361" t="inlineStr">
        <is>
          <t>NORRTÄLJE</t>
        </is>
      </c>
      <c r="G361" t="n">
        <v>3</v>
      </c>
      <c r="H361" t="n">
        <v>0</v>
      </c>
      <c r="I361" t="n">
        <v>0</v>
      </c>
      <c r="J361" t="n">
        <v>0</v>
      </c>
      <c r="K361" t="n">
        <v>0</v>
      </c>
      <c r="L361" t="n">
        <v>0</v>
      </c>
      <c r="M361" t="n">
        <v>0</v>
      </c>
      <c r="N361" t="n">
        <v>0</v>
      </c>
      <c r="O361" t="n">
        <v>0</v>
      </c>
      <c r="P361" t="n">
        <v>0</v>
      </c>
      <c r="Q361" t="n">
        <v>0</v>
      </c>
      <c r="R361" s="2" t="inlineStr"/>
    </row>
    <row r="362" ht="15" customHeight="1">
      <c r="A362" t="inlineStr">
        <is>
          <t>A 27808-2025</t>
        </is>
      </c>
      <c r="B362" s="1" t="n">
        <v>45817.31085648148</v>
      </c>
      <c r="C362" s="1" t="n">
        <v>45933</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27810-2025</t>
        </is>
      </c>
      <c r="B363" s="1" t="n">
        <v>45817.31708333334</v>
      </c>
      <c r="C363" s="1" t="n">
        <v>45933</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27811-2025</t>
        </is>
      </c>
      <c r="B364" s="1" t="n">
        <v>45817.31986111111</v>
      </c>
      <c r="C364" s="1" t="n">
        <v>45933</v>
      </c>
      <c r="D364" t="inlineStr">
        <is>
          <t>STOCKHOLMS LÄN</t>
        </is>
      </c>
      <c r="E364" t="inlineStr">
        <is>
          <t>NORRTÄLJE</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27818-2025</t>
        </is>
      </c>
      <c r="B365" s="1" t="n">
        <v>45817.33503472222</v>
      </c>
      <c r="C365" s="1" t="n">
        <v>45933</v>
      </c>
      <c r="D365" t="inlineStr">
        <is>
          <t>STOCKHOLMS LÄN</t>
        </is>
      </c>
      <c r="E365" t="inlineStr">
        <is>
          <t>NORRTÄLJE</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25557-2023</t>
        </is>
      </c>
      <c r="B366" s="1" t="n">
        <v>45089</v>
      </c>
      <c r="C366" s="1" t="n">
        <v>45933</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12111-2021</t>
        </is>
      </c>
      <c r="B367" s="1" t="n">
        <v>44266</v>
      </c>
      <c r="C367" s="1" t="n">
        <v>45933</v>
      </c>
      <c r="D367" t="inlineStr">
        <is>
          <t>STOCKHOLMS LÄN</t>
        </is>
      </c>
      <c r="E367" t="inlineStr">
        <is>
          <t>NORRTÄLJE</t>
        </is>
      </c>
      <c r="G367" t="n">
        <v>5.5</v>
      </c>
      <c r="H367" t="n">
        <v>0</v>
      </c>
      <c r="I367" t="n">
        <v>0</v>
      </c>
      <c r="J367" t="n">
        <v>0</v>
      </c>
      <c r="K367" t="n">
        <v>0</v>
      </c>
      <c r="L367" t="n">
        <v>0</v>
      </c>
      <c r="M367" t="n">
        <v>0</v>
      </c>
      <c r="N367" t="n">
        <v>0</v>
      </c>
      <c r="O367" t="n">
        <v>0</v>
      </c>
      <c r="P367" t="n">
        <v>0</v>
      </c>
      <c r="Q367" t="n">
        <v>0</v>
      </c>
      <c r="R367" s="2" t="inlineStr"/>
    </row>
    <row r="368" ht="15" customHeight="1">
      <c r="A368" t="inlineStr">
        <is>
          <t>A 33053-2021</t>
        </is>
      </c>
      <c r="B368" s="1" t="n">
        <v>44376</v>
      </c>
      <c r="C368" s="1" t="n">
        <v>45933</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23263-2023</t>
        </is>
      </c>
      <c r="B369" s="1" t="n">
        <v>45075</v>
      </c>
      <c r="C369" s="1" t="n">
        <v>45933</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23264-2023</t>
        </is>
      </c>
      <c r="B370" s="1" t="n">
        <v>45075</v>
      </c>
      <c r="C370" s="1" t="n">
        <v>45933</v>
      </c>
      <c r="D370" t="inlineStr">
        <is>
          <t>STOCKHOLMS LÄN</t>
        </is>
      </c>
      <c r="E370" t="inlineStr">
        <is>
          <t>NORRTÄLJE</t>
        </is>
      </c>
      <c r="G370" t="n">
        <v>2.9</v>
      </c>
      <c r="H370" t="n">
        <v>0</v>
      </c>
      <c r="I370" t="n">
        <v>0</v>
      </c>
      <c r="J370" t="n">
        <v>0</v>
      </c>
      <c r="K370" t="n">
        <v>0</v>
      </c>
      <c r="L370" t="n">
        <v>0</v>
      </c>
      <c r="M370" t="n">
        <v>0</v>
      </c>
      <c r="N370" t="n">
        <v>0</v>
      </c>
      <c r="O370" t="n">
        <v>0</v>
      </c>
      <c r="P370" t="n">
        <v>0</v>
      </c>
      <c r="Q370" t="n">
        <v>0</v>
      </c>
      <c r="R370" s="2" t="inlineStr"/>
    </row>
    <row r="371" ht="15" customHeight="1">
      <c r="A371" t="inlineStr">
        <is>
          <t>A 23267-2023</t>
        </is>
      </c>
      <c r="B371" s="1" t="n">
        <v>45075.90934027778</v>
      </c>
      <c r="C371" s="1" t="n">
        <v>45933</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20013-2025</t>
        </is>
      </c>
      <c r="B372" s="1" t="n">
        <v>45772.30436342592</v>
      </c>
      <c r="C372" s="1" t="n">
        <v>45933</v>
      </c>
      <c r="D372" t="inlineStr">
        <is>
          <t>STOCKHOLMS LÄN</t>
        </is>
      </c>
      <c r="E372" t="inlineStr">
        <is>
          <t>NORRTÄLJE</t>
        </is>
      </c>
      <c r="G372" t="n">
        <v>2.3</v>
      </c>
      <c r="H372" t="n">
        <v>0</v>
      </c>
      <c r="I372" t="n">
        <v>0</v>
      </c>
      <c r="J372" t="n">
        <v>0</v>
      </c>
      <c r="K372" t="n">
        <v>0</v>
      </c>
      <c r="L372" t="n">
        <v>0</v>
      </c>
      <c r="M372" t="n">
        <v>0</v>
      </c>
      <c r="N372" t="n">
        <v>0</v>
      </c>
      <c r="O372" t="n">
        <v>0</v>
      </c>
      <c r="P372" t="n">
        <v>0</v>
      </c>
      <c r="Q372" t="n">
        <v>0</v>
      </c>
      <c r="R372" s="2" t="inlineStr"/>
    </row>
    <row r="373" ht="15" customHeight="1">
      <c r="A373" t="inlineStr">
        <is>
          <t>A 25654-2023</t>
        </is>
      </c>
      <c r="B373" s="1" t="n">
        <v>45089</v>
      </c>
      <c r="C373" s="1" t="n">
        <v>45933</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15528-2025</t>
        </is>
      </c>
      <c r="B374" s="1" t="n">
        <v>45747.63471064815</v>
      </c>
      <c r="C374" s="1" t="n">
        <v>45933</v>
      </c>
      <c r="D374" t="inlineStr">
        <is>
          <t>STOCKHOLMS LÄN</t>
        </is>
      </c>
      <c r="E374" t="inlineStr">
        <is>
          <t>NORRTÄLJE</t>
        </is>
      </c>
      <c r="G374" t="n">
        <v>10</v>
      </c>
      <c r="H374" t="n">
        <v>0</v>
      </c>
      <c r="I374" t="n">
        <v>0</v>
      </c>
      <c r="J374" t="n">
        <v>0</v>
      </c>
      <c r="K374" t="n">
        <v>0</v>
      </c>
      <c r="L374" t="n">
        <v>0</v>
      </c>
      <c r="M374" t="n">
        <v>0</v>
      </c>
      <c r="N374" t="n">
        <v>0</v>
      </c>
      <c r="O374" t="n">
        <v>0</v>
      </c>
      <c r="P374" t="n">
        <v>0</v>
      </c>
      <c r="Q374" t="n">
        <v>0</v>
      </c>
      <c r="R374" s="2" t="inlineStr"/>
    </row>
    <row r="375" ht="15" customHeight="1">
      <c r="A375" t="inlineStr">
        <is>
          <t>A 9914-2023</t>
        </is>
      </c>
      <c r="B375" s="1" t="n">
        <v>44985</v>
      </c>
      <c r="C375" s="1" t="n">
        <v>45933</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63161-2023</t>
        </is>
      </c>
      <c r="B376" s="1" t="n">
        <v>45273</v>
      </c>
      <c r="C376" s="1" t="n">
        <v>45933</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27803-2025</t>
        </is>
      </c>
      <c r="B377" s="1" t="n">
        <v>45817.291875</v>
      </c>
      <c r="C377" s="1" t="n">
        <v>45933</v>
      </c>
      <c r="D377" t="inlineStr">
        <is>
          <t>STOCKHOLMS LÄN</t>
        </is>
      </c>
      <c r="E377" t="inlineStr">
        <is>
          <t>NORRTÄLJE</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27813-2025</t>
        </is>
      </c>
      <c r="B378" s="1" t="n">
        <v>45817.32538194444</v>
      </c>
      <c r="C378" s="1" t="n">
        <v>45933</v>
      </c>
      <c r="D378" t="inlineStr">
        <is>
          <t>STOCKHOLMS LÄN</t>
        </is>
      </c>
      <c r="E378" t="inlineStr">
        <is>
          <t>NORRTÄLJE</t>
        </is>
      </c>
      <c r="G378" t="n">
        <v>1.6</v>
      </c>
      <c r="H378" t="n">
        <v>0</v>
      </c>
      <c r="I378" t="n">
        <v>0</v>
      </c>
      <c r="J378" t="n">
        <v>0</v>
      </c>
      <c r="K378" t="n">
        <v>0</v>
      </c>
      <c r="L378" t="n">
        <v>0</v>
      </c>
      <c r="M378" t="n">
        <v>0</v>
      </c>
      <c r="N378" t="n">
        <v>0</v>
      </c>
      <c r="O378" t="n">
        <v>0</v>
      </c>
      <c r="P378" t="n">
        <v>0</v>
      </c>
      <c r="Q378" t="n">
        <v>0</v>
      </c>
      <c r="R378" s="2" t="inlineStr"/>
    </row>
    <row r="379" ht="15" customHeight="1">
      <c r="A379" t="inlineStr">
        <is>
          <t>A 60525-2022</t>
        </is>
      </c>
      <c r="B379" s="1" t="n">
        <v>44904</v>
      </c>
      <c r="C379" s="1" t="n">
        <v>45933</v>
      </c>
      <c r="D379" t="inlineStr">
        <is>
          <t>STOCKHOLMS LÄN</t>
        </is>
      </c>
      <c r="E379" t="inlineStr">
        <is>
          <t>NORRTÄLJE</t>
        </is>
      </c>
      <c r="G379" t="n">
        <v>13.4</v>
      </c>
      <c r="H379" t="n">
        <v>0</v>
      </c>
      <c r="I379" t="n">
        <v>0</v>
      </c>
      <c r="J379" t="n">
        <v>0</v>
      </c>
      <c r="K379" t="n">
        <v>0</v>
      </c>
      <c r="L379" t="n">
        <v>0</v>
      </c>
      <c r="M379" t="n">
        <v>0</v>
      </c>
      <c r="N379" t="n">
        <v>0</v>
      </c>
      <c r="O379" t="n">
        <v>0</v>
      </c>
      <c r="P379" t="n">
        <v>0</v>
      </c>
      <c r="Q379" t="n">
        <v>0</v>
      </c>
      <c r="R379" s="2" t="inlineStr"/>
    </row>
    <row r="380" ht="15" customHeight="1">
      <c r="A380" t="inlineStr">
        <is>
          <t>A 23271-2023</t>
        </is>
      </c>
      <c r="B380" s="1" t="n">
        <v>45075.91362268518</v>
      </c>
      <c r="C380" s="1" t="n">
        <v>45933</v>
      </c>
      <c r="D380" t="inlineStr">
        <is>
          <t>STOCKHOLMS LÄN</t>
        </is>
      </c>
      <c r="E380" t="inlineStr">
        <is>
          <t>NORRTÄLJE</t>
        </is>
      </c>
      <c r="G380" t="n">
        <v>5.1</v>
      </c>
      <c r="H380" t="n">
        <v>0</v>
      </c>
      <c r="I380" t="n">
        <v>0</v>
      </c>
      <c r="J380" t="n">
        <v>0</v>
      </c>
      <c r="K380" t="n">
        <v>0</v>
      </c>
      <c r="L380" t="n">
        <v>0</v>
      </c>
      <c r="M380" t="n">
        <v>0</v>
      </c>
      <c r="N380" t="n">
        <v>0</v>
      </c>
      <c r="O380" t="n">
        <v>0</v>
      </c>
      <c r="P380" t="n">
        <v>0</v>
      </c>
      <c r="Q380" t="n">
        <v>0</v>
      </c>
      <c r="R380" s="2" t="inlineStr"/>
    </row>
    <row r="381" ht="15" customHeight="1">
      <c r="A381" t="inlineStr">
        <is>
          <t>A 23273-2023</t>
        </is>
      </c>
      <c r="B381" s="1" t="n">
        <v>45075.91971064815</v>
      </c>
      <c r="C381" s="1" t="n">
        <v>45933</v>
      </c>
      <c r="D381" t="inlineStr">
        <is>
          <t>STOCKHOLMS LÄN</t>
        </is>
      </c>
      <c r="E381" t="inlineStr">
        <is>
          <t>NORRTÄLJE</t>
        </is>
      </c>
      <c r="G381" t="n">
        <v>7.5</v>
      </c>
      <c r="H381" t="n">
        <v>0</v>
      </c>
      <c r="I381" t="n">
        <v>0</v>
      </c>
      <c r="J381" t="n">
        <v>0</v>
      </c>
      <c r="K381" t="n">
        <v>0</v>
      </c>
      <c r="L381" t="n">
        <v>0</v>
      </c>
      <c r="M381" t="n">
        <v>0</v>
      </c>
      <c r="N381" t="n">
        <v>0</v>
      </c>
      <c r="O381" t="n">
        <v>0</v>
      </c>
      <c r="P381" t="n">
        <v>0</v>
      </c>
      <c r="Q381" t="n">
        <v>0</v>
      </c>
      <c r="R381" s="2" t="inlineStr"/>
    </row>
    <row r="382" ht="15" customHeight="1">
      <c r="A382" t="inlineStr">
        <is>
          <t>A 30802-2022</t>
        </is>
      </c>
      <c r="B382" s="1" t="n">
        <v>44764</v>
      </c>
      <c r="C382" s="1" t="n">
        <v>45933</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19706-2023</t>
        </is>
      </c>
      <c r="B383" s="1" t="n">
        <v>45051.455</v>
      </c>
      <c r="C383" s="1" t="n">
        <v>45933</v>
      </c>
      <c r="D383" t="inlineStr">
        <is>
          <t>STOCKHOLMS LÄN</t>
        </is>
      </c>
      <c r="E383" t="inlineStr">
        <is>
          <t>NORRTÄLJE</t>
        </is>
      </c>
      <c r="G383" t="n">
        <v>0.2</v>
      </c>
      <c r="H383" t="n">
        <v>0</v>
      </c>
      <c r="I383" t="n">
        <v>0</v>
      </c>
      <c r="J383" t="n">
        <v>0</v>
      </c>
      <c r="K383" t="n">
        <v>0</v>
      </c>
      <c r="L383" t="n">
        <v>0</v>
      </c>
      <c r="M383" t="n">
        <v>0</v>
      </c>
      <c r="N383" t="n">
        <v>0</v>
      </c>
      <c r="O383" t="n">
        <v>0</v>
      </c>
      <c r="P383" t="n">
        <v>0</v>
      </c>
      <c r="Q383" t="n">
        <v>0</v>
      </c>
      <c r="R383" s="2" t="inlineStr"/>
    </row>
    <row r="384" ht="15" customHeight="1">
      <c r="A384" t="inlineStr">
        <is>
          <t>A 27801-2025</t>
        </is>
      </c>
      <c r="B384" s="1" t="n">
        <v>45817.25471064815</v>
      </c>
      <c r="C384" s="1" t="n">
        <v>45933</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16008-2025</t>
        </is>
      </c>
      <c r="B385" s="1" t="n">
        <v>45749</v>
      </c>
      <c r="C385" s="1" t="n">
        <v>45933</v>
      </c>
      <c r="D385" t="inlineStr">
        <is>
          <t>STOCKHOLMS LÄN</t>
        </is>
      </c>
      <c r="E385" t="inlineStr">
        <is>
          <t>NORRTÄLJE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57987-2020</t>
        </is>
      </c>
      <c r="B386" s="1" t="n">
        <v>44143</v>
      </c>
      <c r="C386" s="1" t="n">
        <v>45933</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9765-2024</t>
        </is>
      </c>
      <c r="B387" s="1" t="n">
        <v>45362.62811342593</v>
      </c>
      <c r="C387" s="1" t="n">
        <v>45933</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27821-2025</t>
        </is>
      </c>
      <c r="B388" s="1" t="n">
        <v>45817.34083333334</v>
      </c>
      <c r="C388" s="1" t="n">
        <v>45933</v>
      </c>
      <c r="D388" t="inlineStr">
        <is>
          <t>STOCKHOLMS LÄN</t>
        </is>
      </c>
      <c r="E388" t="inlineStr">
        <is>
          <t>NORRTÄLJE</t>
        </is>
      </c>
      <c r="G388" t="n">
        <v>3.2</v>
      </c>
      <c r="H388" t="n">
        <v>0</v>
      </c>
      <c r="I388" t="n">
        <v>0</v>
      </c>
      <c r="J388" t="n">
        <v>0</v>
      </c>
      <c r="K388" t="n">
        <v>0</v>
      </c>
      <c r="L388" t="n">
        <v>0</v>
      </c>
      <c r="M388" t="n">
        <v>0</v>
      </c>
      <c r="N388" t="n">
        <v>0</v>
      </c>
      <c r="O388" t="n">
        <v>0</v>
      </c>
      <c r="P388" t="n">
        <v>0</v>
      </c>
      <c r="Q388" t="n">
        <v>0</v>
      </c>
      <c r="R388" s="2" t="inlineStr"/>
    </row>
    <row r="389" ht="15" customHeight="1">
      <c r="A389" t="inlineStr">
        <is>
          <t>A 58302-2022</t>
        </is>
      </c>
      <c r="B389" s="1" t="n">
        <v>44901</v>
      </c>
      <c r="C389" s="1" t="n">
        <v>45933</v>
      </c>
      <c r="D389" t="inlineStr">
        <is>
          <t>STOCKHOLMS LÄN</t>
        </is>
      </c>
      <c r="E389" t="inlineStr">
        <is>
          <t>NORRTÄLJE</t>
        </is>
      </c>
      <c r="G389" t="n">
        <v>3.9</v>
      </c>
      <c r="H389" t="n">
        <v>0</v>
      </c>
      <c r="I389" t="n">
        <v>0</v>
      </c>
      <c r="J389" t="n">
        <v>0</v>
      </c>
      <c r="K389" t="n">
        <v>0</v>
      </c>
      <c r="L389" t="n">
        <v>0</v>
      </c>
      <c r="M389" t="n">
        <v>0</v>
      </c>
      <c r="N389" t="n">
        <v>0</v>
      </c>
      <c r="O389" t="n">
        <v>0</v>
      </c>
      <c r="P389" t="n">
        <v>0</v>
      </c>
      <c r="Q389" t="n">
        <v>0</v>
      </c>
      <c r="R389" s="2" t="inlineStr"/>
    </row>
    <row r="390" ht="15" customHeight="1">
      <c r="A390" t="inlineStr">
        <is>
          <t>A 47758-2023</t>
        </is>
      </c>
      <c r="B390" s="1" t="n">
        <v>45203.83891203703</v>
      </c>
      <c r="C390" s="1" t="n">
        <v>45933</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48151-2024</t>
        </is>
      </c>
      <c r="B391" s="1" t="n">
        <v>45589.68289351852</v>
      </c>
      <c r="C391" s="1" t="n">
        <v>45933</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47694-2023</t>
        </is>
      </c>
      <c r="B392" s="1" t="n">
        <v>45203.63303240741</v>
      </c>
      <c r="C392" s="1" t="n">
        <v>45933</v>
      </c>
      <c r="D392" t="inlineStr">
        <is>
          <t>STOCKHOLMS LÄN</t>
        </is>
      </c>
      <c r="E392" t="inlineStr">
        <is>
          <t>NORRTÄLJE</t>
        </is>
      </c>
      <c r="G392" t="n">
        <v>5.2</v>
      </c>
      <c r="H392" t="n">
        <v>0</v>
      </c>
      <c r="I392" t="n">
        <v>0</v>
      </c>
      <c r="J392" t="n">
        <v>0</v>
      </c>
      <c r="K392" t="n">
        <v>0</v>
      </c>
      <c r="L392" t="n">
        <v>0</v>
      </c>
      <c r="M392" t="n">
        <v>0</v>
      </c>
      <c r="N392" t="n">
        <v>0</v>
      </c>
      <c r="O392" t="n">
        <v>0</v>
      </c>
      <c r="P392" t="n">
        <v>0</v>
      </c>
      <c r="Q392" t="n">
        <v>0</v>
      </c>
      <c r="R392" s="2" t="inlineStr"/>
    </row>
    <row r="393" ht="15" customHeight="1">
      <c r="A393" t="inlineStr">
        <is>
          <t>A 40656-2022</t>
        </is>
      </c>
      <c r="B393" s="1" t="n">
        <v>44824.36069444445</v>
      </c>
      <c r="C393" s="1" t="n">
        <v>45933</v>
      </c>
      <c r="D393" t="inlineStr">
        <is>
          <t>STOCKHOLMS LÄN</t>
        </is>
      </c>
      <c r="E393" t="inlineStr">
        <is>
          <t>NORRTÄLJE</t>
        </is>
      </c>
      <c r="G393" t="n">
        <v>2.7</v>
      </c>
      <c r="H393" t="n">
        <v>0</v>
      </c>
      <c r="I393" t="n">
        <v>0</v>
      </c>
      <c r="J393" t="n">
        <v>0</v>
      </c>
      <c r="K393" t="n">
        <v>0</v>
      </c>
      <c r="L393" t="n">
        <v>0</v>
      </c>
      <c r="M393" t="n">
        <v>0</v>
      </c>
      <c r="N393" t="n">
        <v>0</v>
      </c>
      <c r="O393" t="n">
        <v>0</v>
      </c>
      <c r="P393" t="n">
        <v>0</v>
      </c>
      <c r="Q393" t="n">
        <v>0</v>
      </c>
      <c r="R393" s="2" t="inlineStr"/>
    </row>
    <row r="394" ht="15" customHeight="1">
      <c r="A394" t="inlineStr">
        <is>
          <t>A 23269-2023</t>
        </is>
      </c>
      <c r="B394" s="1" t="n">
        <v>45075.91148148148</v>
      </c>
      <c r="C394" s="1" t="n">
        <v>45933</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40425-2021</t>
        </is>
      </c>
      <c r="B395" s="1" t="n">
        <v>44419</v>
      </c>
      <c r="C395" s="1" t="n">
        <v>45933</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20014-2025</t>
        </is>
      </c>
      <c r="B396" s="1" t="n">
        <v>45772.3078125</v>
      </c>
      <c r="C396" s="1" t="n">
        <v>45933</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23060-2023</t>
        </is>
      </c>
      <c r="B397" s="1" t="n">
        <v>45075</v>
      </c>
      <c r="C397" s="1" t="n">
        <v>45933</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56631-2024</t>
        </is>
      </c>
      <c r="B398" s="1" t="n">
        <v>45625</v>
      </c>
      <c r="C398" s="1" t="n">
        <v>45933</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48587-2023</t>
        </is>
      </c>
      <c r="B399" s="1" t="n">
        <v>45208</v>
      </c>
      <c r="C399" s="1" t="n">
        <v>45933</v>
      </c>
      <c r="D399" t="inlineStr">
        <is>
          <t>STOCKHOLMS LÄN</t>
        </is>
      </c>
      <c r="E399" t="inlineStr">
        <is>
          <t>NORRTÄLJE</t>
        </is>
      </c>
      <c r="G399" t="n">
        <v>7</v>
      </c>
      <c r="H399" t="n">
        <v>0</v>
      </c>
      <c r="I399" t="n">
        <v>0</v>
      </c>
      <c r="J399" t="n">
        <v>0</v>
      </c>
      <c r="K399" t="n">
        <v>0</v>
      </c>
      <c r="L399" t="n">
        <v>0</v>
      </c>
      <c r="M399" t="n">
        <v>0</v>
      </c>
      <c r="N399" t="n">
        <v>0</v>
      </c>
      <c r="O399" t="n">
        <v>0</v>
      </c>
      <c r="P399" t="n">
        <v>0</v>
      </c>
      <c r="Q399" t="n">
        <v>0</v>
      </c>
      <c r="R399" s="2" t="inlineStr"/>
    </row>
    <row r="400" ht="15" customHeight="1">
      <c r="A400" t="inlineStr">
        <is>
          <t>A 53600-2022</t>
        </is>
      </c>
      <c r="B400" s="1" t="n">
        <v>44879.70518518519</v>
      </c>
      <c r="C400" s="1" t="n">
        <v>45933</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58661-2020</t>
        </is>
      </c>
      <c r="B401" s="1" t="n">
        <v>44145</v>
      </c>
      <c r="C401" s="1" t="n">
        <v>45933</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52743-2024</t>
        </is>
      </c>
      <c r="B402" s="1" t="n">
        <v>45610.47414351852</v>
      </c>
      <c r="C402" s="1" t="n">
        <v>45933</v>
      </c>
      <c r="D402" t="inlineStr">
        <is>
          <t>STOCKHOLMS LÄN</t>
        </is>
      </c>
      <c r="E402" t="inlineStr">
        <is>
          <t>NORRTÄLJE</t>
        </is>
      </c>
      <c r="G402" t="n">
        <v>1.5</v>
      </c>
      <c r="H402" t="n">
        <v>0</v>
      </c>
      <c r="I402" t="n">
        <v>0</v>
      </c>
      <c r="J402" t="n">
        <v>0</v>
      </c>
      <c r="K402" t="n">
        <v>0</v>
      </c>
      <c r="L402" t="n">
        <v>0</v>
      </c>
      <c r="M402" t="n">
        <v>0</v>
      </c>
      <c r="N402" t="n">
        <v>0</v>
      </c>
      <c r="O402" t="n">
        <v>0</v>
      </c>
      <c r="P402" t="n">
        <v>0</v>
      </c>
      <c r="Q402" t="n">
        <v>0</v>
      </c>
      <c r="R402" s="2" t="inlineStr"/>
    </row>
    <row r="403" ht="15" customHeight="1">
      <c r="A403" t="inlineStr">
        <is>
          <t>A 5831-2022</t>
        </is>
      </c>
      <c r="B403" s="1" t="n">
        <v>44596</v>
      </c>
      <c r="C403" s="1" t="n">
        <v>45933</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44075-2023</t>
        </is>
      </c>
      <c r="B404" s="1" t="n">
        <v>45188.41637731482</v>
      </c>
      <c r="C404" s="1" t="n">
        <v>45933</v>
      </c>
      <c r="D404" t="inlineStr">
        <is>
          <t>STOCKHOLMS LÄN</t>
        </is>
      </c>
      <c r="E404" t="inlineStr">
        <is>
          <t>NORRTÄLJE</t>
        </is>
      </c>
      <c r="F404" t="inlineStr">
        <is>
          <t>Holmen skog AB</t>
        </is>
      </c>
      <c r="G404" t="n">
        <v>2.4</v>
      </c>
      <c r="H404" t="n">
        <v>0</v>
      </c>
      <c r="I404" t="n">
        <v>0</v>
      </c>
      <c r="J404" t="n">
        <v>0</v>
      </c>
      <c r="K404" t="n">
        <v>0</v>
      </c>
      <c r="L404" t="n">
        <v>0</v>
      </c>
      <c r="M404" t="n">
        <v>0</v>
      </c>
      <c r="N404" t="n">
        <v>0</v>
      </c>
      <c r="O404" t="n">
        <v>0</v>
      </c>
      <c r="P404" t="n">
        <v>0</v>
      </c>
      <c r="Q404" t="n">
        <v>0</v>
      </c>
      <c r="R404" s="2" t="inlineStr"/>
    </row>
    <row r="405" ht="15" customHeight="1">
      <c r="A405" t="inlineStr">
        <is>
          <t>A 58853-2024</t>
        </is>
      </c>
      <c r="B405" s="1" t="n">
        <v>45636.38974537037</v>
      </c>
      <c r="C405" s="1" t="n">
        <v>45933</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42955-2022</t>
        </is>
      </c>
      <c r="B406" s="1" t="n">
        <v>44833.40876157407</v>
      </c>
      <c r="C406" s="1" t="n">
        <v>45933</v>
      </c>
      <c r="D406" t="inlineStr">
        <is>
          <t>STOCKHOLMS LÄN</t>
        </is>
      </c>
      <c r="E406" t="inlineStr">
        <is>
          <t>NORRTÄLJE</t>
        </is>
      </c>
      <c r="G406" t="n">
        <v>13.1</v>
      </c>
      <c r="H406" t="n">
        <v>0</v>
      </c>
      <c r="I406" t="n">
        <v>0</v>
      </c>
      <c r="J406" t="n">
        <v>0</v>
      </c>
      <c r="K406" t="n">
        <v>0</v>
      </c>
      <c r="L406" t="n">
        <v>0</v>
      </c>
      <c r="M406" t="n">
        <v>0</v>
      </c>
      <c r="N406" t="n">
        <v>0</v>
      </c>
      <c r="O406" t="n">
        <v>0</v>
      </c>
      <c r="P406" t="n">
        <v>0</v>
      </c>
      <c r="Q406" t="n">
        <v>0</v>
      </c>
      <c r="R406" s="2" t="inlineStr"/>
    </row>
    <row r="407" ht="15" customHeight="1">
      <c r="A407" t="inlineStr">
        <is>
          <t>A 11499-2023</t>
        </is>
      </c>
      <c r="B407" s="1" t="n">
        <v>44993.66707175926</v>
      </c>
      <c r="C407" s="1" t="n">
        <v>45933</v>
      </c>
      <c r="D407" t="inlineStr">
        <is>
          <t>STOCKHOLMS LÄN</t>
        </is>
      </c>
      <c r="E407" t="inlineStr">
        <is>
          <t>NORRTÄLJE</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53652-2020</t>
        </is>
      </c>
      <c r="B408" s="1" t="n">
        <v>44124</v>
      </c>
      <c r="C408" s="1" t="n">
        <v>45933</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64600-2021</t>
        </is>
      </c>
      <c r="B409" s="1" t="n">
        <v>44511.70518518519</v>
      </c>
      <c r="C409" s="1" t="n">
        <v>45933</v>
      </c>
      <c r="D409" t="inlineStr">
        <is>
          <t>STOCKHOLMS LÄN</t>
        </is>
      </c>
      <c r="E409" t="inlineStr">
        <is>
          <t>NORRTÄLJE</t>
        </is>
      </c>
      <c r="G409" t="n">
        <v>6.2</v>
      </c>
      <c r="H409" t="n">
        <v>0</v>
      </c>
      <c r="I409" t="n">
        <v>0</v>
      </c>
      <c r="J409" t="n">
        <v>0</v>
      </c>
      <c r="K409" t="n">
        <v>0</v>
      </c>
      <c r="L409" t="n">
        <v>0</v>
      </c>
      <c r="M409" t="n">
        <v>0</v>
      </c>
      <c r="N409" t="n">
        <v>0</v>
      </c>
      <c r="O409" t="n">
        <v>0</v>
      </c>
      <c r="P409" t="n">
        <v>0</v>
      </c>
      <c r="Q409" t="n">
        <v>0</v>
      </c>
      <c r="R409" s="2" t="inlineStr"/>
    </row>
    <row r="410" ht="15" customHeight="1">
      <c r="A410" t="inlineStr">
        <is>
          <t>A 35640-2024</t>
        </is>
      </c>
      <c r="B410" s="1" t="n">
        <v>45531</v>
      </c>
      <c r="C410" s="1" t="n">
        <v>45933</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8586-2023</t>
        </is>
      </c>
      <c r="B411" s="1" t="n">
        <v>44977</v>
      </c>
      <c r="C411" s="1" t="n">
        <v>45933</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29250-2025</t>
        </is>
      </c>
      <c r="B412" s="1" t="n">
        <v>45824.37275462963</v>
      </c>
      <c r="C412" s="1" t="n">
        <v>45933</v>
      </c>
      <c r="D412" t="inlineStr">
        <is>
          <t>STOCKHOLMS LÄN</t>
        </is>
      </c>
      <c r="E412" t="inlineStr">
        <is>
          <t>NORRTÄLJE</t>
        </is>
      </c>
      <c r="F412" t="inlineStr">
        <is>
          <t>Sveaskog</t>
        </is>
      </c>
      <c r="G412" t="n">
        <v>6.4</v>
      </c>
      <c r="H412" t="n">
        <v>0</v>
      </c>
      <c r="I412" t="n">
        <v>0</v>
      </c>
      <c r="J412" t="n">
        <v>0</v>
      </c>
      <c r="K412" t="n">
        <v>0</v>
      </c>
      <c r="L412" t="n">
        <v>0</v>
      </c>
      <c r="M412" t="n">
        <v>0</v>
      </c>
      <c r="N412" t="n">
        <v>0</v>
      </c>
      <c r="O412" t="n">
        <v>0</v>
      </c>
      <c r="P412" t="n">
        <v>0</v>
      </c>
      <c r="Q412" t="n">
        <v>0</v>
      </c>
      <c r="R412" s="2" t="inlineStr"/>
    </row>
    <row r="413" ht="15" customHeight="1">
      <c r="A413" t="inlineStr">
        <is>
          <t>A 67990-2021</t>
        </is>
      </c>
      <c r="B413" s="1" t="n">
        <v>44525</v>
      </c>
      <c r="C413" s="1" t="n">
        <v>45933</v>
      </c>
      <c r="D413" t="inlineStr">
        <is>
          <t>STOCKHOLMS LÄN</t>
        </is>
      </c>
      <c r="E413" t="inlineStr">
        <is>
          <t>NORRTÄLJE</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59712-2024</t>
        </is>
      </c>
      <c r="B414" s="1" t="n">
        <v>45639.45166666667</v>
      </c>
      <c r="C414" s="1" t="n">
        <v>45933</v>
      </c>
      <c r="D414" t="inlineStr">
        <is>
          <t>STOCKHOLMS LÄN</t>
        </is>
      </c>
      <c r="E414" t="inlineStr">
        <is>
          <t>NORRTÄLJE</t>
        </is>
      </c>
      <c r="G414" t="n">
        <v>4.4</v>
      </c>
      <c r="H414" t="n">
        <v>0</v>
      </c>
      <c r="I414" t="n">
        <v>0</v>
      </c>
      <c r="J414" t="n">
        <v>0</v>
      </c>
      <c r="K414" t="n">
        <v>0</v>
      </c>
      <c r="L414" t="n">
        <v>0</v>
      </c>
      <c r="M414" t="n">
        <v>0</v>
      </c>
      <c r="N414" t="n">
        <v>0</v>
      </c>
      <c r="O414" t="n">
        <v>0</v>
      </c>
      <c r="P414" t="n">
        <v>0</v>
      </c>
      <c r="Q414" t="n">
        <v>0</v>
      </c>
      <c r="R414" s="2" t="inlineStr"/>
    </row>
    <row r="415" ht="15" customHeight="1">
      <c r="A415" t="inlineStr">
        <is>
          <t>A 20136-2025</t>
        </is>
      </c>
      <c r="B415" s="1" t="n">
        <v>45772.51127314815</v>
      </c>
      <c r="C415" s="1" t="n">
        <v>45933</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15978-2024</t>
        </is>
      </c>
      <c r="B416" s="1" t="n">
        <v>45405.57927083333</v>
      </c>
      <c r="C416" s="1" t="n">
        <v>45933</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59721-2024</t>
        </is>
      </c>
      <c r="B417" s="1" t="n">
        <v>45639.47385416667</v>
      </c>
      <c r="C417" s="1" t="n">
        <v>45933</v>
      </c>
      <c r="D417" t="inlineStr">
        <is>
          <t>STOCKHOLMS LÄN</t>
        </is>
      </c>
      <c r="E417" t="inlineStr">
        <is>
          <t>NORRTÄLJE</t>
        </is>
      </c>
      <c r="G417" t="n">
        <v>4.6</v>
      </c>
      <c r="H417" t="n">
        <v>0</v>
      </c>
      <c r="I417" t="n">
        <v>0</v>
      </c>
      <c r="J417" t="n">
        <v>0</v>
      </c>
      <c r="K417" t="n">
        <v>0</v>
      </c>
      <c r="L417" t="n">
        <v>0</v>
      </c>
      <c r="M417" t="n">
        <v>0</v>
      </c>
      <c r="N417" t="n">
        <v>0</v>
      </c>
      <c r="O417" t="n">
        <v>0</v>
      </c>
      <c r="P417" t="n">
        <v>0</v>
      </c>
      <c r="Q417" t="n">
        <v>0</v>
      </c>
      <c r="R417" s="2" t="inlineStr"/>
    </row>
    <row r="418" ht="15" customHeight="1">
      <c r="A418" t="inlineStr">
        <is>
          <t>A 60884-2024</t>
        </is>
      </c>
      <c r="B418" s="1" t="n">
        <v>45644.90815972222</v>
      </c>
      <c r="C418" s="1" t="n">
        <v>45933</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23150-2024</t>
        </is>
      </c>
      <c r="B419" s="1" t="n">
        <v>45450.64643518518</v>
      </c>
      <c r="C419" s="1" t="n">
        <v>45933</v>
      </c>
      <c r="D419" t="inlineStr">
        <is>
          <t>STOCKHOLMS LÄN</t>
        </is>
      </c>
      <c r="E419" t="inlineStr">
        <is>
          <t>NORRTÄLJE</t>
        </is>
      </c>
      <c r="F419" t="inlineStr">
        <is>
          <t>Kommuner</t>
        </is>
      </c>
      <c r="G419" t="n">
        <v>2.7</v>
      </c>
      <c r="H419" t="n">
        <v>0</v>
      </c>
      <c r="I419" t="n">
        <v>0</v>
      </c>
      <c r="J419" t="n">
        <v>0</v>
      </c>
      <c r="K419" t="n">
        <v>0</v>
      </c>
      <c r="L419" t="n">
        <v>0</v>
      </c>
      <c r="M419" t="n">
        <v>0</v>
      </c>
      <c r="N419" t="n">
        <v>0</v>
      </c>
      <c r="O419" t="n">
        <v>0</v>
      </c>
      <c r="P419" t="n">
        <v>0</v>
      </c>
      <c r="Q419" t="n">
        <v>0</v>
      </c>
      <c r="R419" s="2" t="inlineStr"/>
    </row>
    <row r="420" ht="15" customHeight="1">
      <c r="A420" t="inlineStr">
        <is>
          <t>A 59878-2024</t>
        </is>
      </c>
      <c r="B420" s="1" t="n">
        <v>45640.60240740741</v>
      </c>
      <c r="C420" s="1" t="n">
        <v>45933</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50182-2024</t>
        </is>
      </c>
      <c r="B421" s="1" t="n">
        <v>45600.47275462963</v>
      </c>
      <c r="C421" s="1" t="n">
        <v>45933</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2549-2022</t>
        </is>
      </c>
      <c r="B422" s="1" t="n">
        <v>44580</v>
      </c>
      <c r="C422" s="1" t="n">
        <v>45933</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31140-2023</t>
        </is>
      </c>
      <c r="B423" s="1" t="n">
        <v>45113</v>
      </c>
      <c r="C423" s="1" t="n">
        <v>45933</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31149-2023</t>
        </is>
      </c>
      <c r="B424" s="1" t="n">
        <v>45113</v>
      </c>
      <c r="C424" s="1" t="n">
        <v>45933</v>
      </c>
      <c r="D424" t="inlineStr">
        <is>
          <t>STOCKHOLMS LÄN</t>
        </is>
      </c>
      <c r="E424" t="inlineStr">
        <is>
          <t>NORRTÄLJE</t>
        </is>
      </c>
      <c r="G424" t="n">
        <v>7.1</v>
      </c>
      <c r="H424" t="n">
        <v>0</v>
      </c>
      <c r="I424" t="n">
        <v>0</v>
      </c>
      <c r="J424" t="n">
        <v>0</v>
      </c>
      <c r="K424" t="n">
        <v>0</v>
      </c>
      <c r="L424" t="n">
        <v>0</v>
      </c>
      <c r="M424" t="n">
        <v>0</v>
      </c>
      <c r="N424" t="n">
        <v>0</v>
      </c>
      <c r="O424" t="n">
        <v>0</v>
      </c>
      <c r="P424" t="n">
        <v>0</v>
      </c>
      <c r="Q424" t="n">
        <v>0</v>
      </c>
      <c r="R424" s="2" t="inlineStr"/>
    </row>
    <row r="425" ht="15" customHeight="1">
      <c r="A425" t="inlineStr">
        <is>
          <t>A 16835-2022</t>
        </is>
      </c>
      <c r="B425" s="1" t="n">
        <v>44673</v>
      </c>
      <c r="C425" s="1" t="n">
        <v>45933</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20473-2021</t>
        </is>
      </c>
      <c r="B426" s="1" t="n">
        <v>44315</v>
      </c>
      <c r="C426" s="1" t="n">
        <v>45933</v>
      </c>
      <c r="D426" t="inlineStr">
        <is>
          <t>STOCKHOLMS LÄN</t>
        </is>
      </c>
      <c r="E426" t="inlineStr">
        <is>
          <t>NORRTÄLJE</t>
        </is>
      </c>
      <c r="F426" t="inlineStr">
        <is>
          <t>Övriga Aktiebolag</t>
        </is>
      </c>
      <c r="G426" t="n">
        <v>3.6</v>
      </c>
      <c r="H426" t="n">
        <v>0</v>
      </c>
      <c r="I426" t="n">
        <v>0</v>
      </c>
      <c r="J426" t="n">
        <v>0</v>
      </c>
      <c r="K426" t="n">
        <v>0</v>
      </c>
      <c r="L426" t="n">
        <v>0</v>
      </c>
      <c r="M426" t="n">
        <v>0</v>
      </c>
      <c r="N426" t="n">
        <v>0</v>
      </c>
      <c r="O426" t="n">
        <v>0</v>
      </c>
      <c r="P426" t="n">
        <v>0</v>
      </c>
      <c r="Q426" t="n">
        <v>0</v>
      </c>
      <c r="R426" s="2" t="inlineStr"/>
    </row>
    <row r="427" ht="15" customHeight="1">
      <c r="A427" t="inlineStr">
        <is>
          <t>A 7603-2025</t>
        </is>
      </c>
      <c r="B427" s="1" t="n">
        <v>45705.66126157407</v>
      </c>
      <c r="C427" s="1" t="n">
        <v>45933</v>
      </c>
      <c r="D427" t="inlineStr">
        <is>
          <t>STOCKHOLMS LÄN</t>
        </is>
      </c>
      <c r="E427" t="inlineStr">
        <is>
          <t>NORRTÄLJE</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21696-2024</t>
        </is>
      </c>
      <c r="B428" s="1" t="n">
        <v>45442.45686342593</v>
      </c>
      <c r="C428" s="1" t="n">
        <v>45933</v>
      </c>
      <c r="D428" t="inlineStr">
        <is>
          <t>STOCKHOLMS LÄN</t>
        </is>
      </c>
      <c r="E428" t="inlineStr">
        <is>
          <t>NORRTÄLJE</t>
        </is>
      </c>
      <c r="G428" t="n">
        <v>2.9</v>
      </c>
      <c r="H428" t="n">
        <v>0</v>
      </c>
      <c r="I428" t="n">
        <v>0</v>
      </c>
      <c r="J428" t="n">
        <v>0</v>
      </c>
      <c r="K428" t="n">
        <v>0</v>
      </c>
      <c r="L428" t="n">
        <v>0</v>
      </c>
      <c r="M428" t="n">
        <v>0</v>
      </c>
      <c r="N428" t="n">
        <v>0</v>
      </c>
      <c r="O428" t="n">
        <v>0</v>
      </c>
      <c r="P428" t="n">
        <v>0</v>
      </c>
      <c r="Q428" t="n">
        <v>0</v>
      </c>
      <c r="R428" s="2" t="inlineStr"/>
    </row>
    <row r="429" ht="15" customHeight="1">
      <c r="A429" t="inlineStr">
        <is>
          <t>A 37136-2023</t>
        </is>
      </c>
      <c r="B429" s="1" t="n">
        <v>45155</v>
      </c>
      <c r="C429" s="1" t="n">
        <v>45933</v>
      </c>
      <c r="D429" t="inlineStr">
        <is>
          <t>STOCKHOLMS LÄN</t>
        </is>
      </c>
      <c r="E429" t="inlineStr">
        <is>
          <t>NORRTÄLJE</t>
        </is>
      </c>
      <c r="G429" t="n">
        <v>2.5</v>
      </c>
      <c r="H429" t="n">
        <v>0</v>
      </c>
      <c r="I429" t="n">
        <v>0</v>
      </c>
      <c r="J429" t="n">
        <v>0</v>
      </c>
      <c r="K429" t="n">
        <v>0</v>
      </c>
      <c r="L429" t="n">
        <v>0</v>
      </c>
      <c r="M429" t="n">
        <v>0</v>
      </c>
      <c r="N429" t="n">
        <v>0</v>
      </c>
      <c r="O429" t="n">
        <v>0</v>
      </c>
      <c r="P429" t="n">
        <v>0</v>
      </c>
      <c r="Q429" t="n">
        <v>0</v>
      </c>
      <c r="R429" s="2" t="inlineStr"/>
    </row>
    <row r="430" ht="15" customHeight="1">
      <c r="A430" t="inlineStr">
        <is>
          <t>A 5158-2024</t>
        </is>
      </c>
      <c r="B430" s="1" t="n">
        <v>45330.50098379629</v>
      </c>
      <c r="C430" s="1" t="n">
        <v>45933</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13701-2022</t>
        </is>
      </c>
      <c r="B431" s="1" t="n">
        <v>44648</v>
      </c>
      <c r="C431" s="1" t="n">
        <v>45933</v>
      </c>
      <c r="D431" t="inlineStr">
        <is>
          <t>STOCKHOLMS LÄN</t>
        </is>
      </c>
      <c r="E431" t="inlineStr">
        <is>
          <t>NORRTÄLJE</t>
        </is>
      </c>
      <c r="G431" t="n">
        <v>1.6</v>
      </c>
      <c r="H431" t="n">
        <v>0</v>
      </c>
      <c r="I431" t="n">
        <v>0</v>
      </c>
      <c r="J431" t="n">
        <v>0</v>
      </c>
      <c r="K431" t="n">
        <v>0</v>
      </c>
      <c r="L431" t="n">
        <v>0</v>
      </c>
      <c r="M431" t="n">
        <v>0</v>
      </c>
      <c r="N431" t="n">
        <v>0</v>
      </c>
      <c r="O431" t="n">
        <v>0</v>
      </c>
      <c r="P431" t="n">
        <v>0</v>
      </c>
      <c r="Q431" t="n">
        <v>0</v>
      </c>
      <c r="R431" s="2" t="inlineStr"/>
    </row>
    <row r="432" ht="15" customHeight="1">
      <c r="A432" t="inlineStr">
        <is>
          <t>A 13089-2022</t>
        </is>
      </c>
      <c r="B432" s="1" t="n">
        <v>44643</v>
      </c>
      <c r="C432" s="1" t="n">
        <v>45933</v>
      </c>
      <c r="D432" t="inlineStr">
        <is>
          <t>STOCKHOLMS LÄN</t>
        </is>
      </c>
      <c r="E432" t="inlineStr">
        <is>
          <t>NORRTÄLJE</t>
        </is>
      </c>
      <c r="G432" t="n">
        <v>4.5</v>
      </c>
      <c r="H432" t="n">
        <v>0</v>
      </c>
      <c r="I432" t="n">
        <v>0</v>
      </c>
      <c r="J432" t="n">
        <v>0</v>
      </c>
      <c r="K432" t="n">
        <v>0</v>
      </c>
      <c r="L432" t="n">
        <v>0</v>
      </c>
      <c r="M432" t="n">
        <v>0</v>
      </c>
      <c r="N432" t="n">
        <v>0</v>
      </c>
      <c r="O432" t="n">
        <v>0</v>
      </c>
      <c r="P432" t="n">
        <v>0</v>
      </c>
      <c r="Q432" t="n">
        <v>0</v>
      </c>
      <c r="R432" s="2" t="inlineStr"/>
    </row>
    <row r="433" ht="15" customHeight="1">
      <c r="A433" t="inlineStr">
        <is>
          <t>A 1740-2023</t>
        </is>
      </c>
      <c r="B433" s="1" t="n">
        <v>44938</v>
      </c>
      <c r="C433" s="1" t="n">
        <v>45933</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51046-2023</t>
        </is>
      </c>
      <c r="B434" s="1" t="n">
        <v>45218</v>
      </c>
      <c r="C434" s="1" t="n">
        <v>45933</v>
      </c>
      <c r="D434" t="inlineStr">
        <is>
          <t>STOCKHOLMS LÄN</t>
        </is>
      </c>
      <c r="E434" t="inlineStr">
        <is>
          <t>NORRTÄLJE</t>
        </is>
      </c>
      <c r="G434" t="n">
        <v>2.5</v>
      </c>
      <c r="H434" t="n">
        <v>0</v>
      </c>
      <c r="I434" t="n">
        <v>0</v>
      </c>
      <c r="J434" t="n">
        <v>0</v>
      </c>
      <c r="K434" t="n">
        <v>0</v>
      </c>
      <c r="L434" t="n">
        <v>0</v>
      </c>
      <c r="M434" t="n">
        <v>0</v>
      </c>
      <c r="N434" t="n">
        <v>0</v>
      </c>
      <c r="O434" t="n">
        <v>0</v>
      </c>
      <c r="P434" t="n">
        <v>0</v>
      </c>
      <c r="Q434" t="n">
        <v>0</v>
      </c>
      <c r="R434" s="2" t="inlineStr"/>
    </row>
    <row r="435" ht="15" customHeight="1">
      <c r="A435" t="inlineStr">
        <is>
          <t>A 8736-2024</t>
        </is>
      </c>
      <c r="B435" s="1" t="n">
        <v>45356.4722800926</v>
      </c>
      <c r="C435" s="1" t="n">
        <v>45933</v>
      </c>
      <c r="D435" t="inlineStr">
        <is>
          <t>STOCKHOLMS LÄN</t>
        </is>
      </c>
      <c r="E435" t="inlineStr">
        <is>
          <t>NORRTÄLJE</t>
        </is>
      </c>
      <c r="G435" t="n">
        <v>8.9</v>
      </c>
      <c r="H435" t="n">
        <v>0</v>
      </c>
      <c r="I435" t="n">
        <v>0</v>
      </c>
      <c r="J435" t="n">
        <v>0</v>
      </c>
      <c r="K435" t="n">
        <v>0</v>
      </c>
      <c r="L435" t="n">
        <v>0</v>
      </c>
      <c r="M435" t="n">
        <v>0</v>
      </c>
      <c r="N435" t="n">
        <v>0</v>
      </c>
      <c r="O435" t="n">
        <v>0</v>
      </c>
      <c r="P435" t="n">
        <v>0</v>
      </c>
      <c r="Q435" t="n">
        <v>0</v>
      </c>
      <c r="R435" s="2" t="inlineStr"/>
    </row>
    <row r="436" ht="15" customHeight="1">
      <c r="A436" t="inlineStr">
        <is>
          <t>A 15552-2021</t>
        </is>
      </c>
      <c r="B436" s="1" t="n">
        <v>44285</v>
      </c>
      <c r="C436" s="1" t="n">
        <v>45933</v>
      </c>
      <c r="D436" t="inlineStr">
        <is>
          <t>STOCKHOLMS LÄN</t>
        </is>
      </c>
      <c r="E436" t="inlineStr">
        <is>
          <t>NORRTÄLJE</t>
        </is>
      </c>
      <c r="G436" t="n">
        <v>10</v>
      </c>
      <c r="H436" t="n">
        <v>0</v>
      </c>
      <c r="I436" t="n">
        <v>0</v>
      </c>
      <c r="J436" t="n">
        <v>0</v>
      </c>
      <c r="K436" t="n">
        <v>0</v>
      </c>
      <c r="L436" t="n">
        <v>0</v>
      </c>
      <c r="M436" t="n">
        <v>0</v>
      </c>
      <c r="N436" t="n">
        <v>0</v>
      </c>
      <c r="O436" t="n">
        <v>0</v>
      </c>
      <c r="P436" t="n">
        <v>0</v>
      </c>
      <c r="Q436" t="n">
        <v>0</v>
      </c>
      <c r="R436" s="2" t="inlineStr"/>
    </row>
    <row r="437" ht="15" customHeight="1">
      <c r="A437" t="inlineStr">
        <is>
          <t>A 38759-2022</t>
        </is>
      </c>
      <c r="B437" s="1" t="n">
        <v>44816</v>
      </c>
      <c r="C437" s="1" t="n">
        <v>45933</v>
      </c>
      <c r="D437" t="inlineStr">
        <is>
          <t>STOCKHOLMS LÄN</t>
        </is>
      </c>
      <c r="E437" t="inlineStr">
        <is>
          <t>NORRTÄLJE</t>
        </is>
      </c>
      <c r="G437" t="n">
        <v>2.8</v>
      </c>
      <c r="H437" t="n">
        <v>0</v>
      </c>
      <c r="I437" t="n">
        <v>0</v>
      </c>
      <c r="J437" t="n">
        <v>0</v>
      </c>
      <c r="K437" t="n">
        <v>0</v>
      </c>
      <c r="L437" t="n">
        <v>0</v>
      </c>
      <c r="M437" t="n">
        <v>0</v>
      </c>
      <c r="N437" t="n">
        <v>0</v>
      </c>
      <c r="O437" t="n">
        <v>0</v>
      </c>
      <c r="P437" t="n">
        <v>0</v>
      </c>
      <c r="Q437" t="n">
        <v>0</v>
      </c>
      <c r="R437" s="2" t="inlineStr"/>
    </row>
    <row r="438" ht="15" customHeight="1">
      <c r="A438" t="inlineStr">
        <is>
          <t>A 30668-2025</t>
        </is>
      </c>
      <c r="B438" s="1" t="n">
        <v>45831.51659722222</v>
      </c>
      <c r="C438" s="1" t="n">
        <v>45933</v>
      </c>
      <c r="D438" t="inlineStr">
        <is>
          <t>STOCKHOLMS LÄN</t>
        </is>
      </c>
      <c r="E438" t="inlineStr">
        <is>
          <t>NORRTÄLJE</t>
        </is>
      </c>
      <c r="G438" t="n">
        <v>4.9</v>
      </c>
      <c r="H438" t="n">
        <v>0</v>
      </c>
      <c r="I438" t="n">
        <v>0</v>
      </c>
      <c r="J438" t="n">
        <v>0</v>
      </c>
      <c r="K438" t="n">
        <v>0</v>
      </c>
      <c r="L438" t="n">
        <v>0</v>
      </c>
      <c r="M438" t="n">
        <v>0</v>
      </c>
      <c r="N438" t="n">
        <v>0</v>
      </c>
      <c r="O438" t="n">
        <v>0</v>
      </c>
      <c r="P438" t="n">
        <v>0</v>
      </c>
      <c r="Q438" t="n">
        <v>0</v>
      </c>
      <c r="R438" s="2" t="inlineStr"/>
    </row>
    <row r="439" ht="15" customHeight="1">
      <c r="A439" t="inlineStr">
        <is>
          <t>A 45255-2022</t>
        </is>
      </c>
      <c r="B439" s="1" t="n">
        <v>44840</v>
      </c>
      <c r="C439" s="1" t="n">
        <v>45933</v>
      </c>
      <c r="D439" t="inlineStr">
        <is>
          <t>STOCKHOLMS LÄN</t>
        </is>
      </c>
      <c r="E439" t="inlineStr">
        <is>
          <t>NORRTÄLJE</t>
        </is>
      </c>
      <c r="G439" t="n">
        <v>4.1</v>
      </c>
      <c r="H439" t="n">
        <v>0</v>
      </c>
      <c r="I439" t="n">
        <v>0</v>
      </c>
      <c r="J439" t="n">
        <v>0</v>
      </c>
      <c r="K439" t="n">
        <v>0</v>
      </c>
      <c r="L439" t="n">
        <v>0</v>
      </c>
      <c r="M439" t="n">
        <v>0</v>
      </c>
      <c r="N439" t="n">
        <v>0</v>
      </c>
      <c r="O439" t="n">
        <v>0</v>
      </c>
      <c r="P439" t="n">
        <v>0</v>
      </c>
      <c r="Q439" t="n">
        <v>0</v>
      </c>
      <c r="R439" s="2" t="inlineStr"/>
    </row>
    <row r="440" ht="15" customHeight="1">
      <c r="A440" t="inlineStr">
        <is>
          <t>A 19915-2024</t>
        </is>
      </c>
      <c r="B440" s="1" t="n">
        <v>45433.58431712963</v>
      </c>
      <c r="C440" s="1" t="n">
        <v>45933</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66662-2020</t>
        </is>
      </c>
      <c r="B441" s="1" t="n">
        <v>44179</v>
      </c>
      <c r="C441" s="1" t="n">
        <v>45933</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63824-2020</t>
        </is>
      </c>
      <c r="B442" s="1" t="n">
        <v>44162</v>
      </c>
      <c r="C442" s="1" t="n">
        <v>45933</v>
      </c>
      <c r="D442" t="inlineStr">
        <is>
          <t>STOCKHOLMS LÄN</t>
        </is>
      </c>
      <c r="E442" t="inlineStr">
        <is>
          <t>NORRTÄLJE</t>
        </is>
      </c>
      <c r="F442" t="inlineStr">
        <is>
          <t>Övriga Aktiebolag</t>
        </is>
      </c>
      <c r="G442" t="n">
        <v>1.9</v>
      </c>
      <c r="H442" t="n">
        <v>0</v>
      </c>
      <c r="I442" t="n">
        <v>0</v>
      </c>
      <c r="J442" t="n">
        <v>0</v>
      </c>
      <c r="K442" t="n">
        <v>0</v>
      </c>
      <c r="L442" t="n">
        <v>0</v>
      </c>
      <c r="M442" t="n">
        <v>0</v>
      </c>
      <c r="N442" t="n">
        <v>0</v>
      </c>
      <c r="O442" t="n">
        <v>0</v>
      </c>
      <c r="P442" t="n">
        <v>0</v>
      </c>
      <c r="Q442" t="n">
        <v>0</v>
      </c>
      <c r="R442" s="2" t="inlineStr"/>
    </row>
    <row r="443" ht="15" customHeight="1">
      <c r="A443" t="inlineStr">
        <is>
          <t>A 23998-2024</t>
        </is>
      </c>
      <c r="B443" s="1" t="n">
        <v>45456</v>
      </c>
      <c r="C443" s="1" t="n">
        <v>45933</v>
      </c>
      <c r="D443" t="inlineStr">
        <is>
          <t>STOCKHOLMS LÄN</t>
        </is>
      </c>
      <c r="E443" t="inlineStr">
        <is>
          <t>NORRTÄLJE</t>
        </is>
      </c>
      <c r="G443" t="n">
        <v>2.3</v>
      </c>
      <c r="H443" t="n">
        <v>0</v>
      </c>
      <c r="I443" t="n">
        <v>0</v>
      </c>
      <c r="J443" t="n">
        <v>0</v>
      </c>
      <c r="K443" t="n">
        <v>0</v>
      </c>
      <c r="L443" t="n">
        <v>0</v>
      </c>
      <c r="M443" t="n">
        <v>0</v>
      </c>
      <c r="N443" t="n">
        <v>0</v>
      </c>
      <c r="O443" t="n">
        <v>0</v>
      </c>
      <c r="P443" t="n">
        <v>0</v>
      </c>
      <c r="Q443" t="n">
        <v>0</v>
      </c>
      <c r="R443" s="2" t="inlineStr"/>
    </row>
    <row r="444" ht="15" customHeight="1">
      <c r="A444" t="inlineStr">
        <is>
          <t>A 12629-2024</t>
        </is>
      </c>
      <c r="B444" s="1" t="n">
        <v>45383</v>
      </c>
      <c r="C444" s="1" t="n">
        <v>45933</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54504-2024</t>
        </is>
      </c>
      <c r="B445" s="1" t="n">
        <v>45617.58453703704</v>
      </c>
      <c r="C445" s="1" t="n">
        <v>45933</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20428-2024</t>
        </is>
      </c>
      <c r="B446" s="1" t="n">
        <v>45435</v>
      </c>
      <c r="C446" s="1" t="n">
        <v>45933</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5423-2023</t>
        </is>
      </c>
      <c r="B447" s="1" t="n">
        <v>44959.74533564815</v>
      </c>
      <c r="C447" s="1" t="n">
        <v>45933</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57037-2022</t>
        </is>
      </c>
      <c r="B448" s="1" t="n">
        <v>44895</v>
      </c>
      <c r="C448" s="1" t="n">
        <v>45933</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58492-2022</t>
        </is>
      </c>
      <c r="B449" s="1" t="n">
        <v>44902</v>
      </c>
      <c r="C449" s="1" t="n">
        <v>45933</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14762-2024</t>
        </is>
      </c>
      <c r="B450" s="1" t="n">
        <v>45397</v>
      </c>
      <c r="C450" s="1" t="n">
        <v>45933</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32595-2023</t>
        </is>
      </c>
      <c r="B451" s="1" t="n">
        <v>45121</v>
      </c>
      <c r="C451" s="1" t="n">
        <v>45933</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11332-2025</t>
        </is>
      </c>
      <c r="B452" s="1" t="n">
        <v>45726.48152777777</v>
      </c>
      <c r="C452" s="1" t="n">
        <v>45933</v>
      </c>
      <c r="D452" t="inlineStr">
        <is>
          <t>STOCKHOLMS LÄN</t>
        </is>
      </c>
      <c r="E452" t="inlineStr">
        <is>
          <t>NORRTÄLJE</t>
        </is>
      </c>
      <c r="G452" t="n">
        <v>4.6</v>
      </c>
      <c r="H452" t="n">
        <v>0</v>
      </c>
      <c r="I452" t="n">
        <v>0</v>
      </c>
      <c r="J452" t="n">
        <v>0</v>
      </c>
      <c r="K452" t="n">
        <v>0</v>
      </c>
      <c r="L452" t="n">
        <v>0</v>
      </c>
      <c r="M452" t="n">
        <v>0</v>
      </c>
      <c r="N452" t="n">
        <v>0</v>
      </c>
      <c r="O452" t="n">
        <v>0</v>
      </c>
      <c r="P452" t="n">
        <v>0</v>
      </c>
      <c r="Q452" t="n">
        <v>0</v>
      </c>
      <c r="R452" s="2" t="inlineStr"/>
    </row>
    <row r="453" ht="15" customHeight="1">
      <c r="A453" t="inlineStr">
        <is>
          <t>A 30639-2025</t>
        </is>
      </c>
      <c r="B453" s="1" t="n">
        <v>45831.4844212963</v>
      </c>
      <c r="C453" s="1" t="n">
        <v>45933</v>
      </c>
      <c r="D453" t="inlineStr">
        <is>
          <t>STOCKHOLMS LÄN</t>
        </is>
      </c>
      <c r="E453" t="inlineStr">
        <is>
          <t>NORRTÄLJE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13291-2025</t>
        </is>
      </c>
      <c r="B454" s="1" t="n">
        <v>45735</v>
      </c>
      <c r="C454" s="1" t="n">
        <v>45933</v>
      </c>
      <c r="D454" t="inlineStr">
        <is>
          <t>STOCKHOLMS LÄN</t>
        </is>
      </c>
      <c r="E454" t="inlineStr">
        <is>
          <t>NORRTÄLJE</t>
        </is>
      </c>
      <c r="G454" t="n">
        <v>3.8</v>
      </c>
      <c r="H454" t="n">
        <v>0</v>
      </c>
      <c r="I454" t="n">
        <v>0</v>
      </c>
      <c r="J454" t="n">
        <v>0</v>
      </c>
      <c r="K454" t="n">
        <v>0</v>
      </c>
      <c r="L454" t="n">
        <v>0</v>
      </c>
      <c r="M454" t="n">
        <v>0</v>
      </c>
      <c r="N454" t="n">
        <v>0</v>
      </c>
      <c r="O454" t="n">
        <v>0</v>
      </c>
      <c r="P454" t="n">
        <v>0</v>
      </c>
      <c r="Q454" t="n">
        <v>0</v>
      </c>
      <c r="R454" s="2" t="inlineStr"/>
    </row>
    <row r="455" ht="15" customHeight="1">
      <c r="A455" t="inlineStr">
        <is>
          <t>A 31170-2025</t>
        </is>
      </c>
      <c r="B455" s="1" t="n">
        <v>45832.66385416667</v>
      </c>
      <c r="C455" s="1" t="n">
        <v>45933</v>
      </c>
      <c r="D455" t="inlineStr">
        <is>
          <t>STOCKHOLMS LÄN</t>
        </is>
      </c>
      <c r="E455" t="inlineStr">
        <is>
          <t>NORRTÄLJE</t>
        </is>
      </c>
      <c r="G455" t="n">
        <v>2.7</v>
      </c>
      <c r="H455" t="n">
        <v>0</v>
      </c>
      <c r="I455" t="n">
        <v>0</v>
      </c>
      <c r="J455" t="n">
        <v>0</v>
      </c>
      <c r="K455" t="n">
        <v>0</v>
      </c>
      <c r="L455" t="n">
        <v>0</v>
      </c>
      <c r="M455" t="n">
        <v>0</v>
      </c>
      <c r="N455" t="n">
        <v>0</v>
      </c>
      <c r="O455" t="n">
        <v>0</v>
      </c>
      <c r="P455" t="n">
        <v>0</v>
      </c>
      <c r="Q455" t="n">
        <v>0</v>
      </c>
      <c r="R455" s="2" t="inlineStr"/>
    </row>
    <row r="456" ht="15" customHeight="1">
      <c r="A456" t="inlineStr">
        <is>
          <t>A 30699-2025</t>
        </is>
      </c>
      <c r="B456" s="1" t="n">
        <v>45831.54618055555</v>
      </c>
      <c r="C456" s="1" t="n">
        <v>45933</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23149-2024</t>
        </is>
      </c>
      <c r="B457" s="1" t="n">
        <v>45450.64208333333</v>
      </c>
      <c r="C457" s="1" t="n">
        <v>45933</v>
      </c>
      <c r="D457" t="inlineStr">
        <is>
          <t>STOCKHOLMS LÄN</t>
        </is>
      </c>
      <c r="E457" t="inlineStr">
        <is>
          <t>NORRTÄLJE</t>
        </is>
      </c>
      <c r="F457" t="inlineStr">
        <is>
          <t>Kommuner</t>
        </is>
      </c>
      <c r="G457" t="n">
        <v>1.3</v>
      </c>
      <c r="H457" t="n">
        <v>0</v>
      </c>
      <c r="I457" t="n">
        <v>0</v>
      </c>
      <c r="J457" t="n">
        <v>0</v>
      </c>
      <c r="K457" t="n">
        <v>0</v>
      </c>
      <c r="L457" t="n">
        <v>0</v>
      </c>
      <c r="M457" t="n">
        <v>0</v>
      </c>
      <c r="N457" t="n">
        <v>0</v>
      </c>
      <c r="O457" t="n">
        <v>0</v>
      </c>
      <c r="P457" t="n">
        <v>0</v>
      </c>
      <c r="Q457" t="n">
        <v>0</v>
      </c>
      <c r="R457" s="2" t="inlineStr"/>
    </row>
    <row r="458" ht="15" customHeight="1">
      <c r="A458" t="inlineStr">
        <is>
          <t>A 23151-2024</t>
        </is>
      </c>
      <c r="B458" s="1" t="n">
        <v>45450</v>
      </c>
      <c r="C458" s="1" t="n">
        <v>45933</v>
      </c>
      <c r="D458" t="inlineStr">
        <is>
          <t>STOCKHOLMS LÄN</t>
        </is>
      </c>
      <c r="E458" t="inlineStr">
        <is>
          <t>NORRTÄLJE</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16913-2025</t>
        </is>
      </c>
      <c r="B459" s="1" t="n">
        <v>45755.36583333334</v>
      </c>
      <c r="C459" s="1" t="n">
        <v>45933</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4581-2025</t>
        </is>
      </c>
      <c r="B460" s="1" t="n">
        <v>45687</v>
      </c>
      <c r="C460" s="1" t="n">
        <v>45933</v>
      </c>
      <c r="D460" t="inlineStr">
        <is>
          <t>STOCKHOLMS LÄN</t>
        </is>
      </c>
      <c r="E460" t="inlineStr">
        <is>
          <t>NORRTÄLJE</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51978-2023</t>
        </is>
      </c>
      <c r="B461" s="1" t="n">
        <v>45223</v>
      </c>
      <c r="C461" s="1" t="n">
        <v>45933</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13051-2021</t>
        </is>
      </c>
      <c r="B462" s="1" t="n">
        <v>44272</v>
      </c>
      <c r="C462" s="1" t="n">
        <v>45933</v>
      </c>
      <c r="D462" t="inlineStr">
        <is>
          <t>STOCKHOLMS LÄN</t>
        </is>
      </c>
      <c r="E462" t="inlineStr">
        <is>
          <t>NORRTÄLJE</t>
        </is>
      </c>
      <c r="G462" t="n">
        <v>9.1</v>
      </c>
      <c r="H462" t="n">
        <v>0</v>
      </c>
      <c r="I462" t="n">
        <v>0</v>
      </c>
      <c r="J462" t="n">
        <v>0</v>
      </c>
      <c r="K462" t="n">
        <v>0</v>
      </c>
      <c r="L462" t="n">
        <v>0</v>
      </c>
      <c r="M462" t="n">
        <v>0</v>
      </c>
      <c r="N462" t="n">
        <v>0</v>
      </c>
      <c r="O462" t="n">
        <v>0</v>
      </c>
      <c r="P462" t="n">
        <v>0</v>
      </c>
      <c r="Q462" t="n">
        <v>0</v>
      </c>
      <c r="R462" s="2" t="inlineStr"/>
    </row>
    <row r="463" ht="15" customHeight="1">
      <c r="A463" t="inlineStr">
        <is>
          <t>A 55755-2023</t>
        </is>
      </c>
      <c r="B463" s="1" t="n">
        <v>45239</v>
      </c>
      <c r="C463" s="1" t="n">
        <v>45933</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13718-2022</t>
        </is>
      </c>
      <c r="B464" s="1" t="n">
        <v>44649</v>
      </c>
      <c r="C464" s="1" t="n">
        <v>45933</v>
      </c>
      <c r="D464" t="inlineStr">
        <is>
          <t>STOCKHOLMS LÄN</t>
        </is>
      </c>
      <c r="E464" t="inlineStr">
        <is>
          <t>NORRTÄLJE</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61363-2020</t>
        </is>
      </c>
      <c r="B465" s="1" t="n">
        <v>44155.69458333333</v>
      </c>
      <c r="C465" s="1" t="n">
        <v>45933</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45549-2022</t>
        </is>
      </c>
      <c r="B466" s="1" t="n">
        <v>44845.48064814815</v>
      </c>
      <c r="C466" s="1" t="n">
        <v>45933</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36157-2024</t>
        </is>
      </c>
      <c r="B467" s="1" t="n">
        <v>45534.38240740741</v>
      </c>
      <c r="C467" s="1" t="n">
        <v>45933</v>
      </c>
      <c r="D467" t="inlineStr">
        <is>
          <t>STOCKHOLMS LÄN</t>
        </is>
      </c>
      <c r="E467" t="inlineStr">
        <is>
          <t>NORRTÄLJE</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62398-2022</t>
        </is>
      </c>
      <c r="B468" s="1" t="n">
        <v>44923.90159722222</v>
      </c>
      <c r="C468" s="1" t="n">
        <v>45933</v>
      </c>
      <c r="D468" t="inlineStr">
        <is>
          <t>STOCKHOLMS LÄN</t>
        </is>
      </c>
      <c r="E468" t="inlineStr">
        <is>
          <t>NORRTÄLJE</t>
        </is>
      </c>
      <c r="G468" t="n">
        <v>4</v>
      </c>
      <c r="H468" t="n">
        <v>0</v>
      </c>
      <c r="I468" t="n">
        <v>0</v>
      </c>
      <c r="J468" t="n">
        <v>0</v>
      </c>
      <c r="K468" t="n">
        <v>0</v>
      </c>
      <c r="L468" t="n">
        <v>0</v>
      </c>
      <c r="M468" t="n">
        <v>0</v>
      </c>
      <c r="N468" t="n">
        <v>0</v>
      </c>
      <c r="O468" t="n">
        <v>0</v>
      </c>
      <c r="P468" t="n">
        <v>0</v>
      </c>
      <c r="Q468" t="n">
        <v>0</v>
      </c>
      <c r="R468" s="2" t="inlineStr"/>
    </row>
    <row r="469" ht="15" customHeight="1">
      <c r="A469" t="inlineStr">
        <is>
          <t>A 31874-2025</t>
        </is>
      </c>
      <c r="B469" s="1" t="n">
        <v>45834</v>
      </c>
      <c r="C469" s="1" t="n">
        <v>45933</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68081-2020</t>
        </is>
      </c>
      <c r="B470" s="1" t="n">
        <v>44183</v>
      </c>
      <c r="C470" s="1" t="n">
        <v>45933</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17039-2024</t>
        </is>
      </c>
      <c r="B471" s="1" t="n">
        <v>45412.4104050926</v>
      </c>
      <c r="C471" s="1" t="n">
        <v>45933</v>
      </c>
      <c r="D471" t="inlineStr">
        <is>
          <t>STOCKHOLMS LÄN</t>
        </is>
      </c>
      <c r="E471" t="inlineStr">
        <is>
          <t>NORRTÄLJE</t>
        </is>
      </c>
      <c r="G471" t="n">
        <v>5.9</v>
      </c>
      <c r="H471" t="n">
        <v>0</v>
      </c>
      <c r="I471" t="n">
        <v>0</v>
      </c>
      <c r="J471" t="n">
        <v>0</v>
      </c>
      <c r="K471" t="n">
        <v>0</v>
      </c>
      <c r="L471" t="n">
        <v>0</v>
      </c>
      <c r="M471" t="n">
        <v>0</v>
      </c>
      <c r="N471" t="n">
        <v>0</v>
      </c>
      <c r="O471" t="n">
        <v>0</v>
      </c>
      <c r="P471" t="n">
        <v>0</v>
      </c>
      <c r="Q471" t="n">
        <v>0</v>
      </c>
      <c r="R471" s="2" t="inlineStr"/>
    </row>
    <row r="472" ht="15" customHeight="1">
      <c r="A472" t="inlineStr">
        <is>
          <t>A 31868-2025</t>
        </is>
      </c>
      <c r="B472" s="1" t="n">
        <v>45834.6447337963</v>
      </c>
      <c r="C472" s="1" t="n">
        <v>45933</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40761-2024</t>
        </is>
      </c>
      <c r="B473" s="1" t="n">
        <v>45558.46283564815</v>
      </c>
      <c r="C473" s="1" t="n">
        <v>45933</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6413-2025</t>
        </is>
      </c>
      <c r="B474" s="1" t="n">
        <v>45699.46283564815</v>
      </c>
      <c r="C474" s="1" t="n">
        <v>45933</v>
      </c>
      <c r="D474" t="inlineStr">
        <is>
          <t>STOCKHOLMS LÄN</t>
        </is>
      </c>
      <c r="E474" t="inlineStr">
        <is>
          <t>NORRTÄLJE</t>
        </is>
      </c>
      <c r="G474" t="n">
        <v>3.6</v>
      </c>
      <c r="H474" t="n">
        <v>0</v>
      </c>
      <c r="I474" t="n">
        <v>0</v>
      </c>
      <c r="J474" t="n">
        <v>0</v>
      </c>
      <c r="K474" t="n">
        <v>0</v>
      </c>
      <c r="L474" t="n">
        <v>0</v>
      </c>
      <c r="M474" t="n">
        <v>0</v>
      </c>
      <c r="N474" t="n">
        <v>0</v>
      </c>
      <c r="O474" t="n">
        <v>0</v>
      </c>
      <c r="P474" t="n">
        <v>0</v>
      </c>
      <c r="Q474" t="n">
        <v>0</v>
      </c>
      <c r="R474" s="2" t="inlineStr"/>
    </row>
    <row r="475" ht="15" customHeight="1">
      <c r="A475" t="inlineStr">
        <is>
          <t>A 23692-2024</t>
        </is>
      </c>
      <c r="B475" s="1" t="n">
        <v>45454.65774305556</v>
      </c>
      <c r="C475" s="1" t="n">
        <v>45933</v>
      </c>
      <c r="D475" t="inlineStr">
        <is>
          <t>STOCKHOLMS LÄN</t>
        </is>
      </c>
      <c r="E475" t="inlineStr">
        <is>
          <t>NORRTÄLJE</t>
        </is>
      </c>
      <c r="G475" t="n">
        <v>3.7</v>
      </c>
      <c r="H475" t="n">
        <v>0</v>
      </c>
      <c r="I475" t="n">
        <v>0</v>
      </c>
      <c r="J475" t="n">
        <v>0</v>
      </c>
      <c r="K475" t="n">
        <v>0</v>
      </c>
      <c r="L475" t="n">
        <v>0</v>
      </c>
      <c r="M475" t="n">
        <v>0</v>
      </c>
      <c r="N475" t="n">
        <v>0</v>
      </c>
      <c r="O475" t="n">
        <v>0</v>
      </c>
      <c r="P475" t="n">
        <v>0</v>
      </c>
      <c r="Q475" t="n">
        <v>0</v>
      </c>
      <c r="R475" s="2" t="inlineStr"/>
    </row>
    <row r="476" ht="15" customHeight="1">
      <c r="A476" t="inlineStr">
        <is>
          <t>A 3509-2022</t>
        </is>
      </c>
      <c r="B476" s="1" t="n">
        <v>44585</v>
      </c>
      <c r="C476" s="1" t="n">
        <v>45933</v>
      </c>
      <c r="D476" t="inlineStr">
        <is>
          <t>STOCKHOLMS LÄN</t>
        </is>
      </c>
      <c r="E476" t="inlineStr">
        <is>
          <t>NORRTÄLJE</t>
        </is>
      </c>
      <c r="F476" t="inlineStr">
        <is>
          <t>Kommuner</t>
        </is>
      </c>
      <c r="G476" t="n">
        <v>0.8</v>
      </c>
      <c r="H476" t="n">
        <v>0</v>
      </c>
      <c r="I476" t="n">
        <v>0</v>
      </c>
      <c r="J476" t="n">
        <v>0</v>
      </c>
      <c r="K476" t="n">
        <v>0</v>
      </c>
      <c r="L476" t="n">
        <v>0</v>
      </c>
      <c r="M476" t="n">
        <v>0</v>
      </c>
      <c r="N476" t="n">
        <v>0</v>
      </c>
      <c r="O476" t="n">
        <v>0</v>
      </c>
      <c r="P476" t="n">
        <v>0</v>
      </c>
      <c r="Q476" t="n">
        <v>0</v>
      </c>
      <c r="R476" s="2" t="inlineStr"/>
    </row>
    <row r="477" ht="15" customHeight="1">
      <c r="A477" t="inlineStr">
        <is>
          <t>A 31880-2025</t>
        </is>
      </c>
      <c r="B477" s="1" t="n">
        <v>45834.65538194445</v>
      </c>
      <c r="C477" s="1" t="n">
        <v>45933</v>
      </c>
      <c r="D477" t="inlineStr">
        <is>
          <t>STOCKHOLMS LÄN</t>
        </is>
      </c>
      <c r="E477" t="inlineStr">
        <is>
          <t>NORRTÄLJE</t>
        </is>
      </c>
      <c r="G477" t="n">
        <v>1.4</v>
      </c>
      <c r="H477" t="n">
        <v>0</v>
      </c>
      <c r="I477" t="n">
        <v>0</v>
      </c>
      <c r="J477" t="n">
        <v>0</v>
      </c>
      <c r="K477" t="n">
        <v>0</v>
      </c>
      <c r="L477" t="n">
        <v>0</v>
      </c>
      <c r="M477" t="n">
        <v>0</v>
      </c>
      <c r="N477" t="n">
        <v>0</v>
      </c>
      <c r="O477" t="n">
        <v>0</v>
      </c>
      <c r="P477" t="n">
        <v>0</v>
      </c>
      <c r="Q477" t="n">
        <v>0</v>
      </c>
      <c r="R477" s="2" t="inlineStr"/>
    </row>
    <row r="478" ht="15" customHeight="1">
      <c r="A478" t="inlineStr">
        <is>
          <t>A 7697-2025</t>
        </is>
      </c>
      <c r="B478" s="1" t="n">
        <v>45706.40086805556</v>
      </c>
      <c r="C478" s="1" t="n">
        <v>45933</v>
      </c>
      <c r="D478" t="inlineStr">
        <is>
          <t>STOCKHOLMS LÄN</t>
        </is>
      </c>
      <c r="E478" t="inlineStr">
        <is>
          <t>NORRTÄLJE</t>
        </is>
      </c>
      <c r="F478" t="inlineStr">
        <is>
          <t>Holmen skog AB</t>
        </is>
      </c>
      <c r="G478" t="n">
        <v>1.8</v>
      </c>
      <c r="H478" t="n">
        <v>0</v>
      </c>
      <c r="I478" t="n">
        <v>0</v>
      </c>
      <c r="J478" t="n">
        <v>0</v>
      </c>
      <c r="K478" t="n">
        <v>0</v>
      </c>
      <c r="L478" t="n">
        <v>0</v>
      </c>
      <c r="M478" t="n">
        <v>0</v>
      </c>
      <c r="N478" t="n">
        <v>0</v>
      </c>
      <c r="O478" t="n">
        <v>0</v>
      </c>
      <c r="P478" t="n">
        <v>0</v>
      </c>
      <c r="Q478" t="n">
        <v>0</v>
      </c>
      <c r="R478" s="2" t="inlineStr"/>
    </row>
    <row r="479" ht="15" customHeight="1">
      <c r="A479" t="inlineStr">
        <is>
          <t>A 54259-2023</t>
        </is>
      </c>
      <c r="B479" s="1" t="n">
        <v>45232</v>
      </c>
      <c r="C479" s="1" t="n">
        <v>45933</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32283-2025</t>
        </is>
      </c>
      <c r="B480" s="1" t="n">
        <v>45835.68076388889</v>
      </c>
      <c r="C480" s="1" t="n">
        <v>45933</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13171-2025</t>
        </is>
      </c>
      <c r="B481" s="1" t="n">
        <v>45735.36594907408</v>
      </c>
      <c r="C481" s="1" t="n">
        <v>45933</v>
      </c>
      <c r="D481" t="inlineStr">
        <is>
          <t>STOCKHOLMS LÄN</t>
        </is>
      </c>
      <c r="E481" t="inlineStr">
        <is>
          <t>NORRTÄLJE</t>
        </is>
      </c>
      <c r="G481" t="n">
        <v>5.1</v>
      </c>
      <c r="H481" t="n">
        <v>0</v>
      </c>
      <c r="I481" t="n">
        <v>0</v>
      </c>
      <c r="J481" t="n">
        <v>0</v>
      </c>
      <c r="K481" t="n">
        <v>0</v>
      </c>
      <c r="L481" t="n">
        <v>0</v>
      </c>
      <c r="M481" t="n">
        <v>0</v>
      </c>
      <c r="N481" t="n">
        <v>0</v>
      </c>
      <c r="O481" t="n">
        <v>0</v>
      </c>
      <c r="P481" t="n">
        <v>0</v>
      </c>
      <c r="Q481" t="n">
        <v>0</v>
      </c>
      <c r="R481" s="2" t="inlineStr"/>
    </row>
    <row r="482" ht="15" customHeight="1">
      <c r="A482" t="inlineStr">
        <is>
          <t>A 12299-2025</t>
        </is>
      </c>
      <c r="B482" s="1" t="n">
        <v>45729.71065972222</v>
      </c>
      <c r="C482" s="1" t="n">
        <v>45933</v>
      </c>
      <c r="D482" t="inlineStr">
        <is>
          <t>STOCKHOLMS LÄN</t>
        </is>
      </c>
      <c r="E482" t="inlineStr">
        <is>
          <t>NORRTÄLJE</t>
        </is>
      </c>
      <c r="F482" t="inlineStr">
        <is>
          <t>Holmen skog AB</t>
        </is>
      </c>
      <c r="G482" t="n">
        <v>6.9</v>
      </c>
      <c r="H482" t="n">
        <v>0</v>
      </c>
      <c r="I482" t="n">
        <v>0</v>
      </c>
      <c r="J482" t="n">
        <v>0</v>
      </c>
      <c r="K482" t="n">
        <v>0</v>
      </c>
      <c r="L482" t="n">
        <v>0</v>
      </c>
      <c r="M482" t="n">
        <v>0</v>
      </c>
      <c r="N482" t="n">
        <v>0</v>
      </c>
      <c r="O482" t="n">
        <v>0</v>
      </c>
      <c r="P482" t="n">
        <v>0</v>
      </c>
      <c r="Q482" t="n">
        <v>0</v>
      </c>
      <c r="R482" s="2" t="inlineStr"/>
    </row>
    <row r="483" ht="15" customHeight="1">
      <c r="A483" t="inlineStr">
        <is>
          <t>A 32122-2025</t>
        </is>
      </c>
      <c r="B483" s="1" t="n">
        <v>45835.4928125</v>
      </c>
      <c r="C483" s="1" t="n">
        <v>45933</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39669-2024</t>
        </is>
      </c>
      <c r="B484" s="1" t="n">
        <v>45552.52827546297</v>
      </c>
      <c r="C484" s="1" t="n">
        <v>45933</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37550-2022</t>
        </is>
      </c>
      <c r="B485" s="1" t="n">
        <v>44809</v>
      </c>
      <c r="C485" s="1" t="n">
        <v>45933</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47431-2023</t>
        </is>
      </c>
      <c r="B486" s="1" t="n">
        <v>45202</v>
      </c>
      <c r="C486" s="1" t="n">
        <v>45933</v>
      </c>
      <c r="D486" t="inlineStr">
        <is>
          <t>STOCKHOLMS LÄN</t>
        </is>
      </c>
      <c r="E486" t="inlineStr">
        <is>
          <t>NORRTÄLJE</t>
        </is>
      </c>
      <c r="F486" t="inlineStr">
        <is>
          <t>Naturvårdsverket</t>
        </is>
      </c>
      <c r="G486" t="n">
        <v>1.2</v>
      </c>
      <c r="H486" t="n">
        <v>0</v>
      </c>
      <c r="I486" t="n">
        <v>0</v>
      </c>
      <c r="J486" t="n">
        <v>0</v>
      </c>
      <c r="K486" t="n">
        <v>0</v>
      </c>
      <c r="L486" t="n">
        <v>0</v>
      </c>
      <c r="M486" t="n">
        <v>0</v>
      </c>
      <c r="N486" t="n">
        <v>0</v>
      </c>
      <c r="O486" t="n">
        <v>0</v>
      </c>
      <c r="P486" t="n">
        <v>0</v>
      </c>
      <c r="Q486" t="n">
        <v>0</v>
      </c>
      <c r="R486" s="2" t="inlineStr"/>
    </row>
    <row r="487" ht="15" customHeight="1">
      <c r="A487" t="inlineStr">
        <is>
          <t>A 23262-2023</t>
        </is>
      </c>
      <c r="B487" s="1" t="n">
        <v>45075.90270833333</v>
      </c>
      <c r="C487" s="1" t="n">
        <v>45933</v>
      </c>
      <c r="D487" t="inlineStr">
        <is>
          <t>STOCKHOLMS LÄN</t>
        </is>
      </c>
      <c r="E487" t="inlineStr">
        <is>
          <t>NORRTÄLJE</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23268-2023</t>
        </is>
      </c>
      <c r="B488" s="1" t="n">
        <v>45075.91042824074</v>
      </c>
      <c r="C488" s="1" t="n">
        <v>45933</v>
      </c>
      <c r="D488" t="inlineStr">
        <is>
          <t>STOCKHOLMS LÄN</t>
        </is>
      </c>
      <c r="E488" t="inlineStr">
        <is>
          <t>NORRTÄLJE</t>
        </is>
      </c>
      <c r="G488" t="n">
        <v>3.3</v>
      </c>
      <c r="H488" t="n">
        <v>0</v>
      </c>
      <c r="I488" t="n">
        <v>0</v>
      </c>
      <c r="J488" t="n">
        <v>0</v>
      </c>
      <c r="K488" t="n">
        <v>0</v>
      </c>
      <c r="L488" t="n">
        <v>0</v>
      </c>
      <c r="M488" t="n">
        <v>0</v>
      </c>
      <c r="N488" t="n">
        <v>0</v>
      </c>
      <c r="O488" t="n">
        <v>0</v>
      </c>
      <c r="P488" t="n">
        <v>0</v>
      </c>
      <c r="Q488" t="n">
        <v>0</v>
      </c>
      <c r="R488" s="2" t="inlineStr"/>
    </row>
    <row r="489" ht="15" customHeight="1">
      <c r="A489" t="inlineStr">
        <is>
          <t>A 23270-2023</t>
        </is>
      </c>
      <c r="B489" s="1" t="n">
        <v>45075.91265046296</v>
      </c>
      <c r="C489" s="1" t="n">
        <v>45933</v>
      </c>
      <c r="D489" t="inlineStr">
        <is>
          <t>STOCKHOLMS LÄN</t>
        </is>
      </c>
      <c r="E489" t="inlineStr">
        <is>
          <t>NORRTÄLJE</t>
        </is>
      </c>
      <c r="G489" t="n">
        <v>12.3</v>
      </c>
      <c r="H489" t="n">
        <v>0</v>
      </c>
      <c r="I489" t="n">
        <v>0</v>
      </c>
      <c r="J489" t="n">
        <v>0</v>
      </c>
      <c r="K489" t="n">
        <v>0</v>
      </c>
      <c r="L489" t="n">
        <v>0</v>
      </c>
      <c r="M489" t="n">
        <v>0</v>
      </c>
      <c r="N489" t="n">
        <v>0</v>
      </c>
      <c r="O489" t="n">
        <v>0</v>
      </c>
      <c r="P489" t="n">
        <v>0</v>
      </c>
      <c r="Q489" t="n">
        <v>0</v>
      </c>
      <c r="R489" s="2" t="inlineStr"/>
    </row>
    <row r="490" ht="15" customHeight="1">
      <c r="A490" t="inlineStr">
        <is>
          <t>A 23274-2023</t>
        </is>
      </c>
      <c r="B490" s="1" t="n">
        <v>45075.92153935185</v>
      </c>
      <c r="C490" s="1" t="n">
        <v>45933</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2982-2023</t>
        </is>
      </c>
      <c r="B491" s="1" t="n">
        <v>44945.67409722223</v>
      </c>
      <c r="C491" s="1" t="n">
        <v>45933</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11900-2024</t>
        </is>
      </c>
      <c r="B492" s="1" t="n">
        <v>45376.55484953704</v>
      </c>
      <c r="C492" s="1" t="n">
        <v>45933</v>
      </c>
      <c r="D492" t="inlineStr">
        <is>
          <t>STOCKHOLMS LÄN</t>
        </is>
      </c>
      <c r="E492" t="inlineStr">
        <is>
          <t>NORRTÄLJE</t>
        </is>
      </c>
      <c r="G492" t="n">
        <v>4.2</v>
      </c>
      <c r="H492" t="n">
        <v>0</v>
      </c>
      <c r="I492" t="n">
        <v>0</v>
      </c>
      <c r="J492" t="n">
        <v>0</v>
      </c>
      <c r="K492" t="n">
        <v>0</v>
      </c>
      <c r="L492" t="n">
        <v>0</v>
      </c>
      <c r="M492" t="n">
        <v>0</v>
      </c>
      <c r="N492" t="n">
        <v>0</v>
      </c>
      <c r="O492" t="n">
        <v>0</v>
      </c>
      <c r="P492" t="n">
        <v>0</v>
      </c>
      <c r="Q492" t="n">
        <v>0</v>
      </c>
      <c r="R492" s="2" t="inlineStr"/>
    </row>
    <row r="493" ht="15" customHeight="1">
      <c r="A493" t="inlineStr">
        <is>
          <t>A 32094-2025</t>
        </is>
      </c>
      <c r="B493" s="1" t="n">
        <v>45835.46034722222</v>
      </c>
      <c r="C493" s="1" t="n">
        <v>45933</v>
      </c>
      <c r="D493" t="inlineStr">
        <is>
          <t>STOCKHOLMS LÄN</t>
        </is>
      </c>
      <c r="E493" t="inlineStr">
        <is>
          <t>NORRTÄLJE</t>
        </is>
      </c>
      <c r="F493" t="inlineStr">
        <is>
          <t>Holmen skog AB</t>
        </is>
      </c>
      <c r="G493" t="n">
        <v>2.9</v>
      </c>
      <c r="H493" t="n">
        <v>0</v>
      </c>
      <c r="I493" t="n">
        <v>0</v>
      </c>
      <c r="J493" t="n">
        <v>0</v>
      </c>
      <c r="K493" t="n">
        <v>0</v>
      </c>
      <c r="L493" t="n">
        <v>0</v>
      </c>
      <c r="M493" t="n">
        <v>0</v>
      </c>
      <c r="N493" t="n">
        <v>0</v>
      </c>
      <c r="O493" t="n">
        <v>0</v>
      </c>
      <c r="P493" t="n">
        <v>0</v>
      </c>
      <c r="Q493" t="n">
        <v>0</v>
      </c>
      <c r="R493" s="2" t="inlineStr"/>
    </row>
    <row r="494" ht="15" customHeight="1">
      <c r="A494" t="inlineStr">
        <is>
          <t>A 1448-2023</t>
        </is>
      </c>
      <c r="B494" s="1" t="n">
        <v>44937</v>
      </c>
      <c r="C494" s="1" t="n">
        <v>45933</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5732-2023</t>
        </is>
      </c>
      <c r="B495" s="1" t="n">
        <v>44962</v>
      </c>
      <c r="C495" s="1" t="n">
        <v>45933</v>
      </c>
      <c r="D495" t="inlineStr">
        <is>
          <t>STOCKHOLMS LÄN</t>
        </is>
      </c>
      <c r="E495" t="inlineStr">
        <is>
          <t>NORRTÄLJE</t>
        </is>
      </c>
      <c r="G495" t="n">
        <v>0.5</v>
      </c>
      <c r="H495" t="n">
        <v>0</v>
      </c>
      <c r="I495" t="n">
        <v>0</v>
      </c>
      <c r="J495" t="n">
        <v>0</v>
      </c>
      <c r="K495" t="n">
        <v>0</v>
      </c>
      <c r="L495" t="n">
        <v>0</v>
      </c>
      <c r="M495" t="n">
        <v>0</v>
      </c>
      <c r="N495" t="n">
        <v>0</v>
      </c>
      <c r="O495" t="n">
        <v>0</v>
      </c>
      <c r="P495" t="n">
        <v>0</v>
      </c>
      <c r="Q495" t="n">
        <v>0</v>
      </c>
      <c r="R495" s="2" t="inlineStr"/>
    </row>
    <row r="496" ht="15" customHeight="1">
      <c r="A496" t="inlineStr">
        <is>
          <t>A 25609-2023</t>
        </is>
      </c>
      <c r="B496" s="1" t="n">
        <v>45089</v>
      </c>
      <c r="C496" s="1" t="n">
        <v>45933</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35127-2023</t>
        </is>
      </c>
      <c r="B497" s="1" t="n">
        <v>45145.51</v>
      </c>
      <c r="C497" s="1" t="n">
        <v>45933</v>
      </c>
      <c r="D497" t="inlineStr">
        <is>
          <t>STOCKHOLMS LÄN</t>
        </is>
      </c>
      <c r="E497" t="inlineStr">
        <is>
          <t>NORRTÄLJE</t>
        </is>
      </c>
      <c r="G497" t="n">
        <v>4.7</v>
      </c>
      <c r="H497" t="n">
        <v>0</v>
      </c>
      <c r="I497" t="n">
        <v>0</v>
      </c>
      <c r="J497" t="n">
        <v>0</v>
      </c>
      <c r="K497" t="n">
        <v>0</v>
      </c>
      <c r="L497" t="n">
        <v>0</v>
      </c>
      <c r="M497" t="n">
        <v>0</v>
      </c>
      <c r="N497" t="n">
        <v>0</v>
      </c>
      <c r="O497" t="n">
        <v>0</v>
      </c>
      <c r="P497" t="n">
        <v>0</v>
      </c>
      <c r="Q497" t="n">
        <v>0</v>
      </c>
      <c r="R497" s="2" t="inlineStr"/>
    </row>
    <row r="498" ht="15" customHeight="1">
      <c r="A498" t="inlineStr">
        <is>
          <t>A 32016-2025</t>
        </is>
      </c>
      <c r="B498" s="1" t="n">
        <v>45835</v>
      </c>
      <c r="C498" s="1" t="n">
        <v>45933</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50136-2023</t>
        </is>
      </c>
      <c r="B499" s="1" t="n">
        <v>45215</v>
      </c>
      <c r="C499" s="1" t="n">
        <v>45933</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43300-2023</t>
        </is>
      </c>
      <c r="B500" s="1" t="n">
        <v>45183</v>
      </c>
      <c r="C500" s="1" t="n">
        <v>45933</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32396-2025</t>
        </is>
      </c>
      <c r="B501" s="1" t="n">
        <v>45837</v>
      </c>
      <c r="C501" s="1" t="n">
        <v>45933</v>
      </c>
      <c r="D501" t="inlineStr">
        <is>
          <t>STOCKHOLMS LÄN</t>
        </is>
      </c>
      <c r="E501" t="inlineStr">
        <is>
          <t>NORRTÄLJE</t>
        </is>
      </c>
      <c r="G501" t="n">
        <v>2</v>
      </c>
      <c r="H501" t="n">
        <v>0</v>
      </c>
      <c r="I501" t="n">
        <v>0</v>
      </c>
      <c r="J501" t="n">
        <v>0</v>
      </c>
      <c r="K501" t="n">
        <v>0</v>
      </c>
      <c r="L501" t="n">
        <v>0</v>
      </c>
      <c r="M501" t="n">
        <v>0</v>
      </c>
      <c r="N501" t="n">
        <v>0</v>
      </c>
      <c r="O501" t="n">
        <v>0</v>
      </c>
      <c r="P501" t="n">
        <v>0</v>
      </c>
      <c r="Q501" t="n">
        <v>0</v>
      </c>
      <c r="R501" s="2" t="inlineStr"/>
    </row>
    <row r="502" ht="15" customHeight="1">
      <c r="A502" t="inlineStr">
        <is>
          <t>A 32397-2025</t>
        </is>
      </c>
      <c r="B502" s="1" t="n">
        <v>45837.94081018519</v>
      </c>
      <c r="C502" s="1" t="n">
        <v>45933</v>
      </c>
      <c r="D502" t="inlineStr">
        <is>
          <t>STOCKHOLMS LÄN</t>
        </is>
      </c>
      <c r="E502" t="inlineStr">
        <is>
          <t>NORRTÄLJE</t>
        </is>
      </c>
      <c r="G502" t="n">
        <v>5.9</v>
      </c>
      <c r="H502" t="n">
        <v>0</v>
      </c>
      <c r="I502" t="n">
        <v>0</v>
      </c>
      <c r="J502" t="n">
        <v>0</v>
      </c>
      <c r="K502" t="n">
        <v>0</v>
      </c>
      <c r="L502" t="n">
        <v>0</v>
      </c>
      <c r="M502" t="n">
        <v>0</v>
      </c>
      <c r="N502" t="n">
        <v>0</v>
      </c>
      <c r="O502" t="n">
        <v>0</v>
      </c>
      <c r="P502" t="n">
        <v>0</v>
      </c>
      <c r="Q502" t="n">
        <v>0</v>
      </c>
      <c r="R502" s="2" t="inlineStr"/>
    </row>
    <row r="503" ht="15" customHeight="1">
      <c r="A503" t="inlineStr">
        <is>
          <t>A 33569-2023</t>
        </is>
      </c>
      <c r="B503" s="1" t="n">
        <v>45131.666875</v>
      </c>
      <c r="C503" s="1" t="n">
        <v>45933</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32480-2025</t>
        </is>
      </c>
      <c r="B504" s="1" t="n">
        <v>45838.43261574074</v>
      </c>
      <c r="C504" s="1" t="n">
        <v>45933</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13276-2022</t>
        </is>
      </c>
      <c r="B505" s="1" t="n">
        <v>44644</v>
      </c>
      <c r="C505" s="1" t="n">
        <v>45933</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11229-2022</t>
        </is>
      </c>
      <c r="B506" s="1" t="n">
        <v>44629</v>
      </c>
      <c r="C506" s="1" t="n">
        <v>45933</v>
      </c>
      <c r="D506" t="inlineStr">
        <is>
          <t>STOCKHOLMS LÄN</t>
        </is>
      </c>
      <c r="E506" t="inlineStr">
        <is>
          <t>NORRTÄLJE</t>
        </is>
      </c>
      <c r="F506" t="inlineStr">
        <is>
          <t>Övriga Aktiebolag</t>
        </is>
      </c>
      <c r="G506" t="n">
        <v>4.1</v>
      </c>
      <c r="H506" t="n">
        <v>0</v>
      </c>
      <c r="I506" t="n">
        <v>0</v>
      </c>
      <c r="J506" t="n">
        <v>0</v>
      </c>
      <c r="K506" t="n">
        <v>0</v>
      </c>
      <c r="L506" t="n">
        <v>0</v>
      </c>
      <c r="M506" t="n">
        <v>0</v>
      </c>
      <c r="N506" t="n">
        <v>0</v>
      </c>
      <c r="O506" t="n">
        <v>0</v>
      </c>
      <c r="P506" t="n">
        <v>0</v>
      </c>
      <c r="Q506" t="n">
        <v>0</v>
      </c>
      <c r="R506" s="2" t="inlineStr"/>
    </row>
    <row r="507" ht="15" customHeight="1">
      <c r="A507" t="inlineStr">
        <is>
          <t>A 50569-2022</t>
        </is>
      </c>
      <c r="B507" s="1" t="n">
        <v>44866.63775462963</v>
      </c>
      <c r="C507" s="1" t="n">
        <v>45933</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9654-2022</t>
        </is>
      </c>
      <c r="B508" s="1" t="n">
        <v>44617</v>
      </c>
      <c r="C508" s="1" t="n">
        <v>45933</v>
      </c>
      <c r="D508" t="inlineStr">
        <is>
          <t>STOCKHOLMS LÄN</t>
        </is>
      </c>
      <c r="E508" t="inlineStr">
        <is>
          <t>NORRTÄLJE</t>
        </is>
      </c>
      <c r="G508" t="n">
        <v>6.4</v>
      </c>
      <c r="H508" t="n">
        <v>0</v>
      </c>
      <c r="I508" t="n">
        <v>0</v>
      </c>
      <c r="J508" t="n">
        <v>0</v>
      </c>
      <c r="K508" t="n">
        <v>0</v>
      </c>
      <c r="L508" t="n">
        <v>0</v>
      </c>
      <c r="M508" t="n">
        <v>0</v>
      </c>
      <c r="N508" t="n">
        <v>0</v>
      </c>
      <c r="O508" t="n">
        <v>0</v>
      </c>
      <c r="P508" t="n">
        <v>0</v>
      </c>
      <c r="Q508" t="n">
        <v>0</v>
      </c>
      <c r="R508" s="2" t="inlineStr"/>
    </row>
    <row r="509" ht="15" customHeight="1">
      <c r="A509" t="inlineStr">
        <is>
          <t>A 5389-2025</t>
        </is>
      </c>
      <c r="B509" s="1" t="n">
        <v>45692</v>
      </c>
      <c r="C509" s="1" t="n">
        <v>45933</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32395-2025</t>
        </is>
      </c>
      <c r="B510" s="1" t="n">
        <v>45837.93730324074</v>
      </c>
      <c r="C510" s="1" t="n">
        <v>45933</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37147-2023</t>
        </is>
      </c>
      <c r="B511" s="1" t="n">
        <v>45155</v>
      </c>
      <c r="C511" s="1" t="n">
        <v>45933</v>
      </c>
      <c r="D511" t="inlineStr">
        <is>
          <t>STOCKHOLMS LÄN</t>
        </is>
      </c>
      <c r="E511" t="inlineStr">
        <is>
          <t>NORRTÄLJE</t>
        </is>
      </c>
      <c r="G511" t="n">
        <v>8</v>
      </c>
      <c r="H511" t="n">
        <v>0</v>
      </c>
      <c r="I511" t="n">
        <v>0</v>
      </c>
      <c r="J511" t="n">
        <v>0</v>
      </c>
      <c r="K511" t="n">
        <v>0</v>
      </c>
      <c r="L511" t="n">
        <v>0</v>
      </c>
      <c r="M511" t="n">
        <v>0</v>
      </c>
      <c r="N511" t="n">
        <v>0</v>
      </c>
      <c r="O511" t="n">
        <v>0</v>
      </c>
      <c r="P511" t="n">
        <v>0</v>
      </c>
      <c r="Q511" t="n">
        <v>0</v>
      </c>
      <c r="R511" s="2" t="inlineStr"/>
    </row>
    <row r="512" ht="15" customHeight="1">
      <c r="A512" t="inlineStr">
        <is>
          <t>A 59499-2023</t>
        </is>
      </c>
      <c r="B512" s="1" t="n">
        <v>45254</v>
      </c>
      <c r="C512" s="1" t="n">
        <v>45933</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60654-2023</t>
        </is>
      </c>
      <c r="B513" s="1" t="n">
        <v>45260.43225694444</v>
      </c>
      <c r="C513" s="1" t="n">
        <v>45933</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60656-2023</t>
        </is>
      </c>
      <c r="B514" s="1" t="n">
        <v>45260.4333449074</v>
      </c>
      <c r="C514" s="1" t="n">
        <v>45933</v>
      </c>
      <c r="D514" t="inlineStr">
        <is>
          <t>STOCKHOLMS LÄN</t>
        </is>
      </c>
      <c r="E514" t="inlineStr">
        <is>
          <t>NORRTÄLJE</t>
        </is>
      </c>
      <c r="G514" t="n">
        <v>4.8</v>
      </c>
      <c r="H514" t="n">
        <v>0</v>
      </c>
      <c r="I514" t="n">
        <v>0</v>
      </c>
      <c r="J514" t="n">
        <v>0</v>
      </c>
      <c r="K514" t="n">
        <v>0</v>
      </c>
      <c r="L514" t="n">
        <v>0</v>
      </c>
      <c r="M514" t="n">
        <v>0</v>
      </c>
      <c r="N514" t="n">
        <v>0</v>
      </c>
      <c r="O514" t="n">
        <v>0</v>
      </c>
      <c r="P514" t="n">
        <v>0</v>
      </c>
      <c r="Q514" t="n">
        <v>0</v>
      </c>
      <c r="R514" s="2" t="inlineStr"/>
    </row>
    <row r="515" ht="15" customHeight="1">
      <c r="A515" t="inlineStr">
        <is>
          <t>A 33211-2025</t>
        </is>
      </c>
      <c r="B515" s="1" t="n">
        <v>45840.62755787037</v>
      </c>
      <c r="C515" s="1" t="n">
        <v>45933</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22697-2022</t>
        </is>
      </c>
      <c r="B516" s="1" t="n">
        <v>44714.56040509259</v>
      </c>
      <c r="C516" s="1" t="n">
        <v>45933</v>
      </c>
      <c r="D516" t="inlineStr">
        <is>
          <t>STOCKHOLMS LÄN</t>
        </is>
      </c>
      <c r="E516" t="inlineStr">
        <is>
          <t>NORRTÄLJE</t>
        </is>
      </c>
      <c r="G516" t="n">
        <v>5.6</v>
      </c>
      <c r="H516" t="n">
        <v>0</v>
      </c>
      <c r="I516" t="n">
        <v>0</v>
      </c>
      <c r="J516" t="n">
        <v>0</v>
      </c>
      <c r="K516" t="n">
        <v>0</v>
      </c>
      <c r="L516" t="n">
        <v>0</v>
      </c>
      <c r="M516" t="n">
        <v>0</v>
      </c>
      <c r="N516" t="n">
        <v>0</v>
      </c>
      <c r="O516" t="n">
        <v>0</v>
      </c>
      <c r="P516" t="n">
        <v>0</v>
      </c>
      <c r="Q516" t="n">
        <v>0</v>
      </c>
      <c r="R516" s="2" t="inlineStr"/>
    </row>
    <row r="517" ht="15" customHeight="1">
      <c r="A517" t="inlineStr">
        <is>
          <t>A 22833-2024</t>
        </is>
      </c>
      <c r="B517" s="1" t="n">
        <v>45448.56746527777</v>
      </c>
      <c r="C517" s="1" t="n">
        <v>45933</v>
      </c>
      <c r="D517" t="inlineStr">
        <is>
          <t>STOCKHOLMS LÄN</t>
        </is>
      </c>
      <c r="E517" t="inlineStr">
        <is>
          <t>NORRTÄLJE</t>
        </is>
      </c>
      <c r="G517" t="n">
        <v>0.8</v>
      </c>
      <c r="H517" t="n">
        <v>0</v>
      </c>
      <c r="I517" t="n">
        <v>0</v>
      </c>
      <c r="J517" t="n">
        <v>0</v>
      </c>
      <c r="K517" t="n">
        <v>0</v>
      </c>
      <c r="L517" t="n">
        <v>0</v>
      </c>
      <c r="M517" t="n">
        <v>0</v>
      </c>
      <c r="N517" t="n">
        <v>0</v>
      </c>
      <c r="O517" t="n">
        <v>0</v>
      </c>
      <c r="P517" t="n">
        <v>0</v>
      </c>
      <c r="Q517" t="n">
        <v>0</v>
      </c>
      <c r="R517" s="2" t="inlineStr"/>
    </row>
    <row r="518" ht="15" customHeight="1">
      <c r="A518" t="inlineStr">
        <is>
          <t>A 32903-2025</t>
        </is>
      </c>
      <c r="B518" s="1" t="n">
        <v>45839.62398148148</v>
      </c>
      <c r="C518" s="1" t="n">
        <v>45933</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60224-2023</t>
        </is>
      </c>
      <c r="B519" s="1" t="n">
        <v>45257</v>
      </c>
      <c r="C519" s="1" t="n">
        <v>45933</v>
      </c>
      <c r="D519" t="inlineStr">
        <is>
          <t>STOCKHOLMS LÄN</t>
        </is>
      </c>
      <c r="E519" t="inlineStr">
        <is>
          <t>NORRTÄLJE</t>
        </is>
      </c>
      <c r="G519" t="n">
        <v>8.1</v>
      </c>
      <c r="H519" t="n">
        <v>0</v>
      </c>
      <c r="I519" t="n">
        <v>0</v>
      </c>
      <c r="J519" t="n">
        <v>0</v>
      </c>
      <c r="K519" t="n">
        <v>0</v>
      </c>
      <c r="L519" t="n">
        <v>0</v>
      </c>
      <c r="M519" t="n">
        <v>0</v>
      </c>
      <c r="N519" t="n">
        <v>0</v>
      </c>
      <c r="O519" t="n">
        <v>0</v>
      </c>
      <c r="P519" t="n">
        <v>0</v>
      </c>
      <c r="Q519" t="n">
        <v>0</v>
      </c>
      <c r="R519" s="2" t="inlineStr"/>
    </row>
    <row r="520" ht="15" customHeight="1">
      <c r="A520" t="inlineStr">
        <is>
          <t>A 11900-2022</t>
        </is>
      </c>
      <c r="B520" s="1" t="n">
        <v>44635</v>
      </c>
      <c r="C520" s="1" t="n">
        <v>45933</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33265-2025</t>
        </is>
      </c>
      <c r="B521" s="1" t="n">
        <v>45840.67829861111</v>
      </c>
      <c r="C521" s="1" t="n">
        <v>45933</v>
      </c>
      <c r="D521" t="inlineStr">
        <is>
          <t>STOCKHOLMS LÄN</t>
        </is>
      </c>
      <c r="E521" t="inlineStr">
        <is>
          <t>NORRTÄLJE</t>
        </is>
      </c>
      <c r="G521" t="n">
        <v>5.5</v>
      </c>
      <c r="H521" t="n">
        <v>0</v>
      </c>
      <c r="I521" t="n">
        <v>0</v>
      </c>
      <c r="J521" t="n">
        <v>0</v>
      </c>
      <c r="K521" t="n">
        <v>0</v>
      </c>
      <c r="L521" t="n">
        <v>0</v>
      </c>
      <c r="M521" t="n">
        <v>0</v>
      </c>
      <c r="N521" t="n">
        <v>0</v>
      </c>
      <c r="O521" t="n">
        <v>0</v>
      </c>
      <c r="P521" t="n">
        <v>0</v>
      </c>
      <c r="Q521" t="n">
        <v>0</v>
      </c>
      <c r="R521" s="2" t="inlineStr"/>
    </row>
    <row r="522" ht="15" customHeight="1">
      <c r="A522" t="inlineStr">
        <is>
          <t>A 14724-2022</t>
        </is>
      </c>
      <c r="B522" s="1" t="n">
        <v>44656</v>
      </c>
      <c r="C522" s="1" t="n">
        <v>45933</v>
      </c>
      <c r="D522" t="inlineStr">
        <is>
          <t>STOCKHOLMS LÄN</t>
        </is>
      </c>
      <c r="E522" t="inlineStr">
        <is>
          <t>NORRTÄLJE</t>
        </is>
      </c>
      <c r="F522" t="inlineStr">
        <is>
          <t>Sveaskog</t>
        </is>
      </c>
      <c r="G522" t="n">
        <v>9</v>
      </c>
      <c r="H522" t="n">
        <v>0</v>
      </c>
      <c r="I522" t="n">
        <v>0</v>
      </c>
      <c r="J522" t="n">
        <v>0</v>
      </c>
      <c r="K522" t="n">
        <v>0</v>
      </c>
      <c r="L522" t="n">
        <v>0</v>
      </c>
      <c r="M522" t="n">
        <v>0</v>
      </c>
      <c r="N522" t="n">
        <v>0</v>
      </c>
      <c r="O522" t="n">
        <v>0</v>
      </c>
      <c r="P522" t="n">
        <v>0</v>
      </c>
      <c r="Q522" t="n">
        <v>0</v>
      </c>
      <c r="R522" s="2" t="inlineStr"/>
    </row>
    <row r="523" ht="15" customHeight="1">
      <c r="A523" t="inlineStr">
        <is>
          <t>A 32872-2025</t>
        </is>
      </c>
      <c r="B523" s="1" t="n">
        <v>45839</v>
      </c>
      <c r="C523" s="1" t="n">
        <v>45933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17785-2024</t>
        </is>
      </c>
      <c r="B524" s="1" t="n">
        <v>45418.6968287037</v>
      </c>
      <c r="C524" s="1" t="n">
        <v>45933</v>
      </c>
      <c r="D524" t="inlineStr">
        <is>
          <t>STOCKHOLMS LÄN</t>
        </is>
      </c>
      <c r="E524" t="inlineStr">
        <is>
          <t>NORRTÄLJE</t>
        </is>
      </c>
      <c r="G524" t="n">
        <v>1</v>
      </c>
      <c r="H524" t="n">
        <v>0</v>
      </c>
      <c r="I524" t="n">
        <v>0</v>
      </c>
      <c r="J524" t="n">
        <v>0</v>
      </c>
      <c r="K524" t="n">
        <v>0</v>
      </c>
      <c r="L524" t="n">
        <v>0</v>
      </c>
      <c r="M524" t="n">
        <v>0</v>
      </c>
      <c r="N524" t="n">
        <v>0</v>
      </c>
      <c r="O524" t="n">
        <v>0</v>
      </c>
      <c r="P524" t="n">
        <v>0</v>
      </c>
      <c r="Q524" t="n">
        <v>0</v>
      </c>
      <c r="R524" s="2" t="inlineStr"/>
    </row>
    <row r="525" ht="15" customHeight="1">
      <c r="A525" t="inlineStr">
        <is>
          <t>A 4580-2025</t>
        </is>
      </c>
      <c r="B525" s="1" t="n">
        <v>45687.5038425926</v>
      </c>
      <c r="C525" s="1" t="n">
        <v>45933</v>
      </c>
      <c r="D525" t="inlineStr">
        <is>
          <t>STOCKHOLMS LÄN</t>
        </is>
      </c>
      <c r="E525" t="inlineStr">
        <is>
          <t>NORRTÄLJE</t>
        </is>
      </c>
      <c r="F525" t="inlineStr">
        <is>
          <t>Holmen skog AB</t>
        </is>
      </c>
      <c r="G525" t="n">
        <v>4.8</v>
      </c>
      <c r="H525" t="n">
        <v>0</v>
      </c>
      <c r="I525" t="n">
        <v>0</v>
      </c>
      <c r="J525" t="n">
        <v>0</v>
      </c>
      <c r="K525" t="n">
        <v>0</v>
      </c>
      <c r="L525" t="n">
        <v>0</v>
      </c>
      <c r="M525" t="n">
        <v>0</v>
      </c>
      <c r="N525" t="n">
        <v>0</v>
      </c>
      <c r="O525" t="n">
        <v>0</v>
      </c>
      <c r="P525" t="n">
        <v>0</v>
      </c>
      <c r="Q525" t="n">
        <v>0</v>
      </c>
      <c r="R525" s="2" t="inlineStr"/>
    </row>
    <row r="526" ht="15" customHeight="1">
      <c r="A526" t="inlineStr">
        <is>
          <t>A 16202-2022</t>
        </is>
      </c>
      <c r="B526" s="1" t="n">
        <v>44670</v>
      </c>
      <c r="C526" s="1" t="n">
        <v>45933</v>
      </c>
      <c r="D526" t="inlineStr">
        <is>
          <t>STOCKHOLMS LÄN</t>
        </is>
      </c>
      <c r="E526" t="inlineStr">
        <is>
          <t>NORRTÄLJE</t>
        </is>
      </c>
      <c r="G526" t="n">
        <v>1.5</v>
      </c>
      <c r="H526" t="n">
        <v>0</v>
      </c>
      <c r="I526" t="n">
        <v>0</v>
      </c>
      <c r="J526" t="n">
        <v>0</v>
      </c>
      <c r="K526" t="n">
        <v>0</v>
      </c>
      <c r="L526" t="n">
        <v>0</v>
      </c>
      <c r="M526" t="n">
        <v>0</v>
      </c>
      <c r="N526" t="n">
        <v>0</v>
      </c>
      <c r="O526" t="n">
        <v>0</v>
      </c>
      <c r="P526" t="n">
        <v>0</v>
      </c>
      <c r="Q526" t="n">
        <v>0</v>
      </c>
      <c r="R526" s="2" t="inlineStr"/>
    </row>
    <row r="527" ht="15" customHeight="1">
      <c r="A527" t="inlineStr">
        <is>
          <t>A 33702-2025</t>
        </is>
      </c>
      <c r="B527" s="1" t="n">
        <v>45841.74596064815</v>
      </c>
      <c r="C527" s="1" t="n">
        <v>45933</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33336-2025</t>
        </is>
      </c>
      <c r="B528" s="1" t="n">
        <v>45841.35611111111</v>
      </c>
      <c r="C528" s="1" t="n">
        <v>45933</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6003-2025</t>
        </is>
      </c>
      <c r="B529" s="1" t="n">
        <v>45695.57881944445</v>
      </c>
      <c r="C529" s="1" t="n">
        <v>45933</v>
      </c>
      <c r="D529" t="inlineStr">
        <is>
          <t>STOCKHOLMS LÄN</t>
        </is>
      </c>
      <c r="E529" t="inlineStr">
        <is>
          <t>NORRTÄLJE</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29684-2021</t>
        </is>
      </c>
      <c r="B530" s="1" t="n">
        <v>44362.37172453704</v>
      </c>
      <c r="C530" s="1" t="n">
        <v>45933</v>
      </c>
      <c r="D530" t="inlineStr">
        <is>
          <t>STOCKHOLMS LÄN</t>
        </is>
      </c>
      <c r="E530" t="inlineStr">
        <is>
          <t>NORRTÄLJE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52321-2024</t>
        </is>
      </c>
      <c r="B531" s="1" t="n">
        <v>45608</v>
      </c>
      <c r="C531" s="1" t="n">
        <v>45933</v>
      </c>
      <c r="D531" t="inlineStr">
        <is>
          <t>STOCKHOLMS LÄN</t>
        </is>
      </c>
      <c r="E531" t="inlineStr">
        <is>
          <t>NORRTÄLJE</t>
        </is>
      </c>
      <c r="G531" t="n">
        <v>18.1</v>
      </c>
      <c r="H531" t="n">
        <v>0</v>
      </c>
      <c r="I531" t="n">
        <v>0</v>
      </c>
      <c r="J531" t="n">
        <v>0</v>
      </c>
      <c r="K531" t="n">
        <v>0</v>
      </c>
      <c r="L531" t="n">
        <v>0</v>
      </c>
      <c r="M531" t="n">
        <v>0</v>
      </c>
      <c r="N531" t="n">
        <v>0</v>
      </c>
      <c r="O531" t="n">
        <v>0</v>
      </c>
      <c r="P531" t="n">
        <v>0</v>
      </c>
      <c r="Q531" t="n">
        <v>0</v>
      </c>
      <c r="R531" s="2" t="inlineStr"/>
    </row>
    <row r="532" ht="15" customHeight="1">
      <c r="A532" t="inlineStr">
        <is>
          <t>A 54558-2024</t>
        </is>
      </c>
      <c r="B532" s="1" t="n">
        <v>45617.62358796296</v>
      </c>
      <c r="C532" s="1" t="n">
        <v>45933</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21386-2023</t>
        </is>
      </c>
      <c r="B533" s="1" t="n">
        <v>45063.35880787037</v>
      </c>
      <c r="C533" s="1" t="n">
        <v>45933</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4593-2023</t>
        </is>
      </c>
      <c r="B534" s="1" t="n">
        <v>44956</v>
      </c>
      <c r="C534" s="1" t="n">
        <v>45933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33552-2025</t>
        </is>
      </c>
      <c r="B535" s="1" t="n">
        <v>45841.5737962963</v>
      </c>
      <c r="C535" s="1" t="n">
        <v>45933</v>
      </c>
      <c r="D535" t="inlineStr">
        <is>
          <t>STOCKHOLMS LÄN</t>
        </is>
      </c>
      <c r="E535" t="inlineStr">
        <is>
          <t>NORRTÄLJE</t>
        </is>
      </c>
      <c r="G535" t="n">
        <v>8.9</v>
      </c>
      <c r="H535" t="n">
        <v>0</v>
      </c>
      <c r="I535" t="n">
        <v>0</v>
      </c>
      <c r="J535" t="n">
        <v>0</v>
      </c>
      <c r="K535" t="n">
        <v>0</v>
      </c>
      <c r="L535" t="n">
        <v>0</v>
      </c>
      <c r="M535" t="n">
        <v>0</v>
      </c>
      <c r="N535" t="n">
        <v>0</v>
      </c>
      <c r="O535" t="n">
        <v>0</v>
      </c>
      <c r="P535" t="n">
        <v>0</v>
      </c>
      <c r="Q535" t="n">
        <v>0</v>
      </c>
      <c r="R535" s="2" t="inlineStr"/>
    </row>
    <row r="536" ht="15" customHeight="1">
      <c r="A536" t="inlineStr">
        <is>
          <t>A 22157-2023</t>
        </is>
      </c>
      <c r="B536" s="1" t="n">
        <v>45069</v>
      </c>
      <c r="C536" s="1" t="n">
        <v>45933</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c r="U536">
        <f>HYPERLINK("https://klasma.github.io/Logging_0188/knärot/A 22157-2023 karta knärot.png", "A 22157-2023")</f>
        <v/>
      </c>
      <c r="V536">
        <f>HYPERLINK("https://klasma.github.io/Logging_0188/klagomål/A 22157-2023 FSC-klagomål.docx", "A 22157-2023")</f>
        <v/>
      </c>
      <c r="W536">
        <f>HYPERLINK("https://klasma.github.io/Logging_0188/klagomålsmail/A 22157-2023 FSC-klagomål mail.docx", "A 22157-2023")</f>
        <v/>
      </c>
      <c r="X536">
        <f>HYPERLINK("https://klasma.github.io/Logging_0188/tillsyn/A 22157-2023 tillsynsbegäran.docx", "A 22157-2023")</f>
        <v/>
      </c>
      <c r="Y536">
        <f>HYPERLINK("https://klasma.github.io/Logging_0188/tillsynsmail/A 22157-2023 tillsynsbegäran mail.docx", "A 22157-2023")</f>
        <v/>
      </c>
    </row>
    <row r="537" ht="15" customHeight="1">
      <c r="A537" t="inlineStr">
        <is>
          <t>A 48180-2023</t>
        </is>
      </c>
      <c r="B537" s="1" t="n">
        <v>45205</v>
      </c>
      <c r="C537" s="1" t="n">
        <v>45933</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54396-2021</t>
        </is>
      </c>
      <c r="B538" s="1" t="n">
        <v>44472</v>
      </c>
      <c r="C538" s="1" t="n">
        <v>45933</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57353-2024</t>
        </is>
      </c>
      <c r="B539" s="1" t="n">
        <v>45629.65143518519</v>
      </c>
      <c r="C539" s="1" t="n">
        <v>45933</v>
      </c>
      <c r="D539" t="inlineStr">
        <is>
          <t>STOCKHOLMS LÄN</t>
        </is>
      </c>
      <c r="E539" t="inlineStr">
        <is>
          <t>NORRTÄLJE</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33824-2025</t>
        </is>
      </c>
      <c r="B540" s="1" t="n">
        <v>45842.46885416667</v>
      </c>
      <c r="C540" s="1" t="n">
        <v>45933</v>
      </c>
      <c r="D540" t="inlineStr">
        <is>
          <t>STOCKHOLMS LÄN</t>
        </is>
      </c>
      <c r="E540" t="inlineStr">
        <is>
          <t>NORRTÄLJE</t>
        </is>
      </c>
      <c r="G540" t="n">
        <v>1.9</v>
      </c>
      <c r="H540" t="n">
        <v>0</v>
      </c>
      <c r="I540" t="n">
        <v>0</v>
      </c>
      <c r="J540" t="n">
        <v>0</v>
      </c>
      <c r="K540" t="n">
        <v>0</v>
      </c>
      <c r="L540" t="n">
        <v>0</v>
      </c>
      <c r="M540" t="n">
        <v>0</v>
      </c>
      <c r="N540" t="n">
        <v>0</v>
      </c>
      <c r="O540" t="n">
        <v>0</v>
      </c>
      <c r="P540" t="n">
        <v>0</v>
      </c>
      <c r="Q540" t="n">
        <v>0</v>
      </c>
      <c r="R540" s="2" t="inlineStr"/>
    </row>
    <row r="541" ht="15" customHeight="1">
      <c r="A541" t="inlineStr">
        <is>
          <t>A 48633-2023</t>
        </is>
      </c>
      <c r="B541" s="1" t="n">
        <v>45208.58004629629</v>
      </c>
      <c r="C541" s="1" t="n">
        <v>45933</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55696-2022</t>
        </is>
      </c>
      <c r="B542" s="1" t="n">
        <v>44888</v>
      </c>
      <c r="C542" s="1" t="n">
        <v>45933</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50907-2022</t>
        </is>
      </c>
      <c r="B543" s="1" t="n">
        <v>44867.62090277778</v>
      </c>
      <c r="C543" s="1" t="n">
        <v>45933</v>
      </c>
      <c r="D543" t="inlineStr">
        <is>
          <t>STOCKHOLMS LÄN</t>
        </is>
      </c>
      <c r="E543" t="inlineStr">
        <is>
          <t>NORRTÄLJE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6919-2025</t>
        </is>
      </c>
      <c r="B544" s="1" t="n">
        <v>45701.44372685185</v>
      </c>
      <c r="C544" s="1" t="n">
        <v>45933</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53362-2023</t>
        </is>
      </c>
      <c r="B545" s="1" t="n">
        <v>45223</v>
      </c>
      <c r="C545" s="1" t="n">
        <v>45933</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46073-2024</t>
        </is>
      </c>
      <c r="B546" s="1" t="n">
        <v>45581</v>
      </c>
      <c r="C546" s="1" t="n">
        <v>45933</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19057-2024</t>
        </is>
      </c>
      <c r="B547" s="1" t="n">
        <v>45427.88731481481</v>
      </c>
      <c r="C547" s="1" t="n">
        <v>45933</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47419-2023</t>
        </is>
      </c>
      <c r="B548" s="1" t="n">
        <v>45202.65660879629</v>
      </c>
      <c r="C548" s="1" t="n">
        <v>45933</v>
      </c>
      <c r="D548" t="inlineStr">
        <is>
          <t>STOCKHOLMS LÄN</t>
        </is>
      </c>
      <c r="E548" t="inlineStr">
        <is>
          <t>NORRTÄLJE</t>
        </is>
      </c>
      <c r="G548" t="n">
        <v>11.4</v>
      </c>
      <c r="H548" t="n">
        <v>0</v>
      </c>
      <c r="I548" t="n">
        <v>0</v>
      </c>
      <c r="J548" t="n">
        <v>0</v>
      </c>
      <c r="K548" t="n">
        <v>0</v>
      </c>
      <c r="L548" t="n">
        <v>0</v>
      </c>
      <c r="M548" t="n">
        <v>0</v>
      </c>
      <c r="N548" t="n">
        <v>0</v>
      </c>
      <c r="O548" t="n">
        <v>0</v>
      </c>
      <c r="P548" t="n">
        <v>0</v>
      </c>
      <c r="Q548" t="n">
        <v>0</v>
      </c>
      <c r="R548" s="2" t="inlineStr"/>
    </row>
    <row r="549" ht="15" customHeight="1">
      <c r="A549" t="inlineStr">
        <is>
          <t>A 652-2025</t>
        </is>
      </c>
      <c r="B549" s="1" t="n">
        <v>45664</v>
      </c>
      <c r="C549" s="1" t="n">
        <v>45933</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36689-2023</t>
        </is>
      </c>
      <c r="B550" s="1" t="n">
        <v>45152</v>
      </c>
      <c r="C550" s="1" t="n">
        <v>45933</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34139-2025</t>
        </is>
      </c>
      <c r="B551" s="1" t="n">
        <v>45845</v>
      </c>
      <c r="C551" s="1" t="n">
        <v>45933</v>
      </c>
      <c r="D551" t="inlineStr">
        <is>
          <t>STOCKHOLMS LÄN</t>
        </is>
      </c>
      <c r="E551" t="inlineStr">
        <is>
          <t>NORRTÄLJE</t>
        </is>
      </c>
      <c r="G551" t="n">
        <v>5.5</v>
      </c>
      <c r="H551" t="n">
        <v>0</v>
      </c>
      <c r="I551" t="n">
        <v>0</v>
      </c>
      <c r="J551" t="n">
        <v>0</v>
      </c>
      <c r="K551" t="n">
        <v>0</v>
      </c>
      <c r="L551" t="n">
        <v>0</v>
      </c>
      <c r="M551" t="n">
        <v>0</v>
      </c>
      <c r="N551" t="n">
        <v>0</v>
      </c>
      <c r="O551" t="n">
        <v>0</v>
      </c>
      <c r="P551" t="n">
        <v>0</v>
      </c>
      <c r="Q551" t="n">
        <v>0</v>
      </c>
      <c r="R551" s="2" t="inlineStr"/>
    </row>
    <row r="552" ht="15" customHeight="1">
      <c r="A552" t="inlineStr">
        <is>
          <t>A 34006-2025</t>
        </is>
      </c>
      <c r="B552" s="1" t="n">
        <v>45844.62609953704</v>
      </c>
      <c r="C552" s="1" t="n">
        <v>45933</v>
      </c>
      <c r="D552" t="inlineStr">
        <is>
          <t>STOCKHOLMS LÄN</t>
        </is>
      </c>
      <c r="E552" t="inlineStr">
        <is>
          <t>NORRTÄLJE</t>
        </is>
      </c>
      <c r="G552" t="n">
        <v>2.3</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45933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10215-2023</t>
        </is>
      </c>
      <c r="B554" s="1" t="n">
        <v>44986.5887962963</v>
      </c>
      <c r="C554" s="1" t="n">
        <v>45933</v>
      </c>
      <c r="D554" t="inlineStr">
        <is>
          <t>STOCKHOLMS LÄN</t>
        </is>
      </c>
      <c r="E554" t="inlineStr">
        <is>
          <t>NORRTÄLJE</t>
        </is>
      </c>
      <c r="G554" t="n">
        <v>6.5</v>
      </c>
      <c r="H554" t="n">
        <v>0</v>
      </c>
      <c r="I554" t="n">
        <v>0</v>
      </c>
      <c r="J554" t="n">
        <v>0</v>
      </c>
      <c r="K554" t="n">
        <v>0</v>
      </c>
      <c r="L554" t="n">
        <v>0</v>
      </c>
      <c r="M554" t="n">
        <v>0</v>
      </c>
      <c r="N554" t="n">
        <v>0</v>
      </c>
      <c r="O554" t="n">
        <v>0</v>
      </c>
      <c r="P554" t="n">
        <v>0</v>
      </c>
      <c r="Q554" t="n">
        <v>0</v>
      </c>
      <c r="R554" s="2" t="inlineStr"/>
    </row>
    <row r="555" ht="15" customHeight="1">
      <c r="A555" t="inlineStr">
        <is>
          <t>A 19058-2023</t>
        </is>
      </c>
      <c r="B555" s="1" t="n">
        <v>45048</v>
      </c>
      <c r="C555" s="1" t="n">
        <v>45933</v>
      </c>
      <c r="D555" t="inlineStr">
        <is>
          <t>STOCKHOLMS LÄN</t>
        </is>
      </c>
      <c r="E555" t="inlineStr">
        <is>
          <t>NORRTÄLJE</t>
        </is>
      </c>
      <c r="G555" t="n">
        <v>3.7</v>
      </c>
      <c r="H555" t="n">
        <v>0</v>
      </c>
      <c r="I555" t="n">
        <v>0</v>
      </c>
      <c r="J555" t="n">
        <v>0</v>
      </c>
      <c r="K555" t="n">
        <v>0</v>
      </c>
      <c r="L555" t="n">
        <v>0</v>
      </c>
      <c r="M555" t="n">
        <v>0</v>
      </c>
      <c r="N555" t="n">
        <v>0</v>
      </c>
      <c r="O555" t="n">
        <v>0</v>
      </c>
      <c r="P555" t="n">
        <v>0</v>
      </c>
      <c r="Q555" t="n">
        <v>0</v>
      </c>
      <c r="R555" s="2" t="inlineStr"/>
    </row>
    <row r="556" ht="15" customHeight="1">
      <c r="A556" t="inlineStr">
        <is>
          <t>A 34010-2025</t>
        </is>
      </c>
      <c r="B556" s="1" t="n">
        <v>45844.91234953704</v>
      </c>
      <c r="C556" s="1" t="n">
        <v>45933</v>
      </c>
      <c r="D556" t="inlineStr">
        <is>
          <t>STOCKHOLMS LÄN</t>
        </is>
      </c>
      <c r="E556" t="inlineStr">
        <is>
          <t>NORRTÄLJE</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10653-2022</t>
        </is>
      </c>
      <c r="B557" s="1" t="n">
        <v>44624.59434027778</v>
      </c>
      <c r="C557" s="1" t="n">
        <v>45933</v>
      </c>
      <c r="D557" t="inlineStr">
        <is>
          <t>STOCKHOLMS LÄN</t>
        </is>
      </c>
      <c r="E557" t="inlineStr">
        <is>
          <t>NORRTÄLJE</t>
        </is>
      </c>
      <c r="G557" t="n">
        <v>2.3</v>
      </c>
      <c r="H557" t="n">
        <v>0</v>
      </c>
      <c r="I557" t="n">
        <v>0</v>
      </c>
      <c r="J557" t="n">
        <v>0</v>
      </c>
      <c r="K557" t="n">
        <v>0</v>
      </c>
      <c r="L557" t="n">
        <v>0</v>
      </c>
      <c r="M557" t="n">
        <v>0</v>
      </c>
      <c r="N557" t="n">
        <v>0</v>
      </c>
      <c r="O557" t="n">
        <v>0</v>
      </c>
      <c r="P557" t="n">
        <v>0</v>
      </c>
      <c r="Q557" t="n">
        <v>0</v>
      </c>
      <c r="R557" s="2" t="inlineStr"/>
    </row>
    <row r="558" ht="15" customHeight="1">
      <c r="A558" t="inlineStr">
        <is>
          <t>A 39610-2025</t>
        </is>
      </c>
      <c r="B558" s="1" t="n">
        <v>45890.56001157407</v>
      </c>
      <c r="C558" s="1" t="n">
        <v>45933</v>
      </c>
      <c r="D558" t="inlineStr">
        <is>
          <t>STOCKHOLMS LÄN</t>
        </is>
      </c>
      <c r="E558" t="inlineStr">
        <is>
          <t>NORRTÄLJE</t>
        </is>
      </c>
      <c r="G558" t="n">
        <v>28.6</v>
      </c>
      <c r="H558" t="n">
        <v>0</v>
      </c>
      <c r="I558" t="n">
        <v>0</v>
      </c>
      <c r="J558" t="n">
        <v>0</v>
      </c>
      <c r="K558" t="n">
        <v>0</v>
      </c>
      <c r="L558" t="n">
        <v>0</v>
      </c>
      <c r="M558" t="n">
        <v>0</v>
      </c>
      <c r="N558" t="n">
        <v>0</v>
      </c>
      <c r="O558" t="n">
        <v>0</v>
      </c>
      <c r="P558" t="n">
        <v>0</v>
      </c>
      <c r="Q558" t="n">
        <v>0</v>
      </c>
      <c r="R558" s="2" t="inlineStr"/>
    </row>
    <row r="559" ht="15" customHeight="1">
      <c r="A559" t="inlineStr">
        <is>
          <t>A 35695-2023</t>
        </is>
      </c>
      <c r="B559" s="1" t="n">
        <v>45147.65407407407</v>
      </c>
      <c r="C559" s="1" t="n">
        <v>45933</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14127-2025</t>
        </is>
      </c>
      <c r="B560" s="1" t="n">
        <v>45740.47055555556</v>
      </c>
      <c r="C560" s="1" t="n">
        <v>45933</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18665-2022</t>
        </is>
      </c>
      <c r="B561" s="1" t="n">
        <v>44687</v>
      </c>
      <c r="C561" s="1" t="n">
        <v>45933</v>
      </c>
      <c r="D561" t="inlineStr">
        <is>
          <t>STOCKHOLMS LÄN</t>
        </is>
      </c>
      <c r="E561" t="inlineStr">
        <is>
          <t>NORRTÄLJE</t>
        </is>
      </c>
      <c r="F561" t="inlineStr">
        <is>
          <t>Kyrkan</t>
        </is>
      </c>
      <c r="G561" t="n">
        <v>1.1</v>
      </c>
      <c r="H561" t="n">
        <v>0</v>
      </c>
      <c r="I561" t="n">
        <v>0</v>
      </c>
      <c r="J561" t="n">
        <v>0</v>
      </c>
      <c r="K561" t="n">
        <v>0</v>
      </c>
      <c r="L561" t="n">
        <v>0</v>
      </c>
      <c r="M561" t="n">
        <v>0</v>
      </c>
      <c r="N561" t="n">
        <v>0</v>
      </c>
      <c r="O561" t="n">
        <v>0</v>
      </c>
      <c r="P561" t="n">
        <v>0</v>
      </c>
      <c r="Q561" t="n">
        <v>0</v>
      </c>
      <c r="R561" s="2" t="inlineStr"/>
    </row>
    <row r="562" ht="15" customHeight="1">
      <c r="A562" t="inlineStr">
        <is>
          <t>A 31559-2022</t>
        </is>
      </c>
      <c r="B562" s="1" t="n">
        <v>44775</v>
      </c>
      <c r="C562" s="1" t="n">
        <v>45933</v>
      </c>
      <c r="D562" t="inlineStr">
        <is>
          <t>STOCKHOLMS LÄN</t>
        </is>
      </c>
      <c r="E562" t="inlineStr">
        <is>
          <t>NORRTÄLJE</t>
        </is>
      </c>
      <c r="G562" t="n">
        <v>5.6</v>
      </c>
      <c r="H562" t="n">
        <v>0</v>
      </c>
      <c r="I562" t="n">
        <v>0</v>
      </c>
      <c r="J562" t="n">
        <v>0</v>
      </c>
      <c r="K562" t="n">
        <v>0</v>
      </c>
      <c r="L562" t="n">
        <v>0</v>
      </c>
      <c r="M562" t="n">
        <v>0</v>
      </c>
      <c r="N562" t="n">
        <v>0</v>
      </c>
      <c r="O562" t="n">
        <v>0</v>
      </c>
      <c r="P562" t="n">
        <v>0</v>
      </c>
      <c r="Q562" t="n">
        <v>0</v>
      </c>
      <c r="R562" s="2" t="inlineStr"/>
    </row>
    <row r="563" ht="15" customHeight="1">
      <c r="A563" t="inlineStr">
        <is>
          <t>A 15733-2025</t>
        </is>
      </c>
      <c r="B563" s="1" t="n">
        <v>45748</v>
      </c>
      <c r="C563" s="1" t="n">
        <v>45933</v>
      </c>
      <c r="D563" t="inlineStr">
        <is>
          <t>STOCKHOLMS LÄN</t>
        </is>
      </c>
      <c r="E563" t="inlineStr">
        <is>
          <t>NORRTÄLJE</t>
        </is>
      </c>
      <c r="G563" t="n">
        <v>13.3</v>
      </c>
      <c r="H563" t="n">
        <v>0</v>
      </c>
      <c r="I563" t="n">
        <v>0</v>
      </c>
      <c r="J563" t="n">
        <v>0</v>
      </c>
      <c r="K563" t="n">
        <v>0</v>
      </c>
      <c r="L563" t="n">
        <v>0</v>
      </c>
      <c r="M563" t="n">
        <v>0</v>
      </c>
      <c r="N563" t="n">
        <v>0</v>
      </c>
      <c r="O563" t="n">
        <v>0</v>
      </c>
      <c r="P563" t="n">
        <v>0</v>
      </c>
      <c r="Q563" t="n">
        <v>0</v>
      </c>
      <c r="R563" s="2" t="inlineStr"/>
    </row>
    <row r="564" ht="15" customHeight="1">
      <c r="A564" t="inlineStr">
        <is>
          <t>A 17574-2025</t>
        </is>
      </c>
      <c r="B564" s="1" t="n">
        <v>45757.65178240741</v>
      </c>
      <c r="C564" s="1" t="n">
        <v>45933</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20370-2025</t>
        </is>
      </c>
      <c r="B565" s="1" t="n">
        <v>45775.41451388889</v>
      </c>
      <c r="C565" s="1" t="n">
        <v>45933</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52001-2023</t>
        </is>
      </c>
      <c r="B566" s="1" t="n">
        <v>45223</v>
      </c>
      <c r="C566" s="1" t="n">
        <v>45933</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19982-2022</t>
        </is>
      </c>
      <c r="B567" s="1" t="n">
        <v>44697</v>
      </c>
      <c r="C567" s="1" t="n">
        <v>45933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40097-2025</t>
        </is>
      </c>
      <c r="B568" s="1" t="n">
        <v>45894.48322916667</v>
      </c>
      <c r="C568" s="1" t="n">
        <v>45933</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40033-2025</t>
        </is>
      </c>
      <c r="B569" s="1" t="n">
        <v>45893</v>
      </c>
      <c r="C569" s="1" t="n">
        <v>45933</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40217-2025</t>
        </is>
      </c>
      <c r="B570" s="1" t="n">
        <v>45894.68864583333</v>
      </c>
      <c r="C570" s="1" t="n">
        <v>45933</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35438-2023</t>
        </is>
      </c>
      <c r="B571" s="1" t="n">
        <v>45146</v>
      </c>
      <c r="C571" s="1" t="n">
        <v>45933</v>
      </c>
      <c r="D571" t="inlineStr">
        <is>
          <t>STOCKHOLMS LÄN</t>
        </is>
      </c>
      <c r="E571" t="inlineStr">
        <is>
          <t>NORRTÄLJE</t>
        </is>
      </c>
      <c r="F571" t="inlineStr">
        <is>
          <t>Kommuner</t>
        </is>
      </c>
      <c r="G571" t="n">
        <v>1.9</v>
      </c>
      <c r="H571" t="n">
        <v>0</v>
      </c>
      <c r="I571" t="n">
        <v>0</v>
      </c>
      <c r="J571" t="n">
        <v>0</v>
      </c>
      <c r="K571" t="n">
        <v>0</v>
      </c>
      <c r="L571" t="n">
        <v>0</v>
      </c>
      <c r="M571" t="n">
        <v>0</v>
      </c>
      <c r="N571" t="n">
        <v>0</v>
      </c>
      <c r="O571" t="n">
        <v>0</v>
      </c>
      <c r="P571" t="n">
        <v>0</v>
      </c>
      <c r="Q571" t="n">
        <v>0</v>
      </c>
      <c r="R571" s="2" t="inlineStr"/>
    </row>
    <row r="572" ht="15" customHeight="1">
      <c r="A572" t="inlineStr">
        <is>
          <t>A 40032-2025</t>
        </is>
      </c>
      <c r="B572" s="1" t="n">
        <v>45893</v>
      </c>
      <c r="C572" s="1" t="n">
        <v>45933</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33878-2024</t>
        </is>
      </c>
      <c r="B573" s="1" t="n">
        <v>45522.44414351852</v>
      </c>
      <c r="C573" s="1" t="n">
        <v>45933</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22456-2023</t>
        </is>
      </c>
      <c r="B574" s="1" t="n">
        <v>45070</v>
      </c>
      <c r="C574" s="1" t="n">
        <v>45933</v>
      </c>
      <c r="D574" t="inlineStr">
        <is>
          <t>STOCKHOLMS LÄN</t>
        </is>
      </c>
      <c r="E574" t="inlineStr">
        <is>
          <t>NORRTÄLJE</t>
        </is>
      </c>
      <c r="G574" t="n">
        <v>3.1</v>
      </c>
      <c r="H574" t="n">
        <v>0</v>
      </c>
      <c r="I574" t="n">
        <v>0</v>
      </c>
      <c r="J574" t="n">
        <v>0</v>
      </c>
      <c r="K574" t="n">
        <v>0</v>
      </c>
      <c r="L574" t="n">
        <v>0</v>
      </c>
      <c r="M574" t="n">
        <v>0</v>
      </c>
      <c r="N574" t="n">
        <v>0</v>
      </c>
      <c r="O574" t="n">
        <v>0</v>
      </c>
      <c r="P574" t="n">
        <v>0</v>
      </c>
      <c r="Q574" t="n">
        <v>0</v>
      </c>
      <c r="R574" s="2" t="inlineStr"/>
    </row>
    <row r="575" ht="15" customHeight="1">
      <c r="A575" t="inlineStr">
        <is>
          <t>A 40172-2025</t>
        </is>
      </c>
      <c r="B575" s="1" t="n">
        <v>45894.6353125</v>
      </c>
      <c r="C575" s="1" t="n">
        <v>45933</v>
      </c>
      <c r="D575" t="inlineStr">
        <is>
          <t>STOCKHOLMS LÄN</t>
        </is>
      </c>
      <c r="E575" t="inlineStr">
        <is>
          <t>NORRTÄLJE</t>
        </is>
      </c>
      <c r="G575" t="n">
        <v>6</v>
      </c>
      <c r="H575" t="n">
        <v>0</v>
      </c>
      <c r="I575" t="n">
        <v>0</v>
      </c>
      <c r="J575" t="n">
        <v>0</v>
      </c>
      <c r="K575" t="n">
        <v>0</v>
      </c>
      <c r="L575" t="n">
        <v>0</v>
      </c>
      <c r="M575" t="n">
        <v>0</v>
      </c>
      <c r="N575" t="n">
        <v>0</v>
      </c>
      <c r="O575" t="n">
        <v>0</v>
      </c>
      <c r="P575" t="n">
        <v>0</v>
      </c>
      <c r="Q575" t="n">
        <v>0</v>
      </c>
      <c r="R575" s="2" t="inlineStr"/>
    </row>
    <row r="576" ht="15" customHeight="1">
      <c r="A576" t="inlineStr">
        <is>
          <t>A 19580-2022</t>
        </is>
      </c>
      <c r="B576" s="1" t="n">
        <v>44693</v>
      </c>
      <c r="C576" s="1" t="n">
        <v>45933</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35110-2025</t>
        </is>
      </c>
      <c r="B577" s="1" t="n">
        <v>45852.58030092593</v>
      </c>
      <c r="C577" s="1" t="n">
        <v>45933</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4183-2025</t>
        </is>
      </c>
      <c r="B578" s="1" t="n">
        <v>45685.44592592592</v>
      </c>
      <c r="C578" s="1" t="n">
        <v>45933</v>
      </c>
      <c r="D578" t="inlineStr">
        <is>
          <t>STOCKHOLMS LÄN</t>
        </is>
      </c>
      <c r="E578" t="inlineStr">
        <is>
          <t>NORRTÄLJE</t>
        </is>
      </c>
      <c r="G578" t="n">
        <v>1.2</v>
      </c>
      <c r="H578" t="n">
        <v>0</v>
      </c>
      <c r="I578" t="n">
        <v>0</v>
      </c>
      <c r="J578" t="n">
        <v>0</v>
      </c>
      <c r="K578" t="n">
        <v>0</v>
      </c>
      <c r="L578" t="n">
        <v>0</v>
      </c>
      <c r="M578" t="n">
        <v>0</v>
      </c>
      <c r="N578" t="n">
        <v>0</v>
      </c>
      <c r="O578" t="n">
        <v>0</v>
      </c>
      <c r="P578" t="n">
        <v>0</v>
      </c>
      <c r="Q578" t="n">
        <v>0</v>
      </c>
      <c r="R578" s="2" t="inlineStr"/>
    </row>
    <row r="579" ht="15" customHeight="1">
      <c r="A579" t="inlineStr">
        <is>
          <t>A 5823-2023</t>
        </is>
      </c>
      <c r="B579" s="1" t="n">
        <v>44963</v>
      </c>
      <c r="C579" s="1" t="n">
        <v>45933</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30731-2023</t>
        </is>
      </c>
      <c r="B580" s="1" t="n">
        <v>45112</v>
      </c>
      <c r="C580" s="1" t="n">
        <v>45933</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17556-2025</t>
        </is>
      </c>
      <c r="B581" s="1" t="n">
        <v>45757.62482638889</v>
      </c>
      <c r="C581" s="1" t="n">
        <v>45933</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41335-2023</t>
        </is>
      </c>
      <c r="B582" s="1" t="n">
        <v>45174.68702546296</v>
      </c>
      <c r="C582" s="1" t="n">
        <v>45933</v>
      </c>
      <c r="D582" t="inlineStr">
        <is>
          <t>STOCKHOLMS LÄN</t>
        </is>
      </c>
      <c r="E582" t="inlineStr">
        <is>
          <t>NORRTÄLJE</t>
        </is>
      </c>
      <c r="F582" t="inlineStr">
        <is>
          <t>Holmen skog AB</t>
        </is>
      </c>
      <c r="G582" t="n">
        <v>4.4</v>
      </c>
      <c r="H582" t="n">
        <v>0</v>
      </c>
      <c r="I582" t="n">
        <v>0</v>
      </c>
      <c r="J582" t="n">
        <v>0</v>
      </c>
      <c r="K582" t="n">
        <v>0</v>
      </c>
      <c r="L582" t="n">
        <v>0</v>
      </c>
      <c r="M582" t="n">
        <v>0</v>
      </c>
      <c r="N582" t="n">
        <v>0</v>
      </c>
      <c r="O582" t="n">
        <v>0</v>
      </c>
      <c r="P582" t="n">
        <v>0</v>
      </c>
      <c r="Q582" t="n">
        <v>0</v>
      </c>
      <c r="R582" s="2" t="inlineStr"/>
    </row>
    <row r="583" ht="15" customHeight="1">
      <c r="A583" t="inlineStr">
        <is>
          <t>A 4484-2025</t>
        </is>
      </c>
      <c r="B583" s="1" t="n">
        <v>45686.65545138889</v>
      </c>
      <c r="C583" s="1" t="n">
        <v>45933</v>
      </c>
      <c r="D583" t="inlineStr">
        <is>
          <t>STOCKHOLMS LÄN</t>
        </is>
      </c>
      <c r="E583" t="inlineStr">
        <is>
          <t>NORRTÄLJE</t>
        </is>
      </c>
      <c r="G583" t="n">
        <v>1.9</v>
      </c>
      <c r="H583" t="n">
        <v>0</v>
      </c>
      <c r="I583" t="n">
        <v>0</v>
      </c>
      <c r="J583" t="n">
        <v>0</v>
      </c>
      <c r="K583" t="n">
        <v>0</v>
      </c>
      <c r="L583" t="n">
        <v>0</v>
      </c>
      <c r="M583" t="n">
        <v>0</v>
      </c>
      <c r="N583" t="n">
        <v>0</v>
      </c>
      <c r="O583" t="n">
        <v>0</v>
      </c>
      <c r="P583" t="n">
        <v>0</v>
      </c>
      <c r="Q583" t="n">
        <v>0</v>
      </c>
      <c r="R583" s="2" t="inlineStr"/>
    </row>
    <row r="584" ht="15" customHeight="1">
      <c r="A584" t="inlineStr">
        <is>
          <t>A 10511-2025</t>
        </is>
      </c>
      <c r="B584" s="1" t="n">
        <v>45721.40780092592</v>
      </c>
      <c r="C584" s="1" t="n">
        <v>45933</v>
      </c>
      <c r="D584" t="inlineStr">
        <is>
          <t>STOCKHOLMS LÄN</t>
        </is>
      </c>
      <c r="E584" t="inlineStr">
        <is>
          <t>NORRTÄLJE</t>
        </is>
      </c>
      <c r="G584" t="n">
        <v>2.6</v>
      </c>
      <c r="H584" t="n">
        <v>0</v>
      </c>
      <c r="I584" t="n">
        <v>0</v>
      </c>
      <c r="J584" t="n">
        <v>0</v>
      </c>
      <c r="K584" t="n">
        <v>0</v>
      </c>
      <c r="L584" t="n">
        <v>0</v>
      </c>
      <c r="M584" t="n">
        <v>0</v>
      </c>
      <c r="N584" t="n">
        <v>0</v>
      </c>
      <c r="O584" t="n">
        <v>0</v>
      </c>
      <c r="P584" t="n">
        <v>0</v>
      </c>
      <c r="Q584" t="n">
        <v>0</v>
      </c>
      <c r="R584" s="2" t="inlineStr"/>
    </row>
    <row r="585" ht="15" customHeight="1">
      <c r="A585" t="inlineStr">
        <is>
          <t>A 8419-2025</t>
        </is>
      </c>
      <c r="B585" s="1" t="n">
        <v>45709.40231481481</v>
      </c>
      <c r="C585" s="1" t="n">
        <v>45933</v>
      </c>
      <c r="D585" t="inlineStr">
        <is>
          <t>STOCKHOLMS LÄN</t>
        </is>
      </c>
      <c r="E585" t="inlineStr">
        <is>
          <t>NORRTÄLJE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21480-2022</t>
        </is>
      </c>
      <c r="B586" s="1" t="n">
        <v>44704</v>
      </c>
      <c r="C586" s="1" t="n">
        <v>45933</v>
      </c>
      <c r="D586" t="inlineStr">
        <is>
          <t>STOCKHOLMS LÄN</t>
        </is>
      </c>
      <c r="E586" t="inlineStr">
        <is>
          <t>NORRTÄLJE</t>
        </is>
      </c>
      <c r="G586" t="n">
        <v>2.8</v>
      </c>
      <c r="H586" t="n">
        <v>0</v>
      </c>
      <c r="I586" t="n">
        <v>0</v>
      </c>
      <c r="J586" t="n">
        <v>0</v>
      </c>
      <c r="K586" t="n">
        <v>0</v>
      </c>
      <c r="L586" t="n">
        <v>0</v>
      </c>
      <c r="M586" t="n">
        <v>0</v>
      </c>
      <c r="N586" t="n">
        <v>0</v>
      </c>
      <c r="O586" t="n">
        <v>0</v>
      </c>
      <c r="P586" t="n">
        <v>0</v>
      </c>
      <c r="Q586" t="n">
        <v>0</v>
      </c>
      <c r="R586" s="2" t="inlineStr"/>
    </row>
    <row r="587" ht="15" customHeight="1">
      <c r="A587" t="inlineStr">
        <is>
          <t>A 40228-2025</t>
        </is>
      </c>
      <c r="B587" s="1" t="n">
        <v>45894.70854166667</v>
      </c>
      <c r="C587" s="1" t="n">
        <v>45933</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40230-2025</t>
        </is>
      </c>
      <c r="B588" s="1" t="n">
        <v>45894.71101851852</v>
      </c>
      <c r="C588" s="1" t="n">
        <v>45933</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40292-2025</t>
        </is>
      </c>
      <c r="B589" s="1" t="n">
        <v>45895.3867824074</v>
      </c>
      <c r="C589" s="1" t="n">
        <v>45933</v>
      </c>
      <c r="D589" t="inlineStr">
        <is>
          <t>STOCKHOLMS LÄN</t>
        </is>
      </c>
      <c r="E589" t="inlineStr">
        <is>
          <t>NORRTÄLJE</t>
        </is>
      </c>
      <c r="G589" t="n">
        <v>3.5</v>
      </c>
      <c r="H589" t="n">
        <v>0</v>
      </c>
      <c r="I589" t="n">
        <v>0</v>
      </c>
      <c r="J589" t="n">
        <v>0</v>
      </c>
      <c r="K589" t="n">
        <v>0</v>
      </c>
      <c r="L589" t="n">
        <v>0</v>
      </c>
      <c r="M589" t="n">
        <v>0</v>
      </c>
      <c r="N589" t="n">
        <v>0</v>
      </c>
      <c r="O589" t="n">
        <v>0</v>
      </c>
      <c r="P589" t="n">
        <v>0</v>
      </c>
      <c r="Q589" t="n">
        <v>0</v>
      </c>
      <c r="R589" s="2" t="inlineStr"/>
    </row>
    <row r="590" ht="15" customHeight="1">
      <c r="A590" t="inlineStr">
        <is>
          <t>A 1654-2025</t>
        </is>
      </c>
      <c r="B590" s="1" t="n">
        <v>45670.65921296296</v>
      </c>
      <c r="C590" s="1" t="n">
        <v>45933</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11988-2021</t>
        </is>
      </c>
      <c r="B591" s="1" t="n">
        <v>44266</v>
      </c>
      <c r="C591" s="1" t="n">
        <v>45933</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12132-2021</t>
        </is>
      </c>
      <c r="B592" s="1" t="n">
        <v>44266</v>
      </c>
      <c r="C592" s="1" t="n">
        <v>45933</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35256-2025</t>
        </is>
      </c>
      <c r="B593" s="1" t="n">
        <v>45853</v>
      </c>
      <c r="C593" s="1" t="n">
        <v>45933</v>
      </c>
      <c r="D593" t="inlineStr">
        <is>
          <t>STOCKHOLMS LÄN</t>
        </is>
      </c>
      <c r="E593" t="inlineStr">
        <is>
          <t>NORRTÄLJE</t>
        </is>
      </c>
      <c r="G593" t="n">
        <v>6.4</v>
      </c>
      <c r="H593" t="n">
        <v>0</v>
      </c>
      <c r="I593" t="n">
        <v>0</v>
      </c>
      <c r="J593" t="n">
        <v>0</v>
      </c>
      <c r="K593" t="n">
        <v>0</v>
      </c>
      <c r="L593" t="n">
        <v>0</v>
      </c>
      <c r="M593" t="n">
        <v>0</v>
      </c>
      <c r="N593" t="n">
        <v>0</v>
      </c>
      <c r="O593" t="n">
        <v>0</v>
      </c>
      <c r="P593" t="n">
        <v>0</v>
      </c>
      <c r="Q593" t="n">
        <v>0</v>
      </c>
      <c r="R593" s="2" t="inlineStr"/>
    </row>
    <row r="594" ht="15" customHeight="1">
      <c r="A594" t="inlineStr">
        <is>
          <t>A 40294-2025</t>
        </is>
      </c>
      <c r="B594" s="1" t="n">
        <v>45895.38778935185</v>
      </c>
      <c r="C594" s="1" t="n">
        <v>45933</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48686-2023</t>
        </is>
      </c>
      <c r="B595" s="1" t="n">
        <v>45208</v>
      </c>
      <c r="C595" s="1" t="n">
        <v>45933</v>
      </c>
      <c r="D595" t="inlineStr">
        <is>
          <t>STOCKHOLMS LÄN</t>
        </is>
      </c>
      <c r="E595" t="inlineStr">
        <is>
          <t>NORRTÄLJE</t>
        </is>
      </c>
      <c r="G595" t="n">
        <v>6</v>
      </c>
      <c r="H595" t="n">
        <v>0</v>
      </c>
      <c r="I595" t="n">
        <v>0</v>
      </c>
      <c r="J595" t="n">
        <v>0</v>
      </c>
      <c r="K595" t="n">
        <v>0</v>
      </c>
      <c r="L595" t="n">
        <v>0</v>
      </c>
      <c r="M595" t="n">
        <v>0</v>
      </c>
      <c r="N595" t="n">
        <v>0</v>
      </c>
      <c r="O595" t="n">
        <v>0</v>
      </c>
      <c r="P595" t="n">
        <v>0</v>
      </c>
      <c r="Q595" t="n">
        <v>0</v>
      </c>
      <c r="R595" s="2" t="inlineStr"/>
    </row>
    <row r="596" ht="15" customHeight="1">
      <c r="A596" t="inlineStr">
        <is>
          <t>A 48691-2023</t>
        </is>
      </c>
      <c r="B596" s="1" t="n">
        <v>45208</v>
      </c>
      <c r="C596" s="1" t="n">
        <v>45933</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51653-2022</t>
        </is>
      </c>
      <c r="B597" s="1" t="n">
        <v>44867</v>
      </c>
      <c r="C597" s="1" t="n">
        <v>45933</v>
      </c>
      <c r="D597" t="inlineStr">
        <is>
          <t>STOCKHOLMS LÄN</t>
        </is>
      </c>
      <c r="E597" t="inlineStr">
        <is>
          <t>NORRTÄLJE</t>
        </is>
      </c>
      <c r="G597" t="n">
        <v>6.6</v>
      </c>
      <c r="H597" t="n">
        <v>0</v>
      </c>
      <c r="I597" t="n">
        <v>0</v>
      </c>
      <c r="J597" t="n">
        <v>0</v>
      </c>
      <c r="K597" t="n">
        <v>0</v>
      </c>
      <c r="L597" t="n">
        <v>0</v>
      </c>
      <c r="M597" t="n">
        <v>0</v>
      </c>
      <c r="N597" t="n">
        <v>0</v>
      </c>
      <c r="O597" t="n">
        <v>0</v>
      </c>
      <c r="P597" t="n">
        <v>0</v>
      </c>
      <c r="Q597" t="n">
        <v>0</v>
      </c>
      <c r="R597" s="2" t="inlineStr"/>
    </row>
    <row r="598" ht="15" customHeight="1">
      <c r="A598" t="inlineStr">
        <is>
          <t>A 35254-2025</t>
        </is>
      </c>
      <c r="B598" s="1" t="n">
        <v>45853</v>
      </c>
      <c r="C598" s="1" t="n">
        <v>45933</v>
      </c>
      <c r="D598" t="inlineStr">
        <is>
          <t>STOCKHOLMS LÄN</t>
        </is>
      </c>
      <c r="E598" t="inlineStr">
        <is>
          <t>NORRTÄLJE</t>
        </is>
      </c>
      <c r="G598" t="n">
        <v>6.5</v>
      </c>
      <c r="H598" t="n">
        <v>0</v>
      </c>
      <c r="I598" t="n">
        <v>0</v>
      </c>
      <c r="J598" t="n">
        <v>0</v>
      </c>
      <c r="K598" t="n">
        <v>0</v>
      </c>
      <c r="L598" t="n">
        <v>0</v>
      </c>
      <c r="M598" t="n">
        <v>0</v>
      </c>
      <c r="N598" t="n">
        <v>0</v>
      </c>
      <c r="O598" t="n">
        <v>0</v>
      </c>
      <c r="P598" t="n">
        <v>0</v>
      </c>
      <c r="Q598" t="n">
        <v>0</v>
      </c>
      <c r="R598" s="2" t="inlineStr"/>
    </row>
    <row r="599" ht="15" customHeight="1">
      <c r="A599" t="inlineStr">
        <is>
          <t>A 40529-2025</t>
        </is>
      </c>
      <c r="B599" s="1" t="n">
        <v>45896.38466435186</v>
      </c>
      <c r="C599" s="1" t="n">
        <v>45933</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55243-2023</t>
        </is>
      </c>
      <c r="B600" s="1" t="n">
        <v>45237</v>
      </c>
      <c r="C600" s="1" t="n">
        <v>45933</v>
      </c>
      <c r="D600" t="inlineStr">
        <is>
          <t>STOCKHOLMS LÄN</t>
        </is>
      </c>
      <c r="E600" t="inlineStr">
        <is>
          <t>NORRTÄLJE</t>
        </is>
      </c>
      <c r="G600" t="n">
        <v>6.5</v>
      </c>
      <c r="H600" t="n">
        <v>0</v>
      </c>
      <c r="I600" t="n">
        <v>0</v>
      </c>
      <c r="J600" t="n">
        <v>0</v>
      </c>
      <c r="K600" t="n">
        <v>0</v>
      </c>
      <c r="L600" t="n">
        <v>0</v>
      </c>
      <c r="M600" t="n">
        <v>0</v>
      </c>
      <c r="N600" t="n">
        <v>0</v>
      </c>
      <c r="O600" t="n">
        <v>0</v>
      </c>
      <c r="P600" t="n">
        <v>0</v>
      </c>
      <c r="Q600" t="n">
        <v>0</v>
      </c>
      <c r="R600" s="2" t="inlineStr"/>
    </row>
    <row r="601" ht="15" customHeight="1">
      <c r="A601" t="inlineStr">
        <is>
          <t>A 35210-2023</t>
        </is>
      </c>
      <c r="B601" s="1" t="n">
        <v>45145.63584490741</v>
      </c>
      <c r="C601" s="1" t="n">
        <v>45933</v>
      </c>
      <c r="D601" t="inlineStr">
        <is>
          <t>STOCKHOLMS LÄN</t>
        </is>
      </c>
      <c r="E601" t="inlineStr">
        <is>
          <t>NORRTÄLJE</t>
        </is>
      </c>
      <c r="G601" t="n">
        <v>1.2</v>
      </c>
      <c r="H601" t="n">
        <v>0</v>
      </c>
      <c r="I601" t="n">
        <v>0</v>
      </c>
      <c r="J601" t="n">
        <v>0</v>
      </c>
      <c r="K601" t="n">
        <v>0</v>
      </c>
      <c r="L601" t="n">
        <v>0</v>
      </c>
      <c r="M601" t="n">
        <v>0</v>
      </c>
      <c r="N601" t="n">
        <v>0</v>
      </c>
      <c r="O601" t="n">
        <v>0</v>
      </c>
      <c r="P601" t="n">
        <v>0</v>
      </c>
      <c r="Q601" t="n">
        <v>0</v>
      </c>
      <c r="R601" s="2" t="inlineStr"/>
    </row>
    <row r="602" ht="15" customHeight="1">
      <c r="A602" t="inlineStr">
        <is>
          <t>A 32103-2022</t>
        </is>
      </c>
      <c r="B602" s="1" t="n">
        <v>44778</v>
      </c>
      <c r="C602" s="1" t="n">
        <v>45933</v>
      </c>
      <c r="D602" t="inlineStr">
        <is>
          <t>STOCKHOLMS LÄN</t>
        </is>
      </c>
      <c r="E602" t="inlineStr">
        <is>
          <t>NORRTÄLJE</t>
        </is>
      </c>
      <c r="G602" t="n">
        <v>3.4</v>
      </c>
      <c r="H602" t="n">
        <v>0</v>
      </c>
      <c r="I602" t="n">
        <v>0</v>
      </c>
      <c r="J602" t="n">
        <v>0</v>
      </c>
      <c r="K602" t="n">
        <v>0</v>
      </c>
      <c r="L602" t="n">
        <v>0</v>
      </c>
      <c r="M602" t="n">
        <v>0</v>
      </c>
      <c r="N602" t="n">
        <v>0</v>
      </c>
      <c r="O602" t="n">
        <v>0</v>
      </c>
      <c r="P602" t="n">
        <v>0</v>
      </c>
      <c r="Q602" t="n">
        <v>0</v>
      </c>
      <c r="R602" s="2" t="inlineStr"/>
    </row>
    <row r="603" ht="15" customHeight="1">
      <c r="A603" t="inlineStr">
        <is>
          <t>A 55952-2024</t>
        </is>
      </c>
      <c r="B603" s="1" t="n">
        <v>45623.62563657408</v>
      </c>
      <c r="C603" s="1" t="n">
        <v>45933</v>
      </c>
      <c r="D603" t="inlineStr">
        <is>
          <t>STOCKHOLMS LÄN</t>
        </is>
      </c>
      <c r="E603" t="inlineStr">
        <is>
          <t>NORRTÄLJE</t>
        </is>
      </c>
      <c r="F603" t="inlineStr">
        <is>
          <t>Holmen skog AB</t>
        </is>
      </c>
      <c r="G603" t="n">
        <v>2.8</v>
      </c>
      <c r="H603" t="n">
        <v>0</v>
      </c>
      <c r="I603" t="n">
        <v>0</v>
      </c>
      <c r="J603" t="n">
        <v>0</v>
      </c>
      <c r="K603" t="n">
        <v>0</v>
      </c>
      <c r="L603" t="n">
        <v>0</v>
      </c>
      <c r="M603" t="n">
        <v>0</v>
      </c>
      <c r="N603" t="n">
        <v>0</v>
      </c>
      <c r="O603" t="n">
        <v>0</v>
      </c>
      <c r="P603" t="n">
        <v>0</v>
      </c>
      <c r="Q603" t="n">
        <v>0</v>
      </c>
      <c r="R603" s="2" t="inlineStr"/>
    </row>
    <row r="604" ht="15" customHeight="1">
      <c r="A604" t="inlineStr">
        <is>
          <t>A 23070-2023</t>
        </is>
      </c>
      <c r="B604" s="1" t="n">
        <v>45075</v>
      </c>
      <c r="C604" s="1" t="n">
        <v>45933</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40829-2025</t>
        </is>
      </c>
      <c r="B605" s="1" t="n">
        <v>45897.50802083333</v>
      </c>
      <c r="C605" s="1" t="n">
        <v>45933</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40831-2025</t>
        </is>
      </c>
      <c r="B606" s="1" t="n">
        <v>45897.51077546296</v>
      </c>
      <c r="C606" s="1" t="n">
        <v>45933</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40837-2025</t>
        </is>
      </c>
      <c r="B607" s="1" t="n">
        <v>45897.51328703704</v>
      </c>
      <c r="C607" s="1" t="n">
        <v>45933</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35479-2025</t>
        </is>
      </c>
      <c r="B608" s="1" t="n">
        <v>45855.69387731481</v>
      </c>
      <c r="C608" s="1" t="n">
        <v>45933</v>
      </c>
      <c r="D608" t="inlineStr">
        <is>
          <t>STOCKHOLMS LÄN</t>
        </is>
      </c>
      <c r="E608" t="inlineStr">
        <is>
          <t>NORRTÄLJE</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8792-2025</t>
        </is>
      </c>
      <c r="B609" s="1" t="n">
        <v>45712</v>
      </c>
      <c r="C609" s="1" t="n">
        <v>45933</v>
      </c>
      <c r="D609" t="inlineStr">
        <is>
          <t>STOCKHOLMS LÄN</t>
        </is>
      </c>
      <c r="E609" t="inlineStr">
        <is>
          <t>NORRTÄLJE</t>
        </is>
      </c>
      <c r="F609" t="inlineStr">
        <is>
          <t>Övriga Aktiebolag</t>
        </is>
      </c>
      <c r="G609" t="n">
        <v>6.6</v>
      </c>
      <c r="H609" t="n">
        <v>0</v>
      </c>
      <c r="I609" t="n">
        <v>0</v>
      </c>
      <c r="J609" t="n">
        <v>0</v>
      </c>
      <c r="K609" t="n">
        <v>0</v>
      </c>
      <c r="L609" t="n">
        <v>0</v>
      </c>
      <c r="M609" t="n">
        <v>0</v>
      </c>
      <c r="N609" t="n">
        <v>0</v>
      </c>
      <c r="O609" t="n">
        <v>0</v>
      </c>
      <c r="P609" t="n">
        <v>0</v>
      </c>
      <c r="Q609" t="n">
        <v>0</v>
      </c>
      <c r="R609" s="2" t="inlineStr"/>
    </row>
    <row r="610" ht="15" customHeight="1">
      <c r="A610" t="inlineStr">
        <is>
          <t>A 41174-2025</t>
        </is>
      </c>
      <c r="B610" s="1" t="n">
        <v>45898.54921296296</v>
      </c>
      <c r="C610" s="1" t="n">
        <v>45933</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41259-2025</t>
        </is>
      </c>
      <c r="B611" s="1" t="n">
        <v>45898.61054398148</v>
      </c>
      <c r="C611" s="1" t="n">
        <v>45933</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41275-2025</t>
        </is>
      </c>
      <c r="B612" s="1" t="n">
        <v>45898.62625</v>
      </c>
      <c r="C612" s="1" t="n">
        <v>45933</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7571-2024</t>
        </is>
      </c>
      <c r="B613" s="1" t="n">
        <v>45348.46300925926</v>
      </c>
      <c r="C613" s="1" t="n">
        <v>45933</v>
      </c>
      <c r="D613" t="inlineStr">
        <is>
          <t>STOCKHOLMS LÄN</t>
        </is>
      </c>
      <c r="E613" t="inlineStr">
        <is>
          <t>NORRTÄLJE</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6678-2025</t>
        </is>
      </c>
      <c r="B614" s="1" t="n">
        <v>45700</v>
      </c>
      <c r="C614" s="1" t="n">
        <v>45933</v>
      </c>
      <c r="D614" t="inlineStr">
        <is>
          <t>STOCKHOLMS LÄN</t>
        </is>
      </c>
      <c r="E614" t="inlineStr">
        <is>
          <t>NORRTÄLJE</t>
        </is>
      </c>
      <c r="F614" t="inlineStr">
        <is>
          <t>Övriga Aktiebolag</t>
        </is>
      </c>
      <c r="G614" t="n">
        <v>6.6</v>
      </c>
      <c r="H614" t="n">
        <v>0</v>
      </c>
      <c r="I614" t="n">
        <v>0</v>
      </c>
      <c r="J614" t="n">
        <v>0</v>
      </c>
      <c r="K614" t="n">
        <v>0</v>
      </c>
      <c r="L614" t="n">
        <v>0</v>
      </c>
      <c r="M614" t="n">
        <v>0</v>
      </c>
      <c r="N614" t="n">
        <v>0</v>
      </c>
      <c r="O614" t="n">
        <v>0</v>
      </c>
      <c r="P614" t="n">
        <v>0</v>
      </c>
      <c r="Q614" t="n">
        <v>0</v>
      </c>
      <c r="R614" s="2" t="inlineStr"/>
    </row>
    <row r="615" ht="15" customHeight="1">
      <c r="A615" t="inlineStr">
        <is>
          <t>A 41036-2025</t>
        </is>
      </c>
      <c r="B615" s="1" t="n">
        <v>45898.38552083333</v>
      </c>
      <c r="C615" s="1" t="n">
        <v>45933</v>
      </c>
      <c r="D615" t="inlineStr">
        <is>
          <t>STOCKHOLMS LÄN</t>
        </is>
      </c>
      <c r="E615" t="inlineStr">
        <is>
          <t>NORRTÄLJE</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41053-2025</t>
        </is>
      </c>
      <c r="B616" s="1" t="n">
        <v>45898.40480324074</v>
      </c>
      <c r="C616" s="1" t="n">
        <v>45933</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41106-2025</t>
        </is>
      </c>
      <c r="B617" s="1" t="n">
        <v>45898.45636574074</v>
      </c>
      <c r="C617" s="1" t="n">
        <v>45933</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35451-2025</t>
        </is>
      </c>
      <c r="B618" s="1" t="n">
        <v>45855.57033564815</v>
      </c>
      <c r="C618" s="1" t="n">
        <v>45933</v>
      </c>
      <c r="D618" t="inlineStr">
        <is>
          <t>STOCKHOLMS LÄN</t>
        </is>
      </c>
      <c r="E618" t="inlineStr">
        <is>
          <t>NORRTÄLJE</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35478-2025</t>
        </is>
      </c>
      <c r="B619" s="1" t="n">
        <v>45855.68413194444</v>
      </c>
      <c r="C619" s="1" t="n">
        <v>45933</v>
      </c>
      <c r="D619" t="inlineStr">
        <is>
          <t>STOCKHOLMS LÄN</t>
        </is>
      </c>
      <c r="E619" t="inlineStr">
        <is>
          <t>NORRTÄLJE</t>
        </is>
      </c>
      <c r="F619" t="inlineStr">
        <is>
          <t>Holmen skog AB</t>
        </is>
      </c>
      <c r="G619" t="n">
        <v>2.7</v>
      </c>
      <c r="H619" t="n">
        <v>0</v>
      </c>
      <c r="I619" t="n">
        <v>0</v>
      </c>
      <c r="J619" t="n">
        <v>0</v>
      </c>
      <c r="K619" t="n">
        <v>0</v>
      </c>
      <c r="L619" t="n">
        <v>0</v>
      </c>
      <c r="M619" t="n">
        <v>0</v>
      </c>
      <c r="N619" t="n">
        <v>0</v>
      </c>
      <c r="O619" t="n">
        <v>0</v>
      </c>
      <c r="P619" t="n">
        <v>0</v>
      </c>
      <c r="Q619" t="n">
        <v>0</v>
      </c>
      <c r="R619" s="2" t="inlineStr"/>
    </row>
    <row r="620" ht="15" customHeight="1">
      <c r="A620" t="inlineStr">
        <is>
          <t>A 36269-2022</t>
        </is>
      </c>
      <c r="B620" s="1" t="n">
        <v>44803</v>
      </c>
      <c r="C620" s="1" t="n">
        <v>45933</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41301-2025</t>
        </is>
      </c>
      <c r="B621" s="1" t="n">
        <v>45898.68826388889</v>
      </c>
      <c r="C621" s="1" t="n">
        <v>45933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17612-2022</t>
        </is>
      </c>
      <c r="B622" s="1" t="n">
        <v>44680</v>
      </c>
      <c r="C622" s="1" t="n">
        <v>45933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41110-2025</t>
        </is>
      </c>
      <c r="B623" s="1" t="n">
        <v>45898.45976851852</v>
      </c>
      <c r="C623" s="1" t="n">
        <v>45933</v>
      </c>
      <c r="D623" t="inlineStr">
        <is>
          <t>STOCKHOLMS LÄN</t>
        </is>
      </c>
      <c r="E623" t="inlineStr">
        <is>
          <t>NORRTÄLJE</t>
        </is>
      </c>
      <c r="F623" t="inlineStr">
        <is>
          <t>Holmen skog AB</t>
        </is>
      </c>
      <c r="G623" t="n">
        <v>6.7</v>
      </c>
      <c r="H623" t="n">
        <v>0</v>
      </c>
      <c r="I623" t="n">
        <v>0</v>
      </c>
      <c r="J623" t="n">
        <v>0</v>
      </c>
      <c r="K623" t="n">
        <v>0</v>
      </c>
      <c r="L623" t="n">
        <v>0</v>
      </c>
      <c r="M623" t="n">
        <v>0</v>
      </c>
      <c r="N623" t="n">
        <v>0</v>
      </c>
      <c r="O623" t="n">
        <v>0</v>
      </c>
      <c r="P623" t="n">
        <v>0</v>
      </c>
      <c r="Q623" t="n">
        <v>0</v>
      </c>
      <c r="R623" s="2" t="inlineStr"/>
    </row>
    <row r="624" ht="15" customHeight="1">
      <c r="A624" t="inlineStr">
        <is>
          <t>A 41030-2025</t>
        </is>
      </c>
      <c r="B624" s="1" t="n">
        <v>45898.37636574074</v>
      </c>
      <c r="C624" s="1" t="n">
        <v>45933</v>
      </c>
      <c r="D624" t="inlineStr">
        <is>
          <t>STOCKHOLMS LÄN</t>
        </is>
      </c>
      <c r="E624" t="inlineStr">
        <is>
          <t>NORRTÄLJE</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5665-2025</t>
        </is>
      </c>
      <c r="B625" s="1" t="n">
        <v>45693</v>
      </c>
      <c r="C625" s="1" t="n">
        <v>45933</v>
      </c>
      <c r="D625" t="inlineStr">
        <is>
          <t>STOCKHOLMS LÄN</t>
        </is>
      </c>
      <c r="E625" t="inlineStr">
        <is>
          <t>NORRTÄLJE</t>
        </is>
      </c>
      <c r="G625" t="n">
        <v>4</v>
      </c>
      <c r="H625" t="n">
        <v>0</v>
      </c>
      <c r="I625" t="n">
        <v>0</v>
      </c>
      <c r="J625" t="n">
        <v>0</v>
      </c>
      <c r="K625" t="n">
        <v>0</v>
      </c>
      <c r="L625" t="n">
        <v>0</v>
      </c>
      <c r="M625" t="n">
        <v>0</v>
      </c>
      <c r="N625" t="n">
        <v>0</v>
      </c>
      <c r="O625" t="n">
        <v>0</v>
      </c>
      <c r="P625" t="n">
        <v>0</v>
      </c>
      <c r="Q625" t="n">
        <v>0</v>
      </c>
      <c r="R625" s="2" t="inlineStr"/>
    </row>
    <row r="626" ht="15" customHeight="1">
      <c r="A626" t="inlineStr">
        <is>
          <t>A 41158-2025</t>
        </is>
      </c>
      <c r="B626" s="1" t="n">
        <v>45898.5315625</v>
      </c>
      <c r="C626" s="1" t="n">
        <v>45933</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12407-2025</t>
        </is>
      </c>
      <c r="B627" s="1" t="n">
        <v>45730.42851851852</v>
      </c>
      <c r="C627" s="1" t="n">
        <v>45933</v>
      </c>
      <c r="D627" t="inlineStr">
        <is>
          <t>STOCKHOLMS LÄN</t>
        </is>
      </c>
      <c r="E627" t="inlineStr">
        <is>
          <t>NORRTÄLJE</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41272-2025</t>
        </is>
      </c>
      <c r="B628" s="1" t="n">
        <v>45898.62373842593</v>
      </c>
      <c r="C628" s="1" t="n">
        <v>45933</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26636-2023</t>
        </is>
      </c>
      <c r="B629" s="1" t="n">
        <v>45092</v>
      </c>
      <c r="C629" s="1" t="n">
        <v>45933</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26637-2023</t>
        </is>
      </c>
      <c r="B630" s="1" t="n">
        <v>45092</v>
      </c>
      <c r="C630" s="1" t="n">
        <v>45933</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58297-2023</t>
        </is>
      </c>
      <c r="B631" s="1" t="n">
        <v>45245</v>
      </c>
      <c r="C631" s="1" t="n">
        <v>45933</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21726-2022</t>
        </is>
      </c>
      <c r="B632" s="1" t="n">
        <v>44708</v>
      </c>
      <c r="C632" s="1" t="n">
        <v>45933</v>
      </c>
      <c r="D632" t="inlineStr">
        <is>
          <t>STOCKHOLMS LÄN</t>
        </is>
      </c>
      <c r="E632" t="inlineStr">
        <is>
          <t>NORRTÄLJE</t>
        </is>
      </c>
      <c r="G632" t="n">
        <v>0.2</v>
      </c>
      <c r="H632" t="n">
        <v>0</v>
      </c>
      <c r="I632" t="n">
        <v>0</v>
      </c>
      <c r="J632" t="n">
        <v>0</v>
      </c>
      <c r="K632" t="n">
        <v>0</v>
      </c>
      <c r="L632" t="n">
        <v>0</v>
      </c>
      <c r="M632" t="n">
        <v>0</v>
      </c>
      <c r="N632" t="n">
        <v>0</v>
      </c>
      <c r="O632" t="n">
        <v>0</v>
      </c>
      <c r="P632" t="n">
        <v>0</v>
      </c>
      <c r="Q632" t="n">
        <v>0</v>
      </c>
      <c r="R632" s="2" t="inlineStr"/>
    </row>
    <row r="633" ht="15" customHeight="1">
      <c r="A633" t="inlineStr">
        <is>
          <t>A 21739-2022</t>
        </is>
      </c>
      <c r="B633" s="1" t="n">
        <v>44708.36708333333</v>
      </c>
      <c r="C633" s="1" t="n">
        <v>45933</v>
      </c>
      <c r="D633" t="inlineStr">
        <is>
          <t>STOCKHOLMS LÄN</t>
        </is>
      </c>
      <c r="E633" t="inlineStr">
        <is>
          <t>NORRTÄLJE</t>
        </is>
      </c>
      <c r="F633" t="inlineStr">
        <is>
          <t>Holmen skog AB</t>
        </is>
      </c>
      <c r="G633" t="n">
        <v>1.1</v>
      </c>
      <c r="H633" t="n">
        <v>0</v>
      </c>
      <c r="I633" t="n">
        <v>0</v>
      </c>
      <c r="J633" t="n">
        <v>0</v>
      </c>
      <c r="K633" t="n">
        <v>0</v>
      </c>
      <c r="L633" t="n">
        <v>0</v>
      </c>
      <c r="M633" t="n">
        <v>0</v>
      </c>
      <c r="N633" t="n">
        <v>0</v>
      </c>
      <c r="O633" t="n">
        <v>0</v>
      </c>
      <c r="P633" t="n">
        <v>0</v>
      </c>
      <c r="Q633" t="n">
        <v>0</v>
      </c>
      <c r="R633" s="2" t="inlineStr"/>
    </row>
    <row r="634" ht="15" customHeight="1">
      <c r="A634" t="inlineStr">
        <is>
          <t>A 23266-2023</t>
        </is>
      </c>
      <c r="B634" s="1" t="n">
        <v>45075.90817129629</v>
      </c>
      <c r="C634" s="1" t="n">
        <v>45933</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28182-2022</t>
        </is>
      </c>
      <c r="B635" s="1" t="n">
        <v>44746.58530092592</v>
      </c>
      <c r="C635" s="1" t="n">
        <v>45933</v>
      </c>
      <c r="D635" t="inlineStr">
        <is>
          <t>STOCKHOLMS LÄN</t>
        </is>
      </c>
      <c r="E635" t="inlineStr">
        <is>
          <t>NORRTÄLJE</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35161-2022</t>
        </is>
      </c>
      <c r="B636" s="1" t="n">
        <v>44797</v>
      </c>
      <c r="C636" s="1" t="n">
        <v>45933</v>
      </c>
      <c r="D636" t="inlineStr">
        <is>
          <t>STOCKHOLMS LÄN</t>
        </is>
      </c>
      <c r="E636" t="inlineStr">
        <is>
          <t>NORRTÄLJE</t>
        </is>
      </c>
      <c r="G636" t="n">
        <v>6</v>
      </c>
      <c r="H636" t="n">
        <v>0</v>
      </c>
      <c r="I636" t="n">
        <v>0</v>
      </c>
      <c r="J636" t="n">
        <v>0</v>
      </c>
      <c r="K636" t="n">
        <v>0</v>
      </c>
      <c r="L636" t="n">
        <v>0</v>
      </c>
      <c r="M636" t="n">
        <v>0</v>
      </c>
      <c r="N636" t="n">
        <v>0</v>
      </c>
      <c r="O636" t="n">
        <v>0</v>
      </c>
      <c r="P636" t="n">
        <v>0</v>
      </c>
      <c r="Q636" t="n">
        <v>0</v>
      </c>
      <c r="R636" s="2" t="inlineStr"/>
    </row>
    <row r="637" ht="15" customHeight="1">
      <c r="A637" t="inlineStr">
        <is>
          <t>A 22816-2021</t>
        </is>
      </c>
      <c r="B637" s="1" t="n">
        <v>44325</v>
      </c>
      <c r="C637" s="1" t="n">
        <v>45933</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3283-2025</t>
        </is>
      </c>
      <c r="B638" s="1" t="n">
        <v>45679</v>
      </c>
      <c r="C638" s="1" t="n">
        <v>45933</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18092-2022</t>
        </is>
      </c>
      <c r="B639" s="1" t="n">
        <v>44684</v>
      </c>
      <c r="C639" s="1" t="n">
        <v>45933</v>
      </c>
      <c r="D639" t="inlineStr">
        <is>
          <t>STOCKHOLMS LÄN</t>
        </is>
      </c>
      <c r="E639" t="inlineStr">
        <is>
          <t>NORRTÄLJE</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33295-2023</t>
        </is>
      </c>
      <c r="B640" s="1" t="n">
        <v>45127.69371527778</v>
      </c>
      <c r="C640" s="1" t="n">
        <v>45933</v>
      </c>
      <c r="D640" t="inlineStr">
        <is>
          <t>STOCKHOLMS LÄN</t>
        </is>
      </c>
      <c r="E640" t="inlineStr">
        <is>
          <t>NORRTÄLJE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7903-2021</t>
        </is>
      </c>
      <c r="B641" s="1" t="n">
        <v>44243.33587962963</v>
      </c>
      <c r="C641" s="1" t="n">
        <v>45933</v>
      </c>
      <c r="D641" t="inlineStr">
        <is>
          <t>STOCKHOLMS LÄN</t>
        </is>
      </c>
      <c r="E641" t="inlineStr">
        <is>
          <t>NORRTÄLJE</t>
        </is>
      </c>
      <c r="G641" t="n">
        <v>3.5</v>
      </c>
      <c r="H641" t="n">
        <v>0</v>
      </c>
      <c r="I641" t="n">
        <v>0</v>
      </c>
      <c r="J641" t="n">
        <v>0</v>
      </c>
      <c r="K641" t="n">
        <v>0</v>
      </c>
      <c r="L641" t="n">
        <v>0</v>
      </c>
      <c r="M641" t="n">
        <v>0</v>
      </c>
      <c r="N641" t="n">
        <v>0</v>
      </c>
      <c r="O641" t="n">
        <v>0</v>
      </c>
      <c r="P641" t="n">
        <v>0</v>
      </c>
      <c r="Q641" t="n">
        <v>0</v>
      </c>
      <c r="R641" s="2" t="inlineStr"/>
    </row>
    <row r="642" ht="15" customHeight="1">
      <c r="A642" t="inlineStr">
        <is>
          <t>A 58863-2024</t>
        </is>
      </c>
      <c r="B642" s="1" t="n">
        <v>45636.41572916666</v>
      </c>
      <c r="C642" s="1" t="n">
        <v>45933</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15447-2023</t>
        </is>
      </c>
      <c r="B643" s="1" t="n">
        <v>45020</v>
      </c>
      <c r="C643" s="1" t="n">
        <v>45933</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58404-2023</t>
        </is>
      </c>
      <c r="B644" s="1" t="n">
        <v>45245</v>
      </c>
      <c r="C644" s="1" t="n">
        <v>45933</v>
      </c>
      <c r="D644" t="inlineStr">
        <is>
          <t>STOCKHOLMS LÄN</t>
        </is>
      </c>
      <c r="E644" t="inlineStr">
        <is>
          <t>NORRTÄLJE</t>
        </is>
      </c>
      <c r="G644" t="n">
        <v>53.5</v>
      </c>
      <c r="H644" t="n">
        <v>0</v>
      </c>
      <c r="I644" t="n">
        <v>0</v>
      </c>
      <c r="J644" t="n">
        <v>0</v>
      </c>
      <c r="K644" t="n">
        <v>0</v>
      </c>
      <c r="L644" t="n">
        <v>0</v>
      </c>
      <c r="M644" t="n">
        <v>0</v>
      </c>
      <c r="N644" t="n">
        <v>0</v>
      </c>
      <c r="O644" t="n">
        <v>0</v>
      </c>
      <c r="P644" t="n">
        <v>0</v>
      </c>
      <c r="Q644" t="n">
        <v>0</v>
      </c>
      <c r="R644" s="2" t="inlineStr"/>
    </row>
    <row r="645" ht="15" customHeight="1">
      <c r="A645" t="inlineStr">
        <is>
          <t>A 34391-2023</t>
        </is>
      </c>
      <c r="B645" s="1" t="n">
        <v>45139.51457175926</v>
      </c>
      <c r="C645" s="1" t="n">
        <v>45933</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27885-2022</t>
        </is>
      </c>
      <c r="B646" s="1" t="n">
        <v>44743.67418981482</v>
      </c>
      <c r="C646" s="1" t="n">
        <v>45933</v>
      </c>
      <c r="D646" t="inlineStr">
        <is>
          <t>STOCKHOLMS LÄN</t>
        </is>
      </c>
      <c r="E646" t="inlineStr">
        <is>
          <t>NORRTÄLJE</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41964-2025</t>
        </is>
      </c>
      <c r="B647" s="1" t="n">
        <v>45903.47270833333</v>
      </c>
      <c r="C647" s="1" t="n">
        <v>45933</v>
      </c>
      <c r="D647" t="inlineStr">
        <is>
          <t>STOCKHOLMS LÄN</t>
        </is>
      </c>
      <c r="E647" t="inlineStr">
        <is>
          <t>NORRTÄLJE</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42038-2025</t>
        </is>
      </c>
      <c r="B648" s="1" t="n">
        <v>45903.61431712963</v>
      </c>
      <c r="C648" s="1" t="n">
        <v>45933</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53312-2024</t>
        </is>
      </c>
      <c r="B649" s="1" t="n">
        <v>45614.39627314815</v>
      </c>
      <c r="C649" s="1" t="n">
        <v>45933</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25525-2022</t>
        </is>
      </c>
      <c r="B650" s="1" t="n">
        <v>44732</v>
      </c>
      <c r="C650" s="1" t="n">
        <v>45933</v>
      </c>
      <c r="D650" t="inlineStr">
        <is>
          <t>STOCKHOLMS LÄN</t>
        </is>
      </c>
      <c r="E650" t="inlineStr">
        <is>
          <t>NORRTÄLJE</t>
        </is>
      </c>
      <c r="G650" t="n">
        <v>2.2</v>
      </c>
      <c r="H650" t="n">
        <v>0</v>
      </c>
      <c r="I650" t="n">
        <v>0</v>
      </c>
      <c r="J650" t="n">
        <v>0</v>
      </c>
      <c r="K650" t="n">
        <v>0</v>
      </c>
      <c r="L650" t="n">
        <v>0</v>
      </c>
      <c r="M650" t="n">
        <v>0</v>
      </c>
      <c r="N650" t="n">
        <v>0</v>
      </c>
      <c r="O650" t="n">
        <v>0</v>
      </c>
      <c r="P650" t="n">
        <v>0</v>
      </c>
      <c r="Q650" t="n">
        <v>0</v>
      </c>
      <c r="R650" s="2" t="inlineStr"/>
    </row>
    <row r="651" ht="15" customHeight="1">
      <c r="A651" t="inlineStr">
        <is>
          <t>A 41966-2025</t>
        </is>
      </c>
      <c r="B651" s="1" t="n">
        <v>45903.47456018518</v>
      </c>
      <c r="C651" s="1" t="n">
        <v>45933</v>
      </c>
      <c r="D651" t="inlineStr">
        <is>
          <t>STOCKHOLMS LÄN</t>
        </is>
      </c>
      <c r="E651" t="inlineStr">
        <is>
          <t>NORRTÄLJE</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48722-2023</t>
        </is>
      </c>
      <c r="B652" s="1" t="n">
        <v>45208.70996527778</v>
      </c>
      <c r="C652" s="1" t="n">
        <v>45933</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65499-2021</t>
        </is>
      </c>
      <c r="B653" s="1" t="n">
        <v>44516</v>
      </c>
      <c r="C653" s="1" t="n">
        <v>45933</v>
      </c>
      <c r="D653" t="inlineStr">
        <is>
          <t>STOCKHOLMS LÄN</t>
        </is>
      </c>
      <c r="E653" t="inlineStr">
        <is>
          <t>NORRTÄLJE</t>
        </is>
      </c>
      <c r="F653" t="inlineStr">
        <is>
          <t>Kommuner</t>
        </is>
      </c>
      <c r="G653" t="n">
        <v>5.2</v>
      </c>
      <c r="H653" t="n">
        <v>0</v>
      </c>
      <c r="I653" t="n">
        <v>0</v>
      </c>
      <c r="J653" t="n">
        <v>0</v>
      </c>
      <c r="K653" t="n">
        <v>0</v>
      </c>
      <c r="L653" t="n">
        <v>0</v>
      </c>
      <c r="M653" t="n">
        <v>0</v>
      </c>
      <c r="N653" t="n">
        <v>0</v>
      </c>
      <c r="O653" t="n">
        <v>0</v>
      </c>
      <c r="P653" t="n">
        <v>0</v>
      </c>
      <c r="Q653" t="n">
        <v>0</v>
      </c>
      <c r="R653" s="2" t="inlineStr"/>
    </row>
    <row r="654" ht="15" customHeight="1">
      <c r="A654" t="inlineStr">
        <is>
          <t>A 21158-2022</t>
        </is>
      </c>
      <c r="B654" s="1" t="n">
        <v>44704</v>
      </c>
      <c r="C654" s="1" t="n">
        <v>45933</v>
      </c>
      <c r="D654" t="inlineStr">
        <is>
          <t>STOCKHOLMS LÄN</t>
        </is>
      </c>
      <c r="E654" t="inlineStr">
        <is>
          <t>NORRTÄLJE</t>
        </is>
      </c>
      <c r="G654" t="n">
        <v>17.8</v>
      </c>
      <c r="H654" t="n">
        <v>0</v>
      </c>
      <c r="I654" t="n">
        <v>0</v>
      </c>
      <c r="J654" t="n">
        <v>0</v>
      </c>
      <c r="K654" t="n">
        <v>0</v>
      </c>
      <c r="L654" t="n">
        <v>0</v>
      </c>
      <c r="M654" t="n">
        <v>0</v>
      </c>
      <c r="N654" t="n">
        <v>0</v>
      </c>
      <c r="O654" t="n">
        <v>0</v>
      </c>
      <c r="P654" t="n">
        <v>0</v>
      </c>
      <c r="Q654" t="n">
        <v>0</v>
      </c>
      <c r="R654" s="2" t="inlineStr"/>
    </row>
    <row r="655" ht="15" customHeight="1">
      <c r="A655" t="inlineStr">
        <is>
          <t>A 15915-2023</t>
        </is>
      </c>
      <c r="B655" s="1" t="n">
        <v>45022</v>
      </c>
      <c r="C655" s="1" t="n">
        <v>45933</v>
      </c>
      <c r="D655" t="inlineStr">
        <is>
          <t>STOCKHOLMS LÄN</t>
        </is>
      </c>
      <c r="E655" t="inlineStr">
        <is>
          <t>NORRTÄLJE</t>
        </is>
      </c>
      <c r="G655" t="n">
        <v>2.9</v>
      </c>
      <c r="H655" t="n">
        <v>0</v>
      </c>
      <c r="I655" t="n">
        <v>0</v>
      </c>
      <c r="J655" t="n">
        <v>0</v>
      </c>
      <c r="K655" t="n">
        <v>0</v>
      </c>
      <c r="L655" t="n">
        <v>0</v>
      </c>
      <c r="M655" t="n">
        <v>0</v>
      </c>
      <c r="N655" t="n">
        <v>0</v>
      </c>
      <c r="O655" t="n">
        <v>0</v>
      </c>
      <c r="P655" t="n">
        <v>0</v>
      </c>
      <c r="Q655" t="n">
        <v>0</v>
      </c>
      <c r="R655" s="2" t="inlineStr"/>
    </row>
    <row r="656" ht="15" customHeight="1">
      <c r="A656" t="inlineStr">
        <is>
          <t>A 58993-2022</t>
        </is>
      </c>
      <c r="B656" s="1" t="n">
        <v>44903</v>
      </c>
      <c r="C656" s="1" t="n">
        <v>45933</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39905-2023</t>
        </is>
      </c>
      <c r="B657" s="1" t="n">
        <v>45168.44489583333</v>
      </c>
      <c r="C657" s="1" t="n">
        <v>45933</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33793-2022</t>
        </is>
      </c>
      <c r="B658" s="1" t="n">
        <v>44790</v>
      </c>
      <c r="C658" s="1" t="n">
        <v>45933</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67393-2020</t>
        </is>
      </c>
      <c r="B659" s="1" t="n">
        <v>44181</v>
      </c>
      <c r="C659" s="1" t="n">
        <v>45933</v>
      </c>
      <c r="D659" t="inlineStr">
        <is>
          <t>STOCKHOLMS LÄN</t>
        </is>
      </c>
      <c r="E659" t="inlineStr">
        <is>
          <t>NORRTÄLJE</t>
        </is>
      </c>
      <c r="G659" t="n">
        <v>5.5</v>
      </c>
      <c r="H659" t="n">
        <v>0</v>
      </c>
      <c r="I659" t="n">
        <v>0</v>
      </c>
      <c r="J659" t="n">
        <v>0</v>
      </c>
      <c r="K659" t="n">
        <v>0</v>
      </c>
      <c r="L659" t="n">
        <v>0</v>
      </c>
      <c r="M659" t="n">
        <v>0</v>
      </c>
      <c r="N659" t="n">
        <v>0</v>
      </c>
      <c r="O659" t="n">
        <v>0</v>
      </c>
      <c r="P659" t="n">
        <v>0</v>
      </c>
      <c r="Q659" t="n">
        <v>0</v>
      </c>
      <c r="R659" s="2" t="inlineStr"/>
    </row>
    <row r="660" ht="15" customHeight="1">
      <c r="A660" t="inlineStr">
        <is>
          <t>A 46415-2025</t>
        </is>
      </c>
      <c r="B660" s="1" t="n">
        <v>45925.58636574074</v>
      </c>
      <c r="C660" s="1" t="n">
        <v>45933</v>
      </c>
      <c r="D660" t="inlineStr">
        <is>
          <t>STOCKHOLMS LÄN</t>
        </is>
      </c>
      <c r="E660" t="inlineStr">
        <is>
          <t>NORRTÄLJE</t>
        </is>
      </c>
      <c r="G660" t="n">
        <v>3.8</v>
      </c>
      <c r="H660" t="n">
        <v>0</v>
      </c>
      <c r="I660" t="n">
        <v>0</v>
      </c>
      <c r="J660" t="n">
        <v>0</v>
      </c>
      <c r="K660" t="n">
        <v>0</v>
      </c>
      <c r="L660" t="n">
        <v>0</v>
      </c>
      <c r="M660" t="n">
        <v>0</v>
      </c>
      <c r="N660" t="n">
        <v>0</v>
      </c>
      <c r="O660" t="n">
        <v>0</v>
      </c>
      <c r="P660" t="n">
        <v>0</v>
      </c>
      <c r="Q660" t="n">
        <v>0</v>
      </c>
      <c r="R660" s="2" t="inlineStr"/>
    </row>
    <row r="661" ht="15" customHeight="1">
      <c r="A661" t="inlineStr">
        <is>
          <t>A 17304-2024</t>
        </is>
      </c>
      <c r="B661" s="1" t="n">
        <v>45414</v>
      </c>
      <c r="C661" s="1" t="n">
        <v>45933</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16852-2024</t>
        </is>
      </c>
      <c r="B662" s="1" t="n">
        <v>45411.54768518519</v>
      </c>
      <c r="C662" s="1" t="n">
        <v>45933</v>
      </c>
      <c r="D662" t="inlineStr">
        <is>
          <t>STOCKHOLMS LÄN</t>
        </is>
      </c>
      <c r="E662" t="inlineStr">
        <is>
          <t>NORRTÄLJE</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4326-2023</t>
        </is>
      </c>
      <c r="B663" s="1" t="n">
        <v>44953.70481481482</v>
      </c>
      <c r="C663" s="1" t="n">
        <v>45933</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23801-2022</t>
        </is>
      </c>
      <c r="B664" s="1" t="n">
        <v>44722</v>
      </c>
      <c r="C664" s="1" t="n">
        <v>45933</v>
      </c>
      <c r="D664" t="inlineStr">
        <is>
          <t>STOCKHOLMS LÄN</t>
        </is>
      </c>
      <c r="E664" t="inlineStr">
        <is>
          <t>NORRTÄLJE</t>
        </is>
      </c>
      <c r="G664" t="n">
        <v>6.8</v>
      </c>
      <c r="H664" t="n">
        <v>0</v>
      </c>
      <c r="I664" t="n">
        <v>0</v>
      </c>
      <c r="J664" t="n">
        <v>0</v>
      </c>
      <c r="K664" t="n">
        <v>0</v>
      </c>
      <c r="L664" t="n">
        <v>0</v>
      </c>
      <c r="M664" t="n">
        <v>0</v>
      </c>
      <c r="N664" t="n">
        <v>0</v>
      </c>
      <c r="O664" t="n">
        <v>0</v>
      </c>
      <c r="P664" t="n">
        <v>0</v>
      </c>
      <c r="Q664" t="n">
        <v>0</v>
      </c>
      <c r="R664" s="2" t="inlineStr"/>
    </row>
    <row r="665" ht="15" customHeight="1">
      <c r="A665" t="inlineStr">
        <is>
          <t>A 33385-2024</t>
        </is>
      </c>
      <c r="B665" s="1" t="n">
        <v>45519</v>
      </c>
      <c r="C665" s="1" t="n">
        <v>45933</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29714-2023</t>
        </is>
      </c>
      <c r="B666" s="1" t="n">
        <v>45107.42538194444</v>
      </c>
      <c r="C666" s="1" t="n">
        <v>45933</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30508-2023</t>
        </is>
      </c>
      <c r="B667" s="1" t="n">
        <v>45111</v>
      </c>
      <c r="C667" s="1" t="n">
        <v>45933</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20698-2025</t>
        </is>
      </c>
      <c r="B668" s="1" t="n">
        <v>45776.47122685185</v>
      </c>
      <c r="C668" s="1" t="n">
        <v>45933</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12031-2021</t>
        </is>
      </c>
      <c r="B669" s="1" t="n">
        <v>44266</v>
      </c>
      <c r="C669" s="1" t="n">
        <v>45933</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33353-2023</t>
        </is>
      </c>
      <c r="B670" s="1" t="n">
        <v>45128</v>
      </c>
      <c r="C670" s="1" t="n">
        <v>45933</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36396-2025</t>
        </is>
      </c>
      <c r="B671" s="1" t="n">
        <v>45868.62267361111</v>
      </c>
      <c r="C671" s="1" t="n">
        <v>45933</v>
      </c>
      <c r="D671" t="inlineStr">
        <is>
          <t>STOCKHOLMS LÄN</t>
        </is>
      </c>
      <c r="E671" t="inlineStr">
        <is>
          <t>NORRTÄLJE</t>
        </is>
      </c>
      <c r="G671" t="n">
        <v>4.1</v>
      </c>
      <c r="H671" t="n">
        <v>0</v>
      </c>
      <c r="I671" t="n">
        <v>0</v>
      </c>
      <c r="J671" t="n">
        <v>0</v>
      </c>
      <c r="K671" t="n">
        <v>0</v>
      </c>
      <c r="L671" t="n">
        <v>0</v>
      </c>
      <c r="M671" t="n">
        <v>0</v>
      </c>
      <c r="N671" t="n">
        <v>0</v>
      </c>
      <c r="O671" t="n">
        <v>0</v>
      </c>
      <c r="P671" t="n">
        <v>0</v>
      </c>
      <c r="Q671" t="n">
        <v>0</v>
      </c>
      <c r="R671" s="2" t="inlineStr"/>
    </row>
    <row r="672" ht="15" customHeight="1">
      <c r="A672" t="inlineStr">
        <is>
          <t>A 8296-2023</t>
        </is>
      </c>
      <c r="B672" s="1" t="n">
        <v>44974</v>
      </c>
      <c r="C672" s="1" t="n">
        <v>45933</v>
      </c>
      <c r="D672" t="inlineStr">
        <is>
          <t>STOCKHOLMS LÄN</t>
        </is>
      </c>
      <c r="E672" t="inlineStr">
        <is>
          <t>NORRTÄLJE</t>
        </is>
      </c>
      <c r="G672" t="n">
        <v>3.8</v>
      </c>
      <c r="H672" t="n">
        <v>0</v>
      </c>
      <c r="I672" t="n">
        <v>0</v>
      </c>
      <c r="J672" t="n">
        <v>0</v>
      </c>
      <c r="K672" t="n">
        <v>0</v>
      </c>
      <c r="L672" t="n">
        <v>0</v>
      </c>
      <c r="M672" t="n">
        <v>0</v>
      </c>
      <c r="N672" t="n">
        <v>0</v>
      </c>
      <c r="O672" t="n">
        <v>0</v>
      </c>
      <c r="P672" t="n">
        <v>0</v>
      </c>
      <c r="Q672" t="n">
        <v>0</v>
      </c>
      <c r="R672" s="2" t="inlineStr"/>
    </row>
    <row r="673" ht="15" customHeight="1">
      <c r="A673" t="inlineStr">
        <is>
          <t>A 43269-2025</t>
        </is>
      </c>
      <c r="B673" s="1" t="n">
        <v>45910.5819212963</v>
      </c>
      <c r="C673" s="1" t="n">
        <v>45933</v>
      </c>
      <c r="D673" t="inlineStr">
        <is>
          <t>STOCKHOLMS LÄN</t>
        </is>
      </c>
      <c r="E673" t="inlineStr">
        <is>
          <t>NORRTÄLJE</t>
        </is>
      </c>
      <c r="G673" t="n">
        <v>3.7</v>
      </c>
      <c r="H673" t="n">
        <v>0</v>
      </c>
      <c r="I673" t="n">
        <v>0</v>
      </c>
      <c r="J673" t="n">
        <v>0</v>
      </c>
      <c r="K673" t="n">
        <v>0</v>
      </c>
      <c r="L673" t="n">
        <v>0</v>
      </c>
      <c r="M673" t="n">
        <v>0</v>
      </c>
      <c r="N673" t="n">
        <v>0</v>
      </c>
      <c r="O673" t="n">
        <v>0</v>
      </c>
      <c r="P673" t="n">
        <v>0</v>
      </c>
      <c r="Q673" t="n">
        <v>0</v>
      </c>
      <c r="R673" s="2" t="inlineStr"/>
    </row>
    <row r="674" ht="15" customHeight="1">
      <c r="A674" t="inlineStr">
        <is>
          <t>A 22232-2024</t>
        </is>
      </c>
      <c r="B674" s="1" t="n">
        <v>45446.4287962963</v>
      </c>
      <c r="C674" s="1" t="n">
        <v>45933</v>
      </c>
      <c r="D674" t="inlineStr">
        <is>
          <t>STOCKHOLMS LÄN</t>
        </is>
      </c>
      <c r="E674" t="inlineStr">
        <is>
          <t>NORRTÄLJE</t>
        </is>
      </c>
      <c r="G674" t="n">
        <v>12.8</v>
      </c>
      <c r="H674" t="n">
        <v>0</v>
      </c>
      <c r="I674" t="n">
        <v>0</v>
      </c>
      <c r="J674" t="n">
        <v>0</v>
      </c>
      <c r="K674" t="n">
        <v>0</v>
      </c>
      <c r="L674" t="n">
        <v>0</v>
      </c>
      <c r="M674" t="n">
        <v>0</v>
      </c>
      <c r="N674" t="n">
        <v>0</v>
      </c>
      <c r="O674" t="n">
        <v>0</v>
      </c>
      <c r="P674" t="n">
        <v>0</v>
      </c>
      <c r="Q674" t="n">
        <v>0</v>
      </c>
      <c r="R674" s="2" t="inlineStr"/>
    </row>
    <row r="675" ht="15" customHeight="1">
      <c r="A675" t="inlineStr">
        <is>
          <t>A 34444-2024</t>
        </is>
      </c>
      <c r="B675" s="1" t="n">
        <v>45525</v>
      </c>
      <c r="C675" s="1" t="n">
        <v>45933</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42856-2025</t>
        </is>
      </c>
      <c r="B676" s="1" t="n">
        <v>45908</v>
      </c>
      <c r="C676" s="1" t="n">
        <v>45933</v>
      </c>
      <c r="D676" t="inlineStr">
        <is>
          <t>STOCKHOLMS LÄN</t>
        </is>
      </c>
      <c r="E676" t="inlineStr">
        <is>
          <t>NORRTÄLJE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43169-2025</t>
        </is>
      </c>
      <c r="B677" s="1" t="n">
        <v>45910</v>
      </c>
      <c r="C677" s="1" t="n">
        <v>45933</v>
      </c>
      <c r="D677" t="inlineStr">
        <is>
          <t>STOCKHOLMS LÄN</t>
        </is>
      </c>
      <c r="E677" t="inlineStr">
        <is>
          <t>NORRTÄLJE</t>
        </is>
      </c>
      <c r="G677" t="n">
        <v>6.9</v>
      </c>
      <c r="H677" t="n">
        <v>0</v>
      </c>
      <c r="I677" t="n">
        <v>0</v>
      </c>
      <c r="J677" t="n">
        <v>0</v>
      </c>
      <c r="K677" t="n">
        <v>0</v>
      </c>
      <c r="L677" t="n">
        <v>0</v>
      </c>
      <c r="M677" t="n">
        <v>0</v>
      </c>
      <c r="N677" t="n">
        <v>0</v>
      </c>
      <c r="O677" t="n">
        <v>0</v>
      </c>
      <c r="P677" t="n">
        <v>0</v>
      </c>
      <c r="Q677" t="n">
        <v>0</v>
      </c>
      <c r="R677" s="2" t="inlineStr"/>
    </row>
    <row r="678" ht="15" customHeight="1">
      <c r="A678" t="inlineStr">
        <is>
          <t>A 31236-2022</t>
        </is>
      </c>
      <c r="B678" s="1" t="n">
        <v>44771</v>
      </c>
      <c r="C678" s="1" t="n">
        <v>45933</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52593-2024</t>
        </is>
      </c>
      <c r="B679" s="1" t="n">
        <v>45609.70778935185</v>
      </c>
      <c r="C679" s="1" t="n">
        <v>45933</v>
      </c>
      <c r="D679" t="inlineStr">
        <is>
          <t>STOCKHOLMS LÄN</t>
        </is>
      </c>
      <c r="E679" t="inlineStr">
        <is>
          <t>NORRTÄLJE</t>
        </is>
      </c>
      <c r="F679" t="inlineStr">
        <is>
          <t>Holmen skog AB</t>
        </is>
      </c>
      <c r="G679" t="n">
        <v>2.4</v>
      </c>
      <c r="H679" t="n">
        <v>0</v>
      </c>
      <c r="I679" t="n">
        <v>0</v>
      </c>
      <c r="J679" t="n">
        <v>0</v>
      </c>
      <c r="K679" t="n">
        <v>0</v>
      </c>
      <c r="L679" t="n">
        <v>0</v>
      </c>
      <c r="M679" t="n">
        <v>0</v>
      </c>
      <c r="N679" t="n">
        <v>0</v>
      </c>
      <c r="O679" t="n">
        <v>0</v>
      </c>
      <c r="P679" t="n">
        <v>0</v>
      </c>
      <c r="Q679" t="n">
        <v>0</v>
      </c>
      <c r="R679" s="2" t="inlineStr"/>
    </row>
    <row r="680" ht="15" customHeight="1">
      <c r="A680" t="inlineStr">
        <is>
          <t>A 52617-2024</t>
        </is>
      </c>
      <c r="B680" s="1" t="n">
        <v>45609.85146990741</v>
      </c>
      <c r="C680" s="1" t="n">
        <v>45933</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27824-2022</t>
        </is>
      </c>
      <c r="B681" s="1" t="n">
        <v>44743.59331018518</v>
      </c>
      <c r="C681" s="1" t="n">
        <v>45933</v>
      </c>
      <c r="D681" t="inlineStr">
        <is>
          <t>STOCKHOLMS LÄN</t>
        </is>
      </c>
      <c r="E681" t="inlineStr">
        <is>
          <t>NORRTÄLJE</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35708-2022</t>
        </is>
      </c>
      <c r="B682" s="1" t="n">
        <v>44799.65013888889</v>
      </c>
      <c r="C682" s="1" t="n">
        <v>45933</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19058-2024</t>
        </is>
      </c>
      <c r="B683" s="1" t="n">
        <v>45427.89121527778</v>
      </c>
      <c r="C683" s="1" t="n">
        <v>45933</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47521-2024</t>
        </is>
      </c>
      <c r="B684" s="1" t="n">
        <v>45587.62565972222</v>
      </c>
      <c r="C684" s="1" t="n">
        <v>45933</v>
      </c>
      <c r="D684" t="inlineStr">
        <is>
          <t>STOCKHOLMS LÄN</t>
        </is>
      </c>
      <c r="E684" t="inlineStr">
        <is>
          <t>NORRTÄLJE</t>
        </is>
      </c>
      <c r="G684" t="n">
        <v>4.7</v>
      </c>
      <c r="H684" t="n">
        <v>0</v>
      </c>
      <c r="I684" t="n">
        <v>0</v>
      </c>
      <c r="J684" t="n">
        <v>0</v>
      </c>
      <c r="K684" t="n">
        <v>0</v>
      </c>
      <c r="L684" t="n">
        <v>0</v>
      </c>
      <c r="M684" t="n">
        <v>0</v>
      </c>
      <c r="N684" t="n">
        <v>0</v>
      </c>
      <c r="O684" t="n">
        <v>0</v>
      </c>
      <c r="P684" t="n">
        <v>0</v>
      </c>
      <c r="Q684" t="n">
        <v>0</v>
      </c>
      <c r="R684" s="2" t="inlineStr"/>
    </row>
    <row r="685" ht="15" customHeight="1">
      <c r="A685" t="inlineStr">
        <is>
          <t>A 3426-2025</t>
        </is>
      </c>
      <c r="B685" s="1" t="n">
        <v>45680.42665509259</v>
      </c>
      <c r="C685" s="1" t="n">
        <v>45933</v>
      </c>
      <c r="D685" t="inlineStr">
        <is>
          <t>STOCKHOLMS LÄN</t>
        </is>
      </c>
      <c r="E685" t="inlineStr">
        <is>
          <t>NORRTÄLJE</t>
        </is>
      </c>
      <c r="G685" t="n">
        <v>3.2</v>
      </c>
      <c r="H685" t="n">
        <v>0</v>
      </c>
      <c r="I685" t="n">
        <v>0</v>
      </c>
      <c r="J685" t="n">
        <v>0</v>
      </c>
      <c r="K685" t="n">
        <v>0</v>
      </c>
      <c r="L685" t="n">
        <v>0</v>
      </c>
      <c r="M685" t="n">
        <v>0</v>
      </c>
      <c r="N685" t="n">
        <v>0</v>
      </c>
      <c r="O685" t="n">
        <v>0</v>
      </c>
      <c r="P685" t="n">
        <v>0</v>
      </c>
      <c r="Q685" t="n">
        <v>0</v>
      </c>
      <c r="R685" s="2" t="inlineStr"/>
    </row>
    <row r="686" ht="15" customHeight="1">
      <c r="A686" t="inlineStr">
        <is>
          <t>A 9-2024</t>
        </is>
      </c>
      <c r="B686" s="1" t="n">
        <v>45293</v>
      </c>
      <c r="C686" s="1" t="n">
        <v>45933</v>
      </c>
      <c r="D686" t="inlineStr">
        <is>
          <t>STOCKHOLMS LÄN</t>
        </is>
      </c>
      <c r="E686" t="inlineStr">
        <is>
          <t>NORRTÄLJE</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51312-2023</t>
        </is>
      </c>
      <c r="B687" s="1" t="n">
        <v>45219.56697916667</v>
      </c>
      <c r="C687" s="1" t="n">
        <v>45933</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11849-2025</t>
        </is>
      </c>
      <c r="B688" s="1" t="n">
        <v>45728.38409722222</v>
      </c>
      <c r="C688" s="1" t="n">
        <v>45933</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50534-2024</t>
        </is>
      </c>
      <c r="B689" s="1" t="n">
        <v>45601.56726851852</v>
      </c>
      <c r="C689" s="1" t="n">
        <v>45933</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38610-2022</t>
        </is>
      </c>
      <c r="B690" s="1" t="n">
        <v>44813.59915509259</v>
      </c>
      <c r="C690" s="1" t="n">
        <v>45933</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22816-2021</t>
        </is>
      </c>
      <c r="B691" s="1" t="n">
        <v>44325</v>
      </c>
      <c r="C691" s="1" t="n">
        <v>45933</v>
      </c>
      <c r="D691" t="inlineStr">
        <is>
          <t>STOCKHOLMS LÄN</t>
        </is>
      </c>
      <c r="E691" t="inlineStr">
        <is>
          <t>NORRTÄLJE</t>
        </is>
      </c>
      <c r="G691" t="n">
        <v>4.5</v>
      </c>
      <c r="H691" t="n">
        <v>0</v>
      </c>
      <c r="I691" t="n">
        <v>0</v>
      </c>
      <c r="J691" t="n">
        <v>0</v>
      </c>
      <c r="K691" t="n">
        <v>0</v>
      </c>
      <c r="L691" t="n">
        <v>0</v>
      </c>
      <c r="M691" t="n">
        <v>0</v>
      </c>
      <c r="N691" t="n">
        <v>0</v>
      </c>
      <c r="O691" t="n">
        <v>0</v>
      </c>
      <c r="P691" t="n">
        <v>0</v>
      </c>
      <c r="Q691" t="n">
        <v>0</v>
      </c>
      <c r="R691" s="2" t="inlineStr"/>
    </row>
    <row r="692" ht="15" customHeight="1">
      <c r="A692" t="inlineStr">
        <is>
          <t>A 43916-2025</t>
        </is>
      </c>
      <c r="B692" s="1" t="n">
        <v>45914.78884259259</v>
      </c>
      <c r="C692" s="1" t="n">
        <v>45933</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22359-2025</t>
        </is>
      </c>
      <c r="B693" s="1" t="n">
        <v>45786</v>
      </c>
      <c r="C693" s="1" t="n">
        <v>45933</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42094-2023</t>
        </is>
      </c>
      <c r="B694" s="1" t="n">
        <v>45177.61498842593</v>
      </c>
      <c r="C694" s="1" t="n">
        <v>45933</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58530-2024</t>
        </is>
      </c>
      <c r="B695" s="1" t="n">
        <v>45635.44788194444</v>
      </c>
      <c r="C695" s="1" t="n">
        <v>45933</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44349-2025</t>
        </is>
      </c>
      <c r="B696" s="1" t="n">
        <v>45916.43929398148</v>
      </c>
      <c r="C696" s="1" t="n">
        <v>45933</v>
      </c>
      <c r="D696" t="inlineStr">
        <is>
          <t>STOCKHOLMS LÄN</t>
        </is>
      </c>
      <c r="E696" t="inlineStr">
        <is>
          <t>NORRTÄLJE</t>
        </is>
      </c>
      <c r="G696" t="n">
        <v>3.5</v>
      </c>
      <c r="H696" t="n">
        <v>0</v>
      </c>
      <c r="I696" t="n">
        <v>0</v>
      </c>
      <c r="J696" t="n">
        <v>0</v>
      </c>
      <c r="K696" t="n">
        <v>0</v>
      </c>
      <c r="L696" t="n">
        <v>0</v>
      </c>
      <c r="M696" t="n">
        <v>0</v>
      </c>
      <c r="N696" t="n">
        <v>0</v>
      </c>
      <c r="O696" t="n">
        <v>0</v>
      </c>
      <c r="P696" t="n">
        <v>0</v>
      </c>
      <c r="Q696" t="n">
        <v>0</v>
      </c>
      <c r="R696" s="2" t="inlineStr"/>
    </row>
    <row r="697" ht="15" customHeight="1">
      <c r="A697" t="inlineStr">
        <is>
          <t>A 30620-2022</t>
        </is>
      </c>
      <c r="B697" s="1" t="n">
        <v>44763.40914351852</v>
      </c>
      <c r="C697" s="1" t="n">
        <v>45933</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44333-2025</t>
        </is>
      </c>
      <c r="B698" s="1" t="n">
        <v>45916.42293981482</v>
      </c>
      <c r="C698" s="1" t="n">
        <v>45933</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57602-2024</t>
        </is>
      </c>
      <c r="B699" s="1" t="n">
        <v>45630.52866898148</v>
      </c>
      <c r="C699" s="1" t="n">
        <v>45933</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47497-2025</t>
        </is>
      </c>
      <c r="B700" s="1" t="n">
        <v>45930.80217592593</v>
      </c>
      <c r="C700" s="1" t="n">
        <v>45933</v>
      </c>
      <c r="D700" t="inlineStr">
        <is>
          <t>STOCKHOLMS LÄN</t>
        </is>
      </c>
      <c r="E700" t="inlineStr">
        <is>
          <t>NORRTÄLJE</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11854-2025</t>
        </is>
      </c>
      <c r="B701" s="1" t="n">
        <v>45728.38924768518</v>
      </c>
      <c r="C701" s="1" t="n">
        <v>45933</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1283-2025</t>
        </is>
      </c>
      <c r="B702" s="1" t="n">
        <v>45667.49878472222</v>
      </c>
      <c r="C702" s="1" t="n">
        <v>45933</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39149-2025</t>
        </is>
      </c>
      <c r="B703" s="1" t="n">
        <v>45888.60714120371</v>
      </c>
      <c r="C703" s="1" t="n">
        <v>45933</v>
      </c>
      <c r="D703" t="inlineStr">
        <is>
          <t>STOCKHOLMS LÄN</t>
        </is>
      </c>
      <c r="E703" t="inlineStr">
        <is>
          <t>NORRTÄLJE</t>
        </is>
      </c>
      <c r="G703" t="n">
        <v>3.5</v>
      </c>
      <c r="H703" t="n">
        <v>0</v>
      </c>
      <c r="I703" t="n">
        <v>0</v>
      </c>
      <c r="J703" t="n">
        <v>0</v>
      </c>
      <c r="K703" t="n">
        <v>0</v>
      </c>
      <c r="L703" t="n">
        <v>0</v>
      </c>
      <c r="M703" t="n">
        <v>0</v>
      </c>
      <c r="N703" t="n">
        <v>0</v>
      </c>
      <c r="O703" t="n">
        <v>0</v>
      </c>
      <c r="P703" t="n">
        <v>0</v>
      </c>
      <c r="Q703" t="n">
        <v>0</v>
      </c>
      <c r="R703" s="2" t="inlineStr"/>
    </row>
    <row r="704" ht="15" customHeight="1">
      <c r="A704" t="inlineStr">
        <is>
          <t>A 47498-2025</t>
        </is>
      </c>
      <c r="B704" s="1" t="n">
        <v>45930.8134375</v>
      </c>
      <c r="C704" s="1" t="n">
        <v>45933</v>
      </c>
      <c r="D704" t="inlineStr">
        <is>
          <t>STOCKHOLMS LÄN</t>
        </is>
      </c>
      <c r="E704" t="inlineStr">
        <is>
          <t>NORRTÄLJE</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44343-2025</t>
        </is>
      </c>
      <c r="B705" s="1" t="n">
        <v>45916.43378472222</v>
      </c>
      <c r="C705" s="1" t="n">
        <v>45933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38720-2025</t>
        </is>
      </c>
      <c r="B706" s="1" t="n">
        <v>45886</v>
      </c>
      <c r="C706" s="1" t="n">
        <v>45933</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44354-2025</t>
        </is>
      </c>
      <c r="B707" s="1" t="n">
        <v>45916.44655092592</v>
      </c>
      <c r="C707" s="1" t="n">
        <v>45933</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47460-2025</t>
        </is>
      </c>
      <c r="B708" s="1" t="n">
        <v>45930.66012731481</v>
      </c>
      <c r="C708" s="1" t="n">
        <v>45933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60217-2021</t>
        </is>
      </c>
      <c r="B709" s="1" t="n">
        <v>44495.5893287037</v>
      </c>
      <c r="C709" s="1" t="n">
        <v>45933</v>
      </c>
      <c r="D709" t="inlineStr">
        <is>
          <t>STOCKHOLMS LÄN</t>
        </is>
      </c>
      <c r="E709" t="inlineStr">
        <is>
          <t>NORRTÄLJE</t>
        </is>
      </c>
      <c r="G709" t="n">
        <v>4.3</v>
      </c>
      <c r="H709" t="n">
        <v>0</v>
      </c>
      <c r="I709" t="n">
        <v>0</v>
      </c>
      <c r="J709" t="n">
        <v>0</v>
      </c>
      <c r="K709" t="n">
        <v>0</v>
      </c>
      <c r="L709" t="n">
        <v>0</v>
      </c>
      <c r="M709" t="n">
        <v>0</v>
      </c>
      <c r="N709" t="n">
        <v>0</v>
      </c>
      <c r="O709" t="n">
        <v>0</v>
      </c>
      <c r="P709" t="n">
        <v>0</v>
      </c>
      <c r="Q709" t="n">
        <v>0</v>
      </c>
      <c r="R709" s="2" t="inlineStr"/>
    </row>
    <row r="710" ht="15" customHeight="1">
      <c r="A710" t="inlineStr">
        <is>
          <t>A 47496-2025</t>
        </is>
      </c>
      <c r="B710" s="1" t="n">
        <v>45930.79252314815</v>
      </c>
      <c r="C710" s="1" t="n">
        <v>45933</v>
      </c>
      <c r="D710" t="inlineStr">
        <is>
          <t>STOCKHOLMS LÄN</t>
        </is>
      </c>
      <c r="E710" t="inlineStr">
        <is>
          <t>NORRTÄLJE</t>
        </is>
      </c>
      <c r="F710" t="inlineStr">
        <is>
          <t>Holmen skog AB</t>
        </is>
      </c>
      <c r="G710" t="n">
        <v>0.9</v>
      </c>
      <c r="H710" t="n">
        <v>0</v>
      </c>
      <c r="I710" t="n">
        <v>0</v>
      </c>
      <c r="J710" t="n">
        <v>0</v>
      </c>
      <c r="K710" t="n">
        <v>0</v>
      </c>
      <c r="L710" t="n">
        <v>0</v>
      </c>
      <c r="M710" t="n">
        <v>0</v>
      </c>
      <c r="N710" t="n">
        <v>0</v>
      </c>
      <c r="O710" t="n">
        <v>0</v>
      </c>
      <c r="P710" t="n">
        <v>0</v>
      </c>
      <c r="Q710" t="n">
        <v>0</v>
      </c>
      <c r="R710" s="2" t="inlineStr"/>
    </row>
    <row r="711" ht="15" customHeight="1">
      <c r="A711" t="inlineStr">
        <is>
          <t>A 28900-2022</t>
        </is>
      </c>
      <c r="B711" s="1" t="n">
        <v>44749.55258101852</v>
      </c>
      <c r="C711" s="1" t="n">
        <v>45933</v>
      </c>
      <c r="D711" t="inlineStr">
        <is>
          <t>STOCKHOLMS LÄN</t>
        </is>
      </c>
      <c r="E711" t="inlineStr">
        <is>
          <t>NORRTÄLJE</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32514-2022</t>
        </is>
      </c>
      <c r="B712" s="1" t="n">
        <v>44782</v>
      </c>
      <c r="C712" s="1" t="n">
        <v>45933</v>
      </c>
      <c r="D712" t="inlineStr">
        <is>
          <t>STOCKHOLMS LÄN</t>
        </is>
      </c>
      <c r="E712" t="inlineStr">
        <is>
          <t>NORRTÄLJE</t>
        </is>
      </c>
      <c r="G712" t="n">
        <v>5.1</v>
      </c>
      <c r="H712" t="n">
        <v>0</v>
      </c>
      <c r="I712" t="n">
        <v>0</v>
      </c>
      <c r="J712" t="n">
        <v>0</v>
      </c>
      <c r="K712" t="n">
        <v>0</v>
      </c>
      <c r="L712" t="n">
        <v>0</v>
      </c>
      <c r="M712" t="n">
        <v>0</v>
      </c>
      <c r="N712" t="n">
        <v>0</v>
      </c>
      <c r="O712" t="n">
        <v>0</v>
      </c>
      <c r="P712" t="n">
        <v>0</v>
      </c>
      <c r="Q712" t="n">
        <v>0</v>
      </c>
      <c r="R712" s="2" t="inlineStr"/>
    </row>
    <row r="713" ht="15" customHeight="1">
      <c r="A713" t="inlineStr">
        <is>
          <t>A 44311-2025</t>
        </is>
      </c>
      <c r="B713" s="1" t="n">
        <v>45916.38394675926</v>
      </c>
      <c r="C713" s="1" t="n">
        <v>45933</v>
      </c>
      <c r="D713" t="inlineStr">
        <is>
          <t>STOCKHOLMS LÄN</t>
        </is>
      </c>
      <c r="E713" t="inlineStr">
        <is>
          <t>NORRTÄLJE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59468-2023</t>
        </is>
      </c>
      <c r="B714" s="1" t="n">
        <v>45254.41509259259</v>
      </c>
      <c r="C714" s="1" t="n">
        <v>45933</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39152-2025</t>
        </is>
      </c>
      <c r="B715" s="1" t="n">
        <v>45888</v>
      </c>
      <c r="C715" s="1" t="n">
        <v>45933</v>
      </c>
      <c r="D715" t="inlineStr">
        <is>
          <t>STOCKHOLMS LÄN</t>
        </is>
      </c>
      <c r="E715" t="inlineStr">
        <is>
          <t>NORRTÄLJE</t>
        </is>
      </c>
      <c r="G715" t="n">
        <v>4.6</v>
      </c>
      <c r="H715" t="n">
        <v>0</v>
      </c>
      <c r="I715" t="n">
        <v>0</v>
      </c>
      <c r="J715" t="n">
        <v>0</v>
      </c>
      <c r="K715" t="n">
        <v>0</v>
      </c>
      <c r="L715" t="n">
        <v>0</v>
      </c>
      <c r="M715" t="n">
        <v>0</v>
      </c>
      <c r="N715" t="n">
        <v>0</v>
      </c>
      <c r="O715" t="n">
        <v>0</v>
      </c>
      <c r="P715" t="n">
        <v>0</v>
      </c>
      <c r="Q715" t="n">
        <v>0</v>
      </c>
      <c r="R715" s="2" t="inlineStr"/>
    </row>
    <row r="716" ht="15" customHeight="1">
      <c r="A716" t="inlineStr">
        <is>
          <t>A 18846-2022</t>
        </is>
      </c>
      <c r="B716" s="1" t="n">
        <v>44690</v>
      </c>
      <c r="C716" s="1" t="n">
        <v>45933</v>
      </c>
      <c r="D716" t="inlineStr">
        <is>
          <t>STOCKHOLMS LÄN</t>
        </is>
      </c>
      <c r="E716" t="inlineStr">
        <is>
          <t>NORRTÄLJE</t>
        </is>
      </c>
      <c r="G716" t="n">
        <v>7</v>
      </c>
      <c r="H716" t="n">
        <v>0</v>
      </c>
      <c r="I716" t="n">
        <v>0</v>
      </c>
      <c r="J716" t="n">
        <v>0</v>
      </c>
      <c r="K716" t="n">
        <v>0</v>
      </c>
      <c r="L716" t="n">
        <v>0</v>
      </c>
      <c r="M716" t="n">
        <v>0</v>
      </c>
      <c r="N716" t="n">
        <v>0</v>
      </c>
      <c r="O716" t="n">
        <v>0</v>
      </c>
      <c r="P716" t="n">
        <v>0</v>
      </c>
      <c r="Q716" t="n">
        <v>0</v>
      </c>
      <c r="R716" s="2" t="inlineStr"/>
    </row>
    <row r="717" ht="15" customHeight="1">
      <c r="A717" t="inlineStr">
        <is>
          <t>A 23125-2022</t>
        </is>
      </c>
      <c r="B717" s="1" t="n">
        <v>44719</v>
      </c>
      <c r="C717" s="1" t="n">
        <v>45933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46900-2025</t>
        </is>
      </c>
      <c r="B718" s="1" t="n">
        <v>45929.38712962963</v>
      </c>
      <c r="C718" s="1" t="n">
        <v>45933</v>
      </c>
      <c r="D718" t="inlineStr">
        <is>
          <t>STOCKHOLMS LÄN</t>
        </is>
      </c>
      <c r="E718" t="inlineStr">
        <is>
          <t>NORRTÄLJE</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44306-2025</t>
        </is>
      </c>
      <c r="B719" s="1" t="n">
        <v>45916.37736111111</v>
      </c>
      <c r="C719" s="1" t="n">
        <v>45933</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9329-2023</t>
        </is>
      </c>
      <c r="B720" s="1" t="n">
        <v>44980</v>
      </c>
      <c r="C720" s="1" t="n">
        <v>45933</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6855-2025</t>
        </is>
      </c>
      <c r="B721" s="1" t="n">
        <v>45700</v>
      </c>
      <c r="C721" s="1" t="n">
        <v>45933</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44937-2025</t>
        </is>
      </c>
      <c r="B722" s="1" t="n">
        <v>45918.58224537037</v>
      </c>
      <c r="C722" s="1" t="n">
        <v>45933</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14873-2025</t>
        </is>
      </c>
      <c r="B723" s="1" t="n">
        <v>45743.44953703704</v>
      </c>
      <c r="C723" s="1" t="n">
        <v>45933</v>
      </c>
      <c r="D723" t="inlineStr">
        <is>
          <t>STOCKHOLMS LÄN</t>
        </is>
      </c>
      <c r="E723" t="inlineStr">
        <is>
          <t>NORRTÄLJE</t>
        </is>
      </c>
      <c r="G723" t="n">
        <v>10.2</v>
      </c>
      <c r="H723" t="n">
        <v>0</v>
      </c>
      <c r="I723" t="n">
        <v>0</v>
      </c>
      <c r="J723" t="n">
        <v>0</v>
      </c>
      <c r="K723" t="n">
        <v>0</v>
      </c>
      <c r="L723" t="n">
        <v>0</v>
      </c>
      <c r="M723" t="n">
        <v>0</v>
      </c>
      <c r="N723" t="n">
        <v>0</v>
      </c>
      <c r="O723" t="n">
        <v>0</v>
      </c>
      <c r="P723" t="n">
        <v>0</v>
      </c>
      <c r="Q723" t="n">
        <v>0</v>
      </c>
      <c r="R723" s="2" t="inlineStr"/>
    </row>
    <row r="724" ht="15" customHeight="1">
      <c r="A724" t="inlineStr">
        <is>
          <t>A 12535-2025</t>
        </is>
      </c>
      <c r="B724" s="1" t="n">
        <v>45730.69502314815</v>
      </c>
      <c r="C724" s="1" t="n">
        <v>45933</v>
      </c>
      <c r="D724" t="inlineStr">
        <is>
          <t>STOCKHOLMS LÄN</t>
        </is>
      </c>
      <c r="E724" t="inlineStr">
        <is>
          <t>NORRTÄLJE</t>
        </is>
      </c>
      <c r="G724" t="n">
        <v>7.1</v>
      </c>
      <c r="H724" t="n">
        <v>0</v>
      </c>
      <c r="I724" t="n">
        <v>0</v>
      </c>
      <c r="J724" t="n">
        <v>0</v>
      </c>
      <c r="K724" t="n">
        <v>0</v>
      </c>
      <c r="L724" t="n">
        <v>0</v>
      </c>
      <c r="M724" t="n">
        <v>0</v>
      </c>
      <c r="N724" t="n">
        <v>0</v>
      </c>
      <c r="O724" t="n">
        <v>0</v>
      </c>
      <c r="P724" t="n">
        <v>0</v>
      </c>
      <c r="Q724" t="n">
        <v>0</v>
      </c>
      <c r="R724" s="2" t="inlineStr"/>
    </row>
    <row r="725" ht="15" customHeight="1">
      <c r="A725" t="inlineStr">
        <is>
          <t>A 8135-2025</t>
        </is>
      </c>
      <c r="B725" s="1" t="n">
        <v>45707.84997685185</v>
      </c>
      <c r="C725" s="1" t="n">
        <v>45933</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31936-2022</t>
        </is>
      </c>
      <c r="B726" s="1" t="n">
        <v>44777</v>
      </c>
      <c r="C726" s="1" t="n">
        <v>45933</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24887-2023</t>
        </is>
      </c>
      <c r="B727" s="1" t="n">
        <v>45085</v>
      </c>
      <c r="C727" s="1" t="n">
        <v>45933</v>
      </c>
      <c r="D727" t="inlineStr">
        <is>
          <t>STOCKHOLMS LÄN</t>
        </is>
      </c>
      <c r="E727" t="inlineStr">
        <is>
          <t>NORRTÄLJE</t>
        </is>
      </c>
      <c r="G727" t="n">
        <v>13.9</v>
      </c>
      <c r="H727" t="n">
        <v>0</v>
      </c>
      <c r="I727" t="n">
        <v>0</v>
      </c>
      <c r="J727" t="n">
        <v>0</v>
      </c>
      <c r="K727" t="n">
        <v>0</v>
      </c>
      <c r="L727" t="n">
        <v>0</v>
      </c>
      <c r="M727" t="n">
        <v>0</v>
      </c>
      <c r="N727" t="n">
        <v>0</v>
      </c>
      <c r="O727" t="n">
        <v>0</v>
      </c>
      <c r="P727" t="n">
        <v>0</v>
      </c>
      <c r="Q727" t="n">
        <v>0</v>
      </c>
      <c r="R727" s="2" t="inlineStr"/>
    </row>
    <row r="728" ht="15" customHeight="1">
      <c r="A728" t="inlineStr">
        <is>
          <t>A 56428-2023</t>
        </is>
      </c>
      <c r="B728" s="1" t="n">
        <v>45243.45289351852</v>
      </c>
      <c r="C728" s="1" t="n">
        <v>45933</v>
      </c>
      <c r="D728" t="inlineStr">
        <is>
          <t>STOCKHOLMS LÄN</t>
        </is>
      </c>
      <c r="E728" t="inlineStr">
        <is>
          <t>NORRTÄLJE</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574-2023</t>
        </is>
      </c>
      <c r="B729" s="1" t="n">
        <v>44925</v>
      </c>
      <c r="C729" s="1" t="n">
        <v>45933</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37261-2025</t>
        </is>
      </c>
      <c r="B730" s="1" t="n">
        <v>45876.45253472222</v>
      </c>
      <c r="C730" s="1" t="n">
        <v>45933</v>
      </c>
      <c r="D730" t="inlineStr">
        <is>
          <t>STOCKHOLMS LÄN</t>
        </is>
      </c>
      <c r="E730" t="inlineStr">
        <is>
          <t>NORRTÄLJE</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30338-2022</t>
        </is>
      </c>
      <c r="B731" s="1" t="n">
        <v>44760</v>
      </c>
      <c r="C731" s="1" t="n">
        <v>45933</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20692-2025</t>
        </is>
      </c>
      <c r="B732" s="1" t="n">
        <v>45776.46369212963</v>
      </c>
      <c r="C732" s="1" t="n">
        <v>45933</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18541-2023</t>
        </is>
      </c>
      <c r="B733" s="1" t="n">
        <v>45042.74291666667</v>
      </c>
      <c r="C733" s="1" t="n">
        <v>45933</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35636-2025</t>
        </is>
      </c>
      <c r="B734" s="1" t="n">
        <v>45859</v>
      </c>
      <c r="C734" s="1" t="n">
        <v>45933</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35639-2025</t>
        </is>
      </c>
      <c r="B735" s="1" t="n">
        <v>45859</v>
      </c>
      <c r="C735" s="1" t="n">
        <v>45933</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32857-2021</t>
        </is>
      </c>
      <c r="B736" s="1" t="n">
        <v>44375</v>
      </c>
      <c r="C736" s="1" t="n">
        <v>45933</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51325-2023</t>
        </is>
      </c>
      <c r="B737" s="1" t="n">
        <v>45219</v>
      </c>
      <c r="C737" s="1" t="n">
        <v>45933</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21729-2024</t>
        </is>
      </c>
      <c r="B738" s="1" t="n">
        <v>45442</v>
      </c>
      <c r="C738" s="1" t="n">
        <v>45933</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46071-2024</t>
        </is>
      </c>
      <c r="B739" s="1" t="n">
        <v>45581</v>
      </c>
      <c r="C739" s="1" t="n">
        <v>45933</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21894-2023</t>
        </is>
      </c>
      <c r="B740" s="1" t="n">
        <v>45068.51783564815</v>
      </c>
      <c r="C740" s="1" t="n">
        <v>45933</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39692-2025</t>
        </is>
      </c>
      <c r="B741" s="1" t="n">
        <v>45890.68083333333</v>
      </c>
      <c r="C741" s="1" t="n">
        <v>45933</v>
      </c>
      <c r="D741" t="inlineStr">
        <is>
          <t>STOCKHOLMS LÄN</t>
        </is>
      </c>
      <c r="E741" t="inlineStr">
        <is>
          <t>NORRTÄLJE</t>
        </is>
      </c>
      <c r="G741" t="n">
        <v>10.5</v>
      </c>
      <c r="H741" t="n">
        <v>0</v>
      </c>
      <c r="I741" t="n">
        <v>0</v>
      </c>
      <c r="J741" t="n">
        <v>0</v>
      </c>
      <c r="K741" t="n">
        <v>0</v>
      </c>
      <c r="L741" t="n">
        <v>0</v>
      </c>
      <c r="M741" t="n">
        <v>0</v>
      </c>
      <c r="N741" t="n">
        <v>0</v>
      </c>
      <c r="O741" t="n">
        <v>0</v>
      </c>
      <c r="P741" t="n">
        <v>0</v>
      </c>
      <c r="Q741" t="n">
        <v>0</v>
      </c>
      <c r="R741" s="2" t="inlineStr"/>
    </row>
    <row r="742" ht="15" customHeight="1">
      <c r="A742" t="inlineStr">
        <is>
          <t>A 47951-2025</t>
        </is>
      </c>
      <c r="B742" s="1" t="n">
        <v>45932.58491898148</v>
      </c>
      <c r="C742" s="1" t="n">
        <v>45933</v>
      </c>
      <c r="D742" t="inlineStr">
        <is>
          <t>STOCKHOLMS LÄN</t>
        </is>
      </c>
      <c r="E742" t="inlineStr">
        <is>
          <t>NORRTÄLJE</t>
        </is>
      </c>
      <c r="G742" t="n">
        <v>21.4</v>
      </c>
      <c r="H742" t="n">
        <v>0</v>
      </c>
      <c r="I742" t="n">
        <v>0</v>
      </c>
      <c r="J742" t="n">
        <v>0</v>
      </c>
      <c r="K742" t="n">
        <v>0</v>
      </c>
      <c r="L742" t="n">
        <v>0</v>
      </c>
      <c r="M742" t="n">
        <v>0</v>
      </c>
      <c r="N742" t="n">
        <v>0</v>
      </c>
      <c r="O742" t="n">
        <v>0</v>
      </c>
      <c r="P742" t="n">
        <v>0</v>
      </c>
      <c r="Q742" t="n">
        <v>0</v>
      </c>
      <c r="R742" s="2" t="inlineStr"/>
    </row>
    <row r="743" ht="15" customHeight="1">
      <c r="A743" t="inlineStr">
        <is>
          <t>A 24835-2025</t>
        </is>
      </c>
      <c r="B743" s="1" t="n">
        <v>45799</v>
      </c>
      <c r="C743" s="1" t="n">
        <v>45933</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50738-2020</t>
        </is>
      </c>
      <c r="B744" s="1" t="n">
        <v>44111.44373842593</v>
      </c>
      <c r="C744" s="1" t="n">
        <v>45933</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29369-2024</t>
        </is>
      </c>
      <c r="B745" s="1" t="n">
        <v>45483.57244212963</v>
      </c>
      <c r="C745" s="1" t="n">
        <v>45933</v>
      </c>
      <c r="D745" t="inlineStr">
        <is>
          <t>STOCKHOLMS LÄN</t>
        </is>
      </c>
      <c r="E745" t="inlineStr">
        <is>
          <t>NORRTÄLJE</t>
        </is>
      </c>
      <c r="G745" t="n">
        <v>15.9</v>
      </c>
      <c r="H745" t="n">
        <v>0</v>
      </c>
      <c r="I745" t="n">
        <v>0</v>
      </c>
      <c r="J745" t="n">
        <v>0</v>
      </c>
      <c r="K745" t="n">
        <v>0</v>
      </c>
      <c r="L745" t="n">
        <v>0</v>
      </c>
      <c r="M745" t="n">
        <v>0</v>
      </c>
      <c r="N745" t="n">
        <v>0</v>
      </c>
      <c r="O745" t="n">
        <v>0</v>
      </c>
      <c r="P745" t="n">
        <v>0</v>
      </c>
      <c r="Q745" t="n">
        <v>0</v>
      </c>
      <c r="R745" s="2" t="inlineStr"/>
    </row>
    <row r="746" ht="15" customHeight="1">
      <c r="A746" t="inlineStr">
        <is>
          <t>A 37630-2025</t>
        </is>
      </c>
      <c r="B746" s="1" t="n">
        <v>45880.46372685185</v>
      </c>
      <c r="C746" s="1" t="n">
        <v>45933</v>
      </c>
      <c r="D746" t="inlineStr">
        <is>
          <t>STOCKHOLMS LÄN</t>
        </is>
      </c>
      <c r="E746" t="inlineStr">
        <is>
          <t>NORRTÄLJE</t>
        </is>
      </c>
      <c r="F746" t="inlineStr">
        <is>
          <t>Sveaskog</t>
        </is>
      </c>
      <c r="G746" t="n">
        <v>12.9</v>
      </c>
      <c r="H746" t="n">
        <v>0</v>
      </c>
      <c r="I746" t="n">
        <v>0</v>
      </c>
      <c r="J746" t="n">
        <v>0</v>
      </c>
      <c r="K746" t="n">
        <v>0</v>
      </c>
      <c r="L746" t="n">
        <v>0</v>
      </c>
      <c r="M746" t="n">
        <v>0</v>
      </c>
      <c r="N746" t="n">
        <v>0</v>
      </c>
      <c r="O746" t="n">
        <v>0</v>
      </c>
      <c r="P746" t="n">
        <v>0</v>
      </c>
      <c r="Q746" t="n">
        <v>0</v>
      </c>
      <c r="R746" s="2" t="inlineStr"/>
    </row>
    <row r="747" ht="15" customHeight="1">
      <c r="A747" t="inlineStr">
        <is>
          <t>A 27677-2025</t>
        </is>
      </c>
      <c r="B747" s="1" t="n">
        <v>45813.63650462963</v>
      </c>
      <c r="C747" s="1" t="n">
        <v>45933</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37632-2025</t>
        </is>
      </c>
      <c r="B748" s="1" t="n">
        <v>45880.46524305556</v>
      </c>
      <c r="C748" s="1" t="n">
        <v>45933</v>
      </c>
      <c r="D748" t="inlineStr">
        <is>
          <t>STOCKHOLMS LÄN</t>
        </is>
      </c>
      <c r="E748" t="inlineStr">
        <is>
          <t>NORRTÄLJE</t>
        </is>
      </c>
      <c r="F748" t="inlineStr">
        <is>
          <t>Sveaskog</t>
        </is>
      </c>
      <c r="G748" t="n">
        <v>6.4</v>
      </c>
      <c r="H748" t="n">
        <v>0</v>
      </c>
      <c r="I748" t="n">
        <v>0</v>
      </c>
      <c r="J748" t="n">
        <v>0</v>
      </c>
      <c r="K748" t="n">
        <v>0</v>
      </c>
      <c r="L748" t="n">
        <v>0</v>
      </c>
      <c r="M748" t="n">
        <v>0</v>
      </c>
      <c r="N748" t="n">
        <v>0</v>
      </c>
      <c r="O748" t="n">
        <v>0</v>
      </c>
      <c r="P748" t="n">
        <v>0</v>
      </c>
      <c r="Q748" t="n">
        <v>0</v>
      </c>
      <c r="R748" s="2" t="inlineStr"/>
    </row>
    <row r="749" ht="15" customHeight="1">
      <c r="A749" t="inlineStr">
        <is>
          <t>A 29841-2024</t>
        </is>
      </c>
      <c r="B749" s="1" t="n">
        <v>45485.60261574074</v>
      </c>
      <c r="C749" s="1" t="n">
        <v>45933</v>
      </c>
      <c r="D749" t="inlineStr">
        <is>
          <t>STOCKHOLMS LÄN</t>
        </is>
      </c>
      <c r="E749" t="inlineStr">
        <is>
          <t>NORRTÄLJE</t>
        </is>
      </c>
      <c r="G749" t="n">
        <v>15.9</v>
      </c>
      <c r="H749" t="n">
        <v>0</v>
      </c>
      <c r="I749" t="n">
        <v>0</v>
      </c>
      <c r="J749" t="n">
        <v>0</v>
      </c>
      <c r="K749" t="n">
        <v>0</v>
      </c>
      <c r="L749" t="n">
        <v>0</v>
      </c>
      <c r="M749" t="n">
        <v>0</v>
      </c>
      <c r="N749" t="n">
        <v>0</v>
      </c>
      <c r="O749" t="n">
        <v>0</v>
      </c>
      <c r="P749" t="n">
        <v>0</v>
      </c>
      <c r="Q749" t="n">
        <v>0</v>
      </c>
      <c r="R749" s="2" t="inlineStr"/>
    </row>
    <row r="750" ht="15" customHeight="1">
      <c r="A750" t="inlineStr">
        <is>
          <t>A 21732-2023</t>
        </is>
      </c>
      <c r="B750" s="1" t="n">
        <v>45063</v>
      </c>
      <c r="C750" s="1" t="n">
        <v>45933</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37010-2022</t>
        </is>
      </c>
      <c r="B751" s="1" t="n">
        <v>44806.41576388889</v>
      </c>
      <c r="C751" s="1" t="n">
        <v>45933</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37628-2025</t>
        </is>
      </c>
      <c r="B752" s="1" t="n">
        <v>45880.46189814815</v>
      </c>
      <c r="C752" s="1" t="n">
        <v>45933</v>
      </c>
      <c r="D752" t="inlineStr">
        <is>
          <t>STOCKHOLMS LÄN</t>
        </is>
      </c>
      <c r="E752" t="inlineStr">
        <is>
          <t>NORRTÄLJE</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7806-2025</t>
        </is>
      </c>
      <c r="B753" s="1" t="n">
        <v>45706.61178240741</v>
      </c>
      <c r="C753" s="1" t="n">
        <v>45933</v>
      </c>
      <c r="D753" t="inlineStr">
        <is>
          <t>STOCKHOLMS LÄN</t>
        </is>
      </c>
      <c r="E753" t="inlineStr">
        <is>
          <t>NORRTÄLJE</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32705-2022</t>
        </is>
      </c>
      <c r="B754" s="1" t="n">
        <v>44783</v>
      </c>
      <c r="C754" s="1" t="n">
        <v>45933</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37444-2021</t>
        </is>
      </c>
      <c r="B755" s="1" t="n">
        <v>44398</v>
      </c>
      <c r="C755" s="1" t="n">
        <v>45933</v>
      </c>
      <c r="D755" t="inlineStr">
        <is>
          <t>STOCKHOLMS LÄN</t>
        </is>
      </c>
      <c r="E755" t="inlineStr">
        <is>
          <t>NORRTÄLJE</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33149-2022</t>
        </is>
      </c>
      <c r="B756" s="1" t="n">
        <v>44785</v>
      </c>
      <c r="C756" s="1" t="n">
        <v>45933</v>
      </c>
      <c r="D756" t="inlineStr">
        <is>
          <t>STOCKHOLMS LÄN</t>
        </is>
      </c>
      <c r="E756" t="inlineStr">
        <is>
          <t>NORRTÄLJE</t>
        </is>
      </c>
      <c r="F756" t="inlineStr">
        <is>
          <t>Holmen skog AB</t>
        </is>
      </c>
      <c r="G756" t="n">
        <v>4.4</v>
      </c>
      <c r="H756" t="n">
        <v>0</v>
      </c>
      <c r="I756" t="n">
        <v>0</v>
      </c>
      <c r="J756" t="n">
        <v>0</v>
      </c>
      <c r="K756" t="n">
        <v>0</v>
      </c>
      <c r="L756" t="n">
        <v>0</v>
      </c>
      <c r="M756" t="n">
        <v>0</v>
      </c>
      <c r="N756" t="n">
        <v>0</v>
      </c>
      <c r="O756" t="n">
        <v>0</v>
      </c>
      <c r="P756" t="n">
        <v>0</v>
      </c>
      <c r="Q756" t="n">
        <v>0</v>
      </c>
      <c r="R756" s="2" t="inlineStr"/>
    </row>
    <row r="757" ht="15" customHeight="1">
      <c r="A757" t="inlineStr">
        <is>
          <t>A 45697-2025</t>
        </is>
      </c>
      <c r="B757" s="1" t="n">
        <v>45923.39877314815</v>
      </c>
      <c r="C757" s="1" t="n">
        <v>45933</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47212-2025</t>
        </is>
      </c>
      <c r="B758" s="1" t="n">
        <v>45930</v>
      </c>
      <c r="C758" s="1" t="n">
        <v>45933</v>
      </c>
      <c r="D758" t="inlineStr">
        <is>
          <t>STOCKHOLMS LÄN</t>
        </is>
      </c>
      <c r="E758" t="inlineStr">
        <is>
          <t>NORRTÄLJE</t>
        </is>
      </c>
      <c r="G758" t="n">
        <v>5.5</v>
      </c>
      <c r="H758" t="n">
        <v>0</v>
      </c>
      <c r="I758" t="n">
        <v>0</v>
      </c>
      <c r="J758" t="n">
        <v>0</v>
      </c>
      <c r="K758" t="n">
        <v>0</v>
      </c>
      <c r="L758" t="n">
        <v>0</v>
      </c>
      <c r="M758" t="n">
        <v>0</v>
      </c>
      <c r="N758" t="n">
        <v>0</v>
      </c>
      <c r="O758" t="n">
        <v>0</v>
      </c>
      <c r="P758" t="n">
        <v>0</v>
      </c>
      <c r="Q758" t="n">
        <v>0</v>
      </c>
      <c r="R758" s="2" t="inlineStr"/>
    </row>
    <row r="759" ht="15" customHeight="1">
      <c r="A759" t="inlineStr">
        <is>
          <t>A 14559-2024</t>
        </is>
      </c>
      <c r="B759" s="1" t="n">
        <v>45394.72869212963</v>
      </c>
      <c r="C759" s="1" t="n">
        <v>45933</v>
      </c>
      <c r="D759" t="inlineStr">
        <is>
          <t>STOCKHOLMS LÄN</t>
        </is>
      </c>
      <c r="E759" t="inlineStr">
        <is>
          <t>NORRTÄLJE</t>
        </is>
      </c>
      <c r="G759" t="n">
        <v>4.2</v>
      </c>
      <c r="H759" t="n">
        <v>0</v>
      </c>
      <c r="I759" t="n">
        <v>0</v>
      </c>
      <c r="J759" t="n">
        <v>0</v>
      </c>
      <c r="K759" t="n">
        <v>0</v>
      </c>
      <c r="L759" t="n">
        <v>0</v>
      </c>
      <c r="M759" t="n">
        <v>0</v>
      </c>
      <c r="N759" t="n">
        <v>0</v>
      </c>
      <c r="O759" t="n">
        <v>0</v>
      </c>
      <c r="P759" t="n">
        <v>0</v>
      </c>
      <c r="Q759" t="n">
        <v>0</v>
      </c>
      <c r="R759" s="2" t="inlineStr"/>
    </row>
    <row r="760" ht="15" customHeight="1">
      <c r="A760" t="inlineStr">
        <is>
          <t>A 24350-2025</t>
        </is>
      </c>
      <c r="B760" s="1" t="n">
        <v>45797.58350694444</v>
      </c>
      <c r="C760" s="1" t="n">
        <v>45933</v>
      </c>
      <c r="D760" t="inlineStr">
        <is>
          <t>STOCKHOLMS LÄN</t>
        </is>
      </c>
      <c r="E760" t="inlineStr">
        <is>
          <t>NORRTÄLJE</t>
        </is>
      </c>
      <c r="G760" t="n">
        <v>4.5</v>
      </c>
      <c r="H760" t="n">
        <v>0</v>
      </c>
      <c r="I760" t="n">
        <v>0</v>
      </c>
      <c r="J760" t="n">
        <v>0</v>
      </c>
      <c r="K760" t="n">
        <v>0</v>
      </c>
      <c r="L760" t="n">
        <v>0</v>
      </c>
      <c r="M760" t="n">
        <v>0</v>
      </c>
      <c r="N760" t="n">
        <v>0</v>
      </c>
      <c r="O760" t="n">
        <v>0</v>
      </c>
      <c r="P760" t="n">
        <v>0</v>
      </c>
      <c r="Q760" t="n">
        <v>0</v>
      </c>
      <c r="R760" s="2" t="inlineStr"/>
    </row>
    <row r="761" ht="15" customHeight="1">
      <c r="A761" t="inlineStr">
        <is>
          <t>A 45173-2023</t>
        </is>
      </c>
      <c r="B761" s="1" t="n">
        <v>45191</v>
      </c>
      <c r="C761" s="1" t="n">
        <v>45933</v>
      </c>
      <c r="D761" t="inlineStr">
        <is>
          <t>STOCKHOLMS LÄN</t>
        </is>
      </c>
      <c r="E761" t="inlineStr">
        <is>
          <t>NORRTÄLJE</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26703-2025</t>
        </is>
      </c>
      <c r="B762" s="1" t="n">
        <v>45810.45263888889</v>
      </c>
      <c r="C762" s="1" t="n">
        <v>45933</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64137-2021</t>
        </is>
      </c>
      <c r="B763" s="1" t="n">
        <v>44510.51422453704</v>
      </c>
      <c r="C763" s="1" t="n">
        <v>45933</v>
      </c>
      <c r="D763" t="inlineStr">
        <is>
          <t>STOCKHOLMS LÄN</t>
        </is>
      </c>
      <c r="E763" t="inlineStr">
        <is>
          <t>NORRTÄLJE</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11-2024</t>
        </is>
      </c>
      <c r="B764" s="1" t="n">
        <v>45293</v>
      </c>
      <c r="C764" s="1" t="n">
        <v>45933</v>
      </c>
      <c r="D764" t="inlineStr">
        <is>
          <t>STOCKHOLMS LÄN</t>
        </is>
      </c>
      <c r="E764" t="inlineStr">
        <is>
          <t>NORRTÄLJE</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15256-2023</t>
        </is>
      </c>
      <c r="B765" s="1" t="n">
        <v>45019.3959837963</v>
      </c>
      <c r="C765" s="1" t="n">
        <v>45933</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38720-2022</t>
        </is>
      </c>
      <c r="B766" s="1" t="n">
        <v>44815.74539351852</v>
      </c>
      <c r="C766" s="1" t="n">
        <v>45933</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13137-2024</t>
        </is>
      </c>
      <c r="B767" s="1" t="n">
        <v>45386.34175925926</v>
      </c>
      <c r="C767" s="1" t="n">
        <v>45933</v>
      </c>
      <c r="D767" t="inlineStr">
        <is>
          <t>STOCKHOLMS LÄN</t>
        </is>
      </c>
      <c r="E767" t="inlineStr">
        <is>
          <t>NORRTÄLJE</t>
        </is>
      </c>
      <c r="G767" t="n">
        <v>5</v>
      </c>
      <c r="H767" t="n">
        <v>0</v>
      </c>
      <c r="I767" t="n">
        <v>0</v>
      </c>
      <c r="J767" t="n">
        <v>0</v>
      </c>
      <c r="K767" t="n">
        <v>0</v>
      </c>
      <c r="L767" t="n">
        <v>0</v>
      </c>
      <c r="M767" t="n">
        <v>0</v>
      </c>
      <c r="N767" t="n">
        <v>0</v>
      </c>
      <c r="O767" t="n">
        <v>0</v>
      </c>
      <c r="P767" t="n">
        <v>0</v>
      </c>
      <c r="Q767" t="n">
        <v>0</v>
      </c>
      <c r="R767" s="2" t="inlineStr"/>
    </row>
    <row r="768" ht="15" customHeight="1">
      <c r="A768" t="inlineStr">
        <is>
          <t>A 34432-2021</t>
        </is>
      </c>
      <c r="B768" s="1" t="n">
        <v>44380.77346064815</v>
      </c>
      <c r="C768" s="1" t="n">
        <v>45933</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38153-2025</t>
        </is>
      </c>
      <c r="B769" s="1" t="n">
        <v>45882.59722222222</v>
      </c>
      <c r="C769" s="1" t="n">
        <v>45933</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19911-2025</t>
        </is>
      </c>
      <c r="B770" s="1" t="n">
        <v>45771</v>
      </c>
      <c r="C770" s="1" t="n">
        <v>45933</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7413-2024</t>
        </is>
      </c>
      <c r="B771" s="1" t="n">
        <v>45345.6059837963</v>
      </c>
      <c r="C771" s="1" t="n">
        <v>45933</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58040-2024</t>
        </is>
      </c>
      <c r="B772" s="1" t="n">
        <v>45631.73952546297</v>
      </c>
      <c r="C772" s="1" t="n">
        <v>45933</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58041-2024</t>
        </is>
      </c>
      <c r="B773" s="1" t="n">
        <v>45631.74673611111</v>
      </c>
      <c r="C773" s="1" t="n">
        <v>45933</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31057-2022</t>
        </is>
      </c>
      <c r="B774" s="1" t="n">
        <v>44769</v>
      </c>
      <c r="C774" s="1" t="n">
        <v>45933</v>
      </c>
      <c r="D774" t="inlineStr">
        <is>
          <t>STOCKHOLMS LÄN</t>
        </is>
      </c>
      <c r="E774" t="inlineStr">
        <is>
          <t>NORRTÄLJE</t>
        </is>
      </c>
      <c r="G774" t="n">
        <v>6.5</v>
      </c>
      <c r="H774" t="n">
        <v>0</v>
      </c>
      <c r="I774" t="n">
        <v>0</v>
      </c>
      <c r="J774" t="n">
        <v>0</v>
      </c>
      <c r="K774" t="n">
        <v>0</v>
      </c>
      <c r="L774" t="n">
        <v>0</v>
      </c>
      <c r="M774" t="n">
        <v>0</v>
      </c>
      <c r="N774" t="n">
        <v>0</v>
      </c>
      <c r="O774" t="n">
        <v>0</v>
      </c>
      <c r="P774" t="n">
        <v>0</v>
      </c>
      <c r="Q774" t="n">
        <v>0</v>
      </c>
      <c r="R774" s="2" t="inlineStr"/>
    </row>
    <row r="775" ht="15" customHeight="1">
      <c r="A775" t="inlineStr">
        <is>
          <t>A 14130-2025</t>
        </is>
      </c>
      <c r="B775" s="1" t="n">
        <v>45740.47288194444</v>
      </c>
      <c r="C775" s="1" t="n">
        <v>45933</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12532-2025</t>
        </is>
      </c>
      <c r="B776" s="1" t="n">
        <v>45730.69143518519</v>
      </c>
      <c r="C776" s="1" t="n">
        <v>45933</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40175-2024</t>
        </is>
      </c>
      <c r="B777" s="1" t="n">
        <v>45554.55707175926</v>
      </c>
      <c r="C777" s="1" t="n">
        <v>45933</v>
      </c>
      <c r="D777" t="inlineStr">
        <is>
          <t>STOCKHOLMS LÄN</t>
        </is>
      </c>
      <c r="E777" t="inlineStr">
        <is>
          <t>NORRTÄLJE</t>
        </is>
      </c>
      <c r="G777" t="n">
        <v>7.7</v>
      </c>
      <c r="H777" t="n">
        <v>0</v>
      </c>
      <c r="I777" t="n">
        <v>0</v>
      </c>
      <c r="J777" t="n">
        <v>0</v>
      </c>
      <c r="K777" t="n">
        <v>0</v>
      </c>
      <c r="L777" t="n">
        <v>0</v>
      </c>
      <c r="M777" t="n">
        <v>0</v>
      </c>
      <c r="N777" t="n">
        <v>0</v>
      </c>
      <c r="O777" t="n">
        <v>0</v>
      </c>
      <c r="P777" t="n">
        <v>0</v>
      </c>
      <c r="Q777" t="n">
        <v>0</v>
      </c>
      <c r="R777" s="2" t="inlineStr"/>
    </row>
    <row r="778" ht="15" customHeight="1">
      <c r="A778" t="inlineStr">
        <is>
          <t>A 16229-2022</t>
        </is>
      </c>
      <c r="B778" s="1" t="n">
        <v>44670.4190162037</v>
      </c>
      <c r="C778" s="1" t="n">
        <v>45933</v>
      </c>
      <c r="D778" t="inlineStr">
        <is>
          <t>STOCKHOLMS LÄN</t>
        </is>
      </c>
      <c r="E778" t="inlineStr">
        <is>
          <t>NORRTÄLJE</t>
        </is>
      </c>
      <c r="G778" t="n">
        <v>7.4</v>
      </c>
      <c r="H778" t="n">
        <v>0</v>
      </c>
      <c r="I778" t="n">
        <v>0</v>
      </c>
      <c r="J778" t="n">
        <v>0</v>
      </c>
      <c r="K778" t="n">
        <v>0</v>
      </c>
      <c r="L778" t="n">
        <v>0</v>
      </c>
      <c r="M778" t="n">
        <v>0</v>
      </c>
      <c r="N778" t="n">
        <v>0</v>
      </c>
      <c r="O778" t="n">
        <v>0</v>
      </c>
      <c r="P778" t="n">
        <v>0</v>
      </c>
      <c r="Q778" t="n">
        <v>0</v>
      </c>
      <c r="R778" s="2" t="inlineStr"/>
    </row>
    <row r="779" ht="15" customHeight="1">
      <c r="A779" t="inlineStr">
        <is>
          <t>A 3143-2021</t>
        </is>
      </c>
      <c r="B779" s="1" t="n">
        <v>44217.40149305556</v>
      </c>
      <c r="C779" s="1" t="n">
        <v>45933</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25619-2022</t>
        </is>
      </c>
      <c r="B780" s="1" t="n">
        <v>44732</v>
      </c>
      <c r="C780" s="1" t="n">
        <v>45933</v>
      </c>
      <c r="D780" t="inlineStr">
        <is>
          <t>STOCKHOLMS LÄN</t>
        </is>
      </c>
      <c r="E780" t="inlineStr">
        <is>
          <t>NORRTÄLJE</t>
        </is>
      </c>
      <c r="G780" t="n">
        <v>3.9</v>
      </c>
      <c r="H780" t="n">
        <v>0</v>
      </c>
      <c r="I780" t="n">
        <v>0</v>
      </c>
      <c r="J780" t="n">
        <v>0</v>
      </c>
      <c r="K780" t="n">
        <v>0</v>
      </c>
      <c r="L780" t="n">
        <v>0</v>
      </c>
      <c r="M780" t="n">
        <v>0</v>
      </c>
      <c r="N780" t="n">
        <v>0</v>
      </c>
      <c r="O780" t="n">
        <v>0</v>
      </c>
      <c r="P780" t="n">
        <v>0</v>
      </c>
      <c r="Q780" t="n">
        <v>0</v>
      </c>
      <c r="R780" s="2" t="inlineStr"/>
    </row>
    <row r="781" ht="15" customHeight="1">
      <c r="A781" t="inlineStr">
        <is>
          <t>A 46914-2022</t>
        </is>
      </c>
      <c r="B781" s="1" t="n">
        <v>44851</v>
      </c>
      <c r="C781" s="1" t="n">
        <v>45933</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15422-2024</t>
        </is>
      </c>
      <c r="B782" s="1" t="n">
        <v>45401.3653125</v>
      </c>
      <c r="C782" s="1" t="n">
        <v>45933</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20244-2025</t>
        </is>
      </c>
      <c r="B783" s="1" t="n">
        <v>45772.71221064815</v>
      </c>
      <c r="C783" s="1" t="n">
        <v>45933</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48716-2023</t>
        </is>
      </c>
      <c r="B784" s="1" t="n">
        <v>45208.69671296296</v>
      </c>
      <c r="C784" s="1" t="n">
        <v>45933</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55369-2023</t>
        </is>
      </c>
      <c r="B785" s="1" t="n">
        <v>45238</v>
      </c>
      <c r="C785" s="1" t="n">
        <v>45933</v>
      </c>
      <c r="D785" t="inlineStr">
        <is>
          <t>STOCKHOLMS LÄN</t>
        </is>
      </c>
      <c r="E785" t="inlineStr">
        <is>
          <t>NORRTÄLJE</t>
        </is>
      </c>
      <c r="G785" t="n">
        <v>0.4</v>
      </c>
      <c r="H785" t="n">
        <v>0</v>
      </c>
      <c r="I785" t="n">
        <v>0</v>
      </c>
      <c r="J785" t="n">
        <v>0</v>
      </c>
      <c r="K785" t="n">
        <v>0</v>
      </c>
      <c r="L785" t="n">
        <v>0</v>
      </c>
      <c r="M785" t="n">
        <v>0</v>
      </c>
      <c r="N785" t="n">
        <v>0</v>
      </c>
      <c r="O785" t="n">
        <v>0</v>
      </c>
      <c r="P785" t="n">
        <v>0</v>
      </c>
      <c r="Q785" t="n">
        <v>0</v>
      </c>
      <c r="R785" s="2" t="inlineStr"/>
    </row>
    <row r="786" ht="15" customHeight="1">
      <c r="A786" t="inlineStr">
        <is>
          <t>A 50143-2023</t>
        </is>
      </c>
      <c r="B786" s="1" t="n">
        <v>45215</v>
      </c>
      <c r="C786" s="1" t="n">
        <v>45933</v>
      </c>
      <c r="D786" t="inlineStr">
        <is>
          <t>STOCKHOLMS LÄN</t>
        </is>
      </c>
      <c r="E786" t="inlineStr">
        <is>
          <t>NORRTÄLJE</t>
        </is>
      </c>
      <c r="G786" t="n">
        <v>10.3</v>
      </c>
      <c r="H786" t="n">
        <v>0</v>
      </c>
      <c r="I786" t="n">
        <v>0</v>
      </c>
      <c r="J786" t="n">
        <v>0</v>
      </c>
      <c r="K786" t="n">
        <v>0</v>
      </c>
      <c r="L786" t="n">
        <v>0</v>
      </c>
      <c r="M786" t="n">
        <v>0</v>
      </c>
      <c r="N786" t="n">
        <v>0</v>
      </c>
      <c r="O786" t="n">
        <v>0</v>
      </c>
      <c r="P786" t="n">
        <v>0</v>
      </c>
      <c r="Q786" t="n">
        <v>0</v>
      </c>
      <c r="R786" s="2" t="inlineStr"/>
    </row>
    <row r="787" ht="15" customHeight="1">
      <c r="A787" t="inlineStr">
        <is>
          <t>A 20121-2022</t>
        </is>
      </c>
      <c r="B787" s="1" t="n">
        <v>44698</v>
      </c>
      <c r="C787" s="1" t="n">
        <v>45933</v>
      </c>
      <c r="D787" t="inlineStr">
        <is>
          <t>STOCKHOLMS LÄN</t>
        </is>
      </c>
      <c r="E787" t="inlineStr">
        <is>
          <t>NORRTÄLJE</t>
        </is>
      </c>
      <c r="G787" t="n">
        <v>4.2</v>
      </c>
      <c r="H787" t="n">
        <v>0</v>
      </c>
      <c r="I787" t="n">
        <v>0</v>
      </c>
      <c r="J787" t="n">
        <v>0</v>
      </c>
      <c r="K787" t="n">
        <v>0</v>
      </c>
      <c r="L787" t="n">
        <v>0</v>
      </c>
      <c r="M787" t="n">
        <v>0</v>
      </c>
      <c r="N787" t="n">
        <v>0</v>
      </c>
      <c r="O787" t="n">
        <v>0</v>
      </c>
      <c r="P787" t="n">
        <v>0</v>
      </c>
      <c r="Q787" t="n">
        <v>0</v>
      </c>
      <c r="R787" s="2" t="inlineStr"/>
    </row>
    <row r="788" ht="15" customHeight="1">
      <c r="A788" t="inlineStr">
        <is>
          <t>A 26407-2024</t>
        </is>
      </c>
      <c r="B788" s="1" t="n">
        <v>45469</v>
      </c>
      <c r="C788" s="1" t="n">
        <v>45933</v>
      </c>
      <c r="D788" t="inlineStr">
        <is>
          <t>STOCKHOLMS LÄN</t>
        </is>
      </c>
      <c r="E788" t="inlineStr">
        <is>
          <t>NORRTÄLJE</t>
        </is>
      </c>
      <c r="G788" t="n">
        <v>3.5</v>
      </c>
      <c r="H788" t="n">
        <v>0</v>
      </c>
      <c r="I788" t="n">
        <v>0</v>
      </c>
      <c r="J788" t="n">
        <v>0</v>
      </c>
      <c r="K788" t="n">
        <v>0</v>
      </c>
      <c r="L788" t="n">
        <v>0</v>
      </c>
      <c r="M788" t="n">
        <v>0</v>
      </c>
      <c r="N788" t="n">
        <v>0</v>
      </c>
      <c r="O788" t="n">
        <v>0</v>
      </c>
      <c r="P788" t="n">
        <v>0</v>
      </c>
      <c r="Q788" t="n">
        <v>0</v>
      </c>
      <c r="R788" s="2" t="inlineStr"/>
    </row>
    <row r="789" ht="15" customHeight="1">
      <c r="A789" t="inlineStr">
        <is>
          <t>A 58888-2020</t>
        </is>
      </c>
      <c r="B789" s="1" t="n">
        <v>44146</v>
      </c>
      <c r="C789" s="1" t="n">
        <v>45933</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20015-2023</t>
        </is>
      </c>
      <c r="B790" s="1" t="n">
        <v>45054</v>
      </c>
      <c r="C790" s="1" t="n">
        <v>45933</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10098-2022</t>
        </is>
      </c>
      <c r="B791" s="1" t="n">
        <v>44621</v>
      </c>
      <c r="C791" s="1" t="n">
        <v>45933</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5027-2025</t>
        </is>
      </c>
      <c r="B792" s="1" t="n">
        <v>45691.41101851852</v>
      </c>
      <c r="C792" s="1" t="n">
        <v>45933</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49700-2023</t>
        </is>
      </c>
      <c r="B793" s="1" t="n">
        <v>45212</v>
      </c>
      <c r="C793" s="1" t="n">
        <v>45933</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20011-2025</t>
        </is>
      </c>
      <c r="B794" s="1" t="n">
        <v>45772.29622685185</v>
      </c>
      <c r="C794" s="1" t="n">
        <v>45933</v>
      </c>
      <c r="D794" t="inlineStr">
        <is>
          <t>STOCKHOLMS LÄN</t>
        </is>
      </c>
      <c r="E794" t="inlineStr">
        <is>
          <t>NORRTÄLJE</t>
        </is>
      </c>
      <c r="G794" t="n">
        <v>3.5</v>
      </c>
      <c r="H794" t="n">
        <v>0</v>
      </c>
      <c r="I794" t="n">
        <v>0</v>
      </c>
      <c r="J794" t="n">
        <v>0</v>
      </c>
      <c r="K794" t="n">
        <v>0</v>
      </c>
      <c r="L794" t="n">
        <v>0</v>
      </c>
      <c r="M794" t="n">
        <v>0</v>
      </c>
      <c r="N794" t="n">
        <v>0</v>
      </c>
      <c r="O794" t="n">
        <v>0</v>
      </c>
      <c r="P794" t="n">
        <v>0</v>
      </c>
      <c r="Q794" t="n">
        <v>0</v>
      </c>
      <c r="R794" s="2" t="inlineStr"/>
    </row>
    <row r="795" ht="15" customHeight="1">
      <c r="A795" t="inlineStr">
        <is>
          <t>A 8315-2025</t>
        </is>
      </c>
      <c r="B795" s="1" t="n">
        <v>45708.61761574074</v>
      </c>
      <c r="C795" s="1" t="n">
        <v>45933</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59875-2024</t>
        </is>
      </c>
      <c r="B796" s="1" t="n">
        <v>45640.58716435185</v>
      </c>
      <c r="C796" s="1" t="n">
        <v>45933</v>
      </c>
      <c r="D796" t="inlineStr">
        <is>
          <t>STOCKHOLMS LÄN</t>
        </is>
      </c>
      <c r="E796" t="inlineStr">
        <is>
          <t>NORRTÄLJE</t>
        </is>
      </c>
      <c r="G796" t="n">
        <v>0.3</v>
      </c>
      <c r="H796" t="n">
        <v>0</v>
      </c>
      <c r="I796" t="n">
        <v>0</v>
      </c>
      <c r="J796" t="n">
        <v>0</v>
      </c>
      <c r="K796" t="n">
        <v>0</v>
      </c>
      <c r="L796" t="n">
        <v>0</v>
      </c>
      <c r="M796" t="n">
        <v>0</v>
      </c>
      <c r="N796" t="n">
        <v>0</v>
      </c>
      <c r="O796" t="n">
        <v>0</v>
      </c>
      <c r="P796" t="n">
        <v>0</v>
      </c>
      <c r="Q796" t="n">
        <v>0</v>
      </c>
      <c r="R796" s="2" t="inlineStr"/>
    </row>
    <row r="797" ht="15" customHeight="1">
      <c r="A797" t="inlineStr">
        <is>
          <t>A 12251-2025</t>
        </is>
      </c>
      <c r="B797" s="1" t="n">
        <v>45729.60859953704</v>
      </c>
      <c r="C797" s="1" t="n">
        <v>45933</v>
      </c>
      <c r="D797" t="inlineStr">
        <is>
          <t>STOCKHOLMS LÄN</t>
        </is>
      </c>
      <c r="E797" t="inlineStr">
        <is>
          <t>NORRTÄLJE</t>
        </is>
      </c>
      <c r="F797" t="inlineStr">
        <is>
          <t>Holmen skog AB</t>
        </is>
      </c>
      <c r="G797" t="n">
        <v>5.9</v>
      </c>
      <c r="H797" t="n">
        <v>0</v>
      </c>
      <c r="I797" t="n">
        <v>0</v>
      </c>
      <c r="J797" t="n">
        <v>0</v>
      </c>
      <c r="K797" t="n">
        <v>0</v>
      </c>
      <c r="L797" t="n">
        <v>0</v>
      </c>
      <c r="M797" t="n">
        <v>0</v>
      </c>
      <c r="N797" t="n">
        <v>0</v>
      </c>
      <c r="O797" t="n">
        <v>0</v>
      </c>
      <c r="P797" t="n">
        <v>0</v>
      </c>
      <c r="Q797" t="n">
        <v>0</v>
      </c>
      <c r="R797" s="2" t="inlineStr"/>
    </row>
    <row r="798" ht="15" customHeight="1">
      <c r="A798" t="inlineStr">
        <is>
          <t>A 45220-2024</t>
        </is>
      </c>
      <c r="B798" s="1" t="n">
        <v>45575</v>
      </c>
      <c r="C798" s="1" t="n">
        <v>45933</v>
      </c>
      <c r="D798" t="inlineStr">
        <is>
          <t>STOCKHOLMS LÄN</t>
        </is>
      </c>
      <c r="E798" t="inlineStr">
        <is>
          <t>NORRTÄLJE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54776-2023</t>
        </is>
      </c>
      <c r="B799" s="1" t="n">
        <v>45236.46369212963</v>
      </c>
      <c r="C799" s="1" t="n">
        <v>45933</v>
      </c>
      <c r="D799" t="inlineStr">
        <is>
          <t>STOCKHOLMS LÄN</t>
        </is>
      </c>
      <c r="E799" t="inlineStr">
        <is>
          <t>NORRTÄLJE</t>
        </is>
      </c>
      <c r="G799" t="n">
        <v>0.3</v>
      </c>
      <c r="H799" t="n">
        <v>0</v>
      </c>
      <c r="I799" t="n">
        <v>0</v>
      </c>
      <c r="J799" t="n">
        <v>0</v>
      </c>
      <c r="K799" t="n">
        <v>0</v>
      </c>
      <c r="L799" t="n">
        <v>0</v>
      </c>
      <c r="M799" t="n">
        <v>0</v>
      </c>
      <c r="N799" t="n">
        <v>0</v>
      </c>
      <c r="O799" t="n">
        <v>0</v>
      </c>
      <c r="P799" t="n">
        <v>0</v>
      </c>
      <c r="Q799" t="n">
        <v>0</v>
      </c>
      <c r="R799" s="2" t="inlineStr"/>
    </row>
    <row r="800" ht="15" customHeight="1">
      <c r="A800" t="inlineStr">
        <is>
          <t>A 20144-2023</t>
        </is>
      </c>
      <c r="B800" s="1" t="n">
        <v>45055.43509259259</v>
      </c>
      <c r="C800" s="1" t="n">
        <v>45933</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4658-2024</t>
        </is>
      </c>
      <c r="B801" s="1" t="n">
        <v>45328.46336805556</v>
      </c>
      <c r="C801" s="1" t="n">
        <v>45933</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13314-2025</t>
        </is>
      </c>
      <c r="B802" s="1" t="n">
        <v>45735.59287037037</v>
      </c>
      <c r="C802" s="1" t="n">
        <v>45933</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38593-2025</t>
        </is>
      </c>
      <c r="B803" s="1" t="n">
        <v>45884.48696759259</v>
      </c>
      <c r="C803" s="1" t="n">
        <v>45933</v>
      </c>
      <c r="D803" t="inlineStr">
        <is>
          <t>STOCKHOLMS LÄN</t>
        </is>
      </c>
      <c r="E803" t="inlineStr">
        <is>
          <t>NORRTÄLJE</t>
        </is>
      </c>
      <c r="G803" t="n">
        <v>3</v>
      </c>
      <c r="H803" t="n">
        <v>0</v>
      </c>
      <c r="I803" t="n">
        <v>0</v>
      </c>
      <c r="J803" t="n">
        <v>0</v>
      </c>
      <c r="K803" t="n">
        <v>0</v>
      </c>
      <c r="L803" t="n">
        <v>0</v>
      </c>
      <c r="M803" t="n">
        <v>0</v>
      </c>
      <c r="N803" t="n">
        <v>0</v>
      </c>
      <c r="O803" t="n">
        <v>0</v>
      </c>
      <c r="P803" t="n">
        <v>0</v>
      </c>
      <c r="Q803" t="n">
        <v>0</v>
      </c>
      <c r="R803" s="2" t="inlineStr"/>
    </row>
    <row r="804" ht="15" customHeight="1">
      <c r="A804" t="inlineStr">
        <is>
          <t>A 48145-2024</t>
        </is>
      </c>
      <c r="B804" s="1" t="n">
        <v>45589.6756712963</v>
      </c>
      <c r="C804" s="1" t="n">
        <v>45933</v>
      </c>
      <c r="D804" t="inlineStr">
        <is>
          <t>STOCKHOLMS LÄN</t>
        </is>
      </c>
      <c r="E804" t="inlineStr">
        <is>
          <t>NORRTÄLJE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10642-2025</t>
        </is>
      </c>
      <c r="B805" s="1" t="n">
        <v>45721.65858796296</v>
      </c>
      <c r="C805" s="1" t="n">
        <v>45933</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23056-2023</t>
        </is>
      </c>
      <c r="B806" s="1" t="n">
        <v>45075</v>
      </c>
      <c r="C806" s="1" t="n">
        <v>45933</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24024-2024</t>
        </is>
      </c>
      <c r="B807" s="1" t="n">
        <v>45456</v>
      </c>
      <c r="C807" s="1" t="n">
        <v>45933</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45933</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60321-2020</t>
        </is>
      </c>
      <c r="B809" s="1" t="n">
        <v>44152</v>
      </c>
      <c r="C809" s="1" t="n">
        <v>45933</v>
      </c>
      <c r="D809" t="inlineStr">
        <is>
          <t>STOCKHOLMS LÄN</t>
        </is>
      </c>
      <c r="E809" t="inlineStr">
        <is>
          <t>NORRTÄLJE</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19025-2025</t>
        </is>
      </c>
      <c r="B810" s="1" t="n">
        <v>45764.6359837963</v>
      </c>
      <c r="C810" s="1" t="n">
        <v>45933</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35532-2024</t>
        </is>
      </c>
      <c r="B811" s="1" t="n">
        <v>45531</v>
      </c>
      <c r="C811" s="1" t="n">
        <v>45933</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5867-2022</t>
        </is>
      </c>
      <c r="B812" s="1" t="n">
        <v>44596.66335648148</v>
      </c>
      <c r="C812" s="1" t="n">
        <v>45933</v>
      </c>
      <c r="D812" t="inlineStr">
        <is>
          <t>STOCKHOLMS LÄN</t>
        </is>
      </c>
      <c r="E812" t="inlineStr">
        <is>
          <t>NORRTÄLJE</t>
        </is>
      </c>
      <c r="F812" t="inlineStr">
        <is>
          <t>Naturvårdsverket</t>
        </is>
      </c>
      <c r="G812" t="n">
        <v>1.6</v>
      </c>
      <c r="H812" t="n">
        <v>0</v>
      </c>
      <c r="I812" t="n">
        <v>0</v>
      </c>
      <c r="J812" t="n">
        <v>0</v>
      </c>
      <c r="K812" t="n">
        <v>0</v>
      </c>
      <c r="L812" t="n">
        <v>0</v>
      </c>
      <c r="M812" t="n">
        <v>0</v>
      </c>
      <c r="N812" t="n">
        <v>0</v>
      </c>
      <c r="O812" t="n">
        <v>0</v>
      </c>
      <c r="P812" t="n">
        <v>0</v>
      </c>
      <c r="Q812" t="n">
        <v>0</v>
      </c>
      <c r="R812" s="2" t="inlineStr"/>
    </row>
    <row r="813" ht="15" customHeight="1">
      <c r="A813" t="inlineStr">
        <is>
          <t>A 21291-2021</t>
        </is>
      </c>
      <c r="B813" s="1" t="n">
        <v>44319</v>
      </c>
      <c r="C813" s="1" t="n">
        <v>45933</v>
      </c>
      <c r="D813" t="inlineStr">
        <is>
          <t>STOCKHOLMS LÄN</t>
        </is>
      </c>
      <c r="E813" t="inlineStr">
        <is>
          <t>NORRTÄLJE</t>
        </is>
      </c>
      <c r="G813" t="n">
        <v>12.7</v>
      </c>
      <c r="H813" t="n">
        <v>0</v>
      </c>
      <c r="I813" t="n">
        <v>0</v>
      </c>
      <c r="J813" t="n">
        <v>0</v>
      </c>
      <c r="K813" t="n">
        <v>0</v>
      </c>
      <c r="L813" t="n">
        <v>0</v>
      </c>
      <c r="M813" t="n">
        <v>0</v>
      </c>
      <c r="N813" t="n">
        <v>0</v>
      </c>
      <c r="O813" t="n">
        <v>0</v>
      </c>
      <c r="P813" t="n">
        <v>0</v>
      </c>
      <c r="Q813" t="n">
        <v>0</v>
      </c>
      <c r="R813" s="2" t="inlineStr"/>
    </row>
    <row r="814" ht="15" customHeight="1">
      <c r="A814" t="inlineStr">
        <is>
          <t>A 73307-2021</t>
        </is>
      </c>
      <c r="B814" s="1" t="n">
        <v>44549</v>
      </c>
      <c r="C814" s="1" t="n">
        <v>45933</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19118-2022</t>
        </is>
      </c>
      <c r="B815" s="1" t="n">
        <v>44691.5652662037</v>
      </c>
      <c r="C815" s="1" t="n">
        <v>45933</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58493-2020</t>
        </is>
      </c>
      <c r="B816" s="1" t="n">
        <v>44145</v>
      </c>
      <c r="C816" s="1" t="n">
        <v>45933</v>
      </c>
      <c r="D816" t="inlineStr">
        <is>
          <t>STOCKHOLMS LÄN</t>
        </is>
      </c>
      <c r="E816" t="inlineStr">
        <is>
          <t>NORRTÄLJE</t>
        </is>
      </c>
      <c r="G816" t="n">
        <v>2.8</v>
      </c>
      <c r="H816" t="n">
        <v>0</v>
      </c>
      <c r="I816" t="n">
        <v>0</v>
      </c>
      <c r="J816" t="n">
        <v>0</v>
      </c>
      <c r="K816" t="n">
        <v>0</v>
      </c>
      <c r="L816" t="n">
        <v>0</v>
      </c>
      <c r="M816" t="n">
        <v>0</v>
      </c>
      <c r="N816" t="n">
        <v>0</v>
      </c>
      <c r="O816" t="n">
        <v>0</v>
      </c>
      <c r="P816" t="n">
        <v>0</v>
      </c>
      <c r="Q816" t="n">
        <v>0</v>
      </c>
      <c r="R816" s="2" t="inlineStr"/>
    </row>
    <row r="817" ht="15" customHeight="1">
      <c r="A817" t="inlineStr">
        <is>
          <t>A 21731-2023</t>
        </is>
      </c>
      <c r="B817" s="1" t="n">
        <v>45063</v>
      </c>
      <c r="C817" s="1" t="n">
        <v>45933</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21745-2023</t>
        </is>
      </c>
      <c r="B818" s="1" t="n">
        <v>45065.55917824074</v>
      </c>
      <c r="C818" s="1" t="n">
        <v>45933</v>
      </c>
      <c r="D818" t="inlineStr">
        <is>
          <t>STOCKHOLMS LÄN</t>
        </is>
      </c>
      <c r="E818" t="inlineStr">
        <is>
          <t>NORRTÄLJE</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22421-2021</t>
        </is>
      </c>
      <c r="B819" s="1" t="n">
        <v>44326</v>
      </c>
      <c r="C819" s="1" t="n">
        <v>45933</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59893-2022</t>
        </is>
      </c>
      <c r="B820" s="1" t="n">
        <v>44908.77368055555</v>
      </c>
      <c r="C820" s="1" t="n">
        <v>45933</v>
      </c>
      <c r="D820" t="inlineStr">
        <is>
          <t>STOCKHOLMS LÄN</t>
        </is>
      </c>
      <c r="E820" t="inlineStr">
        <is>
          <t>NORRTÄLJE</t>
        </is>
      </c>
      <c r="G820" t="n">
        <v>3</v>
      </c>
      <c r="H820" t="n">
        <v>0</v>
      </c>
      <c r="I820" t="n">
        <v>0</v>
      </c>
      <c r="J820" t="n">
        <v>0</v>
      </c>
      <c r="K820" t="n">
        <v>0</v>
      </c>
      <c r="L820" t="n">
        <v>0</v>
      </c>
      <c r="M820" t="n">
        <v>0</v>
      </c>
      <c r="N820" t="n">
        <v>0</v>
      </c>
      <c r="O820" t="n">
        <v>0</v>
      </c>
      <c r="P820" t="n">
        <v>0</v>
      </c>
      <c r="Q820" t="n">
        <v>0</v>
      </c>
      <c r="R820" s="2" t="inlineStr"/>
    </row>
    <row r="821" ht="15" customHeight="1">
      <c r="A821" t="inlineStr">
        <is>
          <t>A 30221-2024</t>
        </is>
      </c>
      <c r="B821" s="1" t="n">
        <v>45490.45342592592</v>
      </c>
      <c r="C821" s="1" t="n">
        <v>45933</v>
      </c>
      <c r="D821" t="inlineStr">
        <is>
          <t>STOCKHOLMS LÄN</t>
        </is>
      </c>
      <c r="E821" t="inlineStr">
        <is>
          <t>NORRTÄLJE</t>
        </is>
      </c>
      <c r="F821" t="inlineStr">
        <is>
          <t>Holmen skog AB</t>
        </is>
      </c>
      <c r="G821" t="n">
        <v>1.7</v>
      </c>
      <c r="H821" t="n">
        <v>0</v>
      </c>
      <c r="I821" t="n">
        <v>0</v>
      </c>
      <c r="J821" t="n">
        <v>0</v>
      </c>
      <c r="K821" t="n">
        <v>0</v>
      </c>
      <c r="L821" t="n">
        <v>0</v>
      </c>
      <c r="M821" t="n">
        <v>0</v>
      </c>
      <c r="N821" t="n">
        <v>0</v>
      </c>
      <c r="O821" t="n">
        <v>0</v>
      </c>
      <c r="P821" t="n">
        <v>0</v>
      </c>
      <c r="Q821" t="n">
        <v>0</v>
      </c>
      <c r="R821" s="2" t="inlineStr"/>
    </row>
    <row r="822" ht="15" customHeight="1">
      <c r="A822" t="inlineStr">
        <is>
          <t>A 26365-2024</t>
        </is>
      </c>
      <c r="B822" s="1" t="n">
        <v>45469</v>
      </c>
      <c r="C822" s="1" t="n">
        <v>45933</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9469-2021</t>
        </is>
      </c>
      <c r="B823" s="1" t="n">
        <v>44251</v>
      </c>
      <c r="C823" s="1" t="n">
        <v>45933</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50602-2021</t>
        </is>
      </c>
      <c r="B824" s="1" t="n">
        <v>44459</v>
      </c>
      <c r="C824" s="1" t="n">
        <v>45933</v>
      </c>
      <c r="D824" t="inlineStr">
        <is>
          <t>STOCKHOLMS LÄN</t>
        </is>
      </c>
      <c r="E824" t="inlineStr">
        <is>
          <t>NORRTÄLJE</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48798-2021</t>
        </is>
      </c>
      <c r="B825" s="1" t="n">
        <v>44452</v>
      </c>
      <c r="C825" s="1" t="n">
        <v>45933</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67921-2021</t>
        </is>
      </c>
      <c r="B826" s="1" t="n">
        <v>44525</v>
      </c>
      <c r="C826" s="1" t="n">
        <v>45933</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33226-2024</t>
        </is>
      </c>
      <c r="B827" s="1" t="n">
        <v>45518</v>
      </c>
      <c r="C827" s="1" t="n">
        <v>45933</v>
      </c>
      <c r="D827" t="inlineStr">
        <is>
          <t>STOCKHOLMS LÄN</t>
        </is>
      </c>
      <c r="E827" t="inlineStr">
        <is>
          <t>NORRTÄLJE</t>
        </is>
      </c>
      <c r="G827" t="n">
        <v>13.8</v>
      </c>
      <c r="H827" t="n">
        <v>0</v>
      </c>
      <c r="I827" t="n">
        <v>0</v>
      </c>
      <c r="J827" t="n">
        <v>0</v>
      </c>
      <c r="K827" t="n">
        <v>0</v>
      </c>
      <c r="L827" t="n">
        <v>0</v>
      </c>
      <c r="M827" t="n">
        <v>0</v>
      </c>
      <c r="N827" t="n">
        <v>0</v>
      </c>
      <c r="O827" t="n">
        <v>0</v>
      </c>
      <c r="P827" t="n">
        <v>0</v>
      </c>
      <c r="Q827" t="n">
        <v>0</v>
      </c>
      <c r="R827" s="2" t="inlineStr"/>
    </row>
    <row r="828" ht="15" customHeight="1">
      <c r="A828" t="inlineStr">
        <is>
          <t>A 53607-2020</t>
        </is>
      </c>
      <c r="B828" s="1" t="n">
        <v>44124</v>
      </c>
      <c r="C828" s="1" t="n">
        <v>45933</v>
      </c>
      <c r="D828" t="inlineStr">
        <is>
          <t>STOCKHOLMS LÄN</t>
        </is>
      </c>
      <c r="E828" t="inlineStr">
        <is>
          <t>NORRTÄLJE</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16980-2023</t>
        </is>
      </c>
      <c r="B829" s="1" t="n">
        <v>45033</v>
      </c>
      <c r="C829" s="1" t="n">
        <v>45933</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30283-2022</t>
        </is>
      </c>
      <c r="B830" s="1" t="n">
        <v>44760</v>
      </c>
      <c r="C830" s="1" t="n">
        <v>45933</v>
      </c>
      <c r="D830" t="inlineStr">
        <is>
          <t>STOCKHOLMS LÄN</t>
        </is>
      </c>
      <c r="E830" t="inlineStr">
        <is>
          <t>NORRTÄLJE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30290-2022</t>
        </is>
      </c>
      <c r="B831" s="1" t="n">
        <v>44760</v>
      </c>
      <c r="C831" s="1" t="n">
        <v>45933</v>
      </c>
      <c r="D831" t="inlineStr">
        <is>
          <t>STOCKHOLMS LÄN</t>
        </is>
      </c>
      <c r="E831" t="inlineStr">
        <is>
          <t>NORRTÄLJE</t>
        </is>
      </c>
      <c r="G831" t="n">
        <v>4.8</v>
      </c>
      <c r="H831" t="n">
        <v>0</v>
      </c>
      <c r="I831" t="n">
        <v>0</v>
      </c>
      <c r="J831" t="n">
        <v>0</v>
      </c>
      <c r="K831" t="n">
        <v>0</v>
      </c>
      <c r="L831" t="n">
        <v>0</v>
      </c>
      <c r="M831" t="n">
        <v>0</v>
      </c>
      <c r="N831" t="n">
        <v>0</v>
      </c>
      <c r="O831" t="n">
        <v>0</v>
      </c>
      <c r="P831" t="n">
        <v>0</v>
      </c>
      <c r="Q831" t="n">
        <v>0</v>
      </c>
      <c r="R831" s="2" t="inlineStr"/>
    </row>
    <row r="832" ht="15" customHeight="1">
      <c r="A832" t="inlineStr">
        <is>
          <t>A 38985-2022</t>
        </is>
      </c>
      <c r="B832" s="1" t="n">
        <v>44816</v>
      </c>
      <c r="C832" s="1" t="n">
        <v>45933</v>
      </c>
      <c r="D832" t="inlineStr">
        <is>
          <t>STOCKHOLMS LÄN</t>
        </is>
      </c>
      <c r="E832" t="inlineStr">
        <is>
          <t>NORRTÄLJE</t>
        </is>
      </c>
      <c r="G832" t="n">
        <v>10.1</v>
      </c>
      <c r="H832" t="n">
        <v>0</v>
      </c>
      <c r="I832" t="n">
        <v>0</v>
      </c>
      <c r="J832" t="n">
        <v>0</v>
      </c>
      <c r="K832" t="n">
        <v>0</v>
      </c>
      <c r="L832" t="n">
        <v>0</v>
      </c>
      <c r="M832" t="n">
        <v>0</v>
      </c>
      <c r="N832" t="n">
        <v>0</v>
      </c>
      <c r="O832" t="n">
        <v>0</v>
      </c>
      <c r="P832" t="n">
        <v>0</v>
      </c>
      <c r="Q832" t="n">
        <v>0</v>
      </c>
      <c r="R832" s="2" t="inlineStr"/>
    </row>
    <row r="833" ht="15" customHeight="1">
      <c r="A833" t="inlineStr">
        <is>
          <t>A 25625-2023</t>
        </is>
      </c>
      <c r="B833" s="1" t="n">
        <v>45089</v>
      </c>
      <c r="C833" s="1" t="n">
        <v>45933</v>
      </c>
      <c r="D833" t="inlineStr">
        <is>
          <t>STOCKHOLMS LÄN</t>
        </is>
      </c>
      <c r="E833" t="inlineStr">
        <is>
          <t>NORRTÄLJE</t>
        </is>
      </c>
      <c r="G833" t="n">
        <v>5.5</v>
      </c>
      <c r="H833" t="n">
        <v>0</v>
      </c>
      <c r="I833" t="n">
        <v>0</v>
      </c>
      <c r="J833" t="n">
        <v>0</v>
      </c>
      <c r="K833" t="n">
        <v>0</v>
      </c>
      <c r="L833" t="n">
        <v>0</v>
      </c>
      <c r="M833" t="n">
        <v>0</v>
      </c>
      <c r="N833" t="n">
        <v>0</v>
      </c>
      <c r="O833" t="n">
        <v>0</v>
      </c>
      <c r="P833" t="n">
        <v>0</v>
      </c>
      <c r="Q833" t="n">
        <v>0</v>
      </c>
      <c r="R833" s="2" t="inlineStr"/>
    </row>
    <row r="834" ht="15" customHeight="1">
      <c r="A834" t="inlineStr">
        <is>
          <t>A 31107-2022</t>
        </is>
      </c>
      <c r="B834" s="1" t="n">
        <v>44769.66864583334</v>
      </c>
      <c r="C834" s="1" t="n">
        <v>45933</v>
      </c>
      <c r="D834" t="inlineStr">
        <is>
          <t>STOCKHOLMS LÄN</t>
        </is>
      </c>
      <c r="E834" t="inlineStr">
        <is>
          <t>NORRTÄLJE</t>
        </is>
      </c>
      <c r="G834" t="n">
        <v>3.8</v>
      </c>
      <c r="H834" t="n">
        <v>0</v>
      </c>
      <c r="I834" t="n">
        <v>0</v>
      </c>
      <c r="J834" t="n">
        <v>0</v>
      </c>
      <c r="K834" t="n">
        <v>0</v>
      </c>
      <c r="L834" t="n">
        <v>0</v>
      </c>
      <c r="M834" t="n">
        <v>0</v>
      </c>
      <c r="N834" t="n">
        <v>0</v>
      </c>
      <c r="O834" t="n">
        <v>0</v>
      </c>
      <c r="P834" t="n">
        <v>0</v>
      </c>
      <c r="Q834" t="n">
        <v>0</v>
      </c>
      <c r="R834" s="2" t="inlineStr"/>
    </row>
    <row r="835" ht="15" customHeight="1">
      <c r="A835" t="inlineStr">
        <is>
          <t>A 18539-2021</t>
        </is>
      </c>
      <c r="B835" s="1" t="n">
        <v>44306</v>
      </c>
      <c r="C835" s="1" t="n">
        <v>45933</v>
      </c>
      <c r="D835" t="inlineStr">
        <is>
          <t>STOCKHOLMS LÄN</t>
        </is>
      </c>
      <c r="E835" t="inlineStr">
        <is>
          <t>NORRTÄLJE</t>
        </is>
      </c>
      <c r="F835" t="inlineStr">
        <is>
          <t>Holmen skog AB</t>
        </is>
      </c>
      <c r="G835" t="n">
        <v>5.5</v>
      </c>
      <c r="H835" t="n">
        <v>0</v>
      </c>
      <c r="I835" t="n">
        <v>0</v>
      </c>
      <c r="J835" t="n">
        <v>0</v>
      </c>
      <c r="K835" t="n">
        <v>0</v>
      </c>
      <c r="L835" t="n">
        <v>0</v>
      </c>
      <c r="M835" t="n">
        <v>0</v>
      </c>
      <c r="N835" t="n">
        <v>0</v>
      </c>
      <c r="O835" t="n">
        <v>0</v>
      </c>
      <c r="P835" t="n">
        <v>0</v>
      </c>
      <c r="Q835" t="n">
        <v>0</v>
      </c>
      <c r="R835" s="2" t="inlineStr"/>
    </row>
    <row r="836" ht="15" customHeight="1">
      <c r="A836" t="inlineStr">
        <is>
          <t>A 43170-2023</t>
        </is>
      </c>
      <c r="B836" s="1" t="n">
        <v>45183</v>
      </c>
      <c r="C836" s="1" t="n">
        <v>45933</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47626-2022</t>
        </is>
      </c>
      <c r="B837" s="1" t="n">
        <v>44854</v>
      </c>
      <c r="C837" s="1" t="n">
        <v>45933</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32101-2022</t>
        </is>
      </c>
      <c r="B838" s="1" t="n">
        <v>44778.69210648148</v>
      </c>
      <c r="C838" s="1" t="n">
        <v>45933</v>
      </c>
      <c r="D838" t="inlineStr">
        <is>
          <t>STOCKHOLMS LÄN</t>
        </is>
      </c>
      <c r="E838" t="inlineStr">
        <is>
          <t>NORRTÄLJE</t>
        </is>
      </c>
      <c r="G838" t="n">
        <v>4.4</v>
      </c>
      <c r="H838" t="n">
        <v>0</v>
      </c>
      <c r="I838" t="n">
        <v>0</v>
      </c>
      <c r="J838" t="n">
        <v>0</v>
      </c>
      <c r="K838" t="n">
        <v>0</v>
      </c>
      <c r="L838" t="n">
        <v>0</v>
      </c>
      <c r="M838" t="n">
        <v>0</v>
      </c>
      <c r="N838" t="n">
        <v>0</v>
      </c>
      <c r="O838" t="n">
        <v>0</v>
      </c>
      <c r="P838" t="n">
        <v>0</v>
      </c>
      <c r="Q838" t="n">
        <v>0</v>
      </c>
      <c r="R838" s="2" t="inlineStr"/>
    </row>
    <row r="839" ht="15" customHeight="1">
      <c r="A839" t="inlineStr">
        <is>
          <t>A 14132-2025</t>
        </is>
      </c>
      <c r="B839" s="1" t="n">
        <v>45740.47550925926</v>
      </c>
      <c r="C839" s="1" t="n">
        <v>45933</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14133-2025</t>
        </is>
      </c>
      <c r="B840" s="1" t="n">
        <v>45740.47724537037</v>
      </c>
      <c r="C840" s="1" t="n">
        <v>45933</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7186-2024</t>
        </is>
      </c>
      <c r="B841" s="1" t="n">
        <v>45344</v>
      </c>
      <c r="C841" s="1" t="n">
        <v>45933</v>
      </c>
      <c r="D841" t="inlineStr">
        <is>
          <t>STOCKHOLMS LÄN</t>
        </is>
      </c>
      <c r="E841" t="inlineStr">
        <is>
          <t>NORRTÄLJE</t>
        </is>
      </c>
      <c r="G841" t="n">
        <v>4.9</v>
      </c>
      <c r="H841" t="n">
        <v>0</v>
      </c>
      <c r="I841" t="n">
        <v>0</v>
      </c>
      <c r="J841" t="n">
        <v>0</v>
      </c>
      <c r="K841" t="n">
        <v>0</v>
      </c>
      <c r="L841" t="n">
        <v>0</v>
      </c>
      <c r="M841" t="n">
        <v>0</v>
      </c>
      <c r="N841" t="n">
        <v>0</v>
      </c>
      <c r="O841" t="n">
        <v>0</v>
      </c>
      <c r="P841" t="n">
        <v>0</v>
      </c>
      <c r="Q841" t="n">
        <v>0</v>
      </c>
      <c r="R841" s="2" t="inlineStr"/>
    </row>
    <row r="842" ht="15" customHeight="1">
      <c r="A842" t="inlineStr">
        <is>
          <t>A 28365-2022</t>
        </is>
      </c>
      <c r="B842" s="1" t="n">
        <v>44747</v>
      </c>
      <c r="C842" s="1" t="n">
        <v>45933</v>
      </c>
      <c r="D842" t="inlineStr">
        <is>
          <t>STOCKHOLMS LÄN</t>
        </is>
      </c>
      <c r="E842" t="inlineStr">
        <is>
          <t>NORRTÄLJE</t>
        </is>
      </c>
      <c r="G842" t="n">
        <v>5.1</v>
      </c>
      <c r="H842" t="n">
        <v>0</v>
      </c>
      <c r="I842" t="n">
        <v>0</v>
      </c>
      <c r="J842" t="n">
        <v>0</v>
      </c>
      <c r="K842" t="n">
        <v>0</v>
      </c>
      <c r="L842" t="n">
        <v>0</v>
      </c>
      <c r="M842" t="n">
        <v>0</v>
      </c>
      <c r="N842" t="n">
        <v>0</v>
      </c>
      <c r="O842" t="n">
        <v>0</v>
      </c>
      <c r="P842" t="n">
        <v>0</v>
      </c>
      <c r="Q842" t="n">
        <v>0</v>
      </c>
      <c r="R842" s="2" t="inlineStr"/>
    </row>
    <row r="843" ht="15" customHeight="1">
      <c r="A843" t="inlineStr">
        <is>
          <t>A 42867-2022</t>
        </is>
      </c>
      <c r="B843" s="1" t="n">
        <v>44832</v>
      </c>
      <c r="C843" s="1" t="n">
        <v>45933</v>
      </c>
      <c r="D843" t="inlineStr">
        <is>
          <t>STOCKHOLMS LÄN</t>
        </is>
      </c>
      <c r="E843" t="inlineStr">
        <is>
          <t>NORRTÄLJE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5645-2023</t>
        </is>
      </c>
      <c r="B844" s="1" t="n">
        <v>44960.60469907407</v>
      </c>
      <c r="C844" s="1" t="n">
        <v>45933</v>
      </c>
      <c r="D844" t="inlineStr">
        <is>
          <t>STOCKHOLMS LÄN</t>
        </is>
      </c>
      <c r="E844" t="inlineStr">
        <is>
          <t>NORRTÄLJE</t>
        </is>
      </c>
      <c r="G844" t="n">
        <v>1.7</v>
      </c>
      <c r="H844" t="n">
        <v>0</v>
      </c>
      <c r="I844" t="n">
        <v>0</v>
      </c>
      <c r="J844" t="n">
        <v>0</v>
      </c>
      <c r="K844" t="n">
        <v>0</v>
      </c>
      <c r="L844" t="n">
        <v>0</v>
      </c>
      <c r="M844" t="n">
        <v>0</v>
      </c>
      <c r="N844" t="n">
        <v>0</v>
      </c>
      <c r="O844" t="n">
        <v>0</v>
      </c>
      <c r="P844" t="n">
        <v>0</v>
      </c>
      <c r="Q844" t="n">
        <v>0</v>
      </c>
      <c r="R844" s="2" t="inlineStr"/>
    </row>
    <row r="845" ht="15" customHeight="1">
      <c r="A845" t="inlineStr">
        <is>
          <t>A 39202-2024</t>
        </is>
      </c>
      <c r="B845" s="1" t="n">
        <v>45548.72306712963</v>
      </c>
      <c r="C845" s="1" t="n">
        <v>45933</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53792-2023</t>
        </is>
      </c>
      <c r="B846" s="1" t="n">
        <v>45231.34144675926</v>
      </c>
      <c r="C846" s="1" t="n">
        <v>45933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28816-2023</t>
        </is>
      </c>
      <c r="B847" s="1" t="n">
        <v>45104</v>
      </c>
      <c r="C847" s="1" t="n">
        <v>45933</v>
      </c>
      <c r="D847" t="inlineStr">
        <is>
          <t>STOCKHOLMS LÄN</t>
        </is>
      </c>
      <c r="E847" t="inlineStr">
        <is>
          <t>NORRTÄLJE</t>
        </is>
      </c>
      <c r="F847" t="inlineStr">
        <is>
          <t>Kommuner</t>
        </is>
      </c>
      <c r="G847" t="n">
        <v>0.5</v>
      </c>
      <c r="H847" t="n">
        <v>0</v>
      </c>
      <c r="I847" t="n">
        <v>0</v>
      </c>
      <c r="J847" t="n">
        <v>0</v>
      </c>
      <c r="K847" t="n">
        <v>0</v>
      </c>
      <c r="L847" t="n">
        <v>0</v>
      </c>
      <c r="M847" t="n">
        <v>0</v>
      </c>
      <c r="N847" t="n">
        <v>0</v>
      </c>
      <c r="O847" t="n">
        <v>0</v>
      </c>
      <c r="P847" t="n">
        <v>0</v>
      </c>
      <c r="Q847" t="n">
        <v>0</v>
      </c>
      <c r="R847" s="2" t="inlineStr"/>
    </row>
    <row r="848" ht="15" customHeight="1">
      <c r="A848" t="inlineStr">
        <is>
          <t>A 11280-2023</t>
        </is>
      </c>
      <c r="B848" s="1" t="n">
        <v>44992</v>
      </c>
      <c r="C848" s="1" t="n">
        <v>45933</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17775-2022</t>
        </is>
      </c>
      <c r="B849" s="1" t="n">
        <v>44682.78430555556</v>
      </c>
      <c r="C849" s="1" t="n">
        <v>45933</v>
      </c>
      <c r="D849" t="inlineStr">
        <is>
          <t>STOCKHOLMS LÄN</t>
        </is>
      </c>
      <c r="E849" t="inlineStr">
        <is>
          <t>NORRTÄLJE</t>
        </is>
      </c>
      <c r="G849" t="n">
        <v>4.7</v>
      </c>
      <c r="H849" t="n">
        <v>0</v>
      </c>
      <c r="I849" t="n">
        <v>0</v>
      </c>
      <c r="J849" t="n">
        <v>0</v>
      </c>
      <c r="K849" t="n">
        <v>0</v>
      </c>
      <c r="L849" t="n">
        <v>0</v>
      </c>
      <c r="M849" t="n">
        <v>0</v>
      </c>
      <c r="N849" t="n">
        <v>0</v>
      </c>
      <c r="O849" t="n">
        <v>0</v>
      </c>
      <c r="P849" t="n">
        <v>0</v>
      </c>
      <c r="Q849" t="n">
        <v>0</v>
      </c>
      <c r="R849" s="2" t="inlineStr"/>
    </row>
    <row r="850" ht="15" customHeight="1">
      <c r="A850" t="inlineStr">
        <is>
          <t>A 57442-2021</t>
        </is>
      </c>
      <c r="B850" s="1" t="n">
        <v>44483</v>
      </c>
      <c r="C850" s="1" t="n">
        <v>45933</v>
      </c>
      <c r="D850" t="inlineStr">
        <is>
          <t>STOCKHOLMS LÄN</t>
        </is>
      </c>
      <c r="E850" t="inlineStr">
        <is>
          <t>NORRTÄLJE</t>
        </is>
      </c>
      <c r="G850" t="n">
        <v>3.3</v>
      </c>
      <c r="H850" t="n">
        <v>0</v>
      </c>
      <c r="I850" t="n">
        <v>0</v>
      </c>
      <c r="J850" t="n">
        <v>0</v>
      </c>
      <c r="K850" t="n">
        <v>0</v>
      </c>
      <c r="L850" t="n">
        <v>0</v>
      </c>
      <c r="M850" t="n">
        <v>0</v>
      </c>
      <c r="N850" t="n">
        <v>0</v>
      </c>
      <c r="O850" t="n">
        <v>0</v>
      </c>
      <c r="P850" t="n">
        <v>0</v>
      </c>
      <c r="Q850" t="n">
        <v>0</v>
      </c>
      <c r="R850" s="2" t="inlineStr"/>
    </row>
    <row r="851" ht="15" customHeight="1">
      <c r="A851" t="inlineStr">
        <is>
          <t>A 19952-2023</t>
        </is>
      </c>
      <c r="B851" s="1" t="n">
        <v>45054.54091435186</v>
      </c>
      <c r="C851" s="1" t="n">
        <v>45933</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19994-2023</t>
        </is>
      </c>
      <c r="B852" s="1" t="n">
        <v>45054</v>
      </c>
      <c r="C852" s="1" t="n">
        <v>45933</v>
      </c>
      <c r="D852" t="inlineStr">
        <is>
          <t>STOCKHOLMS LÄN</t>
        </is>
      </c>
      <c r="E852" t="inlineStr">
        <is>
          <t>NORRTÄLJE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9703-2021</t>
        </is>
      </c>
      <c r="B853" s="1" t="n">
        <v>44252</v>
      </c>
      <c r="C853" s="1" t="n">
        <v>45933</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29003-2023</t>
        </is>
      </c>
      <c r="B854" s="1" t="n">
        <v>45104</v>
      </c>
      <c r="C854" s="1" t="n">
        <v>45933</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47481-2024</t>
        </is>
      </c>
      <c r="B855" s="1" t="n">
        <v>45587</v>
      </c>
      <c r="C855" s="1" t="n">
        <v>45933</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24933-2023</t>
        </is>
      </c>
      <c r="B856" s="1" t="n">
        <v>45085.5309375</v>
      </c>
      <c r="C856" s="1" t="n">
        <v>45933</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15956-2023</t>
        </is>
      </c>
      <c r="B857" s="1" t="n">
        <v>45022.61003472222</v>
      </c>
      <c r="C857" s="1" t="n">
        <v>45933</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11062-2024</t>
        </is>
      </c>
      <c r="B858" s="1" t="n">
        <v>45370</v>
      </c>
      <c r="C858" s="1" t="n">
        <v>45933</v>
      </c>
      <c r="D858" t="inlineStr">
        <is>
          <t>STOCKHOLMS LÄN</t>
        </is>
      </c>
      <c r="E858" t="inlineStr">
        <is>
          <t>NORRTÄLJE</t>
        </is>
      </c>
      <c r="G858" t="n">
        <v>3.2</v>
      </c>
      <c r="H858" t="n">
        <v>0</v>
      </c>
      <c r="I858" t="n">
        <v>0</v>
      </c>
      <c r="J858" t="n">
        <v>0</v>
      </c>
      <c r="K858" t="n">
        <v>0</v>
      </c>
      <c r="L858" t="n">
        <v>0</v>
      </c>
      <c r="M858" t="n">
        <v>0</v>
      </c>
      <c r="N858" t="n">
        <v>0</v>
      </c>
      <c r="O858" t="n">
        <v>0</v>
      </c>
      <c r="P858" t="n">
        <v>0</v>
      </c>
      <c r="Q858" t="n">
        <v>0</v>
      </c>
      <c r="R858" s="2" t="inlineStr"/>
    </row>
    <row r="859" ht="15" customHeight="1">
      <c r="A859" t="inlineStr">
        <is>
          <t>A 5950-2021</t>
        </is>
      </c>
      <c r="B859" s="1" t="n">
        <v>44231</v>
      </c>
      <c r="C859" s="1" t="n">
        <v>45933</v>
      </c>
      <c r="D859" t="inlineStr">
        <is>
          <t>STOCKHOLMS LÄN</t>
        </is>
      </c>
      <c r="E859" t="inlineStr">
        <is>
          <t>NORRTÄLJE</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3444-2023</t>
        </is>
      </c>
      <c r="B860" s="1" t="n">
        <v>44949</v>
      </c>
      <c r="C860" s="1" t="n">
        <v>45933</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13053-2022</t>
        </is>
      </c>
      <c r="B861" s="1" t="n">
        <v>44643</v>
      </c>
      <c r="C861" s="1" t="n">
        <v>45933</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576-2023</t>
        </is>
      </c>
      <c r="B862" s="1" t="n">
        <v>44925</v>
      </c>
      <c r="C862" s="1" t="n">
        <v>45933</v>
      </c>
      <c r="D862" t="inlineStr">
        <is>
          <t>STOCKHOLMS LÄN</t>
        </is>
      </c>
      <c r="E862" t="inlineStr">
        <is>
          <t>NORRTÄLJE</t>
        </is>
      </c>
      <c r="G862" t="n">
        <v>7.2</v>
      </c>
      <c r="H862" t="n">
        <v>0</v>
      </c>
      <c r="I862" t="n">
        <v>0</v>
      </c>
      <c r="J862" t="n">
        <v>0</v>
      </c>
      <c r="K862" t="n">
        <v>0</v>
      </c>
      <c r="L862" t="n">
        <v>0</v>
      </c>
      <c r="M862" t="n">
        <v>0</v>
      </c>
      <c r="N862" t="n">
        <v>0</v>
      </c>
      <c r="O862" t="n">
        <v>0</v>
      </c>
      <c r="P862" t="n">
        <v>0</v>
      </c>
      <c r="Q862" t="n">
        <v>0</v>
      </c>
      <c r="R862" s="2" t="inlineStr"/>
    </row>
    <row r="863" ht="15" customHeight="1">
      <c r="A863" t="inlineStr">
        <is>
          <t>A 3383-2023</t>
        </is>
      </c>
      <c r="B863" s="1" t="n">
        <v>44949</v>
      </c>
      <c r="C863" s="1" t="n">
        <v>45933</v>
      </c>
      <c r="D863" t="inlineStr">
        <is>
          <t>STOCKHOLMS LÄN</t>
        </is>
      </c>
      <c r="E863" t="inlineStr">
        <is>
          <t>NORRTÄLJE</t>
        </is>
      </c>
      <c r="G863" t="n">
        <v>14.6</v>
      </c>
      <c r="H863" t="n">
        <v>0</v>
      </c>
      <c r="I863" t="n">
        <v>0</v>
      </c>
      <c r="J863" t="n">
        <v>0</v>
      </c>
      <c r="K863" t="n">
        <v>0</v>
      </c>
      <c r="L863" t="n">
        <v>0</v>
      </c>
      <c r="M863" t="n">
        <v>0</v>
      </c>
      <c r="N863" t="n">
        <v>0</v>
      </c>
      <c r="O863" t="n">
        <v>0</v>
      </c>
      <c r="P863" t="n">
        <v>0</v>
      </c>
      <c r="Q863" t="n">
        <v>0</v>
      </c>
      <c r="R863" s="2" t="inlineStr"/>
    </row>
    <row r="864" ht="15" customHeight="1">
      <c r="A864" t="inlineStr">
        <is>
          <t>A 12908-2025</t>
        </is>
      </c>
      <c r="B864" s="1" t="n">
        <v>45733.82105324074</v>
      </c>
      <c r="C864" s="1" t="n">
        <v>45933</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4316-2023</t>
        </is>
      </c>
      <c r="B865" s="1" t="n">
        <v>44953.67443287037</v>
      </c>
      <c r="C865" s="1" t="n">
        <v>45933</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68361-2021</t>
        </is>
      </c>
      <c r="B866" s="1" t="n">
        <v>44528.91494212963</v>
      </c>
      <c r="C866" s="1" t="n">
        <v>45933</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50469-2022</t>
        </is>
      </c>
      <c r="B867" s="1" t="n">
        <v>44866.49827546296</v>
      </c>
      <c r="C867" s="1" t="n">
        <v>45933</v>
      </c>
      <c r="D867" t="inlineStr">
        <is>
          <t>STOCKHOLMS LÄN</t>
        </is>
      </c>
      <c r="E867" t="inlineStr">
        <is>
          <t>NORRTÄLJE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5839-2023</t>
        </is>
      </c>
      <c r="B868" s="1" t="n">
        <v>44963</v>
      </c>
      <c r="C868" s="1" t="n">
        <v>45933</v>
      </c>
      <c r="D868" t="inlineStr">
        <is>
          <t>STOCKHOLMS LÄN</t>
        </is>
      </c>
      <c r="E868" t="inlineStr">
        <is>
          <t>NORRTÄLJE</t>
        </is>
      </c>
      <c r="G868" t="n">
        <v>3.6</v>
      </c>
      <c r="H868" t="n">
        <v>0</v>
      </c>
      <c r="I868" t="n">
        <v>0</v>
      </c>
      <c r="J868" t="n">
        <v>0</v>
      </c>
      <c r="K868" t="n">
        <v>0</v>
      </c>
      <c r="L868" t="n">
        <v>0</v>
      </c>
      <c r="M868" t="n">
        <v>0</v>
      </c>
      <c r="N868" t="n">
        <v>0</v>
      </c>
      <c r="O868" t="n">
        <v>0</v>
      </c>
      <c r="P868" t="n">
        <v>0</v>
      </c>
      <c r="Q868" t="n">
        <v>0</v>
      </c>
      <c r="R868" s="2" t="inlineStr"/>
    </row>
    <row r="869" ht="15" customHeight="1">
      <c r="A869" t="inlineStr">
        <is>
          <t>A 5804-2025</t>
        </is>
      </c>
      <c r="B869" s="1" t="n">
        <v>45694.68207175926</v>
      </c>
      <c r="C869" s="1" t="n">
        <v>45933</v>
      </c>
      <c r="D869" t="inlineStr">
        <is>
          <t>STOCKHOLMS LÄN</t>
        </is>
      </c>
      <c r="E869" t="inlineStr">
        <is>
          <t>NORRTÄLJE</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41976-2024</t>
        </is>
      </c>
      <c r="B870" s="1" t="n">
        <v>45561.62141203704</v>
      </c>
      <c r="C870" s="1" t="n">
        <v>45933</v>
      </c>
      <c r="D870" t="inlineStr">
        <is>
          <t>STOCKHOLMS LÄN</t>
        </is>
      </c>
      <c r="E870" t="inlineStr">
        <is>
          <t>NORRTÄLJE</t>
        </is>
      </c>
      <c r="G870" t="n">
        <v>2.5</v>
      </c>
      <c r="H870" t="n">
        <v>0</v>
      </c>
      <c r="I870" t="n">
        <v>0</v>
      </c>
      <c r="J870" t="n">
        <v>0</v>
      </c>
      <c r="K870" t="n">
        <v>0</v>
      </c>
      <c r="L870" t="n">
        <v>0</v>
      </c>
      <c r="M870" t="n">
        <v>0</v>
      </c>
      <c r="N870" t="n">
        <v>0</v>
      </c>
      <c r="O870" t="n">
        <v>0</v>
      </c>
      <c r="P870" t="n">
        <v>0</v>
      </c>
      <c r="Q870" t="n">
        <v>0</v>
      </c>
      <c r="R870" s="2" t="inlineStr"/>
    </row>
    <row r="871" ht="15" customHeight="1">
      <c r="A871" t="inlineStr">
        <is>
          <t>A 24705-2023</t>
        </is>
      </c>
      <c r="B871" s="1" t="n">
        <v>45084.54459490741</v>
      </c>
      <c r="C871" s="1" t="n">
        <v>45933</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54358-2022</t>
        </is>
      </c>
      <c r="B872" s="1" t="n">
        <v>44882</v>
      </c>
      <c r="C872" s="1" t="n">
        <v>45933</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62206-2022</t>
        </is>
      </c>
      <c r="B873" s="1" t="n">
        <v>44922</v>
      </c>
      <c r="C873" s="1" t="n">
        <v>45933</v>
      </c>
      <c r="D873" t="inlineStr">
        <is>
          <t>STOCKHOLMS LÄN</t>
        </is>
      </c>
      <c r="E873" t="inlineStr">
        <is>
          <t>NORRTÄLJE</t>
        </is>
      </c>
      <c r="G873" t="n">
        <v>2.9</v>
      </c>
      <c r="H873" t="n">
        <v>0</v>
      </c>
      <c r="I873" t="n">
        <v>0</v>
      </c>
      <c r="J873" t="n">
        <v>0</v>
      </c>
      <c r="K873" t="n">
        <v>0</v>
      </c>
      <c r="L873" t="n">
        <v>0</v>
      </c>
      <c r="M873" t="n">
        <v>0</v>
      </c>
      <c r="N873" t="n">
        <v>0</v>
      </c>
      <c r="O873" t="n">
        <v>0</v>
      </c>
      <c r="P873" t="n">
        <v>0</v>
      </c>
      <c r="Q873" t="n">
        <v>0</v>
      </c>
      <c r="R873" s="2" t="inlineStr"/>
    </row>
    <row r="874" ht="15" customHeight="1">
      <c r="A874" t="inlineStr">
        <is>
          <t>A 30886-2022</t>
        </is>
      </c>
      <c r="B874" s="1" t="n">
        <v>44767.60601851852</v>
      </c>
      <c r="C874" s="1" t="n">
        <v>45933</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58989-2021</t>
        </is>
      </c>
      <c r="B875" s="1" t="n">
        <v>44490.02482638889</v>
      </c>
      <c r="C875" s="1" t="n">
        <v>45933</v>
      </c>
      <c r="D875" t="inlineStr">
        <is>
          <t>STOCKHOLMS LÄN</t>
        </is>
      </c>
      <c r="E875" t="inlineStr">
        <is>
          <t>NORRTÄLJE</t>
        </is>
      </c>
      <c r="G875" t="n">
        <v>0.3</v>
      </c>
      <c r="H875" t="n">
        <v>0</v>
      </c>
      <c r="I875" t="n">
        <v>0</v>
      </c>
      <c r="J875" t="n">
        <v>0</v>
      </c>
      <c r="K875" t="n">
        <v>0</v>
      </c>
      <c r="L875" t="n">
        <v>0</v>
      </c>
      <c r="M875" t="n">
        <v>0</v>
      </c>
      <c r="N875" t="n">
        <v>0</v>
      </c>
      <c r="O875" t="n">
        <v>0</v>
      </c>
      <c r="P875" t="n">
        <v>0</v>
      </c>
      <c r="Q875" t="n">
        <v>0</v>
      </c>
      <c r="R875" s="2" t="inlineStr"/>
    </row>
    <row r="876" ht="15" customHeight="1">
      <c r="A876" t="inlineStr">
        <is>
          <t>A 58990-2021</t>
        </is>
      </c>
      <c r="B876" s="1" t="n">
        <v>44490.03621527777</v>
      </c>
      <c r="C876" s="1" t="n">
        <v>45933</v>
      </c>
      <c r="D876" t="inlineStr">
        <is>
          <t>STOCKHOLMS LÄN</t>
        </is>
      </c>
      <c r="E876" t="inlineStr">
        <is>
          <t>NORRTÄLJE</t>
        </is>
      </c>
      <c r="G876" t="n">
        <v>4.2</v>
      </c>
      <c r="H876" t="n">
        <v>0</v>
      </c>
      <c r="I876" t="n">
        <v>0</v>
      </c>
      <c r="J876" t="n">
        <v>0</v>
      </c>
      <c r="K876" t="n">
        <v>0</v>
      </c>
      <c r="L876" t="n">
        <v>0</v>
      </c>
      <c r="M876" t="n">
        <v>0</v>
      </c>
      <c r="N876" t="n">
        <v>0</v>
      </c>
      <c r="O876" t="n">
        <v>0</v>
      </c>
      <c r="P876" t="n">
        <v>0</v>
      </c>
      <c r="Q876" t="n">
        <v>0</v>
      </c>
      <c r="R876" s="2" t="inlineStr"/>
    </row>
    <row r="877" ht="15" customHeight="1">
      <c r="A877" t="inlineStr">
        <is>
          <t>A 23749-2024</t>
        </is>
      </c>
      <c r="B877" s="1" t="n">
        <v>45455.33037037037</v>
      </c>
      <c r="C877" s="1" t="n">
        <v>45933</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11940-2023</t>
        </is>
      </c>
      <c r="B878" s="1" t="n">
        <v>44995</v>
      </c>
      <c r="C878" s="1" t="n">
        <v>45933</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35691-2023</t>
        </is>
      </c>
      <c r="B879" s="1" t="n">
        <v>45147.65222222222</v>
      </c>
      <c r="C879" s="1" t="n">
        <v>45933</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35693-2023</t>
        </is>
      </c>
      <c r="B880" s="1" t="n">
        <v>45147.65311342593</v>
      </c>
      <c r="C880" s="1" t="n">
        <v>45933</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35698-2023</t>
        </is>
      </c>
      <c r="B881" s="1" t="n">
        <v>45147</v>
      </c>
      <c r="C881" s="1" t="n">
        <v>45933</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44750.66068287037</v>
      </c>
      <c r="C882" s="1" t="n">
        <v>45933</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45933</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73992-2021</t>
        </is>
      </c>
      <c r="B884" s="1" t="n">
        <v>44556</v>
      </c>
      <c r="C884" s="1" t="n">
        <v>45933</v>
      </c>
      <c r="D884" t="inlineStr">
        <is>
          <t>STOCKHOLMS LÄN</t>
        </is>
      </c>
      <c r="E884" t="inlineStr">
        <is>
          <t>NORRTÄLJE</t>
        </is>
      </c>
      <c r="G884" t="n">
        <v>12.5</v>
      </c>
      <c r="H884" t="n">
        <v>0</v>
      </c>
      <c r="I884" t="n">
        <v>0</v>
      </c>
      <c r="J884" t="n">
        <v>0</v>
      </c>
      <c r="K884" t="n">
        <v>0</v>
      </c>
      <c r="L884" t="n">
        <v>0</v>
      </c>
      <c r="M884" t="n">
        <v>0</v>
      </c>
      <c r="N884" t="n">
        <v>0</v>
      </c>
      <c r="O884" t="n">
        <v>0</v>
      </c>
      <c r="P884" t="n">
        <v>0</v>
      </c>
      <c r="Q884" t="n">
        <v>0</v>
      </c>
      <c r="R884" s="2" t="inlineStr"/>
    </row>
    <row r="885" ht="15" customHeight="1">
      <c r="A885" t="inlineStr">
        <is>
          <t>A 6401-2024</t>
        </is>
      </c>
      <c r="B885" s="1" t="n">
        <v>45338</v>
      </c>
      <c r="C885" s="1" t="n">
        <v>45933</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24501-2023</t>
        </is>
      </c>
      <c r="B886" s="1" t="n">
        <v>45082</v>
      </c>
      <c r="C886" s="1" t="n">
        <v>45933</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24520-2023</t>
        </is>
      </c>
      <c r="B887" s="1" t="n">
        <v>45082.68922453704</v>
      </c>
      <c r="C887" s="1" t="n">
        <v>45933</v>
      </c>
      <c r="D887" t="inlineStr">
        <is>
          <t>STOCKHOLMS LÄN</t>
        </is>
      </c>
      <c r="E887" t="inlineStr">
        <is>
          <t>NORRTÄLJE</t>
        </is>
      </c>
      <c r="G887" t="n">
        <v>4.3</v>
      </c>
      <c r="H887" t="n">
        <v>0</v>
      </c>
      <c r="I887" t="n">
        <v>0</v>
      </c>
      <c r="J887" t="n">
        <v>0</v>
      </c>
      <c r="K887" t="n">
        <v>0</v>
      </c>
      <c r="L887" t="n">
        <v>0</v>
      </c>
      <c r="M887" t="n">
        <v>0</v>
      </c>
      <c r="N887" t="n">
        <v>0</v>
      </c>
      <c r="O887" t="n">
        <v>0</v>
      </c>
      <c r="P887" t="n">
        <v>0</v>
      </c>
      <c r="Q887" t="n">
        <v>0</v>
      </c>
      <c r="R887" s="2" t="inlineStr"/>
    </row>
    <row r="888" ht="15" customHeight="1">
      <c r="A888" t="inlineStr">
        <is>
          <t>A 31281-2022</t>
        </is>
      </c>
      <c r="B888" s="1" t="n">
        <v>44771</v>
      </c>
      <c r="C888" s="1" t="n">
        <v>45933</v>
      </c>
      <c r="D888" t="inlineStr">
        <is>
          <t>STOCKHOLMS LÄN</t>
        </is>
      </c>
      <c r="E888" t="inlineStr">
        <is>
          <t>NORRTÄLJE</t>
        </is>
      </c>
      <c r="F888" t="inlineStr">
        <is>
          <t>Holmen skog AB</t>
        </is>
      </c>
      <c r="G888" t="n">
        <v>5.2</v>
      </c>
      <c r="H888" t="n">
        <v>0</v>
      </c>
      <c r="I888" t="n">
        <v>0</v>
      </c>
      <c r="J888" t="n">
        <v>0</v>
      </c>
      <c r="K888" t="n">
        <v>0</v>
      </c>
      <c r="L888" t="n">
        <v>0</v>
      </c>
      <c r="M888" t="n">
        <v>0</v>
      </c>
      <c r="N888" t="n">
        <v>0</v>
      </c>
      <c r="O888" t="n">
        <v>0</v>
      </c>
      <c r="P888" t="n">
        <v>0</v>
      </c>
      <c r="Q888" t="n">
        <v>0</v>
      </c>
      <c r="R888" s="2" t="inlineStr"/>
    </row>
    <row r="889" ht="15" customHeight="1">
      <c r="A889" t="inlineStr">
        <is>
          <t>A 21329-2022</t>
        </is>
      </c>
      <c r="B889" s="1" t="n">
        <v>44705.60626157407</v>
      </c>
      <c r="C889" s="1" t="n">
        <v>45933</v>
      </c>
      <c r="D889" t="inlineStr">
        <is>
          <t>STOCKHOLMS LÄN</t>
        </is>
      </c>
      <c r="E889" t="inlineStr">
        <is>
          <t>NORRTÄLJE</t>
        </is>
      </c>
      <c r="G889" t="n">
        <v>4.1</v>
      </c>
      <c r="H889" t="n">
        <v>0</v>
      </c>
      <c r="I889" t="n">
        <v>0</v>
      </c>
      <c r="J889" t="n">
        <v>0</v>
      </c>
      <c r="K889" t="n">
        <v>0</v>
      </c>
      <c r="L889" t="n">
        <v>0</v>
      </c>
      <c r="M889" t="n">
        <v>0</v>
      </c>
      <c r="N889" t="n">
        <v>0</v>
      </c>
      <c r="O889" t="n">
        <v>0</v>
      </c>
      <c r="P889" t="n">
        <v>0</v>
      </c>
      <c r="Q889" t="n">
        <v>0</v>
      </c>
      <c r="R889" s="2" t="inlineStr"/>
    </row>
    <row r="890" ht="15" customHeight="1">
      <c r="A890" t="inlineStr">
        <is>
          <t>A 38612-2022</t>
        </is>
      </c>
      <c r="B890" s="1" t="n">
        <v>44813</v>
      </c>
      <c r="C890" s="1" t="n">
        <v>45933</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54276-2021</t>
        </is>
      </c>
      <c r="B891" s="1" t="n">
        <v>44470</v>
      </c>
      <c r="C891" s="1" t="n">
        <v>45933</v>
      </c>
      <c r="D891" t="inlineStr">
        <is>
          <t>STOCKHOLMS LÄN</t>
        </is>
      </c>
      <c r="E891" t="inlineStr">
        <is>
          <t>NORRTÄLJE</t>
        </is>
      </c>
      <c r="G891" t="n">
        <v>7.3</v>
      </c>
      <c r="H891" t="n">
        <v>0</v>
      </c>
      <c r="I891" t="n">
        <v>0</v>
      </c>
      <c r="J891" t="n">
        <v>0</v>
      </c>
      <c r="K891" t="n">
        <v>0</v>
      </c>
      <c r="L891" t="n">
        <v>0</v>
      </c>
      <c r="M891" t="n">
        <v>0</v>
      </c>
      <c r="N891" t="n">
        <v>0</v>
      </c>
      <c r="O891" t="n">
        <v>0</v>
      </c>
      <c r="P891" t="n">
        <v>0</v>
      </c>
      <c r="Q891" t="n">
        <v>0</v>
      </c>
      <c r="R891" s="2" t="inlineStr"/>
    </row>
    <row r="892" ht="15" customHeight="1">
      <c r="A892" t="inlineStr">
        <is>
          <t>A 33040-2021</t>
        </is>
      </c>
      <c r="B892" s="1" t="n">
        <v>44376.50728009259</v>
      </c>
      <c r="C892" s="1" t="n">
        <v>45933</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10090-2022</t>
        </is>
      </c>
      <c r="B893" s="1" t="n">
        <v>44621</v>
      </c>
      <c r="C893" s="1" t="n">
        <v>45933</v>
      </c>
      <c r="D893" t="inlineStr">
        <is>
          <t>STOCKHOLMS LÄN</t>
        </is>
      </c>
      <c r="E893" t="inlineStr">
        <is>
          <t>NORRTÄLJE</t>
        </is>
      </c>
      <c r="G893" t="n">
        <v>5.2</v>
      </c>
      <c r="H893" t="n">
        <v>0</v>
      </c>
      <c r="I893" t="n">
        <v>0</v>
      </c>
      <c r="J893" t="n">
        <v>0</v>
      </c>
      <c r="K893" t="n">
        <v>0</v>
      </c>
      <c r="L893" t="n">
        <v>0</v>
      </c>
      <c r="M893" t="n">
        <v>0</v>
      </c>
      <c r="N893" t="n">
        <v>0</v>
      </c>
      <c r="O893" t="n">
        <v>0</v>
      </c>
      <c r="P893" t="n">
        <v>0</v>
      </c>
      <c r="Q893" t="n">
        <v>0</v>
      </c>
      <c r="R893" s="2" t="inlineStr"/>
    </row>
    <row r="894" ht="15" customHeight="1">
      <c r="A894" t="inlineStr">
        <is>
          <t>A 13785-2024</t>
        </is>
      </c>
      <c r="B894" s="1" t="n">
        <v>45391.3395949074</v>
      </c>
      <c r="C894" s="1" t="n">
        <v>45933</v>
      </c>
      <c r="D894" t="inlineStr">
        <is>
          <t>STOCKHOLMS LÄN</t>
        </is>
      </c>
      <c r="E894" t="inlineStr">
        <is>
          <t>NORRTÄLJE</t>
        </is>
      </c>
      <c r="G894" t="n">
        <v>5</v>
      </c>
      <c r="H894" t="n">
        <v>0</v>
      </c>
      <c r="I894" t="n">
        <v>0</v>
      </c>
      <c r="J894" t="n">
        <v>0</v>
      </c>
      <c r="K894" t="n">
        <v>0</v>
      </c>
      <c r="L894" t="n">
        <v>0</v>
      </c>
      <c r="M894" t="n">
        <v>0</v>
      </c>
      <c r="N894" t="n">
        <v>0</v>
      </c>
      <c r="O894" t="n">
        <v>0</v>
      </c>
      <c r="P894" t="n">
        <v>0</v>
      </c>
      <c r="Q894" t="n">
        <v>0</v>
      </c>
      <c r="R894" s="2" t="inlineStr"/>
    </row>
    <row r="895" ht="15" customHeight="1">
      <c r="A895" t="inlineStr">
        <is>
          <t>A 26117-2024</t>
        </is>
      </c>
      <c r="B895" s="1" t="n">
        <v>45468.45877314815</v>
      </c>
      <c r="C895" s="1" t="n">
        <v>45933</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51116-2022</t>
        </is>
      </c>
      <c r="B896" s="1" t="n">
        <v>44868.45741898148</v>
      </c>
      <c r="C896" s="1" t="n">
        <v>45933</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61113-2023</t>
        </is>
      </c>
      <c r="B897" s="1" t="n">
        <v>45261</v>
      </c>
      <c r="C897" s="1" t="n">
        <v>45933</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29972-2024</t>
        </is>
      </c>
      <c r="B898" s="1" t="n">
        <v>45485</v>
      </c>
      <c r="C898" s="1" t="n">
        <v>45933</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60822-2023</t>
        </is>
      </c>
      <c r="B899" s="1" t="n">
        <v>45259</v>
      </c>
      <c r="C899" s="1" t="n">
        <v>45933</v>
      </c>
      <c r="D899" t="inlineStr">
        <is>
          <t>STOCKHOLMS LÄN</t>
        </is>
      </c>
      <c r="E899" t="inlineStr">
        <is>
          <t>NORRTÄLJE</t>
        </is>
      </c>
      <c r="G899" t="n">
        <v>5.2</v>
      </c>
      <c r="H899" t="n">
        <v>0</v>
      </c>
      <c r="I899" t="n">
        <v>0</v>
      </c>
      <c r="J899" t="n">
        <v>0</v>
      </c>
      <c r="K899" t="n">
        <v>0</v>
      </c>
      <c r="L899" t="n">
        <v>0</v>
      </c>
      <c r="M899" t="n">
        <v>0</v>
      </c>
      <c r="N899" t="n">
        <v>0</v>
      </c>
      <c r="O899" t="n">
        <v>0</v>
      </c>
      <c r="P899" t="n">
        <v>0</v>
      </c>
      <c r="Q899" t="n">
        <v>0</v>
      </c>
      <c r="R899" s="2" t="inlineStr"/>
    </row>
    <row r="900" ht="15" customHeight="1">
      <c r="A900" t="inlineStr">
        <is>
          <t>A 59310-2023</t>
        </is>
      </c>
      <c r="B900" s="1" t="n">
        <v>45253.61146990741</v>
      </c>
      <c r="C900" s="1" t="n">
        <v>45933</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20343-2024</t>
        </is>
      </c>
      <c r="B901" s="1" t="n">
        <v>45435.43466435185</v>
      </c>
      <c r="C901" s="1" t="n">
        <v>45933</v>
      </c>
      <c r="D901" t="inlineStr">
        <is>
          <t>STOCKHOLMS LÄN</t>
        </is>
      </c>
      <c r="E901" t="inlineStr">
        <is>
          <t>NORRTÄLJE</t>
        </is>
      </c>
      <c r="G901" t="n">
        <v>2.8</v>
      </c>
      <c r="H901" t="n">
        <v>0</v>
      </c>
      <c r="I901" t="n">
        <v>0</v>
      </c>
      <c r="J901" t="n">
        <v>0</v>
      </c>
      <c r="K901" t="n">
        <v>0</v>
      </c>
      <c r="L901" t="n">
        <v>0</v>
      </c>
      <c r="M901" t="n">
        <v>0</v>
      </c>
      <c r="N901" t="n">
        <v>0</v>
      </c>
      <c r="O901" t="n">
        <v>0</v>
      </c>
      <c r="P901" t="n">
        <v>0</v>
      </c>
      <c r="Q901" t="n">
        <v>0</v>
      </c>
      <c r="R901" s="2" t="inlineStr"/>
    </row>
    <row r="902" ht="15" customHeight="1">
      <c r="A902" t="inlineStr">
        <is>
          <t>A 20345-2024</t>
        </is>
      </c>
      <c r="B902" s="1" t="n">
        <v>45435.43820601852</v>
      </c>
      <c r="C902" s="1" t="n">
        <v>45933</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55010-2024</t>
        </is>
      </c>
      <c r="B903" s="1" t="n">
        <v>45621.34425925926</v>
      </c>
      <c r="C903" s="1" t="n">
        <v>45933</v>
      </c>
      <c r="D903" t="inlineStr">
        <is>
          <t>STOCKHOLMS LÄN</t>
        </is>
      </c>
      <c r="E903" t="inlineStr">
        <is>
          <t>NORRTÄLJE</t>
        </is>
      </c>
      <c r="F903" t="inlineStr">
        <is>
          <t>Sveaskog</t>
        </is>
      </c>
      <c r="G903" t="n">
        <v>5.7</v>
      </c>
      <c r="H903" t="n">
        <v>0</v>
      </c>
      <c r="I903" t="n">
        <v>0</v>
      </c>
      <c r="J903" t="n">
        <v>0</v>
      </c>
      <c r="K903" t="n">
        <v>0</v>
      </c>
      <c r="L903" t="n">
        <v>0</v>
      </c>
      <c r="M903" t="n">
        <v>0</v>
      </c>
      <c r="N903" t="n">
        <v>0</v>
      </c>
      <c r="O903" t="n">
        <v>0</v>
      </c>
      <c r="P903" t="n">
        <v>0</v>
      </c>
      <c r="Q903" t="n">
        <v>0</v>
      </c>
      <c r="R903" s="2" t="inlineStr"/>
    </row>
    <row r="904" ht="15" customHeight="1">
      <c r="A904" t="inlineStr">
        <is>
          <t>A 55018-2024</t>
        </is>
      </c>
      <c r="B904" s="1" t="n">
        <v>45621.35712962963</v>
      </c>
      <c r="C904" s="1" t="n">
        <v>45933</v>
      </c>
      <c r="D904" t="inlineStr">
        <is>
          <t>STOCKHOLMS LÄN</t>
        </is>
      </c>
      <c r="E904" t="inlineStr">
        <is>
          <t>NORRTÄLJE</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50113-2024</t>
        </is>
      </c>
      <c r="B905" s="1" t="n">
        <v>45600.411875</v>
      </c>
      <c r="C905" s="1" t="n">
        <v>45933</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28809-2023</t>
        </is>
      </c>
      <c r="B906" s="1" t="n">
        <v>45104</v>
      </c>
      <c r="C906" s="1" t="n">
        <v>45933</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28813-2023</t>
        </is>
      </c>
      <c r="B907" s="1" t="n">
        <v>45104</v>
      </c>
      <c r="C907" s="1" t="n">
        <v>45933</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20336-2024</t>
        </is>
      </c>
      <c r="B908" s="1" t="n">
        <v>45435.43123842592</v>
      </c>
      <c r="C908" s="1" t="n">
        <v>45933</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19131-2025</t>
        </is>
      </c>
      <c r="B909" s="1" t="n">
        <v>45769</v>
      </c>
      <c r="C909" s="1" t="n">
        <v>45933</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64899-2023</t>
        </is>
      </c>
      <c r="B910" s="1" t="n">
        <v>45282</v>
      </c>
      <c r="C910" s="1" t="n">
        <v>45933</v>
      </c>
      <c r="D910" t="inlineStr">
        <is>
          <t>STOCKHOLMS LÄN</t>
        </is>
      </c>
      <c r="E910" t="inlineStr">
        <is>
          <t>NORRTÄLJE</t>
        </is>
      </c>
      <c r="G910" t="n">
        <v>6.3</v>
      </c>
      <c r="H910" t="n">
        <v>0</v>
      </c>
      <c r="I910" t="n">
        <v>0</v>
      </c>
      <c r="J910" t="n">
        <v>0</v>
      </c>
      <c r="K910" t="n">
        <v>0</v>
      </c>
      <c r="L910" t="n">
        <v>0</v>
      </c>
      <c r="M910" t="n">
        <v>0</v>
      </c>
      <c r="N910" t="n">
        <v>0</v>
      </c>
      <c r="O910" t="n">
        <v>0</v>
      </c>
      <c r="P910" t="n">
        <v>0</v>
      </c>
      <c r="Q910" t="n">
        <v>0</v>
      </c>
      <c r="R910" s="2" t="inlineStr"/>
    </row>
    <row r="911" ht="15" customHeight="1">
      <c r="A911" t="inlineStr">
        <is>
          <t>A 11929-2024</t>
        </is>
      </c>
      <c r="B911" s="1" t="n">
        <v>45376.64532407407</v>
      </c>
      <c r="C911" s="1" t="n">
        <v>45933</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1847-2023</t>
        </is>
      </c>
      <c r="B912" s="1" t="n">
        <v>44938</v>
      </c>
      <c r="C912" s="1" t="n">
        <v>45933</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11122-2021</t>
        </is>
      </c>
      <c r="B913" s="1" t="n">
        <v>44260</v>
      </c>
      <c r="C913" s="1" t="n">
        <v>45933</v>
      </c>
      <c r="D913" t="inlineStr">
        <is>
          <t>STOCKHOLMS LÄN</t>
        </is>
      </c>
      <c r="E913" t="inlineStr">
        <is>
          <t>NORRTÄLJE</t>
        </is>
      </c>
      <c r="F913" t="inlineStr">
        <is>
          <t>Holmen skog AB</t>
        </is>
      </c>
      <c r="G913" t="n">
        <v>2.1</v>
      </c>
      <c r="H913" t="n">
        <v>0</v>
      </c>
      <c r="I913" t="n">
        <v>0</v>
      </c>
      <c r="J913" t="n">
        <v>0</v>
      </c>
      <c r="K913" t="n">
        <v>0</v>
      </c>
      <c r="L913" t="n">
        <v>0</v>
      </c>
      <c r="M913" t="n">
        <v>0</v>
      </c>
      <c r="N913" t="n">
        <v>0</v>
      </c>
      <c r="O913" t="n">
        <v>0</v>
      </c>
      <c r="P913" t="n">
        <v>0</v>
      </c>
      <c r="Q913" t="n">
        <v>0</v>
      </c>
      <c r="R913" s="2" t="inlineStr"/>
    </row>
    <row r="914" ht="15" customHeight="1">
      <c r="A914" t="inlineStr">
        <is>
          <t>A 64145-2021</t>
        </is>
      </c>
      <c r="B914" s="1" t="n">
        <v>44510</v>
      </c>
      <c r="C914" s="1" t="n">
        <v>45933</v>
      </c>
      <c r="D914" t="inlineStr">
        <is>
          <t>STOCKHOLMS LÄN</t>
        </is>
      </c>
      <c r="E914" t="inlineStr">
        <is>
          <t>NORRTÄLJE</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45451-2024</t>
        </is>
      </c>
      <c r="B915" s="1" t="n">
        <v>45576</v>
      </c>
      <c r="C915" s="1" t="n">
        <v>45933</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29362-2022</t>
        </is>
      </c>
      <c r="B916" s="1" t="n">
        <v>44753</v>
      </c>
      <c r="C916" s="1" t="n">
        <v>45933</v>
      </c>
      <c r="D916" t="inlineStr">
        <is>
          <t>STOCKHOLMS LÄN</t>
        </is>
      </c>
      <c r="E916" t="inlineStr">
        <is>
          <t>NORRTÄLJE</t>
        </is>
      </c>
      <c r="G916" t="n">
        <v>3.8</v>
      </c>
      <c r="H916" t="n">
        <v>0</v>
      </c>
      <c r="I916" t="n">
        <v>0</v>
      </c>
      <c r="J916" t="n">
        <v>0</v>
      </c>
      <c r="K916" t="n">
        <v>0</v>
      </c>
      <c r="L916" t="n">
        <v>0</v>
      </c>
      <c r="M916" t="n">
        <v>0</v>
      </c>
      <c r="N916" t="n">
        <v>0</v>
      </c>
      <c r="O916" t="n">
        <v>0</v>
      </c>
      <c r="P916" t="n">
        <v>0</v>
      </c>
      <c r="Q916" t="n">
        <v>0</v>
      </c>
      <c r="R916" s="2" t="inlineStr"/>
    </row>
    <row r="917" ht="15" customHeight="1">
      <c r="A917" t="inlineStr">
        <is>
          <t>A 20291-2022</t>
        </is>
      </c>
      <c r="B917" s="1" t="n">
        <v>44698</v>
      </c>
      <c r="C917" s="1" t="n">
        <v>45933</v>
      </c>
      <c r="D917" t="inlineStr">
        <is>
          <t>STOCKHOLMS LÄN</t>
        </is>
      </c>
      <c r="E917" t="inlineStr">
        <is>
          <t>NORRTÄLJE</t>
        </is>
      </c>
      <c r="F917" t="inlineStr">
        <is>
          <t>Naturvårdsverket</t>
        </is>
      </c>
      <c r="G917" t="n">
        <v>2</v>
      </c>
      <c r="H917" t="n">
        <v>0</v>
      </c>
      <c r="I917" t="n">
        <v>0</v>
      </c>
      <c r="J917" t="n">
        <v>0</v>
      </c>
      <c r="K917" t="n">
        <v>0</v>
      </c>
      <c r="L917" t="n">
        <v>0</v>
      </c>
      <c r="M917" t="n">
        <v>0</v>
      </c>
      <c r="N917" t="n">
        <v>0</v>
      </c>
      <c r="O917" t="n">
        <v>0</v>
      </c>
      <c r="P917" t="n">
        <v>0</v>
      </c>
      <c r="Q917" t="n">
        <v>0</v>
      </c>
      <c r="R917" s="2" t="inlineStr"/>
    </row>
    <row r="918" ht="15" customHeight="1">
      <c r="A918" t="inlineStr">
        <is>
          <t>A 12302-2025</t>
        </is>
      </c>
      <c r="B918" s="1" t="n">
        <v>45729.72851851852</v>
      </c>
      <c r="C918" s="1" t="n">
        <v>45933</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45933</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1425-2025</t>
        </is>
      </c>
      <c r="B920" s="1" t="n">
        <v>45668.67446759259</v>
      </c>
      <c r="C920" s="1" t="n">
        <v>45933</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1453-2025</t>
        </is>
      </c>
      <c r="B921" s="1" t="n">
        <v>45670.3079050926</v>
      </c>
      <c r="C921" s="1" t="n">
        <v>45933</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3386-2021</t>
        </is>
      </c>
      <c r="B922" s="1" t="n">
        <v>44218</v>
      </c>
      <c r="C922" s="1" t="n">
        <v>45933</v>
      </c>
      <c r="D922" t="inlineStr">
        <is>
          <t>STOCKHOLMS LÄN</t>
        </is>
      </c>
      <c r="E922" t="inlineStr">
        <is>
          <t>NORRTÄLJE</t>
        </is>
      </c>
      <c r="G922" t="n">
        <v>8</v>
      </c>
      <c r="H922" t="n">
        <v>0</v>
      </c>
      <c r="I922" t="n">
        <v>0</v>
      </c>
      <c r="J922" t="n">
        <v>0</v>
      </c>
      <c r="K922" t="n">
        <v>0</v>
      </c>
      <c r="L922" t="n">
        <v>0</v>
      </c>
      <c r="M922" t="n">
        <v>0</v>
      </c>
      <c r="N922" t="n">
        <v>0</v>
      </c>
      <c r="O922" t="n">
        <v>0</v>
      </c>
      <c r="P922" t="n">
        <v>0</v>
      </c>
      <c r="Q922" t="n">
        <v>0</v>
      </c>
      <c r="R922" s="2" t="inlineStr"/>
    </row>
    <row r="923" ht="15" customHeight="1">
      <c r="A923" t="inlineStr">
        <is>
          <t>A 13860-2023</t>
        </is>
      </c>
      <c r="B923" s="1" t="n">
        <v>45007</v>
      </c>
      <c r="C923" s="1" t="n">
        <v>45933</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6070-2022</t>
        </is>
      </c>
      <c r="B924" s="1" t="n">
        <v>44599.58428240741</v>
      </c>
      <c r="C924" s="1" t="n">
        <v>45933</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9130-2025</t>
        </is>
      </c>
      <c r="B925" s="1" t="n">
        <v>45713.92623842593</v>
      </c>
      <c r="C925" s="1" t="n">
        <v>45933</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27828-2022</t>
        </is>
      </c>
      <c r="B926" s="1" t="n">
        <v>44743.59765046297</v>
      </c>
      <c r="C926" s="1" t="n">
        <v>45933</v>
      </c>
      <c r="D926" t="inlineStr">
        <is>
          <t>STOCKHOLMS LÄN</t>
        </is>
      </c>
      <c r="E926" t="inlineStr">
        <is>
          <t>NORRTÄLJE</t>
        </is>
      </c>
      <c r="F926" t="inlineStr">
        <is>
          <t>Kommuner</t>
        </is>
      </c>
      <c r="G926" t="n">
        <v>1.6</v>
      </c>
      <c r="H926" t="n">
        <v>0</v>
      </c>
      <c r="I926" t="n">
        <v>0</v>
      </c>
      <c r="J926" t="n">
        <v>0</v>
      </c>
      <c r="K926" t="n">
        <v>0</v>
      </c>
      <c r="L926" t="n">
        <v>0</v>
      </c>
      <c r="M926" t="n">
        <v>0</v>
      </c>
      <c r="N926" t="n">
        <v>0</v>
      </c>
      <c r="O926" t="n">
        <v>0</v>
      </c>
      <c r="P926" t="n">
        <v>0</v>
      </c>
      <c r="Q926" t="n">
        <v>0</v>
      </c>
      <c r="R926" s="2" t="inlineStr"/>
    </row>
    <row r="927" ht="15" customHeight="1">
      <c r="A927" t="inlineStr">
        <is>
          <t>A 59873-2024</t>
        </is>
      </c>
      <c r="B927" s="1" t="n">
        <v>45640.57305555556</v>
      </c>
      <c r="C927" s="1" t="n">
        <v>45933</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22412-2021</t>
        </is>
      </c>
      <c r="B928" s="1" t="n">
        <v>44326.61967592593</v>
      </c>
      <c r="C928" s="1" t="n">
        <v>45933</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48161-2022</t>
        </is>
      </c>
      <c r="B929" s="1" t="n">
        <v>44858</v>
      </c>
      <c r="C929" s="1" t="n">
        <v>45933</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43150-2023</t>
        </is>
      </c>
      <c r="B930" s="1" t="n">
        <v>45183</v>
      </c>
      <c r="C930" s="1" t="n">
        <v>45933</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59534-2024</t>
        </is>
      </c>
      <c r="B931" s="1" t="n">
        <v>45638.5987037037</v>
      </c>
      <c r="C931" s="1" t="n">
        <v>45933</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23307-2024</t>
        </is>
      </c>
      <c r="B932" s="1" t="n">
        <v>45453</v>
      </c>
      <c r="C932" s="1" t="n">
        <v>45933</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19450-2025</t>
        </is>
      </c>
      <c r="B933" s="1" t="n">
        <v>45770</v>
      </c>
      <c r="C933" s="1" t="n">
        <v>45933</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2281-2024</t>
        </is>
      </c>
      <c r="B934" s="1" t="n">
        <v>45310.40628472222</v>
      </c>
      <c r="C934" s="1" t="n">
        <v>45933</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2287-2024</t>
        </is>
      </c>
      <c r="B935" s="1" t="n">
        <v>45310</v>
      </c>
      <c r="C935" s="1" t="n">
        <v>45933</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20618-2022</t>
        </is>
      </c>
      <c r="B936" s="1" t="n">
        <v>44700.50659722222</v>
      </c>
      <c r="C936" s="1" t="n">
        <v>45933</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59504-2023</t>
        </is>
      </c>
      <c r="B937" s="1" t="n">
        <v>45254</v>
      </c>
      <c r="C937" s="1" t="n">
        <v>45933</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25656-2023</t>
        </is>
      </c>
      <c r="B938" s="1" t="n">
        <v>45089</v>
      </c>
      <c r="C938" s="1" t="n">
        <v>45933</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38049-2023</t>
        </is>
      </c>
      <c r="B939" s="1" t="n">
        <v>45159</v>
      </c>
      <c r="C939" s="1" t="n">
        <v>45933</v>
      </c>
      <c r="D939" t="inlineStr">
        <is>
          <t>STOCKHOLMS LÄN</t>
        </is>
      </c>
      <c r="E939" t="inlineStr">
        <is>
          <t>NORRTÄLJE</t>
        </is>
      </c>
      <c r="G939" t="n">
        <v>3.6</v>
      </c>
      <c r="H939" t="n">
        <v>0</v>
      </c>
      <c r="I939" t="n">
        <v>0</v>
      </c>
      <c r="J939" t="n">
        <v>0</v>
      </c>
      <c r="K939" t="n">
        <v>0</v>
      </c>
      <c r="L939" t="n">
        <v>0</v>
      </c>
      <c r="M939" t="n">
        <v>0</v>
      </c>
      <c r="N939" t="n">
        <v>0</v>
      </c>
      <c r="O939" t="n">
        <v>0</v>
      </c>
      <c r="P939" t="n">
        <v>0</v>
      </c>
      <c r="Q939" t="n">
        <v>0</v>
      </c>
      <c r="R939" s="2" t="inlineStr"/>
    </row>
    <row r="940" ht="15" customHeight="1">
      <c r="A940" t="inlineStr">
        <is>
          <t>A 3966-2024</t>
        </is>
      </c>
      <c r="B940" s="1" t="n">
        <v>45322</v>
      </c>
      <c r="C940" s="1" t="n">
        <v>45933</v>
      </c>
      <c r="D940" t="inlineStr">
        <is>
          <t>STOCKHOLMS LÄN</t>
        </is>
      </c>
      <c r="E940" t="inlineStr">
        <is>
          <t>NORRTÄLJE</t>
        </is>
      </c>
      <c r="G940" t="n">
        <v>5.3</v>
      </c>
      <c r="H940" t="n">
        <v>0</v>
      </c>
      <c r="I940" t="n">
        <v>0</v>
      </c>
      <c r="J940" t="n">
        <v>0</v>
      </c>
      <c r="K940" t="n">
        <v>0</v>
      </c>
      <c r="L940" t="n">
        <v>0</v>
      </c>
      <c r="M940" t="n">
        <v>0</v>
      </c>
      <c r="N940" t="n">
        <v>0</v>
      </c>
      <c r="O940" t="n">
        <v>0</v>
      </c>
      <c r="P940" t="n">
        <v>0</v>
      </c>
      <c r="Q940" t="n">
        <v>0</v>
      </c>
      <c r="R940" s="2" t="inlineStr"/>
    </row>
    <row r="941" ht="15" customHeight="1">
      <c r="A941" t="inlineStr">
        <is>
          <t>A 17348-2024</t>
        </is>
      </c>
      <c r="B941" s="1" t="n">
        <v>45414.58650462963</v>
      </c>
      <c r="C941" s="1" t="n">
        <v>45933</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38591-2023</t>
        </is>
      </c>
      <c r="B942" s="1" t="n">
        <v>45162</v>
      </c>
      <c r="C942" s="1" t="n">
        <v>45933</v>
      </c>
      <c r="D942" t="inlineStr">
        <is>
          <t>STOCKHOLMS LÄN</t>
        </is>
      </c>
      <c r="E942" t="inlineStr">
        <is>
          <t>NORRTÄLJE</t>
        </is>
      </c>
      <c r="F942" t="inlineStr">
        <is>
          <t>Övriga Aktiebolag</t>
        </is>
      </c>
      <c r="G942" t="n">
        <v>3.1</v>
      </c>
      <c r="H942" t="n">
        <v>0</v>
      </c>
      <c r="I942" t="n">
        <v>0</v>
      </c>
      <c r="J942" t="n">
        <v>0</v>
      </c>
      <c r="K942" t="n">
        <v>0</v>
      </c>
      <c r="L942" t="n">
        <v>0</v>
      </c>
      <c r="M942" t="n">
        <v>0</v>
      </c>
      <c r="N942" t="n">
        <v>0</v>
      </c>
      <c r="O942" t="n">
        <v>0</v>
      </c>
      <c r="P942" t="n">
        <v>0</v>
      </c>
      <c r="Q942" t="n">
        <v>0</v>
      </c>
      <c r="R942" s="2" t="inlineStr"/>
    </row>
    <row r="943" ht="15" customHeight="1">
      <c r="A943" t="inlineStr">
        <is>
          <t>A 3273-2025</t>
        </is>
      </c>
      <c r="B943" s="1" t="n">
        <v>45679</v>
      </c>
      <c r="C943" s="1" t="n">
        <v>45933</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34461-2023</t>
        </is>
      </c>
      <c r="B944" s="1" t="n">
        <v>45139</v>
      </c>
      <c r="C944" s="1" t="n">
        <v>45933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15217-2023</t>
        </is>
      </c>
      <c r="B945" s="1" t="n">
        <v>45019.28847222222</v>
      </c>
      <c r="C945" s="1" t="n">
        <v>45933</v>
      </c>
      <c r="D945" t="inlineStr">
        <is>
          <t>STOCKHOLMS LÄN</t>
        </is>
      </c>
      <c r="E945" t="inlineStr">
        <is>
          <t>NORRTÄLJE</t>
        </is>
      </c>
      <c r="G945" t="n">
        <v>3.6</v>
      </c>
      <c r="H945" t="n">
        <v>0</v>
      </c>
      <c r="I945" t="n">
        <v>0</v>
      </c>
      <c r="J945" t="n">
        <v>0</v>
      </c>
      <c r="K945" t="n">
        <v>0</v>
      </c>
      <c r="L945" t="n">
        <v>0</v>
      </c>
      <c r="M945" t="n">
        <v>0</v>
      </c>
      <c r="N945" t="n">
        <v>0</v>
      </c>
      <c r="O945" t="n">
        <v>0</v>
      </c>
      <c r="P945" t="n">
        <v>0</v>
      </c>
      <c r="Q945" t="n">
        <v>0</v>
      </c>
      <c r="R945" s="2" t="inlineStr"/>
    </row>
    <row r="946" ht="15" customHeight="1">
      <c r="A946" t="inlineStr">
        <is>
          <t>A 24522-2023</t>
        </is>
      </c>
      <c r="B946" s="1" t="n">
        <v>45082.69179398148</v>
      </c>
      <c r="C946" s="1" t="n">
        <v>45933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29176-2024</t>
        </is>
      </c>
      <c r="B947" s="1" t="n">
        <v>45482.53388888889</v>
      </c>
      <c r="C947" s="1" t="n">
        <v>45933</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4596-2023</t>
        </is>
      </c>
      <c r="B948" s="1" t="n">
        <v>44956</v>
      </c>
      <c r="C948" s="1" t="n">
        <v>45933</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4438-2023</t>
        </is>
      </c>
      <c r="B949" s="1" t="n">
        <v>44956</v>
      </c>
      <c r="C949" s="1" t="n">
        <v>45933</v>
      </c>
      <c r="D949" t="inlineStr">
        <is>
          <t>STOCKHOLMS LÄN</t>
        </is>
      </c>
      <c r="E949" t="inlineStr">
        <is>
          <t>NORRTÄLJE</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24727-2023</t>
        </is>
      </c>
      <c r="B950" s="1" t="n">
        <v>45084.57695601852</v>
      </c>
      <c r="C950" s="1" t="n">
        <v>45933</v>
      </c>
      <c r="D950" t="inlineStr">
        <is>
          <t>STOCKHOLMS LÄN</t>
        </is>
      </c>
      <c r="E950" t="inlineStr">
        <is>
          <t>NORRTÄLJE</t>
        </is>
      </c>
      <c r="F950" t="inlineStr">
        <is>
          <t>Holmen skog AB</t>
        </is>
      </c>
      <c r="G950" t="n">
        <v>2.2</v>
      </c>
      <c r="H950" t="n">
        <v>0</v>
      </c>
      <c r="I950" t="n">
        <v>0</v>
      </c>
      <c r="J950" t="n">
        <v>0</v>
      </c>
      <c r="K950" t="n">
        <v>0</v>
      </c>
      <c r="L950" t="n">
        <v>0</v>
      </c>
      <c r="M950" t="n">
        <v>0</v>
      </c>
      <c r="N950" t="n">
        <v>0</v>
      </c>
      <c r="O950" t="n">
        <v>0</v>
      </c>
      <c r="P950" t="n">
        <v>0</v>
      </c>
      <c r="Q950" t="n">
        <v>0</v>
      </c>
      <c r="R950" s="2" t="inlineStr"/>
    </row>
    <row r="951" ht="15" customHeight="1">
      <c r="A951" t="inlineStr">
        <is>
          <t>A 59904-2023</t>
        </is>
      </c>
      <c r="B951" s="1" t="n">
        <v>45257</v>
      </c>
      <c r="C951" s="1" t="n">
        <v>45933</v>
      </c>
      <c r="D951" t="inlineStr">
        <is>
          <t>STOCKHOLMS LÄN</t>
        </is>
      </c>
      <c r="E951" t="inlineStr">
        <is>
          <t>NORRTÄLJE</t>
        </is>
      </c>
      <c r="G951" t="n">
        <v>17.4</v>
      </c>
      <c r="H951" t="n">
        <v>0</v>
      </c>
      <c r="I951" t="n">
        <v>0</v>
      </c>
      <c r="J951" t="n">
        <v>0</v>
      </c>
      <c r="K951" t="n">
        <v>0</v>
      </c>
      <c r="L951" t="n">
        <v>0</v>
      </c>
      <c r="M951" t="n">
        <v>0</v>
      </c>
      <c r="N951" t="n">
        <v>0</v>
      </c>
      <c r="O951" t="n">
        <v>0</v>
      </c>
      <c r="P951" t="n">
        <v>0</v>
      </c>
      <c r="Q951" t="n">
        <v>0</v>
      </c>
      <c r="R951" s="2" t="inlineStr"/>
    </row>
    <row r="952" ht="15" customHeight="1">
      <c r="A952" t="inlineStr">
        <is>
          <t>A 36308-2022</t>
        </is>
      </c>
      <c r="B952" s="1" t="n">
        <v>44803</v>
      </c>
      <c r="C952" s="1" t="n">
        <v>45933</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18787-2022</t>
        </is>
      </c>
      <c r="B953" s="1" t="n">
        <v>44687</v>
      </c>
      <c r="C953" s="1" t="n">
        <v>45933</v>
      </c>
      <c r="D953" t="inlineStr">
        <is>
          <t>STOCKHOLMS LÄN</t>
        </is>
      </c>
      <c r="E953" t="inlineStr">
        <is>
          <t>NORRTÄLJE</t>
        </is>
      </c>
      <c r="G953" t="n">
        <v>2</v>
      </c>
      <c r="H953" t="n">
        <v>0</v>
      </c>
      <c r="I953" t="n">
        <v>0</v>
      </c>
      <c r="J953" t="n">
        <v>0</v>
      </c>
      <c r="K953" t="n">
        <v>0</v>
      </c>
      <c r="L953" t="n">
        <v>0</v>
      </c>
      <c r="M953" t="n">
        <v>0</v>
      </c>
      <c r="N953" t="n">
        <v>0</v>
      </c>
      <c r="O953" t="n">
        <v>0</v>
      </c>
      <c r="P953" t="n">
        <v>0</v>
      </c>
      <c r="Q953" t="n">
        <v>0</v>
      </c>
      <c r="R953" s="2" t="inlineStr"/>
    </row>
    <row r="954" ht="15" customHeight="1">
      <c r="A954" t="inlineStr">
        <is>
          <t>A 50497-2020</t>
        </is>
      </c>
      <c r="B954" s="1" t="n">
        <v>44110</v>
      </c>
      <c r="C954" s="1" t="n">
        <v>45933</v>
      </c>
      <c r="D954" t="inlineStr">
        <is>
          <t>STOCKHOLMS LÄN</t>
        </is>
      </c>
      <c r="E954" t="inlineStr">
        <is>
          <t>NORRTÄLJE</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50108-2021</t>
        </is>
      </c>
      <c r="B955" s="1" t="n">
        <v>44456</v>
      </c>
      <c r="C955" s="1" t="n">
        <v>45933</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25621-2022</t>
        </is>
      </c>
      <c r="B956" s="1" t="n">
        <v>44732</v>
      </c>
      <c r="C956" s="1" t="n">
        <v>45933</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20304-2023</t>
        </is>
      </c>
      <c r="B957" s="1" t="n">
        <v>45056</v>
      </c>
      <c r="C957" s="1" t="n">
        <v>45933</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35235-2024</t>
        </is>
      </c>
      <c r="B958" s="1" t="n">
        <v>45530</v>
      </c>
      <c r="C958" s="1" t="n">
        <v>45933</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51061-2023</t>
        </is>
      </c>
      <c r="B959" s="1" t="n">
        <v>45218.65849537037</v>
      </c>
      <c r="C959" s="1" t="n">
        <v>45933</v>
      </c>
      <c r="D959" t="inlineStr">
        <is>
          <t>STOCKHOLMS LÄN</t>
        </is>
      </c>
      <c r="E959" t="inlineStr">
        <is>
          <t>NORRTÄLJE</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44817.56120370371</v>
      </c>
      <c r="C960" s="1" t="n">
        <v>45933</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36246-2021</t>
        </is>
      </c>
      <c r="B961" s="1" t="n">
        <v>44390</v>
      </c>
      <c r="C961" s="1" t="n">
        <v>45933</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15905-2023</t>
        </is>
      </c>
      <c r="B962" s="1" t="n">
        <v>45022</v>
      </c>
      <c r="C962" s="1" t="n">
        <v>45933</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11041-2025</t>
        </is>
      </c>
      <c r="B963" s="1" t="n">
        <v>45723</v>
      </c>
      <c r="C963" s="1" t="n">
        <v>45933</v>
      </c>
      <c r="D963" t="inlineStr">
        <is>
          <t>STOCKHOLMS LÄN</t>
        </is>
      </c>
      <c r="E963" t="inlineStr">
        <is>
          <t>NORRTÄLJE</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44841.52804398148</v>
      </c>
      <c r="C964" s="1" t="n">
        <v>45933</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33173-2024</t>
        </is>
      </c>
      <c r="B965" s="1" t="n">
        <v>45518</v>
      </c>
      <c r="C965" s="1" t="n">
        <v>45933</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17551-2025</t>
        </is>
      </c>
      <c r="B966" s="1" t="n">
        <v>45757.61421296297</v>
      </c>
      <c r="C966" s="1" t="n">
        <v>45933</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10678-2025</t>
        </is>
      </c>
      <c r="B967" s="1" t="n">
        <v>45721.89123842592</v>
      </c>
      <c r="C967" s="1" t="n">
        <v>45933</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8370-2025</t>
        </is>
      </c>
      <c r="B968" s="1" t="n">
        <v>45708</v>
      </c>
      <c r="C968" s="1" t="n">
        <v>45933</v>
      </c>
      <c r="D968" t="inlineStr">
        <is>
          <t>STOCKHOLMS LÄN</t>
        </is>
      </c>
      <c r="E968" t="inlineStr">
        <is>
          <t>NORRTÄLJE</t>
        </is>
      </c>
      <c r="F968" t="inlineStr">
        <is>
          <t>Övriga Aktiebolag</t>
        </is>
      </c>
      <c r="G968" t="n">
        <v>5.6</v>
      </c>
      <c r="H968" t="n">
        <v>0</v>
      </c>
      <c r="I968" t="n">
        <v>0</v>
      </c>
      <c r="J968" t="n">
        <v>0</v>
      </c>
      <c r="K968" t="n">
        <v>0</v>
      </c>
      <c r="L968" t="n">
        <v>0</v>
      </c>
      <c r="M968" t="n">
        <v>0</v>
      </c>
      <c r="N968" t="n">
        <v>0</v>
      </c>
      <c r="O968" t="n">
        <v>0</v>
      </c>
      <c r="P968" t="n">
        <v>0</v>
      </c>
      <c r="Q968" t="n">
        <v>0</v>
      </c>
      <c r="R968" s="2" t="inlineStr"/>
    </row>
    <row r="969" ht="15" customHeight="1">
      <c r="A969" t="inlineStr">
        <is>
          <t>A 951-2023</t>
        </is>
      </c>
      <c r="B969" s="1" t="n">
        <v>44934</v>
      </c>
      <c r="C969" s="1" t="n">
        <v>45933</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32100-2022</t>
        </is>
      </c>
      <c r="B970" s="1" t="n">
        <v>44778</v>
      </c>
      <c r="C970" s="1" t="n">
        <v>45933</v>
      </c>
      <c r="D970" t="inlineStr">
        <is>
          <t>STOCKHOLMS LÄN</t>
        </is>
      </c>
      <c r="E970" t="inlineStr">
        <is>
          <t>NORRTÄLJE</t>
        </is>
      </c>
      <c r="G970" t="n">
        <v>3.3</v>
      </c>
      <c r="H970" t="n">
        <v>0</v>
      </c>
      <c r="I970" t="n">
        <v>0</v>
      </c>
      <c r="J970" t="n">
        <v>0</v>
      </c>
      <c r="K970" t="n">
        <v>0</v>
      </c>
      <c r="L970" t="n">
        <v>0</v>
      </c>
      <c r="M970" t="n">
        <v>0</v>
      </c>
      <c r="N970" t="n">
        <v>0</v>
      </c>
      <c r="O970" t="n">
        <v>0</v>
      </c>
      <c r="P970" t="n">
        <v>0</v>
      </c>
      <c r="Q970" t="n">
        <v>0</v>
      </c>
      <c r="R970" s="2" t="inlineStr"/>
    </row>
    <row r="971" ht="15" customHeight="1">
      <c r="A971" t="inlineStr">
        <is>
          <t>A 2888-2022</t>
        </is>
      </c>
      <c r="B971" s="1" t="n">
        <v>44581</v>
      </c>
      <c r="C971" s="1" t="n">
        <v>45933</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11902-2024</t>
        </is>
      </c>
      <c r="B972" s="1" t="n">
        <v>45376.55704861111</v>
      </c>
      <c r="C972" s="1" t="n">
        <v>45933</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13-2024</t>
        </is>
      </c>
      <c r="B973" s="1" t="n">
        <v>45293.37263888889</v>
      </c>
      <c r="C973" s="1" t="n">
        <v>45933</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58260-2023</t>
        </is>
      </c>
      <c r="B974" s="1" t="n">
        <v>45245</v>
      </c>
      <c r="C974" s="1" t="n">
        <v>45933</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58261-2023</t>
        </is>
      </c>
      <c r="B975" s="1" t="n">
        <v>45245</v>
      </c>
      <c r="C975" s="1" t="n">
        <v>45933</v>
      </c>
      <c r="D975" t="inlineStr">
        <is>
          <t>STOCKHOLMS LÄN</t>
        </is>
      </c>
      <c r="E975" t="inlineStr">
        <is>
          <t>NORRTÄLJE</t>
        </is>
      </c>
      <c r="G975" t="n">
        <v>53.5</v>
      </c>
      <c r="H975" t="n">
        <v>0</v>
      </c>
      <c r="I975" t="n">
        <v>0</v>
      </c>
      <c r="J975" t="n">
        <v>0</v>
      </c>
      <c r="K975" t="n">
        <v>0</v>
      </c>
      <c r="L975" t="n">
        <v>0</v>
      </c>
      <c r="M975" t="n">
        <v>0</v>
      </c>
      <c r="N975" t="n">
        <v>0</v>
      </c>
      <c r="O975" t="n">
        <v>0</v>
      </c>
      <c r="P975" t="n">
        <v>0</v>
      </c>
      <c r="Q975" t="n">
        <v>0</v>
      </c>
      <c r="R975" s="2" t="inlineStr"/>
    </row>
    <row r="976" ht="15" customHeight="1">
      <c r="A976" t="inlineStr">
        <is>
          <t>A 4553-2023</t>
        </is>
      </c>
      <c r="B976" s="1" t="n">
        <v>44956.65920138889</v>
      </c>
      <c r="C976" s="1" t="n">
        <v>45933</v>
      </c>
      <c r="D976" t="inlineStr">
        <is>
          <t>STOCKHOLMS LÄN</t>
        </is>
      </c>
      <c r="E976" t="inlineStr">
        <is>
          <t>NORRTÄLJE</t>
        </is>
      </c>
      <c r="G976" t="n">
        <v>7.5</v>
      </c>
      <c r="H976" t="n">
        <v>0</v>
      </c>
      <c r="I976" t="n">
        <v>0</v>
      </c>
      <c r="J976" t="n">
        <v>0</v>
      </c>
      <c r="K976" t="n">
        <v>0</v>
      </c>
      <c r="L976" t="n">
        <v>0</v>
      </c>
      <c r="M976" t="n">
        <v>0</v>
      </c>
      <c r="N976" t="n">
        <v>0</v>
      </c>
      <c r="O976" t="n">
        <v>0</v>
      </c>
      <c r="P976" t="n">
        <v>0</v>
      </c>
      <c r="Q976" t="n">
        <v>0</v>
      </c>
      <c r="R976" s="2" t="inlineStr"/>
    </row>
    <row r="977" ht="15" customHeight="1">
      <c r="A977" t="inlineStr">
        <is>
          <t>A 875-2023</t>
        </is>
      </c>
      <c r="B977" s="1" t="n">
        <v>44931.65626157408</v>
      </c>
      <c r="C977" s="1" t="n">
        <v>45933</v>
      </c>
      <c r="D977" t="inlineStr">
        <is>
          <t>STOCKHOLMS LÄN</t>
        </is>
      </c>
      <c r="E977" t="inlineStr">
        <is>
          <t>NORRTÄLJE</t>
        </is>
      </c>
      <c r="G977" t="n">
        <v>2.2</v>
      </c>
      <c r="H977" t="n">
        <v>0</v>
      </c>
      <c r="I977" t="n">
        <v>0</v>
      </c>
      <c r="J977" t="n">
        <v>0</v>
      </c>
      <c r="K977" t="n">
        <v>0</v>
      </c>
      <c r="L977" t="n">
        <v>0</v>
      </c>
      <c r="M977" t="n">
        <v>0</v>
      </c>
      <c r="N977" t="n">
        <v>0</v>
      </c>
      <c r="O977" t="n">
        <v>0</v>
      </c>
      <c r="P977" t="n">
        <v>0</v>
      </c>
      <c r="Q977" t="n">
        <v>0</v>
      </c>
      <c r="R977" s="2" t="inlineStr"/>
    </row>
    <row r="978" ht="15" customHeight="1">
      <c r="A978" t="inlineStr">
        <is>
          <t>A 24575-2024</t>
        </is>
      </c>
      <c r="B978" s="1" t="n">
        <v>45460.45523148148</v>
      </c>
      <c r="C978" s="1" t="n">
        <v>45933</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19-2024</t>
        </is>
      </c>
      <c r="B979" s="1" t="n">
        <v>45293</v>
      </c>
      <c r="C979" s="1" t="n">
        <v>45933</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11333-2025</t>
        </is>
      </c>
      <c r="B980" s="1" t="n">
        <v>45726.48377314815</v>
      </c>
      <c r="C980" s="1" t="n">
        <v>45933</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21529-2021</t>
        </is>
      </c>
      <c r="B981" s="1" t="n">
        <v>44321</v>
      </c>
      <c r="C981" s="1" t="n">
        <v>45933</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31827-2023</t>
        </is>
      </c>
      <c r="B982" s="1" t="n">
        <v>45118</v>
      </c>
      <c r="C982" s="1" t="n">
        <v>45933</v>
      </c>
      <c r="D982" t="inlineStr">
        <is>
          <t>STOCKHOLMS LÄN</t>
        </is>
      </c>
      <c r="E982" t="inlineStr">
        <is>
          <t>NORRTÄLJE</t>
        </is>
      </c>
      <c r="F982" t="inlineStr">
        <is>
          <t>Kyrkan</t>
        </is>
      </c>
      <c r="G982" t="n">
        <v>4.9</v>
      </c>
      <c r="H982" t="n">
        <v>0</v>
      </c>
      <c r="I982" t="n">
        <v>0</v>
      </c>
      <c r="J982" t="n">
        <v>0</v>
      </c>
      <c r="K982" t="n">
        <v>0</v>
      </c>
      <c r="L982" t="n">
        <v>0</v>
      </c>
      <c r="M982" t="n">
        <v>0</v>
      </c>
      <c r="N982" t="n">
        <v>0</v>
      </c>
      <c r="O982" t="n">
        <v>0</v>
      </c>
      <c r="P982" t="n">
        <v>0</v>
      </c>
      <c r="Q982" t="n">
        <v>0</v>
      </c>
      <c r="R982" s="2" t="inlineStr"/>
    </row>
    <row r="983" ht="15" customHeight="1">
      <c r="A983" t="inlineStr">
        <is>
          <t>A 10973-2025</t>
        </is>
      </c>
      <c r="B983" s="1" t="n">
        <v>45723</v>
      </c>
      <c r="C983" s="1" t="n">
        <v>45933</v>
      </c>
      <c r="D983" t="inlineStr">
        <is>
          <t>STOCKHOLMS LÄN</t>
        </is>
      </c>
      <c r="E983" t="inlineStr">
        <is>
          <t>NORRTÄLJE</t>
        </is>
      </c>
      <c r="F983" t="inlineStr">
        <is>
          <t>Övriga Aktiebolag</t>
        </is>
      </c>
      <c r="G983" t="n">
        <v>2.7</v>
      </c>
      <c r="H983" t="n">
        <v>0</v>
      </c>
      <c r="I983" t="n">
        <v>0</v>
      </c>
      <c r="J983" t="n">
        <v>0</v>
      </c>
      <c r="K983" t="n">
        <v>0</v>
      </c>
      <c r="L983" t="n">
        <v>0</v>
      </c>
      <c r="M983" t="n">
        <v>0</v>
      </c>
      <c r="N983" t="n">
        <v>0</v>
      </c>
      <c r="O983" t="n">
        <v>0</v>
      </c>
      <c r="P983" t="n">
        <v>0</v>
      </c>
      <c r="Q983" t="n">
        <v>0</v>
      </c>
      <c r="R983" s="2" t="inlineStr"/>
    </row>
    <row r="984" ht="15" customHeight="1">
      <c r="A984" t="inlineStr">
        <is>
          <t>A 54496-2024</t>
        </is>
      </c>
      <c r="B984" s="1" t="n">
        <v>45617.57439814815</v>
      </c>
      <c r="C984" s="1" t="n">
        <v>45933</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7796-2025</t>
        </is>
      </c>
      <c r="B985" s="1" t="n">
        <v>45706.60130787037</v>
      </c>
      <c r="C985" s="1" t="n">
        <v>45933</v>
      </c>
      <c r="D985" t="inlineStr">
        <is>
          <t>STOCKHOLMS LÄN</t>
        </is>
      </c>
      <c r="E985" t="inlineStr">
        <is>
          <t>NORRTÄLJE</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59767-2022</t>
        </is>
      </c>
      <c r="B986" s="1" t="n">
        <v>44900</v>
      </c>
      <c r="C986" s="1" t="n">
        <v>45933</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22756-2022</t>
        </is>
      </c>
      <c r="B987" s="1" t="n">
        <v>44714.92253472222</v>
      </c>
      <c r="C987" s="1" t="n">
        <v>45933</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58311-2023</t>
        </is>
      </c>
      <c r="B988" s="1" t="n">
        <v>45245</v>
      </c>
      <c r="C988" s="1" t="n">
        <v>45933</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8739-2024</t>
        </is>
      </c>
      <c r="B989" s="1" t="n">
        <v>45356.47784722222</v>
      </c>
      <c r="C989" s="1" t="n">
        <v>45933</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26640-2023</t>
        </is>
      </c>
      <c r="B990" s="1" t="n">
        <v>45092</v>
      </c>
      <c r="C990" s="1" t="n">
        <v>45933</v>
      </c>
      <c r="D990" t="inlineStr">
        <is>
          <t>STOCKHOLMS LÄN</t>
        </is>
      </c>
      <c r="E990" t="inlineStr">
        <is>
          <t>NORRTÄLJE</t>
        </is>
      </c>
      <c r="G990" t="n">
        <v>5.7</v>
      </c>
      <c r="H990" t="n">
        <v>0</v>
      </c>
      <c r="I990" t="n">
        <v>0</v>
      </c>
      <c r="J990" t="n">
        <v>0</v>
      </c>
      <c r="K990" t="n">
        <v>0</v>
      </c>
      <c r="L990" t="n">
        <v>0</v>
      </c>
      <c r="M990" t="n">
        <v>0</v>
      </c>
      <c r="N990" t="n">
        <v>0</v>
      </c>
      <c r="O990" t="n">
        <v>0</v>
      </c>
      <c r="P990" t="n">
        <v>0</v>
      </c>
      <c r="Q990" t="n">
        <v>0</v>
      </c>
      <c r="R990" s="2" t="inlineStr"/>
    </row>
    <row r="991" ht="15" customHeight="1">
      <c r="A991" t="inlineStr">
        <is>
          <t>A 62765-2022</t>
        </is>
      </c>
      <c r="B991" s="1" t="n">
        <v>44637</v>
      </c>
      <c r="C991" s="1" t="n">
        <v>45933</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38990-2022</t>
        </is>
      </c>
      <c r="B992" s="1" t="n">
        <v>44816</v>
      </c>
      <c r="C992" s="1" t="n">
        <v>45933</v>
      </c>
      <c r="D992" t="inlineStr">
        <is>
          <t>STOCKHOLMS LÄN</t>
        </is>
      </c>
      <c r="E992" t="inlineStr">
        <is>
          <t>NORRTÄLJE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17545-2025</t>
        </is>
      </c>
      <c r="B993" s="1" t="n">
        <v>45757.60658564815</v>
      </c>
      <c r="C993" s="1" t="n">
        <v>45933</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17956-2025</t>
        </is>
      </c>
      <c r="B994" s="1" t="n">
        <v>45760.91174768518</v>
      </c>
      <c r="C994" s="1" t="n">
        <v>45933</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23265-2023</t>
        </is>
      </c>
      <c r="B995" s="1" t="n">
        <v>45075.90703703704</v>
      </c>
      <c r="C995" s="1" t="n">
        <v>45933</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30268-2024</t>
        </is>
      </c>
      <c r="B996" s="1" t="n">
        <v>45490.60572916667</v>
      </c>
      <c r="C996" s="1" t="n">
        <v>45933</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59535-2024</t>
        </is>
      </c>
      <c r="B997" s="1" t="n">
        <v>45638.59979166667</v>
      </c>
      <c r="C997" s="1" t="n">
        <v>45933</v>
      </c>
      <c r="D997" t="inlineStr">
        <is>
          <t>STOCKHOLMS LÄN</t>
        </is>
      </c>
      <c r="E997" t="inlineStr">
        <is>
          <t>NORRTÄLJE</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9246-2024</t>
        </is>
      </c>
      <c r="B998" s="1" t="n">
        <v>45357</v>
      </c>
      <c r="C998" s="1" t="n">
        <v>45933</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20852-2023</t>
        </is>
      </c>
      <c r="B999" s="1" t="n">
        <v>45058.78607638889</v>
      </c>
      <c r="C999" s="1" t="n">
        <v>45933</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50355-2024</t>
        </is>
      </c>
      <c r="B1000" s="1" t="n">
        <v>45600.86128472222</v>
      </c>
      <c r="C1000" s="1" t="n">
        <v>45933</v>
      </c>
      <c r="D1000" t="inlineStr">
        <is>
          <t>STOCKHOLMS LÄN</t>
        </is>
      </c>
      <c r="E1000" t="inlineStr">
        <is>
          <t>NORRTÄLJE</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60694-2024</t>
        </is>
      </c>
      <c r="B1001" s="1" t="n">
        <v>45644.47878472223</v>
      </c>
      <c r="C1001" s="1" t="n">
        <v>45933</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25094-2023</t>
        </is>
      </c>
      <c r="B1002" s="1" t="n">
        <v>45086.3629050926</v>
      </c>
      <c r="C1002" s="1" t="n">
        <v>45933</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59276-2023</t>
        </is>
      </c>
      <c r="B1003" s="1" t="n">
        <v>45253.55641203704</v>
      </c>
      <c r="C1003" s="1" t="n">
        <v>45933</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13767-2025</t>
        </is>
      </c>
      <c r="B1004" s="1" t="n">
        <v>45737.43347222222</v>
      </c>
      <c r="C1004" s="1" t="n">
        <v>45933</v>
      </c>
      <c r="D1004" t="inlineStr">
        <is>
          <t>STOCKHOLMS LÄN</t>
        </is>
      </c>
      <c r="E1004" t="inlineStr">
        <is>
          <t>NORRTÄLJE</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41587-2023</t>
        </is>
      </c>
      <c r="B1005" s="1" t="n">
        <v>45175</v>
      </c>
      <c r="C1005" s="1" t="n">
        <v>45933</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27381-2024</t>
        </is>
      </c>
      <c r="B1006" s="1" t="n">
        <v>45473.94501157408</v>
      </c>
      <c r="C1006" s="1" t="n">
        <v>45933</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60529-2023</t>
        </is>
      </c>
      <c r="B1007" s="1" t="n">
        <v>45259</v>
      </c>
      <c r="C1007" s="1" t="n">
        <v>45933</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59326-2023</t>
        </is>
      </c>
      <c r="B1008" s="1" t="n">
        <v>45253.63089120371</v>
      </c>
      <c r="C1008" s="1" t="n">
        <v>45933</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20790-2025</t>
        </is>
      </c>
      <c r="B1009" s="1" t="n">
        <v>45776.62563657408</v>
      </c>
      <c r="C1009" s="1" t="n">
        <v>45933</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3152-2024</t>
        </is>
      </c>
      <c r="B1010" s="1" t="n">
        <v>45316.60306712963</v>
      </c>
      <c r="C1010" s="1" t="n">
        <v>45933</v>
      </c>
      <c r="D1010" t="inlineStr">
        <is>
          <t>STOCKHOLMS LÄN</t>
        </is>
      </c>
      <c r="E1010" t="inlineStr">
        <is>
          <t>NORRTÄLJE</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20699-2025</t>
        </is>
      </c>
      <c r="B1011" s="1" t="n">
        <v>45776.47346064815</v>
      </c>
      <c r="C1011" s="1" t="n">
        <v>45933</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20779-2025</t>
        </is>
      </c>
      <c r="B1012" s="1" t="n">
        <v>45776.59871527777</v>
      </c>
      <c r="C1012" s="1" t="n">
        <v>45933</v>
      </c>
      <c r="D1012" t="inlineStr">
        <is>
          <t>STOCKHOLMS LÄN</t>
        </is>
      </c>
      <c r="E1012" t="inlineStr">
        <is>
          <t>NORRTÄLJE</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44836-2023</t>
        </is>
      </c>
      <c r="B1013" s="1" t="n">
        <v>45190.55609953704</v>
      </c>
      <c r="C1013" s="1" t="n">
        <v>45933</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21771-2025</t>
        </is>
      </c>
      <c r="B1014" s="1" t="n">
        <v>45783</v>
      </c>
      <c r="C1014" s="1" t="n">
        <v>45933</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21778-2025</t>
        </is>
      </c>
      <c r="B1015" s="1" t="n">
        <v>45783.66429398148</v>
      </c>
      <c r="C1015" s="1" t="n">
        <v>45933</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12902-2024</t>
        </is>
      </c>
      <c r="B1016" s="1" t="n">
        <v>45385.38146990741</v>
      </c>
      <c r="C1016" s="1" t="n">
        <v>45933</v>
      </c>
      <c r="D1016" t="inlineStr">
        <is>
          <t>STOCKHOLMS LÄN</t>
        </is>
      </c>
      <c r="E1016" t="inlineStr">
        <is>
          <t>NORRTÄLJE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39237-2024</t>
        </is>
      </c>
      <c r="B1017" s="1" t="n">
        <v>45549</v>
      </c>
      <c r="C1017" s="1" t="n">
        <v>45933</v>
      </c>
      <c r="D1017" t="inlineStr">
        <is>
          <t>STOCKHOLMS LÄN</t>
        </is>
      </c>
      <c r="E1017" t="inlineStr">
        <is>
          <t>NORRTÄLJE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44891-2023</t>
        </is>
      </c>
      <c r="B1018" s="1" t="n">
        <v>45187</v>
      </c>
      <c r="C1018" s="1" t="n">
        <v>45933</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13268-2025</t>
        </is>
      </c>
      <c r="B1019" s="1" t="n">
        <v>45735</v>
      </c>
      <c r="C1019" s="1" t="n">
        <v>45933</v>
      </c>
      <c r="D1019" t="inlineStr">
        <is>
          <t>STOCKHOLMS LÄN</t>
        </is>
      </c>
      <c r="E1019" t="inlineStr">
        <is>
          <t>NORRTÄLJE</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8414-2025</t>
        </is>
      </c>
      <c r="B1020" s="1" t="n">
        <v>45709.39361111111</v>
      </c>
      <c r="C1020" s="1" t="n">
        <v>45933</v>
      </c>
      <c r="D1020" t="inlineStr">
        <is>
          <t>STOCKHOLMS LÄN</t>
        </is>
      </c>
      <c r="E1020" t="inlineStr">
        <is>
          <t>NORRTÄLJE</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44032-2024</t>
        </is>
      </c>
      <c r="B1021" s="1" t="n">
        <v>45572.57828703704</v>
      </c>
      <c r="C1021" s="1" t="n">
        <v>45933</v>
      </c>
      <c r="D1021" t="inlineStr">
        <is>
          <t>STOCKHOLMS LÄN</t>
        </is>
      </c>
      <c r="E1021" t="inlineStr">
        <is>
          <t>NORRTÄLJE</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24563-2024</t>
        </is>
      </c>
      <c r="B1022" s="1" t="n">
        <v>45460.44347222222</v>
      </c>
      <c r="C1022" s="1" t="n">
        <v>45933</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22202-2025</t>
        </is>
      </c>
      <c r="B1023" s="1" t="n">
        <v>45785.65300925926</v>
      </c>
      <c r="C1023" s="1" t="n">
        <v>45933</v>
      </c>
      <c r="D1023" t="inlineStr">
        <is>
          <t>STOCKHOLMS LÄN</t>
        </is>
      </c>
      <c r="E1023" t="inlineStr">
        <is>
          <t>NORRTÄLJE</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36625-2024</t>
        </is>
      </c>
      <c r="B1024" s="1" t="n">
        <v>45537</v>
      </c>
      <c r="C1024" s="1" t="n">
        <v>45933</v>
      </c>
      <c r="D1024" t="inlineStr">
        <is>
          <t>STOCKHOLMS LÄN</t>
        </is>
      </c>
      <c r="E1024" t="inlineStr">
        <is>
          <t>NORRTÄLJE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45746-2024</t>
        </is>
      </c>
      <c r="B1025" s="1" t="n">
        <v>45579</v>
      </c>
      <c r="C1025" s="1" t="n">
        <v>45933</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30719-2025</t>
        </is>
      </c>
      <c r="B1026" s="1" t="n">
        <v>45831.56521990741</v>
      </c>
      <c r="C1026" s="1" t="n">
        <v>45933</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8400-2024</t>
        </is>
      </c>
      <c r="B1027" s="1" t="n">
        <v>45352.74090277778</v>
      </c>
      <c r="C1027" s="1" t="n">
        <v>45933</v>
      </c>
      <c r="D1027" t="inlineStr">
        <is>
          <t>STOCKHOLMS LÄN</t>
        </is>
      </c>
      <c r="E1027" t="inlineStr">
        <is>
          <t>NORRTÄLJE</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2182-2022</t>
        </is>
      </c>
      <c r="B1028" s="1" t="n">
        <v>44578</v>
      </c>
      <c r="C1028" s="1" t="n">
        <v>45933</v>
      </c>
      <c r="D1028" t="inlineStr">
        <is>
          <t>STOCKHOLMS LÄN</t>
        </is>
      </c>
      <c r="E1028" t="inlineStr">
        <is>
          <t>NORRTÄLJE</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16620-2024</t>
        </is>
      </c>
      <c r="B1029" s="1" t="n">
        <v>45408.57707175926</v>
      </c>
      <c r="C1029" s="1" t="n">
        <v>45933</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22416-2025</t>
        </is>
      </c>
      <c r="B1030" s="1" t="n">
        <v>45786.55645833333</v>
      </c>
      <c r="C1030" s="1" t="n">
        <v>45933</v>
      </c>
      <c r="D1030" t="inlineStr">
        <is>
          <t>STOCKHOLMS LÄN</t>
        </is>
      </c>
      <c r="E1030" t="inlineStr">
        <is>
          <t>NORRTÄLJE</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58785-2024</t>
        </is>
      </c>
      <c r="B1031" s="1" t="n">
        <v>45635.88849537037</v>
      </c>
      <c r="C1031" s="1" t="n">
        <v>45933</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62998-2023</t>
        </is>
      </c>
      <c r="B1032" s="1" t="n">
        <v>45272.64479166667</v>
      </c>
      <c r="C1032" s="1" t="n">
        <v>45933</v>
      </c>
      <c r="D1032" t="inlineStr">
        <is>
          <t>STOCKHOLMS LÄN</t>
        </is>
      </c>
      <c r="E1032" t="inlineStr">
        <is>
          <t>NORRTÄLJE</t>
        </is>
      </c>
      <c r="G1032" t="n">
        <v>16.3</v>
      </c>
      <c r="H1032" t="n">
        <v>0</v>
      </c>
      <c r="I1032" t="n">
        <v>0</v>
      </c>
      <c r="J1032" t="n">
        <v>0</v>
      </c>
      <c r="K1032" t="n">
        <v>0</v>
      </c>
      <c r="L1032" t="n">
        <v>0</v>
      </c>
      <c r="M1032" t="n">
        <v>0</v>
      </c>
      <c r="N1032" t="n">
        <v>0</v>
      </c>
      <c r="O1032" t="n">
        <v>0</v>
      </c>
      <c r="P1032" t="n">
        <v>0</v>
      </c>
      <c r="Q1032" t="n">
        <v>0</v>
      </c>
      <c r="R1032" s="2" t="inlineStr"/>
    </row>
    <row r="1033" ht="15" customHeight="1">
      <c r="A1033" t="inlineStr">
        <is>
          <t>A 63015-2023</t>
        </is>
      </c>
      <c r="B1033" s="1" t="n">
        <v>45272</v>
      </c>
      <c r="C1033" s="1" t="n">
        <v>45933</v>
      </c>
      <c r="D1033" t="inlineStr">
        <is>
          <t>STOCKHOLMS LÄN</t>
        </is>
      </c>
      <c r="E1033" t="inlineStr">
        <is>
          <t>NORRTÄLJE</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12901-2024</t>
        </is>
      </c>
      <c r="B1034" s="1" t="n">
        <v>45385.37922453704</v>
      </c>
      <c r="C1034" s="1" t="n">
        <v>45933</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12301-2025</t>
        </is>
      </c>
      <c r="B1035" s="1" t="n">
        <v>45729.7271875</v>
      </c>
      <c r="C1035" s="1" t="n">
        <v>45933</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8950-2025</t>
        </is>
      </c>
      <c r="B1036" s="1" t="n">
        <v>45713</v>
      </c>
      <c r="C1036" s="1" t="n">
        <v>45933</v>
      </c>
      <c r="D1036" t="inlineStr">
        <is>
          <t>STOCKHOLMS LÄN</t>
        </is>
      </c>
      <c r="E1036" t="inlineStr">
        <is>
          <t>NORRTÄLJE</t>
        </is>
      </c>
      <c r="F1036" t="inlineStr">
        <is>
          <t>Övriga Aktiebolag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20730-2024</t>
        </is>
      </c>
      <c r="B1037" s="1" t="n">
        <v>45436</v>
      </c>
      <c r="C1037" s="1" t="n">
        <v>45933</v>
      </c>
      <c r="D1037" t="inlineStr">
        <is>
          <t>STOCKHOLMS LÄN</t>
        </is>
      </c>
      <c r="E1037" t="inlineStr">
        <is>
          <t>NORRTÄLJE</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33175-2024</t>
        </is>
      </c>
      <c r="B1038" s="1" t="n">
        <v>45518</v>
      </c>
      <c r="C1038" s="1" t="n">
        <v>45933</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13283-2025</t>
        </is>
      </c>
      <c r="B1039" s="1" t="n">
        <v>45735</v>
      </c>
      <c r="C1039" s="1" t="n">
        <v>45933</v>
      </c>
      <c r="D1039" t="inlineStr">
        <is>
          <t>STOCKHOLMS LÄN</t>
        </is>
      </c>
      <c r="E1039" t="inlineStr">
        <is>
          <t>NORRTÄLJE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27831-2024</t>
        </is>
      </c>
      <c r="B1040" s="1" t="n">
        <v>45475.61896990741</v>
      </c>
      <c r="C1040" s="1" t="n">
        <v>45933</v>
      </c>
      <c r="D1040" t="inlineStr">
        <is>
          <t>STOCKHOLMS LÄN</t>
        </is>
      </c>
      <c r="E1040" t="inlineStr">
        <is>
          <t>NORRTÄLJE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21803-2022</t>
        </is>
      </c>
      <c r="B1041" s="1" t="n">
        <v>44708.67822916667</v>
      </c>
      <c r="C1041" s="1" t="n">
        <v>45933</v>
      </c>
      <c r="D1041" t="inlineStr">
        <is>
          <t>STOCKHOLMS LÄN</t>
        </is>
      </c>
      <c r="E1041" t="inlineStr">
        <is>
          <t>NORRTÄLJE</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33279-2025</t>
        </is>
      </c>
      <c r="B1042" s="1" t="n">
        <v>45840.70885416667</v>
      </c>
      <c r="C1042" s="1" t="n">
        <v>45933</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24687-2025</t>
        </is>
      </c>
      <c r="B1043" s="1" t="n">
        <v>45798.66767361111</v>
      </c>
      <c r="C1043" s="1" t="n">
        <v>45933</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24690-2025</t>
        </is>
      </c>
      <c r="B1044" s="1" t="n">
        <v>45798.67082175926</v>
      </c>
      <c r="C1044" s="1" t="n">
        <v>45933</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24638-2025</t>
        </is>
      </c>
      <c r="B1045" s="1" t="n">
        <v>45798</v>
      </c>
      <c r="C1045" s="1" t="n">
        <v>45933</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24351-2025</t>
        </is>
      </c>
      <c r="B1046" s="1" t="n">
        <v>45797.58399305555</v>
      </c>
      <c r="C1046" s="1" t="n">
        <v>45933</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28603-2024</t>
        </is>
      </c>
      <c r="B1047" s="1" t="n">
        <v>45478.42887731481</v>
      </c>
      <c r="C1047" s="1" t="n">
        <v>45933</v>
      </c>
      <c r="D1047" t="inlineStr">
        <is>
          <t>STOCKHOLMS LÄN</t>
        </is>
      </c>
      <c r="E1047" t="inlineStr">
        <is>
          <t>NORRTÄLJE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25702-2025</t>
        </is>
      </c>
      <c r="B1048" s="1" t="n">
        <v>45800</v>
      </c>
      <c r="C1048" s="1" t="n">
        <v>45933</v>
      </c>
      <c r="D1048" t="inlineStr">
        <is>
          <t>STOCKHOLMS LÄN</t>
        </is>
      </c>
      <c r="E1048" t="inlineStr">
        <is>
          <t>NORRTÄLJE</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25709-2025</t>
        </is>
      </c>
      <c r="B1049" s="1" t="n">
        <v>45800</v>
      </c>
      <c r="C1049" s="1" t="n">
        <v>45933</v>
      </c>
      <c r="D1049" t="inlineStr">
        <is>
          <t>STOCKHOLMS LÄN</t>
        </is>
      </c>
      <c r="E1049" t="inlineStr">
        <is>
          <t>NORRTÄLJE</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25721-2025</t>
        </is>
      </c>
      <c r="B1050" s="1" t="n">
        <v>45800</v>
      </c>
      <c r="C1050" s="1" t="n">
        <v>45933</v>
      </c>
      <c r="D1050" t="inlineStr">
        <is>
          <t>STOCKHOLMS LÄN</t>
        </is>
      </c>
      <c r="E1050" t="inlineStr">
        <is>
          <t>NORRTÄLJE</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25733-2025</t>
        </is>
      </c>
      <c r="B1051" s="1" t="n">
        <v>45800</v>
      </c>
      <c r="C1051" s="1" t="n">
        <v>45933</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25725-2025</t>
        </is>
      </c>
      <c r="B1052" s="1" t="n">
        <v>45800</v>
      </c>
      <c r="C1052" s="1" t="n">
        <v>45933</v>
      </c>
      <c r="D1052" t="inlineStr">
        <is>
          <t>STOCKHOLMS LÄN</t>
        </is>
      </c>
      <c r="E1052" t="inlineStr">
        <is>
          <t>NORRTÄLJE</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25571-2025</t>
        </is>
      </c>
      <c r="B1053" s="1" t="n">
        <v>45803.4675</v>
      </c>
      <c r="C1053" s="1" t="n">
        <v>45933</v>
      </c>
      <c r="D1053" t="inlineStr">
        <is>
          <t>STOCKHOLMS LÄN</t>
        </is>
      </c>
      <c r="E1053" t="inlineStr">
        <is>
          <t>NORRTÄLJE</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53561-2023</t>
        </is>
      </c>
      <c r="B1054" s="1" t="n">
        <v>45224</v>
      </c>
      <c r="C1054" s="1" t="n">
        <v>45933</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25270-2025</t>
        </is>
      </c>
      <c r="B1055" s="1" t="n">
        <v>45800</v>
      </c>
      <c r="C1055" s="1" t="n">
        <v>45933</v>
      </c>
      <c r="D1055" t="inlineStr">
        <is>
          <t>STOCKHOLMS LÄN</t>
        </is>
      </c>
      <c r="E1055" t="inlineStr">
        <is>
          <t>NORRTÄLJE</t>
        </is>
      </c>
      <c r="F1055" t="inlineStr">
        <is>
          <t>Övriga Aktiebolag</t>
        </is>
      </c>
      <c r="G1055" t="n">
        <v>30</v>
      </c>
      <c r="H1055" t="n">
        <v>0</v>
      </c>
      <c r="I1055" t="n">
        <v>0</v>
      </c>
      <c r="J1055" t="n">
        <v>0</v>
      </c>
      <c r="K1055" t="n">
        <v>0</v>
      </c>
      <c r="L1055" t="n">
        <v>0</v>
      </c>
      <c r="M1055" t="n">
        <v>0</v>
      </c>
      <c r="N1055" t="n">
        <v>0</v>
      </c>
      <c r="O1055" t="n">
        <v>0</v>
      </c>
      <c r="P1055" t="n">
        <v>0</v>
      </c>
      <c r="Q1055" t="n">
        <v>0</v>
      </c>
      <c r="R1055" s="2" t="inlineStr"/>
    </row>
    <row r="1056" ht="15" customHeight="1">
      <c r="A1056" t="inlineStr">
        <is>
          <t>A 25712-2025</t>
        </is>
      </c>
      <c r="B1056" s="1" t="n">
        <v>45803.69228009259</v>
      </c>
      <c r="C1056" s="1" t="n">
        <v>45933</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41218-2024</t>
        </is>
      </c>
      <c r="B1057" s="1" t="n">
        <v>45559.54706018518</v>
      </c>
      <c r="C1057" s="1" t="n">
        <v>45933</v>
      </c>
      <c r="D1057" t="inlineStr">
        <is>
          <t>STOCKHOLMS LÄN</t>
        </is>
      </c>
      <c r="E1057" t="inlineStr">
        <is>
          <t>NORRTÄLJE</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26051-2025</t>
        </is>
      </c>
      <c r="B1058" s="1" t="n">
        <v>45804.74479166666</v>
      </c>
      <c r="C1058" s="1" t="n">
        <v>45933</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39238-2024</t>
        </is>
      </c>
      <c r="B1059" s="1" t="n">
        <v>45549</v>
      </c>
      <c r="C1059" s="1" t="n">
        <v>45933</v>
      </c>
      <c r="D1059" t="inlineStr">
        <is>
          <t>STOCKHOLMS LÄN</t>
        </is>
      </c>
      <c r="E1059" t="inlineStr">
        <is>
          <t>NORRTÄLJE</t>
        </is>
      </c>
      <c r="G1059" t="n">
        <v>3.6</v>
      </c>
      <c r="H1059" t="n">
        <v>0</v>
      </c>
      <c r="I1059" t="n">
        <v>0</v>
      </c>
      <c r="J1059" t="n">
        <v>0</v>
      </c>
      <c r="K1059" t="n">
        <v>0</v>
      </c>
      <c r="L1059" t="n">
        <v>0</v>
      </c>
      <c r="M1059" t="n">
        <v>0</v>
      </c>
      <c r="N1059" t="n">
        <v>0</v>
      </c>
      <c r="O1059" t="n">
        <v>0</v>
      </c>
      <c r="P1059" t="n">
        <v>0</v>
      </c>
      <c r="Q1059" t="n">
        <v>0</v>
      </c>
      <c r="R1059" s="2" t="inlineStr"/>
    </row>
    <row r="1060">
      <c r="A1060" t="inlineStr">
        <is>
          <t>A 38449-2022</t>
        </is>
      </c>
      <c r="B1060" s="1" t="n">
        <v>44813</v>
      </c>
      <c r="C1060" s="1" t="n">
        <v>45933</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2025-10-03T12:32:13Z</dcterms:created>
  <dcterms:modified xmlns:dcterms="http://purl.org/dc/terms/" xmlns:xsi="http://www.w3.org/2001/XMLSchema-instance" xsi:type="dcterms:W3CDTF">2025-10-03T12:32:13Z</dcterms:modified>
</cp:coreProperties>
</file>