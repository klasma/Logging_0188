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45915</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45915</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45915</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45915</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45915</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45915</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45915</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45915</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45915</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45915</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45915</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45915</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45915</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45915</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45915</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45915</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45915</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45915</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45915</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45915</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45915</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45915</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45915</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45915</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34528-2025</t>
        </is>
      </c>
      <c r="B27" s="1" t="n">
        <v>45847.48436342592</v>
      </c>
      <c r="C27" s="1" t="n">
        <v>45915</v>
      </c>
      <c r="D27" t="inlineStr">
        <is>
          <t>STOCKHOLMS LÄN</t>
        </is>
      </c>
      <c r="E27" t="inlineStr">
        <is>
          <t>NORRTÄLJE</t>
        </is>
      </c>
      <c r="G27" t="n">
        <v>1</v>
      </c>
      <c r="H27" t="n">
        <v>1</v>
      </c>
      <c r="I27" t="n">
        <v>2</v>
      </c>
      <c r="J27" t="n">
        <v>3</v>
      </c>
      <c r="K27" t="n">
        <v>1</v>
      </c>
      <c r="L27" t="n">
        <v>0</v>
      </c>
      <c r="M27" t="n">
        <v>0</v>
      </c>
      <c r="N27" t="n">
        <v>0</v>
      </c>
      <c r="O27" t="n">
        <v>4</v>
      </c>
      <c r="P27" t="n">
        <v>1</v>
      </c>
      <c r="Q27" t="n">
        <v>6</v>
      </c>
      <c r="R27" s="2" t="inlineStr">
        <is>
          <t>Gyllenfingersvamp
Gammelgransskål
Motaggsvamp
Spillkråka
Fjällig taggsvamp s.str.
Svavelriska</t>
        </is>
      </c>
      <c r="S27">
        <f>HYPERLINK("https://klasma.github.io/Logging_0188/artfynd/A 34528-2025 artfynd.xlsx", "A 34528-2025")</f>
        <v/>
      </c>
      <c r="T27">
        <f>HYPERLINK("https://klasma.github.io/Logging_0188/kartor/A 34528-2025 karta.png", "A 34528-2025")</f>
        <v/>
      </c>
      <c r="V27">
        <f>HYPERLINK("https://klasma.github.io/Logging_0188/klagomål/A 34528-2025 FSC-klagomål.docx", "A 34528-2025")</f>
        <v/>
      </c>
      <c r="W27">
        <f>HYPERLINK("https://klasma.github.io/Logging_0188/klagomålsmail/A 34528-2025 FSC-klagomål mail.docx", "A 34528-2025")</f>
        <v/>
      </c>
      <c r="X27">
        <f>HYPERLINK("https://klasma.github.io/Logging_0188/tillsyn/A 34528-2025 tillsynsbegäran.docx", "A 34528-2025")</f>
        <v/>
      </c>
      <c r="Y27">
        <f>HYPERLINK("https://klasma.github.io/Logging_0188/tillsynsmail/A 34528-2025 tillsynsbegäran mail.docx", "A 34528-2025")</f>
        <v/>
      </c>
      <c r="Z27">
        <f>HYPERLINK("https://klasma.github.io/Logging_0188/fåglar/A 34528-2025 prioriterade fågelarter.docx", "A 34528-2025")</f>
        <v/>
      </c>
    </row>
    <row r="28" ht="15" customHeight="1">
      <c r="A28" t="inlineStr">
        <is>
          <t>A 25732-2025</t>
        </is>
      </c>
      <c r="B28" s="1" t="n">
        <v>45800</v>
      </c>
      <c r="C28" s="1" t="n">
        <v>45915</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15804-2025</t>
        </is>
      </c>
      <c r="B29" s="1" t="n">
        <v>45748.6521875</v>
      </c>
      <c r="C29" s="1" t="n">
        <v>45915</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30687-2025</t>
        </is>
      </c>
      <c r="B30" s="1" t="n">
        <v>45831.53390046296</v>
      </c>
      <c r="C30" s="1" t="n">
        <v>45915</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21922-2023</t>
        </is>
      </c>
      <c r="B31" s="1" t="n">
        <v>45068</v>
      </c>
      <c r="C31" s="1" t="n">
        <v>45915</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45915</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21837-2025</t>
        </is>
      </c>
      <c r="B33" s="1" t="n">
        <v>45784.32179398148</v>
      </c>
      <c r="C33" s="1" t="n">
        <v>45915</v>
      </c>
      <c r="D33" t="inlineStr">
        <is>
          <t>STOCKHOLMS LÄN</t>
        </is>
      </c>
      <c r="E33" t="inlineStr">
        <is>
          <t>NORRTÄLJE</t>
        </is>
      </c>
      <c r="G33" t="n">
        <v>6.4</v>
      </c>
      <c r="H33" t="n">
        <v>2</v>
      </c>
      <c r="I33" t="n">
        <v>2</v>
      </c>
      <c r="J33" t="n">
        <v>1</v>
      </c>
      <c r="K33" t="n">
        <v>0</v>
      </c>
      <c r="L33" t="n">
        <v>0</v>
      </c>
      <c r="M33" t="n">
        <v>0</v>
      </c>
      <c r="N33" t="n">
        <v>0</v>
      </c>
      <c r="O33" t="n">
        <v>1</v>
      </c>
      <c r="P33" t="n">
        <v>0</v>
      </c>
      <c r="Q33" t="n">
        <v>4</v>
      </c>
      <c r="R33" s="2" t="inlineStr">
        <is>
          <t>Granticka
Brandticka
Nästrot
Blåsippa</t>
        </is>
      </c>
      <c r="S33">
        <f>HYPERLINK("https://klasma.github.io/Logging_0188/artfynd/A 21837-2025 artfynd.xlsx", "A 21837-2025")</f>
        <v/>
      </c>
      <c r="T33">
        <f>HYPERLINK("https://klasma.github.io/Logging_0188/kartor/A 21837-2025 karta.png", "A 21837-2025")</f>
        <v/>
      </c>
      <c r="V33">
        <f>HYPERLINK("https://klasma.github.io/Logging_0188/klagomål/A 21837-2025 FSC-klagomål.docx", "A 21837-2025")</f>
        <v/>
      </c>
      <c r="W33">
        <f>HYPERLINK("https://klasma.github.io/Logging_0188/klagomålsmail/A 21837-2025 FSC-klagomål mail.docx", "A 21837-2025")</f>
        <v/>
      </c>
      <c r="X33">
        <f>HYPERLINK("https://klasma.github.io/Logging_0188/tillsyn/A 21837-2025 tillsynsbegäran.docx", "A 21837-2025")</f>
        <v/>
      </c>
      <c r="Y33">
        <f>HYPERLINK("https://klasma.github.io/Logging_0188/tillsynsmail/A 21837-2025 tillsynsbegäran mail.docx", "A 21837-2025")</f>
        <v/>
      </c>
    </row>
    <row r="34" ht="15" customHeight="1">
      <c r="A34" t="inlineStr">
        <is>
          <t>A 21730-2025</t>
        </is>
      </c>
      <c r="B34" s="1" t="n">
        <v>45783.58123842593</v>
      </c>
      <c r="C34" s="1" t="n">
        <v>45915</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22071-2022</t>
        </is>
      </c>
      <c r="B35" s="1" t="n">
        <v>44711</v>
      </c>
      <c r="C35" s="1" t="n">
        <v>45915</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72305-2021</t>
        </is>
      </c>
      <c r="B36" s="1" t="n">
        <v>44545</v>
      </c>
      <c r="C36" s="1" t="n">
        <v>45915</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45915</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44709-2022</t>
        </is>
      </c>
      <c r="B38" s="1" t="n">
        <v>44839</v>
      </c>
      <c r="C38" s="1" t="n">
        <v>45915</v>
      </c>
      <c r="D38" t="inlineStr">
        <is>
          <t>STOCKHOLMS LÄN</t>
        </is>
      </c>
      <c r="E38" t="inlineStr">
        <is>
          <t>NORRTÄLJE</t>
        </is>
      </c>
      <c r="G38" t="n">
        <v>16.3</v>
      </c>
      <c r="H38" t="n">
        <v>3</v>
      </c>
      <c r="I38" t="n">
        <v>0</v>
      </c>
      <c r="J38" t="n">
        <v>2</v>
      </c>
      <c r="K38" t="n">
        <v>0</v>
      </c>
      <c r="L38" t="n">
        <v>0</v>
      </c>
      <c r="M38" t="n">
        <v>0</v>
      </c>
      <c r="N38" t="n">
        <v>0</v>
      </c>
      <c r="O38" t="n">
        <v>2</v>
      </c>
      <c r="P38" t="n">
        <v>0</v>
      </c>
      <c r="Q38" t="n">
        <v>4</v>
      </c>
      <c r="R38" s="2" t="inlineStr">
        <is>
          <t>Asppraktbagge
Spillkråka
Enkelbeckasin
Orre</t>
        </is>
      </c>
      <c r="S38">
        <f>HYPERLINK("https://klasma.github.io/Logging_0188/artfynd/A 44709-2022 artfynd.xlsx", "A 44709-2022")</f>
        <v/>
      </c>
      <c r="T38">
        <f>HYPERLINK("https://klasma.github.io/Logging_0188/kartor/A 44709-2022 karta.png", "A 44709-2022")</f>
        <v/>
      </c>
      <c r="V38">
        <f>HYPERLINK("https://klasma.github.io/Logging_0188/klagomål/A 44709-2022 FSC-klagomål.docx", "A 44709-2022")</f>
        <v/>
      </c>
      <c r="W38">
        <f>HYPERLINK("https://klasma.github.io/Logging_0188/klagomålsmail/A 44709-2022 FSC-klagomål mail.docx", "A 44709-2022")</f>
        <v/>
      </c>
      <c r="X38">
        <f>HYPERLINK("https://klasma.github.io/Logging_0188/tillsyn/A 44709-2022 tillsynsbegäran.docx", "A 44709-2022")</f>
        <v/>
      </c>
      <c r="Y38">
        <f>HYPERLINK("https://klasma.github.io/Logging_0188/tillsynsmail/A 44709-2022 tillsynsbegäran mail.docx", "A 44709-2022")</f>
        <v/>
      </c>
      <c r="Z38">
        <f>HYPERLINK("https://klasma.github.io/Logging_0188/fåglar/A 44709-2022 prioriterade fågelarter.docx", "A 44709-2022")</f>
        <v/>
      </c>
    </row>
    <row r="39" ht="15" customHeight="1">
      <c r="A39" t="inlineStr">
        <is>
          <t>A 34521-2025</t>
        </is>
      </c>
      <c r="B39" s="1" t="n">
        <v>45847.47052083333</v>
      </c>
      <c r="C39" s="1" t="n">
        <v>45915</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41276-2025</t>
        </is>
      </c>
      <c r="B40" s="1" t="n">
        <v>45898.62723379629</v>
      </c>
      <c r="C40" s="1" t="n">
        <v>45915</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10876-2025</t>
        </is>
      </c>
      <c r="B41" s="1" t="n">
        <v>45722</v>
      </c>
      <c r="C41" s="1" t="n">
        <v>45915</v>
      </c>
      <c r="D41" t="inlineStr">
        <is>
          <t>STOCKHOLMS LÄN</t>
        </is>
      </c>
      <c r="E41" t="inlineStr">
        <is>
          <t>NORRTÄLJE</t>
        </is>
      </c>
      <c r="F41" t="inlineStr">
        <is>
          <t>Holmen skog AB</t>
        </is>
      </c>
      <c r="G41" t="n">
        <v>9.300000000000001</v>
      </c>
      <c r="H41" t="n">
        <v>4</v>
      </c>
      <c r="I41" t="n">
        <v>0</v>
      </c>
      <c r="J41" t="n">
        <v>1</v>
      </c>
      <c r="K41" t="n">
        <v>1</v>
      </c>
      <c r="L41" t="n">
        <v>1</v>
      </c>
      <c r="M41" t="n">
        <v>0</v>
      </c>
      <c r="N41" t="n">
        <v>0</v>
      </c>
      <c r="O41" t="n">
        <v>3</v>
      </c>
      <c r="P41" t="n">
        <v>2</v>
      </c>
      <c r="Q41" t="n">
        <v>4</v>
      </c>
      <c r="R41" s="2" t="inlineStr">
        <is>
          <t>Asknätfjäril
Hällebräcka
Utter
Gullviva</t>
        </is>
      </c>
      <c r="S41">
        <f>HYPERLINK("https://klasma.github.io/Logging_0188/artfynd/A 10876-2025 artfynd.xlsx", "A 10876-2025")</f>
        <v/>
      </c>
      <c r="T41">
        <f>HYPERLINK("https://klasma.github.io/Logging_0188/kartor/A 10876-2025 karta.png", "A 10876-2025")</f>
        <v/>
      </c>
      <c r="V41">
        <f>HYPERLINK("https://klasma.github.io/Logging_0188/klagomål/A 10876-2025 FSC-klagomål.docx", "A 10876-2025")</f>
        <v/>
      </c>
      <c r="W41">
        <f>HYPERLINK("https://klasma.github.io/Logging_0188/klagomålsmail/A 10876-2025 FSC-klagomål mail.docx", "A 10876-2025")</f>
        <v/>
      </c>
      <c r="X41">
        <f>HYPERLINK("https://klasma.github.io/Logging_0188/tillsyn/A 10876-2025 tillsynsbegäran.docx", "A 10876-2025")</f>
        <v/>
      </c>
      <c r="Y41">
        <f>HYPERLINK("https://klasma.github.io/Logging_0188/tillsynsmail/A 10876-2025 tillsynsbegäran mail.docx", "A 10876-2025")</f>
        <v/>
      </c>
    </row>
    <row r="42" ht="15" customHeight="1">
      <c r="A42" t="inlineStr">
        <is>
          <t>A 17673-2021</t>
        </is>
      </c>
      <c r="B42" s="1" t="n">
        <v>44300</v>
      </c>
      <c r="C42" s="1" t="n">
        <v>45915</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45915</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45915</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45915</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53065-2024</t>
        </is>
      </c>
      <c r="B46" s="1" t="n">
        <v>45611.47233796296</v>
      </c>
      <c r="C46" s="1" t="n">
        <v>45915</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45915</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50618-2022</t>
        </is>
      </c>
      <c r="B48" s="1" t="n">
        <v>44866</v>
      </c>
      <c r="C48" s="1" t="n">
        <v>45915</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29185-2025</t>
        </is>
      </c>
      <c r="B49" s="1" t="n">
        <v>45821</v>
      </c>
      <c r="C49" s="1" t="n">
        <v>45915</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2851-2023</t>
        </is>
      </c>
      <c r="B50" s="1" t="n">
        <v>44945</v>
      </c>
      <c r="C50" s="1" t="n">
        <v>45915</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45915</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45915</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27870-2022</t>
        </is>
      </c>
      <c r="B53" s="1" t="n">
        <v>44743.64592592593</v>
      </c>
      <c r="C53" s="1" t="n">
        <v>45915</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31803-2021</t>
        </is>
      </c>
      <c r="B54" s="1" t="n">
        <v>44370</v>
      </c>
      <c r="C54" s="1" t="n">
        <v>45915</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45915</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11031-2025</t>
        </is>
      </c>
      <c r="B56" s="1" t="n">
        <v>45723</v>
      </c>
      <c r="C56" s="1" t="n">
        <v>45915</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51220-2023</t>
        </is>
      </c>
      <c r="B57" s="1" t="n">
        <v>45219</v>
      </c>
      <c r="C57" s="1" t="n">
        <v>45915</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45915</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52360-2024</t>
        </is>
      </c>
      <c r="B59" s="1" t="n">
        <v>45609.37094907407</v>
      </c>
      <c r="C59" s="1" t="n">
        <v>45915</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45915</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45915</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45915</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20012-2025</t>
        </is>
      </c>
      <c r="B63" s="1" t="n">
        <v>45772.30234953704</v>
      </c>
      <c r="C63" s="1" t="n">
        <v>45915</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25731-2025</t>
        </is>
      </c>
      <c r="B64" s="1" t="n">
        <v>45800</v>
      </c>
      <c r="C64" s="1" t="n">
        <v>45915</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52124-2022</t>
        </is>
      </c>
      <c r="B65" s="1" t="n">
        <v>44868</v>
      </c>
      <c r="C65" s="1" t="n">
        <v>45915</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45915</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45915</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45915</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45915</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45915</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45915</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45915</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45915</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32111-2022</t>
        </is>
      </c>
      <c r="B74" s="1" t="n">
        <v>44778.92797453704</v>
      </c>
      <c r="C74" s="1" t="n">
        <v>45915</v>
      </c>
      <c r="D74" t="inlineStr">
        <is>
          <t>STOCKHOLMS LÄN</t>
        </is>
      </c>
      <c r="E74" t="inlineStr">
        <is>
          <t>NORRTÄLJE</t>
        </is>
      </c>
      <c r="G74" t="n">
        <v>3.1</v>
      </c>
      <c r="H74" t="n">
        <v>0</v>
      </c>
      <c r="I74" t="n">
        <v>0</v>
      </c>
      <c r="J74" t="n">
        <v>1</v>
      </c>
      <c r="K74" t="n">
        <v>0</v>
      </c>
      <c r="L74" t="n">
        <v>0</v>
      </c>
      <c r="M74" t="n">
        <v>0</v>
      </c>
      <c r="N74" t="n">
        <v>0</v>
      </c>
      <c r="O74" t="n">
        <v>1</v>
      </c>
      <c r="P74" t="n">
        <v>0</v>
      </c>
      <c r="Q74" t="n">
        <v>1</v>
      </c>
      <c r="R74" s="2" t="inlineStr">
        <is>
          <t>Orange taggsvamp</t>
        </is>
      </c>
      <c r="S74">
        <f>HYPERLINK("https://klasma.github.io/Logging_0188/artfynd/A 32111-2022 artfynd.xlsx", "A 32111-2022")</f>
        <v/>
      </c>
      <c r="T74">
        <f>HYPERLINK("https://klasma.github.io/Logging_0188/kartor/A 32111-2022 karta.png", "A 32111-2022")</f>
        <v/>
      </c>
      <c r="V74">
        <f>HYPERLINK("https://klasma.github.io/Logging_0188/klagomål/A 32111-2022 FSC-klagomål.docx", "A 32111-2022")</f>
        <v/>
      </c>
      <c r="W74">
        <f>HYPERLINK("https://klasma.github.io/Logging_0188/klagomålsmail/A 32111-2022 FSC-klagomål mail.docx", "A 32111-2022")</f>
        <v/>
      </c>
      <c r="X74">
        <f>HYPERLINK("https://klasma.github.io/Logging_0188/tillsyn/A 32111-2022 tillsynsbegäran.docx", "A 32111-2022")</f>
        <v/>
      </c>
      <c r="Y74">
        <f>HYPERLINK("https://klasma.github.io/Logging_0188/tillsynsmail/A 32111-2022 tillsynsbegäran mail.docx", "A 32111-2022")</f>
        <v/>
      </c>
    </row>
    <row r="75" ht="15" customHeight="1">
      <c r="A75" t="inlineStr">
        <is>
          <t>A 19829-2022</t>
        </is>
      </c>
      <c r="B75" s="1" t="n">
        <v>44695.43527777777</v>
      </c>
      <c r="C75" s="1" t="n">
        <v>45915</v>
      </c>
      <c r="D75" t="inlineStr">
        <is>
          <t>STOCKHOLMS LÄN</t>
        </is>
      </c>
      <c r="E75" t="inlineStr">
        <is>
          <t>NORRTÄLJE</t>
        </is>
      </c>
      <c r="G75" t="n">
        <v>2</v>
      </c>
      <c r="H75" t="n">
        <v>1</v>
      </c>
      <c r="I75" t="n">
        <v>1</v>
      </c>
      <c r="J75" t="n">
        <v>0</v>
      </c>
      <c r="K75" t="n">
        <v>0</v>
      </c>
      <c r="L75" t="n">
        <v>0</v>
      </c>
      <c r="M75" t="n">
        <v>0</v>
      </c>
      <c r="N75" t="n">
        <v>0</v>
      </c>
      <c r="O75" t="n">
        <v>0</v>
      </c>
      <c r="P75" t="n">
        <v>0</v>
      </c>
      <c r="Q75" t="n">
        <v>1</v>
      </c>
      <c r="R75" s="2" t="inlineStr">
        <is>
          <t>Guckusko</t>
        </is>
      </c>
      <c r="S75">
        <f>HYPERLINK("https://klasma.github.io/Logging_0188/artfynd/A 19829-2022 artfynd.xlsx", "A 19829-2022")</f>
        <v/>
      </c>
      <c r="T75">
        <f>HYPERLINK("https://klasma.github.io/Logging_0188/kartor/A 19829-2022 karta.png", "A 19829-2022")</f>
        <v/>
      </c>
      <c r="V75">
        <f>HYPERLINK("https://klasma.github.io/Logging_0188/klagomål/A 19829-2022 FSC-klagomål.docx", "A 19829-2022")</f>
        <v/>
      </c>
      <c r="W75">
        <f>HYPERLINK("https://klasma.github.io/Logging_0188/klagomålsmail/A 19829-2022 FSC-klagomål mail.docx", "A 19829-2022")</f>
        <v/>
      </c>
      <c r="X75">
        <f>HYPERLINK("https://klasma.github.io/Logging_0188/tillsyn/A 19829-2022 tillsynsbegäran.docx", "A 19829-2022")</f>
        <v/>
      </c>
      <c r="Y75">
        <f>HYPERLINK("https://klasma.github.io/Logging_0188/tillsynsmail/A 19829-2022 tillsynsbegäran mail.docx", "A 19829-2022")</f>
        <v/>
      </c>
    </row>
    <row r="76" ht="15" customHeight="1">
      <c r="A76" t="inlineStr">
        <is>
          <t>A 21927-2025</t>
        </is>
      </c>
      <c r="B76" s="1" t="n">
        <v>45784.54878472222</v>
      </c>
      <c r="C76" s="1" t="n">
        <v>45915</v>
      </c>
      <c r="D76" t="inlineStr">
        <is>
          <t>STOCKHOLMS LÄN</t>
        </is>
      </c>
      <c r="E76" t="inlineStr">
        <is>
          <t>NORRTÄLJE</t>
        </is>
      </c>
      <c r="G76" t="n">
        <v>3.4</v>
      </c>
      <c r="H76" t="n">
        <v>1</v>
      </c>
      <c r="I76" t="n">
        <v>1</v>
      </c>
      <c r="J76" t="n">
        <v>0</v>
      </c>
      <c r="K76" t="n">
        <v>0</v>
      </c>
      <c r="L76" t="n">
        <v>0</v>
      </c>
      <c r="M76" t="n">
        <v>0</v>
      </c>
      <c r="N76" t="n">
        <v>0</v>
      </c>
      <c r="O76" t="n">
        <v>0</v>
      </c>
      <c r="P76" t="n">
        <v>0</v>
      </c>
      <c r="Q76" t="n">
        <v>1</v>
      </c>
      <c r="R76" s="2" t="inlineStr">
        <is>
          <t>Nästrot</t>
        </is>
      </c>
      <c r="S76">
        <f>HYPERLINK("https://klasma.github.io/Logging_0188/artfynd/A 21927-2025 artfynd.xlsx", "A 21927-2025")</f>
        <v/>
      </c>
      <c r="T76">
        <f>HYPERLINK("https://klasma.github.io/Logging_0188/kartor/A 21927-2025 karta.png", "A 21927-2025")</f>
        <v/>
      </c>
      <c r="V76">
        <f>HYPERLINK("https://klasma.github.io/Logging_0188/klagomål/A 21927-2025 FSC-klagomål.docx", "A 21927-2025")</f>
        <v/>
      </c>
      <c r="W76">
        <f>HYPERLINK("https://klasma.github.io/Logging_0188/klagomålsmail/A 21927-2025 FSC-klagomål mail.docx", "A 21927-2025")</f>
        <v/>
      </c>
      <c r="X76">
        <f>HYPERLINK("https://klasma.github.io/Logging_0188/tillsyn/A 21927-2025 tillsynsbegäran.docx", "A 21927-2025")</f>
        <v/>
      </c>
      <c r="Y76">
        <f>HYPERLINK("https://klasma.github.io/Logging_0188/tillsynsmail/A 21927-2025 tillsynsbegäran mail.docx", "A 21927-2025")</f>
        <v/>
      </c>
    </row>
    <row r="77" ht="15" customHeight="1">
      <c r="A77" t="inlineStr">
        <is>
          <t>A 47898-2022</t>
        </is>
      </c>
      <c r="B77" s="1" t="n">
        <v>44855</v>
      </c>
      <c r="C77" s="1" t="n">
        <v>45915</v>
      </c>
      <c r="D77" t="inlineStr">
        <is>
          <t>STOCKHOLMS LÄN</t>
        </is>
      </c>
      <c r="E77" t="inlineStr">
        <is>
          <t>NORRTÄLJE</t>
        </is>
      </c>
      <c r="G77" t="n">
        <v>6.7</v>
      </c>
      <c r="H77" t="n">
        <v>1</v>
      </c>
      <c r="I77" t="n">
        <v>1</v>
      </c>
      <c r="J77" t="n">
        <v>0</v>
      </c>
      <c r="K77" t="n">
        <v>0</v>
      </c>
      <c r="L77" t="n">
        <v>0</v>
      </c>
      <c r="M77" t="n">
        <v>0</v>
      </c>
      <c r="N77" t="n">
        <v>0</v>
      </c>
      <c r="O77" t="n">
        <v>0</v>
      </c>
      <c r="P77" t="n">
        <v>0</v>
      </c>
      <c r="Q77" t="n">
        <v>1</v>
      </c>
      <c r="R77" s="2" t="inlineStr">
        <is>
          <t>Guckusko</t>
        </is>
      </c>
      <c r="S77">
        <f>HYPERLINK("https://klasma.github.io/Logging_0188/artfynd/A 47898-2022 artfynd.xlsx", "A 47898-2022")</f>
        <v/>
      </c>
      <c r="T77">
        <f>HYPERLINK("https://klasma.github.io/Logging_0188/kartor/A 47898-2022 karta.png", "A 47898-2022")</f>
        <v/>
      </c>
      <c r="V77">
        <f>HYPERLINK("https://klasma.github.io/Logging_0188/klagomål/A 47898-2022 FSC-klagomål.docx", "A 47898-2022")</f>
        <v/>
      </c>
      <c r="W77">
        <f>HYPERLINK("https://klasma.github.io/Logging_0188/klagomålsmail/A 47898-2022 FSC-klagomål mail.docx", "A 47898-2022")</f>
        <v/>
      </c>
      <c r="X77">
        <f>HYPERLINK("https://klasma.github.io/Logging_0188/tillsyn/A 47898-2022 tillsynsbegäran.docx", "A 47898-2022")</f>
        <v/>
      </c>
      <c r="Y77">
        <f>HYPERLINK("https://klasma.github.io/Logging_0188/tillsynsmail/A 47898-2022 tillsynsbegäran mail.docx", "A 47898-2022")</f>
        <v/>
      </c>
    </row>
    <row r="78" ht="15" customHeight="1">
      <c r="A78" t="inlineStr">
        <is>
          <t>A 9955-2022</t>
        </is>
      </c>
      <c r="B78" s="1" t="n">
        <v>44620</v>
      </c>
      <c r="C78" s="1" t="n">
        <v>45915</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4595-2023</t>
        </is>
      </c>
      <c r="B79" s="1" t="n">
        <v>44956</v>
      </c>
      <c r="C79" s="1" t="n">
        <v>45915</v>
      </c>
      <c r="D79" t="inlineStr">
        <is>
          <t>STOCKHOLMS LÄN</t>
        </is>
      </c>
      <c r="E79" t="inlineStr">
        <is>
          <t>NORRTÄLJE</t>
        </is>
      </c>
      <c r="G79" t="n">
        <v>0.6</v>
      </c>
      <c r="H79" t="n">
        <v>1</v>
      </c>
      <c r="I79" t="n">
        <v>0</v>
      </c>
      <c r="J79" t="n">
        <v>0</v>
      </c>
      <c r="K79" t="n">
        <v>0</v>
      </c>
      <c r="L79" t="n">
        <v>0</v>
      </c>
      <c r="M79" t="n">
        <v>0</v>
      </c>
      <c r="N79" t="n">
        <v>0</v>
      </c>
      <c r="O79" t="n">
        <v>0</v>
      </c>
      <c r="P79" t="n">
        <v>0</v>
      </c>
      <c r="Q79" t="n">
        <v>1</v>
      </c>
      <c r="R79" s="2" t="inlineStr">
        <is>
          <t>Blåsippa</t>
        </is>
      </c>
      <c r="S79">
        <f>HYPERLINK("https://klasma.github.io/Logging_0188/artfynd/A 4595-2023 artfynd.xlsx", "A 4595-2023")</f>
        <v/>
      </c>
      <c r="T79">
        <f>HYPERLINK("https://klasma.github.io/Logging_0188/kartor/A 4595-2023 karta.png", "A 4595-2023")</f>
        <v/>
      </c>
      <c r="V79">
        <f>HYPERLINK("https://klasma.github.io/Logging_0188/klagomål/A 4595-2023 FSC-klagomål.docx", "A 4595-2023")</f>
        <v/>
      </c>
      <c r="W79">
        <f>HYPERLINK("https://klasma.github.io/Logging_0188/klagomålsmail/A 4595-2023 FSC-klagomål mail.docx", "A 4595-2023")</f>
        <v/>
      </c>
      <c r="X79">
        <f>HYPERLINK("https://klasma.github.io/Logging_0188/tillsyn/A 4595-2023 tillsynsbegäran.docx", "A 4595-2023")</f>
        <v/>
      </c>
      <c r="Y79">
        <f>HYPERLINK("https://klasma.github.io/Logging_0188/tillsynsmail/A 4595-2023 tillsynsbegäran mail.docx", "A 4595-2023")</f>
        <v/>
      </c>
    </row>
    <row r="80" ht="15" customHeight="1">
      <c r="A80" t="inlineStr">
        <is>
          <t>A 23905-2025</t>
        </is>
      </c>
      <c r="B80" s="1" t="n">
        <v>45794.63298611111</v>
      </c>
      <c r="C80" s="1" t="n">
        <v>45915</v>
      </c>
      <c r="D80" t="inlineStr">
        <is>
          <t>STOCKHOLMS LÄN</t>
        </is>
      </c>
      <c r="E80" t="inlineStr">
        <is>
          <t>NORRTÄLJE</t>
        </is>
      </c>
      <c r="G80" t="n">
        <v>8.4</v>
      </c>
      <c r="H80" t="n">
        <v>1</v>
      </c>
      <c r="I80" t="n">
        <v>0</v>
      </c>
      <c r="J80" t="n">
        <v>0</v>
      </c>
      <c r="K80" t="n">
        <v>0</v>
      </c>
      <c r="L80" t="n">
        <v>0</v>
      </c>
      <c r="M80" t="n">
        <v>0</v>
      </c>
      <c r="N80" t="n">
        <v>0</v>
      </c>
      <c r="O80" t="n">
        <v>0</v>
      </c>
      <c r="P80" t="n">
        <v>0</v>
      </c>
      <c r="Q80" t="n">
        <v>1</v>
      </c>
      <c r="R80" s="2" t="inlineStr">
        <is>
          <t>Blåsippa</t>
        </is>
      </c>
      <c r="S80">
        <f>HYPERLINK("https://klasma.github.io/Logging_0188/artfynd/A 23905-2025 artfynd.xlsx", "A 23905-2025")</f>
        <v/>
      </c>
      <c r="T80">
        <f>HYPERLINK("https://klasma.github.io/Logging_0188/kartor/A 23905-2025 karta.png", "A 23905-2025")</f>
        <v/>
      </c>
      <c r="V80">
        <f>HYPERLINK("https://klasma.github.io/Logging_0188/klagomål/A 23905-2025 FSC-klagomål.docx", "A 23905-2025")</f>
        <v/>
      </c>
      <c r="W80">
        <f>HYPERLINK("https://klasma.github.io/Logging_0188/klagomålsmail/A 23905-2025 FSC-klagomål mail.docx", "A 23905-2025")</f>
        <v/>
      </c>
      <c r="X80">
        <f>HYPERLINK("https://klasma.github.io/Logging_0188/tillsyn/A 23905-2025 tillsynsbegäran.docx", "A 23905-2025")</f>
        <v/>
      </c>
      <c r="Y80">
        <f>HYPERLINK("https://klasma.github.io/Logging_0188/tillsynsmail/A 23905-2025 tillsynsbegäran mail.docx", "A 23905-2025")</f>
        <v/>
      </c>
    </row>
    <row r="81" ht="15" customHeight="1">
      <c r="A81" t="inlineStr">
        <is>
          <t>A 25687-2025</t>
        </is>
      </c>
      <c r="B81" s="1" t="n">
        <v>45800</v>
      </c>
      <c r="C81" s="1" t="n">
        <v>45915</v>
      </c>
      <c r="D81" t="inlineStr">
        <is>
          <t>STOCKHOLMS LÄN</t>
        </is>
      </c>
      <c r="E81" t="inlineStr">
        <is>
          <t>NORRTÄLJE</t>
        </is>
      </c>
      <c r="G81" t="n">
        <v>15.7</v>
      </c>
      <c r="H81" t="n">
        <v>0</v>
      </c>
      <c r="I81" t="n">
        <v>1</v>
      </c>
      <c r="J81" t="n">
        <v>0</v>
      </c>
      <c r="K81" t="n">
        <v>0</v>
      </c>
      <c r="L81" t="n">
        <v>0</v>
      </c>
      <c r="M81" t="n">
        <v>0</v>
      </c>
      <c r="N81" t="n">
        <v>0</v>
      </c>
      <c r="O81" t="n">
        <v>0</v>
      </c>
      <c r="P81" t="n">
        <v>0</v>
      </c>
      <c r="Q81" t="n">
        <v>1</v>
      </c>
      <c r="R81" s="2" t="inlineStr">
        <is>
          <t>Grönpyrola</t>
        </is>
      </c>
      <c r="S81">
        <f>HYPERLINK("https://klasma.github.io/Logging_0188/artfynd/A 25687-2025 artfynd.xlsx", "A 25687-2025")</f>
        <v/>
      </c>
      <c r="T81">
        <f>HYPERLINK("https://klasma.github.io/Logging_0188/kartor/A 25687-2025 karta.png", "A 25687-2025")</f>
        <v/>
      </c>
      <c r="V81">
        <f>HYPERLINK("https://klasma.github.io/Logging_0188/klagomål/A 25687-2025 FSC-klagomål.docx", "A 25687-2025")</f>
        <v/>
      </c>
      <c r="W81">
        <f>HYPERLINK("https://klasma.github.io/Logging_0188/klagomålsmail/A 25687-2025 FSC-klagomål mail.docx", "A 25687-2025")</f>
        <v/>
      </c>
      <c r="X81">
        <f>HYPERLINK("https://klasma.github.io/Logging_0188/tillsyn/A 25687-2025 tillsynsbegäran.docx", "A 25687-2025")</f>
        <v/>
      </c>
      <c r="Y81">
        <f>HYPERLINK("https://klasma.github.io/Logging_0188/tillsynsmail/A 25687-2025 tillsynsbegäran mail.docx", "A 25687-2025")</f>
        <v/>
      </c>
    </row>
    <row r="82" ht="15" customHeight="1">
      <c r="A82" t="inlineStr">
        <is>
          <t>A 35649-2023</t>
        </is>
      </c>
      <c r="B82" s="1" t="n">
        <v>45146</v>
      </c>
      <c r="C82" s="1" t="n">
        <v>45915</v>
      </c>
      <c r="D82" t="inlineStr">
        <is>
          <t>STOCKHOLMS LÄN</t>
        </is>
      </c>
      <c r="E82" t="inlineStr">
        <is>
          <t>NORRTÄLJE</t>
        </is>
      </c>
      <c r="G82" t="n">
        <v>25.1</v>
      </c>
      <c r="H82" t="n">
        <v>0</v>
      </c>
      <c r="I82" t="n">
        <v>0</v>
      </c>
      <c r="J82" t="n">
        <v>1</v>
      </c>
      <c r="K82" t="n">
        <v>0</v>
      </c>
      <c r="L82" t="n">
        <v>0</v>
      </c>
      <c r="M82" t="n">
        <v>0</v>
      </c>
      <c r="N82" t="n">
        <v>0</v>
      </c>
      <c r="O82" t="n">
        <v>1</v>
      </c>
      <c r="P82" t="n">
        <v>0</v>
      </c>
      <c r="Q82" t="n">
        <v>1</v>
      </c>
      <c r="R82" s="2" t="inlineStr">
        <is>
          <t>Månlåsbräken</t>
        </is>
      </c>
      <c r="S82">
        <f>HYPERLINK("https://klasma.github.io/Logging_0188/artfynd/A 35649-2023 artfynd.xlsx", "A 35649-2023")</f>
        <v/>
      </c>
      <c r="T82">
        <f>HYPERLINK("https://klasma.github.io/Logging_0188/kartor/A 35649-2023 karta.png", "A 35649-2023")</f>
        <v/>
      </c>
      <c r="V82">
        <f>HYPERLINK("https://klasma.github.io/Logging_0188/klagomål/A 35649-2023 FSC-klagomål.docx", "A 35649-2023")</f>
        <v/>
      </c>
      <c r="W82">
        <f>HYPERLINK("https://klasma.github.io/Logging_0188/klagomålsmail/A 35649-2023 FSC-klagomål mail.docx", "A 35649-2023")</f>
        <v/>
      </c>
      <c r="X82">
        <f>HYPERLINK("https://klasma.github.io/Logging_0188/tillsyn/A 35649-2023 tillsynsbegäran.docx", "A 35649-2023")</f>
        <v/>
      </c>
      <c r="Y82">
        <f>HYPERLINK("https://klasma.github.io/Logging_0188/tillsynsmail/A 35649-2023 tillsynsbegäran mail.docx", "A 35649-2023")</f>
        <v/>
      </c>
    </row>
    <row r="83" ht="15" customHeight="1">
      <c r="A83" t="inlineStr">
        <is>
          <t>A 35764-2024</t>
        </is>
      </c>
      <c r="B83" s="1" t="n">
        <v>45532</v>
      </c>
      <c r="C83" s="1" t="n">
        <v>45915</v>
      </c>
      <c r="D83" t="inlineStr">
        <is>
          <t>STOCKHOLMS LÄN</t>
        </is>
      </c>
      <c r="E83" t="inlineStr">
        <is>
          <t>NORRTÄLJE</t>
        </is>
      </c>
      <c r="G83" t="n">
        <v>14.2</v>
      </c>
      <c r="H83" t="n">
        <v>1</v>
      </c>
      <c r="I83" t="n">
        <v>0</v>
      </c>
      <c r="J83" t="n">
        <v>0</v>
      </c>
      <c r="K83" t="n">
        <v>1</v>
      </c>
      <c r="L83" t="n">
        <v>0</v>
      </c>
      <c r="M83" t="n">
        <v>0</v>
      </c>
      <c r="N83" t="n">
        <v>0</v>
      </c>
      <c r="O83" t="n">
        <v>1</v>
      </c>
      <c r="P83" t="n">
        <v>1</v>
      </c>
      <c r="Q83" t="n">
        <v>1</v>
      </c>
      <c r="R83" s="2" t="inlineStr">
        <is>
          <t>Knärot</t>
        </is>
      </c>
      <c r="S83">
        <f>HYPERLINK("https://klasma.github.io/Logging_0188/artfynd/A 35764-2024 artfynd.xlsx", "A 35764-2024")</f>
        <v/>
      </c>
      <c r="T83">
        <f>HYPERLINK("https://klasma.github.io/Logging_0188/kartor/A 35764-2024 karta.png", "A 35764-2024")</f>
        <v/>
      </c>
      <c r="U83">
        <f>HYPERLINK("https://klasma.github.io/Logging_0188/knärot/A 35764-2024 karta knärot.png", "A 35764-2024")</f>
        <v/>
      </c>
      <c r="V83">
        <f>HYPERLINK("https://klasma.github.io/Logging_0188/klagomål/A 35764-2024 FSC-klagomål.docx", "A 35764-2024")</f>
        <v/>
      </c>
      <c r="W83">
        <f>HYPERLINK("https://klasma.github.io/Logging_0188/klagomålsmail/A 35764-2024 FSC-klagomål mail.docx", "A 35764-2024")</f>
        <v/>
      </c>
      <c r="X83">
        <f>HYPERLINK("https://klasma.github.io/Logging_0188/tillsyn/A 35764-2024 tillsynsbegäran.docx", "A 35764-2024")</f>
        <v/>
      </c>
      <c r="Y83">
        <f>HYPERLINK("https://klasma.github.io/Logging_0188/tillsynsmail/A 35764-2024 tillsynsbegäran mail.docx", "A 35764-2024")</f>
        <v/>
      </c>
    </row>
    <row r="84" ht="15" customHeight="1">
      <c r="A84" t="inlineStr">
        <is>
          <t>A 25669-2025</t>
        </is>
      </c>
      <c r="B84" s="1" t="n">
        <v>45803.62766203703</v>
      </c>
      <c r="C84" s="1" t="n">
        <v>45915</v>
      </c>
      <c r="D84" t="inlineStr">
        <is>
          <t>STOCKHOLMS LÄN</t>
        </is>
      </c>
      <c r="E84" t="inlineStr">
        <is>
          <t>NORRTÄLJE</t>
        </is>
      </c>
      <c r="F84" t="inlineStr">
        <is>
          <t>Holmen skog AB</t>
        </is>
      </c>
      <c r="G84" t="n">
        <v>3.1</v>
      </c>
      <c r="H84" t="n">
        <v>1</v>
      </c>
      <c r="I84" t="n">
        <v>0</v>
      </c>
      <c r="J84" t="n">
        <v>0</v>
      </c>
      <c r="K84" t="n">
        <v>0</v>
      </c>
      <c r="L84" t="n">
        <v>0</v>
      </c>
      <c r="M84" t="n">
        <v>0</v>
      </c>
      <c r="N84" t="n">
        <v>0</v>
      </c>
      <c r="O84" t="n">
        <v>0</v>
      </c>
      <c r="P84" t="n">
        <v>0</v>
      </c>
      <c r="Q84" t="n">
        <v>1</v>
      </c>
      <c r="R84" s="2" t="inlineStr">
        <is>
          <t>Tjäder</t>
        </is>
      </c>
      <c r="S84">
        <f>HYPERLINK("https://klasma.github.io/Logging_0188/artfynd/A 25669-2025 artfynd.xlsx", "A 25669-2025")</f>
        <v/>
      </c>
      <c r="T84">
        <f>HYPERLINK("https://klasma.github.io/Logging_0188/kartor/A 25669-2025 karta.png", "A 25669-2025")</f>
        <v/>
      </c>
      <c r="V84">
        <f>HYPERLINK("https://klasma.github.io/Logging_0188/klagomål/A 25669-2025 FSC-klagomål.docx", "A 25669-2025")</f>
        <v/>
      </c>
      <c r="W84">
        <f>HYPERLINK("https://klasma.github.io/Logging_0188/klagomålsmail/A 25669-2025 FSC-klagomål mail.docx", "A 25669-2025")</f>
        <v/>
      </c>
      <c r="X84">
        <f>HYPERLINK("https://klasma.github.io/Logging_0188/tillsyn/A 25669-2025 tillsynsbegäran.docx", "A 25669-2025")</f>
        <v/>
      </c>
      <c r="Y84">
        <f>HYPERLINK("https://klasma.github.io/Logging_0188/tillsynsmail/A 25669-2025 tillsynsbegäran mail.docx", "A 25669-2025")</f>
        <v/>
      </c>
      <c r="Z84">
        <f>HYPERLINK("https://klasma.github.io/Logging_0188/fåglar/A 25669-2025 prioriterade fågelarter.docx", "A 25669-2025")</f>
        <v/>
      </c>
    </row>
    <row r="85" ht="15" customHeight="1">
      <c r="A85" t="inlineStr">
        <is>
          <t>A 4532-2025</t>
        </is>
      </c>
      <c r="B85" s="1" t="n">
        <v>45687.34177083334</v>
      </c>
      <c r="C85" s="1" t="n">
        <v>45915</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16870-2025</t>
        </is>
      </c>
      <c r="B86" s="1" t="n">
        <v>45754</v>
      </c>
      <c r="C86" s="1" t="n">
        <v>45915</v>
      </c>
      <c r="D86" t="inlineStr">
        <is>
          <t>STOCKHOLMS LÄN</t>
        </is>
      </c>
      <c r="E86" t="inlineStr">
        <is>
          <t>NORRTÄLJE</t>
        </is>
      </c>
      <c r="G86" t="n">
        <v>24.6</v>
      </c>
      <c r="H86" t="n">
        <v>1</v>
      </c>
      <c r="I86" t="n">
        <v>0</v>
      </c>
      <c r="J86" t="n">
        <v>0</v>
      </c>
      <c r="K86" t="n">
        <v>0</v>
      </c>
      <c r="L86" t="n">
        <v>0</v>
      </c>
      <c r="M86" t="n">
        <v>0</v>
      </c>
      <c r="N86" t="n">
        <v>0</v>
      </c>
      <c r="O86" t="n">
        <v>0</v>
      </c>
      <c r="P86" t="n">
        <v>0</v>
      </c>
      <c r="Q86" t="n">
        <v>1</v>
      </c>
      <c r="R86" s="2" t="inlineStr">
        <is>
          <t>Vanlig groda</t>
        </is>
      </c>
      <c r="S86">
        <f>HYPERLINK("https://klasma.github.io/Logging_0188/artfynd/A 16870-2025 artfynd.xlsx", "A 16870-2025")</f>
        <v/>
      </c>
      <c r="T86">
        <f>HYPERLINK("https://klasma.github.io/Logging_0188/kartor/A 16870-2025 karta.png", "A 16870-2025")</f>
        <v/>
      </c>
      <c r="V86">
        <f>HYPERLINK("https://klasma.github.io/Logging_0188/klagomål/A 16870-2025 FSC-klagomål.docx", "A 16870-2025")</f>
        <v/>
      </c>
      <c r="W86">
        <f>HYPERLINK("https://klasma.github.io/Logging_0188/klagomålsmail/A 16870-2025 FSC-klagomål mail.docx", "A 16870-2025")</f>
        <v/>
      </c>
      <c r="X86">
        <f>HYPERLINK("https://klasma.github.io/Logging_0188/tillsyn/A 16870-2025 tillsynsbegäran.docx", "A 16870-2025")</f>
        <v/>
      </c>
      <c r="Y86">
        <f>HYPERLINK("https://klasma.github.io/Logging_0188/tillsynsmail/A 16870-2025 tillsynsbegäran mail.docx", "A 16870-2025")</f>
        <v/>
      </c>
    </row>
    <row r="87" ht="15" customHeight="1">
      <c r="A87" t="inlineStr">
        <is>
          <t>A 6381-2023</t>
        </is>
      </c>
      <c r="B87" s="1" t="n">
        <v>44965</v>
      </c>
      <c r="C87" s="1" t="n">
        <v>45915</v>
      </c>
      <c r="D87" t="inlineStr">
        <is>
          <t>STOCKHOLMS LÄN</t>
        </is>
      </c>
      <c r="E87" t="inlineStr">
        <is>
          <t>NORRTÄLJE</t>
        </is>
      </c>
      <c r="G87" t="n">
        <v>3.5</v>
      </c>
      <c r="H87" t="n">
        <v>1</v>
      </c>
      <c r="I87" t="n">
        <v>1</v>
      </c>
      <c r="J87" t="n">
        <v>0</v>
      </c>
      <c r="K87" t="n">
        <v>0</v>
      </c>
      <c r="L87" t="n">
        <v>0</v>
      </c>
      <c r="M87" t="n">
        <v>0</v>
      </c>
      <c r="N87" t="n">
        <v>0</v>
      </c>
      <c r="O87" t="n">
        <v>0</v>
      </c>
      <c r="P87" t="n">
        <v>0</v>
      </c>
      <c r="Q87" t="n">
        <v>1</v>
      </c>
      <c r="R87" s="2" t="inlineStr">
        <is>
          <t>Guckusko</t>
        </is>
      </c>
      <c r="S87">
        <f>HYPERLINK("https://klasma.github.io/Logging_0188/artfynd/A 6381-2023 artfynd.xlsx", "A 6381-2023")</f>
        <v/>
      </c>
      <c r="T87">
        <f>HYPERLINK("https://klasma.github.io/Logging_0188/kartor/A 6381-2023 karta.png", "A 6381-2023")</f>
        <v/>
      </c>
      <c r="V87">
        <f>HYPERLINK("https://klasma.github.io/Logging_0188/klagomål/A 6381-2023 FSC-klagomål.docx", "A 6381-2023")</f>
        <v/>
      </c>
      <c r="W87">
        <f>HYPERLINK("https://klasma.github.io/Logging_0188/klagomålsmail/A 6381-2023 FSC-klagomål mail.docx", "A 6381-2023")</f>
        <v/>
      </c>
      <c r="X87">
        <f>HYPERLINK("https://klasma.github.io/Logging_0188/tillsyn/A 6381-2023 tillsynsbegäran.docx", "A 6381-2023")</f>
        <v/>
      </c>
      <c r="Y87">
        <f>HYPERLINK("https://klasma.github.io/Logging_0188/tillsynsmail/A 6381-2023 tillsynsbegäran mail.docx", "A 6381-2023")</f>
        <v/>
      </c>
    </row>
    <row r="88" ht="15" customHeight="1">
      <c r="A88" t="inlineStr">
        <is>
          <t>A 29946-2025</t>
        </is>
      </c>
      <c r="B88" s="1" t="n">
        <v>45826.46392361111</v>
      </c>
      <c r="C88" s="1" t="n">
        <v>45915</v>
      </c>
      <c r="D88" t="inlineStr">
        <is>
          <t>STOCKHOLMS LÄN</t>
        </is>
      </c>
      <c r="E88" t="inlineStr">
        <is>
          <t>NORRTÄLJE</t>
        </is>
      </c>
      <c r="F88" t="inlineStr">
        <is>
          <t>Holmen skog AB</t>
        </is>
      </c>
      <c r="G88" t="n">
        <v>3.6</v>
      </c>
      <c r="H88" t="n">
        <v>1</v>
      </c>
      <c r="I88" t="n">
        <v>0</v>
      </c>
      <c r="J88" t="n">
        <v>0</v>
      </c>
      <c r="K88" t="n">
        <v>0</v>
      </c>
      <c r="L88" t="n">
        <v>1</v>
      </c>
      <c r="M88" t="n">
        <v>0</v>
      </c>
      <c r="N88" t="n">
        <v>0</v>
      </c>
      <c r="O88" t="n">
        <v>1</v>
      </c>
      <c r="P88" t="n">
        <v>1</v>
      </c>
      <c r="Q88" t="n">
        <v>1</v>
      </c>
      <c r="R88" s="2" t="inlineStr">
        <is>
          <t>Asknätfjäril</t>
        </is>
      </c>
      <c r="S88">
        <f>HYPERLINK("https://klasma.github.io/Logging_0188/artfynd/A 29946-2025 artfynd.xlsx", "A 29946-2025")</f>
        <v/>
      </c>
      <c r="T88">
        <f>HYPERLINK("https://klasma.github.io/Logging_0188/kartor/A 29946-2025 karta.png", "A 29946-2025")</f>
        <v/>
      </c>
      <c r="V88">
        <f>HYPERLINK("https://klasma.github.io/Logging_0188/klagomål/A 29946-2025 FSC-klagomål.docx", "A 29946-2025")</f>
        <v/>
      </c>
      <c r="W88">
        <f>HYPERLINK("https://klasma.github.io/Logging_0188/klagomålsmail/A 29946-2025 FSC-klagomål mail.docx", "A 29946-2025")</f>
        <v/>
      </c>
      <c r="X88">
        <f>HYPERLINK("https://klasma.github.io/Logging_0188/tillsyn/A 29946-2025 tillsynsbegäran.docx", "A 29946-2025")</f>
        <v/>
      </c>
      <c r="Y88">
        <f>HYPERLINK("https://klasma.github.io/Logging_0188/tillsynsmail/A 29946-2025 tillsynsbegäran mail.docx", "A 29946-2025")</f>
        <v/>
      </c>
    </row>
    <row r="89" ht="15" customHeight="1">
      <c r="A89" t="inlineStr">
        <is>
          <t>A 14365-2025</t>
        </is>
      </c>
      <c r="B89" s="1" t="n">
        <v>45741.38688657407</v>
      </c>
      <c r="C89" s="1" t="n">
        <v>45915</v>
      </c>
      <c r="D89" t="inlineStr">
        <is>
          <t>STOCKHOLMS LÄN</t>
        </is>
      </c>
      <c r="E89" t="inlineStr">
        <is>
          <t>NORRTÄLJE</t>
        </is>
      </c>
      <c r="G89" t="n">
        <v>2.4</v>
      </c>
      <c r="H89" t="n">
        <v>0</v>
      </c>
      <c r="I89" t="n">
        <v>0</v>
      </c>
      <c r="J89" t="n">
        <v>1</v>
      </c>
      <c r="K89" t="n">
        <v>0</v>
      </c>
      <c r="L89" t="n">
        <v>0</v>
      </c>
      <c r="M89" t="n">
        <v>0</v>
      </c>
      <c r="N89" t="n">
        <v>0</v>
      </c>
      <c r="O89" t="n">
        <v>1</v>
      </c>
      <c r="P89" t="n">
        <v>0</v>
      </c>
      <c r="Q89" t="n">
        <v>1</v>
      </c>
      <c r="R89" s="2" t="inlineStr">
        <is>
          <t>Granticka</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21150-2022</t>
        </is>
      </c>
      <c r="B90" s="1" t="n">
        <v>44704</v>
      </c>
      <c r="C90" s="1" t="n">
        <v>45915</v>
      </c>
      <c r="D90" t="inlineStr">
        <is>
          <t>STOCKHOLMS LÄN</t>
        </is>
      </c>
      <c r="E90" t="inlineStr">
        <is>
          <t>NORRTÄLJE</t>
        </is>
      </c>
      <c r="G90" t="n">
        <v>12.5</v>
      </c>
      <c r="H90" t="n">
        <v>1</v>
      </c>
      <c r="I90" t="n">
        <v>0</v>
      </c>
      <c r="J90" t="n">
        <v>0</v>
      </c>
      <c r="K90" t="n">
        <v>0</v>
      </c>
      <c r="L90" t="n">
        <v>1</v>
      </c>
      <c r="M90" t="n">
        <v>0</v>
      </c>
      <c r="N90" t="n">
        <v>0</v>
      </c>
      <c r="O90" t="n">
        <v>1</v>
      </c>
      <c r="P90" t="n">
        <v>1</v>
      </c>
      <c r="Q90" t="n">
        <v>1</v>
      </c>
      <c r="R90" s="2" t="inlineStr">
        <is>
          <t>Asknätfjäril</t>
        </is>
      </c>
      <c r="S90">
        <f>HYPERLINK("https://klasma.github.io/Logging_0188/artfynd/A 21150-2022 artfynd.xlsx", "A 21150-2022")</f>
        <v/>
      </c>
      <c r="T90">
        <f>HYPERLINK("https://klasma.github.io/Logging_0188/kartor/A 21150-2022 karta.png", "A 21150-2022")</f>
        <v/>
      </c>
      <c r="V90">
        <f>HYPERLINK("https://klasma.github.io/Logging_0188/klagomål/A 21150-2022 FSC-klagomål.docx", "A 21150-2022")</f>
        <v/>
      </c>
      <c r="W90">
        <f>HYPERLINK("https://klasma.github.io/Logging_0188/klagomålsmail/A 21150-2022 FSC-klagomål mail.docx", "A 21150-2022")</f>
        <v/>
      </c>
      <c r="X90">
        <f>HYPERLINK("https://klasma.github.io/Logging_0188/tillsyn/A 21150-2022 tillsynsbegäran.docx", "A 21150-2022")</f>
        <v/>
      </c>
      <c r="Y90">
        <f>HYPERLINK("https://klasma.github.io/Logging_0188/tillsynsmail/A 21150-2022 tillsynsbegäran mail.docx", "A 21150-2022")</f>
        <v/>
      </c>
    </row>
    <row r="91" ht="15" customHeight="1">
      <c r="A91" t="inlineStr">
        <is>
          <t>A 58888-2021</t>
        </is>
      </c>
      <c r="B91" s="1" t="n">
        <v>44489</v>
      </c>
      <c r="C91" s="1" t="n">
        <v>45915</v>
      </c>
      <c r="D91" t="inlineStr">
        <is>
          <t>STOCKHOLMS LÄN</t>
        </is>
      </c>
      <c r="E91" t="inlineStr">
        <is>
          <t>NORRTÄLJE</t>
        </is>
      </c>
      <c r="F91" t="inlineStr">
        <is>
          <t>Holmen skog AB</t>
        </is>
      </c>
      <c r="G91" t="n">
        <v>2.5</v>
      </c>
      <c r="H91" t="n">
        <v>1</v>
      </c>
      <c r="I91" t="n">
        <v>0</v>
      </c>
      <c r="J91" t="n">
        <v>0</v>
      </c>
      <c r="K91" t="n">
        <v>0</v>
      </c>
      <c r="L91" t="n">
        <v>1</v>
      </c>
      <c r="M91" t="n">
        <v>0</v>
      </c>
      <c r="N91" t="n">
        <v>0</v>
      </c>
      <c r="O91" t="n">
        <v>1</v>
      </c>
      <c r="P91" t="n">
        <v>1</v>
      </c>
      <c r="Q91" t="n">
        <v>1</v>
      </c>
      <c r="R91" s="2" t="inlineStr">
        <is>
          <t>Asknätfjäril</t>
        </is>
      </c>
      <c r="S91">
        <f>HYPERLINK("https://klasma.github.io/Logging_0188/artfynd/A 58888-2021 artfynd.xlsx", "A 58888-2021")</f>
        <v/>
      </c>
      <c r="T91">
        <f>HYPERLINK("https://klasma.github.io/Logging_0188/kartor/A 58888-2021 karta.png", "A 58888-2021")</f>
        <v/>
      </c>
      <c r="V91">
        <f>HYPERLINK("https://klasma.github.io/Logging_0188/klagomål/A 58888-2021 FSC-klagomål.docx", "A 58888-2021")</f>
        <v/>
      </c>
      <c r="W91">
        <f>HYPERLINK("https://klasma.github.io/Logging_0188/klagomålsmail/A 58888-2021 FSC-klagomål mail.docx", "A 58888-2021")</f>
        <v/>
      </c>
      <c r="X91">
        <f>HYPERLINK("https://klasma.github.io/Logging_0188/tillsyn/A 58888-2021 tillsynsbegäran.docx", "A 58888-2021")</f>
        <v/>
      </c>
      <c r="Y91">
        <f>HYPERLINK("https://klasma.github.io/Logging_0188/tillsynsmail/A 58888-2021 tillsynsbegäran mail.docx", "A 58888-2021")</f>
        <v/>
      </c>
    </row>
    <row r="92" ht="15" customHeight="1">
      <c r="A92" t="inlineStr">
        <is>
          <t>A 24692-2025</t>
        </is>
      </c>
      <c r="B92" s="1" t="n">
        <v>45798</v>
      </c>
      <c r="C92" s="1" t="n">
        <v>45915</v>
      </c>
      <c r="D92" t="inlineStr">
        <is>
          <t>STOCKHOLMS LÄN</t>
        </is>
      </c>
      <c r="E92" t="inlineStr">
        <is>
          <t>NORRTÄLJE</t>
        </is>
      </c>
      <c r="G92" t="n">
        <v>26.3</v>
      </c>
      <c r="H92" t="n">
        <v>1</v>
      </c>
      <c r="I92" t="n">
        <v>0</v>
      </c>
      <c r="J92" t="n">
        <v>0</v>
      </c>
      <c r="K92" t="n">
        <v>0</v>
      </c>
      <c r="L92" t="n">
        <v>1</v>
      </c>
      <c r="M92" t="n">
        <v>0</v>
      </c>
      <c r="N92" t="n">
        <v>0</v>
      </c>
      <c r="O92" t="n">
        <v>1</v>
      </c>
      <c r="P92" t="n">
        <v>1</v>
      </c>
      <c r="Q92" t="n">
        <v>1</v>
      </c>
      <c r="R92" s="2" t="inlineStr">
        <is>
          <t>Asknätfjäril</t>
        </is>
      </c>
      <c r="S92">
        <f>HYPERLINK("https://klasma.github.io/Logging_0188/artfynd/A 24692-2025 artfynd.xlsx", "A 24692-2025")</f>
        <v/>
      </c>
      <c r="T92">
        <f>HYPERLINK("https://klasma.github.io/Logging_0188/kartor/A 24692-2025 karta.png", "A 24692-2025")</f>
        <v/>
      </c>
      <c r="V92">
        <f>HYPERLINK("https://klasma.github.io/Logging_0188/klagomål/A 24692-2025 FSC-klagomål.docx", "A 24692-2025")</f>
        <v/>
      </c>
      <c r="W92">
        <f>HYPERLINK("https://klasma.github.io/Logging_0188/klagomålsmail/A 24692-2025 FSC-klagomål mail.docx", "A 24692-2025")</f>
        <v/>
      </c>
      <c r="X92">
        <f>HYPERLINK("https://klasma.github.io/Logging_0188/tillsyn/A 24692-2025 tillsynsbegäran.docx", "A 24692-2025")</f>
        <v/>
      </c>
      <c r="Y92">
        <f>HYPERLINK("https://klasma.github.io/Logging_0188/tillsynsmail/A 24692-2025 tillsynsbegäran mail.docx", "A 24692-2025")</f>
        <v/>
      </c>
    </row>
    <row r="93" ht="15" customHeight="1">
      <c r="A93" t="inlineStr">
        <is>
          <t>A 21744-2023</t>
        </is>
      </c>
      <c r="B93" s="1" t="n">
        <v>45065</v>
      </c>
      <c r="C93" s="1" t="n">
        <v>45915</v>
      </c>
      <c r="D93" t="inlineStr">
        <is>
          <t>STOCKHOLMS LÄN</t>
        </is>
      </c>
      <c r="E93" t="inlineStr">
        <is>
          <t>NORRTÄLJE</t>
        </is>
      </c>
      <c r="F93" t="inlineStr">
        <is>
          <t>Holmen skog AB</t>
        </is>
      </c>
      <c r="G93" t="n">
        <v>4.2</v>
      </c>
      <c r="H93" t="n">
        <v>0</v>
      </c>
      <c r="I93" t="n">
        <v>1</v>
      </c>
      <c r="J93" t="n">
        <v>0</v>
      </c>
      <c r="K93" t="n">
        <v>0</v>
      </c>
      <c r="L93" t="n">
        <v>0</v>
      </c>
      <c r="M93" t="n">
        <v>0</v>
      </c>
      <c r="N93" t="n">
        <v>0</v>
      </c>
      <c r="O93" t="n">
        <v>0</v>
      </c>
      <c r="P93" t="n">
        <v>0</v>
      </c>
      <c r="Q93" t="n">
        <v>1</v>
      </c>
      <c r="R93" s="2" t="inlineStr">
        <is>
          <t>Korallblylav</t>
        </is>
      </c>
      <c r="S93">
        <f>HYPERLINK("https://klasma.github.io/Logging_0188/artfynd/A 21744-2023 artfynd.xlsx", "A 21744-2023")</f>
        <v/>
      </c>
      <c r="T93">
        <f>HYPERLINK("https://klasma.github.io/Logging_0188/kartor/A 21744-2023 karta.png", "A 21744-2023")</f>
        <v/>
      </c>
      <c r="V93">
        <f>HYPERLINK("https://klasma.github.io/Logging_0188/klagomål/A 21744-2023 FSC-klagomål.docx", "A 21744-2023")</f>
        <v/>
      </c>
      <c r="W93">
        <f>HYPERLINK("https://klasma.github.io/Logging_0188/klagomålsmail/A 21744-2023 FSC-klagomål mail.docx", "A 21744-2023")</f>
        <v/>
      </c>
      <c r="X93">
        <f>HYPERLINK("https://klasma.github.io/Logging_0188/tillsyn/A 21744-2023 tillsynsbegäran.docx", "A 21744-2023")</f>
        <v/>
      </c>
      <c r="Y93">
        <f>HYPERLINK("https://klasma.github.io/Logging_0188/tillsynsmail/A 21744-2023 tillsynsbegäran mail.docx", "A 21744-2023")</f>
        <v/>
      </c>
    </row>
    <row r="94" ht="15" customHeight="1">
      <c r="A94" t="inlineStr">
        <is>
          <t>A 1162-2021</t>
        </is>
      </c>
      <c r="B94" s="1" t="n">
        <v>44207</v>
      </c>
      <c r="C94" s="1" t="n">
        <v>45915</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17952-2022</t>
        </is>
      </c>
      <c r="B95" s="1" t="n">
        <v>44683</v>
      </c>
      <c r="C95" s="1" t="n">
        <v>45915</v>
      </c>
      <c r="D95" t="inlineStr">
        <is>
          <t>STOCKHOLMS LÄN</t>
        </is>
      </c>
      <c r="E95" t="inlineStr">
        <is>
          <t>NORRTÄLJE</t>
        </is>
      </c>
      <c r="G95" t="n">
        <v>51.1</v>
      </c>
      <c r="H95" t="n">
        <v>0</v>
      </c>
      <c r="I95" t="n">
        <v>0</v>
      </c>
      <c r="J95" t="n">
        <v>0</v>
      </c>
      <c r="K95" t="n">
        <v>1</v>
      </c>
      <c r="L95" t="n">
        <v>0</v>
      </c>
      <c r="M95" t="n">
        <v>0</v>
      </c>
      <c r="N95" t="n">
        <v>0</v>
      </c>
      <c r="O95" t="n">
        <v>1</v>
      </c>
      <c r="P95" t="n">
        <v>1</v>
      </c>
      <c r="Q95" t="n">
        <v>1</v>
      </c>
      <c r="R95" s="2" t="inlineStr">
        <is>
          <t>Kattunvisslare</t>
        </is>
      </c>
      <c r="S95">
        <f>HYPERLINK("https://klasma.github.io/Logging_0188/artfynd/A 17952-2022 artfynd.xlsx", "A 17952-2022")</f>
        <v/>
      </c>
      <c r="T95">
        <f>HYPERLINK("https://klasma.github.io/Logging_0188/kartor/A 17952-2022 karta.png", "A 17952-2022")</f>
        <v/>
      </c>
      <c r="V95">
        <f>HYPERLINK("https://klasma.github.io/Logging_0188/klagomål/A 17952-2022 FSC-klagomål.docx", "A 17952-2022")</f>
        <v/>
      </c>
      <c r="W95">
        <f>HYPERLINK("https://klasma.github.io/Logging_0188/klagomålsmail/A 17952-2022 FSC-klagomål mail.docx", "A 17952-2022")</f>
        <v/>
      </c>
      <c r="X95">
        <f>HYPERLINK("https://klasma.github.io/Logging_0188/tillsyn/A 17952-2022 tillsynsbegäran.docx", "A 17952-2022")</f>
        <v/>
      </c>
      <c r="Y95">
        <f>HYPERLINK("https://klasma.github.io/Logging_0188/tillsynsmail/A 17952-2022 tillsynsbegäran mail.docx", "A 17952-2022")</f>
        <v/>
      </c>
    </row>
    <row r="96" ht="15" customHeight="1">
      <c r="A96" t="inlineStr">
        <is>
          <t>A 33548-2025</t>
        </is>
      </c>
      <c r="B96" s="1" t="n">
        <v>45841.5721875</v>
      </c>
      <c r="C96" s="1" t="n">
        <v>45915</v>
      </c>
      <c r="D96" t="inlineStr">
        <is>
          <t>STOCKHOLMS LÄN</t>
        </is>
      </c>
      <c r="E96" t="inlineStr">
        <is>
          <t>NORRTÄLJE</t>
        </is>
      </c>
      <c r="G96" t="n">
        <v>12.2</v>
      </c>
      <c r="H96" t="n">
        <v>0</v>
      </c>
      <c r="I96" t="n">
        <v>0</v>
      </c>
      <c r="J96" t="n">
        <v>1</v>
      </c>
      <c r="K96" t="n">
        <v>0</v>
      </c>
      <c r="L96" t="n">
        <v>0</v>
      </c>
      <c r="M96" t="n">
        <v>0</v>
      </c>
      <c r="N96" t="n">
        <v>0</v>
      </c>
      <c r="O96" t="n">
        <v>1</v>
      </c>
      <c r="P96" t="n">
        <v>0</v>
      </c>
      <c r="Q96" t="n">
        <v>1</v>
      </c>
      <c r="R96" s="2" t="inlineStr">
        <is>
          <t>Dofttaggsvamp</t>
        </is>
      </c>
      <c r="S96">
        <f>HYPERLINK("https://klasma.github.io/Logging_0188/artfynd/A 33548-2025 artfynd.xlsx", "A 33548-2025")</f>
        <v/>
      </c>
      <c r="T96">
        <f>HYPERLINK("https://klasma.github.io/Logging_0188/kartor/A 33548-2025 karta.png", "A 33548-2025")</f>
        <v/>
      </c>
      <c r="V96">
        <f>HYPERLINK("https://klasma.github.io/Logging_0188/klagomål/A 33548-2025 FSC-klagomål.docx", "A 33548-2025")</f>
        <v/>
      </c>
      <c r="W96">
        <f>HYPERLINK("https://klasma.github.io/Logging_0188/klagomålsmail/A 33548-2025 FSC-klagomål mail.docx", "A 33548-2025")</f>
        <v/>
      </c>
      <c r="X96">
        <f>HYPERLINK("https://klasma.github.io/Logging_0188/tillsyn/A 33548-2025 tillsynsbegäran.docx", "A 33548-2025")</f>
        <v/>
      </c>
      <c r="Y96">
        <f>HYPERLINK("https://klasma.github.io/Logging_0188/tillsynsmail/A 33548-2025 tillsynsbegäran mail.docx", "A 33548-2025")</f>
        <v/>
      </c>
    </row>
    <row r="97" ht="15" customHeight="1">
      <c r="A97" t="inlineStr">
        <is>
          <t>A 8371-2025</t>
        </is>
      </c>
      <c r="B97" s="1" t="n">
        <v>45708</v>
      </c>
      <c r="C97" s="1" t="n">
        <v>45915</v>
      </c>
      <c r="D97" t="inlineStr">
        <is>
          <t>STOCKHOLMS LÄN</t>
        </is>
      </c>
      <c r="E97" t="inlineStr">
        <is>
          <t>NORRTÄLJE</t>
        </is>
      </c>
      <c r="F97" t="inlineStr">
        <is>
          <t>Övriga Aktiebolag</t>
        </is>
      </c>
      <c r="G97" t="n">
        <v>2.9</v>
      </c>
      <c r="H97" t="n">
        <v>1</v>
      </c>
      <c r="I97" t="n">
        <v>0</v>
      </c>
      <c r="J97" t="n">
        <v>1</v>
      </c>
      <c r="K97" t="n">
        <v>0</v>
      </c>
      <c r="L97" t="n">
        <v>0</v>
      </c>
      <c r="M97" t="n">
        <v>0</v>
      </c>
      <c r="N97" t="n">
        <v>0</v>
      </c>
      <c r="O97" t="n">
        <v>1</v>
      </c>
      <c r="P97" t="n">
        <v>0</v>
      </c>
      <c r="Q97" t="n">
        <v>1</v>
      </c>
      <c r="R97" s="2" t="inlineStr">
        <is>
          <t>Spillkråka</t>
        </is>
      </c>
      <c r="S97">
        <f>HYPERLINK("https://klasma.github.io/Logging_0188/artfynd/A 8371-2025 artfynd.xlsx", "A 8371-2025")</f>
        <v/>
      </c>
      <c r="T97">
        <f>HYPERLINK("https://klasma.github.io/Logging_0188/kartor/A 8371-2025 karta.png", "A 8371-2025")</f>
        <v/>
      </c>
      <c r="V97">
        <f>HYPERLINK("https://klasma.github.io/Logging_0188/klagomål/A 8371-2025 FSC-klagomål.docx", "A 8371-2025")</f>
        <v/>
      </c>
      <c r="W97">
        <f>HYPERLINK("https://klasma.github.io/Logging_0188/klagomålsmail/A 8371-2025 FSC-klagomål mail.docx", "A 8371-2025")</f>
        <v/>
      </c>
      <c r="X97">
        <f>HYPERLINK("https://klasma.github.io/Logging_0188/tillsyn/A 8371-2025 tillsynsbegäran.docx", "A 8371-2025")</f>
        <v/>
      </c>
      <c r="Y97">
        <f>HYPERLINK("https://klasma.github.io/Logging_0188/tillsynsmail/A 8371-2025 tillsynsbegäran mail.docx", "A 8371-2025")</f>
        <v/>
      </c>
      <c r="Z97">
        <f>HYPERLINK("https://klasma.github.io/Logging_0188/fåglar/A 8371-2025 prioriterade fågelarter.docx", "A 8371-2025")</f>
        <v/>
      </c>
    </row>
    <row r="98" ht="15" customHeight="1">
      <c r="A98" t="inlineStr">
        <is>
          <t>A 23146-2024</t>
        </is>
      </c>
      <c r="B98" s="1" t="n">
        <v>45450.63958333333</v>
      </c>
      <c r="C98" s="1" t="n">
        <v>45915</v>
      </c>
      <c r="D98" t="inlineStr">
        <is>
          <t>STOCKHOLMS LÄN</t>
        </is>
      </c>
      <c r="E98" t="inlineStr">
        <is>
          <t>NORRTÄLJE</t>
        </is>
      </c>
      <c r="F98" t="inlineStr">
        <is>
          <t>Kommuner</t>
        </is>
      </c>
      <c r="G98" t="n">
        <v>6</v>
      </c>
      <c r="H98" t="n">
        <v>0</v>
      </c>
      <c r="I98" t="n">
        <v>0</v>
      </c>
      <c r="J98" t="n">
        <v>1</v>
      </c>
      <c r="K98" t="n">
        <v>0</v>
      </c>
      <c r="L98" t="n">
        <v>0</v>
      </c>
      <c r="M98" t="n">
        <v>0</v>
      </c>
      <c r="N98" t="n">
        <v>0</v>
      </c>
      <c r="O98" t="n">
        <v>1</v>
      </c>
      <c r="P98" t="n">
        <v>0</v>
      </c>
      <c r="Q98" t="n">
        <v>1</v>
      </c>
      <c r="R98" s="2" t="inlineStr">
        <is>
          <t>Motaggsvamp</t>
        </is>
      </c>
      <c r="S98">
        <f>HYPERLINK("https://klasma.github.io/Logging_0188/artfynd/A 23146-2024 artfynd.xlsx", "A 23146-2024")</f>
        <v/>
      </c>
      <c r="T98">
        <f>HYPERLINK("https://klasma.github.io/Logging_0188/kartor/A 23146-2024 karta.png", "A 23146-2024")</f>
        <v/>
      </c>
      <c r="V98">
        <f>HYPERLINK("https://klasma.github.io/Logging_0188/klagomål/A 23146-2024 FSC-klagomål.docx", "A 23146-2024")</f>
        <v/>
      </c>
      <c r="W98">
        <f>HYPERLINK("https://klasma.github.io/Logging_0188/klagomålsmail/A 23146-2024 FSC-klagomål mail.docx", "A 23146-2024")</f>
        <v/>
      </c>
      <c r="X98">
        <f>HYPERLINK("https://klasma.github.io/Logging_0188/tillsyn/A 23146-2024 tillsynsbegäran.docx", "A 23146-2024")</f>
        <v/>
      </c>
      <c r="Y98">
        <f>HYPERLINK("https://klasma.github.io/Logging_0188/tillsynsmail/A 23146-2024 tillsynsbegäran mail.docx", "A 23146-2024")</f>
        <v/>
      </c>
    </row>
    <row r="99" ht="15" customHeight="1">
      <c r="A99" t="inlineStr">
        <is>
          <t>A 26120-2024</t>
        </is>
      </c>
      <c r="B99" s="1" t="n">
        <v>45468.45995370371</v>
      </c>
      <c r="C99" s="1" t="n">
        <v>45915</v>
      </c>
      <c r="D99" t="inlineStr">
        <is>
          <t>STOCKHOLMS LÄN</t>
        </is>
      </c>
      <c r="E99" t="inlineStr">
        <is>
          <t>NORRTÄLJE</t>
        </is>
      </c>
      <c r="G99" t="n">
        <v>1.8</v>
      </c>
      <c r="H99" t="n">
        <v>0</v>
      </c>
      <c r="I99" t="n">
        <v>0</v>
      </c>
      <c r="J99" t="n">
        <v>1</v>
      </c>
      <c r="K99" t="n">
        <v>0</v>
      </c>
      <c r="L99" t="n">
        <v>0</v>
      </c>
      <c r="M99" t="n">
        <v>0</v>
      </c>
      <c r="N99" t="n">
        <v>0</v>
      </c>
      <c r="O99" t="n">
        <v>1</v>
      </c>
      <c r="P99" t="n">
        <v>0</v>
      </c>
      <c r="Q99" t="n">
        <v>1</v>
      </c>
      <c r="R99" s="2" t="inlineStr">
        <is>
          <t>Majviva</t>
        </is>
      </c>
      <c r="S99">
        <f>HYPERLINK("https://klasma.github.io/Logging_0188/artfynd/A 26120-2024 artfynd.xlsx", "A 26120-2024")</f>
        <v/>
      </c>
      <c r="T99">
        <f>HYPERLINK("https://klasma.github.io/Logging_0188/kartor/A 26120-2024 karta.png", "A 26120-2024")</f>
        <v/>
      </c>
      <c r="V99">
        <f>HYPERLINK("https://klasma.github.io/Logging_0188/klagomål/A 26120-2024 FSC-klagomål.docx", "A 26120-2024")</f>
        <v/>
      </c>
      <c r="W99">
        <f>HYPERLINK("https://klasma.github.io/Logging_0188/klagomålsmail/A 26120-2024 FSC-klagomål mail.docx", "A 26120-2024")</f>
        <v/>
      </c>
      <c r="X99">
        <f>HYPERLINK("https://klasma.github.io/Logging_0188/tillsyn/A 26120-2024 tillsynsbegäran.docx", "A 26120-2024")</f>
        <v/>
      </c>
      <c r="Y99">
        <f>HYPERLINK("https://klasma.github.io/Logging_0188/tillsynsmail/A 26120-2024 tillsynsbegäran mail.docx", "A 26120-2024")</f>
        <v/>
      </c>
    </row>
    <row r="100" ht="15" customHeight="1">
      <c r="A100" t="inlineStr">
        <is>
          <t>A 33546-2025</t>
        </is>
      </c>
      <c r="B100" s="1" t="n">
        <v>45841.56996527778</v>
      </c>
      <c r="C100" s="1" t="n">
        <v>45915</v>
      </c>
      <c r="D100" t="inlineStr">
        <is>
          <t>STOCKHOLMS LÄN</t>
        </is>
      </c>
      <c r="E100" t="inlineStr">
        <is>
          <t>NORRTÄLJE</t>
        </is>
      </c>
      <c r="G100" t="n">
        <v>7.2</v>
      </c>
      <c r="H100" t="n">
        <v>1</v>
      </c>
      <c r="I100" t="n">
        <v>1</v>
      </c>
      <c r="J100" t="n">
        <v>0</v>
      </c>
      <c r="K100" t="n">
        <v>0</v>
      </c>
      <c r="L100" t="n">
        <v>0</v>
      </c>
      <c r="M100" t="n">
        <v>0</v>
      </c>
      <c r="N100" t="n">
        <v>0</v>
      </c>
      <c r="O100" t="n">
        <v>0</v>
      </c>
      <c r="P100" t="n">
        <v>0</v>
      </c>
      <c r="Q100" t="n">
        <v>1</v>
      </c>
      <c r="R100" s="2" t="inlineStr">
        <is>
          <t>Nästrot</t>
        </is>
      </c>
      <c r="S100">
        <f>HYPERLINK("https://klasma.github.io/Logging_0188/artfynd/A 33546-2025 artfynd.xlsx", "A 33546-2025")</f>
        <v/>
      </c>
      <c r="T100">
        <f>HYPERLINK("https://klasma.github.io/Logging_0188/kartor/A 33546-2025 karta.png", "A 33546-2025")</f>
        <v/>
      </c>
      <c r="V100">
        <f>HYPERLINK("https://klasma.github.io/Logging_0188/klagomål/A 33546-2025 FSC-klagomål.docx", "A 33546-2025")</f>
        <v/>
      </c>
      <c r="W100">
        <f>HYPERLINK("https://klasma.github.io/Logging_0188/klagomålsmail/A 33546-2025 FSC-klagomål mail.docx", "A 33546-2025")</f>
        <v/>
      </c>
      <c r="X100">
        <f>HYPERLINK("https://klasma.github.io/Logging_0188/tillsyn/A 33546-2025 tillsynsbegäran.docx", "A 33546-2025")</f>
        <v/>
      </c>
      <c r="Y100">
        <f>HYPERLINK("https://klasma.github.io/Logging_0188/tillsynsmail/A 33546-2025 tillsynsbegäran mail.docx", "A 33546-2025")</f>
        <v/>
      </c>
    </row>
    <row r="101" ht="15" customHeight="1">
      <c r="A101" t="inlineStr">
        <is>
          <t>A 27538-2024</t>
        </is>
      </c>
      <c r="B101" s="1" t="n">
        <v>45474</v>
      </c>
      <c r="C101" s="1" t="n">
        <v>45915</v>
      </c>
      <c r="D101" t="inlineStr">
        <is>
          <t>STOCKHOLMS LÄN</t>
        </is>
      </c>
      <c r="E101" t="inlineStr">
        <is>
          <t>NORRTÄLJE</t>
        </is>
      </c>
      <c r="G101" t="n">
        <v>1.5</v>
      </c>
      <c r="H101" t="n">
        <v>1</v>
      </c>
      <c r="I101" t="n">
        <v>1</v>
      </c>
      <c r="J101" t="n">
        <v>0</v>
      </c>
      <c r="K101" t="n">
        <v>0</v>
      </c>
      <c r="L101" t="n">
        <v>0</v>
      </c>
      <c r="M101" t="n">
        <v>0</v>
      </c>
      <c r="N101" t="n">
        <v>0</v>
      </c>
      <c r="O101" t="n">
        <v>0</v>
      </c>
      <c r="P101" t="n">
        <v>0</v>
      </c>
      <c r="Q101" t="n">
        <v>1</v>
      </c>
      <c r="R101" s="2" t="inlineStr">
        <is>
          <t>Skogsknipprot</t>
        </is>
      </c>
      <c r="S101">
        <f>HYPERLINK("https://klasma.github.io/Logging_0188/artfynd/A 27538-2024 artfynd.xlsx", "A 27538-2024")</f>
        <v/>
      </c>
      <c r="T101">
        <f>HYPERLINK("https://klasma.github.io/Logging_0188/kartor/A 27538-2024 karta.png", "A 27538-2024")</f>
        <v/>
      </c>
      <c r="V101">
        <f>HYPERLINK("https://klasma.github.io/Logging_0188/klagomål/A 27538-2024 FSC-klagomål.docx", "A 27538-2024")</f>
        <v/>
      </c>
      <c r="W101">
        <f>HYPERLINK("https://klasma.github.io/Logging_0188/klagomålsmail/A 27538-2024 FSC-klagomål mail.docx", "A 27538-2024")</f>
        <v/>
      </c>
      <c r="X101">
        <f>HYPERLINK("https://klasma.github.io/Logging_0188/tillsyn/A 27538-2024 tillsynsbegäran.docx", "A 27538-2024")</f>
        <v/>
      </c>
      <c r="Y101">
        <f>HYPERLINK("https://klasma.github.io/Logging_0188/tillsynsmail/A 27538-2024 tillsynsbegäran mail.docx", "A 27538-2024")</f>
        <v/>
      </c>
    </row>
    <row r="102" ht="15" customHeight="1">
      <c r="A102" t="inlineStr">
        <is>
          <t>A 13271-2025</t>
        </is>
      </c>
      <c r="B102" s="1" t="n">
        <v>45735.54510416667</v>
      </c>
      <c r="C102" s="1" t="n">
        <v>45915</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4385-2023</t>
        </is>
      </c>
      <c r="B103" s="1" t="n">
        <v>44955.71322916666</v>
      </c>
      <c r="C103" s="1" t="n">
        <v>45915</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24330-2023</t>
        </is>
      </c>
      <c r="B104" s="1" t="n">
        <v>45081</v>
      </c>
      <c r="C104" s="1" t="n">
        <v>45915</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24535-2023</t>
        </is>
      </c>
      <c r="B105" s="1" t="n">
        <v>45082</v>
      </c>
      <c r="C105" s="1" t="n">
        <v>45915</v>
      </c>
      <c r="D105" t="inlineStr">
        <is>
          <t>STOCKHOLMS LÄN</t>
        </is>
      </c>
      <c r="E105" t="inlineStr">
        <is>
          <t>NORRTÄLJE</t>
        </is>
      </c>
      <c r="F105" t="inlineStr">
        <is>
          <t>Kommuner</t>
        </is>
      </c>
      <c r="G105" t="n">
        <v>2</v>
      </c>
      <c r="H105" t="n">
        <v>1</v>
      </c>
      <c r="I105" t="n">
        <v>0</v>
      </c>
      <c r="J105" t="n">
        <v>0</v>
      </c>
      <c r="K105" t="n">
        <v>0</v>
      </c>
      <c r="L105" t="n">
        <v>0</v>
      </c>
      <c r="M105" t="n">
        <v>0</v>
      </c>
      <c r="N105" t="n">
        <v>0</v>
      </c>
      <c r="O105" t="n">
        <v>0</v>
      </c>
      <c r="P105" t="n">
        <v>0</v>
      </c>
      <c r="Q105" t="n">
        <v>1</v>
      </c>
      <c r="R105" s="2" t="inlineStr">
        <is>
          <t>Blåsippa</t>
        </is>
      </c>
      <c r="S105">
        <f>HYPERLINK("https://klasma.github.io/Logging_0188/artfynd/A 24535-2023 artfynd.xlsx", "A 24535-2023")</f>
        <v/>
      </c>
      <c r="T105">
        <f>HYPERLINK("https://klasma.github.io/Logging_0188/kartor/A 24535-2023 karta.png", "A 24535-2023")</f>
        <v/>
      </c>
      <c r="V105">
        <f>HYPERLINK("https://klasma.github.io/Logging_0188/klagomål/A 24535-2023 FSC-klagomål.docx", "A 24535-2023")</f>
        <v/>
      </c>
      <c r="W105">
        <f>HYPERLINK("https://klasma.github.io/Logging_0188/klagomålsmail/A 24535-2023 FSC-klagomål mail.docx", "A 24535-2023")</f>
        <v/>
      </c>
      <c r="X105">
        <f>HYPERLINK("https://klasma.github.io/Logging_0188/tillsyn/A 24535-2023 tillsynsbegäran.docx", "A 24535-2023")</f>
        <v/>
      </c>
      <c r="Y105">
        <f>HYPERLINK("https://klasma.github.io/Logging_0188/tillsynsmail/A 24535-2023 tillsynsbegäran mail.docx", "A 24535-2023")</f>
        <v/>
      </c>
    </row>
    <row r="106" ht="15" customHeight="1">
      <c r="A106" t="inlineStr">
        <is>
          <t>A 39158-2025</t>
        </is>
      </c>
      <c r="B106" s="1" t="n">
        <v>45888.62712962963</v>
      </c>
      <c r="C106" s="1" t="n">
        <v>45915</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11429-2023</t>
        </is>
      </c>
      <c r="B107" s="1" t="n">
        <v>44993</v>
      </c>
      <c r="C107" s="1" t="n">
        <v>45915</v>
      </c>
      <c r="D107" t="inlineStr">
        <is>
          <t>STOCKHOLMS LÄN</t>
        </is>
      </c>
      <c r="E107" t="inlineStr">
        <is>
          <t>NORRTÄLJE</t>
        </is>
      </c>
      <c r="G107" t="n">
        <v>2</v>
      </c>
      <c r="H107" t="n">
        <v>0</v>
      </c>
      <c r="I107" t="n">
        <v>0</v>
      </c>
      <c r="J107" t="n">
        <v>1</v>
      </c>
      <c r="K107" t="n">
        <v>0</v>
      </c>
      <c r="L107" t="n">
        <v>0</v>
      </c>
      <c r="M107" t="n">
        <v>0</v>
      </c>
      <c r="N107" t="n">
        <v>0</v>
      </c>
      <c r="O107" t="n">
        <v>1</v>
      </c>
      <c r="P107" t="n">
        <v>0</v>
      </c>
      <c r="Q107" t="n">
        <v>1</v>
      </c>
      <c r="R107" s="2" t="inlineStr">
        <is>
          <t>Skogsklocka</t>
        </is>
      </c>
      <c r="S107">
        <f>HYPERLINK("https://klasma.github.io/Logging_0188/artfynd/A 11429-2023 artfynd.xlsx", "A 11429-2023")</f>
        <v/>
      </c>
      <c r="T107">
        <f>HYPERLINK("https://klasma.github.io/Logging_0188/kartor/A 11429-2023 karta.png", "A 11429-2023")</f>
        <v/>
      </c>
      <c r="V107">
        <f>HYPERLINK("https://klasma.github.io/Logging_0188/klagomål/A 11429-2023 FSC-klagomål.docx", "A 11429-2023")</f>
        <v/>
      </c>
      <c r="W107">
        <f>HYPERLINK("https://klasma.github.io/Logging_0188/klagomålsmail/A 11429-2023 FSC-klagomål mail.docx", "A 11429-2023")</f>
        <v/>
      </c>
      <c r="X107">
        <f>HYPERLINK("https://klasma.github.io/Logging_0188/tillsyn/A 11429-2023 tillsynsbegäran.docx", "A 11429-2023")</f>
        <v/>
      </c>
      <c r="Y107">
        <f>HYPERLINK("https://klasma.github.io/Logging_0188/tillsynsmail/A 11429-2023 tillsynsbegäran mail.docx", "A 11429-2023")</f>
        <v/>
      </c>
    </row>
    <row r="108" ht="15" customHeight="1">
      <c r="A108" t="inlineStr">
        <is>
          <t>A 26635-2023</t>
        </is>
      </c>
      <c r="B108" s="1" t="n">
        <v>45092</v>
      </c>
      <c r="C108" s="1" t="n">
        <v>45915</v>
      </c>
      <c r="D108" t="inlineStr">
        <is>
          <t>STOCKHOLMS LÄN</t>
        </is>
      </c>
      <c r="E108" t="inlineStr">
        <is>
          <t>NORRTÄLJE</t>
        </is>
      </c>
      <c r="G108" t="n">
        <v>3.1</v>
      </c>
      <c r="H108" t="n">
        <v>1</v>
      </c>
      <c r="I108" t="n">
        <v>0</v>
      </c>
      <c r="J108" t="n">
        <v>0</v>
      </c>
      <c r="K108" t="n">
        <v>0</v>
      </c>
      <c r="L108" t="n">
        <v>0</v>
      </c>
      <c r="M108" t="n">
        <v>0</v>
      </c>
      <c r="N108" t="n">
        <v>0</v>
      </c>
      <c r="O108" t="n">
        <v>0</v>
      </c>
      <c r="P108" t="n">
        <v>0</v>
      </c>
      <c r="Q108" t="n">
        <v>1</v>
      </c>
      <c r="R108" s="2" t="inlineStr">
        <is>
          <t>Fläcknycklar</t>
        </is>
      </c>
      <c r="S108">
        <f>HYPERLINK("https://klasma.github.io/Logging_0188/artfynd/A 26635-2023 artfynd.xlsx", "A 26635-2023")</f>
        <v/>
      </c>
      <c r="T108">
        <f>HYPERLINK("https://klasma.github.io/Logging_0188/kartor/A 26635-2023 karta.png", "A 26635-2023")</f>
        <v/>
      </c>
      <c r="V108">
        <f>HYPERLINK("https://klasma.github.io/Logging_0188/klagomål/A 26635-2023 FSC-klagomål.docx", "A 26635-2023")</f>
        <v/>
      </c>
      <c r="W108">
        <f>HYPERLINK("https://klasma.github.io/Logging_0188/klagomålsmail/A 26635-2023 FSC-klagomål mail.docx", "A 26635-2023")</f>
        <v/>
      </c>
      <c r="X108">
        <f>HYPERLINK("https://klasma.github.io/Logging_0188/tillsyn/A 26635-2023 tillsynsbegäran.docx", "A 26635-2023")</f>
        <v/>
      </c>
      <c r="Y108">
        <f>HYPERLINK("https://klasma.github.io/Logging_0188/tillsynsmail/A 26635-2023 tillsynsbegäran mail.docx", "A 26635-2023")</f>
        <v/>
      </c>
    </row>
    <row r="109" ht="15" customHeight="1">
      <c r="A109" t="inlineStr">
        <is>
          <t>A 50854-2022</t>
        </is>
      </c>
      <c r="B109" s="1" t="n">
        <v>44863</v>
      </c>
      <c r="C109" s="1" t="n">
        <v>45915</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64456-2023</t>
        </is>
      </c>
      <c r="B110" s="1" t="n">
        <v>45280</v>
      </c>
      <c r="C110" s="1" t="n">
        <v>45915</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40861-2025</t>
        </is>
      </c>
      <c r="B111" s="1" t="n">
        <v>45897.56356481482</v>
      </c>
      <c r="C111" s="1" t="n">
        <v>45915</v>
      </c>
      <c r="D111" t="inlineStr">
        <is>
          <t>STOCKHOLMS LÄN</t>
        </is>
      </c>
      <c r="E111" t="inlineStr">
        <is>
          <t>NORRTÄLJE</t>
        </is>
      </c>
      <c r="G111" t="n">
        <v>4</v>
      </c>
      <c r="H111" t="n">
        <v>0</v>
      </c>
      <c r="I111" t="n">
        <v>0</v>
      </c>
      <c r="J111" t="n">
        <v>1</v>
      </c>
      <c r="K111" t="n">
        <v>0</v>
      </c>
      <c r="L111" t="n">
        <v>0</v>
      </c>
      <c r="M111" t="n">
        <v>0</v>
      </c>
      <c r="N111" t="n">
        <v>0</v>
      </c>
      <c r="O111" t="n">
        <v>1</v>
      </c>
      <c r="P111" t="n">
        <v>0</v>
      </c>
      <c r="Q111" t="n">
        <v>1</v>
      </c>
      <c r="R111" s="2" t="inlineStr">
        <is>
          <t>Skogsklocka</t>
        </is>
      </c>
      <c r="S111">
        <f>HYPERLINK("https://klasma.github.io/Logging_0188/artfynd/A 40861-2025 artfynd.xlsx", "A 40861-2025")</f>
        <v/>
      </c>
      <c r="T111">
        <f>HYPERLINK("https://klasma.github.io/Logging_0188/kartor/A 40861-2025 karta.png", "A 40861-2025")</f>
        <v/>
      </c>
      <c r="V111">
        <f>HYPERLINK("https://klasma.github.io/Logging_0188/klagomål/A 40861-2025 FSC-klagomål.docx", "A 40861-2025")</f>
        <v/>
      </c>
      <c r="W111">
        <f>HYPERLINK("https://klasma.github.io/Logging_0188/klagomålsmail/A 40861-2025 FSC-klagomål mail.docx", "A 40861-2025")</f>
        <v/>
      </c>
      <c r="X111">
        <f>HYPERLINK("https://klasma.github.io/Logging_0188/tillsyn/A 40861-2025 tillsynsbegäran.docx", "A 40861-2025")</f>
        <v/>
      </c>
      <c r="Y111">
        <f>HYPERLINK("https://klasma.github.io/Logging_0188/tillsynsmail/A 40861-2025 tillsynsbegäran mail.docx", "A 40861-2025")</f>
        <v/>
      </c>
    </row>
    <row r="112" ht="15" customHeight="1">
      <c r="A112" t="inlineStr">
        <is>
          <t>A 42313-2025</t>
        </is>
      </c>
      <c r="B112" s="1" t="n">
        <v>45904.6575</v>
      </c>
      <c r="C112" s="1" t="n">
        <v>45915</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52611-2024</t>
        </is>
      </c>
      <c r="B113" s="1" t="n">
        <v>45609.83747685186</v>
      </c>
      <c r="C113" s="1" t="n">
        <v>45915</v>
      </c>
      <c r="D113" t="inlineStr">
        <is>
          <t>STOCKHOLMS LÄN</t>
        </is>
      </c>
      <c r="E113" t="inlineStr">
        <is>
          <t>NORRTÄLJE</t>
        </is>
      </c>
      <c r="G113" t="n">
        <v>10.6</v>
      </c>
      <c r="H113" t="n">
        <v>1</v>
      </c>
      <c r="I113" t="n">
        <v>0</v>
      </c>
      <c r="J113" t="n">
        <v>0</v>
      </c>
      <c r="K113" t="n">
        <v>0</v>
      </c>
      <c r="L113" t="n">
        <v>0</v>
      </c>
      <c r="M113" t="n">
        <v>0</v>
      </c>
      <c r="N113" t="n">
        <v>0</v>
      </c>
      <c r="O113" t="n">
        <v>0</v>
      </c>
      <c r="P113" t="n">
        <v>0</v>
      </c>
      <c r="Q113" t="n">
        <v>1</v>
      </c>
      <c r="R113" s="2" t="inlineStr">
        <is>
          <t>Blåsippa</t>
        </is>
      </c>
      <c r="S113">
        <f>HYPERLINK("https://klasma.github.io/Logging_0188/artfynd/A 52611-2024 artfynd.xlsx", "A 52611-2024")</f>
        <v/>
      </c>
      <c r="T113">
        <f>HYPERLINK("https://klasma.github.io/Logging_0188/kartor/A 52611-2024 karta.png", "A 52611-2024")</f>
        <v/>
      </c>
      <c r="V113">
        <f>HYPERLINK("https://klasma.github.io/Logging_0188/klagomål/A 52611-2024 FSC-klagomål.docx", "A 52611-2024")</f>
        <v/>
      </c>
      <c r="W113">
        <f>HYPERLINK("https://klasma.github.io/Logging_0188/klagomålsmail/A 52611-2024 FSC-klagomål mail.docx", "A 52611-2024")</f>
        <v/>
      </c>
      <c r="X113">
        <f>HYPERLINK("https://klasma.github.io/Logging_0188/tillsyn/A 52611-2024 tillsynsbegäran.docx", "A 52611-2024")</f>
        <v/>
      </c>
      <c r="Y113">
        <f>HYPERLINK("https://klasma.github.io/Logging_0188/tillsynsmail/A 52611-2024 tillsynsbegäran mail.docx", "A 52611-2024")</f>
        <v/>
      </c>
    </row>
    <row r="114" ht="15" customHeight="1">
      <c r="A114" t="inlineStr">
        <is>
          <t>A 52508-2023</t>
        </is>
      </c>
      <c r="B114" s="1" t="n">
        <v>45225</v>
      </c>
      <c r="C114" s="1" t="n">
        <v>45915</v>
      </c>
      <c r="D114" t="inlineStr">
        <is>
          <t>STOCKHOLMS LÄN</t>
        </is>
      </c>
      <c r="E114" t="inlineStr">
        <is>
          <t>NORRTÄLJE</t>
        </is>
      </c>
      <c r="G114" t="n">
        <v>19.7</v>
      </c>
      <c r="H114" t="n">
        <v>1</v>
      </c>
      <c r="I114" t="n">
        <v>0</v>
      </c>
      <c r="J114" t="n">
        <v>0</v>
      </c>
      <c r="K114" t="n">
        <v>1</v>
      </c>
      <c r="L114" t="n">
        <v>0</v>
      </c>
      <c r="M114" t="n">
        <v>0</v>
      </c>
      <c r="N114" t="n">
        <v>0</v>
      </c>
      <c r="O114" t="n">
        <v>1</v>
      </c>
      <c r="P114" t="n">
        <v>1</v>
      </c>
      <c r="Q114" t="n">
        <v>1</v>
      </c>
      <c r="R114" s="2" t="inlineStr">
        <is>
          <t>Svärta</t>
        </is>
      </c>
      <c r="S114">
        <f>HYPERLINK("https://klasma.github.io/Logging_0188/artfynd/A 52508-2023 artfynd.xlsx", "A 52508-2023")</f>
        <v/>
      </c>
      <c r="T114">
        <f>HYPERLINK("https://klasma.github.io/Logging_0188/kartor/A 52508-2023 karta.png", "A 52508-2023")</f>
        <v/>
      </c>
      <c r="V114">
        <f>HYPERLINK("https://klasma.github.io/Logging_0188/klagomål/A 52508-2023 FSC-klagomål.docx", "A 52508-2023")</f>
        <v/>
      </c>
      <c r="W114">
        <f>HYPERLINK("https://klasma.github.io/Logging_0188/klagomålsmail/A 52508-2023 FSC-klagomål mail.docx", "A 52508-2023")</f>
        <v/>
      </c>
      <c r="X114">
        <f>HYPERLINK("https://klasma.github.io/Logging_0188/tillsyn/A 52508-2023 tillsynsbegäran.docx", "A 52508-2023")</f>
        <v/>
      </c>
      <c r="Y114">
        <f>HYPERLINK("https://klasma.github.io/Logging_0188/tillsynsmail/A 52508-2023 tillsynsbegäran mail.docx", "A 52508-2023")</f>
        <v/>
      </c>
    </row>
    <row r="115" ht="15" customHeight="1">
      <c r="A115" t="inlineStr">
        <is>
          <t>A 48131-2023</t>
        </is>
      </c>
      <c r="B115" s="1" t="n">
        <v>45205</v>
      </c>
      <c r="C115" s="1" t="n">
        <v>45915</v>
      </c>
      <c r="D115" t="inlineStr">
        <is>
          <t>STOCKHOLMS LÄN</t>
        </is>
      </c>
      <c r="E115" t="inlineStr">
        <is>
          <t>NORRTÄLJE</t>
        </is>
      </c>
      <c r="G115" t="n">
        <v>2.3</v>
      </c>
      <c r="H115" t="n">
        <v>0</v>
      </c>
      <c r="I115" t="n">
        <v>0</v>
      </c>
      <c r="J115" t="n">
        <v>1</v>
      </c>
      <c r="K115" t="n">
        <v>0</v>
      </c>
      <c r="L115" t="n">
        <v>0</v>
      </c>
      <c r="M115" t="n">
        <v>0</v>
      </c>
      <c r="N115" t="n">
        <v>0</v>
      </c>
      <c r="O115" t="n">
        <v>1</v>
      </c>
      <c r="P115" t="n">
        <v>0</v>
      </c>
      <c r="Q115" t="n">
        <v>1</v>
      </c>
      <c r="R115" s="2" t="inlineStr">
        <is>
          <t>Slåtterfibbla</t>
        </is>
      </c>
      <c r="S115">
        <f>HYPERLINK("https://klasma.github.io/Logging_0188/artfynd/A 48131-2023 artfynd.xlsx", "A 48131-2023")</f>
        <v/>
      </c>
      <c r="T115">
        <f>HYPERLINK("https://klasma.github.io/Logging_0188/kartor/A 48131-2023 karta.png", "A 48131-2023")</f>
        <v/>
      </c>
      <c r="V115">
        <f>HYPERLINK("https://klasma.github.io/Logging_0188/klagomål/A 48131-2023 FSC-klagomål.docx", "A 48131-2023")</f>
        <v/>
      </c>
      <c r="W115">
        <f>HYPERLINK("https://klasma.github.io/Logging_0188/klagomålsmail/A 48131-2023 FSC-klagomål mail.docx", "A 48131-2023")</f>
        <v/>
      </c>
      <c r="X115">
        <f>HYPERLINK("https://klasma.github.io/Logging_0188/tillsyn/A 48131-2023 tillsynsbegäran.docx", "A 48131-2023")</f>
        <v/>
      </c>
      <c r="Y115">
        <f>HYPERLINK("https://klasma.github.io/Logging_0188/tillsynsmail/A 48131-2023 tillsynsbegäran mail.docx", "A 48131-2023")</f>
        <v/>
      </c>
    </row>
    <row r="116" ht="15" customHeight="1">
      <c r="A116" t="inlineStr">
        <is>
          <t>A 27827-2022</t>
        </is>
      </c>
      <c r="B116" s="1" t="n">
        <v>44743.59504629629</v>
      </c>
      <c r="C116" s="1" t="n">
        <v>45915</v>
      </c>
      <c r="D116" t="inlineStr">
        <is>
          <t>STOCKHOLMS LÄN</t>
        </is>
      </c>
      <c r="E116" t="inlineStr">
        <is>
          <t>NORRTÄLJE</t>
        </is>
      </c>
      <c r="F116" t="inlineStr">
        <is>
          <t>Holmen skog AB</t>
        </is>
      </c>
      <c r="G116" t="n">
        <v>4.7</v>
      </c>
      <c r="H116" t="n">
        <v>1</v>
      </c>
      <c r="I116" t="n">
        <v>0</v>
      </c>
      <c r="J116" t="n">
        <v>1</v>
      </c>
      <c r="K116" t="n">
        <v>0</v>
      </c>
      <c r="L116" t="n">
        <v>0</v>
      </c>
      <c r="M116" t="n">
        <v>0</v>
      </c>
      <c r="N116" t="n">
        <v>0</v>
      </c>
      <c r="O116" t="n">
        <v>1</v>
      </c>
      <c r="P116" t="n">
        <v>0</v>
      </c>
      <c r="Q116" t="n">
        <v>1</v>
      </c>
      <c r="R116" s="2" t="inlineStr">
        <is>
          <t>Nordfladdermus</t>
        </is>
      </c>
      <c r="S116">
        <f>HYPERLINK("https://klasma.github.io/Logging_0188/artfynd/A 27827-2022 artfynd.xlsx", "A 27827-2022")</f>
        <v/>
      </c>
      <c r="T116">
        <f>HYPERLINK("https://klasma.github.io/Logging_0188/kartor/A 27827-2022 karta.png", "A 27827-2022")</f>
        <v/>
      </c>
      <c r="V116">
        <f>HYPERLINK("https://klasma.github.io/Logging_0188/klagomål/A 27827-2022 FSC-klagomål.docx", "A 27827-2022")</f>
        <v/>
      </c>
      <c r="W116">
        <f>HYPERLINK("https://klasma.github.io/Logging_0188/klagomålsmail/A 27827-2022 FSC-klagomål mail.docx", "A 27827-2022")</f>
        <v/>
      </c>
      <c r="X116">
        <f>HYPERLINK("https://klasma.github.io/Logging_0188/tillsyn/A 27827-2022 tillsynsbegäran.docx", "A 27827-2022")</f>
        <v/>
      </c>
      <c r="Y116">
        <f>HYPERLINK("https://klasma.github.io/Logging_0188/tillsynsmail/A 27827-2022 tillsynsbegäran mail.docx", "A 27827-2022")</f>
        <v/>
      </c>
    </row>
    <row r="117" ht="15" customHeight="1">
      <c r="A117" t="inlineStr">
        <is>
          <t>A 1970-2021</t>
        </is>
      </c>
      <c r="B117" s="1" t="n">
        <v>44210</v>
      </c>
      <c r="C117" s="1" t="n">
        <v>45915</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45915</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45915</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45915</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14036-2022</t>
        </is>
      </c>
      <c r="B121" s="1" t="n">
        <v>44650.8699537037</v>
      </c>
      <c r="C121" s="1" t="n">
        <v>45915</v>
      </c>
      <c r="D121" t="inlineStr">
        <is>
          <t>STOCKHOLMS LÄN</t>
        </is>
      </c>
      <c r="E121" t="inlineStr">
        <is>
          <t>NORRTÄLJE</t>
        </is>
      </c>
      <c r="G121" t="n">
        <v>1.1</v>
      </c>
      <c r="H121" t="n">
        <v>0</v>
      </c>
      <c r="I121" t="n">
        <v>0</v>
      </c>
      <c r="J121" t="n">
        <v>0</v>
      </c>
      <c r="K121" t="n">
        <v>0</v>
      </c>
      <c r="L121" t="n">
        <v>0</v>
      </c>
      <c r="M121" t="n">
        <v>0</v>
      </c>
      <c r="N121" t="n">
        <v>0</v>
      </c>
      <c r="O121" t="n">
        <v>0</v>
      </c>
      <c r="P121" t="n">
        <v>0</v>
      </c>
      <c r="Q121" t="n">
        <v>0</v>
      </c>
      <c r="R121" s="2" t="inlineStr"/>
    </row>
    <row r="122" ht="15" customHeight="1">
      <c r="A122" t="inlineStr">
        <is>
          <t>A 71543-2021</t>
        </is>
      </c>
      <c r="B122" s="1" t="n">
        <v>44540</v>
      </c>
      <c r="C122" s="1" t="n">
        <v>45915</v>
      </c>
      <c r="D122" t="inlineStr">
        <is>
          <t>STOCKHOLMS LÄN</t>
        </is>
      </c>
      <c r="E122" t="inlineStr">
        <is>
          <t>NORRTÄLJE</t>
        </is>
      </c>
      <c r="G122" t="n">
        <v>1.8</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45915</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45915</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45915</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45915</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45915</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45915</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45915</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45915</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45915</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45915</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73855-2021</t>
        </is>
      </c>
      <c r="B133" s="1" t="n">
        <v>44552</v>
      </c>
      <c r="C133" s="1" t="n">
        <v>45915</v>
      </c>
      <c r="D133" t="inlineStr">
        <is>
          <t>STOCKHOLMS LÄN</t>
        </is>
      </c>
      <c r="E133" t="inlineStr">
        <is>
          <t>NORRTÄLJE</t>
        </is>
      </c>
      <c r="F133" t="inlineStr">
        <is>
          <t>Övriga Aktiebolag</t>
        </is>
      </c>
      <c r="G133" t="n">
        <v>4</v>
      </c>
      <c r="H133" t="n">
        <v>0</v>
      </c>
      <c r="I133" t="n">
        <v>0</v>
      </c>
      <c r="J133" t="n">
        <v>0</v>
      </c>
      <c r="K133" t="n">
        <v>0</v>
      </c>
      <c r="L133" t="n">
        <v>0</v>
      </c>
      <c r="M133" t="n">
        <v>0</v>
      </c>
      <c r="N133" t="n">
        <v>0</v>
      </c>
      <c r="O133" t="n">
        <v>0</v>
      </c>
      <c r="P133" t="n">
        <v>0</v>
      </c>
      <c r="Q133" t="n">
        <v>0</v>
      </c>
      <c r="R133" s="2" t="inlineStr"/>
    </row>
    <row r="134" ht="15" customHeight="1">
      <c r="A134" t="inlineStr">
        <is>
          <t>A 74468-2021</t>
        </is>
      </c>
      <c r="B134" s="1" t="n">
        <v>44560</v>
      </c>
      <c r="C134" s="1" t="n">
        <v>45915</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54272-2021</t>
        </is>
      </c>
      <c r="B135" s="1" t="n">
        <v>44470.72148148148</v>
      </c>
      <c r="C135" s="1" t="n">
        <v>45915</v>
      </c>
      <c r="D135" t="inlineStr">
        <is>
          <t>STOCKHOLMS LÄN</t>
        </is>
      </c>
      <c r="E135" t="inlineStr">
        <is>
          <t>NORRTÄLJE</t>
        </is>
      </c>
      <c r="G135" t="n">
        <v>5.8</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45915</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45915</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31283-2022</t>
        </is>
      </c>
      <c r="B138" s="1" t="n">
        <v>44771</v>
      </c>
      <c r="C138" s="1" t="n">
        <v>45915</v>
      </c>
      <c r="D138" t="inlineStr">
        <is>
          <t>STOCKHOLMS LÄN</t>
        </is>
      </c>
      <c r="E138" t="inlineStr">
        <is>
          <t>NORRTÄLJE</t>
        </is>
      </c>
      <c r="G138" t="n">
        <v>0.5</v>
      </c>
      <c r="H138" t="n">
        <v>0</v>
      </c>
      <c r="I138" t="n">
        <v>0</v>
      </c>
      <c r="J138" t="n">
        <v>0</v>
      </c>
      <c r="K138" t="n">
        <v>0</v>
      </c>
      <c r="L138" t="n">
        <v>0</v>
      </c>
      <c r="M138" t="n">
        <v>0</v>
      </c>
      <c r="N138" t="n">
        <v>0</v>
      </c>
      <c r="O138" t="n">
        <v>0</v>
      </c>
      <c r="P138" t="n">
        <v>0</v>
      </c>
      <c r="Q138" t="n">
        <v>0</v>
      </c>
      <c r="R138" s="2" t="inlineStr"/>
    </row>
    <row r="139" ht="15" customHeight="1">
      <c r="A139" t="inlineStr">
        <is>
          <t>A 50742-2020</t>
        </is>
      </c>
      <c r="B139" s="1" t="n">
        <v>44111.45320601852</v>
      </c>
      <c r="C139" s="1" t="n">
        <v>45915</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56225-2021</t>
        </is>
      </c>
      <c r="B140" s="1" t="n">
        <v>44477.94327546296</v>
      </c>
      <c r="C140" s="1" t="n">
        <v>45915</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45915</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45915</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45915</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45915</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45915</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45915</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45915</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45915</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45915</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45915</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45915</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45915</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60822-2021</t>
        </is>
      </c>
      <c r="B153" s="1" t="n">
        <v>44496</v>
      </c>
      <c r="C153" s="1" t="n">
        <v>45915</v>
      </c>
      <c r="D153" t="inlineStr">
        <is>
          <t>STOCKHOLMS LÄN</t>
        </is>
      </c>
      <c r="E153" t="inlineStr">
        <is>
          <t>NORRTÄLJE</t>
        </is>
      </c>
      <c r="G153" t="n">
        <v>7.6</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45915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45915</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45915</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45915</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45915</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45915</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45915</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45915</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45915</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28209-2022</t>
        </is>
      </c>
      <c r="B163" s="1" t="n">
        <v>44746</v>
      </c>
      <c r="C163" s="1" t="n">
        <v>45915</v>
      </c>
      <c r="D163" t="inlineStr">
        <is>
          <t>STOCKHOLMS LÄN</t>
        </is>
      </c>
      <c r="E163" t="inlineStr">
        <is>
          <t>NORRTÄLJE</t>
        </is>
      </c>
      <c r="G163" t="n">
        <v>0.6</v>
      </c>
      <c r="H163" t="n">
        <v>0</v>
      </c>
      <c r="I163" t="n">
        <v>0</v>
      </c>
      <c r="J163" t="n">
        <v>0</v>
      </c>
      <c r="K163" t="n">
        <v>0</v>
      </c>
      <c r="L163" t="n">
        <v>0</v>
      </c>
      <c r="M163" t="n">
        <v>0</v>
      </c>
      <c r="N163" t="n">
        <v>0</v>
      </c>
      <c r="O163" t="n">
        <v>0</v>
      </c>
      <c r="P163" t="n">
        <v>0</v>
      </c>
      <c r="Q163" t="n">
        <v>0</v>
      </c>
      <c r="R163" s="2" t="inlineStr"/>
    </row>
    <row r="164" ht="15" customHeight="1">
      <c r="A164" t="inlineStr">
        <is>
          <t>A 66907-2020</t>
        </is>
      </c>
      <c r="B164" s="1" t="n">
        <v>44176</v>
      </c>
      <c r="C164" s="1" t="n">
        <v>45915</v>
      </c>
      <c r="D164" t="inlineStr">
        <is>
          <t>STOCKHOLMS LÄN</t>
        </is>
      </c>
      <c r="E164" t="inlineStr">
        <is>
          <t>NORRTÄLJE</t>
        </is>
      </c>
      <c r="G164" t="n">
        <v>1.7</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45915</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45915</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45915</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45915</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45915</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45915</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45915</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45915</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45915</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45915</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45915</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54340-2022</t>
        </is>
      </c>
      <c r="B176" s="1" t="n">
        <v>44882.44732638889</v>
      </c>
      <c r="C176" s="1" t="n">
        <v>45915</v>
      </c>
      <c r="D176" t="inlineStr">
        <is>
          <t>STOCKHOLMS LÄN</t>
        </is>
      </c>
      <c r="E176" t="inlineStr">
        <is>
          <t>NORRTÄLJE</t>
        </is>
      </c>
      <c r="G176" t="n">
        <v>6.7</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45915</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45915</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45915</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45915</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45915</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45915</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45915</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45915</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45915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45915</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45915</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45915</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45915</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45915</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45915</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45915</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45915</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45915</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45915</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45915</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45915</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45915</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45915</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45915</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45915</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45915</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45915</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45915</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45915</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45915</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45915</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45915</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45915</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45915</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1229-2022</t>
        </is>
      </c>
      <c r="B212" s="1" t="n">
        <v>44572</v>
      </c>
      <c r="C212" s="1" t="n">
        <v>45915</v>
      </c>
      <c r="D212" t="inlineStr">
        <is>
          <t>STOCKHOLMS LÄN</t>
        </is>
      </c>
      <c r="E212" t="inlineStr">
        <is>
          <t>NORRTÄLJE</t>
        </is>
      </c>
      <c r="G212" t="n">
        <v>11.5</v>
      </c>
      <c r="H212" t="n">
        <v>0</v>
      </c>
      <c r="I212" t="n">
        <v>0</v>
      </c>
      <c r="J212" t="n">
        <v>0</v>
      </c>
      <c r="K212" t="n">
        <v>0</v>
      </c>
      <c r="L212" t="n">
        <v>0</v>
      </c>
      <c r="M212" t="n">
        <v>0</v>
      </c>
      <c r="N212" t="n">
        <v>0</v>
      </c>
      <c r="O212" t="n">
        <v>0</v>
      </c>
      <c r="P212" t="n">
        <v>0</v>
      </c>
      <c r="Q212" t="n">
        <v>0</v>
      </c>
      <c r="R212" s="2" t="inlineStr"/>
    </row>
    <row r="213" ht="15" customHeight="1">
      <c r="A213" t="inlineStr">
        <is>
          <t>A 20295-2022</t>
        </is>
      </c>
      <c r="B213" s="1" t="n">
        <v>44698</v>
      </c>
      <c r="C213" s="1" t="n">
        <v>45915</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45915</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37415-2021</t>
        </is>
      </c>
      <c r="B215" s="1" t="n">
        <v>44397</v>
      </c>
      <c r="C215" s="1" t="n">
        <v>45915</v>
      </c>
      <c r="D215" t="inlineStr">
        <is>
          <t>STOCKHOLMS LÄN</t>
        </is>
      </c>
      <c r="E215" t="inlineStr">
        <is>
          <t>NORRTÄLJE</t>
        </is>
      </c>
      <c r="F215" t="inlineStr">
        <is>
          <t>Övriga Aktiebolag</t>
        </is>
      </c>
      <c r="G215" t="n">
        <v>3</v>
      </c>
      <c r="H215" t="n">
        <v>0</v>
      </c>
      <c r="I215" t="n">
        <v>0</v>
      </c>
      <c r="J215" t="n">
        <v>0</v>
      </c>
      <c r="K215" t="n">
        <v>0</v>
      </c>
      <c r="L215" t="n">
        <v>0</v>
      </c>
      <c r="M215" t="n">
        <v>0</v>
      </c>
      <c r="N215" t="n">
        <v>0</v>
      </c>
      <c r="O215" t="n">
        <v>0</v>
      </c>
      <c r="P215" t="n">
        <v>0</v>
      </c>
      <c r="Q215" t="n">
        <v>0</v>
      </c>
      <c r="R215" s="2" t="inlineStr"/>
    </row>
    <row r="216" ht="15" customHeight="1">
      <c r="A216" t="inlineStr">
        <is>
          <t>A 14051-2022</t>
        </is>
      </c>
      <c r="B216" s="1" t="n">
        <v>44650.92714120371</v>
      </c>
      <c r="C216" s="1" t="n">
        <v>45915</v>
      </c>
      <c r="D216" t="inlineStr">
        <is>
          <t>STOCKHOLMS LÄN</t>
        </is>
      </c>
      <c r="E216" t="inlineStr">
        <is>
          <t>NORRTÄLJE</t>
        </is>
      </c>
      <c r="G216" t="n">
        <v>2.3</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45915</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45915</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19398-2021</t>
        </is>
      </c>
      <c r="B219" s="1" t="n">
        <v>44309</v>
      </c>
      <c r="C219" s="1" t="n">
        <v>45915</v>
      </c>
      <c r="D219" t="inlineStr">
        <is>
          <t>STOCKHOLMS LÄN</t>
        </is>
      </c>
      <c r="E219" t="inlineStr">
        <is>
          <t>NORRTÄLJE</t>
        </is>
      </c>
      <c r="F219" t="inlineStr">
        <is>
          <t>Kommuner</t>
        </is>
      </c>
      <c r="G219" t="n">
        <v>2.1</v>
      </c>
      <c r="H219" t="n">
        <v>0</v>
      </c>
      <c r="I219" t="n">
        <v>0</v>
      </c>
      <c r="J219" t="n">
        <v>0</v>
      </c>
      <c r="K219" t="n">
        <v>0</v>
      </c>
      <c r="L219" t="n">
        <v>0</v>
      </c>
      <c r="M219" t="n">
        <v>0</v>
      </c>
      <c r="N219" t="n">
        <v>0</v>
      </c>
      <c r="O219" t="n">
        <v>0</v>
      </c>
      <c r="P219" t="n">
        <v>0</v>
      </c>
      <c r="Q219" t="n">
        <v>0</v>
      </c>
      <c r="R219" s="2" t="inlineStr"/>
    </row>
    <row r="220" ht="15" customHeight="1">
      <c r="A220" t="inlineStr">
        <is>
          <t>A 30286-2022</t>
        </is>
      </c>
      <c r="B220" s="1" t="n">
        <v>44760</v>
      </c>
      <c r="C220" s="1" t="n">
        <v>45915</v>
      </c>
      <c r="D220" t="inlineStr">
        <is>
          <t>STOCKHOLMS LÄN</t>
        </is>
      </c>
      <c r="E220" t="inlineStr">
        <is>
          <t>NORRTÄLJE</t>
        </is>
      </c>
      <c r="G220" t="n">
        <v>0.3</v>
      </c>
      <c r="H220" t="n">
        <v>0</v>
      </c>
      <c r="I220" t="n">
        <v>0</v>
      </c>
      <c r="J220" t="n">
        <v>0</v>
      </c>
      <c r="K220" t="n">
        <v>0</v>
      </c>
      <c r="L220" t="n">
        <v>0</v>
      </c>
      <c r="M220" t="n">
        <v>0</v>
      </c>
      <c r="N220" t="n">
        <v>0</v>
      </c>
      <c r="O220" t="n">
        <v>0</v>
      </c>
      <c r="P220" t="n">
        <v>0</v>
      </c>
      <c r="Q220" t="n">
        <v>0</v>
      </c>
      <c r="R220" s="2" t="inlineStr"/>
    </row>
    <row r="221" ht="15" customHeight="1">
      <c r="A221" t="inlineStr">
        <is>
          <t>A 8160-2022</t>
        </is>
      </c>
      <c r="B221" s="1" t="n">
        <v>44609</v>
      </c>
      <c r="C221" s="1" t="n">
        <v>45915</v>
      </c>
      <c r="D221" t="inlineStr">
        <is>
          <t>STOCKHOLMS LÄN</t>
        </is>
      </c>
      <c r="E221" t="inlineStr">
        <is>
          <t>NORRTÄLJE</t>
        </is>
      </c>
      <c r="G221" t="n">
        <v>3.9</v>
      </c>
      <c r="H221" t="n">
        <v>0</v>
      </c>
      <c r="I221" t="n">
        <v>0</v>
      </c>
      <c r="J221" t="n">
        <v>0</v>
      </c>
      <c r="K221" t="n">
        <v>0</v>
      </c>
      <c r="L221" t="n">
        <v>0</v>
      </c>
      <c r="M221" t="n">
        <v>0</v>
      </c>
      <c r="N221" t="n">
        <v>0</v>
      </c>
      <c r="O221" t="n">
        <v>0</v>
      </c>
      <c r="P221" t="n">
        <v>0</v>
      </c>
      <c r="Q221" t="n">
        <v>0</v>
      </c>
      <c r="R221" s="2" t="inlineStr"/>
    </row>
    <row r="222" ht="15" customHeight="1">
      <c r="A222" t="inlineStr">
        <is>
          <t>A 39319-2022</t>
        </is>
      </c>
      <c r="B222" s="1" t="n">
        <v>44817.70516203704</v>
      </c>
      <c r="C222" s="1" t="n">
        <v>45915</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24167-2022</t>
        </is>
      </c>
      <c r="B223" s="1" t="n">
        <v>44725.49491898148</v>
      </c>
      <c r="C223" s="1" t="n">
        <v>45915</v>
      </c>
      <c r="D223" t="inlineStr">
        <is>
          <t>STOCKHOLMS LÄN</t>
        </is>
      </c>
      <c r="E223" t="inlineStr">
        <is>
          <t>NORRTÄLJE</t>
        </is>
      </c>
      <c r="G223" t="n">
        <v>3.4</v>
      </c>
      <c r="H223" t="n">
        <v>0</v>
      </c>
      <c r="I223" t="n">
        <v>0</v>
      </c>
      <c r="J223" t="n">
        <v>0</v>
      </c>
      <c r="K223" t="n">
        <v>0</v>
      </c>
      <c r="L223" t="n">
        <v>0</v>
      </c>
      <c r="M223" t="n">
        <v>0</v>
      </c>
      <c r="N223" t="n">
        <v>0</v>
      </c>
      <c r="O223" t="n">
        <v>0</v>
      </c>
      <c r="P223" t="n">
        <v>0</v>
      </c>
      <c r="Q223" t="n">
        <v>0</v>
      </c>
      <c r="R223" s="2" t="inlineStr"/>
    </row>
    <row r="224" ht="15" customHeight="1">
      <c r="A224" t="inlineStr">
        <is>
          <t>A 42396-2021</t>
        </is>
      </c>
      <c r="B224" s="1" t="n">
        <v>44427</v>
      </c>
      <c r="C224" s="1" t="n">
        <v>45915</v>
      </c>
      <c r="D224" t="inlineStr">
        <is>
          <t>STOCKHOLMS LÄN</t>
        </is>
      </c>
      <c r="E224" t="inlineStr">
        <is>
          <t>NORRTÄLJE</t>
        </is>
      </c>
      <c r="G224" t="n">
        <v>2</v>
      </c>
      <c r="H224" t="n">
        <v>0</v>
      </c>
      <c r="I224" t="n">
        <v>0</v>
      </c>
      <c r="J224" t="n">
        <v>0</v>
      </c>
      <c r="K224" t="n">
        <v>0</v>
      </c>
      <c r="L224" t="n">
        <v>0</v>
      </c>
      <c r="M224" t="n">
        <v>0</v>
      </c>
      <c r="N224" t="n">
        <v>0</v>
      </c>
      <c r="O224" t="n">
        <v>0</v>
      </c>
      <c r="P224" t="n">
        <v>0</v>
      </c>
      <c r="Q224" t="n">
        <v>0</v>
      </c>
      <c r="R224" s="2" t="inlineStr"/>
    </row>
    <row r="225" ht="15" customHeight="1">
      <c r="A225" t="inlineStr">
        <is>
          <t>A 72355-2021</t>
        </is>
      </c>
      <c r="B225" s="1" t="n">
        <v>44545</v>
      </c>
      <c r="C225" s="1" t="n">
        <v>45915</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72357-2021</t>
        </is>
      </c>
      <c r="B226" s="1" t="n">
        <v>44545</v>
      </c>
      <c r="C226" s="1" t="n">
        <v>45915</v>
      </c>
      <c r="D226" t="inlineStr">
        <is>
          <t>STOCKHOLMS LÄN</t>
        </is>
      </c>
      <c r="E226" t="inlineStr">
        <is>
          <t>NORRTÄLJE</t>
        </is>
      </c>
      <c r="G226" t="n">
        <v>5.1</v>
      </c>
      <c r="H226" t="n">
        <v>0</v>
      </c>
      <c r="I226" t="n">
        <v>0</v>
      </c>
      <c r="J226" t="n">
        <v>0</v>
      </c>
      <c r="K226" t="n">
        <v>0</v>
      </c>
      <c r="L226" t="n">
        <v>0</v>
      </c>
      <c r="M226" t="n">
        <v>0</v>
      </c>
      <c r="N226" t="n">
        <v>0</v>
      </c>
      <c r="O226" t="n">
        <v>0</v>
      </c>
      <c r="P226" t="n">
        <v>0</v>
      </c>
      <c r="Q226" t="n">
        <v>0</v>
      </c>
      <c r="R226" s="2" t="inlineStr"/>
    </row>
    <row r="227" ht="15" customHeight="1">
      <c r="A227" t="inlineStr">
        <is>
          <t>A 56219-2021</t>
        </is>
      </c>
      <c r="B227" s="1" t="n">
        <v>44477</v>
      </c>
      <c r="C227" s="1" t="n">
        <v>45915</v>
      </c>
      <c r="D227" t="inlineStr">
        <is>
          <t>STOCKHOLMS LÄN</t>
        </is>
      </c>
      <c r="E227" t="inlineStr">
        <is>
          <t>NORRTÄLJE</t>
        </is>
      </c>
      <c r="F227" t="inlineStr">
        <is>
          <t>Kommuner</t>
        </is>
      </c>
      <c r="G227" t="n">
        <v>2.3</v>
      </c>
      <c r="H227" t="n">
        <v>0</v>
      </c>
      <c r="I227" t="n">
        <v>0</v>
      </c>
      <c r="J227" t="n">
        <v>0</v>
      </c>
      <c r="K227" t="n">
        <v>0</v>
      </c>
      <c r="L227" t="n">
        <v>0</v>
      </c>
      <c r="M227" t="n">
        <v>0</v>
      </c>
      <c r="N227" t="n">
        <v>0</v>
      </c>
      <c r="O227" t="n">
        <v>0</v>
      </c>
      <c r="P227" t="n">
        <v>0</v>
      </c>
      <c r="Q227" t="n">
        <v>0</v>
      </c>
      <c r="R227" s="2" t="inlineStr"/>
    </row>
    <row r="228" ht="15" customHeight="1">
      <c r="A228" t="inlineStr">
        <is>
          <t>A 45541-2022</t>
        </is>
      </c>
      <c r="B228" s="1" t="n">
        <v>44845.47672453704</v>
      </c>
      <c r="C228" s="1" t="n">
        <v>45915</v>
      </c>
      <c r="D228" t="inlineStr">
        <is>
          <t>STOCKHOLMS LÄN</t>
        </is>
      </c>
      <c r="E228" t="inlineStr">
        <is>
          <t>NORRTÄLJE</t>
        </is>
      </c>
      <c r="G228" t="n">
        <v>0.4</v>
      </c>
      <c r="H228" t="n">
        <v>0</v>
      </c>
      <c r="I228" t="n">
        <v>0</v>
      </c>
      <c r="J228" t="n">
        <v>0</v>
      </c>
      <c r="K228" t="n">
        <v>0</v>
      </c>
      <c r="L228" t="n">
        <v>0</v>
      </c>
      <c r="M228" t="n">
        <v>0</v>
      </c>
      <c r="N228" t="n">
        <v>0</v>
      </c>
      <c r="O228" t="n">
        <v>0</v>
      </c>
      <c r="P228" t="n">
        <v>0</v>
      </c>
      <c r="Q228" t="n">
        <v>0</v>
      </c>
      <c r="R228" s="2" t="inlineStr"/>
    </row>
    <row r="229" ht="15" customHeight="1">
      <c r="A229" t="inlineStr">
        <is>
          <t>A 12779-2021</t>
        </is>
      </c>
      <c r="B229" s="1" t="n">
        <v>44270</v>
      </c>
      <c r="C229" s="1" t="n">
        <v>45915</v>
      </c>
      <c r="D229" t="inlineStr">
        <is>
          <t>STOCKHOLMS LÄN</t>
        </is>
      </c>
      <c r="E229" t="inlineStr">
        <is>
          <t>NORRTÄLJE</t>
        </is>
      </c>
      <c r="G229" t="n">
        <v>10.8</v>
      </c>
      <c r="H229" t="n">
        <v>0</v>
      </c>
      <c r="I229" t="n">
        <v>0</v>
      </c>
      <c r="J229" t="n">
        <v>0</v>
      </c>
      <c r="K229" t="n">
        <v>0</v>
      </c>
      <c r="L229" t="n">
        <v>0</v>
      </c>
      <c r="M229" t="n">
        <v>0</v>
      </c>
      <c r="N229" t="n">
        <v>0</v>
      </c>
      <c r="O229" t="n">
        <v>0</v>
      </c>
      <c r="P229" t="n">
        <v>0</v>
      </c>
      <c r="Q229" t="n">
        <v>0</v>
      </c>
      <c r="R229" s="2" t="inlineStr"/>
    </row>
    <row r="230" ht="15" customHeight="1">
      <c r="A230" t="inlineStr">
        <is>
          <t>A 12782-2021</t>
        </is>
      </c>
      <c r="B230" s="1" t="n">
        <v>44270</v>
      </c>
      <c r="C230" s="1" t="n">
        <v>45915</v>
      </c>
      <c r="D230" t="inlineStr">
        <is>
          <t>STOCKHOLMS LÄN</t>
        </is>
      </c>
      <c r="E230" t="inlineStr">
        <is>
          <t>NORRTÄLJE</t>
        </is>
      </c>
      <c r="G230" t="n">
        <v>3.8</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45915</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45915</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68273-2021</t>
        </is>
      </c>
      <c r="B233" s="1" t="n">
        <v>44526</v>
      </c>
      <c r="C233" s="1" t="n">
        <v>45915</v>
      </c>
      <c r="D233" t="inlineStr">
        <is>
          <t>STOCKHOLMS LÄN</t>
        </is>
      </c>
      <c r="E233" t="inlineStr">
        <is>
          <t>NORRTÄLJE</t>
        </is>
      </c>
      <c r="G233" t="n">
        <v>5.3</v>
      </c>
      <c r="H233" t="n">
        <v>0</v>
      </c>
      <c r="I233" t="n">
        <v>0</v>
      </c>
      <c r="J233" t="n">
        <v>0</v>
      </c>
      <c r="K233" t="n">
        <v>0</v>
      </c>
      <c r="L233" t="n">
        <v>0</v>
      </c>
      <c r="M233" t="n">
        <v>0</v>
      </c>
      <c r="N233" t="n">
        <v>0</v>
      </c>
      <c r="O233" t="n">
        <v>0</v>
      </c>
      <c r="P233" t="n">
        <v>0</v>
      </c>
      <c r="Q233" t="n">
        <v>0</v>
      </c>
      <c r="R233" s="2" t="inlineStr"/>
    </row>
    <row r="234" ht="15" customHeight="1">
      <c r="A234" t="inlineStr">
        <is>
          <t>A 15226-2022</t>
        </is>
      </c>
      <c r="B234" s="1" t="n">
        <v>44658</v>
      </c>
      <c r="C234" s="1" t="n">
        <v>45915</v>
      </c>
      <c r="D234" t="inlineStr">
        <is>
          <t>STOCKHOLMS LÄN</t>
        </is>
      </c>
      <c r="E234" t="inlineStr">
        <is>
          <t>NORRTÄLJE</t>
        </is>
      </c>
      <c r="G234" t="n">
        <v>1.1</v>
      </c>
      <c r="H234" t="n">
        <v>0</v>
      </c>
      <c r="I234" t="n">
        <v>0</v>
      </c>
      <c r="J234" t="n">
        <v>0</v>
      </c>
      <c r="K234" t="n">
        <v>0</v>
      </c>
      <c r="L234" t="n">
        <v>0</v>
      </c>
      <c r="M234" t="n">
        <v>0</v>
      </c>
      <c r="N234" t="n">
        <v>0</v>
      </c>
      <c r="O234" t="n">
        <v>0</v>
      </c>
      <c r="P234" t="n">
        <v>0</v>
      </c>
      <c r="Q234" t="n">
        <v>0</v>
      </c>
      <c r="R234" s="2" t="inlineStr"/>
    </row>
    <row r="235" ht="15" customHeight="1">
      <c r="A235" t="inlineStr">
        <is>
          <t>A 48071-2020</t>
        </is>
      </c>
      <c r="B235" s="1" t="n">
        <v>44100</v>
      </c>
      <c r="C235" s="1" t="n">
        <v>45915</v>
      </c>
      <c r="D235" t="inlineStr">
        <is>
          <t>STOCKHOLMS LÄN</t>
        </is>
      </c>
      <c r="E235" t="inlineStr">
        <is>
          <t>NORRTÄLJE</t>
        </is>
      </c>
      <c r="G235" t="n">
        <v>6.8</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45915</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3300-2022</t>
        </is>
      </c>
      <c r="B237" s="1" t="n">
        <v>44584.91538194445</v>
      </c>
      <c r="C237" s="1" t="n">
        <v>45915</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17388-2022</t>
        </is>
      </c>
      <c r="B238" s="1" t="n">
        <v>44678</v>
      </c>
      <c r="C238" s="1" t="n">
        <v>45915</v>
      </c>
      <c r="D238" t="inlineStr">
        <is>
          <t>STOCKHOLMS LÄN</t>
        </is>
      </c>
      <c r="E238" t="inlineStr">
        <is>
          <t>NORRTÄLJE</t>
        </is>
      </c>
      <c r="G238" t="n">
        <v>2.4</v>
      </c>
      <c r="H238" t="n">
        <v>0</v>
      </c>
      <c r="I238" t="n">
        <v>0</v>
      </c>
      <c r="J238" t="n">
        <v>0</v>
      </c>
      <c r="K238" t="n">
        <v>0</v>
      </c>
      <c r="L238" t="n">
        <v>0</v>
      </c>
      <c r="M238" t="n">
        <v>0</v>
      </c>
      <c r="N238" t="n">
        <v>0</v>
      </c>
      <c r="O238" t="n">
        <v>0</v>
      </c>
      <c r="P238" t="n">
        <v>0</v>
      </c>
      <c r="Q238" t="n">
        <v>0</v>
      </c>
      <c r="R238" s="2" t="inlineStr"/>
    </row>
    <row r="239" ht="15" customHeight="1">
      <c r="A239" t="inlineStr">
        <is>
          <t>A 38991-2022</t>
        </is>
      </c>
      <c r="B239" s="1" t="n">
        <v>44816.89569444444</v>
      </c>
      <c r="C239" s="1" t="n">
        <v>45915</v>
      </c>
      <c r="D239" t="inlineStr">
        <is>
          <t>STOCKHOLMS LÄN</t>
        </is>
      </c>
      <c r="E239" t="inlineStr">
        <is>
          <t>NORRTÄLJE</t>
        </is>
      </c>
      <c r="G239" t="n">
        <v>1.9</v>
      </c>
      <c r="H239" t="n">
        <v>0</v>
      </c>
      <c r="I239" t="n">
        <v>0</v>
      </c>
      <c r="J239" t="n">
        <v>0</v>
      </c>
      <c r="K239" t="n">
        <v>0</v>
      </c>
      <c r="L239" t="n">
        <v>0</v>
      </c>
      <c r="M239" t="n">
        <v>0</v>
      </c>
      <c r="N239" t="n">
        <v>0</v>
      </c>
      <c r="O239" t="n">
        <v>0</v>
      </c>
      <c r="P239" t="n">
        <v>0</v>
      </c>
      <c r="Q239" t="n">
        <v>0</v>
      </c>
      <c r="R239" s="2" t="inlineStr"/>
    </row>
    <row r="240" ht="15" customHeight="1">
      <c r="A240" t="inlineStr">
        <is>
          <t>A 17771-2022</t>
        </is>
      </c>
      <c r="B240" s="1" t="n">
        <v>44682.75924768519</v>
      </c>
      <c r="C240" s="1" t="n">
        <v>45915</v>
      </c>
      <c r="D240" t="inlineStr">
        <is>
          <t>STOCKHOLMS LÄN</t>
        </is>
      </c>
      <c r="E240" t="inlineStr">
        <is>
          <t>NORRTÄLJE</t>
        </is>
      </c>
      <c r="G240" t="n">
        <v>13.3</v>
      </c>
      <c r="H240" t="n">
        <v>0</v>
      </c>
      <c r="I240" t="n">
        <v>0</v>
      </c>
      <c r="J240" t="n">
        <v>0</v>
      </c>
      <c r="K240" t="n">
        <v>0</v>
      </c>
      <c r="L240" t="n">
        <v>0</v>
      </c>
      <c r="M240" t="n">
        <v>0</v>
      </c>
      <c r="N240" t="n">
        <v>0</v>
      </c>
      <c r="O240" t="n">
        <v>0</v>
      </c>
      <c r="P240" t="n">
        <v>0</v>
      </c>
      <c r="Q240" t="n">
        <v>0</v>
      </c>
      <c r="R240" s="2" t="inlineStr"/>
    </row>
    <row r="241" ht="15" customHeight="1">
      <c r="A241" t="inlineStr">
        <is>
          <t>A 17773-2022</t>
        </is>
      </c>
      <c r="B241" s="1" t="n">
        <v>44682.77616898148</v>
      </c>
      <c r="C241" s="1" t="n">
        <v>45915</v>
      </c>
      <c r="D241" t="inlineStr">
        <is>
          <t>STOCKHOLMS LÄN</t>
        </is>
      </c>
      <c r="E241" t="inlineStr">
        <is>
          <t>NORRTÄLJE</t>
        </is>
      </c>
      <c r="G241" t="n">
        <v>10.8</v>
      </c>
      <c r="H241" t="n">
        <v>0</v>
      </c>
      <c r="I241" t="n">
        <v>0</v>
      </c>
      <c r="J241" t="n">
        <v>0</v>
      </c>
      <c r="K241" t="n">
        <v>0</v>
      </c>
      <c r="L241" t="n">
        <v>0</v>
      </c>
      <c r="M241" t="n">
        <v>0</v>
      </c>
      <c r="N241" t="n">
        <v>0</v>
      </c>
      <c r="O241" t="n">
        <v>0</v>
      </c>
      <c r="P241" t="n">
        <v>0</v>
      </c>
      <c r="Q241" t="n">
        <v>0</v>
      </c>
      <c r="R241" s="2" t="inlineStr"/>
    </row>
    <row r="242" ht="15" customHeight="1">
      <c r="A242" t="inlineStr">
        <is>
          <t>A 10521-2022</t>
        </is>
      </c>
      <c r="B242" s="1" t="n">
        <v>44623</v>
      </c>
      <c r="C242" s="1" t="n">
        <v>45915</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45915</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53884-2022</t>
        </is>
      </c>
      <c r="B244" s="1" t="n">
        <v>44880.68423611111</v>
      </c>
      <c r="C244" s="1" t="n">
        <v>45915</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12357-2022</t>
        </is>
      </c>
      <c r="B245" s="1" t="n">
        <v>44637</v>
      </c>
      <c r="C245" s="1" t="n">
        <v>45915</v>
      </c>
      <c r="D245" t="inlineStr">
        <is>
          <t>STOCKHOLMS LÄN</t>
        </is>
      </c>
      <c r="E245" t="inlineStr">
        <is>
          <t>NORRTÄLJE</t>
        </is>
      </c>
      <c r="G245" t="n">
        <v>1</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45915</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26335-2022</t>
        </is>
      </c>
      <c r="B247" s="1" t="n">
        <v>44735</v>
      </c>
      <c r="C247" s="1" t="n">
        <v>45915</v>
      </c>
      <c r="D247" t="inlineStr">
        <is>
          <t>STOCKHOLMS LÄN</t>
        </is>
      </c>
      <c r="E247" t="inlineStr">
        <is>
          <t>NORRTÄLJE</t>
        </is>
      </c>
      <c r="G247" t="n">
        <v>3.3</v>
      </c>
      <c r="H247" t="n">
        <v>0</v>
      </c>
      <c r="I247" t="n">
        <v>0</v>
      </c>
      <c r="J247" t="n">
        <v>0</v>
      </c>
      <c r="K247" t="n">
        <v>0</v>
      </c>
      <c r="L247" t="n">
        <v>0</v>
      </c>
      <c r="M247" t="n">
        <v>0</v>
      </c>
      <c r="N247" t="n">
        <v>0</v>
      </c>
      <c r="O247" t="n">
        <v>0</v>
      </c>
      <c r="P247" t="n">
        <v>0</v>
      </c>
      <c r="Q247" t="n">
        <v>0</v>
      </c>
      <c r="R247" s="2" t="inlineStr"/>
    </row>
    <row r="248" ht="15" customHeight="1">
      <c r="A248" t="inlineStr">
        <is>
          <t>A 5562-2021</t>
        </is>
      </c>
      <c r="B248" s="1" t="n">
        <v>44230</v>
      </c>
      <c r="C248" s="1" t="n">
        <v>45915</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5566-2021</t>
        </is>
      </c>
      <c r="B249" s="1" t="n">
        <v>44230</v>
      </c>
      <c r="C249" s="1" t="n">
        <v>45915</v>
      </c>
      <c r="D249" t="inlineStr">
        <is>
          <t>STOCKHOLMS LÄN</t>
        </is>
      </c>
      <c r="E249" t="inlineStr">
        <is>
          <t>NORRTÄLJE</t>
        </is>
      </c>
      <c r="G249" t="n">
        <v>3.1</v>
      </c>
      <c r="H249" t="n">
        <v>0</v>
      </c>
      <c r="I249" t="n">
        <v>0</v>
      </c>
      <c r="J249" t="n">
        <v>0</v>
      </c>
      <c r="K249" t="n">
        <v>0</v>
      </c>
      <c r="L249" t="n">
        <v>0</v>
      </c>
      <c r="M249" t="n">
        <v>0</v>
      </c>
      <c r="N249" t="n">
        <v>0</v>
      </c>
      <c r="O249" t="n">
        <v>0</v>
      </c>
      <c r="P249" t="n">
        <v>0</v>
      </c>
      <c r="Q249" t="n">
        <v>0</v>
      </c>
      <c r="R249" s="2" t="inlineStr"/>
    </row>
    <row r="250" ht="15" customHeight="1">
      <c r="A250" t="inlineStr">
        <is>
          <t>A 12270-2022</t>
        </is>
      </c>
      <c r="B250" s="1" t="n">
        <v>44637</v>
      </c>
      <c r="C250" s="1" t="n">
        <v>45915</v>
      </c>
      <c r="D250" t="inlineStr">
        <is>
          <t>STOCKHOLMS LÄN</t>
        </is>
      </c>
      <c r="E250" t="inlineStr">
        <is>
          <t>NORRTÄLJE</t>
        </is>
      </c>
      <c r="G250" t="n">
        <v>2.3</v>
      </c>
      <c r="H250" t="n">
        <v>0</v>
      </c>
      <c r="I250" t="n">
        <v>0</v>
      </c>
      <c r="J250" t="n">
        <v>0</v>
      </c>
      <c r="K250" t="n">
        <v>0</v>
      </c>
      <c r="L250" t="n">
        <v>0</v>
      </c>
      <c r="M250" t="n">
        <v>0</v>
      </c>
      <c r="N250" t="n">
        <v>0</v>
      </c>
      <c r="O250" t="n">
        <v>0</v>
      </c>
      <c r="P250" t="n">
        <v>0</v>
      </c>
      <c r="Q250" t="n">
        <v>0</v>
      </c>
      <c r="R250" s="2" t="inlineStr"/>
    </row>
    <row r="251" ht="15" customHeight="1">
      <c r="A251" t="inlineStr">
        <is>
          <t>A 14543-2022</t>
        </is>
      </c>
      <c r="B251" s="1" t="n">
        <v>44655.45373842592</v>
      </c>
      <c r="C251" s="1" t="n">
        <v>45915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49334-2020</t>
        </is>
      </c>
      <c r="B252" s="1" t="n">
        <v>44105</v>
      </c>
      <c r="C252" s="1" t="n">
        <v>45915</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45915</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16117-2022</t>
        </is>
      </c>
      <c r="B254" s="1" t="n">
        <v>44665.65474537037</v>
      </c>
      <c r="C254" s="1" t="n">
        <v>45915</v>
      </c>
      <c r="D254" t="inlineStr">
        <is>
          <t>STOCKHOLMS LÄN</t>
        </is>
      </c>
      <c r="E254" t="inlineStr">
        <is>
          <t>NORRTÄLJE</t>
        </is>
      </c>
      <c r="G254" t="n">
        <v>8.1</v>
      </c>
      <c r="H254" t="n">
        <v>0</v>
      </c>
      <c r="I254" t="n">
        <v>0</v>
      </c>
      <c r="J254" t="n">
        <v>0</v>
      </c>
      <c r="K254" t="n">
        <v>0</v>
      </c>
      <c r="L254" t="n">
        <v>0</v>
      </c>
      <c r="M254" t="n">
        <v>0</v>
      </c>
      <c r="N254" t="n">
        <v>0</v>
      </c>
      <c r="O254" t="n">
        <v>0</v>
      </c>
      <c r="P254" t="n">
        <v>0</v>
      </c>
      <c r="Q254" t="n">
        <v>0</v>
      </c>
      <c r="R254" s="2" t="inlineStr"/>
    </row>
    <row r="255" ht="15" customHeight="1">
      <c r="A255" t="inlineStr">
        <is>
          <t>A 16132-2022</t>
        </is>
      </c>
      <c r="B255" s="1" t="n">
        <v>44665.78351851852</v>
      </c>
      <c r="C255" s="1" t="n">
        <v>45915</v>
      </c>
      <c r="D255" t="inlineStr">
        <is>
          <t>STOCKHOLMS LÄN</t>
        </is>
      </c>
      <c r="E255" t="inlineStr">
        <is>
          <t>NORRTÄLJE</t>
        </is>
      </c>
      <c r="G255" t="n">
        <v>4.4</v>
      </c>
      <c r="H255" t="n">
        <v>0</v>
      </c>
      <c r="I255" t="n">
        <v>0</v>
      </c>
      <c r="J255" t="n">
        <v>0</v>
      </c>
      <c r="K255" t="n">
        <v>0</v>
      </c>
      <c r="L255" t="n">
        <v>0</v>
      </c>
      <c r="M255" t="n">
        <v>0</v>
      </c>
      <c r="N255" t="n">
        <v>0</v>
      </c>
      <c r="O255" t="n">
        <v>0</v>
      </c>
      <c r="P255" t="n">
        <v>0</v>
      </c>
      <c r="Q255" t="n">
        <v>0</v>
      </c>
      <c r="R255" s="2" t="inlineStr"/>
    </row>
    <row r="256" ht="15" customHeight="1">
      <c r="A256" t="inlineStr">
        <is>
          <t>A 70170-2021</t>
        </is>
      </c>
      <c r="B256" s="1" t="n">
        <v>44533</v>
      </c>
      <c r="C256" s="1" t="n">
        <v>45915</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55982-2020</t>
        </is>
      </c>
      <c r="B257" s="1" t="n">
        <v>44132</v>
      </c>
      <c r="C257" s="1" t="n">
        <v>45915</v>
      </c>
      <c r="D257" t="inlineStr">
        <is>
          <t>STOCKHOLMS LÄN</t>
        </is>
      </c>
      <c r="E257" t="inlineStr">
        <is>
          <t>NORRTÄLJE</t>
        </is>
      </c>
      <c r="G257" t="n">
        <v>11.3</v>
      </c>
      <c r="H257" t="n">
        <v>0</v>
      </c>
      <c r="I257" t="n">
        <v>0</v>
      </c>
      <c r="J257" t="n">
        <v>0</v>
      </c>
      <c r="K257" t="n">
        <v>0</v>
      </c>
      <c r="L257" t="n">
        <v>0</v>
      </c>
      <c r="M257" t="n">
        <v>0</v>
      </c>
      <c r="N257" t="n">
        <v>0</v>
      </c>
      <c r="O257" t="n">
        <v>0</v>
      </c>
      <c r="P257" t="n">
        <v>0</v>
      </c>
      <c r="Q257" t="n">
        <v>0</v>
      </c>
      <c r="R257" s="2" t="inlineStr"/>
    </row>
    <row r="258" ht="15" customHeight="1">
      <c r="A258" t="inlineStr">
        <is>
          <t>A 25463-2021</t>
        </is>
      </c>
      <c r="B258" s="1" t="n">
        <v>44342</v>
      </c>
      <c r="C258" s="1" t="n">
        <v>45915</v>
      </c>
      <c r="D258" t="inlineStr">
        <is>
          <t>STOCKHOLMS LÄN</t>
        </is>
      </c>
      <c r="E258" t="inlineStr">
        <is>
          <t>NORRTÄLJE</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21102-2022</t>
        </is>
      </c>
      <c r="B259" s="1" t="n">
        <v>44704</v>
      </c>
      <c r="C259" s="1" t="n">
        <v>45915</v>
      </c>
      <c r="D259" t="inlineStr">
        <is>
          <t>STOCKHOLMS LÄN</t>
        </is>
      </c>
      <c r="E259" t="inlineStr">
        <is>
          <t>NORRTÄLJE</t>
        </is>
      </c>
      <c r="G259" t="n">
        <v>0.2</v>
      </c>
      <c r="H259" t="n">
        <v>0</v>
      </c>
      <c r="I259" t="n">
        <v>0</v>
      </c>
      <c r="J259" t="n">
        <v>0</v>
      </c>
      <c r="K259" t="n">
        <v>0</v>
      </c>
      <c r="L259" t="n">
        <v>0</v>
      </c>
      <c r="M259" t="n">
        <v>0</v>
      </c>
      <c r="N259" t="n">
        <v>0</v>
      </c>
      <c r="O259" t="n">
        <v>0</v>
      </c>
      <c r="P259" t="n">
        <v>0</v>
      </c>
      <c r="Q259" t="n">
        <v>0</v>
      </c>
      <c r="R259" s="2" t="inlineStr"/>
    </row>
    <row r="260" ht="15" customHeight="1">
      <c r="A260" t="inlineStr">
        <is>
          <t>A 5513-2022</t>
        </is>
      </c>
      <c r="B260" s="1" t="n">
        <v>44595</v>
      </c>
      <c r="C260" s="1" t="n">
        <v>45915</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45915</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71880-2021</t>
        </is>
      </c>
      <c r="B262" s="1" t="n">
        <v>44543</v>
      </c>
      <c r="C262" s="1" t="n">
        <v>45915</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17772-2022</t>
        </is>
      </c>
      <c r="B263" s="1" t="n">
        <v>44682.76528935185</v>
      </c>
      <c r="C263" s="1" t="n">
        <v>45915</v>
      </c>
      <c r="D263" t="inlineStr">
        <is>
          <t>STOCKHOLMS LÄN</t>
        </is>
      </c>
      <c r="E263" t="inlineStr">
        <is>
          <t>NORRTÄLJE</t>
        </is>
      </c>
      <c r="G263" t="n">
        <v>4</v>
      </c>
      <c r="H263" t="n">
        <v>0</v>
      </c>
      <c r="I263" t="n">
        <v>0</v>
      </c>
      <c r="J263" t="n">
        <v>0</v>
      </c>
      <c r="K263" t="n">
        <v>0</v>
      </c>
      <c r="L263" t="n">
        <v>0</v>
      </c>
      <c r="M263" t="n">
        <v>0</v>
      </c>
      <c r="N263" t="n">
        <v>0</v>
      </c>
      <c r="O263" t="n">
        <v>0</v>
      </c>
      <c r="P263" t="n">
        <v>0</v>
      </c>
      <c r="Q263" t="n">
        <v>0</v>
      </c>
      <c r="R263" s="2" t="inlineStr"/>
    </row>
    <row r="264" ht="15" customHeight="1">
      <c r="A264" t="inlineStr">
        <is>
          <t>A 67285-2021</t>
        </is>
      </c>
      <c r="B264" s="1" t="n">
        <v>44523.61635416667</v>
      </c>
      <c r="C264" s="1" t="n">
        <v>45915</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33046-2021</t>
        </is>
      </c>
      <c r="B265" s="1" t="n">
        <v>44376</v>
      </c>
      <c r="C265" s="1" t="n">
        <v>45915</v>
      </c>
      <c r="D265" t="inlineStr">
        <is>
          <t>STOCKHOLMS LÄN</t>
        </is>
      </c>
      <c r="E265" t="inlineStr">
        <is>
          <t>NORRTÄLJE</t>
        </is>
      </c>
      <c r="G265" t="n">
        <v>2.1</v>
      </c>
      <c r="H265" t="n">
        <v>0</v>
      </c>
      <c r="I265" t="n">
        <v>0</v>
      </c>
      <c r="J265" t="n">
        <v>0</v>
      </c>
      <c r="K265" t="n">
        <v>0</v>
      </c>
      <c r="L265" t="n">
        <v>0</v>
      </c>
      <c r="M265" t="n">
        <v>0</v>
      </c>
      <c r="N265" t="n">
        <v>0</v>
      </c>
      <c r="O265" t="n">
        <v>0</v>
      </c>
      <c r="P265" t="n">
        <v>0</v>
      </c>
      <c r="Q265" t="n">
        <v>0</v>
      </c>
      <c r="R265" s="2" t="inlineStr"/>
    </row>
    <row r="266" ht="15" customHeight="1">
      <c r="A266" t="inlineStr">
        <is>
          <t>A 5611-2022</t>
        </is>
      </c>
      <c r="B266" s="1" t="n">
        <v>44595</v>
      </c>
      <c r="C266" s="1" t="n">
        <v>45915</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32055-2021</t>
        </is>
      </c>
      <c r="B267" s="1" t="n">
        <v>44370.72197916666</v>
      </c>
      <c r="C267" s="1" t="n">
        <v>45915</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24101-2022</t>
        </is>
      </c>
      <c r="B268" s="1" t="n">
        <v>44725</v>
      </c>
      <c r="C268" s="1" t="n">
        <v>45915</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28042-2022</t>
        </is>
      </c>
      <c r="B269" s="1" t="n">
        <v>44744</v>
      </c>
      <c r="C269" s="1" t="n">
        <v>45915</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26328-2022</t>
        </is>
      </c>
      <c r="B270" s="1" t="n">
        <v>44735</v>
      </c>
      <c r="C270" s="1" t="n">
        <v>45915</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66372-2020</t>
        </is>
      </c>
      <c r="B271" s="1" t="n">
        <v>44176</v>
      </c>
      <c r="C271" s="1" t="n">
        <v>45915</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38721-2022</t>
        </is>
      </c>
      <c r="B272" s="1" t="n">
        <v>44815</v>
      </c>
      <c r="C272" s="1" t="n">
        <v>45915</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41398-2022</t>
        </is>
      </c>
      <c r="B273" s="1" t="n">
        <v>44826</v>
      </c>
      <c r="C273" s="1" t="n">
        <v>45915</v>
      </c>
      <c r="D273" t="inlineStr">
        <is>
          <t>STOCKHOLMS LÄN</t>
        </is>
      </c>
      <c r="E273" t="inlineStr">
        <is>
          <t>NORRTÄLJE</t>
        </is>
      </c>
      <c r="G273" t="n">
        <v>1.4</v>
      </c>
      <c r="H273" t="n">
        <v>0</v>
      </c>
      <c r="I273" t="n">
        <v>0</v>
      </c>
      <c r="J273" t="n">
        <v>0</v>
      </c>
      <c r="K273" t="n">
        <v>0</v>
      </c>
      <c r="L273" t="n">
        <v>0</v>
      </c>
      <c r="M273" t="n">
        <v>0</v>
      </c>
      <c r="N273" t="n">
        <v>0</v>
      </c>
      <c r="O273" t="n">
        <v>0</v>
      </c>
      <c r="P273" t="n">
        <v>0</v>
      </c>
      <c r="Q273" t="n">
        <v>0</v>
      </c>
      <c r="R273" s="2" t="inlineStr"/>
    </row>
    <row r="274" ht="15" customHeight="1">
      <c r="A274" t="inlineStr">
        <is>
          <t>A 22369-2021</t>
        </is>
      </c>
      <c r="B274" s="1" t="n">
        <v>44326</v>
      </c>
      <c r="C274" s="1" t="n">
        <v>45915</v>
      </c>
      <c r="D274" t="inlineStr">
        <is>
          <t>STOCKHOLMS LÄN</t>
        </is>
      </c>
      <c r="E274" t="inlineStr">
        <is>
          <t>NORRTÄLJE</t>
        </is>
      </c>
      <c r="F274" t="inlineStr">
        <is>
          <t>Holmen skog AB</t>
        </is>
      </c>
      <c r="G274" t="n">
        <v>3.4</v>
      </c>
      <c r="H274" t="n">
        <v>0</v>
      </c>
      <c r="I274" t="n">
        <v>0</v>
      </c>
      <c r="J274" t="n">
        <v>0</v>
      </c>
      <c r="K274" t="n">
        <v>0</v>
      </c>
      <c r="L274" t="n">
        <v>0</v>
      </c>
      <c r="M274" t="n">
        <v>0</v>
      </c>
      <c r="N274" t="n">
        <v>0</v>
      </c>
      <c r="O274" t="n">
        <v>0</v>
      </c>
      <c r="P274" t="n">
        <v>0</v>
      </c>
      <c r="Q274" t="n">
        <v>0</v>
      </c>
      <c r="R274" s="2" t="inlineStr"/>
    </row>
    <row r="275" ht="15" customHeight="1">
      <c r="A275" t="inlineStr">
        <is>
          <t>A 60184-2021</t>
        </is>
      </c>
      <c r="B275" s="1" t="n">
        <v>44495</v>
      </c>
      <c r="C275" s="1" t="n">
        <v>45915</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23271-2023</t>
        </is>
      </c>
      <c r="B276" s="1" t="n">
        <v>45075.91362268518</v>
      </c>
      <c r="C276" s="1" t="n">
        <v>45915</v>
      </c>
      <c r="D276" t="inlineStr">
        <is>
          <t>STOCKHOLMS LÄN</t>
        </is>
      </c>
      <c r="E276" t="inlineStr">
        <is>
          <t>NORRTÄLJE</t>
        </is>
      </c>
      <c r="G276" t="n">
        <v>5.1</v>
      </c>
      <c r="H276" t="n">
        <v>0</v>
      </c>
      <c r="I276" t="n">
        <v>0</v>
      </c>
      <c r="J276" t="n">
        <v>0</v>
      </c>
      <c r="K276" t="n">
        <v>0</v>
      </c>
      <c r="L276" t="n">
        <v>0</v>
      </c>
      <c r="M276" t="n">
        <v>0</v>
      </c>
      <c r="N276" t="n">
        <v>0</v>
      </c>
      <c r="O276" t="n">
        <v>0</v>
      </c>
      <c r="P276" t="n">
        <v>0</v>
      </c>
      <c r="Q276" t="n">
        <v>0</v>
      </c>
      <c r="R276" s="2" t="inlineStr"/>
    </row>
    <row r="277" ht="15" customHeight="1">
      <c r="A277" t="inlineStr">
        <is>
          <t>A 23273-2023</t>
        </is>
      </c>
      <c r="B277" s="1" t="n">
        <v>45075.91971064815</v>
      </c>
      <c r="C277" s="1" t="n">
        <v>45915</v>
      </c>
      <c r="D277" t="inlineStr">
        <is>
          <t>STOCKHOLMS LÄN</t>
        </is>
      </c>
      <c r="E277" t="inlineStr">
        <is>
          <t>NORRTÄLJE</t>
        </is>
      </c>
      <c r="G277" t="n">
        <v>7.5</v>
      </c>
      <c r="H277" t="n">
        <v>0</v>
      </c>
      <c r="I277" t="n">
        <v>0</v>
      </c>
      <c r="J277" t="n">
        <v>0</v>
      </c>
      <c r="K277" t="n">
        <v>0</v>
      </c>
      <c r="L277" t="n">
        <v>0</v>
      </c>
      <c r="M277" t="n">
        <v>0</v>
      </c>
      <c r="N277" t="n">
        <v>0</v>
      </c>
      <c r="O277" t="n">
        <v>0</v>
      </c>
      <c r="P277" t="n">
        <v>0</v>
      </c>
      <c r="Q277" t="n">
        <v>0</v>
      </c>
      <c r="R277" s="2" t="inlineStr"/>
    </row>
    <row r="278" ht="15" customHeight="1">
      <c r="A278" t="inlineStr">
        <is>
          <t>A 30802-2022</t>
        </is>
      </c>
      <c r="B278" s="1" t="n">
        <v>44764</v>
      </c>
      <c r="C278" s="1" t="n">
        <v>45915</v>
      </c>
      <c r="D278" t="inlineStr">
        <is>
          <t>STOCKHOLMS LÄN</t>
        </is>
      </c>
      <c r="E278" t="inlineStr">
        <is>
          <t>NORRTÄLJE</t>
        </is>
      </c>
      <c r="G278" t="n">
        <v>1.7</v>
      </c>
      <c r="H278" t="n">
        <v>0</v>
      </c>
      <c r="I278" t="n">
        <v>0</v>
      </c>
      <c r="J278" t="n">
        <v>0</v>
      </c>
      <c r="K278" t="n">
        <v>0</v>
      </c>
      <c r="L278" t="n">
        <v>0</v>
      </c>
      <c r="M278" t="n">
        <v>0</v>
      </c>
      <c r="N278" t="n">
        <v>0</v>
      </c>
      <c r="O278" t="n">
        <v>0</v>
      </c>
      <c r="P278" t="n">
        <v>0</v>
      </c>
      <c r="Q278" t="n">
        <v>0</v>
      </c>
      <c r="R278" s="2" t="inlineStr"/>
    </row>
    <row r="279" ht="15" customHeight="1">
      <c r="A279" t="inlineStr">
        <is>
          <t>A 19706-2023</t>
        </is>
      </c>
      <c r="B279" s="1" t="n">
        <v>45051.455</v>
      </c>
      <c r="C279" s="1" t="n">
        <v>45915</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47869-2020</t>
        </is>
      </c>
      <c r="B280" s="1" t="n">
        <v>44098</v>
      </c>
      <c r="C280" s="1" t="n">
        <v>45915</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16008-2025</t>
        </is>
      </c>
      <c r="B281" s="1" t="n">
        <v>45749</v>
      </c>
      <c r="C281" s="1" t="n">
        <v>45915</v>
      </c>
      <c r="D281" t="inlineStr">
        <is>
          <t>STOCKHOLMS LÄN</t>
        </is>
      </c>
      <c r="E281" t="inlineStr">
        <is>
          <t>NORRTÄLJE</t>
        </is>
      </c>
      <c r="F281" t="inlineStr">
        <is>
          <t>Holmen skog AB</t>
        </is>
      </c>
      <c r="G281" t="n">
        <v>0.9</v>
      </c>
      <c r="H281" t="n">
        <v>0</v>
      </c>
      <c r="I281" t="n">
        <v>0</v>
      </c>
      <c r="J281" t="n">
        <v>0</v>
      </c>
      <c r="K281" t="n">
        <v>0</v>
      </c>
      <c r="L281" t="n">
        <v>0</v>
      </c>
      <c r="M281" t="n">
        <v>0</v>
      </c>
      <c r="N281" t="n">
        <v>0</v>
      </c>
      <c r="O281" t="n">
        <v>0</v>
      </c>
      <c r="P281" t="n">
        <v>0</v>
      </c>
      <c r="Q281" t="n">
        <v>0</v>
      </c>
      <c r="R281" s="2" t="inlineStr"/>
    </row>
    <row r="282" ht="15" customHeight="1">
      <c r="A282" t="inlineStr">
        <is>
          <t>A 9765-2024</t>
        </is>
      </c>
      <c r="B282" s="1" t="n">
        <v>45362.62811342593</v>
      </c>
      <c r="C282" s="1" t="n">
        <v>45915</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52139-2022</t>
        </is>
      </c>
      <c r="B283" s="1" t="n">
        <v>44868</v>
      </c>
      <c r="C283" s="1" t="n">
        <v>45915</v>
      </c>
      <c r="D283" t="inlineStr">
        <is>
          <t>STOCKHOLMS LÄN</t>
        </is>
      </c>
      <c r="E283" t="inlineStr">
        <is>
          <t>NORRTÄLJE</t>
        </is>
      </c>
      <c r="G283" t="n">
        <v>3.2</v>
      </c>
      <c r="H283" t="n">
        <v>0</v>
      </c>
      <c r="I283" t="n">
        <v>0</v>
      </c>
      <c r="J283" t="n">
        <v>0</v>
      </c>
      <c r="K283" t="n">
        <v>0</v>
      </c>
      <c r="L283" t="n">
        <v>0</v>
      </c>
      <c r="M283" t="n">
        <v>0</v>
      </c>
      <c r="N283" t="n">
        <v>0</v>
      </c>
      <c r="O283" t="n">
        <v>0</v>
      </c>
      <c r="P283" t="n">
        <v>0</v>
      </c>
      <c r="Q283" t="n">
        <v>0</v>
      </c>
      <c r="R283" s="2" t="inlineStr"/>
    </row>
    <row r="284" ht="15" customHeight="1">
      <c r="A284" t="inlineStr">
        <is>
          <t>A 15441-2021</t>
        </is>
      </c>
      <c r="B284" s="1" t="n">
        <v>44284</v>
      </c>
      <c r="C284" s="1" t="n">
        <v>45915</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47694-2023</t>
        </is>
      </c>
      <c r="B285" s="1" t="n">
        <v>45203.63303240741</v>
      </c>
      <c r="C285" s="1" t="n">
        <v>45915</v>
      </c>
      <c r="D285" t="inlineStr">
        <is>
          <t>STOCKHOLMS LÄN</t>
        </is>
      </c>
      <c r="E285" t="inlineStr">
        <is>
          <t>NORRTÄLJE</t>
        </is>
      </c>
      <c r="G285" t="n">
        <v>5.2</v>
      </c>
      <c r="H285" t="n">
        <v>0</v>
      </c>
      <c r="I285" t="n">
        <v>0</v>
      </c>
      <c r="J285" t="n">
        <v>0</v>
      </c>
      <c r="K285" t="n">
        <v>0</v>
      </c>
      <c r="L285" t="n">
        <v>0</v>
      </c>
      <c r="M285" t="n">
        <v>0</v>
      </c>
      <c r="N285" t="n">
        <v>0</v>
      </c>
      <c r="O285" t="n">
        <v>0</v>
      </c>
      <c r="P285" t="n">
        <v>0</v>
      </c>
      <c r="Q285" t="n">
        <v>0</v>
      </c>
      <c r="R285" s="2" t="inlineStr"/>
    </row>
    <row r="286" ht="15" customHeight="1">
      <c r="A286" t="inlineStr">
        <is>
          <t>A 40656-2022</t>
        </is>
      </c>
      <c r="B286" s="1" t="n">
        <v>44824.36069444445</v>
      </c>
      <c r="C286" s="1" t="n">
        <v>45915</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9446-2021</t>
        </is>
      </c>
      <c r="B287" s="1" t="n">
        <v>44251</v>
      </c>
      <c r="C287" s="1" t="n">
        <v>45915</v>
      </c>
      <c r="D287" t="inlineStr">
        <is>
          <t>STOCKHOLMS LÄN</t>
        </is>
      </c>
      <c r="E287" t="inlineStr">
        <is>
          <t>NORRTÄLJE</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55012-2024</t>
        </is>
      </c>
      <c r="B288" s="1" t="n">
        <v>45621.34813657407</v>
      </c>
      <c r="C288" s="1" t="n">
        <v>45915</v>
      </c>
      <c r="D288" t="inlineStr">
        <is>
          <t>STOCKHOLMS LÄN</t>
        </is>
      </c>
      <c r="E288" t="inlineStr">
        <is>
          <t>NORRTÄLJE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40425-2021</t>
        </is>
      </c>
      <c r="B289" s="1" t="n">
        <v>44419</v>
      </c>
      <c r="C289" s="1" t="n">
        <v>45915</v>
      </c>
      <c r="D289" t="inlineStr">
        <is>
          <t>STOCKHOLMS LÄN</t>
        </is>
      </c>
      <c r="E289" t="inlineStr">
        <is>
          <t>NORRTÄLJE</t>
        </is>
      </c>
      <c r="G289" t="n">
        <v>5</v>
      </c>
      <c r="H289" t="n">
        <v>0</v>
      </c>
      <c r="I289" t="n">
        <v>0</v>
      </c>
      <c r="J289" t="n">
        <v>0</v>
      </c>
      <c r="K289" t="n">
        <v>0</v>
      </c>
      <c r="L289" t="n">
        <v>0</v>
      </c>
      <c r="M289" t="n">
        <v>0</v>
      </c>
      <c r="N289" t="n">
        <v>0</v>
      </c>
      <c r="O289" t="n">
        <v>0</v>
      </c>
      <c r="P289" t="n">
        <v>0</v>
      </c>
      <c r="Q289" t="n">
        <v>0</v>
      </c>
      <c r="R289" s="2" t="inlineStr"/>
    </row>
    <row r="290" ht="15" customHeight="1">
      <c r="A290" t="inlineStr">
        <is>
          <t>A 20014-2025</t>
        </is>
      </c>
      <c r="B290" s="1" t="n">
        <v>45772.3078125</v>
      </c>
      <c r="C290" s="1" t="n">
        <v>45915</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67598-2021</t>
        </is>
      </c>
      <c r="B291" s="1" t="n">
        <v>44524</v>
      </c>
      <c r="C291" s="1" t="n">
        <v>45915</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56631-2024</t>
        </is>
      </c>
      <c r="B292" s="1" t="n">
        <v>45625</v>
      </c>
      <c r="C292" s="1" t="n">
        <v>45915</v>
      </c>
      <c r="D292" t="inlineStr">
        <is>
          <t>STOCKHOLMS LÄN</t>
        </is>
      </c>
      <c r="E292" t="inlineStr">
        <is>
          <t>NORRTÄLJE</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48587-2023</t>
        </is>
      </c>
      <c r="B293" s="1" t="n">
        <v>45208</v>
      </c>
      <c r="C293" s="1" t="n">
        <v>45915</v>
      </c>
      <c r="D293" t="inlineStr">
        <is>
          <t>STOCKHOLMS LÄN</t>
        </is>
      </c>
      <c r="E293" t="inlineStr">
        <is>
          <t>NORRTÄLJE</t>
        </is>
      </c>
      <c r="G293" t="n">
        <v>7</v>
      </c>
      <c r="H293" t="n">
        <v>0</v>
      </c>
      <c r="I293" t="n">
        <v>0</v>
      </c>
      <c r="J293" t="n">
        <v>0</v>
      </c>
      <c r="K293" t="n">
        <v>0</v>
      </c>
      <c r="L293" t="n">
        <v>0</v>
      </c>
      <c r="M293" t="n">
        <v>0</v>
      </c>
      <c r="N293" t="n">
        <v>0</v>
      </c>
      <c r="O293" t="n">
        <v>0</v>
      </c>
      <c r="P293" t="n">
        <v>0</v>
      </c>
      <c r="Q293" t="n">
        <v>0</v>
      </c>
      <c r="R293" s="2" t="inlineStr"/>
    </row>
    <row r="294" ht="15" customHeight="1">
      <c r="A294" t="inlineStr">
        <is>
          <t>A 53600-2022</t>
        </is>
      </c>
      <c r="B294" s="1" t="n">
        <v>44879.70518518519</v>
      </c>
      <c r="C294" s="1" t="n">
        <v>45915</v>
      </c>
      <c r="D294" t="inlineStr">
        <is>
          <t>STOCKHOLMS LÄN</t>
        </is>
      </c>
      <c r="E294" t="inlineStr">
        <is>
          <t>NORRTÄLJE</t>
        </is>
      </c>
      <c r="G294" t="n">
        <v>4.3</v>
      </c>
      <c r="H294" t="n">
        <v>0</v>
      </c>
      <c r="I294" t="n">
        <v>0</v>
      </c>
      <c r="J294" t="n">
        <v>0</v>
      </c>
      <c r="K294" t="n">
        <v>0</v>
      </c>
      <c r="L294" t="n">
        <v>0</v>
      </c>
      <c r="M294" t="n">
        <v>0</v>
      </c>
      <c r="N294" t="n">
        <v>0</v>
      </c>
      <c r="O294" t="n">
        <v>0</v>
      </c>
      <c r="P294" t="n">
        <v>0</v>
      </c>
      <c r="Q294" t="n">
        <v>0</v>
      </c>
      <c r="R294" s="2" t="inlineStr"/>
    </row>
    <row r="295" ht="15" customHeight="1">
      <c r="A295" t="inlineStr">
        <is>
          <t>A 34520-2021</t>
        </is>
      </c>
      <c r="B295" s="1" t="n">
        <v>44379</v>
      </c>
      <c r="C295" s="1" t="n">
        <v>45915</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42955-2022</t>
        </is>
      </c>
      <c r="B296" s="1" t="n">
        <v>44833.40876157407</v>
      </c>
      <c r="C296" s="1" t="n">
        <v>45915</v>
      </c>
      <c r="D296" t="inlineStr">
        <is>
          <t>STOCKHOLMS LÄN</t>
        </is>
      </c>
      <c r="E296" t="inlineStr">
        <is>
          <t>NORRTÄLJE</t>
        </is>
      </c>
      <c r="G296" t="n">
        <v>13.1</v>
      </c>
      <c r="H296" t="n">
        <v>0</v>
      </c>
      <c r="I296" t="n">
        <v>0</v>
      </c>
      <c r="J296" t="n">
        <v>0</v>
      </c>
      <c r="K296" t="n">
        <v>0</v>
      </c>
      <c r="L296" t="n">
        <v>0</v>
      </c>
      <c r="M296" t="n">
        <v>0</v>
      </c>
      <c r="N296" t="n">
        <v>0</v>
      </c>
      <c r="O296" t="n">
        <v>0</v>
      </c>
      <c r="P296" t="n">
        <v>0</v>
      </c>
      <c r="Q296" t="n">
        <v>0</v>
      </c>
      <c r="R296" s="2" t="inlineStr"/>
    </row>
    <row r="297" ht="15" customHeight="1">
      <c r="A297" t="inlineStr">
        <is>
          <t>A 12348-2025</t>
        </is>
      </c>
      <c r="B297" s="1" t="n">
        <v>45730.35026620371</v>
      </c>
      <c r="C297" s="1" t="n">
        <v>45915</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20136-2025</t>
        </is>
      </c>
      <c r="B298" s="1" t="n">
        <v>45772.51127314815</v>
      </c>
      <c r="C298" s="1" t="n">
        <v>45915</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15978-2024</t>
        </is>
      </c>
      <c r="B299" s="1" t="n">
        <v>45405.57927083333</v>
      </c>
      <c r="C299" s="1" t="n">
        <v>45915</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45915</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45915</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20473-2021</t>
        </is>
      </c>
      <c r="B302" s="1" t="n">
        <v>44315</v>
      </c>
      <c r="C302" s="1" t="n">
        <v>45915</v>
      </c>
      <c r="D302" t="inlineStr">
        <is>
          <t>STOCKHOLMS LÄN</t>
        </is>
      </c>
      <c r="E302" t="inlineStr">
        <is>
          <t>NORRTÄLJE</t>
        </is>
      </c>
      <c r="F302" t="inlineStr">
        <is>
          <t>Övriga Aktiebolag</t>
        </is>
      </c>
      <c r="G302" t="n">
        <v>3.6</v>
      </c>
      <c r="H302" t="n">
        <v>0</v>
      </c>
      <c r="I302" t="n">
        <v>0</v>
      </c>
      <c r="J302" t="n">
        <v>0</v>
      </c>
      <c r="K302" t="n">
        <v>0</v>
      </c>
      <c r="L302" t="n">
        <v>0</v>
      </c>
      <c r="M302" t="n">
        <v>0</v>
      </c>
      <c r="N302" t="n">
        <v>0</v>
      </c>
      <c r="O302" t="n">
        <v>0</v>
      </c>
      <c r="P302" t="n">
        <v>0</v>
      </c>
      <c r="Q302" t="n">
        <v>0</v>
      </c>
      <c r="R302" s="2" t="inlineStr"/>
    </row>
    <row r="303" ht="15" customHeight="1">
      <c r="A303" t="inlineStr">
        <is>
          <t>A 7603-2025</t>
        </is>
      </c>
      <c r="B303" s="1" t="n">
        <v>45705.66126157407</v>
      </c>
      <c r="C303" s="1" t="n">
        <v>45915</v>
      </c>
      <c r="D303" t="inlineStr">
        <is>
          <t>STOCKHOLMS LÄN</t>
        </is>
      </c>
      <c r="E303" t="inlineStr">
        <is>
          <t>NORRTÄLJE</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5158-2024</t>
        </is>
      </c>
      <c r="B304" s="1" t="n">
        <v>45330.50098379629</v>
      </c>
      <c r="C304" s="1" t="n">
        <v>45915</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12111-2021</t>
        </is>
      </c>
      <c r="B305" s="1" t="n">
        <v>44266</v>
      </c>
      <c r="C305" s="1" t="n">
        <v>45915</v>
      </c>
      <c r="D305" t="inlineStr">
        <is>
          <t>STOCKHOLMS LÄN</t>
        </is>
      </c>
      <c r="E305" t="inlineStr">
        <is>
          <t>NORRTÄLJE</t>
        </is>
      </c>
      <c r="G305" t="n">
        <v>5.5</v>
      </c>
      <c r="H305" t="n">
        <v>0</v>
      </c>
      <c r="I305" t="n">
        <v>0</v>
      </c>
      <c r="J305" t="n">
        <v>0</v>
      </c>
      <c r="K305" t="n">
        <v>0</v>
      </c>
      <c r="L305" t="n">
        <v>0</v>
      </c>
      <c r="M305" t="n">
        <v>0</v>
      </c>
      <c r="N305" t="n">
        <v>0</v>
      </c>
      <c r="O305" t="n">
        <v>0</v>
      </c>
      <c r="P305" t="n">
        <v>0</v>
      </c>
      <c r="Q305" t="n">
        <v>0</v>
      </c>
      <c r="R305" s="2" t="inlineStr"/>
    </row>
    <row r="306" ht="15" customHeight="1">
      <c r="A306" t="inlineStr">
        <is>
          <t>A 33053-2021</t>
        </is>
      </c>
      <c r="B306" s="1" t="n">
        <v>44376</v>
      </c>
      <c r="C306" s="1" t="n">
        <v>45915</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45915</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20013-2025</t>
        </is>
      </c>
      <c r="B308" s="1" t="n">
        <v>45772.30436342592</v>
      </c>
      <c r="C308" s="1" t="n">
        <v>45915</v>
      </c>
      <c r="D308" t="inlineStr">
        <is>
          <t>STOCKHOLMS LÄN</t>
        </is>
      </c>
      <c r="E308" t="inlineStr">
        <is>
          <t>NORRTÄLJE</t>
        </is>
      </c>
      <c r="G308" t="n">
        <v>2.3</v>
      </c>
      <c r="H308" t="n">
        <v>0</v>
      </c>
      <c r="I308" t="n">
        <v>0</v>
      </c>
      <c r="J308" t="n">
        <v>0</v>
      </c>
      <c r="K308" t="n">
        <v>0</v>
      </c>
      <c r="L308" t="n">
        <v>0</v>
      </c>
      <c r="M308" t="n">
        <v>0</v>
      </c>
      <c r="N308" t="n">
        <v>0</v>
      </c>
      <c r="O308" t="n">
        <v>0</v>
      </c>
      <c r="P308" t="n">
        <v>0</v>
      </c>
      <c r="Q308" t="n">
        <v>0</v>
      </c>
      <c r="R308" s="2" t="inlineStr"/>
    </row>
    <row r="309" ht="15" customHeight="1">
      <c r="A309" t="inlineStr">
        <is>
          <t>A 17673-2021</t>
        </is>
      </c>
      <c r="B309" s="1" t="n">
        <v>44300</v>
      </c>
      <c r="C309" s="1" t="n">
        <v>45915</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c r="T309">
        <f>HYPERLINK("https://klasma.github.io/Logging_0188/kartor/A 17673-2021 karta.png", "A 17673-2021")</f>
        <v/>
      </c>
      <c r="V309">
        <f>HYPERLINK("https://klasma.github.io/Logging_0188/klagomål/A 17673-2021 FSC-klagomål.docx", "A 17673-2021")</f>
        <v/>
      </c>
      <c r="W309">
        <f>HYPERLINK("https://klasma.github.io/Logging_0188/klagomålsmail/A 17673-2021 FSC-klagomål mail.docx", "A 17673-2021")</f>
        <v/>
      </c>
      <c r="X309">
        <f>HYPERLINK("https://klasma.github.io/Logging_0188/tillsyn/A 17673-2021 tillsynsbegäran.docx", "A 17673-2021")</f>
        <v/>
      </c>
      <c r="Y309">
        <f>HYPERLINK("https://klasma.github.io/Logging_0188/tillsynsmail/A 17673-2021 tillsynsbegäran mail.docx", "A 17673-2021")</f>
        <v/>
      </c>
      <c r="Z309">
        <f>HYPERLINK("https://klasma.github.io/Logging_0188/fåglar/A 17673-2021 prioriterade fågelarter.docx", "A 17673-2021")</f>
        <v/>
      </c>
    </row>
    <row r="310" ht="15" customHeight="1">
      <c r="A310" t="inlineStr">
        <is>
          <t>A 1968-2022</t>
        </is>
      </c>
      <c r="B310" s="1" t="n">
        <v>44575.52831018518</v>
      </c>
      <c r="C310" s="1" t="n">
        <v>45915</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45915</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60694-2024</t>
        </is>
      </c>
      <c r="B312" s="1" t="n">
        <v>45644.47878472223</v>
      </c>
      <c r="C312" s="1" t="n">
        <v>45915</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8736-2024</t>
        </is>
      </c>
      <c r="B313" s="1" t="n">
        <v>45356.4722800926</v>
      </c>
      <c r="C313" s="1" t="n">
        <v>45915</v>
      </c>
      <c r="D313" t="inlineStr">
        <is>
          <t>STOCKHOLMS LÄN</t>
        </is>
      </c>
      <c r="E313" t="inlineStr">
        <is>
          <t>NORRTÄLJE</t>
        </is>
      </c>
      <c r="G313" t="n">
        <v>8.9</v>
      </c>
      <c r="H313" t="n">
        <v>0</v>
      </c>
      <c r="I313" t="n">
        <v>0</v>
      </c>
      <c r="J313" t="n">
        <v>0</v>
      </c>
      <c r="K313" t="n">
        <v>0</v>
      </c>
      <c r="L313" t="n">
        <v>0</v>
      </c>
      <c r="M313" t="n">
        <v>0</v>
      </c>
      <c r="N313" t="n">
        <v>0</v>
      </c>
      <c r="O313" t="n">
        <v>0</v>
      </c>
      <c r="P313" t="n">
        <v>0</v>
      </c>
      <c r="Q313" t="n">
        <v>0</v>
      </c>
      <c r="R313" s="2" t="inlineStr"/>
    </row>
    <row r="314" ht="15" customHeight="1">
      <c r="A314" t="inlineStr">
        <is>
          <t>A 5950-2021</t>
        </is>
      </c>
      <c r="B314" s="1" t="n">
        <v>44231</v>
      </c>
      <c r="C314" s="1" t="n">
        <v>45915</v>
      </c>
      <c r="D314" t="inlineStr">
        <is>
          <t>STOCKHOLMS LÄN</t>
        </is>
      </c>
      <c r="E314" t="inlineStr">
        <is>
          <t>NORRTÄLJE</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3444-2023</t>
        </is>
      </c>
      <c r="B315" s="1" t="n">
        <v>44949</v>
      </c>
      <c r="C315" s="1" t="n">
        <v>45915</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15552-2021</t>
        </is>
      </c>
      <c r="B316" s="1" t="n">
        <v>44285</v>
      </c>
      <c r="C316" s="1" t="n">
        <v>45915</v>
      </c>
      <c r="D316" t="inlineStr">
        <is>
          <t>STOCKHOLMS LÄN</t>
        </is>
      </c>
      <c r="E316" t="inlineStr">
        <is>
          <t>NORRTÄLJE</t>
        </is>
      </c>
      <c r="G316" t="n">
        <v>10</v>
      </c>
      <c r="H316" t="n">
        <v>0</v>
      </c>
      <c r="I316" t="n">
        <v>0</v>
      </c>
      <c r="J316" t="n">
        <v>0</v>
      </c>
      <c r="K316" t="n">
        <v>0</v>
      </c>
      <c r="L316" t="n">
        <v>0</v>
      </c>
      <c r="M316" t="n">
        <v>0</v>
      </c>
      <c r="N316" t="n">
        <v>0</v>
      </c>
      <c r="O316" t="n">
        <v>0</v>
      </c>
      <c r="P316" t="n">
        <v>0</v>
      </c>
      <c r="Q316" t="n">
        <v>0</v>
      </c>
      <c r="R316" s="2" t="inlineStr"/>
    </row>
    <row r="317" ht="15" customHeight="1">
      <c r="A317" t="inlineStr">
        <is>
          <t>A 13053-2022</t>
        </is>
      </c>
      <c r="B317" s="1" t="n">
        <v>44643</v>
      </c>
      <c r="C317" s="1" t="n">
        <v>45915</v>
      </c>
      <c r="D317" t="inlineStr">
        <is>
          <t>STOCKHOLMS LÄN</t>
        </is>
      </c>
      <c r="E317" t="inlineStr">
        <is>
          <t>NORRTÄLJE</t>
        </is>
      </c>
      <c r="G317" t="n">
        <v>2.8</v>
      </c>
      <c r="H317" t="n">
        <v>0</v>
      </c>
      <c r="I317" t="n">
        <v>0</v>
      </c>
      <c r="J317" t="n">
        <v>0</v>
      </c>
      <c r="K317" t="n">
        <v>0</v>
      </c>
      <c r="L317" t="n">
        <v>0</v>
      </c>
      <c r="M317" t="n">
        <v>0</v>
      </c>
      <c r="N317" t="n">
        <v>0</v>
      </c>
      <c r="O317" t="n">
        <v>0</v>
      </c>
      <c r="P317" t="n">
        <v>0</v>
      </c>
      <c r="Q317" t="n">
        <v>0</v>
      </c>
      <c r="R317" s="2" t="inlineStr"/>
    </row>
    <row r="318" ht="15" customHeight="1">
      <c r="A318" t="inlineStr">
        <is>
          <t>A 25094-2023</t>
        </is>
      </c>
      <c r="B318" s="1" t="n">
        <v>45086.3629050926</v>
      </c>
      <c r="C318" s="1" t="n">
        <v>45915</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59276-2023</t>
        </is>
      </c>
      <c r="B319" s="1" t="n">
        <v>45253.55641203704</v>
      </c>
      <c r="C319" s="1" t="n">
        <v>45915</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13767-2025</t>
        </is>
      </c>
      <c r="B320" s="1" t="n">
        <v>45737.43347222222</v>
      </c>
      <c r="C320" s="1" t="n">
        <v>45915</v>
      </c>
      <c r="D320" t="inlineStr">
        <is>
          <t>STOCKHOLMS LÄN</t>
        </is>
      </c>
      <c r="E320" t="inlineStr">
        <is>
          <t>NORRTÄLJE</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3383-2023</t>
        </is>
      </c>
      <c r="B321" s="1" t="n">
        <v>44949</v>
      </c>
      <c r="C321" s="1" t="n">
        <v>45915</v>
      </c>
      <c r="D321" t="inlineStr">
        <is>
          <t>STOCKHOLMS LÄN</t>
        </is>
      </c>
      <c r="E321" t="inlineStr">
        <is>
          <t>NORRTÄLJE</t>
        </is>
      </c>
      <c r="G321" t="n">
        <v>14.6</v>
      </c>
      <c r="H321" t="n">
        <v>0</v>
      </c>
      <c r="I321" t="n">
        <v>0</v>
      </c>
      <c r="J321" t="n">
        <v>0</v>
      </c>
      <c r="K321" t="n">
        <v>0</v>
      </c>
      <c r="L321" t="n">
        <v>0</v>
      </c>
      <c r="M321" t="n">
        <v>0</v>
      </c>
      <c r="N321" t="n">
        <v>0</v>
      </c>
      <c r="O321" t="n">
        <v>0</v>
      </c>
      <c r="P321" t="n">
        <v>0</v>
      </c>
      <c r="Q321" t="n">
        <v>0</v>
      </c>
      <c r="R321" s="2" t="inlineStr"/>
    </row>
    <row r="322" ht="15" customHeight="1">
      <c r="A322" t="inlineStr">
        <is>
          <t>A 4316-2023</t>
        </is>
      </c>
      <c r="B322" s="1" t="n">
        <v>44953.67443287037</v>
      </c>
      <c r="C322" s="1" t="n">
        <v>45915</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41587-2023</t>
        </is>
      </c>
      <c r="B323" s="1" t="n">
        <v>45175</v>
      </c>
      <c r="C323" s="1" t="n">
        <v>45915</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5839-2023</t>
        </is>
      </c>
      <c r="B324" s="1" t="n">
        <v>44963</v>
      </c>
      <c r="C324" s="1" t="n">
        <v>45915</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45255-2022</t>
        </is>
      </c>
      <c r="B325" s="1" t="n">
        <v>44840</v>
      </c>
      <c r="C325" s="1" t="n">
        <v>45915</v>
      </c>
      <c r="D325" t="inlineStr">
        <is>
          <t>STOCKHOLMS LÄN</t>
        </is>
      </c>
      <c r="E325" t="inlineStr">
        <is>
          <t>NORRTÄLJE</t>
        </is>
      </c>
      <c r="G325" t="n">
        <v>4.1</v>
      </c>
      <c r="H325" t="n">
        <v>0</v>
      </c>
      <c r="I325" t="n">
        <v>0</v>
      </c>
      <c r="J325" t="n">
        <v>0</v>
      </c>
      <c r="K325" t="n">
        <v>0</v>
      </c>
      <c r="L325" t="n">
        <v>0</v>
      </c>
      <c r="M325" t="n">
        <v>0</v>
      </c>
      <c r="N325" t="n">
        <v>0</v>
      </c>
      <c r="O325" t="n">
        <v>0</v>
      </c>
      <c r="P325" t="n">
        <v>0</v>
      </c>
      <c r="Q325" t="n">
        <v>0</v>
      </c>
      <c r="R325" s="2" t="inlineStr"/>
    </row>
    <row r="326" ht="15" customHeight="1">
      <c r="A326" t="inlineStr">
        <is>
          <t>A 19915-2024</t>
        </is>
      </c>
      <c r="B326" s="1" t="n">
        <v>45433.58431712963</v>
      </c>
      <c r="C326" s="1" t="n">
        <v>45915</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5804-2025</t>
        </is>
      </c>
      <c r="B327" s="1" t="n">
        <v>45694.68207175926</v>
      </c>
      <c r="C327" s="1" t="n">
        <v>45915</v>
      </c>
      <c r="D327" t="inlineStr">
        <is>
          <t>STOCKHOLMS LÄN</t>
        </is>
      </c>
      <c r="E327" t="inlineStr">
        <is>
          <t>NORRTÄLJE</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12629-2024</t>
        </is>
      </c>
      <c r="B328" s="1" t="n">
        <v>45383</v>
      </c>
      <c r="C328" s="1" t="n">
        <v>45915</v>
      </c>
      <c r="D328" t="inlineStr">
        <is>
          <t>STOCKHOLMS LÄN</t>
        </is>
      </c>
      <c r="E328" t="inlineStr">
        <is>
          <t>NORRTÄLJE</t>
        </is>
      </c>
      <c r="G328" t="n">
        <v>2.6</v>
      </c>
      <c r="H328" t="n">
        <v>0</v>
      </c>
      <c r="I328" t="n">
        <v>0</v>
      </c>
      <c r="J328" t="n">
        <v>0</v>
      </c>
      <c r="K328" t="n">
        <v>0</v>
      </c>
      <c r="L328" t="n">
        <v>0</v>
      </c>
      <c r="M328" t="n">
        <v>0</v>
      </c>
      <c r="N328" t="n">
        <v>0</v>
      </c>
      <c r="O328" t="n">
        <v>0</v>
      </c>
      <c r="P328" t="n">
        <v>0</v>
      </c>
      <c r="Q328" t="n">
        <v>0</v>
      </c>
      <c r="R328" s="2" t="inlineStr"/>
    </row>
    <row r="329" ht="15" customHeight="1">
      <c r="A329" t="inlineStr">
        <is>
          <t>A 20428-2024</t>
        </is>
      </c>
      <c r="B329" s="1" t="n">
        <v>45435</v>
      </c>
      <c r="C329" s="1" t="n">
        <v>45915</v>
      </c>
      <c r="D329" t="inlineStr">
        <is>
          <t>STOCKHOLMS LÄN</t>
        </is>
      </c>
      <c r="E329" t="inlineStr">
        <is>
          <t>NORRTÄLJE</t>
        </is>
      </c>
      <c r="G329" t="n">
        <v>3.7</v>
      </c>
      <c r="H329" t="n">
        <v>0</v>
      </c>
      <c r="I329" t="n">
        <v>0</v>
      </c>
      <c r="J329" t="n">
        <v>0</v>
      </c>
      <c r="K329" t="n">
        <v>0</v>
      </c>
      <c r="L329" t="n">
        <v>0</v>
      </c>
      <c r="M329" t="n">
        <v>0</v>
      </c>
      <c r="N329" t="n">
        <v>0</v>
      </c>
      <c r="O329" t="n">
        <v>0</v>
      </c>
      <c r="P329" t="n">
        <v>0</v>
      </c>
      <c r="Q329" t="n">
        <v>0</v>
      </c>
      <c r="R329" s="2" t="inlineStr"/>
    </row>
    <row r="330" ht="15" customHeight="1">
      <c r="A330" t="inlineStr">
        <is>
          <t>A 24705-2023</t>
        </is>
      </c>
      <c r="B330" s="1" t="n">
        <v>45084.54459490741</v>
      </c>
      <c r="C330" s="1" t="n">
        <v>45915</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57037-2022</t>
        </is>
      </c>
      <c r="B331" s="1" t="n">
        <v>44895</v>
      </c>
      <c r="C331" s="1" t="n">
        <v>45915</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27217-2021</t>
        </is>
      </c>
      <c r="B332" s="1" t="n">
        <v>44350</v>
      </c>
      <c r="C332" s="1" t="n">
        <v>45915</v>
      </c>
      <c r="D332" t="inlineStr">
        <is>
          <t>STOCKHOLMS LÄN</t>
        </is>
      </c>
      <c r="E332" t="inlineStr">
        <is>
          <t>NORRTÄLJE</t>
        </is>
      </c>
      <c r="G332" t="n">
        <v>5.5</v>
      </c>
      <c r="H332" t="n">
        <v>0</v>
      </c>
      <c r="I332" t="n">
        <v>0</v>
      </c>
      <c r="J332" t="n">
        <v>0</v>
      </c>
      <c r="K332" t="n">
        <v>0</v>
      </c>
      <c r="L332" t="n">
        <v>0</v>
      </c>
      <c r="M332" t="n">
        <v>0</v>
      </c>
      <c r="N332" t="n">
        <v>0</v>
      </c>
      <c r="O332" t="n">
        <v>0</v>
      </c>
      <c r="P332" t="n">
        <v>0</v>
      </c>
      <c r="Q332" t="n">
        <v>0</v>
      </c>
      <c r="R332" s="2" t="inlineStr"/>
    </row>
    <row r="333" ht="15" customHeight="1">
      <c r="A333" t="inlineStr">
        <is>
          <t>A 57957-2020</t>
        </is>
      </c>
      <c r="B333" s="1" t="n">
        <v>44143</v>
      </c>
      <c r="C333" s="1" t="n">
        <v>45915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14762-2024</t>
        </is>
      </c>
      <c r="B334" s="1" t="n">
        <v>45397</v>
      </c>
      <c r="C334" s="1" t="n">
        <v>45915</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54358-2022</t>
        </is>
      </c>
      <c r="B335" s="1" t="n">
        <v>44882</v>
      </c>
      <c r="C335" s="1" t="n">
        <v>45915</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27381-2024</t>
        </is>
      </c>
      <c r="B336" s="1" t="n">
        <v>45473.94501157408</v>
      </c>
      <c r="C336" s="1" t="n">
        <v>45915</v>
      </c>
      <c r="D336" t="inlineStr">
        <is>
          <t>STOCKHOLMS LÄN</t>
        </is>
      </c>
      <c r="E336" t="inlineStr">
        <is>
          <t>NORRTÄLJE</t>
        </is>
      </c>
      <c r="G336" t="n">
        <v>4.5</v>
      </c>
      <c r="H336" t="n">
        <v>0</v>
      </c>
      <c r="I336" t="n">
        <v>0</v>
      </c>
      <c r="J336" t="n">
        <v>0</v>
      </c>
      <c r="K336" t="n">
        <v>0</v>
      </c>
      <c r="L336" t="n">
        <v>0</v>
      </c>
      <c r="M336" t="n">
        <v>0</v>
      </c>
      <c r="N336" t="n">
        <v>0</v>
      </c>
      <c r="O336" t="n">
        <v>0</v>
      </c>
      <c r="P336" t="n">
        <v>0</v>
      </c>
      <c r="Q336" t="n">
        <v>0</v>
      </c>
      <c r="R336" s="2" t="inlineStr"/>
    </row>
    <row r="337" ht="15" customHeight="1">
      <c r="A337" t="inlineStr">
        <is>
          <t>A 60529-2023</t>
        </is>
      </c>
      <c r="B337" s="1" t="n">
        <v>45259</v>
      </c>
      <c r="C337" s="1" t="n">
        <v>45915</v>
      </c>
      <c r="D337" t="inlineStr">
        <is>
          <t>STOCKHOLMS LÄN</t>
        </is>
      </c>
      <c r="E337" t="inlineStr">
        <is>
          <t>NORRTÄLJE</t>
        </is>
      </c>
      <c r="G337" t="n">
        <v>2.6</v>
      </c>
      <c r="H337" t="n">
        <v>0</v>
      </c>
      <c r="I337" t="n">
        <v>0</v>
      </c>
      <c r="J337" t="n">
        <v>0</v>
      </c>
      <c r="K337" t="n">
        <v>0</v>
      </c>
      <c r="L337" t="n">
        <v>0</v>
      </c>
      <c r="M337" t="n">
        <v>0</v>
      </c>
      <c r="N337" t="n">
        <v>0</v>
      </c>
      <c r="O337" t="n">
        <v>0</v>
      </c>
      <c r="P337" t="n">
        <v>0</v>
      </c>
      <c r="Q337" t="n">
        <v>0</v>
      </c>
      <c r="R337" s="2" t="inlineStr"/>
    </row>
    <row r="338" ht="15" customHeight="1">
      <c r="A338" t="inlineStr">
        <is>
          <t>A 23749-2024</t>
        </is>
      </c>
      <c r="B338" s="1" t="n">
        <v>45455.33037037037</v>
      </c>
      <c r="C338" s="1" t="n">
        <v>45915</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35691-2023</t>
        </is>
      </c>
      <c r="B339" s="1" t="n">
        <v>45147.65222222222</v>
      </c>
      <c r="C339" s="1" t="n">
        <v>45915</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35693-2023</t>
        </is>
      </c>
      <c r="B340" s="1" t="n">
        <v>45147.65311342593</v>
      </c>
      <c r="C340" s="1" t="n">
        <v>45915</v>
      </c>
      <c r="D340" t="inlineStr">
        <is>
          <t>STOCKHOLMS LÄN</t>
        </is>
      </c>
      <c r="E340" t="inlineStr">
        <is>
          <t>NORRTÄLJE</t>
        </is>
      </c>
      <c r="G340" t="n">
        <v>2.2</v>
      </c>
      <c r="H340" t="n">
        <v>0</v>
      </c>
      <c r="I340" t="n">
        <v>0</v>
      </c>
      <c r="J340" t="n">
        <v>0</v>
      </c>
      <c r="K340" t="n">
        <v>0</v>
      </c>
      <c r="L340" t="n">
        <v>0</v>
      </c>
      <c r="M340" t="n">
        <v>0</v>
      </c>
      <c r="N340" t="n">
        <v>0</v>
      </c>
      <c r="O340" t="n">
        <v>0</v>
      </c>
      <c r="P340" t="n">
        <v>0</v>
      </c>
      <c r="Q340" t="n">
        <v>0</v>
      </c>
      <c r="R340" s="2" t="inlineStr"/>
    </row>
    <row r="341" ht="15" customHeight="1">
      <c r="A341" t="inlineStr">
        <is>
          <t>A 35698-2023</t>
        </is>
      </c>
      <c r="B341" s="1" t="n">
        <v>45147</v>
      </c>
      <c r="C341" s="1" t="n">
        <v>45915</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45915</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45915</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45915</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59326-2023</t>
        </is>
      </c>
      <c r="B345" s="1" t="n">
        <v>45253.63089120371</v>
      </c>
      <c r="C345" s="1" t="n">
        <v>45915</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20790-2025</t>
        </is>
      </c>
      <c r="B346" s="1" t="n">
        <v>45776.62563657408</v>
      </c>
      <c r="C346" s="1" t="n">
        <v>45915</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3152-2024</t>
        </is>
      </c>
      <c r="B347" s="1" t="n">
        <v>45316.60306712963</v>
      </c>
      <c r="C347" s="1" t="n">
        <v>45915</v>
      </c>
      <c r="D347" t="inlineStr">
        <is>
          <t>STOCKHOLMS LÄN</t>
        </is>
      </c>
      <c r="E347" t="inlineStr">
        <is>
          <t>NORRTÄLJE</t>
        </is>
      </c>
      <c r="G347" t="n">
        <v>7.9</v>
      </c>
      <c r="H347" t="n">
        <v>0</v>
      </c>
      <c r="I347" t="n">
        <v>0</v>
      </c>
      <c r="J347" t="n">
        <v>0</v>
      </c>
      <c r="K347" t="n">
        <v>0</v>
      </c>
      <c r="L347" t="n">
        <v>0</v>
      </c>
      <c r="M347" t="n">
        <v>0</v>
      </c>
      <c r="N347" t="n">
        <v>0</v>
      </c>
      <c r="O347" t="n">
        <v>0</v>
      </c>
      <c r="P347" t="n">
        <v>0</v>
      </c>
      <c r="Q347" t="n">
        <v>0</v>
      </c>
      <c r="R347" s="2" t="inlineStr"/>
    </row>
    <row r="348" ht="15" customHeight="1">
      <c r="A348" t="inlineStr">
        <is>
          <t>A 73992-2021</t>
        </is>
      </c>
      <c r="B348" s="1" t="n">
        <v>44556</v>
      </c>
      <c r="C348" s="1" t="n">
        <v>45915</v>
      </c>
      <c r="D348" t="inlineStr">
        <is>
          <t>STOCKHOLMS LÄN</t>
        </is>
      </c>
      <c r="E348" t="inlineStr">
        <is>
          <t>NORRTÄLJE</t>
        </is>
      </c>
      <c r="G348" t="n">
        <v>12.5</v>
      </c>
      <c r="H348" t="n">
        <v>0</v>
      </c>
      <c r="I348" t="n">
        <v>0</v>
      </c>
      <c r="J348" t="n">
        <v>0</v>
      </c>
      <c r="K348" t="n">
        <v>0</v>
      </c>
      <c r="L348" t="n">
        <v>0</v>
      </c>
      <c r="M348" t="n">
        <v>0</v>
      </c>
      <c r="N348" t="n">
        <v>0</v>
      </c>
      <c r="O348" t="n">
        <v>0</v>
      </c>
      <c r="P348" t="n">
        <v>0</v>
      </c>
      <c r="Q348" t="n">
        <v>0</v>
      </c>
      <c r="R348" s="2" t="inlineStr"/>
    </row>
    <row r="349" ht="15" customHeight="1">
      <c r="A349" t="inlineStr">
        <is>
          <t>A 51978-2023</t>
        </is>
      </c>
      <c r="B349" s="1" t="n">
        <v>45223</v>
      </c>
      <c r="C349" s="1" t="n">
        <v>45915</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13051-2021</t>
        </is>
      </c>
      <c r="B350" s="1" t="n">
        <v>44272</v>
      </c>
      <c r="C350" s="1" t="n">
        <v>45915</v>
      </c>
      <c r="D350" t="inlineStr">
        <is>
          <t>STOCKHOLMS LÄN</t>
        </is>
      </c>
      <c r="E350" t="inlineStr">
        <is>
          <t>NORRTÄLJE</t>
        </is>
      </c>
      <c r="G350" t="n">
        <v>9.1</v>
      </c>
      <c r="H350" t="n">
        <v>0</v>
      </c>
      <c r="I350" t="n">
        <v>0</v>
      </c>
      <c r="J350" t="n">
        <v>0</v>
      </c>
      <c r="K350" t="n">
        <v>0</v>
      </c>
      <c r="L350" t="n">
        <v>0</v>
      </c>
      <c r="M350" t="n">
        <v>0</v>
      </c>
      <c r="N350" t="n">
        <v>0</v>
      </c>
      <c r="O350" t="n">
        <v>0</v>
      </c>
      <c r="P350" t="n">
        <v>0</v>
      </c>
      <c r="Q350" t="n">
        <v>0</v>
      </c>
      <c r="R350" s="2" t="inlineStr"/>
    </row>
    <row r="351" ht="15" customHeight="1">
      <c r="A351" t="inlineStr">
        <is>
          <t>A 55755-2023</t>
        </is>
      </c>
      <c r="B351" s="1" t="n">
        <v>45239</v>
      </c>
      <c r="C351" s="1" t="n">
        <v>45915</v>
      </c>
      <c r="D351" t="inlineStr">
        <is>
          <t>STOCKHOLMS LÄN</t>
        </is>
      </c>
      <c r="E351" t="inlineStr">
        <is>
          <t>NORRTÄLJE</t>
        </is>
      </c>
      <c r="G351" t="n">
        <v>0.6</v>
      </c>
      <c r="H351" t="n">
        <v>0</v>
      </c>
      <c r="I351" t="n">
        <v>0</v>
      </c>
      <c r="J351" t="n">
        <v>0</v>
      </c>
      <c r="K351" t="n">
        <v>0</v>
      </c>
      <c r="L351" t="n">
        <v>0</v>
      </c>
      <c r="M351" t="n">
        <v>0</v>
      </c>
      <c r="N351" t="n">
        <v>0</v>
      </c>
      <c r="O351" t="n">
        <v>0</v>
      </c>
      <c r="P351" t="n">
        <v>0</v>
      </c>
      <c r="Q351" t="n">
        <v>0</v>
      </c>
      <c r="R351" s="2" t="inlineStr"/>
    </row>
    <row r="352" ht="15" customHeight="1">
      <c r="A352" t="inlineStr">
        <is>
          <t>A 20699-2025</t>
        </is>
      </c>
      <c r="B352" s="1" t="n">
        <v>45776.47346064815</v>
      </c>
      <c r="C352" s="1" t="n">
        <v>45915</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20692-2025</t>
        </is>
      </c>
      <c r="B353" s="1" t="n">
        <v>45776.46369212963</v>
      </c>
      <c r="C353" s="1" t="n">
        <v>45915</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20779-2025</t>
        </is>
      </c>
      <c r="B354" s="1" t="n">
        <v>45776.59871527777</v>
      </c>
      <c r="C354" s="1" t="n">
        <v>45915</v>
      </c>
      <c r="D354" t="inlineStr">
        <is>
          <t>STOCKHOLMS LÄN</t>
        </is>
      </c>
      <c r="E354" t="inlineStr">
        <is>
          <t>NORRTÄLJE</t>
        </is>
      </c>
      <c r="G354" t="n">
        <v>6.9</v>
      </c>
      <c r="H354" t="n">
        <v>0</v>
      </c>
      <c r="I354" t="n">
        <v>0</v>
      </c>
      <c r="J354" t="n">
        <v>0</v>
      </c>
      <c r="K354" t="n">
        <v>0</v>
      </c>
      <c r="L354" t="n">
        <v>0</v>
      </c>
      <c r="M354" t="n">
        <v>0</v>
      </c>
      <c r="N354" t="n">
        <v>0</v>
      </c>
      <c r="O354" t="n">
        <v>0</v>
      </c>
      <c r="P354" t="n">
        <v>0</v>
      </c>
      <c r="Q354" t="n">
        <v>0</v>
      </c>
      <c r="R354" s="2" t="inlineStr"/>
    </row>
    <row r="355" ht="15" customHeight="1">
      <c r="A355" t="inlineStr">
        <is>
          <t>A 21329-2022</t>
        </is>
      </c>
      <c r="B355" s="1" t="n">
        <v>44705.60626157407</v>
      </c>
      <c r="C355" s="1" t="n">
        <v>45915</v>
      </c>
      <c r="D355" t="inlineStr">
        <is>
          <t>STOCKHOLMS LÄN</t>
        </is>
      </c>
      <c r="E355" t="inlineStr">
        <is>
          <t>NORRTÄLJE</t>
        </is>
      </c>
      <c r="G355" t="n">
        <v>4.1</v>
      </c>
      <c r="H355" t="n">
        <v>0</v>
      </c>
      <c r="I355" t="n">
        <v>0</v>
      </c>
      <c r="J355" t="n">
        <v>0</v>
      </c>
      <c r="K355" t="n">
        <v>0</v>
      </c>
      <c r="L355" t="n">
        <v>0</v>
      </c>
      <c r="M355" t="n">
        <v>0</v>
      </c>
      <c r="N355" t="n">
        <v>0</v>
      </c>
      <c r="O355" t="n">
        <v>0</v>
      </c>
      <c r="P355" t="n">
        <v>0</v>
      </c>
      <c r="Q355" t="n">
        <v>0</v>
      </c>
      <c r="R355" s="2" t="inlineStr"/>
    </row>
    <row r="356" ht="15" customHeight="1">
      <c r="A356" t="inlineStr">
        <is>
          <t>A 44836-2023</t>
        </is>
      </c>
      <c r="B356" s="1" t="n">
        <v>45190.55609953704</v>
      </c>
      <c r="C356" s="1" t="n">
        <v>45915</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45549-2022</t>
        </is>
      </c>
      <c r="B357" s="1" t="n">
        <v>44845.48064814815</v>
      </c>
      <c r="C357" s="1" t="n">
        <v>45915</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54276-2021</t>
        </is>
      </c>
      <c r="B358" s="1" t="n">
        <v>44470</v>
      </c>
      <c r="C358" s="1" t="n">
        <v>45915</v>
      </c>
      <c r="D358" t="inlineStr">
        <is>
          <t>STOCKHOLMS LÄN</t>
        </is>
      </c>
      <c r="E358" t="inlineStr">
        <is>
          <t>NORRTÄLJE</t>
        </is>
      </c>
      <c r="G358" t="n">
        <v>7.3</v>
      </c>
      <c r="H358" t="n">
        <v>0</v>
      </c>
      <c r="I358" t="n">
        <v>0</v>
      </c>
      <c r="J358" t="n">
        <v>0</v>
      </c>
      <c r="K358" t="n">
        <v>0</v>
      </c>
      <c r="L358" t="n">
        <v>0</v>
      </c>
      <c r="M358" t="n">
        <v>0</v>
      </c>
      <c r="N358" t="n">
        <v>0</v>
      </c>
      <c r="O358" t="n">
        <v>0</v>
      </c>
      <c r="P358" t="n">
        <v>0</v>
      </c>
      <c r="Q358" t="n">
        <v>0</v>
      </c>
      <c r="R358" s="2" t="inlineStr"/>
    </row>
    <row r="359" ht="15" customHeight="1">
      <c r="A359" t="inlineStr">
        <is>
          <t>A 40761-2024</t>
        </is>
      </c>
      <c r="B359" s="1" t="n">
        <v>45558.46283564815</v>
      </c>
      <c r="C359" s="1" t="n">
        <v>45915</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10090-2022</t>
        </is>
      </c>
      <c r="B360" s="1" t="n">
        <v>44621</v>
      </c>
      <c r="C360" s="1" t="n">
        <v>45915</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13785-2024</t>
        </is>
      </c>
      <c r="B361" s="1" t="n">
        <v>45391.3395949074</v>
      </c>
      <c r="C361" s="1" t="n">
        <v>45915</v>
      </c>
      <c r="D361" t="inlineStr">
        <is>
          <t>STOCKHOLMS LÄN</t>
        </is>
      </c>
      <c r="E361" t="inlineStr">
        <is>
          <t>NORRTÄLJE</t>
        </is>
      </c>
      <c r="G361" t="n">
        <v>5</v>
      </c>
      <c r="H361" t="n">
        <v>0</v>
      </c>
      <c r="I361" t="n">
        <v>0</v>
      </c>
      <c r="J361" t="n">
        <v>0</v>
      </c>
      <c r="K361" t="n">
        <v>0</v>
      </c>
      <c r="L361" t="n">
        <v>0</v>
      </c>
      <c r="M361" t="n">
        <v>0</v>
      </c>
      <c r="N361" t="n">
        <v>0</v>
      </c>
      <c r="O361" t="n">
        <v>0</v>
      </c>
      <c r="P361" t="n">
        <v>0</v>
      </c>
      <c r="Q361" t="n">
        <v>0</v>
      </c>
      <c r="R361" s="2" t="inlineStr"/>
    </row>
    <row r="362" ht="15" customHeight="1">
      <c r="A362" t="inlineStr">
        <is>
          <t>A 23692-2024</t>
        </is>
      </c>
      <c r="B362" s="1" t="n">
        <v>45454.65774305556</v>
      </c>
      <c r="C362" s="1" t="n">
        <v>45915</v>
      </c>
      <c r="D362" t="inlineStr">
        <is>
          <t>STOCKHOLMS LÄN</t>
        </is>
      </c>
      <c r="E362" t="inlineStr">
        <is>
          <t>NORRTÄLJE</t>
        </is>
      </c>
      <c r="G362" t="n">
        <v>3.7</v>
      </c>
      <c r="H362" t="n">
        <v>0</v>
      </c>
      <c r="I362" t="n">
        <v>0</v>
      </c>
      <c r="J362" t="n">
        <v>0</v>
      </c>
      <c r="K362" t="n">
        <v>0</v>
      </c>
      <c r="L362" t="n">
        <v>0</v>
      </c>
      <c r="M362" t="n">
        <v>0</v>
      </c>
      <c r="N362" t="n">
        <v>0</v>
      </c>
      <c r="O362" t="n">
        <v>0</v>
      </c>
      <c r="P362" t="n">
        <v>0</v>
      </c>
      <c r="Q362" t="n">
        <v>0</v>
      </c>
      <c r="R362" s="2" t="inlineStr"/>
    </row>
    <row r="363" ht="15" customHeight="1">
      <c r="A363" t="inlineStr">
        <is>
          <t>A 51116-2022</t>
        </is>
      </c>
      <c r="B363" s="1" t="n">
        <v>44868.45741898148</v>
      </c>
      <c r="C363" s="1" t="n">
        <v>45915</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29972-2024</t>
        </is>
      </c>
      <c r="B364" s="1" t="n">
        <v>45485</v>
      </c>
      <c r="C364" s="1" t="n">
        <v>45915</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62030-2021</t>
        </is>
      </c>
      <c r="B365" s="1" t="n">
        <v>44502</v>
      </c>
      <c r="C365" s="1" t="n">
        <v>45915</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28809-2023</t>
        </is>
      </c>
      <c r="B366" s="1" t="n">
        <v>45104</v>
      </c>
      <c r="C366" s="1" t="n">
        <v>45915</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28813-2023</t>
        </is>
      </c>
      <c r="B367" s="1" t="n">
        <v>45104</v>
      </c>
      <c r="C367" s="1" t="n">
        <v>45915</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21771-2025</t>
        </is>
      </c>
      <c r="B368" s="1" t="n">
        <v>45783</v>
      </c>
      <c r="C368" s="1" t="n">
        <v>45915</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19131-2025</t>
        </is>
      </c>
      <c r="B369" s="1" t="n">
        <v>45769</v>
      </c>
      <c r="C369" s="1" t="n">
        <v>45915</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37550-2022</t>
        </is>
      </c>
      <c r="B370" s="1" t="n">
        <v>44809</v>
      </c>
      <c r="C370" s="1" t="n">
        <v>45915</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47431-2023</t>
        </is>
      </c>
      <c r="B371" s="1" t="n">
        <v>45202</v>
      </c>
      <c r="C371" s="1" t="n">
        <v>45915</v>
      </c>
      <c r="D371" t="inlineStr">
        <is>
          <t>STOCKHOLMS LÄN</t>
        </is>
      </c>
      <c r="E371" t="inlineStr">
        <is>
          <t>NORRTÄLJE</t>
        </is>
      </c>
      <c r="F371" t="inlineStr">
        <is>
          <t>Naturvårdsverket</t>
        </is>
      </c>
      <c r="G371" t="n">
        <v>1.2</v>
      </c>
      <c r="H371" t="n">
        <v>0</v>
      </c>
      <c r="I371" t="n">
        <v>0</v>
      </c>
      <c r="J371" t="n">
        <v>0</v>
      </c>
      <c r="K371" t="n">
        <v>0</v>
      </c>
      <c r="L371" t="n">
        <v>0</v>
      </c>
      <c r="M371" t="n">
        <v>0</v>
      </c>
      <c r="N371" t="n">
        <v>0</v>
      </c>
      <c r="O371" t="n">
        <v>0</v>
      </c>
      <c r="P371" t="n">
        <v>0</v>
      </c>
      <c r="Q371" t="n">
        <v>0</v>
      </c>
      <c r="R371" s="2" t="inlineStr"/>
    </row>
    <row r="372" ht="15" customHeight="1">
      <c r="A372" t="inlineStr">
        <is>
          <t>A 11929-2024</t>
        </is>
      </c>
      <c r="B372" s="1" t="n">
        <v>45376.64532407407</v>
      </c>
      <c r="C372" s="1" t="n">
        <v>45915</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21778-2025</t>
        </is>
      </c>
      <c r="B373" s="1" t="n">
        <v>45783.66429398148</v>
      </c>
      <c r="C373" s="1" t="n">
        <v>45915</v>
      </c>
      <c r="D373" t="inlineStr">
        <is>
          <t>STOCKHOLMS LÄN</t>
        </is>
      </c>
      <c r="E373" t="inlineStr">
        <is>
          <t>NORRTÄLJE</t>
        </is>
      </c>
      <c r="G373" t="n">
        <v>2</v>
      </c>
      <c r="H373" t="n">
        <v>0</v>
      </c>
      <c r="I373" t="n">
        <v>0</v>
      </c>
      <c r="J373" t="n">
        <v>0</v>
      </c>
      <c r="K373" t="n">
        <v>0</v>
      </c>
      <c r="L373" t="n">
        <v>0</v>
      </c>
      <c r="M373" t="n">
        <v>0</v>
      </c>
      <c r="N373" t="n">
        <v>0</v>
      </c>
      <c r="O373" t="n">
        <v>0</v>
      </c>
      <c r="P373" t="n">
        <v>0</v>
      </c>
      <c r="Q373" t="n">
        <v>0</v>
      </c>
      <c r="R373" s="2" t="inlineStr"/>
    </row>
    <row r="374" ht="15" customHeight="1">
      <c r="A374" t="inlineStr">
        <is>
          <t>A 64145-2021</t>
        </is>
      </c>
      <c r="B374" s="1" t="n">
        <v>44510</v>
      </c>
      <c r="C374" s="1" t="n">
        <v>45915</v>
      </c>
      <c r="D374" t="inlineStr">
        <is>
          <t>STOCKHOLMS LÄN</t>
        </is>
      </c>
      <c r="E374" t="inlineStr">
        <is>
          <t>NORRTÄLJE</t>
        </is>
      </c>
      <c r="F374" t="inlineStr">
        <is>
          <t>Holmen skog AB</t>
        </is>
      </c>
      <c r="G374" t="n">
        <v>1.5</v>
      </c>
      <c r="H374" t="n">
        <v>0</v>
      </c>
      <c r="I374" t="n">
        <v>0</v>
      </c>
      <c r="J374" t="n">
        <v>0</v>
      </c>
      <c r="K374" t="n">
        <v>0</v>
      </c>
      <c r="L374" t="n">
        <v>0</v>
      </c>
      <c r="M374" t="n">
        <v>0</v>
      </c>
      <c r="N374" t="n">
        <v>0</v>
      </c>
      <c r="O374" t="n">
        <v>0</v>
      </c>
      <c r="P374" t="n">
        <v>0</v>
      </c>
      <c r="Q374" t="n">
        <v>0</v>
      </c>
      <c r="R374" s="2" t="inlineStr"/>
    </row>
    <row r="375" ht="15" customHeight="1">
      <c r="A375" t="inlineStr">
        <is>
          <t>A 23262-2023</t>
        </is>
      </c>
      <c r="B375" s="1" t="n">
        <v>45075.90270833333</v>
      </c>
      <c r="C375" s="1" t="n">
        <v>45915</v>
      </c>
      <c r="D375" t="inlineStr">
        <is>
          <t>STOCKHOLMS LÄN</t>
        </is>
      </c>
      <c r="E375" t="inlineStr">
        <is>
          <t>NORRTÄLJE</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23268-2023</t>
        </is>
      </c>
      <c r="B376" s="1" t="n">
        <v>45075.91042824074</v>
      </c>
      <c r="C376" s="1" t="n">
        <v>45915</v>
      </c>
      <c r="D376" t="inlineStr">
        <is>
          <t>STOCKHOLMS LÄN</t>
        </is>
      </c>
      <c r="E376" t="inlineStr">
        <is>
          <t>NORRTÄLJE</t>
        </is>
      </c>
      <c r="G376" t="n">
        <v>3.3</v>
      </c>
      <c r="H376" t="n">
        <v>0</v>
      </c>
      <c r="I376" t="n">
        <v>0</v>
      </c>
      <c r="J376" t="n">
        <v>0</v>
      </c>
      <c r="K376" t="n">
        <v>0</v>
      </c>
      <c r="L376" t="n">
        <v>0</v>
      </c>
      <c r="M376" t="n">
        <v>0</v>
      </c>
      <c r="N376" t="n">
        <v>0</v>
      </c>
      <c r="O376" t="n">
        <v>0</v>
      </c>
      <c r="P376" t="n">
        <v>0</v>
      </c>
      <c r="Q376" t="n">
        <v>0</v>
      </c>
      <c r="R376" s="2" t="inlineStr"/>
    </row>
    <row r="377" ht="15" customHeight="1">
      <c r="A377" t="inlineStr">
        <is>
          <t>A 23270-2023</t>
        </is>
      </c>
      <c r="B377" s="1" t="n">
        <v>45075.91265046296</v>
      </c>
      <c r="C377" s="1" t="n">
        <v>45915</v>
      </c>
      <c r="D377" t="inlineStr">
        <is>
          <t>STOCKHOLMS LÄN</t>
        </is>
      </c>
      <c r="E377" t="inlineStr">
        <is>
          <t>NORRTÄLJE</t>
        </is>
      </c>
      <c r="G377" t="n">
        <v>12.3</v>
      </c>
      <c r="H377" t="n">
        <v>0</v>
      </c>
      <c r="I377" t="n">
        <v>0</v>
      </c>
      <c r="J377" t="n">
        <v>0</v>
      </c>
      <c r="K377" t="n">
        <v>0</v>
      </c>
      <c r="L377" t="n">
        <v>0</v>
      </c>
      <c r="M377" t="n">
        <v>0</v>
      </c>
      <c r="N377" t="n">
        <v>0</v>
      </c>
      <c r="O377" t="n">
        <v>0</v>
      </c>
      <c r="P377" t="n">
        <v>0</v>
      </c>
      <c r="Q377" t="n">
        <v>0</v>
      </c>
      <c r="R377" s="2" t="inlineStr"/>
    </row>
    <row r="378" ht="15" customHeight="1">
      <c r="A378" t="inlineStr">
        <is>
          <t>A 23274-2023</t>
        </is>
      </c>
      <c r="B378" s="1" t="n">
        <v>45075.92153935185</v>
      </c>
      <c r="C378" s="1" t="n">
        <v>45915</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45915</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49327-2020</t>
        </is>
      </c>
      <c r="B380" s="1" t="n">
        <v>44105</v>
      </c>
      <c r="C380" s="1" t="n">
        <v>45915</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5732-2023</t>
        </is>
      </c>
      <c r="B381" s="1" t="n">
        <v>44962</v>
      </c>
      <c r="C381" s="1" t="n">
        <v>45915</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12902-2024</t>
        </is>
      </c>
      <c r="B382" s="1" t="n">
        <v>45385.38146990741</v>
      </c>
      <c r="C382" s="1" t="n">
        <v>45915</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25609-2023</t>
        </is>
      </c>
      <c r="B383" s="1" t="n">
        <v>45089</v>
      </c>
      <c r="C383" s="1" t="n">
        <v>45915</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33569-2023</t>
        </is>
      </c>
      <c r="B384" s="1" t="n">
        <v>45131.666875</v>
      </c>
      <c r="C384" s="1" t="n">
        <v>45915</v>
      </c>
      <c r="D384" t="inlineStr">
        <is>
          <t>STOCKHOLMS LÄN</t>
        </is>
      </c>
      <c r="E384" t="inlineStr">
        <is>
          <t>NORRTÄLJE</t>
        </is>
      </c>
      <c r="G384" t="n">
        <v>2.3</v>
      </c>
      <c r="H384" t="n">
        <v>0</v>
      </c>
      <c r="I384" t="n">
        <v>0</v>
      </c>
      <c r="J384" t="n">
        <v>0</v>
      </c>
      <c r="K384" t="n">
        <v>0</v>
      </c>
      <c r="L384" t="n">
        <v>0</v>
      </c>
      <c r="M384" t="n">
        <v>0</v>
      </c>
      <c r="N384" t="n">
        <v>0</v>
      </c>
      <c r="O384" t="n">
        <v>0</v>
      </c>
      <c r="P384" t="n">
        <v>0</v>
      </c>
      <c r="Q384" t="n">
        <v>0</v>
      </c>
      <c r="R384" s="2" t="inlineStr"/>
    </row>
    <row r="385" ht="15" customHeight="1">
      <c r="A385" t="inlineStr">
        <is>
          <t>A 39237-2024</t>
        </is>
      </c>
      <c r="B385" s="1" t="n">
        <v>45549</v>
      </c>
      <c r="C385" s="1" t="n">
        <v>45915</v>
      </c>
      <c r="D385" t="inlineStr">
        <is>
          <t>STOCKHOLMS LÄN</t>
        </is>
      </c>
      <c r="E385" t="inlineStr">
        <is>
          <t>NORRTÄLJE</t>
        </is>
      </c>
      <c r="G385" t="n">
        <v>13.3</v>
      </c>
      <c r="H385" t="n">
        <v>0</v>
      </c>
      <c r="I385" t="n">
        <v>0</v>
      </c>
      <c r="J385" t="n">
        <v>0</v>
      </c>
      <c r="K385" t="n">
        <v>0</v>
      </c>
      <c r="L385" t="n">
        <v>0</v>
      </c>
      <c r="M385" t="n">
        <v>0</v>
      </c>
      <c r="N385" t="n">
        <v>0</v>
      </c>
      <c r="O385" t="n">
        <v>0</v>
      </c>
      <c r="P385" t="n">
        <v>0</v>
      </c>
      <c r="Q385" t="n">
        <v>0</v>
      </c>
      <c r="R385" s="2" t="inlineStr"/>
    </row>
    <row r="386" ht="15" customHeight="1">
      <c r="A386" t="inlineStr">
        <is>
          <t>A 50569-2022</t>
        </is>
      </c>
      <c r="B386" s="1" t="n">
        <v>44866.63775462963</v>
      </c>
      <c r="C386" s="1" t="n">
        <v>45915</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44891-2023</t>
        </is>
      </c>
      <c r="B387" s="1" t="n">
        <v>45187</v>
      </c>
      <c r="C387" s="1" t="n">
        <v>45915</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13268-2025</t>
        </is>
      </c>
      <c r="B388" s="1" t="n">
        <v>45735</v>
      </c>
      <c r="C388" s="1" t="n">
        <v>45915</v>
      </c>
      <c r="D388" t="inlineStr">
        <is>
          <t>STOCKHOLMS LÄN</t>
        </is>
      </c>
      <c r="E388" t="inlineStr">
        <is>
          <t>NORRTÄLJE</t>
        </is>
      </c>
      <c r="G388" t="n">
        <v>11.4</v>
      </c>
      <c r="H388" t="n">
        <v>0</v>
      </c>
      <c r="I388" t="n">
        <v>0</v>
      </c>
      <c r="J388" t="n">
        <v>0</v>
      </c>
      <c r="K388" t="n">
        <v>0</v>
      </c>
      <c r="L388" t="n">
        <v>0</v>
      </c>
      <c r="M388" t="n">
        <v>0</v>
      </c>
      <c r="N388" t="n">
        <v>0</v>
      </c>
      <c r="O388" t="n">
        <v>0</v>
      </c>
      <c r="P388" t="n">
        <v>0</v>
      </c>
      <c r="Q388" t="n">
        <v>0</v>
      </c>
      <c r="R388" s="2" t="inlineStr"/>
    </row>
    <row r="389" ht="15" customHeight="1">
      <c r="A389" t="inlineStr">
        <is>
          <t>A 8414-2025</t>
        </is>
      </c>
      <c r="B389" s="1" t="n">
        <v>45709.39361111111</v>
      </c>
      <c r="C389" s="1" t="n">
        <v>45915</v>
      </c>
      <c r="D389" t="inlineStr">
        <is>
          <t>STOCKHOLMS LÄN</t>
        </is>
      </c>
      <c r="E389" t="inlineStr">
        <is>
          <t>NORRTÄLJE</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17843-2024</t>
        </is>
      </c>
      <c r="B390" s="1" t="n">
        <v>45418</v>
      </c>
      <c r="C390" s="1" t="n">
        <v>45915</v>
      </c>
      <c r="D390" t="inlineStr">
        <is>
          <t>STOCKHOLMS LÄN</t>
        </is>
      </c>
      <c r="E390" t="inlineStr">
        <is>
          <t>NORRTÄLJE</t>
        </is>
      </c>
      <c r="G390" t="n">
        <v>5.4</v>
      </c>
      <c r="H390" t="n">
        <v>0</v>
      </c>
      <c r="I390" t="n">
        <v>0</v>
      </c>
      <c r="J390" t="n">
        <v>0</v>
      </c>
      <c r="K390" t="n">
        <v>0</v>
      </c>
      <c r="L390" t="n">
        <v>0</v>
      </c>
      <c r="M390" t="n">
        <v>0</v>
      </c>
      <c r="N390" t="n">
        <v>0</v>
      </c>
      <c r="O390" t="n">
        <v>0</v>
      </c>
      <c r="P390" t="n">
        <v>0</v>
      </c>
      <c r="Q390" t="n">
        <v>0</v>
      </c>
      <c r="R390" s="2" t="inlineStr"/>
    </row>
    <row r="391" ht="15" customHeight="1">
      <c r="A391" t="inlineStr">
        <is>
          <t>A 22833-2024</t>
        </is>
      </c>
      <c r="B391" s="1" t="n">
        <v>45448.56746527777</v>
      </c>
      <c r="C391" s="1" t="n">
        <v>45915</v>
      </c>
      <c r="D391" t="inlineStr">
        <is>
          <t>STOCKHOLMS LÄN</t>
        </is>
      </c>
      <c r="E391" t="inlineStr">
        <is>
          <t>NORRTÄLJE</t>
        </is>
      </c>
      <c r="G391" t="n">
        <v>0.8</v>
      </c>
      <c r="H391" t="n">
        <v>0</v>
      </c>
      <c r="I391" t="n">
        <v>0</v>
      </c>
      <c r="J391" t="n">
        <v>0</v>
      </c>
      <c r="K391" t="n">
        <v>0</v>
      </c>
      <c r="L391" t="n">
        <v>0</v>
      </c>
      <c r="M391" t="n">
        <v>0</v>
      </c>
      <c r="N391" t="n">
        <v>0</v>
      </c>
      <c r="O391" t="n">
        <v>0</v>
      </c>
      <c r="P391" t="n">
        <v>0</v>
      </c>
      <c r="Q391" t="n">
        <v>0</v>
      </c>
      <c r="R391" s="2" t="inlineStr"/>
    </row>
    <row r="392" ht="15" customHeight="1">
      <c r="A392" t="inlineStr">
        <is>
          <t>A 12890-2024</t>
        </is>
      </c>
      <c r="B392" s="1" t="n">
        <v>45385.36243055556</v>
      </c>
      <c r="C392" s="1" t="n">
        <v>45915</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29841-2024</t>
        </is>
      </c>
      <c r="B393" s="1" t="n">
        <v>45485.60261574074</v>
      </c>
      <c r="C393" s="1" t="n">
        <v>45915</v>
      </c>
      <c r="D393" t="inlineStr">
        <is>
          <t>STOCKHOLMS LÄN</t>
        </is>
      </c>
      <c r="E393" t="inlineStr">
        <is>
          <t>NORRTÄLJE</t>
        </is>
      </c>
      <c r="G393" t="n">
        <v>15.9</v>
      </c>
      <c r="H393" t="n">
        <v>0</v>
      </c>
      <c r="I393" t="n">
        <v>0</v>
      </c>
      <c r="J393" t="n">
        <v>0</v>
      </c>
      <c r="K393" t="n">
        <v>0</v>
      </c>
      <c r="L393" t="n">
        <v>0</v>
      </c>
      <c r="M393" t="n">
        <v>0</v>
      </c>
      <c r="N393" t="n">
        <v>0</v>
      </c>
      <c r="O393" t="n">
        <v>0</v>
      </c>
      <c r="P393" t="n">
        <v>0</v>
      </c>
      <c r="Q393" t="n">
        <v>0</v>
      </c>
      <c r="R393" s="2" t="inlineStr"/>
    </row>
    <row r="394" ht="15" customHeight="1">
      <c r="A394" t="inlineStr">
        <is>
          <t>A 60224-2023</t>
        </is>
      </c>
      <c r="B394" s="1" t="n">
        <v>45257</v>
      </c>
      <c r="C394" s="1" t="n">
        <v>45915</v>
      </c>
      <c r="D394" t="inlineStr">
        <is>
          <t>STOCKHOLMS LÄN</t>
        </is>
      </c>
      <c r="E394" t="inlineStr">
        <is>
          <t>NORRTÄLJE</t>
        </is>
      </c>
      <c r="G394" t="n">
        <v>8.1</v>
      </c>
      <c r="H394" t="n">
        <v>0</v>
      </c>
      <c r="I394" t="n">
        <v>0</v>
      </c>
      <c r="J394" t="n">
        <v>0</v>
      </c>
      <c r="K394" t="n">
        <v>0</v>
      </c>
      <c r="L394" t="n">
        <v>0</v>
      </c>
      <c r="M394" t="n">
        <v>0</v>
      </c>
      <c r="N394" t="n">
        <v>0</v>
      </c>
      <c r="O394" t="n">
        <v>0</v>
      </c>
      <c r="P394" t="n">
        <v>0</v>
      </c>
      <c r="Q394" t="n">
        <v>0</v>
      </c>
      <c r="R394" s="2" t="inlineStr"/>
    </row>
    <row r="395" ht="15" customHeight="1">
      <c r="A395" t="inlineStr">
        <is>
          <t>A 36430-2024</t>
        </is>
      </c>
      <c r="B395" s="1" t="n">
        <v>45536</v>
      </c>
      <c r="C395" s="1" t="n">
        <v>45915</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17785-2024</t>
        </is>
      </c>
      <c r="B396" s="1" t="n">
        <v>45418.6968287037</v>
      </c>
      <c r="C396" s="1" t="n">
        <v>45915</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41172-2023</t>
        </is>
      </c>
      <c r="B397" s="1" t="n">
        <v>45170</v>
      </c>
      <c r="C397" s="1" t="n">
        <v>45915</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29684-2021</t>
        </is>
      </c>
      <c r="B398" s="1" t="n">
        <v>44362.37172453704</v>
      </c>
      <c r="C398" s="1" t="n">
        <v>45915</v>
      </c>
      <c r="D398" t="inlineStr">
        <is>
          <t>STOCKHOLMS LÄN</t>
        </is>
      </c>
      <c r="E398" t="inlineStr">
        <is>
          <t>NORRTÄLJE</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67921-2021</t>
        </is>
      </c>
      <c r="B399" s="1" t="n">
        <v>44525</v>
      </c>
      <c r="C399" s="1" t="n">
        <v>45915</v>
      </c>
      <c r="D399" t="inlineStr">
        <is>
          <t>STOCKHOLMS LÄN</t>
        </is>
      </c>
      <c r="E399" t="inlineStr">
        <is>
          <t>NORRTÄLJE</t>
        </is>
      </c>
      <c r="G399" t="n">
        <v>6.3</v>
      </c>
      <c r="H399" t="n">
        <v>0</v>
      </c>
      <c r="I399" t="n">
        <v>0</v>
      </c>
      <c r="J399" t="n">
        <v>0</v>
      </c>
      <c r="K399" t="n">
        <v>0</v>
      </c>
      <c r="L399" t="n">
        <v>0</v>
      </c>
      <c r="M399" t="n">
        <v>0</v>
      </c>
      <c r="N399" t="n">
        <v>0</v>
      </c>
      <c r="O399" t="n">
        <v>0</v>
      </c>
      <c r="P399" t="n">
        <v>0</v>
      </c>
      <c r="Q399" t="n">
        <v>0</v>
      </c>
      <c r="R399" s="2" t="inlineStr"/>
    </row>
    <row r="400" ht="15" customHeight="1">
      <c r="A400" t="inlineStr">
        <is>
          <t>A 72704-2021</t>
        </is>
      </c>
      <c r="B400" s="1" t="n">
        <v>44546</v>
      </c>
      <c r="C400" s="1" t="n">
        <v>45915</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44032-2024</t>
        </is>
      </c>
      <c r="B401" s="1" t="n">
        <v>45572.57828703704</v>
      </c>
      <c r="C401" s="1" t="n">
        <v>45915</v>
      </c>
      <c r="D401" t="inlineStr">
        <is>
          <t>STOCKHOLMS LÄN</t>
        </is>
      </c>
      <c r="E401" t="inlineStr">
        <is>
          <t>NORRTÄLJE</t>
        </is>
      </c>
      <c r="G401" t="n">
        <v>8.6</v>
      </c>
      <c r="H401" t="n">
        <v>0</v>
      </c>
      <c r="I401" t="n">
        <v>0</v>
      </c>
      <c r="J401" t="n">
        <v>0</v>
      </c>
      <c r="K401" t="n">
        <v>0</v>
      </c>
      <c r="L401" t="n">
        <v>0</v>
      </c>
      <c r="M401" t="n">
        <v>0</v>
      </c>
      <c r="N401" t="n">
        <v>0</v>
      </c>
      <c r="O401" t="n">
        <v>0</v>
      </c>
      <c r="P401" t="n">
        <v>0</v>
      </c>
      <c r="Q401" t="n">
        <v>0</v>
      </c>
      <c r="R401" s="2" t="inlineStr"/>
    </row>
    <row r="402" ht="15" customHeight="1">
      <c r="A402" t="inlineStr">
        <is>
          <t>A 65499-2021</t>
        </is>
      </c>
      <c r="B402" s="1" t="n">
        <v>44516</v>
      </c>
      <c r="C402" s="1" t="n">
        <v>45915</v>
      </c>
      <c r="D402" t="inlineStr">
        <is>
          <t>STOCKHOLMS LÄN</t>
        </is>
      </c>
      <c r="E402" t="inlineStr">
        <is>
          <t>NORRTÄLJE</t>
        </is>
      </c>
      <c r="F402" t="inlineStr">
        <is>
          <t>Kommuner</t>
        </is>
      </c>
      <c r="G402" t="n">
        <v>5.2</v>
      </c>
      <c r="H402" t="n">
        <v>0</v>
      </c>
      <c r="I402" t="n">
        <v>0</v>
      </c>
      <c r="J402" t="n">
        <v>0</v>
      </c>
      <c r="K402" t="n">
        <v>0</v>
      </c>
      <c r="L402" t="n">
        <v>0</v>
      </c>
      <c r="M402" t="n">
        <v>0</v>
      </c>
      <c r="N402" t="n">
        <v>0</v>
      </c>
      <c r="O402" t="n">
        <v>0</v>
      </c>
      <c r="P402" t="n">
        <v>0</v>
      </c>
      <c r="Q402" t="n">
        <v>0</v>
      </c>
      <c r="R402" s="2" t="inlineStr"/>
    </row>
    <row r="403" ht="15" customHeight="1">
      <c r="A403" t="inlineStr">
        <is>
          <t>A 65511-2021</t>
        </is>
      </c>
      <c r="B403" s="1" t="n">
        <v>44516.40674768519</v>
      </c>
      <c r="C403" s="1" t="n">
        <v>45915</v>
      </c>
      <c r="D403" t="inlineStr">
        <is>
          <t>STOCKHOLMS LÄN</t>
        </is>
      </c>
      <c r="E403" t="inlineStr">
        <is>
          <t>NORRTÄLJE</t>
        </is>
      </c>
      <c r="F403" t="inlineStr">
        <is>
          <t>Kommuner</t>
        </is>
      </c>
      <c r="G403" t="n">
        <v>2.8</v>
      </c>
      <c r="H403" t="n">
        <v>0</v>
      </c>
      <c r="I403" t="n">
        <v>0</v>
      </c>
      <c r="J403" t="n">
        <v>0</v>
      </c>
      <c r="K403" t="n">
        <v>0</v>
      </c>
      <c r="L403" t="n">
        <v>0</v>
      </c>
      <c r="M403" t="n">
        <v>0</v>
      </c>
      <c r="N403" t="n">
        <v>0</v>
      </c>
      <c r="O403" t="n">
        <v>0</v>
      </c>
      <c r="P403" t="n">
        <v>0</v>
      </c>
      <c r="Q403" t="n">
        <v>0</v>
      </c>
      <c r="R403" s="2" t="inlineStr"/>
    </row>
    <row r="404" ht="15" customHeight="1">
      <c r="A404" t="inlineStr">
        <is>
          <t>A 21386-2023</t>
        </is>
      </c>
      <c r="B404" s="1" t="n">
        <v>45063.35880787037</v>
      </c>
      <c r="C404" s="1" t="n">
        <v>45915</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4593-2023</t>
        </is>
      </c>
      <c r="B405" s="1" t="n">
        <v>44956</v>
      </c>
      <c r="C405" s="1" t="n">
        <v>45915</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26113-2024</t>
        </is>
      </c>
      <c r="B406" s="1" t="n">
        <v>45468.45541666666</v>
      </c>
      <c r="C406" s="1" t="n">
        <v>45915</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26116-2024</t>
        </is>
      </c>
      <c r="B407" s="1" t="n">
        <v>45468.45747685185</v>
      </c>
      <c r="C407" s="1" t="n">
        <v>45915</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24563-2024</t>
        </is>
      </c>
      <c r="B408" s="1" t="n">
        <v>45460.44347222222</v>
      </c>
      <c r="C408" s="1" t="n">
        <v>45915</v>
      </c>
      <c r="D408" t="inlineStr">
        <is>
          <t>STOCKHOLMS LÄN</t>
        </is>
      </c>
      <c r="E408" t="inlineStr">
        <is>
          <t>NORRTÄLJE</t>
        </is>
      </c>
      <c r="G408" t="n">
        <v>1.9</v>
      </c>
      <c r="H408" t="n">
        <v>0</v>
      </c>
      <c r="I408" t="n">
        <v>0</v>
      </c>
      <c r="J408" t="n">
        <v>0</v>
      </c>
      <c r="K408" t="n">
        <v>0</v>
      </c>
      <c r="L408" t="n">
        <v>0</v>
      </c>
      <c r="M408" t="n">
        <v>0</v>
      </c>
      <c r="N408" t="n">
        <v>0</v>
      </c>
      <c r="O408" t="n">
        <v>0</v>
      </c>
      <c r="P408" t="n">
        <v>0</v>
      </c>
      <c r="Q408" t="n">
        <v>0</v>
      </c>
      <c r="R408" s="2" t="inlineStr"/>
    </row>
    <row r="409" ht="15" customHeight="1">
      <c r="A409" t="inlineStr">
        <is>
          <t>A 12875-2022</t>
        </is>
      </c>
      <c r="B409" s="1" t="n">
        <v>44642.55565972222</v>
      </c>
      <c r="C409" s="1" t="n">
        <v>45915</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54396-2021</t>
        </is>
      </c>
      <c r="B410" s="1" t="n">
        <v>44472</v>
      </c>
      <c r="C410" s="1" t="n">
        <v>45915</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22202-2025</t>
        </is>
      </c>
      <c r="B411" s="1" t="n">
        <v>45785.65300925926</v>
      </c>
      <c r="C411" s="1" t="n">
        <v>45915</v>
      </c>
      <c r="D411" t="inlineStr">
        <is>
          <t>STOCKHOLMS LÄN</t>
        </is>
      </c>
      <c r="E411" t="inlineStr">
        <is>
          <t>NORRTÄLJE</t>
        </is>
      </c>
      <c r="G411" t="n">
        <v>10.2</v>
      </c>
      <c r="H411" t="n">
        <v>0</v>
      </c>
      <c r="I411" t="n">
        <v>0</v>
      </c>
      <c r="J411" t="n">
        <v>0</v>
      </c>
      <c r="K411" t="n">
        <v>0</v>
      </c>
      <c r="L411" t="n">
        <v>0</v>
      </c>
      <c r="M411" t="n">
        <v>0</v>
      </c>
      <c r="N411" t="n">
        <v>0</v>
      </c>
      <c r="O411" t="n">
        <v>0</v>
      </c>
      <c r="P411" t="n">
        <v>0</v>
      </c>
      <c r="Q411" t="n">
        <v>0</v>
      </c>
      <c r="R411" s="2" t="inlineStr"/>
    </row>
    <row r="412" ht="15" customHeight="1">
      <c r="A412" t="inlineStr">
        <is>
          <t>A 52686-2024</t>
        </is>
      </c>
      <c r="B412" s="1" t="n">
        <v>45610.39271990741</v>
      </c>
      <c r="C412" s="1" t="n">
        <v>45915</v>
      </c>
      <c r="D412" t="inlineStr">
        <is>
          <t>STOCKHOLMS LÄN</t>
        </is>
      </c>
      <c r="E412" t="inlineStr">
        <is>
          <t>NORRTÄLJE</t>
        </is>
      </c>
      <c r="G412" t="n">
        <v>5.7</v>
      </c>
      <c r="H412" t="n">
        <v>0</v>
      </c>
      <c r="I412" t="n">
        <v>0</v>
      </c>
      <c r="J412" t="n">
        <v>0</v>
      </c>
      <c r="K412" t="n">
        <v>0</v>
      </c>
      <c r="L412" t="n">
        <v>0</v>
      </c>
      <c r="M412" t="n">
        <v>0</v>
      </c>
      <c r="N412" t="n">
        <v>0</v>
      </c>
      <c r="O412" t="n">
        <v>0</v>
      </c>
      <c r="P412" t="n">
        <v>0</v>
      </c>
      <c r="Q412" t="n">
        <v>0</v>
      </c>
      <c r="R412" s="2" t="inlineStr"/>
    </row>
    <row r="413" ht="15" customHeight="1">
      <c r="A413" t="inlineStr">
        <is>
          <t>A 60542-2020</t>
        </is>
      </c>
      <c r="B413" s="1" t="n">
        <v>44153</v>
      </c>
      <c r="C413" s="1" t="n">
        <v>45915</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36625-2024</t>
        </is>
      </c>
      <c r="B414" s="1" t="n">
        <v>45537</v>
      </c>
      <c r="C414" s="1" t="n">
        <v>45915</v>
      </c>
      <c r="D414" t="inlineStr">
        <is>
          <t>STOCKHOLMS LÄN</t>
        </is>
      </c>
      <c r="E414" t="inlineStr">
        <is>
          <t>NORRTÄLJE</t>
        </is>
      </c>
      <c r="G414" t="n">
        <v>3.8</v>
      </c>
      <c r="H414" t="n">
        <v>0</v>
      </c>
      <c r="I414" t="n">
        <v>0</v>
      </c>
      <c r="J414" t="n">
        <v>0</v>
      </c>
      <c r="K414" t="n">
        <v>0</v>
      </c>
      <c r="L414" t="n">
        <v>0</v>
      </c>
      <c r="M414" t="n">
        <v>0</v>
      </c>
      <c r="N414" t="n">
        <v>0</v>
      </c>
      <c r="O414" t="n">
        <v>0</v>
      </c>
      <c r="P414" t="n">
        <v>0</v>
      </c>
      <c r="Q414" t="n">
        <v>0</v>
      </c>
      <c r="R414" s="2" t="inlineStr"/>
    </row>
    <row r="415" ht="15" customHeight="1">
      <c r="A415" t="inlineStr">
        <is>
          <t>A 45746-2024</t>
        </is>
      </c>
      <c r="B415" s="1" t="n">
        <v>45579</v>
      </c>
      <c r="C415" s="1" t="n">
        <v>45915</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32071-2023</t>
        </is>
      </c>
      <c r="B416" s="1" t="n">
        <v>45119.57728009259</v>
      </c>
      <c r="C416" s="1" t="n">
        <v>45915</v>
      </c>
      <c r="D416" t="inlineStr">
        <is>
          <t>STOCKHOLMS LÄN</t>
        </is>
      </c>
      <c r="E416" t="inlineStr">
        <is>
          <t>NORRTÄLJE</t>
        </is>
      </c>
      <c r="G416" t="n">
        <v>6.5</v>
      </c>
      <c r="H416" t="n">
        <v>0</v>
      </c>
      <c r="I416" t="n">
        <v>0</v>
      </c>
      <c r="J416" t="n">
        <v>0</v>
      </c>
      <c r="K416" t="n">
        <v>0</v>
      </c>
      <c r="L416" t="n">
        <v>0</v>
      </c>
      <c r="M416" t="n">
        <v>0</v>
      </c>
      <c r="N416" t="n">
        <v>0</v>
      </c>
      <c r="O416" t="n">
        <v>0</v>
      </c>
      <c r="P416" t="n">
        <v>0</v>
      </c>
      <c r="Q416" t="n">
        <v>0</v>
      </c>
      <c r="R416" s="2" t="inlineStr"/>
    </row>
    <row r="417" ht="15" customHeight="1">
      <c r="A417" t="inlineStr">
        <is>
          <t>A 31105-2022</t>
        </is>
      </c>
      <c r="B417" s="1" t="n">
        <v>44769.66039351852</v>
      </c>
      <c r="C417" s="1" t="n">
        <v>45915</v>
      </c>
      <c r="D417" t="inlineStr">
        <is>
          <t>STOCKHOLMS LÄN</t>
        </is>
      </c>
      <c r="E417" t="inlineStr">
        <is>
          <t>NORRTÄLJE</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25681-2024</t>
        </is>
      </c>
      <c r="B418" s="1" t="n">
        <v>45463.80486111111</v>
      </c>
      <c r="C418" s="1" t="n">
        <v>45915</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30719-2025</t>
        </is>
      </c>
      <c r="B419" s="1" t="n">
        <v>45831.56521990741</v>
      </c>
      <c r="C419" s="1" t="n">
        <v>45915</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24245-2024</t>
        </is>
      </c>
      <c r="B420" s="1" t="n">
        <v>45457</v>
      </c>
      <c r="C420" s="1" t="n">
        <v>45915</v>
      </c>
      <c r="D420" t="inlineStr">
        <is>
          <t>STOCKHOLMS LÄN</t>
        </is>
      </c>
      <c r="E420" t="inlineStr">
        <is>
          <t>NORRTÄLJE</t>
        </is>
      </c>
      <c r="F420" t="inlineStr">
        <is>
          <t>Holmen skog AB</t>
        </is>
      </c>
      <c r="G420" t="n">
        <v>3.4</v>
      </c>
      <c r="H420" t="n">
        <v>0</v>
      </c>
      <c r="I420" t="n">
        <v>0</v>
      </c>
      <c r="J420" t="n">
        <v>0</v>
      </c>
      <c r="K420" t="n">
        <v>0</v>
      </c>
      <c r="L420" t="n">
        <v>0</v>
      </c>
      <c r="M420" t="n">
        <v>0</v>
      </c>
      <c r="N420" t="n">
        <v>0</v>
      </c>
      <c r="O420" t="n">
        <v>0</v>
      </c>
      <c r="P420" t="n">
        <v>0</v>
      </c>
      <c r="Q420" t="n">
        <v>0</v>
      </c>
      <c r="R420" s="2" t="inlineStr"/>
    </row>
    <row r="421" ht="15" customHeight="1">
      <c r="A421" t="inlineStr">
        <is>
          <t>A 62644-2023</t>
        </is>
      </c>
      <c r="B421" s="1" t="n">
        <v>45271</v>
      </c>
      <c r="C421" s="1" t="n">
        <v>45915</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60185-2024</t>
        </is>
      </c>
      <c r="B422" s="1" t="n">
        <v>45642.64634259259</v>
      </c>
      <c r="C422" s="1" t="n">
        <v>45915</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26115-2024</t>
        </is>
      </c>
      <c r="B423" s="1" t="n">
        <v>45468.45628472222</v>
      </c>
      <c r="C423" s="1" t="n">
        <v>45915</v>
      </c>
      <c r="D423" t="inlineStr">
        <is>
          <t>STOCKHOLMS LÄN</t>
        </is>
      </c>
      <c r="E423" t="inlineStr">
        <is>
          <t>NORRTÄLJE</t>
        </is>
      </c>
      <c r="G423" t="n">
        <v>0.3</v>
      </c>
      <c r="H423" t="n">
        <v>0</v>
      </c>
      <c r="I423" t="n">
        <v>0</v>
      </c>
      <c r="J423" t="n">
        <v>0</v>
      </c>
      <c r="K423" t="n">
        <v>0</v>
      </c>
      <c r="L423" t="n">
        <v>0</v>
      </c>
      <c r="M423" t="n">
        <v>0</v>
      </c>
      <c r="N423" t="n">
        <v>0</v>
      </c>
      <c r="O423" t="n">
        <v>0</v>
      </c>
      <c r="P423" t="n">
        <v>0</v>
      </c>
      <c r="Q423" t="n">
        <v>0</v>
      </c>
      <c r="R423" s="2" t="inlineStr"/>
    </row>
    <row r="424" ht="15" customHeight="1">
      <c r="A424" t="inlineStr">
        <is>
          <t>A 8400-2024</t>
        </is>
      </c>
      <c r="B424" s="1" t="n">
        <v>45352.74090277778</v>
      </c>
      <c r="C424" s="1" t="n">
        <v>45915</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60765-2023</t>
        </is>
      </c>
      <c r="B425" s="1" t="n">
        <v>45260</v>
      </c>
      <c r="C425" s="1" t="n">
        <v>45915</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12268-2022</t>
        </is>
      </c>
      <c r="B426" s="1" t="n">
        <v>44637</v>
      </c>
      <c r="C426" s="1" t="n">
        <v>45915</v>
      </c>
      <c r="D426" t="inlineStr">
        <is>
          <t>STOCKHOLMS LÄN</t>
        </is>
      </c>
      <c r="E426" t="inlineStr">
        <is>
          <t>NORRTÄLJE</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22832-2021</t>
        </is>
      </c>
      <c r="B427" s="1" t="n">
        <v>44325</v>
      </c>
      <c r="C427" s="1" t="n">
        <v>45915</v>
      </c>
      <c r="D427" t="inlineStr">
        <is>
          <t>STOCKHOLMS LÄN</t>
        </is>
      </c>
      <c r="E427" t="inlineStr">
        <is>
          <t>NORRTÄLJE</t>
        </is>
      </c>
      <c r="G427" t="n">
        <v>6.8</v>
      </c>
      <c r="H427" t="n">
        <v>0</v>
      </c>
      <c r="I427" t="n">
        <v>0</v>
      </c>
      <c r="J427" t="n">
        <v>0</v>
      </c>
      <c r="K427" t="n">
        <v>0</v>
      </c>
      <c r="L427" t="n">
        <v>0</v>
      </c>
      <c r="M427" t="n">
        <v>0</v>
      </c>
      <c r="N427" t="n">
        <v>0</v>
      </c>
      <c r="O427" t="n">
        <v>0</v>
      </c>
      <c r="P427" t="n">
        <v>0</v>
      </c>
      <c r="Q427" t="n">
        <v>0</v>
      </c>
      <c r="R427" s="2" t="inlineStr"/>
    </row>
    <row r="428" ht="15" customHeight="1">
      <c r="A428" t="inlineStr">
        <is>
          <t>A 2182-2022</t>
        </is>
      </c>
      <c r="B428" s="1" t="n">
        <v>44578</v>
      </c>
      <c r="C428" s="1" t="n">
        <v>45915</v>
      </c>
      <c r="D428" t="inlineStr">
        <is>
          <t>STOCKHOLMS LÄN</t>
        </is>
      </c>
      <c r="E428" t="inlineStr">
        <is>
          <t>NORRTÄLJE</t>
        </is>
      </c>
      <c r="G428" t="n">
        <v>7.2</v>
      </c>
      <c r="H428" t="n">
        <v>0</v>
      </c>
      <c r="I428" t="n">
        <v>0</v>
      </c>
      <c r="J428" t="n">
        <v>0</v>
      </c>
      <c r="K428" t="n">
        <v>0</v>
      </c>
      <c r="L428" t="n">
        <v>0</v>
      </c>
      <c r="M428" t="n">
        <v>0</v>
      </c>
      <c r="N428" t="n">
        <v>0</v>
      </c>
      <c r="O428" t="n">
        <v>0</v>
      </c>
      <c r="P428" t="n">
        <v>0</v>
      </c>
      <c r="Q428" t="n">
        <v>0</v>
      </c>
      <c r="R428" s="2" t="inlineStr"/>
    </row>
    <row r="429" ht="15" customHeight="1">
      <c r="A429" t="inlineStr">
        <is>
          <t>A 51315-2021</t>
        </is>
      </c>
      <c r="B429" s="1" t="n">
        <v>44461</v>
      </c>
      <c r="C429" s="1" t="n">
        <v>45915</v>
      </c>
      <c r="D429" t="inlineStr">
        <is>
          <t>STOCKHOLMS LÄN</t>
        </is>
      </c>
      <c r="E429" t="inlineStr">
        <is>
          <t>NORRTÄLJE</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22008-2024</t>
        </is>
      </c>
      <c r="B430" s="1" t="n">
        <v>45443</v>
      </c>
      <c r="C430" s="1" t="n">
        <v>45915</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16620-2024</t>
        </is>
      </c>
      <c r="B431" s="1" t="n">
        <v>45408.57707175926</v>
      </c>
      <c r="C431" s="1" t="n">
        <v>45915</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54273-2021</t>
        </is>
      </c>
      <c r="B432" s="1" t="n">
        <v>44470.72987268519</v>
      </c>
      <c r="C432" s="1" t="n">
        <v>45915</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43212-2022</t>
        </is>
      </c>
      <c r="B433" s="1" t="n">
        <v>44834.38636574074</v>
      </c>
      <c r="C433" s="1" t="n">
        <v>45915</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51720-2020</t>
        </is>
      </c>
      <c r="B434" s="1" t="n">
        <v>44113</v>
      </c>
      <c r="C434" s="1" t="n">
        <v>45915</v>
      </c>
      <c r="D434" t="inlineStr">
        <is>
          <t>STOCKHOLMS LÄN</t>
        </is>
      </c>
      <c r="E434" t="inlineStr">
        <is>
          <t>NORRTÄLJE</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58277-2023</t>
        </is>
      </c>
      <c r="B435" s="1" t="n">
        <v>45245</v>
      </c>
      <c r="C435" s="1" t="n">
        <v>45915</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23453-2021</t>
        </is>
      </c>
      <c r="B436" s="1" t="n">
        <v>44333</v>
      </c>
      <c r="C436" s="1" t="n">
        <v>45915</v>
      </c>
      <c r="D436" t="inlineStr">
        <is>
          <t>STOCKHOLMS LÄN</t>
        </is>
      </c>
      <c r="E436" t="inlineStr">
        <is>
          <t>NORRTÄLJE</t>
        </is>
      </c>
      <c r="G436" t="n">
        <v>1.8</v>
      </c>
      <c r="H436" t="n">
        <v>0</v>
      </c>
      <c r="I436" t="n">
        <v>0</v>
      </c>
      <c r="J436" t="n">
        <v>0</v>
      </c>
      <c r="K436" t="n">
        <v>0</v>
      </c>
      <c r="L436" t="n">
        <v>0</v>
      </c>
      <c r="M436" t="n">
        <v>0</v>
      </c>
      <c r="N436" t="n">
        <v>0</v>
      </c>
      <c r="O436" t="n">
        <v>0</v>
      </c>
      <c r="P436" t="n">
        <v>0</v>
      </c>
      <c r="Q436" t="n">
        <v>0</v>
      </c>
      <c r="R436" s="2" t="inlineStr"/>
    </row>
    <row r="437" ht="15" customHeight="1">
      <c r="A437" t="inlineStr">
        <is>
          <t>A 22416-2025</t>
        </is>
      </c>
      <c r="B437" s="1" t="n">
        <v>45786.55645833333</v>
      </c>
      <c r="C437" s="1" t="n">
        <v>45915</v>
      </c>
      <c r="D437" t="inlineStr">
        <is>
          <t>STOCKHOLMS LÄN</t>
        </is>
      </c>
      <c r="E437" t="inlineStr">
        <is>
          <t>NORRTÄLJE</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9480-2025</t>
        </is>
      </c>
      <c r="B438" s="1" t="n">
        <v>45715</v>
      </c>
      <c r="C438" s="1" t="n">
        <v>45915</v>
      </c>
      <c r="D438" t="inlineStr">
        <is>
          <t>STOCKHOLMS LÄN</t>
        </is>
      </c>
      <c r="E438" t="inlineStr">
        <is>
          <t>NORRTÄLJE</t>
        </is>
      </c>
      <c r="F438" t="inlineStr">
        <is>
          <t>Övriga Aktiebolag</t>
        </is>
      </c>
      <c r="G438" t="n">
        <v>3.9</v>
      </c>
      <c r="H438" t="n">
        <v>0</v>
      </c>
      <c r="I438" t="n">
        <v>0</v>
      </c>
      <c r="J438" t="n">
        <v>0</v>
      </c>
      <c r="K438" t="n">
        <v>0</v>
      </c>
      <c r="L438" t="n">
        <v>0</v>
      </c>
      <c r="M438" t="n">
        <v>0</v>
      </c>
      <c r="N438" t="n">
        <v>0</v>
      </c>
      <c r="O438" t="n">
        <v>0</v>
      </c>
      <c r="P438" t="n">
        <v>0</v>
      </c>
      <c r="Q438" t="n">
        <v>0</v>
      </c>
      <c r="R438" s="2" t="inlineStr"/>
    </row>
    <row r="439" ht="15" customHeight="1">
      <c r="A439" t="inlineStr">
        <is>
          <t>A 58785-2024</t>
        </is>
      </c>
      <c r="B439" s="1" t="n">
        <v>45635.88849537037</v>
      </c>
      <c r="C439" s="1" t="n">
        <v>45915</v>
      </c>
      <c r="D439" t="inlineStr">
        <is>
          <t>STOCKHOLMS LÄN</t>
        </is>
      </c>
      <c r="E439" t="inlineStr">
        <is>
          <t>NORRTÄLJE</t>
        </is>
      </c>
      <c r="G439" t="n">
        <v>3.3</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45915</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4322-2023</t>
        </is>
      </c>
      <c r="B441" s="1" t="n">
        <v>44953.69298611111</v>
      </c>
      <c r="C441" s="1" t="n">
        <v>45915</v>
      </c>
      <c r="D441" t="inlineStr">
        <is>
          <t>STOCKHOLMS LÄN</t>
        </is>
      </c>
      <c r="E441" t="inlineStr">
        <is>
          <t>NORRTÄLJE</t>
        </is>
      </c>
      <c r="G441" t="n">
        <v>1.3</v>
      </c>
      <c r="H441" t="n">
        <v>0</v>
      </c>
      <c r="I441" t="n">
        <v>0</v>
      </c>
      <c r="J441" t="n">
        <v>0</v>
      </c>
      <c r="K441" t="n">
        <v>0</v>
      </c>
      <c r="L441" t="n">
        <v>0</v>
      </c>
      <c r="M441" t="n">
        <v>0</v>
      </c>
      <c r="N441" t="n">
        <v>0</v>
      </c>
      <c r="O441" t="n">
        <v>0</v>
      </c>
      <c r="P441" t="n">
        <v>0</v>
      </c>
      <c r="Q441" t="n">
        <v>0</v>
      </c>
      <c r="R441" s="2" t="inlineStr"/>
    </row>
    <row r="442" ht="15" customHeight="1">
      <c r="A442" t="inlineStr">
        <is>
          <t>A 35916-2024</t>
        </is>
      </c>
      <c r="B442" s="1" t="n">
        <v>45533</v>
      </c>
      <c r="C442" s="1" t="n">
        <v>45915</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38889-2024</t>
        </is>
      </c>
      <c r="B443" s="1" t="n">
        <v>45547</v>
      </c>
      <c r="C443" s="1" t="n">
        <v>45915</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57216-2020</t>
        </is>
      </c>
      <c r="B444" s="1" t="n">
        <v>44139.54078703704</v>
      </c>
      <c r="C444" s="1" t="n">
        <v>45915</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34295-2024</t>
        </is>
      </c>
      <c r="B445" s="1" t="n">
        <v>45524</v>
      </c>
      <c r="C445" s="1" t="n">
        <v>45915</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27214-2021</t>
        </is>
      </c>
      <c r="B446" s="1" t="n">
        <v>44350</v>
      </c>
      <c r="C446" s="1" t="n">
        <v>45915</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6537-2024</t>
        </is>
      </c>
      <c r="B447" s="1" t="n">
        <v>45341.39853009259</v>
      </c>
      <c r="C447" s="1" t="n">
        <v>45915</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3299-2022</t>
        </is>
      </c>
      <c r="B448" s="1" t="n">
        <v>44584.91001157407</v>
      </c>
      <c r="C448" s="1" t="n">
        <v>45915</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42075-2023</t>
        </is>
      </c>
      <c r="B449" s="1" t="n">
        <v>45177</v>
      </c>
      <c r="C449" s="1" t="n">
        <v>45915</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10676-2025</t>
        </is>
      </c>
      <c r="B450" s="1" t="n">
        <v>45721.88684027778</v>
      </c>
      <c r="C450" s="1" t="n">
        <v>45915</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29369-2024</t>
        </is>
      </c>
      <c r="B451" s="1" t="n">
        <v>45483.57244212963</v>
      </c>
      <c r="C451" s="1" t="n">
        <v>45915</v>
      </c>
      <c r="D451" t="inlineStr">
        <is>
          <t>STOCKHOLMS LÄN</t>
        </is>
      </c>
      <c r="E451" t="inlineStr">
        <is>
          <t>NORRTÄLJE</t>
        </is>
      </c>
      <c r="G451" t="n">
        <v>15.9</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45915</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52260-2022</t>
        </is>
      </c>
      <c r="B453" s="1" t="n">
        <v>44869</v>
      </c>
      <c r="C453" s="1" t="n">
        <v>45915</v>
      </c>
      <c r="D453" t="inlineStr">
        <is>
          <t>STOCKHOLMS LÄN</t>
        </is>
      </c>
      <c r="E453" t="inlineStr">
        <is>
          <t>NORRTÄLJE</t>
        </is>
      </c>
      <c r="G453" t="n">
        <v>3.1</v>
      </c>
      <c r="H453" t="n">
        <v>0</v>
      </c>
      <c r="I453" t="n">
        <v>0</v>
      </c>
      <c r="J453" t="n">
        <v>0</v>
      </c>
      <c r="K453" t="n">
        <v>0</v>
      </c>
      <c r="L453" t="n">
        <v>0</v>
      </c>
      <c r="M453" t="n">
        <v>0</v>
      </c>
      <c r="N453" t="n">
        <v>0</v>
      </c>
      <c r="O453" t="n">
        <v>0</v>
      </c>
      <c r="P453" t="n">
        <v>0</v>
      </c>
      <c r="Q453" t="n">
        <v>0</v>
      </c>
      <c r="R453" s="2" t="inlineStr"/>
    </row>
    <row r="454" ht="15" customHeight="1">
      <c r="A454" t="inlineStr">
        <is>
          <t>A 50154-2024</t>
        </is>
      </c>
      <c r="B454" s="1" t="n">
        <v>45600.4558912037</v>
      </c>
      <c r="C454" s="1" t="n">
        <v>45915</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37273-2024</t>
        </is>
      </c>
      <c r="B455" s="1" t="n">
        <v>45540</v>
      </c>
      <c r="C455" s="1" t="n">
        <v>45915</v>
      </c>
      <c r="D455" t="inlineStr">
        <is>
          <t>STOCKHOLMS LÄN</t>
        </is>
      </c>
      <c r="E455" t="inlineStr">
        <is>
          <t>NORRTÄLJE</t>
        </is>
      </c>
      <c r="F455" t="inlineStr">
        <is>
          <t>Sveaskog</t>
        </is>
      </c>
      <c r="G455" t="n">
        <v>12.5</v>
      </c>
      <c r="H455" t="n">
        <v>0</v>
      </c>
      <c r="I455" t="n">
        <v>0</v>
      </c>
      <c r="J455" t="n">
        <v>0</v>
      </c>
      <c r="K455" t="n">
        <v>0</v>
      </c>
      <c r="L455" t="n">
        <v>0</v>
      </c>
      <c r="M455" t="n">
        <v>0</v>
      </c>
      <c r="N455" t="n">
        <v>0</v>
      </c>
      <c r="O455" t="n">
        <v>0</v>
      </c>
      <c r="P455" t="n">
        <v>0</v>
      </c>
      <c r="Q455" t="n">
        <v>0</v>
      </c>
      <c r="R455" s="2" t="inlineStr"/>
    </row>
    <row r="456" ht="15" customHeight="1">
      <c r="A456" t="inlineStr">
        <is>
          <t>A 62998-2023</t>
        </is>
      </c>
      <c r="B456" s="1" t="n">
        <v>45272.64479166667</v>
      </c>
      <c r="C456" s="1" t="n">
        <v>45915</v>
      </c>
      <c r="D456" t="inlineStr">
        <is>
          <t>STOCKHOLMS LÄN</t>
        </is>
      </c>
      <c r="E456" t="inlineStr">
        <is>
          <t>NORRTÄLJE</t>
        </is>
      </c>
      <c r="G456" t="n">
        <v>16.3</v>
      </c>
      <c r="H456" t="n">
        <v>0</v>
      </c>
      <c r="I456" t="n">
        <v>0</v>
      </c>
      <c r="J456" t="n">
        <v>0</v>
      </c>
      <c r="K456" t="n">
        <v>0</v>
      </c>
      <c r="L456" t="n">
        <v>0</v>
      </c>
      <c r="M456" t="n">
        <v>0</v>
      </c>
      <c r="N456" t="n">
        <v>0</v>
      </c>
      <c r="O456" t="n">
        <v>0</v>
      </c>
      <c r="P456" t="n">
        <v>0</v>
      </c>
      <c r="Q456" t="n">
        <v>0</v>
      </c>
      <c r="R456" s="2" t="inlineStr"/>
    </row>
    <row r="457" ht="15" customHeight="1">
      <c r="A457" t="inlineStr">
        <is>
          <t>A 63015-2023</t>
        </is>
      </c>
      <c r="B457" s="1" t="n">
        <v>45272</v>
      </c>
      <c r="C457" s="1" t="n">
        <v>45915</v>
      </c>
      <c r="D457" t="inlineStr">
        <is>
          <t>STOCKHOLMS LÄN</t>
        </is>
      </c>
      <c r="E457" t="inlineStr">
        <is>
          <t>NORRTÄLJE</t>
        </is>
      </c>
      <c r="G457" t="n">
        <v>13.1</v>
      </c>
      <c r="H457" t="n">
        <v>0</v>
      </c>
      <c r="I457" t="n">
        <v>0</v>
      </c>
      <c r="J457" t="n">
        <v>0</v>
      </c>
      <c r="K457" t="n">
        <v>0</v>
      </c>
      <c r="L457" t="n">
        <v>0</v>
      </c>
      <c r="M457" t="n">
        <v>0</v>
      </c>
      <c r="N457" t="n">
        <v>0</v>
      </c>
      <c r="O457" t="n">
        <v>0</v>
      </c>
      <c r="P457" t="n">
        <v>0</v>
      </c>
      <c r="Q457" t="n">
        <v>0</v>
      </c>
      <c r="R457" s="2" t="inlineStr"/>
    </row>
    <row r="458" ht="15" customHeight="1">
      <c r="A458" t="inlineStr">
        <is>
          <t>A 12355-2022</t>
        </is>
      </c>
      <c r="B458" s="1" t="n">
        <v>44637</v>
      </c>
      <c r="C458" s="1" t="n">
        <v>45915</v>
      </c>
      <c r="D458" t="inlineStr">
        <is>
          <t>STOCKHOLMS LÄN</t>
        </is>
      </c>
      <c r="E458" t="inlineStr">
        <is>
          <t>NORRTÄLJE</t>
        </is>
      </c>
      <c r="G458" t="n">
        <v>10.4</v>
      </c>
      <c r="H458" t="n">
        <v>0</v>
      </c>
      <c r="I458" t="n">
        <v>0</v>
      </c>
      <c r="J458" t="n">
        <v>0</v>
      </c>
      <c r="K458" t="n">
        <v>0</v>
      </c>
      <c r="L458" t="n">
        <v>0</v>
      </c>
      <c r="M458" t="n">
        <v>0</v>
      </c>
      <c r="N458" t="n">
        <v>0</v>
      </c>
      <c r="O458" t="n">
        <v>0</v>
      </c>
      <c r="P458" t="n">
        <v>0</v>
      </c>
      <c r="Q458" t="n">
        <v>0</v>
      </c>
      <c r="R458" s="2" t="inlineStr"/>
    </row>
    <row r="459" ht="15" customHeight="1">
      <c r="A459" t="inlineStr">
        <is>
          <t>A 55058-2021</t>
        </is>
      </c>
      <c r="B459" s="1" t="n">
        <v>44474.62141203704</v>
      </c>
      <c r="C459" s="1" t="n">
        <v>45915</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40192-2023</t>
        </is>
      </c>
      <c r="B460" s="1" t="n">
        <v>45169</v>
      </c>
      <c r="C460" s="1" t="n">
        <v>45915</v>
      </c>
      <c r="D460" t="inlineStr">
        <is>
          <t>STOCKHOLMS LÄN</t>
        </is>
      </c>
      <c r="E460" t="inlineStr">
        <is>
          <t>NORRTÄLJE</t>
        </is>
      </c>
      <c r="F460" t="inlineStr">
        <is>
          <t>Kyrkan</t>
        </is>
      </c>
      <c r="G460" t="n">
        <v>0.7</v>
      </c>
      <c r="H460" t="n">
        <v>0</v>
      </c>
      <c r="I460" t="n">
        <v>0</v>
      </c>
      <c r="J460" t="n">
        <v>0</v>
      </c>
      <c r="K460" t="n">
        <v>0</v>
      </c>
      <c r="L460" t="n">
        <v>0</v>
      </c>
      <c r="M460" t="n">
        <v>0</v>
      </c>
      <c r="N460" t="n">
        <v>0</v>
      </c>
      <c r="O460" t="n">
        <v>0</v>
      </c>
      <c r="P460" t="n">
        <v>0</v>
      </c>
      <c r="Q460" t="n">
        <v>0</v>
      </c>
      <c r="R460" s="2" t="inlineStr"/>
    </row>
    <row r="461" ht="15" customHeight="1">
      <c r="A461" t="inlineStr">
        <is>
          <t>A 12901-2024</t>
        </is>
      </c>
      <c r="B461" s="1" t="n">
        <v>45385.37922453704</v>
      </c>
      <c r="C461" s="1" t="n">
        <v>45915</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12301-2025</t>
        </is>
      </c>
      <c r="B462" s="1" t="n">
        <v>45729.7271875</v>
      </c>
      <c r="C462" s="1" t="n">
        <v>45915</v>
      </c>
      <c r="D462" t="inlineStr">
        <is>
          <t>STOCKHOLMS LÄN</t>
        </is>
      </c>
      <c r="E462" t="inlineStr">
        <is>
          <t>NORRTÄLJE</t>
        </is>
      </c>
      <c r="G462" t="n">
        <v>3.2</v>
      </c>
      <c r="H462" t="n">
        <v>0</v>
      </c>
      <c r="I462" t="n">
        <v>0</v>
      </c>
      <c r="J462" t="n">
        <v>0</v>
      </c>
      <c r="K462" t="n">
        <v>0</v>
      </c>
      <c r="L462" t="n">
        <v>0</v>
      </c>
      <c r="M462" t="n">
        <v>0</v>
      </c>
      <c r="N462" t="n">
        <v>0</v>
      </c>
      <c r="O462" t="n">
        <v>0</v>
      </c>
      <c r="P462" t="n">
        <v>0</v>
      </c>
      <c r="Q462" t="n">
        <v>0</v>
      </c>
      <c r="R462" s="2" t="inlineStr"/>
    </row>
    <row r="463" ht="15" customHeight="1">
      <c r="A463" t="inlineStr">
        <is>
          <t>A 4035-2023</t>
        </is>
      </c>
      <c r="B463" s="1" t="n">
        <v>44952.57989583333</v>
      </c>
      <c r="C463" s="1" t="n">
        <v>45915</v>
      </c>
      <c r="D463" t="inlineStr">
        <is>
          <t>STOCKHOLMS LÄN</t>
        </is>
      </c>
      <c r="E463" t="inlineStr">
        <is>
          <t>NORRTÄLJE</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34773-2022</t>
        </is>
      </c>
      <c r="B464" s="1" t="n">
        <v>44795</v>
      </c>
      <c r="C464" s="1" t="n">
        <v>45915</v>
      </c>
      <c r="D464" t="inlineStr">
        <is>
          <t>STOCKHOLMS LÄN</t>
        </is>
      </c>
      <c r="E464" t="inlineStr">
        <is>
          <t>NORRTÄLJE</t>
        </is>
      </c>
      <c r="G464" t="n">
        <v>3.9</v>
      </c>
      <c r="H464" t="n">
        <v>0</v>
      </c>
      <c r="I464" t="n">
        <v>0</v>
      </c>
      <c r="J464" t="n">
        <v>0</v>
      </c>
      <c r="K464" t="n">
        <v>0</v>
      </c>
      <c r="L464" t="n">
        <v>0</v>
      </c>
      <c r="M464" t="n">
        <v>0</v>
      </c>
      <c r="N464" t="n">
        <v>0</v>
      </c>
      <c r="O464" t="n">
        <v>0</v>
      </c>
      <c r="P464" t="n">
        <v>0</v>
      </c>
      <c r="Q464" t="n">
        <v>0</v>
      </c>
      <c r="R464" s="2" t="inlineStr"/>
    </row>
    <row r="465" ht="15" customHeight="1">
      <c r="A465" t="inlineStr">
        <is>
          <t>A 26644-2024</t>
        </is>
      </c>
      <c r="B465" s="1" t="n">
        <v>45469</v>
      </c>
      <c r="C465" s="1" t="n">
        <v>45915</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26668-2024</t>
        </is>
      </c>
      <c r="B466" s="1" t="n">
        <v>45469</v>
      </c>
      <c r="C466" s="1" t="n">
        <v>45915</v>
      </c>
      <c r="D466" t="inlineStr">
        <is>
          <t>STOCKHOLMS LÄN</t>
        </is>
      </c>
      <c r="E466" t="inlineStr">
        <is>
          <t>NORRTÄLJE</t>
        </is>
      </c>
      <c r="G466" t="n">
        <v>4.8</v>
      </c>
      <c r="H466" t="n">
        <v>0</v>
      </c>
      <c r="I466" t="n">
        <v>0</v>
      </c>
      <c r="J466" t="n">
        <v>0</v>
      </c>
      <c r="K466" t="n">
        <v>0</v>
      </c>
      <c r="L466" t="n">
        <v>0</v>
      </c>
      <c r="M466" t="n">
        <v>0</v>
      </c>
      <c r="N466" t="n">
        <v>0</v>
      </c>
      <c r="O466" t="n">
        <v>0</v>
      </c>
      <c r="P466" t="n">
        <v>0</v>
      </c>
      <c r="Q466" t="n">
        <v>0</v>
      </c>
      <c r="R466" s="2" t="inlineStr"/>
    </row>
    <row r="467" ht="15" customHeight="1">
      <c r="A467" t="inlineStr">
        <is>
          <t>A 23263-2023</t>
        </is>
      </c>
      <c r="B467" s="1" t="n">
        <v>45075</v>
      </c>
      <c r="C467" s="1" t="n">
        <v>45915</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23264-2023</t>
        </is>
      </c>
      <c r="B468" s="1" t="n">
        <v>45075</v>
      </c>
      <c r="C468" s="1" t="n">
        <v>45915</v>
      </c>
      <c r="D468" t="inlineStr">
        <is>
          <t>STOCKHOLMS LÄN</t>
        </is>
      </c>
      <c r="E468" t="inlineStr">
        <is>
          <t>NORRTÄLJE</t>
        </is>
      </c>
      <c r="G468" t="n">
        <v>2.9</v>
      </c>
      <c r="H468" t="n">
        <v>0</v>
      </c>
      <c r="I468" t="n">
        <v>0</v>
      </c>
      <c r="J468" t="n">
        <v>0</v>
      </c>
      <c r="K468" t="n">
        <v>0</v>
      </c>
      <c r="L468" t="n">
        <v>0</v>
      </c>
      <c r="M468" t="n">
        <v>0</v>
      </c>
      <c r="N468" t="n">
        <v>0</v>
      </c>
      <c r="O468" t="n">
        <v>0</v>
      </c>
      <c r="P468" t="n">
        <v>0</v>
      </c>
      <c r="Q468" t="n">
        <v>0</v>
      </c>
      <c r="R468" s="2" t="inlineStr"/>
    </row>
    <row r="469" ht="15" customHeight="1">
      <c r="A469" t="inlineStr">
        <is>
          <t>A 23267-2023</t>
        </is>
      </c>
      <c r="B469" s="1" t="n">
        <v>45075.90934027778</v>
      </c>
      <c r="C469" s="1" t="n">
        <v>45915</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8950-2025</t>
        </is>
      </c>
      <c r="B470" s="1" t="n">
        <v>45713</v>
      </c>
      <c r="C470" s="1" t="n">
        <v>45915</v>
      </c>
      <c r="D470" t="inlineStr">
        <is>
          <t>STOCKHOLMS LÄN</t>
        </is>
      </c>
      <c r="E470" t="inlineStr">
        <is>
          <t>NORRTÄLJE</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25654-2023</t>
        </is>
      </c>
      <c r="B471" s="1" t="n">
        <v>45089</v>
      </c>
      <c r="C471" s="1" t="n">
        <v>45915</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20730-2024</t>
        </is>
      </c>
      <c r="B472" s="1" t="n">
        <v>45436</v>
      </c>
      <c r="C472" s="1" t="n">
        <v>45915</v>
      </c>
      <c r="D472" t="inlineStr">
        <is>
          <t>STOCKHOLMS LÄN</t>
        </is>
      </c>
      <c r="E472" t="inlineStr">
        <is>
          <t>NORRTÄLJE</t>
        </is>
      </c>
      <c r="G472" t="n">
        <v>7.3</v>
      </c>
      <c r="H472" t="n">
        <v>0</v>
      </c>
      <c r="I472" t="n">
        <v>0</v>
      </c>
      <c r="J472" t="n">
        <v>0</v>
      </c>
      <c r="K472" t="n">
        <v>0</v>
      </c>
      <c r="L472" t="n">
        <v>0</v>
      </c>
      <c r="M472" t="n">
        <v>0</v>
      </c>
      <c r="N472" t="n">
        <v>0</v>
      </c>
      <c r="O472" t="n">
        <v>0</v>
      </c>
      <c r="P472" t="n">
        <v>0</v>
      </c>
      <c r="Q472" t="n">
        <v>0</v>
      </c>
      <c r="R472" s="2" t="inlineStr"/>
    </row>
    <row r="473" ht="15" customHeight="1">
      <c r="A473" t="inlineStr">
        <is>
          <t>A 33175-2024</t>
        </is>
      </c>
      <c r="B473" s="1" t="n">
        <v>45518</v>
      </c>
      <c r="C473" s="1" t="n">
        <v>45915</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13283-2025</t>
        </is>
      </c>
      <c r="B474" s="1" t="n">
        <v>45735</v>
      </c>
      <c r="C474" s="1" t="n">
        <v>45915</v>
      </c>
      <c r="D474" t="inlineStr">
        <is>
          <t>STOCKHOLMS LÄN</t>
        </is>
      </c>
      <c r="E474" t="inlineStr">
        <is>
          <t>NORRTÄLJE</t>
        </is>
      </c>
      <c r="G474" t="n">
        <v>4.9</v>
      </c>
      <c r="H474" t="n">
        <v>0</v>
      </c>
      <c r="I474" t="n">
        <v>0</v>
      </c>
      <c r="J474" t="n">
        <v>0</v>
      </c>
      <c r="K474" t="n">
        <v>0</v>
      </c>
      <c r="L474" t="n">
        <v>0</v>
      </c>
      <c r="M474" t="n">
        <v>0</v>
      </c>
      <c r="N474" t="n">
        <v>0</v>
      </c>
      <c r="O474" t="n">
        <v>0</v>
      </c>
      <c r="P474" t="n">
        <v>0</v>
      </c>
      <c r="Q474" t="n">
        <v>0</v>
      </c>
      <c r="R474" s="2" t="inlineStr"/>
    </row>
    <row r="475" ht="15" customHeight="1">
      <c r="A475" t="inlineStr">
        <is>
          <t>A 27831-2024</t>
        </is>
      </c>
      <c r="B475" s="1" t="n">
        <v>45475.61896990741</v>
      </c>
      <c r="C475" s="1" t="n">
        <v>45915</v>
      </c>
      <c r="D475" t="inlineStr">
        <is>
          <t>STOCKHOLMS LÄN</t>
        </is>
      </c>
      <c r="E475" t="inlineStr">
        <is>
          <t>NORRTÄLJE</t>
        </is>
      </c>
      <c r="G475" t="n">
        <v>3.8</v>
      </c>
      <c r="H475" t="n">
        <v>0</v>
      </c>
      <c r="I475" t="n">
        <v>0</v>
      </c>
      <c r="J475" t="n">
        <v>0</v>
      </c>
      <c r="K475" t="n">
        <v>0</v>
      </c>
      <c r="L475" t="n">
        <v>0</v>
      </c>
      <c r="M475" t="n">
        <v>0</v>
      </c>
      <c r="N475" t="n">
        <v>0</v>
      </c>
      <c r="O475" t="n">
        <v>0</v>
      </c>
      <c r="P475" t="n">
        <v>0</v>
      </c>
      <c r="Q475" t="n">
        <v>0</v>
      </c>
      <c r="R475" s="2" t="inlineStr"/>
    </row>
    <row r="476" ht="15" customHeight="1">
      <c r="A476" t="inlineStr">
        <is>
          <t>A 47758-2023</t>
        </is>
      </c>
      <c r="B476" s="1" t="n">
        <v>45203.83891203703</v>
      </c>
      <c r="C476" s="1" t="n">
        <v>45915</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48151-2024</t>
        </is>
      </c>
      <c r="B477" s="1" t="n">
        <v>45589.68289351852</v>
      </c>
      <c r="C477" s="1" t="n">
        <v>45915</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5831-2022</t>
        </is>
      </c>
      <c r="B478" s="1" t="n">
        <v>44596</v>
      </c>
      <c r="C478" s="1" t="n">
        <v>45915</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58853-2024</t>
        </is>
      </c>
      <c r="B479" s="1" t="n">
        <v>45636.38974537037</v>
      </c>
      <c r="C479" s="1" t="n">
        <v>45915</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37085-2021</t>
        </is>
      </c>
      <c r="B480" s="1" t="n">
        <v>44395</v>
      </c>
      <c r="C480" s="1" t="n">
        <v>45915</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21803-2022</t>
        </is>
      </c>
      <c r="B481" s="1" t="n">
        <v>44708.67822916667</v>
      </c>
      <c r="C481" s="1" t="n">
        <v>45915</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33279-2025</t>
        </is>
      </c>
      <c r="B482" s="1" t="n">
        <v>45840.70885416667</v>
      </c>
      <c r="C482" s="1" t="n">
        <v>45915</v>
      </c>
      <c r="D482" t="inlineStr">
        <is>
          <t>STOCKHOLMS LÄN</t>
        </is>
      </c>
      <c r="E482" t="inlineStr">
        <is>
          <t>NORRTÄLJE</t>
        </is>
      </c>
      <c r="G482" t="n">
        <v>1.8</v>
      </c>
      <c r="H482" t="n">
        <v>0</v>
      </c>
      <c r="I482" t="n">
        <v>0</v>
      </c>
      <c r="J482" t="n">
        <v>0</v>
      </c>
      <c r="K482" t="n">
        <v>0</v>
      </c>
      <c r="L482" t="n">
        <v>0</v>
      </c>
      <c r="M482" t="n">
        <v>0</v>
      </c>
      <c r="N482" t="n">
        <v>0</v>
      </c>
      <c r="O482" t="n">
        <v>0</v>
      </c>
      <c r="P482" t="n">
        <v>0</v>
      </c>
      <c r="Q482" t="n">
        <v>0</v>
      </c>
      <c r="R482" s="2" t="inlineStr"/>
    </row>
    <row r="483" ht="15" customHeight="1">
      <c r="A483" t="inlineStr">
        <is>
          <t>A 24687-2025</t>
        </is>
      </c>
      <c r="B483" s="1" t="n">
        <v>45798.66767361111</v>
      </c>
      <c r="C483" s="1" t="n">
        <v>45915</v>
      </c>
      <c r="D483" t="inlineStr">
        <is>
          <t>STOCKHOLMS LÄN</t>
        </is>
      </c>
      <c r="E483" t="inlineStr">
        <is>
          <t>NORRTÄLJE</t>
        </is>
      </c>
      <c r="G483" t="n">
        <v>0.7</v>
      </c>
      <c r="H483" t="n">
        <v>0</v>
      </c>
      <c r="I483" t="n">
        <v>0</v>
      </c>
      <c r="J483" t="n">
        <v>0</v>
      </c>
      <c r="K483" t="n">
        <v>0</v>
      </c>
      <c r="L483" t="n">
        <v>0</v>
      </c>
      <c r="M483" t="n">
        <v>0</v>
      </c>
      <c r="N483" t="n">
        <v>0</v>
      </c>
      <c r="O483" t="n">
        <v>0</v>
      </c>
      <c r="P483" t="n">
        <v>0</v>
      </c>
      <c r="Q483" t="n">
        <v>0</v>
      </c>
      <c r="R483" s="2" t="inlineStr"/>
    </row>
    <row r="484" ht="15" customHeight="1">
      <c r="A484" t="inlineStr">
        <is>
          <t>A 55890-2020</t>
        </is>
      </c>
      <c r="B484" s="1" t="n">
        <v>44132</v>
      </c>
      <c r="C484" s="1" t="n">
        <v>45915</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22359-2025</t>
        </is>
      </c>
      <c r="B485" s="1" t="n">
        <v>45786</v>
      </c>
      <c r="C485" s="1" t="n">
        <v>45915</v>
      </c>
      <c r="D485" t="inlineStr">
        <is>
          <t>STOCKHOLMS LÄN</t>
        </is>
      </c>
      <c r="E485" t="inlineStr">
        <is>
          <t>NORRTÄLJE</t>
        </is>
      </c>
      <c r="G485" t="n">
        <v>5</v>
      </c>
      <c r="H485" t="n">
        <v>0</v>
      </c>
      <c r="I485" t="n">
        <v>0</v>
      </c>
      <c r="J485" t="n">
        <v>0</v>
      </c>
      <c r="K485" t="n">
        <v>0</v>
      </c>
      <c r="L485" t="n">
        <v>0</v>
      </c>
      <c r="M485" t="n">
        <v>0</v>
      </c>
      <c r="N485" t="n">
        <v>0</v>
      </c>
      <c r="O485" t="n">
        <v>0</v>
      </c>
      <c r="P485" t="n">
        <v>0</v>
      </c>
      <c r="Q485" t="n">
        <v>0</v>
      </c>
      <c r="R485" s="2" t="inlineStr"/>
    </row>
    <row r="486" ht="15" customHeight="1">
      <c r="A486" t="inlineStr">
        <is>
          <t>A 59712-2024</t>
        </is>
      </c>
      <c r="B486" s="1" t="n">
        <v>45639.45166666667</v>
      </c>
      <c r="C486" s="1" t="n">
        <v>45915</v>
      </c>
      <c r="D486" t="inlineStr">
        <is>
          <t>STOCKHOLMS LÄN</t>
        </is>
      </c>
      <c r="E486" t="inlineStr">
        <is>
          <t>NORRTÄLJE</t>
        </is>
      </c>
      <c r="G486" t="n">
        <v>4.4</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45915</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45915</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24683-2025</t>
        </is>
      </c>
      <c r="B489" s="1" t="n">
        <v>45798.66104166667</v>
      </c>
      <c r="C489" s="1" t="n">
        <v>45915</v>
      </c>
      <c r="D489" t="inlineStr">
        <is>
          <t>STOCKHOLMS LÄN</t>
        </is>
      </c>
      <c r="E489" t="inlineStr">
        <is>
          <t>NORRTÄLJE</t>
        </is>
      </c>
      <c r="G489" t="n">
        <v>7.9</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45915</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7565-2022</t>
        </is>
      </c>
      <c r="B491" s="1" t="n">
        <v>44607</v>
      </c>
      <c r="C491" s="1" t="n">
        <v>45915</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59721-2024</t>
        </is>
      </c>
      <c r="B492" s="1" t="n">
        <v>45639.47385416667</v>
      </c>
      <c r="C492" s="1" t="n">
        <v>45915</v>
      </c>
      <c r="D492" t="inlineStr">
        <is>
          <t>STOCKHOLMS LÄN</t>
        </is>
      </c>
      <c r="E492" t="inlineStr">
        <is>
          <t>NORRTÄLJE</t>
        </is>
      </c>
      <c r="G492" t="n">
        <v>4.6</v>
      </c>
      <c r="H492" t="n">
        <v>0</v>
      </c>
      <c r="I492" t="n">
        <v>0</v>
      </c>
      <c r="J492" t="n">
        <v>0</v>
      </c>
      <c r="K492" t="n">
        <v>0</v>
      </c>
      <c r="L492" t="n">
        <v>0</v>
      </c>
      <c r="M492" t="n">
        <v>0</v>
      </c>
      <c r="N492" t="n">
        <v>0</v>
      </c>
      <c r="O492" t="n">
        <v>0</v>
      </c>
      <c r="P492" t="n">
        <v>0</v>
      </c>
      <c r="Q492" t="n">
        <v>0</v>
      </c>
      <c r="R492" s="2" t="inlineStr"/>
    </row>
    <row r="493" ht="15" customHeight="1">
      <c r="A493" t="inlineStr">
        <is>
          <t>A 46988-2024</t>
        </is>
      </c>
      <c r="B493" s="1" t="n">
        <v>45586</v>
      </c>
      <c r="C493" s="1" t="n">
        <v>45915</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60884-2024</t>
        </is>
      </c>
      <c r="B494" s="1" t="n">
        <v>45644.90815972222</v>
      </c>
      <c r="C494" s="1" t="n">
        <v>45915</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71552-2021</t>
        </is>
      </c>
      <c r="B495" s="1" t="n">
        <v>44540</v>
      </c>
      <c r="C495" s="1" t="n">
        <v>45915</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24350-2025</t>
        </is>
      </c>
      <c r="B496" s="1" t="n">
        <v>45797.58350694444</v>
      </c>
      <c r="C496" s="1" t="n">
        <v>45915</v>
      </c>
      <c r="D496" t="inlineStr">
        <is>
          <t>STOCKHOLMS LÄN</t>
        </is>
      </c>
      <c r="E496" t="inlineStr">
        <is>
          <t>NORRTÄLJE</t>
        </is>
      </c>
      <c r="G496" t="n">
        <v>4.5</v>
      </c>
      <c r="H496" t="n">
        <v>0</v>
      </c>
      <c r="I496" t="n">
        <v>0</v>
      </c>
      <c r="J496" t="n">
        <v>0</v>
      </c>
      <c r="K496" t="n">
        <v>0</v>
      </c>
      <c r="L496" t="n">
        <v>0</v>
      </c>
      <c r="M496" t="n">
        <v>0</v>
      </c>
      <c r="N496" t="n">
        <v>0</v>
      </c>
      <c r="O496" t="n">
        <v>0</v>
      </c>
      <c r="P496" t="n">
        <v>0</v>
      </c>
      <c r="Q496" t="n">
        <v>0</v>
      </c>
      <c r="R496" s="2" t="inlineStr"/>
    </row>
    <row r="497" ht="15" customHeight="1">
      <c r="A497" t="inlineStr">
        <is>
          <t>A 17382-2024</t>
        </is>
      </c>
      <c r="B497" s="1" t="n">
        <v>45414.65855324074</v>
      </c>
      <c r="C497" s="1" t="n">
        <v>45915</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41822-2021</t>
        </is>
      </c>
      <c r="B498" s="1" t="n">
        <v>44425</v>
      </c>
      <c r="C498" s="1" t="n">
        <v>45915</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41823-2021</t>
        </is>
      </c>
      <c r="B499" s="1" t="n">
        <v>44425</v>
      </c>
      <c r="C499" s="1" t="n">
        <v>45915</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23150-2024</t>
        </is>
      </c>
      <c r="B500" s="1" t="n">
        <v>45450.64643518518</v>
      </c>
      <c r="C500" s="1" t="n">
        <v>45915</v>
      </c>
      <c r="D500" t="inlineStr">
        <is>
          <t>STOCKHOLMS LÄN</t>
        </is>
      </c>
      <c r="E500" t="inlineStr">
        <is>
          <t>NORRTÄLJE</t>
        </is>
      </c>
      <c r="F500" t="inlineStr">
        <is>
          <t>Kommuner</t>
        </is>
      </c>
      <c r="G500" t="n">
        <v>2.7</v>
      </c>
      <c r="H500" t="n">
        <v>0</v>
      </c>
      <c r="I500" t="n">
        <v>0</v>
      </c>
      <c r="J500" t="n">
        <v>0</v>
      </c>
      <c r="K500" t="n">
        <v>0</v>
      </c>
      <c r="L500" t="n">
        <v>0</v>
      </c>
      <c r="M500" t="n">
        <v>0</v>
      </c>
      <c r="N500" t="n">
        <v>0</v>
      </c>
      <c r="O500" t="n">
        <v>0</v>
      </c>
      <c r="P500" t="n">
        <v>0</v>
      </c>
      <c r="Q500" t="n">
        <v>0</v>
      </c>
      <c r="R500" s="2" t="inlineStr"/>
    </row>
    <row r="501" ht="15" customHeight="1">
      <c r="A501" t="inlineStr">
        <is>
          <t>A 56166-2020</t>
        </is>
      </c>
      <c r="B501" s="1" t="n">
        <v>44133</v>
      </c>
      <c r="C501" s="1" t="n">
        <v>45915</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59878-2024</t>
        </is>
      </c>
      <c r="B502" s="1" t="n">
        <v>45640.60240740741</v>
      </c>
      <c r="C502" s="1" t="n">
        <v>45915</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50182-2024</t>
        </is>
      </c>
      <c r="B503" s="1" t="n">
        <v>45600.47275462963</v>
      </c>
      <c r="C503" s="1" t="n">
        <v>45915</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2549-2022</t>
        </is>
      </c>
      <c r="B504" s="1" t="n">
        <v>44580</v>
      </c>
      <c r="C504" s="1" t="n">
        <v>45915</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25557-2023</t>
        </is>
      </c>
      <c r="B505" s="1" t="n">
        <v>45089</v>
      </c>
      <c r="C505" s="1" t="n">
        <v>45915</v>
      </c>
      <c r="D505" t="inlineStr">
        <is>
          <t>STOCKHOLMS LÄN</t>
        </is>
      </c>
      <c r="E505" t="inlineStr">
        <is>
          <t>NORRTÄLJE</t>
        </is>
      </c>
      <c r="G505" t="n">
        <v>1</v>
      </c>
      <c r="H505" t="n">
        <v>0</v>
      </c>
      <c r="I505" t="n">
        <v>0</v>
      </c>
      <c r="J505" t="n">
        <v>0</v>
      </c>
      <c r="K505" t="n">
        <v>0</v>
      </c>
      <c r="L505" t="n">
        <v>0</v>
      </c>
      <c r="M505" t="n">
        <v>0</v>
      </c>
      <c r="N505" t="n">
        <v>0</v>
      </c>
      <c r="O505" t="n">
        <v>0</v>
      </c>
      <c r="P505" t="n">
        <v>0</v>
      </c>
      <c r="Q505" t="n">
        <v>0</v>
      </c>
      <c r="R505" s="2" t="inlineStr"/>
    </row>
    <row r="506" ht="15" customHeight="1">
      <c r="A506" t="inlineStr">
        <is>
          <t>A 28603-2024</t>
        </is>
      </c>
      <c r="B506" s="1" t="n">
        <v>45478.42887731481</v>
      </c>
      <c r="C506" s="1" t="n">
        <v>45915</v>
      </c>
      <c r="D506" t="inlineStr">
        <is>
          <t>STOCKHOLMS LÄN</t>
        </is>
      </c>
      <c r="E506" t="inlineStr">
        <is>
          <t>NORRTÄLJE</t>
        </is>
      </c>
      <c r="G506" t="n">
        <v>5.6</v>
      </c>
      <c r="H506" t="n">
        <v>0</v>
      </c>
      <c r="I506" t="n">
        <v>0</v>
      </c>
      <c r="J506" t="n">
        <v>0</v>
      </c>
      <c r="K506" t="n">
        <v>0</v>
      </c>
      <c r="L506" t="n">
        <v>0</v>
      </c>
      <c r="M506" t="n">
        <v>0</v>
      </c>
      <c r="N506" t="n">
        <v>0</v>
      </c>
      <c r="O506" t="n">
        <v>0</v>
      </c>
      <c r="P506" t="n">
        <v>0</v>
      </c>
      <c r="Q506" t="n">
        <v>0</v>
      </c>
      <c r="R506" s="2" t="inlineStr"/>
    </row>
    <row r="507" ht="15" customHeight="1">
      <c r="A507" t="inlineStr">
        <is>
          <t>A 31140-2023</t>
        </is>
      </c>
      <c r="B507" s="1" t="n">
        <v>45113</v>
      </c>
      <c r="C507" s="1" t="n">
        <v>45915</v>
      </c>
      <c r="D507" t="inlineStr">
        <is>
          <t>STOCKHOLMS LÄN</t>
        </is>
      </c>
      <c r="E507" t="inlineStr">
        <is>
          <t>NORRTÄLJE</t>
        </is>
      </c>
      <c r="G507" t="n">
        <v>1.3</v>
      </c>
      <c r="H507" t="n">
        <v>0</v>
      </c>
      <c r="I507" t="n">
        <v>0</v>
      </c>
      <c r="J507" t="n">
        <v>0</v>
      </c>
      <c r="K507" t="n">
        <v>0</v>
      </c>
      <c r="L507" t="n">
        <v>0</v>
      </c>
      <c r="M507" t="n">
        <v>0</v>
      </c>
      <c r="N507" t="n">
        <v>0</v>
      </c>
      <c r="O507" t="n">
        <v>0</v>
      </c>
      <c r="P507" t="n">
        <v>0</v>
      </c>
      <c r="Q507" t="n">
        <v>0</v>
      </c>
      <c r="R507" s="2" t="inlineStr"/>
    </row>
    <row r="508" ht="15" customHeight="1">
      <c r="A508" t="inlineStr">
        <is>
          <t>A 31149-2023</t>
        </is>
      </c>
      <c r="B508" s="1" t="n">
        <v>45113</v>
      </c>
      <c r="C508" s="1" t="n">
        <v>45915</v>
      </c>
      <c r="D508" t="inlineStr">
        <is>
          <t>STOCKHOLMS LÄN</t>
        </is>
      </c>
      <c r="E508" t="inlineStr">
        <is>
          <t>NORRTÄLJE</t>
        </is>
      </c>
      <c r="G508" t="n">
        <v>7.1</v>
      </c>
      <c r="H508" t="n">
        <v>0</v>
      </c>
      <c r="I508" t="n">
        <v>0</v>
      </c>
      <c r="J508" t="n">
        <v>0</v>
      </c>
      <c r="K508" t="n">
        <v>0</v>
      </c>
      <c r="L508" t="n">
        <v>0</v>
      </c>
      <c r="M508" t="n">
        <v>0</v>
      </c>
      <c r="N508" t="n">
        <v>0</v>
      </c>
      <c r="O508" t="n">
        <v>0</v>
      </c>
      <c r="P508" t="n">
        <v>0</v>
      </c>
      <c r="Q508" t="n">
        <v>0</v>
      </c>
      <c r="R508" s="2" t="inlineStr"/>
    </row>
    <row r="509" ht="15" customHeight="1">
      <c r="A509" t="inlineStr">
        <is>
          <t>A 16835-2022</t>
        </is>
      </c>
      <c r="B509" s="1" t="n">
        <v>44673</v>
      </c>
      <c r="C509" s="1" t="n">
        <v>45915</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9914-2023</t>
        </is>
      </c>
      <c r="B510" s="1" t="n">
        <v>44985</v>
      </c>
      <c r="C510" s="1" t="n">
        <v>45915</v>
      </c>
      <c r="D510" t="inlineStr">
        <is>
          <t>STOCKHOLMS LÄN</t>
        </is>
      </c>
      <c r="E510" t="inlineStr">
        <is>
          <t>NORRTÄLJE</t>
        </is>
      </c>
      <c r="G510" t="n">
        <v>4.2</v>
      </c>
      <c r="H510" t="n">
        <v>0</v>
      </c>
      <c r="I510" t="n">
        <v>0</v>
      </c>
      <c r="J510" t="n">
        <v>0</v>
      </c>
      <c r="K510" t="n">
        <v>0</v>
      </c>
      <c r="L510" t="n">
        <v>0</v>
      </c>
      <c r="M510" t="n">
        <v>0</v>
      </c>
      <c r="N510" t="n">
        <v>0</v>
      </c>
      <c r="O510" t="n">
        <v>0</v>
      </c>
      <c r="P510" t="n">
        <v>0</v>
      </c>
      <c r="Q510" t="n">
        <v>0</v>
      </c>
      <c r="R510" s="2" t="inlineStr"/>
    </row>
    <row r="511" ht="15" customHeight="1">
      <c r="A511" t="inlineStr">
        <is>
          <t>A 60525-2022</t>
        </is>
      </c>
      <c r="B511" s="1" t="n">
        <v>44904</v>
      </c>
      <c r="C511" s="1" t="n">
        <v>45915</v>
      </c>
      <c r="D511" t="inlineStr">
        <is>
          <t>STOCKHOLMS LÄN</t>
        </is>
      </c>
      <c r="E511" t="inlineStr">
        <is>
          <t>NORRTÄLJE</t>
        </is>
      </c>
      <c r="G511" t="n">
        <v>13.4</v>
      </c>
      <c r="H511" t="n">
        <v>0</v>
      </c>
      <c r="I511" t="n">
        <v>0</v>
      </c>
      <c r="J511" t="n">
        <v>0</v>
      </c>
      <c r="K511" t="n">
        <v>0</v>
      </c>
      <c r="L511" t="n">
        <v>0</v>
      </c>
      <c r="M511" t="n">
        <v>0</v>
      </c>
      <c r="N511" t="n">
        <v>0</v>
      </c>
      <c r="O511" t="n">
        <v>0</v>
      </c>
      <c r="P511" t="n">
        <v>0</v>
      </c>
      <c r="Q511" t="n">
        <v>0</v>
      </c>
      <c r="R511" s="2" t="inlineStr"/>
    </row>
    <row r="512" ht="15" customHeight="1">
      <c r="A512" t="inlineStr">
        <is>
          <t>A 25702-2025</t>
        </is>
      </c>
      <c r="B512" s="1" t="n">
        <v>45800</v>
      </c>
      <c r="C512" s="1" t="n">
        <v>45915</v>
      </c>
      <c r="D512" t="inlineStr">
        <is>
          <t>STOCKHOLMS LÄN</t>
        </is>
      </c>
      <c r="E512" t="inlineStr">
        <is>
          <t>NORRTÄLJE</t>
        </is>
      </c>
      <c r="G512" t="n">
        <v>5.3</v>
      </c>
      <c r="H512" t="n">
        <v>0</v>
      </c>
      <c r="I512" t="n">
        <v>0</v>
      </c>
      <c r="J512" t="n">
        <v>0</v>
      </c>
      <c r="K512" t="n">
        <v>0</v>
      </c>
      <c r="L512" t="n">
        <v>0</v>
      </c>
      <c r="M512" t="n">
        <v>0</v>
      </c>
      <c r="N512" t="n">
        <v>0</v>
      </c>
      <c r="O512" t="n">
        <v>0</v>
      </c>
      <c r="P512" t="n">
        <v>0</v>
      </c>
      <c r="Q512" t="n">
        <v>0</v>
      </c>
      <c r="R512" s="2" t="inlineStr"/>
    </row>
    <row r="513" ht="15" customHeight="1">
      <c r="A513" t="inlineStr">
        <is>
          <t>A 13701-2022</t>
        </is>
      </c>
      <c r="B513" s="1" t="n">
        <v>44648</v>
      </c>
      <c r="C513" s="1" t="n">
        <v>45915</v>
      </c>
      <c r="D513" t="inlineStr">
        <is>
          <t>STOCKHOLMS LÄN</t>
        </is>
      </c>
      <c r="E513" t="inlineStr">
        <is>
          <t>NORRTÄLJE</t>
        </is>
      </c>
      <c r="G513" t="n">
        <v>1.6</v>
      </c>
      <c r="H513" t="n">
        <v>0</v>
      </c>
      <c r="I513" t="n">
        <v>0</v>
      </c>
      <c r="J513" t="n">
        <v>0</v>
      </c>
      <c r="K513" t="n">
        <v>0</v>
      </c>
      <c r="L513" t="n">
        <v>0</v>
      </c>
      <c r="M513" t="n">
        <v>0</v>
      </c>
      <c r="N513" t="n">
        <v>0</v>
      </c>
      <c r="O513" t="n">
        <v>0</v>
      </c>
      <c r="P513" t="n">
        <v>0</v>
      </c>
      <c r="Q513" t="n">
        <v>0</v>
      </c>
      <c r="R513" s="2" t="inlineStr"/>
    </row>
    <row r="514" ht="15" customHeight="1">
      <c r="A514" t="inlineStr">
        <is>
          <t>A 13089-2022</t>
        </is>
      </c>
      <c r="B514" s="1" t="n">
        <v>44643</v>
      </c>
      <c r="C514" s="1" t="n">
        <v>45915</v>
      </c>
      <c r="D514" t="inlineStr">
        <is>
          <t>STOCKHOLMS LÄN</t>
        </is>
      </c>
      <c r="E514" t="inlineStr">
        <is>
          <t>NORRTÄLJE</t>
        </is>
      </c>
      <c r="G514" t="n">
        <v>4.5</v>
      </c>
      <c r="H514" t="n">
        <v>0</v>
      </c>
      <c r="I514" t="n">
        <v>0</v>
      </c>
      <c r="J514" t="n">
        <v>0</v>
      </c>
      <c r="K514" t="n">
        <v>0</v>
      </c>
      <c r="L514" t="n">
        <v>0</v>
      </c>
      <c r="M514" t="n">
        <v>0</v>
      </c>
      <c r="N514" t="n">
        <v>0</v>
      </c>
      <c r="O514" t="n">
        <v>0</v>
      </c>
      <c r="P514" t="n">
        <v>0</v>
      </c>
      <c r="Q514" t="n">
        <v>0</v>
      </c>
      <c r="R514" s="2" t="inlineStr"/>
    </row>
    <row r="515" ht="15" customHeight="1">
      <c r="A515" t="inlineStr">
        <is>
          <t>A 25709-2025</t>
        </is>
      </c>
      <c r="B515" s="1" t="n">
        <v>45800</v>
      </c>
      <c r="C515" s="1" t="n">
        <v>45915</v>
      </c>
      <c r="D515" t="inlineStr">
        <is>
          <t>STOCKHOLMS LÄN</t>
        </is>
      </c>
      <c r="E515" t="inlineStr">
        <is>
          <t>NORRTÄLJE</t>
        </is>
      </c>
      <c r="G515" t="n">
        <v>4.6</v>
      </c>
      <c r="H515" t="n">
        <v>0</v>
      </c>
      <c r="I515" t="n">
        <v>0</v>
      </c>
      <c r="J515" t="n">
        <v>0</v>
      </c>
      <c r="K515" t="n">
        <v>0</v>
      </c>
      <c r="L515" t="n">
        <v>0</v>
      </c>
      <c r="M515" t="n">
        <v>0</v>
      </c>
      <c r="N515" t="n">
        <v>0</v>
      </c>
      <c r="O515" t="n">
        <v>0</v>
      </c>
      <c r="P515" t="n">
        <v>0</v>
      </c>
      <c r="Q515" t="n">
        <v>0</v>
      </c>
      <c r="R515" s="2" t="inlineStr"/>
    </row>
    <row r="516" ht="15" customHeight="1">
      <c r="A516" t="inlineStr">
        <is>
          <t>A 25721-2025</t>
        </is>
      </c>
      <c r="B516" s="1" t="n">
        <v>45800</v>
      </c>
      <c r="C516" s="1" t="n">
        <v>45915</v>
      </c>
      <c r="D516" t="inlineStr">
        <is>
          <t>STOCKHOLMS LÄN</t>
        </is>
      </c>
      <c r="E516" t="inlineStr">
        <is>
          <t>NORRTÄLJE</t>
        </is>
      </c>
      <c r="G516" t="n">
        <v>6</v>
      </c>
      <c r="H516" t="n">
        <v>0</v>
      </c>
      <c r="I516" t="n">
        <v>0</v>
      </c>
      <c r="J516" t="n">
        <v>0</v>
      </c>
      <c r="K516" t="n">
        <v>0</v>
      </c>
      <c r="L516" t="n">
        <v>0</v>
      </c>
      <c r="M516" t="n">
        <v>0</v>
      </c>
      <c r="N516" t="n">
        <v>0</v>
      </c>
      <c r="O516" t="n">
        <v>0</v>
      </c>
      <c r="P516" t="n">
        <v>0</v>
      </c>
      <c r="Q516" t="n">
        <v>0</v>
      </c>
      <c r="R516" s="2" t="inlineStr"/>
    </row>
    <row r="517" ht="15" customHeight="1">
      <c r="A517" t="inlineStr">
        <is>
          <t>A 57987-2020</t>
        </is>
      </c>
      <c r="B517" s="1" t="n">
        <v>44143</v>
      </c>
      <c r="C517" s="1" t="n">
        <v>45915</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58302-2022</t>
        </is>
      </c>
      <c r="B518" s="1" t="n">
        <v>44901</v>
      </c>
      <c r="C518" s="1" t="n">
        <v>45915</v>
      </c>
      <c r="D518" t="inlineStr">
        <is>
          <t>STOCKHOLMS LÄN</t>
        </is>
      </c>
      <c r="E518" t="inlineStr">
        <is>
          <t>NORRTÄLJE</t>
        </is>
      </c>
      <c r="G518" t="n">
        <v>3.9</v>
      </c>
      <c r="H518" t="n">
        <v>0</v>
      </c>
      <c r="I518" t="n">
        <v>0</v>
      </c>
      <c r="J518" t="n">
        <v>0</v>
      </c>
      <c r="K518" t="n">
        <v>0</v>
      </c>
      <c r="L518" t="n">
        <v>0</v>
      </c>
      <c r="M518" t="n">
        <v>0</v>
      </c>
      <c r="N518" t="n">
        <v>0</v>
      </c>
      <c r="O518" t="n">
        <v>0</v>
      </c>
      <c r="P518" t="n">
        <v>0</v>
      </c>
      <c r="Q518" t="n">
        <v>0</v>
      </c>
      <c r="R518" s="2" t="inlineStr"/>
    </row>
    <row r="519" ht="15" customHeight="1">
      <c r="A519" t="inlineStr">
        <is>
          <t>A 24835-2025</t>
        </is>
      </c>
      <c r="B519" s="1" t="n">
        <v>45799</v>
      </c>
      <c r="C519" s="1" t="n">
        <v>45915</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25733-2025</t>
        </is>
      </c>
      <c r="B520" s="1" t="n">
        <v>45800</v>
      </c>
      <c r="C520" s="1" t="n">
        <v>45915</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25725-2025</t>
        </is>
      </c>
      <c r="B521" s="1" t="n">
        <v>45800</v>
      </c>
      <c r="C521" s="1" t="n">
        <v>45915</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25571-2025</t>
        </is>
      </c>
      <c r="B522" s="1" t="n">
        <v>45803.4675</v>
      </c>
      <c r="C522" s="1" t="n">
        <v>45915</v>
      </c>
      <c r="D522" t="inlineStr">
        <is>
          <t>STOCKHOLMS LÄN</t>
        </is>
      </c>
      <c r="E522" t="inlineStr">
        <is>
          <t>NORRTÄLJE</t>
        </is>
      </c>
      <c r="G522" t="n">
        <v>5.4</v>
      </c>
      <c r="H522" t="n">
        <v>0</v>
      </c>
      <c r="I522" t="n">
        <v>0</v>
      </c>
      <c r="J522" t="n">
        <v>0</v>
      </c>
      <c r="K522" t="n">
        <v>0</v>
      </c>
      <c r="L522" t="n">
        <v>0</v>
      </c>
      <c r="M522" t="n">
        <v>0</v>
      </c>
      <c r="N522" t="n">
        <v>0</v>
      </c>
      <c r="O522" t="n">
        <v>0</v>
      </c>
      <c r="P522" t="n">
        <v>0</v>
      </c>
      <c r="Q522" t="n">
        <v>0</v>
      </c>
      <c r="R522" s="2" t="inlineStr"/>
    </row>
    <row r="523" ht="15" customHeight="1">
      <c r="A523" t="inlineStr">
        <is>
          <t>A 38759-2022</t>
        </is>
      </c>
      <c r="B523" s="1" t="n">
        <v>44816</v>
      </c>
      <c r="C523" s="1" t="n">
        <v>45915</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23998-2024</t>
        </is>
      </c>
      <c r="B524" s="1" t="n">
        <v>45456</v>
      </c>
      <c r="C524" s="1" t="n">
        <v>45915</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54504-2024</t>
        </is>
      </c>
      <c r="B525" s="1" t="n">
        <v>45617.58453703704</v>
      </c>
      <c r="C525" s="1" t="n">
        <v>45915</v>
      </c>
      <c r="D525" t="inlineStr">
        <is>
          <t>STOCKHOLMS LÄN</t>
        </is>
      </c>
      <c r="E525" t="inlineStr">
        <is>
          <t>NORRTÄLJE</t>
        </is>
      </c>
      <c r="G525" t="n">
        <v>3.4</v>
      </c>
      <c r="H525" t="n">
        <v>0</v>
      </c>
      <c r="I525" t="n">
        <v>0</v>
      </c>
      <c r="J525" t="n">
        <v>0</v>
      </c>
      <c r="K525" t="n">
        <v>0</v>
      </c>
      <c r="L525" t="n">
        <v>0</v>
      </c>
      <c r="M525" t="n">
        <v>0</v>
      </c>
      <c r="N525" t="n">
        <v>0</v>
      </c>
      <c r="O525" t="n">
        <v>0</v>
      </c>
      <c r="P525" t="n">
        <v>0</v>
      </c>
      <c r="Q525" t="n">
        <v>0</v>
      </c>
      <c r="R525" s="2" t="inlineStr"/>
    </row>
    <row r="526" ht="15" customHeight="1">
      <c r="A526" t="inlineStr">
        <is>
          <t>A 53561-2023</t>
        </is>
      </c>
      <c r="B526" s="1" t="n">
        <v>45224</v>
      </c>
      <c r="C526" s="1" t="n">
        <v>45915</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25270-2025</t>
        </is>
      </c>
      <c r="B527" s="1" t="n">
        <v>45800</v>
      </c>
      <c r="C527" s="1" t="n">
        <v>45915</v>
      </c>
      <c r="D527" t="inlineStr">
        <is>
          <t>STOCKHOLMS LÄN</t>
        </is>
      </c>
      <c r="E527" t="inlineStr">
        <is>
          <t>NORRTÄLJE</t>
        </is>
      </c>
      <c r="F527" t="inlineStr">
        <is>
          <t>Övriga Aktiebolag</t>
        </is>
      </c>
      <c r="G527" t="n">
        <v>30</v>
      </c>
      <c r="H527" t="n">
        <v>0</v>
      </c>
      <c r="I527" t="n">
        <v>0</v>
      </c>
      <c r="J527" t="n">
        <v>0</v>
      </c>
      <c r="K527" t="n">
        <v>0</v>
      </c>
      <c r="L527" t="n">
        <v>0</v>
      </c>
      <c r="M527" t="n">
        <v>0</v>
      </c>
      <c r="N527" t="n">
        <v>0</v>
      </c>
      <c r="O527" t="n">
        <v>0</v>
      </c>
      <c r="P527" t="n">
        <v>0</v>
      </c>
      <c r="Q527" t="n">
        <v>0</v>
      </c>
      <c r="R527" s="2" t="inlineStr"/>
    </row>
    <row r="528" ht="15" customHeight="1">
      <c r="A528" t="inlineStr">
        <is>
          <t>A 4860-2022</t>
        </is>
      </c>
      <c r="B528" s="1" t="n">
        <v>44592</v>
      </c>
      <c r="C528" s="1" t="n">
        <v>45915</v>
      </c>
      <c r="D528" t="inlineStr">
        <is>
          <t>STOCKHOLMS LÄN</t>
        </is>
      </c>
      <c r="E528" t="inlineStr">
        <is>
          <t>NORRTÄLJE</t>
        </is>
      </c>
      <c r="G528" t="n">
        <v>22.3</v>
      </c>
      <c r="H528" t="n">
        <v>0</v>
      </c>
      <c r="I528" t="n">
        <v>0</v>
      </c>
      <c r="J528" t="n">
        <v>0</v>
      </c>
      <c r="K528" t="n">
        <v>0</v>
      </c>
      <c r="L528" t="n">
        <v>0</v>
      </c>
      <c r="M528" t="n">
        <v>0</v>
      </c>
      <c r="N528" t="n">
        <v>0</v>
      </c>
      <c r="O528" t="n">
        <v>0</v>
      </c>
      <c r="P528" t="n">
        <v>0</v>
      </c>
      <c r="Q528" t="n">
        <v>0</v>
      </c>
      <c r="R528" s="2" t="inlineStr"/>
    </row>
    <row r="529" ht="15" customHeight="1">
      <c r="A529" t="inlineStr">
        <is>
          <t>A 25712-2025</t>
        </is>
      </c>
      <c r="B529" s="1" t="n">
        <v>45803.69228009259</v>
      </c>
      <c r="C529" s="1" t="n">
        <v>45915</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41218-2024</t>
        </is>
      </c>
      <c r="B530" s="1" t="n">
        <v>45559.54706018518</v>
      </c>
      <c r="C530" s="1" t="n">
        <v>45915</v>
      </c>
      <c r="D530" t="inlineStr">
        <is>
          <t>STOCKHOLMS LÄN</t>
        </is>
      </c>
      <c r="E530" t="inlineStr">
        <is>
          <t>NORRTÄLJE</t>
        </is>
      </c>
      <c r="G530" t="n">
        <v>6</v>
      </c>
      <c r="H530" t="n">
        <v>0</v>
      </c>
      <c r="I530" t="n">
        <v>0</v>
      </c>
      <c r="J530" t="n">
        <v>0</v>
      </c>
      <c r="K530" t="n">
        <v>0</v>
      </c>
      <c r="L530" t="n">
        <v>0</v>
      </c>
      <c r="M530" t="n">
        <v>0</v>
      </c>
      <c r="N530" t="n">
        <v>0</v>
      </c>
      <c r="O530" t="n">
        <v>0</v>
      </c>
      <c r="P530" t="n">
        <v>0</v>
      </c>
      <c r="Q530" t="n">
        <v>0</v>
      </c>
      <c r="R530" s="2" t="inlineStr"/>
    </row>
    <row r="531" ht="15" customHeight="1">
      <c r="A531" t="inlineStr">
        <is>
          <t>A 32595-2023</t>
        </is>
      </c>
      <c r="B531" s="1" t="n">
        <v>45121</v>
      </c>
      <c r="C531" s="1" t="n">
        <v>45915</v>
      </c>
      <c r="D531" t="inlineStr">
        <is>
          <t>STOCKHOLMS LÄN</t>
        </is>
      </c>
      <c r="E531" t="inlineStr">
        <is>
          <t>NORRTÄLJE</t>
        </is>
      </c>
      <c r="G531" t="n">
        <v>2.4</v>
      </c>
      <c r="H531" t="n">
        <v>0</v>
      </c>
      <c r="I531" t="n">
        <v>0</v>
      </c>
      <c r="J531" t="n">
        <v>0</v>
      </c>
      <c r="K531" t="n">
        <v>0</v>
      </c>
      <c r="L531" t="n">
        <v>0</v>
      </c>
      <c r="M531" t="n">
        <v>0</v>
      </c>
      <c r="N531" t="n">
        <v>0</v>
      </c>
      <c r="O531" t="n">
        <v>0</v>
      </c>
      <c r="P531" t="n">
        <v>0</v>
      </c>
      <c r="Q531" t="n">
        <v>0</v>
      </c>
      <c r="R531" s="2" t="inlineStr"/>
    </row>
    <row r="532" ht="15" customHeight="1">
      <c r="A532" t="inlineStr">
        <is>
          <t>A 23269-2023</t>
        </is>
      </c>
      <c r="B532" s="1" t="n">
        <v>45075.91148148148</v>
      </c>
      <c r="C532" s="1" t="n">
        <v>45915</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26051-2025</t>
        </is>
      </c>
      <c r="B533" s="1" t="n">
        <v>45804.74479166666</v>
      </c>
      <c r="C533" s="1" t="n">
        <v>45915</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11332-2025</t>
        </is>
      </c>
      <c r="B534" s="1" t="n">
        <v>45726.48152777777</v>
      </c>
      <c r="C534" s="1" t="n">
        <v>45915</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39238-2024</t>
        </is>
      </c>
      <c r="B535" s="1" t="n">
        <v>45549</v>
      </c>
      <c r="C535" s="1" t="n">
        <v>45915</v>
      </c>
      <c r="D535" t="inlineStr">
        <is>
          <t>STOCKHOLMS LÄN</t>
        </is>
      </c>
      <c r="E535" t="inlineStr">
        <is>
          <t>NORRTÄLJE</t>
        </is>
      </c>
      <c r="G535" t="n">
        <v>3.6</v>
      </c>
      <c r="H535" t="n">
        <v>0</v>
      </c>
      <c r="I535" t="n">
        <v>0</v>
      </c>
      <c r="J535" t="n">
        <v>0</v>
      </c>
      <c r="K535" t="n">
        <v>0</v>
      </c>
      <c r="L535" t="n">
        <v>0</v>
      </c>
      <c r="M535" t="n">
        <v>0</v>
      </c>
      <c r="N535" t="n">
        <v>0</v>
      </c>
      <c r="O535" t="n">
        <v>0</v>
      </c>
      <c r="P535" t="n">
        <v>0</v>
      </c>
      <c r="Q535" t="n">
        <v>0</v>
      </c>
      <c r="R535" s="2" t="inlineStr"/>
    </row>
    <row r="536" ht="15" customHeight="1">
      <c r="A536" t="inlineStr">
        <is>
          <t>A 38449-2022</t>
        </is>
      </c>
      <c r="B536" s="1" t="n">
        <v>44813</v>
      </c>
      <c r="C536" s="1" t="n">
        <v>45915</v>
      </c>
      <c r="D536" t="inlineStr">
        <is>
          <t>STOCKHOLMS LÄN</t>
        </is>
      </c>
      <c r="E536" t="inlineStr">
        <is>
          <t>NORRTÄLJE</t>
        </is>
      </c>
      <c r="G536" t="n">
        <v>4.2</v>
      </c>
      <c r="H536" t="n">
        <v>0</v>
      </c>
      <c r="I536" t="n">
        <v>0</v>
      </c>
      <c r="J536" t="n">
        <v>0</v>
      </c>
      <c r="K536" t="n">
        <v>0</v>
      </c>
      <c r="L536" t="n">
        <v>0</v>
      </c>
      <c r="M536" t="n">
        <v>0</v>
      </c>
      <c r="N536" t="n">
        <v>0</v>
      </c>
      <c r="O536" t="n">
        <v>0</v>
      </c>
      <c r="P536" t="n">
        <v>0</v>
      </c>
      <c r="Q536" t="n">
        <v>0</v>
      </c>
      <c r="R536" s="2" t="inlineStr"/>
    </row>
    <row r="537" ht="15" customHeight="1">
      <c r="A537" t="inlineStr">
        <is>
          <t>A 23060-2023</t>
        </is>
      </c>
      <c r="B537" s="1" t="n">
        <v>45075</v>
      </c>
      <c r="C537" s="1" t="n">
        <v>45915</v>
      </c>
      <c r="D537" t="inlineStr">
        <is>
          <t>STOCKHOLMS LÄN</t>
        </is>
      </c>
      <c r="E537" t="inlineStr">
        <is>
          <t>NORRTÄLJE</t>
        </is>
      </c>
      <c r="G537" t="n">
        <v>0.5</v>
      </c>
      <c r="H537" t="n">
        <v>0</v>
      </c>
      <c r="I537" t="n">
        <v>0</v>
      </c>
      <c r="J537" t="n">
        <v>0</v>
      </c>
      <c r="K537" t="n">
        <v>0</v>
      </c>
      <c r="L537" t="n">
        <v>0</v>
      </c>
      <c r="M537" t="n">
        <v>0</v>
      </c>
      <c r="N537" t="n">
        <v>0</v>
      </c>
      <c r="O537" t="n">
        <v>0</v>
      </c>
      <c r="P537" t="n">
        <v>0</v>
      </c>
      <c r="Q537" t="n">
        <v>0</v>
      </c>
      <c r="R537" s="2" t="inlineStr"/>
    </row>
    <row r="538" ht="15" customHeight="1">
      <c r="A538" t="inlineStr">
        <is>
          <t>A 25697-2025</t>
        </is>
      </c>
      <c r="B538" s="1" t="n">
        <v>45803.66587962963</v>
      </c>
      <c r="C538" s="1" t="n">
        <v>45915</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58661-2020</t>
        </is>
      </c>
      <c r="B539" s="1" t="n">
        <v>44145</v>
      </c>
      <c r="C539" s="1" t="n">
        <v>45915</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47259-2024</t>
        </is>
      </c>
      <c r="B540" s="1" t="n">
        <v>45586</v>
      </c>
      <c r="C540" s="1" t="n">
        <v>45915</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13718-2022</t>
        </is>
      </c>
      <c r="B541" s="1" t="n">
        <v>44649</v>
      </c>
      <c r="C541" s="1" t="n">
        <v>45915</v>
      </c>
      <c r="D541" t="inlineStr">
        <is>
          <t>STOCKHOLMS LÄN</t>
        </is>
      </c>
      <c r="E541" t="inlineStr">
        <is>
          <t>NORRTÄLJE</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61363-2020</t>
        </is>
      </c>
      <c r="B542" s="1" t="n">
        <v>44155.69458333333</v>
      </c>
      <c r="C542" s="1" t="n">
        <v>45915</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52743-2024</t>
        </is>
      </c>
      <c r="B543" s="1" t="n">
        <v>45610.47414351852</v>
      </c>
      <c r="C543" s="1" t="n">
        <v>45915</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34478-2025</t>
        </is>
      </c>
      <c r="B544" s="1" t="n">
        <v>45847.37414351852</v>
      </c>
      <c r="C544" s="1" t="n">
        <v>45915</v>
      </c>
      <c r="D544" t="inlineStr">
        <is>
          <t>STOCKHOLMS LÄN</t>
        </is>
      </c>
      <c r="E544" t="inlineStr">
        <is>
          <t>NORRTÄLJE</t>
        </is>
      </c>
      <c r="F544" t="inlineStr">
        <is>
          <t>Övriga Aktiebolag</t>
        </is>
      </c>
      <c r="G544" t="n">
        <v>10.8</v>
      </c>
      <c r="H544" t="n">
        <v>0</v>
      </c>
      <c r="I544" t="n">
        <v>0</v>
      </c>
      <c r="J544" t="n">
        <v>0</v>
      </c>
      <c r="K544" t="n">
        <v>0</v>
      </c>
      <c r="L544" t="n">
        <v>0</v>
      </c>
      <c r="M544" t="n">
        <v>0</v>
      </c>
      <c r="N544" t="n">
        <v>0</v>
      </c>
      <c r="O544" t="n">
        <v>0</v>
      </c>
      <c r="P544" t="n">
        <v>0</v>
      </c>
      <c r="Q544" t="n">
        <v>0</v>
      </c>
      <c r="R544" s="2" t="inlineStr"/>
    </row>
    <row r="545" ht="15" customHeight="1">
      <c r="A545" t="inlineStr">
        <is>
          <t>A 54259-2023</t>
        </is>
      </c>
      <c r="B545" s="1" t="n">
        <v>45232</v>
      </c>
      <c r="C545" s="1" t="n">
        <v>45915</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11499-2023</t>
        </is>
      </c>
      <c r="B546" s="1" t="n">
        <v>44993.66707175926</v>
      </c>
      <c r="C546" s="1" t="n">
        <v>45915</v>
      </c>
      <c r="D546" t="inlineStr">
        <is>
          <t>STOCKHOLMS LÄN</t>
        </is>
      </c>
      <c r="E546" t="inlineStr">
        <is>
          <t>NORRTÄLJE</t>
        </is>
      </c>
      <c r="F546" t="inlineStr">
        <is>
          <t>Holmen skog AB</t>
        </is>
      </c>
      <c r="G546" t="n">
        <v>2.8</v>
      </c>
      <c r="H546" t="n">
        <v>0</v>
      </c>
      <c r="I546" t="n">
        <v>0</v>
      </c>
      <c r="J546" t="n">
        <v>0</v>
      </c>
      <c r="K546" t="n">
        <v>0</v>
      </c>
      <c r="L546" t="n">
        <v>0</v>
      </c>
      <c r="M546" t="n">
        <v>0</v>
      </c>
      <c r="N546" t="n">
        <v>0</v>
      </c>
      <c r="O546" t="n">
        <v>0</v>
      </c>
      <c r="P546" t="n">
        <v>0</v>
      </c>
      <c r="Q546" t="n">
        <v>0</v>
      </c>
      <c r="R546" s="2" t="inlineStr"/>
    </row>
    <row r="547" ht="15" customHeight="1">
      <c r="A547" t="inlineStr">
        <is>
          <t>A 13171-2025</t>
        </is>
      </c>
      <c r="B547" s="1" t="n">
        <v>45735.36594907408</v>
      </c>
      <c r="C547" s="1" t="n">
        <v>45915</v>
      </c>
      <c r="D547" t="inlineStr">
        <is>
          <t>STOCKHOLMS LÄN</t>
        </is>
      </c>
      <c r="E547" t="inlineStr">
        <is>
          <t>NORRTÄLJE</t>
        </is>
      </c>
      <c r="G547" t="n">
        <v>5.1</v>
      </c>
      <c r="H547" t="n">
        <v>0</v>
      </c>
      <c r="I547" t="n">
        <v>0</v>
      </c>
      <c r="J547" t="n">
        <v>0</v>
      </c>
      <c r="K547" t="n">
        <v>0</v>
      </c>
      <c r="L547" t="n">
        <v>0</v>
      </c>
      <c r="M547" t="n">
        <v>0</v>
      </c>
      <c r="N547" t="n">
        <v>0</v>
      </c>
      <c r="O547" t="n">
        <v>0</v>
      </c>
      <c r="P547" t="n">
        <v>0</v>
      </c>
      <c r="Q547" t="n">
        <v>0</v>
      </c>
      <c r="R547" s="2" t="inlineStr"/>
    </row>
    <row r="548" ht="15" customHeight="1">
      <c r="A548" t="inlineStr">
        <is>
          <t>A 53652-2020</t>
        </is>
      </c>
      <c r="B548" s="1" t="n">
        <v>44124</v>
      </c>
      <c r="C548" s="1" t="n">
        <v>45915</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12299-2025</t>
        </is>
      </c>
      <c r="B549" s="1" t="n">
        <v>45729.71065972222</v>
      </c>
      <c r="C549" s="1" t="n">
        <v>45915</v>
      </c>
      <c r="D549" t="inlineStr">
        <is>
          <t>STOCKHOLMS LÄN</t>
        </is>
      </c>
      <c r="E549" t="inlineStr">
        <is>
          <t>NORRTÄLJE</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64600-2021</t>
        </is>
      </c>
      <c r="B550" s="1" t="n">
        <v>44511.70518518519</v>
      </c>
      <c r="C550" s="1" t="n">
        <v>45915</v>
      </c>
      <c r="D550" t="inlineStr">
        <is>
          <t>STOCKHOLMS LÄN</t>
        </is>
      </c>
      <c r="E550" t="inlineStr">
        <is>
          <t>NORRTÄLJE</t>
        </is>
      </c>
      <c r="G550" t="n">
        <v>6.2</v>
      </c>
      <c r="H550" t="n">
        <v>0</v>
      </c>
      <c r="I550" t="n">
        <v>0</v>
      </c>
      <c r="J550" t="n">
        <v>0</v>
      </c>
      <c r="K550" t="n">
        <v>0</v>
      </c>
      <c r="L550" t="n">
        <v>0</v>
      </c>
      <c r="M550" t="n">
        <v>0</v>
      </c>
      <c r="N550" t="n">
        <v>0</v>
      </c>
      <c r="O550" t="n">
        <v>0</v>
      </c>
      <c r="P550" t="n">
        <v>0</v>
      </c>
      <c r="Q550" t="n">
        <v>0</v>
      </c>
      <c r="R550" s="2" t="inlineStr"/>
    </row>
    <row r="551" ht="15" customHeight="1">
      <c r="A551" t="inlineStr">
        <is>
          <t>A 35640-2024</t>
        </is>
      </c>
      <c r="B551" s="1" t="n">
        <v>45531</v>
      </c>
      <c r="C551" s="1" t="n">
        <v>45915</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11900-2024</t>
        </is>
      </c>
      <c r="B552" s="1" t="n">
        <v>45376.55484953704</v>
      </c>
      <c r="C552" s="1" t="n">
        <v>45915</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45915</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13137-2024</t>
        </is>
      </c>
      <c r="B554" s="1" t="n">
        <v>45386.34175925926</v>
      </c>
      <c r="C554" s="1" t="n">
        <v>45915</v>
      </c>
      <c r="D554" t="inlineStr">
        <is>
          <t>STOCKHOLMS LÄN</t>
        </is>
      </c>
      <c r="E554" t="inlineStr">
        <is>
          <t>NORRTÄLJE</t>
        </is>
      </c>
      <c r="G554" t="n">
        <v>5</v>
      </c>
      <c r="H554" t="n">
        <v>0</v>
      </c>
      <c r="I554" t="n">
        <v>0</v>
      </c>
      <c r="J554" t="n">
        <v>0</v>
      </c>
      <c r="K554" t="n">
        <v>0</v>
      </c>
      <c r="L554" t="n">
        <v>0</v>
      </c>
      <c r="M554" t="n">
        <v>0</v>
      </c>
      <c r="N554" t="n">
        <v>0</v>
      </c>
      <c r="O554" t="n">
        <v>0</v>
      </c>
      <c r="P554" t="n">
        <v>0</v>
      </c>
      <c r="Q554" t="n">
        <v>0</v>
      </c>
      <c r="R554" s="2" t="inlineStr"/>
    </row>
    <row r="555" ht="15" customHeight="1">
      <c r="A555" t="inlineStr">
        <is>
          <t>A 43300-2023</t>
        </is>
      </c>
      <c r="B555" s="1" t="n">
        <v>45183</v>
      </c>
      <c r="C555" s="1" t="n">
        <v>45915</v>
      </c>
      <c r="D555" t="inlineStr">
        <is>
          <t>STOCKHOLMS LÄN</t>
        </is>
      </c>
      <c r="E555" t="inlineStr">
        <is>
          <t>NORRTÄLJE</t>
        </is>
      </c>
      <c r="G555" t="n">
        <v>2.3</v>
      </c>
      <c r="H555" t="n">
        <v>0</v>
      </c>
      <c r="I555" t="n">
        <v>0</v>
      </c>
      <c r="J555" t="n">
        <v>0</v>
      </c>
      <c r="K555" t="n">
        <v>0</v>
      </c>
      <c r="L555" t="n">
        <v>0</v>
      </c>
      <c r="M555" t="n">
        <v>0</v>
      </c>
      <c r="N555" t="n">
        <v>0</v>
      </c>
      <c r="O555" t="n">
        <v>0</v>
      </c>
      <c r="P555" t="n">
        <v>0</v>
      </c>
      <c r="Q555" t="n">
        <v>0</v>
      </c>
      <c r="R555" s="2" t="inlineStr"/>
    </row>
    <row r="556" ht="15" customHeight="1">
      <c r="A556" t="inlineStr">
        <is>
          <t>A 67990-2021</t>
        </is>
      </c>
      <c r="B556" s="1" t="n">
        <v>44525</v>
      </c>
      <c r="C556" s="1" t="n">
        <v>45915</v>
      </c>
      <c r="D556" t="inlineStr">
        <is>
          <t>STOCKHOLMS LÄN</t>
        </is>
      </c>
      <c r="E556" t="inlineStr">
        <is>
          <t>NORRTÄLJE</t>
        </is>
      </c>
      <c r="F556" t="inlineStr">
        <is>
          <t>Sveaskog</t>
        </is>
      </c>
      <c r="G556" t="n">
        <v>7.8</v>
      </c>
      <c r="H556" t="n">
        <v>0</v>
      </c>
      <c r="I556" t="n">
        <v>0</v>
      </c>
      <c r="J556" t="n">
        <v>0</v>
      </c>
      <c r="K556" t="n">
        <v>0</v>
      </c>
      <c r="L556" t="n">
        <v>0</v>
      </c>
      <c r="M556" t="n">
        <v>0</v>
      </c>
      <c r="N556" t="n">
        <v>0</v>
      </c>
      <c r="O556" t="n">
        <v>0</v>
      </c>
      <c r="P556" t="n">
        <v>0</v>
      </c>
      <c r="Q556" t="n">
        <v>0</v>
      </c>
      <c r="R556" s="2" t="inlineStr"/>
    </row>
    <row r="557" ht="15" customHeight="1">
      <c r="A557" t="inlineStr">
        <is>
          <t>A 13276-2022</t>
        </is>
      </c>
      <c r="B557" s="1" t="n">
        <v>44644</v>
      </c>
      <c r="C557" s="1" t="n">
        <v>45915</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11900-2022</t>
        </is>
      </c>
      <c r="B558" s="1" t="n">
        <v>44635</v>
      </c>
      <c r="C558" s="1" t="n">
        <v>45915</v>
      </c>
      <c r="D558" t="inlineStr">
        <is>
          <t>STOCKHOLMS LÄN</t>
        </is>
      </c>
      <c r="E558" t="inlineStr">
        <is>
          <t>NORRTÄLJE</t>
        </is>
      </c>
      <c r="G558" t="n">
        <v>2.4</v>
      </c>
      <c r="H558" t="n">
        <v>0</v>
      </c>
      <c r="I558" t="n">
        <v>0</v>
      </c>
      <c r="J558" t="n">
        <v>0</v>
      </c>
      <c r="K558" t="n">
        <v>0</v>
      </c>
      <c r="L558" t="n">
        <v>0</v>
      </c>
      <c r="M558" t="n">
        <v>0</v>
      </c>
      <c r="N558" t="n">
        <v>0</v>
      </c>
      <c r="O558" t="n">
        <v>0</v>
      </c>
      <c r="P558" t="n">
        <v>0</v>
      </c>
      <c r="Q558" t="n">
        <v>0</v>
      </c>
      <c r="R558" s="2" t="inlineStr"/>
    </row>
    <row r="559" ht="15" customHeight="1">
      <c r="A559" t="inlineStr">
        <is>
          <t>A 14724-2022</t>
        </is>
      </c>
      <c r="B559" s="1" t="n">
        <v>44656</v>
      </c>
      <c r="C559" s="1" t="n">
        <v>45915</v>
      </c>
      <c r="D559" t="inlineStr">
        <is>
          <t>STOCKHOLMS LÄN</t>
        </is>
      </c>
      <c r="E559" t="inlineStr">
        <is>
          <t>NORRTÄLJE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4580-2025</t>
        </is>
      </c>
      <c r="B560" s="1" t="n">
        <v>45687.5038425926</v>
      </c>
      <c r="C560" s="1" t="n">
        <v>45915</v>
      </c>
      <c r="D560" t="inlineStr">
        <is>
          <t>STOCKHOLMS LÄN</t>
        </is>
      </c>
      <c r="E560" t="inlineStr">
        <is>
          <t>NORRTÄLJE</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26675-2025</t>
        </is>
      </c>
      <c r="B561" s="1" t="n">
        <v>45810.42393518519</v>
      </c>
      <c r="C561" s="1" t="n">
        <v>45915</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16202-2022</t>
        </is>
      </c>
      <c r="B562" s="1" t="n">
        <v>44670</v>
      </c>
      <c r="C562" s="1" t="n">
        <v>45915</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6003-2025</t>
        </is>
      </c>
      <c r="B563" s="1" t="n">
        <v>45695.57881944445</v>
      </c>
      <c r="C563" s="1" t="n">
        <v>45915</v>
      </c>
      <c r="D563" t="inlineStr">
        <is>
          <t>STOCKHOLMS LÄN</t>
        </is>
      </c>
      <c r="E563" t="inlineStr">
        <is>
          <t>NORRTÄLJE</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52321-2024</t>
        </is>
      </c>
      <c r="B564" s="1" t="n">
        <v>45608</v>
      </c>
      <c r="C564" s="1" t="n">
        <v>45915</v>
      </c>
      <c r="D564" t="inlineStr">
        <is>
          <t>STOCKHOLMS LÄN</t>
        </is>
      </c>
      <c r="E564" t="inlineStr">
        <is>
          <t>NORRTÄLJE</t>
        </is>
      </c>
      <c r="G564" t="n">
        <v>18.1</v>
      </c>
      <c r="H564" t="n">
        <v>0</v>
      </c>
      <c r="I564" t="n">
        <v>0</v>
      </c>
      <c r="J564" t="n">
        <v>0</v>
      </c>
      <c r="K564" t="n">
        <v>0</v>
      </c>
      <c r="L564" t="n">
        <v>0</v>
      </c>
      <c r="M564" t="n">
        <v>0</v>
      </c>
      <c r="N564" t="n">
        <v>0</v>
      </c>
      <c r="O564" t="n">
        <v>0</v>
      </c>
      <c r="P564" t="n">
        <v>0</v>
      </c>
      <c r="Q564" t="n">
        <v>0</v>
      </c>
      <c r="R564" s="2" t="inlineStr"/>
    </row>
    <row r="565" ht="15" customHeight="1">
      <c r="A565" t="inlineStr">
        <is>
          <t>A 54558-2024</t>
        </is>
      </c>
      <c r="B565" s="1" t="n">
        <v>45617.62358796296</v>
      </c>
      <c r="C565" s="1" t="n">
        <v>45915</v>
      </c>
      <c r="D565" t="inlineStr">
        <is>
          <t>STOCKHOLMS LÄN</t>
        </is>
      </c>
      <c r="E565" t="inlineStr">
        <is>
          <t>NORRTÄLJE</t>
        </is>
      </c>
      <c r="G565" t="n">
        <v>1.2</v>
      </c>
      <c r="H565" t="n">
        <v>0</v>
      </c>
      <c r="I565" t="n">
        <v>0</v>
      </c>
      <c r="J565" t="n">
        <v>0</v>
      </c>
      <c r="K565" t="n">
        <v>0</v>
      </c>
      <c r="L565" t="n">
        <v>0</v>
      </c>
      <c r="M565" t="n">
        <v>0</v>
      </c>
      <c r="N565" t="n">
        <v>0</v>
      </c>
      <c r="O565" t="n">
        <v>0</v>
      </c>
      <c r="P565" t="n">
        <v>0</v>
      </c>
      <c r="Q565" t="n">
        <v>0</v>
      </c>
      <c r="R565" s="2" t="inlineStr"/>
    </row>
    <row r="566" ht="15" customHeight="1">
      <c r="A566" t="inlineStr">
        <is>
          <t>A 22157-2023</t>
        </is>
      </c>
      <c r="B566" s="1" t="n">
        <v>45069</v>
      </c>
      <c r="C566" s="1" t="n">
        <v>45915</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c r="U566">
        <f>HYPERLINK("https://klasma.github.io/Logging_0188/knärot/A 22157-2023 karta knärot.png", "A 22157-2023")</f>
        <v/>
      </c>
      <c r="V566">
        <f>HYPERLINK("https://klasma.github.io/Logging_0188/klagomål/A 22157-2023 FSC-klagomål.docx", "A 22157-2023")</f>
        <v/>
      </c>
      <c r="W566">
        <f>HYPERLINK("https://klasma.github.io/Logging_0188/klagomålsmail/A 22157-2023 FSC-klagomål mail.docx", "A 22157-2023")</f>
        <v/>
      </c>
      <c r="X566">
        <f>HYPERLINK("https://klasma.github.io/Logging_0188/tillsyn/A 22157-2023 tillsynsbegäran.docx", "A 22157-2023")</f>
        <v/>
      </c>
      <c r="Y566">
        <f>HYPERLINK("https://klasma.github.io/Logging_0188/tillsynsmail/A 22157-2023 tillsynsbegäran mail.docx", "A 22157-2023")</f>
        <v/>
      </c>
    </row>
    <row r="567" ht="15" customHeight="1">
      <c r="A567" t="inlineStr">
        <is>
          <t>A 21696-2024</t>
        </is>
      </c>
      <c r="B567" s="1" t="n">
        <v>45442.45686342593</v>
      </c>
      <c r="C567" s="1" t="n">
        <v>45915</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48633-2023</t>
        </is>
      </c>
      <c r="B568" s="1" t="n">
        <v>45208.58004629629</v>
      </c>
      <c r="C568" s="1" t="n">
        <v>45915</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37136-2023</t>
        </is>
      </c>
      <c r="B569" s="1" t="n">
        <v>45155</v>
      </c>
      <c r="C569" s="1" t="n">
        <v>45915</v>
      </c>
      <c r="D569" t="inlineStr">
        <is>
          <t>STOCKHOLMS LÄN</t>
        </is>
      </c>
      <c r="E569" t="inlineStr">
        <is>
          <t>NORRTÄLJE</t>
        </is>
      </c>
      <c r="G569" t="n">
        <v>2.5</v>
      </c>
      <c r="H569" t="n">
        <v>0</v>
      </c>
      <c r="I569" t="n">
        <v>0</v>
      </c>
      <c r="J569" t="n">
        <v>0</v>
      </c>
      <c r="K569" t="n">
        <v>0</v>
      </c>
      <c r="L569" t="n">
        <v>0</v>
      </c>
      <c r="M569" t="n">
        <v>0</v>
      </c>
      <c r="N569" t="n">
        <v>0</v>
      </c>
      <c r="O569" t="n">
        <v>0</v>
      </c>
      <c r="P569" t="n">
        <v>0</v>
      </c>
      <c r="Q569" t="n">
        <v>0</v>
      </c>
      <c r="R569" s="2" t="inlineStr"/>
    </row>
    <row r="570" ht="15" customHeight="1">
      <c r="A570" t="inlineStr">
        <is>
          <t>A 23061-2025</t>
        </is>
      </c>
      <c r="B570" s="1" t="n">
        <v>45790.81410879629</v>
      </c>
      <c r="C570" s="1" t="n">
        <v>45915</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1740-2023</t>
        </is>
      </c>
      <c r="B571" s="1" t="n">
        <v>44938</v>
      </c>
      <c r="C571" s="1" t="n">
        <v>45915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26747-2025</t>
        </is>
      </c>
      <c r="B572" s="1" t="n">
        <v>45810.5333912037</v>
      </c>
      <c r="C572" s="1" t="n">
        <v>45915</v>
      </c>
      <c r="D572" t="inlineStr">
        <is>
          <t>STOCKHOLMS LÄN</t>
        </is>
      </c>
      <c r="E572" t="inlineStr">
        <is>
          <t>NORRTÄLJE</t>
        </is>
      </c>
      <c r="G572" t="n">
        <v>1.9</v>
      </c>
      <c r="H572" t="n">
        <v>0</v>
      </c>
      <c r="I572" t="n">
        <v>0</v>
      </c>
      <c r="J572" t="n">
        <v>0</v>
      </c>
      <c r="K572" t="n">
        <v>0</v>
      </c>
      <c r="L572" t="n">
        <v>0</v>
      </c>
      <c r="M572" t="n">
        <v>0</v>
      </c>
      <c r="N572" t="n">
        <v>0</v>
      </c>
      <c r="O572" t="n">
        <v>0</v>
      </c>
      <c r="P572" t="n">
        <v>0</v>
      </c>
      <c r="Q572" t="n">
        <v>0</v>
      </c>
      <c r="R572" s="2" t="inlineStr"/>
    </row>
    <row r="573" ht="15" customHeight="1">
      <c r="A573" t="inlineStr">
        <is>
          <t>A 19057-2024</t>
        </is>
      </c>
      <c r="B573" s="1" t="n">
        <v>45427.88731481481</v>
      </c>
      <c r="C573" s="1" t="n">
        <v>45915</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47419-2023</t>
        </is>
      </c>
      <c r="B574" s="1" t="n">
        <v>45202.65660879629</v>
      </c>
      <c r="C574" s="1" t="n">
        <v>45915</v>
      </c>
      <c r="D574" t="inlineStr">
        <is>
          <t>STOCKHOLMS LÄN</t>
        </is>
      </c>
      <c r="E574" t="inlineStr">
        <is>
          <t>NORRTÄLJE</t>
        </is>
      </c>
      <c r="G574" t="n">
        <v>11.4</v>
      </c>
      <c r="H574" t="n">
        <v>0</v>
      </c>
      <c r="I574" t="n">
        <v>0</v>
      </c>
      <c r="J574" t="n">
        <v>0</v>
      </c>
      <c r="K574" t="n">
        <v>0</v>
      </c>
      <c r="L574" t="n">
        <v>0</v>
      </c>
      <c r="M574" t="n">
        <v>0</v>
      </c>
      <c r="N574" t="n">
        <v>0</v>
      </c>
      <c r="O574" t="n">
        <v>0</v>
      </c>
      <c r="P574" t="n">
        <v>0</v>
      </c>
      <c r="Q574" t="n">
        <v>0</v>
      </c>
      <c r="R574" s="2" t="inlineStr"/>
    </row>
    <row r="575" ht="15" customHeight="1">
      <c r="A575" t="inlineStr">
        <is>
          <t>A 652-2025</t>
        </is>
      </c>
      <c r="B575" s="1" t="n">
        <v>45664</v>
      </c>
      <c r="C575" s="1" t="n">
        <v>45915</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26702-2025</t>
        </is>
      </c>
      <c r="B576" s="1" t="n">
        <v>45810.45236111111</v>
      </c>
      <c r="C576" s="1" t="n">
        <v>45915</v>
      </c>
      <c r="D576" t="inlineStr">
        <is>
          <t>STOCKHOLMS LÄN</t>
        </is>
      </c>
      <c r="E576" t="inlineStr">
        <is>
          <t>NORRTÄLJE</t>
        </is>
      </c>
      <c r="G576" t="n">
        <v>7.3</v>
      </c>
      <c r="H576" t="n">
        <v>0</v>
      </c>
      <c r="I576" t="n">
        <v>0</v>
      </c>
      <c r="J576" t="n">
        <v>0</v>
      </c>
      <c r="K576" t="n">
        <v>0</v>
      </c>
      <c r="L576" t="n">
        <v>0</v>
      </c>
      <c r="M576" t="n">
        <v>0</v>
      </c>
      <c r="N576" t="n">
        <v>0</v>
      </c>
      <c r="O576" t="n">
        <v>0</v>
      </c>
      <c r="P576" t="n">
        <v>0</v>
      </c>
      <c r="Q576" t="n">
        <v>0</v>
      </c>
      <c r="R576" s="2" t="inlineStr"/>
    </row>
    <row r="577" ht="15" customHeight="1">
      <c r="A577" t="inlineStr">
        <is>
          <t>A 26703-2025</t>
        </is>
      </c>
      <c r="B577" s="1" t="n">
        <v>45810.45263888889</v>
      </c>
      <c r="C577" s="1" t="n">
        <v>45915</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10653-2022</t>
        </is>
      </c>
      <c r="B578" s="1" t="n">
        <v>44624.59434027778</v>
      </c>
      <c r="C578" s="1" t="n">
        <v>45915</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66662-2020</t>
        </is>
      </c>
      <c r="B579" s="1" t="n">
        <v>44179</v>
      </c>
      <c r="C579" s="1" t="n">
        <v>45915</v>
      </c>
      <c r="D579" t="inlineStr">
        <is>
          <t>STOCKHOLMS LÄN</t>
        </is>
      </c>
      <c r="E579" t="inlineStr">
        <is>
          <t>NORRTÄLJE</t>
        </is>
      </c>
      <c r="G579" t="n">
        <v>1.9</v>
      </c>
      <c r="H579" t="n">
        <v>0</v>
      </c>
      <c r="I579" t="n">
        <v>0</v>
      </c>
      <c r="J579" t="n">
        <v>0</v>
      </c>
      <c r="K579" t="n">
        <v>0</v>
      </c>
      <c r="L579" t="n">
        <v>0</v>
      </c>
      <c r="M579" t="n">
        <v>0</v>
      </c>
      <c r="N579" t="n">
        <v>0</v>
      </c>
      <c r="O579" t="n">
        <v>0</v>
      </c>
      <c r="P579" t="n">
        <v>0</v>
      </c>
      <c r="Q579" t="n">
        <v>0</v>
      </c>
      <c r="R579" s="2" t="inlineStr"/>
    </row>
    <row r="580" ht="15" customHeight="1">
      <c r="A580" t="inlineStr">
        <is>
          <t>A 63824-2020</t>
        </is>
      </c>
      <c r="B580" s="1" t="n">
        <v>44162</v>
      </c>
      <c r="C580" s="1" t="n">
        <v>45915</v>
      </c>
      <c r="D580" t="inlineStr">
        <is>
          <t>STOCKHOLMS LÄN</t>
        </is>
      </c>
      <c r="E580" t="inlineStr">
        <is>
          <t>NORRTÄLJE</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26708-2025</t>
        </is>
      </c>
      <c r="B581" s="1" t="n">
        <v>45810.45633101852</v>
      </c>
      <c r="C581" s="1" t="n">
        <v>45915</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35695-2023</t>
        </is>
      </c>
      <c r="B582" s="1" t="n">
        <v>45147.65407407407</v>
      </c>
      <c r="C582" s="1" t="n">
        <v>45915</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18665-2022</t>
        </is>
      </c>
      <c r="B583" s="1" t="n">
        <v>44687</v>
      </c>
      <c r="C583" s="1" t="n">
        <v>45915</v>
      </c>
      <c r="D583" t="inlineStr">
        <is>
          <t>STOCKHOLMS LÄN</t>
        </is>
      </c>
      <c r="E583" t="inlineStr">
        <is>
          <t>NORRTÄLJE</t>
        </is>
      </c>
      <c r="F583" t="inlineStr">
        <is>
          <t>Kyrkan</t>
        </is>
      </c>
      <c r="G583" t="n">
        <v>1.1</v>
      </c>
      <c r="H583" t="n">
        <v>0</v>
      </c>
      <c r="I583" t="n">
        <v>0</v>
      </c>
      <c r="J583" t="n">
        <v>0</v>
      </c>
      <c r="K583" t="n">
        <v>0</v>
      </c>
      <c r="L583" t="n">
        <v>0</v>
      </c>
      <c r="M583" t="n">
        <v>0</v>
      </c>
      <c r="N583" t="n">
        <v>0</v>
      </c>
      <c r="O583" t="n">
        <v>0</v>
      </c>
      <c r="P583" t="n">
        <v>0</v>
      </c>
      <c r="Q583" t="n">
        <v>0</v>
      </c>
      <c r="R583" s="2" t="inlineStr"/>
    </row>
    <row r="584" ht="15" customHeight="1">
      <c r="A584" t="inlineStr">
        <is>
          <t>A 27040-2025</t>
        </is>
      </c>
      <c r="B584" s="1" t="n">
        <v>45811.60451388889</v>
      </c>
      <c r="C584" s="1" t="n">
        <v>45915</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17574-2025</t>
        </is>
      </c>
      <c r="B585" s="1" t="n">
        <v>45757.65178240741</v>
      </c>
      <c r="C585" s="1" t="n">
        <v>45915</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20370-2025</t>
        </is>
      </c>
      <c r="B586" s="1" t="n">
        <v>45775.41451388889</v>
      </c>
      <c r="C586" s="1" t="n">
        <v>45915</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5423-2023</t>
        </is>
      </c>
      <c r="B587" s="1" t="n">
        <v>44959.74533564815</v>
      </c>
      <c r="C587" s="1" t="n">
        <v>45915</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58492-2022</t>
        </is>
      </c>
      <c r="B588" s="1" t="n">
        <v>44902</v>
      </c>
      <c r="C588" s="1" t="n">
        <v>45915</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19982-2022</t>
        </is>
      </c>
      <c r="B589" s="1" t="n">
        <v>44697</v>
      </c>
      <c r="C589" s="1" t="n">
        <v>45915</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45915</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35438-2023</t>
        </is>
      </c>
      <c r="B591" s="1" t="n">
        <v>45146</v>
      </c>
      <c r="C591" s="1" t="n">
        <v>45915</v>
      </c>
      <c r="D591" t="inlineStr">
        <is>
          <t>STOCKHOLMS LÄN</t>
        </is>
      </c>
      <c r="E591" t="inlineStr">
        <is>
          <t>NORRTÄLJE</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33878-2024</t>
        </is>
      </c>
      <c r="B592" s="1" t="n">
        <v>45522.44414351852</v>
      </c>
      <c r="C592" s="1" t="n">
        <v>45915</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4581-2025</t>
        </is>
      </c>
      <c r="B593" s="1" t="n">
        <v>45687</v>
      </c>
      <c r="C593" s="1" t="n">
        <v>45915</v>
      </c>
      <c r="D593" t="inlineStr">
        <is>
          <t>STOCKHOLMS LÄN</t>
        </is>
      </c>
      <c r="E593" t="inlineStr">
        <is>
          <t>NORRTÄLJE</t>
        </is>
      </c>
      <c r="F593" t="inlineStr">
        <is>
          <t>Holmen skog AB</t>
        </is>
      </c>
      <c r="G593" t="n">
        <v>2.8</v>
      </c>
      <c r="H593" t="n">
        <v>0</v>
      </c>
      <c r="I593" t="n">
        <v>0</v>
      </c>
      <c r="J593" t="n">
        <v>0</v>
      </c>
      <c r="K593" t="n">
        <v>0</v>
      </c>
      <c r="L593" t="n">
        <v>0</v>
      </c>
      <c r="M593" t="n">
        <v>0</v>
      </c>
      <c r="N593" t="n">
        <v>0</v>
      </c>
      <c r="O593" t="n">
        <v>0</v>
      </c>
      <c r="P593" t="n">
        <v>0</v>
      </c>
      <c r="Q593" t="n">
        <v>0</v>
      </c>
      <c r="R593" s="2" t="inlineStr"/>
    </row>
    <row r="594" ht="15" customHeight="1">
      <c r="A594" t="inlineStr">
        <is>
          <t>A 27677-2025</t>
        </is>
      </c>
      <c r="B594" s="1" t="n">
        <v>45813.63650462963</v>
      </c>
      <c r="C594" s="1" t="n">
        <v>45915</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27697-2025</t>
        </is>
      </c>
      <c r="B595" s="1" t="n">
        <v>45813.66961805556</v>
      </c>
      <c r="C595" s="1" t="n">
        <v>45915</v>
      </c>
      <c r="D595" t="inlineStr">
        <is>
          <t>STOCKHOLMS LÄN</t>
        </is>
      </c>
      <c r="E595" t="inlineStr">
        <is>
          <t>NORRTÄLJE</t>
        </is>
      </c>
      <c r="G595" t="n">
        <v>6.2</v>
      </c>
      <c r="H595" t="n">
        <v>0</v>
      </c>
      <c r="I595" t="n">
        <v>0</v>
      </c>
      <c r="J595" t="n">
        <v>0</v>
      </c>
      <c r="K595" t="n">
        <v>0</v>
      </c>
      <c r="L595" t="n">
        <v>0</v>
      </c>
      <c r="M595" t="n">
        <v>0</v>
      </c>
      <c r="N595" t="n">
        <v>0</v>
      </c>
      <c r="O595" t="n">
        <v>0</v>
      </c>
      <c r="P595" t="n">
        <v>0</v>
      </c>
      <c r="Q595" t="n">
        <v>0</v>
      </c>
      <c r="R595" s="2" t="inlineStr"/>
    </row>
    <row r="596" ht="15" customHeight="1">
      <c r="A596" t="inlineStr">
        <is>
          <t>A 27700-2025</t>
        </is>
      </c>
      <c r="B596" s="1" t="n">
        <v>45813.6799537037</v>
      </c>
      <c r="C596" s="1" t="n">
        <v>45915</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27554-2025</t>
        </is>
      </c>
      <c r="B597" s="1" t="n">
        <v>45813.4709375</v>
      </c>
      <c r="C597" s="1" t="n">
        <v>45915</v>
      </c>
      <c r="D597" t="inlineStr">
        <is>
          <t>STOCKHOLMS LÄN</t>
        </is>
      </c>
      <c r="E597" t="inlineStr">
        <is>
          <t>NORRTÄLJE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4183-2025</t>
        </is>
      </c>
      <c r="B598" s="1" t="n">
        <v>45685.44592592592</v>
      </c>
      <c r="C598" s="1" t="n">
        <v>45915</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17556-2025</t>
        </is>
      </c>
      <c r="B599" s="1" t="n">
        <v>45757.62482638889</v>
      </c>
      <c r="C599" s="1" t="n">
        <v>45915</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36157-2024</t>
        </is>
      </c>
      <c r="B600" s="1" t="n">
        <v>45534.38240740741</v>
      </c>
      <c r="C600" s="1" t="n">
        <v>45915</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62398-2022</t>
        </is>
      </c>
      <c r="B601" s="1" t="n">
        <v>44923.90159722222</v>
      </c>
      <c r="C601" s="1" t="n">
        <v>45915</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68081-2020</t>
        </is>
      </c>
      <c r="B602" s="1" t="n">
        <v>44183</v>
      </c>
      <c r="C602" s="1" t="n">
        <v>45915</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41335-2023</t>
        </is>
      </c>
      <c r="B603" s="1" t="n">
        <v>45174.68702546296</v>
      </c>
      <c r="C603" s="1" t="n">
        <v>45915</v>
      </c>
      <c r="D603" t="inlineStr">
        <is>
          <t>STOCKHOLMS LÄN</t>
        </is>
      </c>
      <c r="E603" t="inlineStr">
        <is>
          <t>NORRTÄLJE</t>
        </is>
      </c>
      <c r="F603" t="inlineStr">
        <is>
          <t>Holmen skog AB</t>
        </is>
      </c>
      <c r="G603" t="n">
        <v>4.4</v>
      </c>
      <c r="H603" t="n">
        <v>0</v>
      </c>
      <c r="I603" t="n">
        <v>0</v>
      </c>
      <c r="J603" t="n">
        <v>0</v>
      </c>
      <c r="K603" t="n">
        <v>0</v>
      </c>
      <c r="L603" t="n">
        <v>0</v>
      </c>
      <c r="M603" t="n">
        <v>0</v>
      </c>
      <c r="N603" t="n">
        <v>0</v>
      </c>
      <c r="O603" t="n">
        <v>0</v>
      </c>
      <c r="P603" t="n">
        <v>0</v>
      </c>
      <c r="Q603" t="n">
        <v>0</v>
      </c>
      <c r="R603" s="2" t="inlineStr"/>
    </row>
    <row r="604" ht="15" customHeight="1">
      <c r="A604" t="inlineStr">
        <is>
          <t>A 17039-2024</t>
        </is>
      </c>
      <c r="B604" s="1" t="n">
        <v>45412.4104050926</v>
      </c>
      <c r="C604" s="1" t="n">
        <v>45915</v>
      </c>
      <c r="D604" t="inlineStr">
        <is>
          <t>STOCKHOLMS LÄN</t>
        </is>
      </c>
      <c r="E604" t="inlineStr">
        <is>
          <t>NORRTÄLJE</t>
        </is>
      </c>
      <c r="G604" t="n">
        <v>5.9</v>
      </c>
      <c r="H604" t="n">
        <v>0</v>
      </c>
      <c r="I604" t="n">
        <v>0</v>
      </c>
      <c r="J604" t="n">
        <v>0</v>
      </c>
      <c r="K604" t="n">
        <v>0</v>
      </c>
      <c r="L604" t="n">
        <v>0</v>
      </c>
      <c r="M604" t="n">
        <v>0</v>
      </c>
      <c r="N604" t="n">
        <v>0</v>
      </c>
      <c r="O604" t="n">
        <v>0</v>
      </c>
      <c r="P604" t="n">
        <v>0</v>
      </c>
      <c r="Q604" t="n">
        <v>0</v>
      </c>
      <c r="R604" s="2" t="inlineStr"/>
    </row>
    <row r="605" ht="15" customHeight="1">
      <c r="A605" t="inlineStr">
        <is>
          <t>A 11901-2024</t>
        </is>
      </c>
      <c r="B605" s="1" t="n">
        <v>45376.55638888889</v>
      </c>
      <c r="C605" s="1" t="n">
        <v>45915</v>
      </c>
      <c r="D605" t="inlineStr">
        <is>
          <t>STOCKHOLMS LÄN</t>
        </is>
      </c>
      <c r="E605" t="inlineStr">
        <is>
          <t>NORRTÄLJE</t>
        </is>
      </c>
      <c r="F605" t="inlineStr">
        <is>
          <t>Holmen skog AB</t>
        </is>
      </c>
      <c r="G605" t="n">
        <v>3.5</v>
      </c>
      <c r="H605" t="n">
        <v>0</v>
      </c>
      <c r="I605" t="n">
        <v>0</v>
      </c>
      <c r="J605" t="n">
        <v>0</v>
      </c>
      <c r="K605" t="n">
        <v>0</v>
      </c>
      <c r="L605" t="n">
        <v>0</v>
      </c>
      <c r="M605" t="n">
        <v>0</v>
      </c>
      <c r="N605" t="n">
        <v>0</v>
      </c>
      <c r="O605" t="n">
        <v>0</v>
      </c>
      <c r="P605" t="n">
        <v>0</v>
      </c>
      <c r="Q605" t="n">
        <v>0</v>
      </c>
      <c r="R605" s="2" t="inlineStr"/>
    </row>
    <row r="606" ht="15" customHeight="1">
      <c r="A606" t="inlineStr">
        <is>
          <t>A 4484-2025</t>
        </is>
      </c>
      <c r="B606" s="1" t="n">
        <v>45686.65545138889</v>
      </c>
      <c r="C606" s="1" t="n">
        <v>45915</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10511-2025</t>
        </is>
      </c>
      <c r="B607" s="1" t="n">
        <v>45721.40780092592</v>
      </c>
      <c r="C607" s="1" t="n">
        <v>45915</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3509-2022</t>
        </is>
      </c>
      <c r="B608" s="1" t="n">
        <v>44585</v>
      </c>
      <c r="C608" s="1" t="n">
        <v>45915</v>
      </c>
      <c r="D608" t="inlineStr">
        <is>
          <t>STOCKHOLMS LÄN</t>
        </is>
      </c>
      <c r="E608" t="inlineStr">
        <is>
          <t>NORRTÄLJE</t>
        </is>
      </c>
      <c r="F608" t="inlineStr">
        <is>
          <t>Kommuner</t>
        </is>
      </c>
      <c r="G608" t="n">
        <v>0.8</v>
      </c>
      <c r="H608" t="n">
        <v>0</v>
      </c>
      <c r="I608" t="n">
        <v>0</v>
      </c>
      <c r="J608" t="n">
        <v>0</v>
      </c>
      <c r="K608" t="n">
        <v>0</v>
      </c>
      <c r="L608" t="n">
        <v>0</v>
      </c>
      <c r="M608" t="n">
        <v>0</v>
      </c>
      <c r="N608" t="n">
        <v>0</v>
      </c>
      <c r="O608" t="n">
        <v>0</v>
      </c>
      <c r="P608" t="n">
        <v>0</v>
      </c>
      <c r="Q608" t="n">
        <v>0</v>
      </c>
      <c r="R608" s="2" t="inlineStr"/>
    </row>
    <row r="609" ht="15" customHeight="1">
      <c r="A609" t="inlineStr">
        <is>
          <t>A 8419-2025</t>
        </is>
      </c>
      <c r="B609" s="1" t="n">
        <v>45709.40231481481</v>
      </c>
      <c r="C609" s="1" t="n">
        <v>45915</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21480-2022</t>
        </is>
      </c>
      <c r="B610" s="1" t="n">
        <v>44704</v>
      </c>
      <c r="C610" s="1" t="n">
        <v>45915</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27802-2025</t>
        </is>
      </c>
      <c r="B611" s="1" t="n">
        <v>45817.2565625</v>
      </c>
      <c r="C611" s="1" t="n">
        <v>45915</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27806-2025</t>
        </is>
      </c>
      <c r="B612" s="1" t="n">
        <v>45817.30329861111</v>
      </c>
      <c r="C612" s="1" t="n">
        <v>45915</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27808-2025</t>
        </is>
      </c>
      <c r="B613" s="1" t="n">
        <v>45817.31085648148</v>
      </c>
      <c r="C613" s="1" t="n">
        <v>45915</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27810-2025</t>
        </is>
      </c>
      <c r="B614" s="1" t="n">
        <v>45817.31708333334</v>
      </c>
      <c r="C614" s="1" t="n">
        <v>45915</v>
      </c>
      <c r="D614" t="inlineStr">
        <is>
          <t>STOCKHOLMS LÄN</t>
        </is>
      </c>
      <c r="E614" t="inlineStr">
        <is>
          <t>NORRTÄLJE</t>
        </is>
      </c>
      <c r="G614" t="n">
        <v>3.9</v>
      </c>
      <c r="H614" t="n">
        <v>0</v>
      </c>
      <c r="I614" t="n">
        <v>0</v>
      </c>
      <c r="J614" t="n">
        <v>0</v>
      </c>
      <c r="K614" t="n">
        <v>0</v>
      </c>
      <c r="L614" t="n">
        <v>0</v>
      </c>
      <c r="M614" t="n">
        <v>0</v>
      </c>
      <c r="N614" t="n">
        <v>0</v>
      </c>
      <c r="O614" t="n">
        <v>0</v>
      </c>
      <c r="P614" t="n">
        <v>0</v>
      </c>
      <c r="Q614" t="n">
        <v>0</v>
      </c>
      <c r="R614" s="2" t="inlineStr"/>
    </row>
    <row r="615" ht="15" customHeight="1">
      <c r="A615" t="inlineStr">
        <is>
          <t>A 27811-2025</t>
        </is>
      </c>
      <c r="B615" s="1" t="n">
        <v>45817.31986111111</v>
      </c>
      <c r="C615" s="1" t="n">
        <v>45915</v>
      </c>
      <c r="D615" t="inlineStr">
        <is>
          <t>STOCKHOLMS LÄN</t>
        </is>
      </c>
      <c r="E615" t="inlineStr">
        <is>
          <t>NORRTÄLJE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27818-2025</t>
        </is>
      </c>
      <c r="B616" s="1" t="n">
        <v>45817.33503472222</v>
      </c>
      <c r="C616" s="1" t="n">
        <v>45915</v>
      </c>
      <c r="D616" t="inlineStr">
        <is>
          <t>STOCKHOLMS LÄN</t>
        </is>
      </c>
      <c r="E616" t="inlineStr">
        <is>
          <t>NORRTÄLJE</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15528-2025</t>
        </is>
      </c>
      <c r="B617" s="1" t="n">
        <v>45747.63471064815</v>
      </c>
      <c r="C617" s="1" t="n">
        <v>45915</v>
      </c>
      <c r="D617" t="inlineStr">
        <is>
          <t>STOCKHOLMS LÄN</t>
        </is>
      </c>
      <c r="E617" t="inlineStr">
        <is>
          <t>NORRTÄLJE</t>
        </is>
      </c>
      <c r="G617" t="n">
        <v>10</v>
      </c>
      <c r="H617" t="n">
        <v>0</v>
      </c>
      <c r="I617" t="n">
        <v>0</v>
      </c>
      <c r="J617" t="n">
        <v>0</v>
      </c>
      <c r="K617" t="n">
        <v>0</v>
      </c>
      <c r="L617" t="n">
        <v>0</v>
      </c>
      <c r="M617" t="n">
        <v>0</v>
      </c>
      <c r="N617" t="n">
        <v>0</v>
      </c>
      <c r="O617" t="n">
        <v>0</v>
      </c>
      <c r="P617" t="n">
        <v>0</v>
      </c>
      <c r="Q617" t="n">
        <v>0</v>
      </c>
      <c r="R617" s="2" t="inlineStr"/>
    </row>
    <row r="618" ht="15" customHeight="1">
      <c r="A618" t="inlineStr">
        <is>
          <t>A 7697-2025</t>
        </is>
      </c>
      <c r="B618" s="1" t="n">
        <v>45706.40086805556</v>
      </c>
      <c r="C618" s="1" t="n">
        <v>45915</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1654-2025</t>
        </is>
      </c>
      <c r="B619" s="1" t="n">
        <v>45670.65921296296</v>
      </c>
      <c r="C619" s="1" t="n">
        <v>45915</v>
      </c>
      <c r="D619" t="inlineStr">
        <is>
          <t>STOCKHOLMS LÄN</t>
        </is>
      </c>
      <c r="E619" t="inlineStr">
        <is>
          <t>NORRTÄLJE</t>
        </is>
      </c>
      <c r="G619" t="n">
        <v>2.5</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45915</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45915</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39669-2024</t>
        </is>
      </c>
      <c r="B622" s="1" t="n">
        <v>45552.52827546297</v>
      </c>
      <c r="C622" s="1" t="n">
        <v>45915</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48686-2023</t>
        </is>
      </c>
      <c r="B623" s="1" t="n">
        <v>45208</v>
      </c>
      <c r="C623" s="1" t="n">
        <v>45915</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48691-2023</t>
        </is>
      </c>
      <c r="B624" s="1" t="n">
        <v>45208</v>
      </c>
      <c r="C624" s="1" t="n">
        <v>45915</v>
      </c>
      <c r="D624" t="inlineStr">
        <is>
          <t>STOCKHOLMS LÄN</t>
        </is>
      </c>
      <c r="E624" t="inlineStr">
        <is>
          <t>NORRTÄLJE</t>
        </is>
      </c>
      <c r="G624" t="n">
        <v>5.8</v>
      </c>
      <c r="H624" t="n">
        <v>0</v>
      </c>
      <c r="I624" t="n">
        <v>0</v>
      </c>
      <c r="J624" t="n">
        <v>0</v>
      </c>
      <c r="K624" t="n">
        <v>0</v>
      </c>
      <c r="L624" t="n">
        <v>0</v>
      </c>
      <c r="M624" t="n">
        <v>0</v>
      </c>
      <c r="N624" t="n">
        <v>0</v>
      </c>
      <c r="O624" t="n">
        <v>0</v>
      </c>
      <c r="P624" t="n">
        <v>0</v>
      </c>
      <c r="Q624" t="n">
        <v>0</v>
      </c>
      <c r="R624" s="2" t="inlineStr"/>
    </row>
    <row r="625" ht="15" customHeight="1">
      <c r="A625" t="inlineStr">
        <is>
          <t>A 27801-2025</t>
        </is>
      </c>
      <c r="B625" s="1" t="n">
        <v>45817.25471064815</v>
      </c>
      <c r="C625" s="1" t="n">
        <v>45915</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55243-2023</t>
        </is>
      </c>
      <c r="B626" s="1" t="n">
        <v>45237</v>
      </c>
      <c r="C626" s="1" t="n">
        <v>45915</v>
      </c>
      <c r="D626" t="inlineStr">
        <is>
          <t>STOCKHOLMS LÄN</t>
        </is>
      </c>
      <c r="E626" t="inlineStr">
        <is>
          <t>NORRTÄLJE</t>
        </is>
      </c>
      <c r="G626" t="n">
        <v>6.5</v>
      </c>
      <c r="H626" t="n">
        <v>0</v>
      </c>
      <c r="I626" t="n">
        <v>0</v>
      </c>
      <c r="J626" t="n">
        <v>0</v>
      </c>
      <c r="K626" t="n">
        <v>0</v>
      </c>
      <c r="L626" t="n">
        <v>0</v>
      </c>
      <c r="M626" t="n">
        <v>0</v>
      </c>
      <c r="N626" t="n">
        <v>0</v>
      </c>
      <c r="O626" t="n">
        <v>0</v>
      </c>
      <c r="P626" t="n">
        <v>0</v>
      </c>
      <c r="Q626" t="n">
        <v>0</v>
      </c>
      <c r="R626" s="2" t="inlineStr"/>
    </row>
    <row r="627" ht="15" customHeight="1">
      <c r="A627" t="inlineStr">
        <is>
          <t>A 35210-2023</t>
        </is>
      </c>
      <c r="B627" s="1" t="n">
        <v>45145.63584490741</v>
      </c>
      <c r="C627" s="1" t="n">
        <v>45915</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2982-2023</t>
        </is>
      </c>
      <c r="B628" s="1" t="n">
        <v>44945.67409722223</v>
      </c>
      <c r="C628" s="1" t="n">
        <v>45915</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1448-2023</t>
        </is>
      </c>
      <c r="B629" s="1" t="n">
        <v>44937</v>
      </c>
      <c r="C629" s="1" t="n">
        <v>45915</v>
      </c>
      <c r="D629" t="inlineStr">
        <is>
          <t>STOCKHOLMS LÄN</t>
        </is>
      </c>
      <c r="E629" t="inlineStr">
        <is>
          <t>NORRTÄLJE</t>
        </is>
      </c>
      <c r="G629" t="n">
        <v>1.9</v>
      </c>
      <c r="H629" t="n">
        <v>0</v>
      </c>
      <c r="I629" t="n">
        <v>0</v>
      </c>
      <c r="J629" t="n">
        <v>0</v>
      </c>
      <c r="K629" t="n">
        <v>0</v>
      </c>
      <c r="L629" t="n">
        <v>0</v>
      </c>
      <c r="M629" t="n">
        <v>0</v>
      </c>
      <c r="N629" t="n">
        <v>0</v>
      </c>
      <c r="O629" t="n">
        <v>0</v>
      </c>
      <c r="P629" t="n">
        <v>0</v>
      </c>
      <c r="Q629" t="n">
        <v>0</v>
      </c>
      <c r="R629" s="2" t="inlineStr"/>
    </row>
    <row r="630" ht="15" customHeight="1">
      <c r="A630" t="inlineStr">
        <is>
          <t>A 27821-2025</t>
        </is>
      </c>
      <c r="B630" s="1" t="n">
        <v>45817.34083333334</v>
      </c>
      <c r="C630" s="1" t="n">
        <v>45915</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row>
    <row r="631" ht="15" customHeight="1">
      <c r="A631" t="inlineStr">
        <is>
          <t>A 35127-2023</t>
        </is>
      </c>
      <c r="B631" s="1" t="n">
        <v>45145.51</v>
      </c>
      <c r="C631" s="1" t="n">
        <v>45915</v>
      </c>
      <c r="D631" t="inlineStr">
        <is>
          <t>STOCKHOLMS LÄN</t>
        </is>
      </c>
      <c r="E631" t="inlineStr">
        <is>
          <t>NORRTÄLJE</t>
        </is>
      </c>
      <c r="G631" t="n">
        <v>4.7</v>
      </c>
      <c r="H631" t="n">
        <v>0</v>
      </c>
      <c r="I631" t="n">
        <v>0</v>
      </c>
      <c r="J631" t="n">
        <v>0</v>
      </c>
      <c r="K631" t="n">
        <v>0</v>
      </c>
      <c r="L631" t="n">
        <v>0</v>
      </c>
      <c r="M631" t="n">
        <v>0</v>
      </c>
      <c r="N631" t="n">
        <v>0</v>
      </c>
      <c r="O631" t="n">
        <v>0</v>
      </c>
      <c r="P631" t="n">
        <v>0</v>
      </c>
      <c r="Q631" t="n">
        <v>0</v>
      </c>
      <c r="R631" s="2" t="inlineStr"/>
    </row>
    <row r="632" ht="15" customHeight="1">
      <c r="A632" t="inlineStr">
        <is>
          <t>A 6678-2025</t>
        </is>
      </c>
      <c r="B632" s="1" t="n">
        <v>45700</v>
      </c>
      <c r="C632" s="1" t="n">
        <v>45915</v>
      </c>
      <c r="D632" t="inlineStr">
        <is>
          <t>STOCKHOLMS LÄN</t>
        </is>
      </c>
      <c r="E632" t="inlineStr">
        <is>
          <t>NORRTÄLJE</t>
        </is>
      </c>
      <c r="F632" t="inlineStr">
        <is>
          <t>Övriga Aktiebolag</t>
        </is>
      </c>
      <c r="G632" t="n">
        <v>6.6</v>
      </c>
      <c r="H632" t="n">
        <v>0</v>
      </c>
      <c r="I632" t="n">
        <v>0</v>
      </c>
      <c r="J632" t="n">
        <v>0</v>
      </c>
      <c r="K632" t="n">
        <v>0</v>
      </c>
      <c r="L632" t="n">
        <v>0</v>
      </c>
      <c r="M632" t="n">
        <v>0</v>
      </c>
      <c r="N632" t="n">
        <v>0</v>
      </c>
      <c r="O632" t="n">
        <v>0</v>
      </c>
      <c r="P632" t="n">
        <v>0</v>
      </c>
      <c r="Q632" t="n">
        <v>0</v>
      </c>
      <c r="R632" s="2" t="inlineStr"/>
    </row>
    <row r="633" ht="15" customHeight="1">
      <c r="A633" t="inlineStr">
        <is>
          <t>A 50136-2023</t>
        </is>
      </c>
      <c r="B633" s="1" t="n">
        <v>45215</v>
      </c>
      <c r="C633" s="1" t="n">
        <v>45915</v>
      </c>
      <c r="D633" t="inlineStr">
        <is>
          <t>STOCKHOLMS LÄN</t>
        </is>
      </c>
      <c r="E633" t="inlineStr">
        <is>
          <t>NORRTÄLJE</t>
        </is>
      </c>
      <c r="G633" t="n">
        <v>5.2</v>
      </c>
      <c r="H633" t="n">
        <v>0</v>
      </c>
      <c r="I633" t="n">
        <v>0</v>
      </c>
      <c r="J633" t="n">
        <v>0</v>
      </c>
      <c r="K633" t="n">
        <v>0</v>
      </c>
      <c r="L633" t="n">
        <v>0</v>
      </c>
      <c r="M633" t="n">
        <v>0</v>
      </c>
      <c r="N633" t="n">
        <v>0</v>
      </c>
      <c r="O633" t="n">
        <v>0</v>
      </c>
      <c r="P633" t="n">
        <v>0</v>
      </c>
      <c r="Q633" t="n">
        <v>0</v>
      </c>
      <c r="R633" s="2" t="inlineStr"/>
    </row>
    <row r="634" ht="15" customHeight="1">
      <c r="A634" t="inlineStr">
        <is>
          <t>A 17612-2022</t>
        </is>
      </c>
      <c r="B634" s="1" t="n">
        <v>44680</v>
      </c>
      <c r="C634" s="1" t="n">
        <v>45915</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11229-2022</t>
        </is>
      </c>
      <c r="B635" s="1" t="n">
        <v>44629</v>
      </c>
      <c r="C635" s="1" t="n">
        <v>45915</v>
      </c>
      <c r="D635" t="inlineStr">
        <is>
          <t>STOCKHOLMS LÄN</t>
        </is>
      </c>
      <c r="E635" t="inlineStr">
        <is>
          <t>NORRTÄLJE</t>
        </is>
      </c>
      <c r="F635" t="inlineStr">
        <is>
          <t>Övriga Aktiebolag</t>
        </is>
      </c>
      <c r="G635" t="n">
        <v>4.1</v>
      </c>
      <c r="H635" t="n">
        <v>0</v>
      </c>
      <c r="I635" t="n">
        <v>0</v>
      </c>
      <c r="J635" t="n">
        <v>0</v>
      </c>
      <c r="K635" t="n">
        <v>0</v>
      </c>
      <c r="L635" t="n">
        <v>0</v>
      </c>
      <c r="M635" t="n">
        <v>0</v>
      </c>
      <c r="N635" t="n">
        <v>0</v>
      </c>
      <c r="O635" t="n">
        <v>0</v>
      </c>
      <c r="P635" t="n">
        <v>0</v>
      </c>
      <c r="Q635" t="n">
        <v>0</v>
      </c>
      <c r="R635" s="2" t="inlineStr"/>
    </row>
    <row r="636" ht="15" customHeight="1">
      <c r="A636" t="inlineStr">
        <is>
          <t>A 9654-2022</t>
        </is>
      </c>
      <c r="B636" s="1" t="n">
        <v>44617</v>
      </c>
      <c r="C636" s="1" t="n">
        <v>45915</v>
      </c>
      <c r="D636" t="inlineStr">
        <is>
          <t>STOCKHOLMS LÄN</t>
        </is>
      </c>
      <c r="E636" t="inlineStr">
        <is>
          <t>NORRTÄLJE</t>
        </is>
      </c>
      <c r="G636" t="n">
        <v>6.4</v>
      </c>
      <c r="H636" t="n">
        <v>0</v>
      </c>
      <c r="I636" t="n">
        <v>0</v>
      </c>
      <c r="J636" t="n">
        <v>0</v>
      </c>
      <c r="K636" t="n">
        <v>0</v>
      </c>
      <c r="L636" t="n">
        <v>0</v>
      </c>
      <c r="M636" t="n">
        <v>0</v>
      </c>
      <c r="N636" t="n">
        <v>0</v>
      </c>
      <c r="O636" t="n">
        <v>0</v>
      </c>
      <c r="P636" t="n">
        <v>0</v>
      </c>
      <c r="Q636" t="n">
        <v>0</v>
      </c>
      <c r="R636" s="2" t="inlineStr"/>
    </row>
    <row r="637" ht="15" customHeight="1">
      <c r="A637" t="inlineStr">
        <is>
          <t>A 5389-2025</t>
        </is>
      </c>
      <c r="B637" s="1" t="n">
        <v>45692</v>
      </c>
      <c r="C637" s="1" t="n">
        <v>45915</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44075-2023</t>
        </is>
      </c>
      <c r="B638" s="1" t="n">
        <v>45188.41637731482</v>
      </c>
      <c r="C638" s="1" t="n">
        <v>45915</v>
      </c>
      <c r="D638" t="inlineStr">
        <is>
          <t>STOCKHOLMS LÄN</t>
        </is>
      </c>
      <c r="E638" t="inlineStr">
        <is>
          <t>NORRTÄLJE</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58297-2023</t>
        </is>
      </c>
      <c r="B639" s="1" t="n">
        <v>45245</v>
      </c>
      <c r="C639" s="1" t="n">
        <v>45915</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37147-2023</t>
        </is>
      </c>
      <c r="B640" s="1" t="n">
        <v>45155</v>
      </c>
      <c r="C640" s="1" t="n">
        <v>45915</v>
      </c>
      <c r="D640" t="inlineStr">
        <is>
          <t>STOCKHOLMS LÄN</t>
        </is>
      </c>
      <c r="E640" t="inlineStr">
        <is>
          <t>NORRTÄLJE</t>
        </is>
      </c>
      <c r="G640" t="n">
        <v>8</v>
      </c>
      <c r="H640" t="n">
        <v>0</v>
      </c>
      <c r="I640" t="n">
        <v>0</v>
      </c>
      <c r="J640" t="n">
        <v>0</v>
      </c>
      <c r="K640" t="n">
        <v>0</v>
      </c>
      <c r="L640" t="n">
        <v>0</v>
      </c>
      <c r="M640" t="n">
        <v>0</v>
      </c>
      <c r="N640" t="n">
        <v>0</v>
      </c>
      <c r="O640" t="n">
        <v>0</v>
      </c>
      <c r="P640" t="n">
        <v>0</v>
      </c>
      <c r="Q640" t="n">
        <v>0</v>
      </c>
      <c r="R640" s="2" t="inlineStr"/>
    </row>
    <row r="641" ht="15" customHeight="1">
      <c r="A641" t="inlineStr">
        <is>
          <t>A 59499-2023</t>
        </is>
      </c>
      <c r="B641" s="1" t="n">
        <v>45254</v>
      </c>
      <c r="C641" s="1" t="n">
        <v>45915</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60654-2023</t>
        </is>
      </c>
      <c r="B642" s="1" t="n">
        <v>45260.43225694444</v>
      </c>
      <c r="C642" s="1" t="n">
        <v>45915</v>
      </c>
      <c r="D642" t="inlineStr">
        <is>
          <t>STOCKHOLMS LÄN</t>
        </is>
      </c>
      <c r="E642" t="inlineStr">
        <is>
          <t>NORRTÄLJE</t>
        </is>
      </c>
      <c r="G642" t="n">
        <v>2.1</v>
      </c>
      <c r="H642" t="n">
        <v>0</v>
      </c>
      <c r="I642" t="n">
        <v>0</v>
      </c>
      <c r="J642" t="n">
        <v>0</v>
      </c>
      <c r="K642" t="n">
        <v>0</v>
      </c>
      <c r="L642" t="n">
        <v>0</v>
      </c>
      <c r="M642" t="n">
        <v>0</v>
      </c>
      <c r="N642" t="n">
        <v>0</v>
      </c>
      <c r="O642" t="n">
        <v>0</v>
      </c>
      <c r="P642" t="n">
        <v>0</v>
      </c>
      <c r="Q642" t="n">
        <v>0</v>
      </c>
      <c r="R642" s="2" t="inlineStr"/>
    </row>
    <row r="643" ht="15" customHeight="1">
      <c r="A643" t="inlineStr">
        <is>
          <t>A 21726-2022</t>
        </is>
      </c>
      <c r="B643" s="1" t="n">
        <v>44708</v>
      </c>
      <c r="C643" s="1" t="n">
        <v>45915</v>
      </c>
      <c r="D643" t="inlineStr">
        <is>
          <t>STOCKHOLMS LÄN</t>
        </is>
      </c>
      <c r="E643" t="inlineStr">
        <is>
          <t>NORRTÄLJE</t>
        </is>
      </c>
      <c r="G643" t="n">
        <v>0.2</v>
      </c>
      <c r="H643" t="n">
        <v>0</v>
      </c>
      <c r="I643" t="n">
        <v>0</v>
      </c>
      <c r="J643" t="n">
        <v>0</v>
      </c>
      <c r="K643" t="n">
        <v>0</v>
      </c>
      <c r="L643" t="n">
        <v>0</v>
      </c>
      <c r="M643" t="n">
        <v>0</v>
      </c>
      <c r="N643" t="n">
        <v>0</v>
      </c>
      <c r="O643" t="n">
        <v>0</v>
      </c>
      <c r="P643" t="n">
        <v>0</v>
      </c>
      <c r="Q643" t="n">
        <v>0</v>
      </c>
      <c r="R643" s="2" t="inlineStr"/>
    </row>
    <row r="644" ht="15" customHeight="1">
      <c r="A644" t="inlineStr">
        <is>
          <t>A 21739-2022</t>
        </is>
      </c>
      <c r="B644" s="1" t="n">
        <v>44708.36708333333</v>
      </c>
      <c r="C644" s="1" t="n">
        <v>45915</v>
      </c>
      <c r="D644" t="inlineStr">
        <is>
          <t>STOCKHOLMS LÄN</t>
        </is>
      </c>
      <c r="E644" t="inlineStr">
        <is>
          <t>NORRTÄLJE</t>
        </is>
      </c>
      <c r="F644" t="inlineStr">
        <is>
          <t>Holmen skog AB</t>
        </is>
      </c>
      <c r="G644" t="n">
        <v>1.1</v>
      </c>
      <c r="H644" t="n">
        <v>0</v>
      </c>
      <c r="I644" t="n">
        <v>0</v>
      </c>
      <c r="J644" t="n">
        <v>0</v>
      </c>
      <c r="K644" t="n">
        <v>0</v>
      </c>
      <c r="L644" t="n">
        <v>0</v>
      </c>
      <c r="M644" t="n">
        <v>0</v>
      </c>
      <c r="N644" t="n">
        <v>0</v>
      </c>
      <c r="O644" t="n">
        <v>0</v>
      </c>
      <c r="P644" t="n">
        <v>0</v>
      </c>
      <c r="Q644" t="n">
        <v>0</v>
      </c>
      <c r="R644" s="2" t="inlineStr"/>
    </row>
    <row r="645" ht="15" customHeight="1">
      <c r="A645" t="inlineStr">
        <is>
          <t>A 60656-2023</t>
        </is>
      </c>
      <c r="B645" s="1" t="n">
        <v>45260.4333449074</v>
      </c>
      <c r="C645" s="1" t="n">
        <v>45915</v>
      </c>
      <c r="D645" t="inlineStr">
        <is>
          <t>STOCKHOLMS LÄN</t>
        </is>
      </c>
      <c r="E645" t="inlineStr">
        <is>
          <t>NORRTÄLJE</t>
        </is>
      </c>
      <c r="G645" t="n">
        <v>4.8</v>
      </c>
      <c r="H645" t="n">
        <v>0</v>
      </c>
      <c r="I645" t="n">
        <v>0</v>
      </c>
      <c r="J645" t="n">
        <v>0</v>
      </c>
      <c r="K645" t="n">
        <v>0</v>
      </c>
      <c r="L645" t="n">
        <v>0</v>
      </c>
      <c r="M645" t="n">
        <v>0</v>
      </c>
      <c r="N645" t="n">
        <v>0</v>
      </c>
      <c r="O645" t="n">
        <v>0</v>
      </c>
      <c r="P645" t="n">
        <v>0</v>
      </c>
      <c r="Q645" t="n">
        <v>0</v>
      </c>
      <c r="R645" s="2" t="inlineStr"/>
    </row>
    <row r="646" ht="15" customHeight="1">
      <c r="A646" t="inlineStr">
        <is>
          <t>A 28182-2022</t>
        </is>
      </c>
      <c r="B646" s="1" t="n">
        <v>44746.58530092592</v>
      </c>
      <c r="C646" s="1" t="n">
        <v>45915</v>
      </c>
      <c r="D646" t="inlineStr">
        <is>
          <t>STOCKHOLMS LÄN</t>
        </is>
      </c>
      <c r="E646" t="inlineStr">
        <is>
          <t>NORRTÄLJE</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22697-2022</t>
        </is>
      </c>
      <c r="B647" s="1" t="n">
        <v>44714.56040509259</v>
      </c>
      <c r="C647" s="1" t="n">
        <v>45915</v>
      </c>
      <c r="D647" t="inlineStr">
        <is>
          <t>STOCKHOLMS LÄN</t>
        </is>
      </c>
      <c r="E647" t="inlineStr">
        <is>
          <t>NORRTÄLJE</t>
        </is>
      </c>
      <c r="G647" t="n">
        <v>5.6</v>
      </c>
      <c r="H647" t="n">
        <v>0</v>
      </c>
      <c r="I647" t="n">
        <v>0</v>
      </c>
      <c r="J647" t="n">
        <v>0</v>
      </c>
      <c r="K647" t="n">
        <v>0</v>
      </c>
      <c r="L647" t="n">
        <v>0</v>
      </c>
      <c r="M647" t="n">
        <v>0</v>
      </c>
      <c r="N647" t="n">
        <v>0</v>
      </c>
      <c r="O647" t="n">
        <v>0</v>
      </c>
      <c r="P647" t="n">
        <v>0</v>
      </c>
      <c r="Q647" t="n">
        <v>0</v>
      </c>
      <c r="R647" s="2" t="inlineStr"/>
    </row>
    <row r="648" ht="15" customHeight="1">
      <c r="A648" t="inlineStr">
        <is>
          <t>A 29250-2025</t>
        </is>
      </c>
      <c r="B648" s="1" t="n">
        <v>45824.37275462963</v>
      </c>
      <c r="C648" s="1" t="n">
        <v>45915</v>
      </c>
      <c r="D648" t="inlineStr">
        <is>
          <t>STOCKHOLMS LÄN</t>
        </is>
      </c>
      <c r="E648" t="inlineStr">
        <is>
          <t>NORRTÄLJE</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3283-2025</t>
        </is>
      </c>
      <c r="B649" s="1" t="n">
        <v>45679</v>
      </c>
      <c r="C649" s="1" t="n">
        <v>45915</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18092-2022</t>
        </is>
      </c>
      <c r="B650" s="1" t="n">
        <v>44684</v>
      </c>
      <c r="C650" s="1" t="n">
        <v>45915</v>
      </c>
      <c r="D650" t="inlineStr">
        <is>
          <t>STOCKHOLMS LÄN</t>
        </is>
      </c>
      <c r="E650" t="inlineStr">
        <is>
          <t>NORRTÄLJE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33295-2023</t>
        </is>
      </c>
      <c r="B651" s="1" t="n">
        <v>45127.69371527778</v>
      </c>
      <c r="C651" s="1" t="n">
        <v>45915</v>
      </c>
      <c r="D651" t="inlineStr">
        <is>
          <t>STOCKHOLMS LÄN</t>
        </is>
      </c>
      <c r="E651" t="inlineStr">
        <is>
          <t>NORRTÄLJE</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58404-2023</t>
        </is>
      </c>
      <c r="B652" s="1" t="n">
        <v>45245</v>
      </c>
      <c r="C652" s="1" t="n">
        <v>45915</v>
      </c>
      <c r="D652" t="inlineStr">
        <is>
          <t>STOCKHOLMS LÄN</t>
        </is>
      </c>
      <c r="E652" t="inlineStr">
        <is>
          <t>NORRTÄLJE</t>
        </is>
      </c>
      <c r="G652" t="n">
        <v>53.5</v>
      </c>
      <c r="H652" t="n">
        <v>0</v>
      </c>
      <c r="I652" t="n">
        <v>0</v>
      </c>
      <c r="J652" t="n">
        <v>0</v>
      </c>
      <c r="K652" t="n">
        <v>0</v>
      </c>
      <c r="L652" t="n">
        <v>0</v>
      </c>
      <c r="M652" t="n">
        <v>0</v>
      </c>
      <c r="N652" t="n">
        <v>0</v>
      </c>
      <c r="O652" t="n">
        <v>0</v>
      </c>
      <c r="P652" t="n">
        <v>0</v>
      </c>
      <c r="Q652" t="n">
        <v>0</v>
      </c>
      <c r="R652" s="2" t="inlineStr"/>
    </row>
    <row r="653" ht="15" customHeight="1">
      <c r="A653" t="inlineStr">
        <is>
          <t>A 27885-2022</t>
        </is>
      </c>
      <c r="B653" s="1" t="n">
        <v>44743.67418981482</v>
      </c>
      <c r="C653" s="1" t="n">
        <v>45915</v>
      </c>
      <c r="D653" t="inlineStr">
        <is>
          <t>STOCKHOLMS LÄN</t>
        </is>
      </c>
      <c r="E653" t="inlineStr">
        <is>
          <t>NORRTÄLJE</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25525-2022</t>
        </is>
      </c>
      <c r="B654" s="1" t="n">
        <v>44732</v>
      </c>
      <c r="C654" s="1" t="n">
        <v>45915</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48722-2023</t>
        </is>
      </c>
      <c r="B655" s="1" t="n">
        <v>45208.70996527778</v>
      </c>
      <c r="C655" s="1" t="n">
        <v>45915</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48180-2023</t>
        </is>
      </c>
      <c r="B656" s="1" t="n">
        <v>45205</v>
      </c>
      <c r="C656" s="1" t="n">
        <v>45915</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57353-2024</t>
        </is>
      </c>
      <c r="B657" s="1" t="n">
        <v>45629.65143518519</v>
      </c>
      <c r="C657" s="1" t="n">
        <v>45915</v>
      </c>
      <c r="D657" t="inlineStr">
        <is>
          <t>STOCKHOLMS LÄN</t>
        </is>
      </c>
      <c r="E657" t="inlineStr">
        <is>
          <t>NORRTÄLJE</t>
        </is>
      </c>
      <c r="F657" t="inlineStr">
        <is>
          <t>Holmen skog AB</t>
        </is>
      </c>
      <c r="G657" t="n">
        <v>0.9</v>
      </c>
      <c r="H657" t="n">
        <v>0</v>
      </c>
      <c r="I657" t="n">
        <v>0</v>
      </c>
      <c r="J657" t="n">
        <v>0</v>
      </c>
      <c r="K657" t="n">
        <v>0</v>
      </c>
      <c r="L657" t="n">
        <v>0</v>
      </c>
      <c r="M657" t="n">
        <v>0</v>
      </c>
      <c r="N657" t="n">
        <v>0</v>
      </c>
      <c r="O657" t="n">
        <v>0</v>
      </c>
      <c r="P657" t="n">
        <v>0</v>
      </c>
      <c r="Q657" t="n">
        <v>0</v>
      </c>
      <c r="R657" s="2" t="inlineStr"/>
    </row>
    <row r="658" ht="15" customHeight="1">
      <c r="A658" t="inlineStr">
        <is>
          <t>A 67393-2020</t>
        </is>
      </c>
      <c r="B658" s="1" t="n">
        <v>44181</v>
      </c>
      <c r="C658" s="1" t="n">
        <v>45915</v>
      </c>
      <c r="D658" t="inlineStr">
        <is>
          <t>STOCKHOLMS LÄN</t>
        </is>
      </c>
      <c r="E658" t="inlineStr">
        <is>
          <t>NORRTÄLJE</t>
        </is>
      </c>
      <c r="G658" t="n">
        <v>5.5</v>
      </c>
      <c r="H658" t="n">
        <v>0</v>
      </c>
      <c r="I658" t="n">
        <v>0</v>
      </c>
      <c r="J658" t="n">
        <v>0</v>
      </c>
      <c r="K658" t="n">
        <v>0</v>
      </c>
      <c r="L658" t="n">
        <v>0</v>
      </c>
      <c r="M658" t="n">
        <v>0</v>
      </c>
      <c r="N658" t="n">
        <v>0</v>
      </c>
      <c r="O658" t="n">
        <v>0</v>
      </c>
      <c r="P658" t="n">
        <v>0</v>
      </c>
      <c r="Q658" t="n">
        <v>0</v>
      </c>
      <c r="R658" s="2" t="inlineStr"/>
    </row>
    <row r="659" ht="15" customHeight="1">
      <c r="A659" t="inlineStr">
        <is>
          <t>A 55696-2022</t>
        </is>
      </c>
      <c r="B659" s="1" t="n">
        <v>44888</v>
      </c>
      <c r="C659" s="1" t="n">
        <v>45915</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50907-2022</t>
        </is>
      </c>
      <c r="B660" s="1" t="n">
        <v>44867.62090277778</v>
      </c>
      <c r="C660" s="1" t="n">
        <v>45915</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6919-2025</t>
        </is>
      </c>
      <c r="B661" s="1" t="n">
        <v>45701.44372685185</v>
      </c>
      <c r="C661" s="1" t="n">
        <v>45915</v>
      </c>
      <c r="D661" t="inlineStr">
        <is>
          <t>STOCKHOLMS LÄN</t>
        </is>
      </c>
      <c r="E661" t="inlineStr">
        <is>
          <t>NORRTÄLJE</t>
        </is>
      </c>
      <c r="G661" t="n">
        <v>3.5</v>
      </c>
      <c r="H661" t="n">
        <v>0</v>
      </c>
      <c r="I661" t="n">
        <v>0</v>
      </c>
      <c r="J661" t="n">
        <v>0</v>
      </c>
      <c r="K661" t="n">
        <v>0</v>
      </c>
      <c r="L661" t="n">
        <v>0</v>
      </c>
      <c r="M661" t="n">
        <v>0</v>
      </c>
      <c r="N661" t="n">
        <v>0</v>
      </c>
      <c r="O661" t="n">
        <v>0</v>
      </c>
      <c r="P661" t="n">
        <v>0</v>
      </c>
      <c r="Q661" t="n">
        <v>0</v>
      </c>
      <c r="R661" s="2" t="inlineStr"/>
    </row>
    <row r="662" ht="15" customHeight="1">
      <c r="A662" t="inlineStr">
        <is>
          <t>A 53362-2023</t>
        </is>
      </c>
      <c r="B662" s="1" t="n">
        <v>45223</v>
      </c>
      <c r="C662" s="1" t="n">
        <v>45915</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23801-2022</t>
        </is>
      </c>
      <c r="B663" s="1" t="n">
        <v>44722</v>
      </c>
      <c r="C663" s="1" t="n">
        <v>45915</v>
      </c>
      <c r="D663" t="inlineStr">
        <is>
          <t>STOCKHOLMS LÄN</t>
        </is>
      </c>
      <c r="E663" t="inlineStr">
        <is>
          <t>NORRTÄLJE</t>
        </is>
      </c>
      <c r="G663" t="n">
        <v>6.8</v>
      </c>
      <c r="H663" t="n">
        <v>0</v>
      </c>
      <c r="I663" t="n">
        <v>0</v>
      </c>
      <c r="J663" t="n">
        <v>0</v>
      </c>
      <c r="K663" t="n">
        <v>0</v>
      </c>
      <c r="L663" t="n">
        <v>0</v>
      </c>
      <c r="M663" t="n">
        <v>0</v>
      </c>
      <c r="N663" t="n">
        <v>0</v>
      </c>
      <c r="O663" t="n">
        <v>0</v>
      </c>
      <c r="P663" t="n">
        <v>0</v>
      </c>
      <c r="Q663" t="n">
        <v>0</v>
      </c>
      <c r="R663" s="2" t="inlineStr"/>
    </row>
    <row r="664" ht="15" customHeight="1">
      <c r="A664" t="inlineStr">
        <is>
          <t>A 30668-2025</t>
        </is>
      </c>
      <c r="B664" s="1" t="n">
        <v>45831.51659722222</v>
      </c>
      <c r="C664" s="1" t="n">
        <v>45915</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30799-2025</t>
        </is>
      </c>
      <c r="B665" s="1" t="n">
        <v>45831.65079861111</v>
      </c>
      <c r="C665" s="1" t="n">
        <v>45915</v>
      </c>
      <c r="D665" t="inlineStr">
        <is>
          <t>STOCKHOLMS LÄN</t>
        </is>
      </c>
      <c r="E665" t="inlineStr">
        <is>
          <t>NORRTÄLJE</t>
        </is>
      </c>
      <c r="F665" t="inlineStr">
        <is>
          <t>Holmen skog AB</t>
        </is>
      </c>
      <c r="G665" t="n">
        <v>7.9</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45915</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33353-2023</t>
        </is>
      </c>
      <c r="B667" s="1" t="n">
        <v>45128</v>
      </c>
      <c r="C667" s="1" t="n">
        <v>45915</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10215-2023</t>
        </is>
      </c>
      <c r="B668" s="1" t="n">
        <v>44986.5887962963</v>
      </c>
      <c r="C668" s="1" t="n">
        <v>45915</v>
      </c>
      <c r="D668" t="inlineStr">
        <is>
          <t>STOCKHOLMS LÄN</t>
        </is>
      </c>
      <c r="E668" t="inlineStr">
        <is>
          <t>NORRTÄLJE</t>
        </is>
      </c>
      <c r="G668" t="n">
        <v>6.5</v>
      </c>
      <c r="H668" t="n">
        <v>0</v>
      </c>
      <c r="I668" t="n">
        <v>0</v>
      </c>
      <c r="J668" t="n">
        <v>0</v>
      </c>
      <c r="K668" t="n">
        <v>0</v>
      </c>
      <c r="L668" t="n">
        <v>0</v>
      </c>
      <c r="M668" t="n">
        <v>0</v>
      </c>
      <c r="N668" t="n">
        <v>0</v>
      </c>
      <c r="O668" t="n">
        <v>0</v>
      </c>
      <c r="P668" t="n">
        <v>0</v>
      </c>
      <c r="Q668" t="n">
        <v>0</v>
      </c>
      <c r="R668" s="2" t="inlineStr"/>
    </row>
    <row r="669" ht="15" customHeight="1">
      <c r="A669" t="inlineStr">
        <is>
          <t>A 19058-2023</t>
        </is>
      </c>
      <c r="B669" s="1" t="n">
        <v>45048</v>
      </c>
      <c r="C669" s="1" t="n">
        <v>45915</v>
      </c>
      <c r="D669" t="inlineStr">
        <is>
          <t>STOCKHOLMS LÄN</t>
        </is>
      </c>
      <c r="E669" t="inlineStr">
        <is>
          <t>NORRTÄLJE</t>
        </is>
      </c>
      <c r="G669" t="n">
        <v>3.7</v>
      </c>
      <c r="H669" t="n">
        <v>0</v>
      </c>
      <c r="I669" t="n">
        <v>0</v>
      </c>
      <c r="J669" t="n">
        <v>0</v>
      </c>
      <c r="K669" t="n">
        <v>0</v>
      </c>
      <c r="L669" t="n">
        <v>0</v>
      </c>
      <c r="M669" t="n">
        <v>0</v>
      </c>
      <c r="N669" t="n">
        <v>0</v>
      </c>
      <c r="O669" t="n">
        <v>0</v>
      </c>
      <c r="P669" t="n">
        <v>0</v>
      </c>
      <c r="Q669" t="n">
        <v>0</v>
      </c>
      <c r="R669" s="2" t="inlineStr"/>
    </row>
    <row r="670" ht="15" customHeight="1">
      <c r="A670" t="inlineStr">
        <is>
          <t>A 30639-2025</t>
        </is>
      </c>
      <c r="B670" s="1" t="n">
        <v>45831.4844212963</v>
      </c>
      <c r="C670" s="1" t="n">
        <v>45915</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31170-2025</t>
        </is>
      </c>
      <c r="B671" s="1" t="n">
        <v>45832.66385416667</v>
      </c>
      <c r="C671" s="1" t="n">
        <v>45915</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30699-2025</t>
        </is>
      </c>
      <c r="B672" s="1" t="n">
        <v>45831.54618055555</v>
      </c>
      <c r="C672" s="1" t="n">
        <v>45915</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14127-2025</t>
        </is>
      </c>
      <c r="B673" s="1" t="n">
        <v>45740.47055555556</v>
      </c>
      <c r="C673" s="1" t="n">
        <v>45915</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31559-2022</t>
        </is>
      </c>
      <c r="B674" s="1" t="n">
        <v>44775</v>
      </c>
      <c r="C674" s="1" t="n">
        <v>45915</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35708-2022</t>
        </is>
      </c>
      <c r="B675" s="1" t="n">
        <v>44799.65013888889</v>
      </c>
      <c r="C675" s="1" t="n">
        <v>45915</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52001-2023</t>
        </is>
      </c>
      <c r="B676" s="1" t="n">
        <v>45223</v>
      </c>
      <c r="C676" s="1" t="n">
        <v>45915</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3426-2025</t>
        </is>
      </c>
      <c r="B677" s="1" t="n">
        <v>45680.42665509259</v>
      </c>
      <c r="C677" s="1" t="n">
        <v>45915</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9-2024</t>
        </is>
      </c>
      <c r="B678" s="1" t="n">
        <v>45293</v>
      </c>
      <c r="C678" s="1" t="n">
        <v>45915</v>
      </c>
      <c r="D678" t="inlineStr">
        <is>
          <t>STOCKHOLMS LÄN</t>
        </is>
      </c>
      <c r="E678" t="inlineStr">
        <is>
          <t>NORRTÄLJE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51312-2023</t>
        </is>
      </c>
      <c r="B679" s="1" t="n">
        <v>45219.56697916667</v>
      </c>
      <c r="C679" s="1" t="n">
        <v>45915</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31874-2025</t>
        </is>
      </c>
      <c r="B680" s="1" t="n">
        <v>45834</v>
      </c>
      <c r="C680" s="1" t="n">
        <v>45915</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37261-2025</t>
        </is>
      </c>
      <c r="B681" s="1" t="n">
        <v>45876.45253472222</v>
      </c>
      <c r="C681" s="1" t="n">
        <v>45915</v>
      </c>
      <c r="D681" t="inlineStr">
        <is>
          <t>STOCKHOLMS LÄN</t>
        </is>
      </c>
      <c r="E681" t="inlineStr">
        <is>
          <t>NORRTÄLJE</t>
        </is>
      </c>
      <c r="F681" t="inlineStr">
        <is>
          <t>Kommuner</t>
        </is>
      </c>
      <c r="G681" t="n">
        <v>2.2</v>
      </c>
      <c r="H681" t="n">
        <v>0</v>
      </c>
      <c r="I681" t="n">
        <v>0</v>
      </c>
      <c r="J681" t="n">
        <v>0</v>
      </c>
      <c r="K681" t="n">
        <v>0</v>
      </c>
      <c r="L681" t="n">
        <v>0</v>
      </c>
      <c r="M681" t="n">
        <v>0</v>
      </c>
      <c r="N681" t="n">
        <v>0</v>
      </c>
      <c r="O681" t="n">
        <v>0</v>
      </c>
      <c r="P681" t="n">
        <v>0</v>
      </c>
      <c r="Q681" t="n">
        <v>0</v>
      </c>
      <c r="R681" s="2" t="inlineStr"/>
    </row>
    <row r="682" ht="15" customHeight="1">
      <c r="A682" t="inlineStr">
        <is>
          <t>A 11849-2025</t>
        </is>
      </c>
      <c r="B682" s="1" t="n">
        <v>45728.38409722222</v>
      </c>
      <c r="C682" s="1" t="n">
        <v>45915</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38610-2022</t>
        </is>
      </c>
      <c r="B683" s="1" t="n">
        <v>44813.59915509259</v>
      </c>
      <c r="C683" s="1" t="n">
        <v>45915</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22816-2021</t>
        </is>
      </c>
      <c r="B684" s="1" t="n">
        <v>44325</v>
      </c>
      <c r="C684" s="1" t="n">
        <v>45915</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31868-2025</t>
        </is>
      </c>
      <c r="B685" s="1" t="n">
        <v>45834.6447337963</v>
      </c>
      <c r="C685" s="1" t="n">
        <v>45915</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6413-2025</t>
        </is>
      </c>
      <c r="B686" s="1" t="n">
        <v>45699.46283564815</v>
      </c>
      <c r="C686" s="1" t="n">
        <v>45915</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22456-2023</t>
        </is>
      </c>
      <c r="B687" s="1" t="n">
        <v>45070</v>
      </c>
      <c r="C687" s="1" t="n">
        <v>45915</v>
      </c>
      <c r="D687" t="inlineStr">
        <is>
          <t>STOCKHOLMS LÄN</t>
        </is>
      </c>
      <c r="E687" t="inlineStr">
        <is>
          <t>NORRTÄLJE</t>
        </is>
      </c>
      <c r="G687" t="n">
        <v>3.1</v>
      </c>
      <c r="H687" t="n">
        <v>0</v>
      </c>
      <c r="I687" t="n">
        <v>0</v>
      </c>
      <c r="J687" t="n">
        <v>0</v>
      </c>
      <c r="K687" t="n">
        <v>0</v>
      </c>
      <c r="L687" t="n">
        <v>0</v>
      </c>
      <c r="M687" t="n">
        <v>0</v>
      </c>
      <c r="N687" t="n">
        <v>0</v>
      </c>
      <c r="O687" t="n">
        <v>0</v>
      </c>
      <c r="P687" t="n">
        <v>0</v>
      </c>
      <c r="Q687" t="n">
        <v>0</v>
      </c>
      <c r="R687" s="2" t="inlineStr"/>
    </row>
    <row r="688" ht="15" customHeight="1">
      <c r="A688" t="inlineStr">
        <is>
          <t>A 31880-2025</t>
        </is>
      </c>
      <c r="B688" s="1" t="n">
        <v>45834.65538194445</v>
      </c>
      <c r="C688" s="1" t="n">
        <v>45915</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19580-2022</t>
        </is>
      </c>
      <c r="B689" s="1" t="n">
        <v>44693</v>
      </c>
      <c r="C689" s="1" t="n">
        <v>45915</v>
      </c>
      <c r="D689" t="inlineStr">
        <is>
          <t>STOCKHOLMS LÄN</t>
        </is>
      </c>
      <c r="E689" t="inlineStr">
        <is>
          <t>NORRTÄLJE</t>
        </is>
      </c>
      <c r="G689" t="n">
        <v>0.4</v>
      </c>
      <c r="H689" t="n">
        <v>0</v>
      </c>
      <c r="I689" t="n">
        <v>0</v>
      </c>
      <c r="J689" t="n">
        <v>0</v>
      </c>
      <c r="K689" t="n">
        <v>0</v>
      </c>
      <c r="L689" t="n">
        <v>0</v>
      </c>
      <c r="M689" t="n">
        <v>0</v>
      </c>
      <c r="N689" t="n">
        <v>0</v>
      </c>
      <c r="O689" t="n">
        <v>0</v>
      </c>
      <c r="P689" t="n">
        <v>0</v>
      </c>
      <c r="Q689" t="n">
        <v>0</v>
      </c>
      <c r="R689" s="2" t="inlineStr"/>
    </row>
    <row r="690" ht="15" customHeight="1">
      <c r="A690" t="inlineStr">
        <is>
          <t>A 5823-2023</t>
        </is>
      </c>
      <c r="B690" s="1" t="n">
        <v>44963</v>
      </c>
      <c r="C690" s="1" t="n">
        <v>45915</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30731-2023</t>
        </is>
      </c>
      <c r="B691" s="1" t="n">
        <v>45112</v>
      </c>
      <c r="C691" s="1" t="n">
        <v>45915</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11988-2021</t>
        </is>
      </c>
      <c r="B692" s="1" t="n">
        <v>44266</v>
      </c>
      <c r="C692" s="1" t="n">
        <v>45915</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12132-2021</t>
        </is>
      </c>
      <c r="B693" s="1" t="n">
        <v>44266</v>
      </c>
      <c r="C693" s="1" t="n">
        <v>45915</v>
      </c>
      <c r="D693" t="inlineStr">
        <is>
          <t>STOCKHOLMS LÄN</t>
        </is>
      </c>
      <c r="E693" t="inlineStr">
        <is>
          <t>NORRTÄLJE</t>
        </is>
      </c>
      <c r="G693" t="n">
        <v>4</v>
      </c>
      <c r="H693" t="n">
        <v>0</v>
      </c>
      <c r="I693" t="n">
        <v>0</v>
      </c>
      <c r="J693" t="n">
        <v>0</v>
      </c>
      <c r="K693" t="n">
        <v>0</v>
      </c>
      <c r="L693" t="n">
        <v>0</v>
      </c>
      <c r="M693" t="n">
        <v>0</v>
      </c>
      <c r="N693" t="n">
        <v>0</v>
      </c>
      <c r="O693" t="n">
        <v>0</v>
      </c>
      <c r="P693" t="n">
        <v>0</v>
      </c>
      <c r="Q693" t="n">
        <v>0</v>
      </c>
      <c r="R693" s="2" t="inlineStr"/>
    </row>
    <row r="694" ht="15" customHeight="1">
      <c r="A694" t="inlineStr">
        <is>
          <t>A 51653-2022</t>
        </is>
      </c>
      <c r="B694" s="1" t="n">
        <v>44867</v>
      </c>
      <c r="C694" s="1" t="n">
        <v>45915</v>
      </c>
      <c r="D694" t="inlineStr">
        <is>
          <t>STOCKHOLMS LÄN</t>
        </is>
      </c>
      <c r="E694" t="inlineStr">
        <is>
          <t>NORRTÄLJE</t>
        </is>
      </c>
      <c r="G694" t="n">
        <v>6.6</v>
      </c>
      <c r="H694" t="n">
        <v>0</v>
      </c>
      <c r="I694" t="n">
        <v>0</v>
      </c>
      <c r="J694" t="n">
        <v>0</v>
      </c>
      <c r="K694" t="n">
        <v>0</v>
      </c>
      <c r="L694" t="n">
        <v>0</v>
      </c>
      <c r="M694" t="n">
        <v>0</v>
      </c>
      <c r="N694" t="n">
        <v>0</v>
      </c>
      <c r="O694" t="n">
        <v>0</v>
      </c>
      <c r="P694" t="n">
        <v>0</v>
      </c>
      <c r="Q694" t="n">
        <v>0</v>
      </c>
      <c r="R694" s="2" t="inlineStr"/>
    </row>
    <row r="695" ht="15" customHeight="1">
      <c r="A695" t="inlineStr">
        <is>
          <t>A 32103-2022</t>
        </is>
      </c>
      <c r="B695" s="1" t="n">
        <v>44778</v>
      </c>
      <c r="C695" s="1" t="n">
        <v>45915</v>
      </c>
      <c r="D695" t="inlineStr">
        <is>
          <t>STOCKHOLMS LÄN</t>
        </is>
      </c>
      <c r="E695" t="inlineStr">
        <is>
          <t>NORRTÄLJE</t>
        </is>
      </c>
      <c r="G695" t="n">
        <v>3.4</v>
      </c>
      <c r="H695" t="n">
        <v>0</v>
      </c>
      <c r="I695" t="n">
        <v>0</v>
      </c>
      <c r="J695" t="n">
        <v>0</v>
      </c>
      <c r="K695" t="n">
        <v>0</v>
      </c>
      <c r="L695" t="n">
        <v>0</v>
      </c>
      <c r="M695" t="n">
        <v>0</v>
      </c>
      <c r="N695" t="n">
        <v>0</v>
      </c>
      <c r="O695" t="n">
        <v>0</v>
      </c>
      <c r="P695" t="n">
        <v>0</v>
      </c>
      <c r="Q695" t="n">
        <v>0</v>
      </c>
      <c r="R695" s="2" t="inlineStr"/>
    </row>
    <row r="696" ht="15" customHeight="1">
      <c r="A696" t="inlineStr">
        <is>
          <t>A 55952-2024</t>
        </is>
      </c>
      <c r="B696" s="1" t="n">
        <v>45623.62563657408</v>
      </c>
      <c r="C696" s="1" t="n">
        <v>45915</v>
      </c>
      <c r="D696" t="inlineStr">
        <is>
          <t>STOCKHOLMS LÄN</t>
        </is>
      </c>
      <c r="E696" t="inlineStr">
        <is>
          <t>NORRTÄLJE</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23070-2023</t>
        </is>
      </c>
      <c r="B697" s="1" t="n">
        <v>45075</v>
      </c>
      <c r="C697" s="1" t="n">
        <v>45915</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8792-2025</t>
        </is>
      </c>
      <c r="B698" s="1" t="n">
        <v>45712</v>
      </c>
      <c r="C698" s="1" t="n">
        <v>45915</v>
      </c>
      <c r="D698" t="inlineStr">
        <is>
          <t>STOCKHOLMS LÄN</t>
        </is>
      </c>
      <c r="E698" t="inlineStr">
        <is>
          <t>NORRTÄLJE</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7571-2024</t>
        </is>
      </c>
      <c r="B699" s="1" t="n">
        <v>45348.46300925926</v>
      </c>
      <c r="C699" s="1" t="n">
        <v>45915</v>
      </c>
      <c r="D699" t="inlineStr">
        <is>
          <t>STOCKHOLMS LÄN</t>
        </is>
      </c>
      <c r="E699" t="inlineStr">
        <is>
          <t>NORRTÄLJE</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36269-2022</t>
        </is>
      </c>
      <c r="B700" s="1" t="n">
        <v>44803</v>
      </c>
      <c r="C700" s="1" t="n">
        <v>45915</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46071-2024</t>
        </is>
      </c>
      <c r="B701" s="1" t="n">
        <v>45581</v>
      </c>
      <c r="C701" s="1" t="n">
        <v>45915</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59468-2023</t>
        </is>
      </c>
      <c r="B702" s="1" t="n">
        <v>45254.41509259259</v>
      </c>
      <c r="C702" s="1" t="n">
        <v>45915</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32283-2025</t>
        </is>
      </c>
      <c r="B703" s="1" t="n">
        <v>45835.68076388889</v>
      </c>
      <c r="C703" s="1" t="n">
        <v>45915</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5665-2025</t>
        </is>
      </c>
      <c r="B704" s="1" t="n">
        <v>45693</v>
      </c>
      <c r="C704" s="1" t="n">
        <v>45915</v>
      </c>
      <c r="D704" t="inlineStr">
        <is>
          <t>STOCKHOLMS LÄN</t>
        </is>
      </c>
      <c r="E704" t="inlineStr">
        <is>
          <t>NORRTÄLJE</t>
        </is>
      </c>
      <c r="G704" t="n">
        <v>4</v>
      </c>
      <c r="H704" t="n">
        <v>0</v>
      </c>
      <c r="I704" t="n">
        <v>0</v>
      </c>
      <c r="J704" t="n">
        <v>0</v>
      </c>
      <c r="K704" t="n">
        <v>0</v>
      </c>
      <c r="L704" t="n">
        <v>0</v>
      </c>
      <c r="M704" t="n">
        <v>0</v>
      </c>
      <c r="N704" t="n">
        <v>0</v>
      </c>
      <c r="O704" t="n">
        <v>0</v>
      </c>
      <c r="P704" t="n">
        <v>0</v>
      </c>
      <c r="Q704" t="n">
        <v>0</v>
      </c>
      <c r="R704" s="2" t="inlineStr"/>
    </row>
    <row r="705" ht="15" customHeight="1">
      <c r="A705" t="inlineStr">
        <is>
          <t>A 32122-2025</t>
        </is>
      </c>
      <c r="B705" s="1" t="n">
        <v>45835.4928125</v>
      </c>
      <c r="C705" s="1" t="n">
        <v>45915</v>
      </c>
      <c r="D705" t="inlineStr">
        <is>
          <t>STOCKHOLMS LÄN</t>
        </is>
      </c>
      <c r="E705" t="inlineStr">
        <is>
          <t>NORRTÄLJE</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18846-2022</t>
        </is>
      </c>
      <c r="B706" s="1" t="n">
        <v>44690</v>
      </c>
      <c r="C706" s="1" t="n">
        <v>45915</v>
      </c>
      <c r="D706" t="inlineStr">
        <is>
          <t>STOCKHOLMS LÄN</t>
        </is>
      </c>
      <c r="E706" t="inlineStr">
        <is>
          <t>NORRTÄLJE</t>
        </is>
      </c>
      <c r="G706" t="n">
        <v>7</v>
      </c>
      <c r="H706" t="n">
        <v>0</v>
      </c>
      <c r="I706" t="n">
        <v>0</v>
      </c>
      <c r="J706" t="n">
        <v>0</v>
      </c>
      <c r="K706" t="n">
        <v>0</v>
      </c>
      <c r="L706" t="n">
        <v>0</v>
      </c>
      <c r="M706" t="n">
        <v>0</v>
      </c>
      <c r="N706" t="n">
        <v>0</v>
      </c>
      <c r="O706" t="n">
        <v>0</v>
      </c>
      <c r="P706" t="n">
        <v>0</v>
      </c>
      <c r="Q706" t="n">
        <v>0</v>
      </c>
      <c r="R706" s="2" t="inlineStr"/>
    </row>
    <row r="707" ht="15" customHeight="1">
      <c r="A707" t="inlineStr">
        <is>
          <t>A 12407-2025</t>
        </is>
      </c>
      <c r="B707" s="1" t="n">
        <v>45730.42851851852</v>
      </c>
      <c r="C707" s="1" t="n">
        <v>45915</v>
      </c>
      <c r="D707" t="inlineStr">
        <is>
          <t>STOCKHOLMS LÄN</t>
        </is>
      </c>
      <c r="E707" t="inlineStr">
        <is>
          <t>NORRTÄLJE</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26636-2023</t>
        </is>
      </c>
      <c r="B708" s="1" t="n">
        <v>45092</v>
      </c>
      <c r="C708" s="1" t="n">
        <v>45915</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26637-2023</t>
        </is>
      </c>
      <c r="B709" s="1" t="n">
        <v>45092</v>
      </c>
      <c r="C709" s="1" t="n">
        <v>45915</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37632-2025</t>
        </is>
      </c>
      <c r="B710" s="1" t="n">
        <v>45880.46524305556</v>
      </c>
      <c r="C710" s="1" t="n">
        <v>45915</v>
      </c>
      <c r="D710" t="inlineStr">
        <is>
          <t>STOCKHOLMS LÄN</t>
        </is>
      </c>
      <c r="E710" t="inlineStr">
        <is>
          <t>NORRTÄLJE</t>
        </is>
      </c>
      <c r="F710" t="inlineStr">
        <is>
          <t>Sveaskog</t>
        </is>
      </c>
      <c r="G710" t="n">
        <v>6.4</v>
      </c>
      <c r="H710" t="n">
        <v>0</v>
      </c>
      <c r="I710" t="n">
        <v>0</v>
      </c>
      <c r="J710" t="n">
        <v>0</v>
      </c>
      <c r="K710" t="n">
        <v>0</v>
      </c>
      <c r="L710" t="n">
        <v>0</v>
      </c>
      <c r="M710" t="n">
        <v>0</v>
      </c>
      <c r="N710" t="n">
        <v>0</v>
      </c>
      <c r="O710" t="n">
        <v>0</v>
      </c>
      <c r="P710" t="n">
        <v>0</v>
      </c>
      <c r="Q710" t="n">
        <v>0</v>
      </c>
      <c r="R710" s="2" t="inlineStr"/>
    </row>
    <row r="711" ht="15" customHeight="1">
      <c r="A711" t="inlineStr">
        <is>
          <t>A 37630-2025</t>
        </is>
      </c>
      <c r="B711" s="1" t="n">
        <v>45880.46372685185</v>
      </c>
      <c r="C711" s="1" t="n">
        <v>45915</v>
      </c>
      <c r="D711" t="inlineStr">
        <is>
          <t>STOCKHOLMS LÄN</t>
        </is>
      </c>
      <c r="E711" t="inlineStr">
        <is>
          <t>NORRTÄLJE</t>
        </is>
      </c>
      <c r="F711" t="inlineStr">
        <is>
          <t>Sveaskog</t>
        </is>
      </c>
      <c r="G711" t="n">
        <v>12.9</v>
      </c>
      <c r="H711" t="n">
        <v>0</v>
      </c>
      <c r="I711" t="n">
        <v>0</v>
      </c>
      <c r="J711" t="n">
        <v>0</v>
      </c>
      <c r="K711" t="n">
        <v>0</v>
      </c>
      <c r="L711" t="n">
        <v>0</v>
      </c>
      <c r="M711" t="n">
        <v>0</v>
      </c>
      <c r="N711" t="n">
        <v>0</v>
      </c>
      <c r="O711" t="n">
        <v>0</v>
      </c>
      <c r="P711" t="n">
        <v>0</v>
      </c>
      <c r="Q711" t="n">
        <v>0</v>
      </c>
      <c r="R711" s="2" t="inlineStr"/>
    </row>
    <row r="712" ht="15" customHeight="1">
      <c r="A712" t="inlineStr">
        <is>
          <t>A 32094-2025</t>
        </is>
      </c>
      <c r="B712" s="1" t="n">
        <v>45835.46034722222</v>
      </c>
      <c r="C712" s="1" t="n">
        <v>45915</v>
      </c>
      <c r="D712" t="inlineStr">
        <is>
          <t>STOCKHOLMS LÄN</t>
        </is>
      </c>
      <c r="E712" t="inlineStr">
        <is>
          <t>NORRTÄLJE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23266-2023</t>
        </is>
      </c>
      <c r="B713" s="1" t="n">
        <v>45075.90817129629</v>
      </c>
      <c r="C713" s="1" t="n">
        <v>45915</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32016-2025</t>
        </is>
      </c>
      <c r="B714" s="1" t="n">
        <v>45835</v>
      </c>
      <c r="C714" s="1" t="n">
        <v>45915</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32396-2025</t>
        </is>
      </c>
      <c r="B715" s="1" t="n">
        <v>45837</v>
      </c>
      <c r="C715" s="1" t="n">
        <v>45915</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32397-2025</t>
        </is>
      </c>
      <c r="B716" s="1" t="n">
        <v>45837.94081018519</v>
      </c>
      <c r="C716" s="1" t="n">
        <v>45915</v>
      </c>
      <c r="D716" t="inlineStr">
        <is>
          <t>STOCKHOLMS LÄN</t>
        </is>
      </c>
      <c r="E716" t="inlineStr">
        <is>
          <t>NORRTÄLJE</t>
        </is>
      </c>
      <c r="G716" t="n">
        <v>5.9</v>
      </c>
      <c r="H716" t="n">
        <v>0</v>
      </c>
      <c r="I716" t="n">
        <v>0</v>
      </c>
      <c r="J716" t="n">
        <v>0</v>
      </c>
      <c r="K716" t="n">
        <v>0</v>
      </c>
      <c r="L716" t="n">
        <v>0</v>
      </c>
      <c r="M716" t="n">
        <v>0</v>
      </c>
      <c r="N716" t="n">
        <v>0</v>
      </c>
      <c r="O716" t="n">
        <v>0</v>
      </c>
      <c r="P716" t="n">
        <v>0</v>
      </c>
      <c r="Q716" t="n">
        <v>0</v>
      </c>
      <c r="R716" s="2" t="inlineStr"/>
    </row>
    <row r="717" ht="15" customHeight="1">
      <c r="A717" t="inlineStr">
        <is>
          <t>A 37628-2025</t>
        </is>
      </c>
      <c r="B717" s="1" t="n">
        <v>45880.46189814815</v>
      </c>
      <c r="C717" s="1" t="n">
        <v>45915</v>
      </c>
      <c r="D717" t="inlineStr">
        <is>
          <t>STOCKHOLMS LÄN</t>
        </is>
      </c>
      <c r="E717" t="inlineStr">
        <is>
          <t>NORRTÄLJE</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35161-2022</t>
        </is>
      </c>
      <c r="B718" s="1" t="n">
        <v>44797</v>
      </c>
      <c r="C718" s="1" t="n">
        <v>45915</v>
      </c>
      <c r="D718" t="inlineStr">
        <is>
          <t>STOCKHOLMS LÄN</t>
        </is>
      </c>
      <c r="E718" t="inlineStr">
        <is>
          <t>NORRTÄLJE</t>
        </is>
      </c>
      <c r="G718" t="n">
        <v>6</v>
      </c>
      <c r="H718" t="n">
        <v>0</v>
      </c>
      <c r="I718" t="n">
        <v>0</v>
      </c>
      <c r="J718" t="n">
        <v>0</v>
      </c>
      <c r="K718" t="n">
        <v>0</v>
      </c>
      <c r="L718" t="n">
        <v>0</v>
      </c>
      <c r="M718" t="n">
        <v>0</v>
      </c>
      <c r="N718" t="n">
        <v>0</v>
      </c>
      <c r="O718" t="n">
        <v>0</v>
      </c>
      <c r="P718" t="n">
        <v>0</v>
      </c>
      <c r="Q718" t="n">
        <v>0</v>
      </c>
      <c r="R718" s="2" t="inlineStr"/>
    </row>
    <row r="719" ht="15" customHeight="1">
      <c r="A719" t="inlineStr">
        <is>
          <t>A 32480-2025</t>
        </is>
      </c>
      <c r="B719" s="1" t="n">
        <v>45838.43261574074</v>
      </c>
      <c r="C719" s="1" t="n">
        <v>45915</v>
      </c>
      <c r="D719" t="inlineStr">
        <is>
          <t>STOCKHOLMS LÄN</t>
        </is>
      </c>
      <c r="E719" t="inlineStr">
        <is>
          <t>NORRTÄLJE</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12535-2025</t>
        </is>
      </c>
      <c r="B720" s="1" t="n">
        <v>45730.69502314815</v>
      </c>
      <c r="C720" s="1" t="n">
        <v>45915</v>
      </c>
      <c r="D720" t="inlineStr">
        <is>
          <t>STOCKHOLMS LÄN</t>
        </is>
      </c>
      <c r="E720" t="inlineStr">
        <is>
          <t>NORRTÄLJE</t>
        </is>
      </c>
      <c r="G720" t="n">
        <v>7.1</v>
      </c>
      <c r="H720" t="n">
        <v>0</v>
      </c>
      <c r="I720" t="n">
        <v>0</v>
      </c>
      <c r="J720" t="n">
        <v>0</v>
      </c>
      <c r="K720" t="n">
        <v>0</v>
      </c>
      <c r="L720" t="n">
        <v>0</v>
      </c>
      <c r="M720" t="n">
        <v>0</v>
      </c>
      <c r="N720" t="n">
        <v>0</v>
      </c>
      <c r="O720" t="n">
        <v>0</v>
      </c>
      <c r="P720" t="n">
        <v>0</v>
      </c>
      <c r="Q720" t="n">
        <v>0</v>
      </c>
      <c r="R720" s="2" t="inlineStr"/>
    </row>
    <row r="721" ht="15" customHeight="1">
      <c r="A721" t="inlineStr">
        <is>
          <t>A 574-2023</t>
        </is>
      </c>
      <c r="B721" s="1" t="n">
        <v>44925</v>
      </c>
      <c r="C721" s="1" t="n">
        <v>45915</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7903-2021</t>
        </is>
      </c>
      <c r="B722" s="1" t="n">
        <v>44243.33587962963</v>
      </c>
      <c r="C722" s="1" t="n">
        <v>45915</v>
      </c>
      <c r="D722" t="inlineStr">
        <is>
          <t>STOCKHOLMS LÄN</t>
        </is>
      </c>
      <c r="E722" t="inlineStr">
        <is>
          <t>NORRTÄLJE</t>
        </is>
      </c>
      <c r="G722" t="n">
        <v>3.5</v>
      </c>
      <c r="H722" t="n">
        <v>0</v>
      </c>
      <c r="I722" t="n">
        <v>0</v>
      </c>
      <c r="J722" t="n">
        <v>0</v>
      </c>
      <c r="K722" t="n">
        <v>0</v>
      </c>
      <c r="L722" t="n">
        <v>0</v>
      </c>
      <c r="M722" t="n">
        <v>0</v>
      </c>
      <c r="N722" t="n">
        <v>0</v>
      </c>
      <c r="O722" t="n">
        <v>0</v>
      </c>
      <c r="P722" t="n">
        <v>0</v>
      </c>
      <c r="Q722" t="n">
        <v>0</v>
      </c>
      <c r="R722" s="2" t="inlineStr"/>
    </row>
    <row r="723" ht="15" customHeight="1">
      <c r="A723" t="inlineStr">
        <is>
          <t>A 58863-2024</t>
        </is>
      </c>
      <c r="B723" s="1" t="n">
        <v>45636.41572916666</v>
      </c>
      <c r="C723" s="1" t="n">
        <v>45915</v>
      </c>
      <c r="D723" t="inlineStr">
        <is>
          <t>STOCKHOLMS LÄN</t>
        </is>
      </c>
      <c r="E723" t="inlineStr">
        <is>
          <t>NORRTÄLJE</t>
        </is>
      </c>
      <c r="G723" t="n">
        <v>0.7</v>
      </c>
      <c r="H723" t="n">
        <v>0</v>
      </c>
      <c r="I723" t="n">
        <v>0</v>
      </c>
      <c r="J723" t="n">
        <v>0</v>
      </c>
      <c r="K723" t="n">
        <v>0</v>
      </c>
      <c r="L723" t="n">
        <v>0</v>
      </c>
      <c r="M723" t="n">
        <v>0</v>
      </c>
      <c r="N723" t="n">
        <v>0</v>
      </c>
      <c r="O723" t="n">
        <v>0</v>
      </c>
      <c r="P723" t="n">
        <v>0</v>
      </c>
      <c r="Q723" t="n">
        <v>0</v>
      </c>
      <c r="R723" s="2" t="inlineStr"/>
    </row>
    <row r="724" ht="15" customHeight="1">
      <c r="A724" t="inlineStr">
        <is>
          <t>A 15447-2023</t>
        </is>
      </c>
      <c r="B724" s="1" t="n">
        <v>45020</v>
      </c>
      <c r="C724" s="1" t="n">
        <v>45915</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34391-2023</t>
        </is>
      </c>
      <c r="B725" s="1" t="n">
        <v>45139.51457175926</v>
      </c>
      <c r="C725" s="1" t="n">
        <v>45915</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53312-2024</t>
        </is>
      </c>
      <c r="B726" s="1" t="n">
        <v>45614.39627314815</v>
      </c>
      <c r="C726" s="1" t="n">
        <v>45915</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21158-2022</t>
        </is>
      </c>
      <c r="B727" s="1" t="n">
        <v>44704</v>
      </c>
      <c r="C727" s="1" t="n">
        <v>45915</v>
      </c>
      <c r="D727" t="inlineStr">
        <is>
          <t>STOCKHOLMS LÄN</t>
        </is>
      </c>
      <c r="E727" t="inlineStr">
        <is>
          <t>NORRTÄLJE</t>
        </is>
      </c>
      <c r="G727" t="n">
        <v>17.8</v>
      </c>
      <c r="H727" t="n">
        <v>0</v>
      </c>
      <c r="I727" t="n">
        <v>0</v>
      </c>
      <c r="J727" t="n">
        <v>0</v>
      </c>
      <c r="K727" t="n">
        <v>0</v>
      </c>
      <c r="L727" t="n">
        <v>0</v>
      </c>
      <c r="M727" t="n">
        <v>0</v>
      </c>
      <c r="N727" t="n">
        <v>0</v>
      </c>
      <c r="O727" t="n">
        <v>0</v>
      </c>
      <c r="P727" t="n">
        <v>0</v>
      </c>
      <c r="Q727" t="n">
        <v>0</v>
      </c>
      <c r="R727" s="2" t="inlineStr"/>
    </row>
    <row r="728" ht="15" customHeight="1">
      <c r="A728" t="inlineStr">
        <is>
          <t>A 15915-2023</t>
        </is>
      </c>
      <c r="B728" s="1" t="n">
        <v>45022</v>
      </c>
      <c r="C728" s="1" t="n">
        <v>45915</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58993-2022</t>
        </is>
      </c>
      <c r="B729" s="1" t="n">
        <v>44903</v>
      </c>
      <c r="C729" s="1" t="n">
        <v>45915</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39905-2023</t>
        </is>
      </c>
      <c r="B730" s="1" t="n">
        <v>45168.44489583333</v>
      </c>
      <c r="C730" s="1" t="n">
        <v>45915</v>
      </c>
      <c r="D730" t="inlineStr">
        <is>
          <t>STOCKHOLMS LÄN</t>
        </is>
      </c>
      <c r="E730" t="inlineStr">
        <is>
          <t>NORRTÄLJE</t>
        </is>
      </c>
      <c r="F730" t="inlineStr">
        <is>
          <t>Holmen skog AB</t>
        </is>
      </c>
      <c r="G730" t="n">
        <v>1.5</v>
      </c>
      <c r="H730" t="n">
        <v>0</v>
      </c>
      <c r="I730" t="n">
        <v>0</v>
      </c>
      <c r="J730" t="n">
        <v>0</v>
      </c>
      <c r="K730" t="n">
        <v>0</v>
      </c>
      <c r="L730" t="n">
        <v>0</v>
      </c>
      <c r="M730" t="n">
        <v>0</v>
      </c>
      <c r="N730" t="n">
        <v>0</v>
      </c>
      <c r="O730" t="n">
        <v>0</v>
      </c>
      <c r="P730" t="n">
        <v>0</v>
      </c>
      <c r="Q730" t="n">
        <v>0</v>
      </c>
      <c r="R730" s="2" t="inlineStr"/>
    </row>
    <row r="731" ht="15" customHeight="1">
      <c r="A731" t="inlineStr">
        <is>
          <t>A 33793-2022</t>
        </is>
      </c>
      <c r="B731" s="1" t="n">
        <v>44790</v>
      </c>
      <c r="C731" s="1" t="n">
        <v>45915</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17304-2024</t>
        </is>
      </c>
      <c r="B732" s="1" t="n">
        <v>45414</v>
      </c>
      <c r="C732" s="1" t="n">
        <v>45915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50738-2020</t>
        </is>
      </c>
      <c r="B733" s="1" t="n">
        <v>44111.44373842593</v>
      </c>
      <c r="C733" s="1" t="n">
        <v>45915</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16852-2024</t>
        </is>
      </c>
      <c r="B734" s="1" t="n">
        <v>45411.54768518519</v>
      </c>
      <c r="C734" s="1" t="n">
        <v>45915</v>
      </c>
      <c r="D734" t="inlineStr">
        <is>
          <t>STOCKHOLMS LÄN</t>
        </is>
      </c>
      <c r="E734" t="inlineStr">
        <is>
          <t>NORRTÄLJE</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4326-2023</t>
        </is>
      </c>
      <c r="B735" s="1" t="n">
        <v>44953.70481481482</v>
      </c>
      <c r="C735" s="1" t="n">
        <v>45915</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32395-2025</t>
        </is>
      </c>
      <c r="B736" s="1" t="n">
        <v>45837.93730324074</v>
      </c>
      <c r="C736" s="1" t="n">
        <v>45915</v>
      </c>
      <c r="D736" t="inlineStr">
        <is>
          <t>STOCKHOLMS LÄN</t>
        </is>
      </c>
      <c r="E736" t="inlineStr">
        <is>
          <t>NORRTÄLJE</t>
        </is>
      </c>
      <c r="G736" t="n">
        <v>2.2</v>
      </c>
      <c r="H736" t="n">
        <v>0</v>
      </c>
      <c r="I736" t="n">
        <v>0</v>
      </c>
      <c r="J736" t="n">
        <v>0</v>
      </c>
      <c r="K736" t="n">
        <v>0</v>
      </c>
      <c r="L736" t="n">
        <v>0</v>
      </c>
      <c r="M736" t="n">
        <v>0</v>
      </c>
      <c r="N736" t="n">
        <v>0</v>
      </c>
      <c r="O736" t="n">
        <v>0</v>
      </c>
      <c r="P736" t="n">
        <v>0</v>
      </c>
      <c r="Q736" t="n">
        <v>0</v>
      </c>
      <c r="R736" s="2" t="inlineStr"/>
    </row>
    <row r="737" ht="15" customHeight="1">
      <c r="A737" t="inlineStr">
        <is>
          <t>A 37010-2022</t>
        </is>
      </c>
      <c r="B737" s="1" t="n">
        <v>44806.41576388889</v>
      </c>
      <c r="C737" s="1" t="n">
        <v>45915</v>
      </c>
      <c r="D737" t="inlineStr">
        <is>
          <t>STOCKHOLMS LÄN</t>
        </is>
      </c>
      <c r="E737" t="inlineStr">
        <is>
          <t>NORRTÄLJE</t>
        </is>
      </c>
      <c r="G737" t="n">
        <v>2.7</v>
      </c>
      <c r="H737" t="n">
        <v>0</v>
      </c>
      <c r="I737" t="n">
        <v>0</v>
      </c>
      <c r="J737" t="n">
        <v>0</v>
      </c>
      <c r="K737" t="n">
        <v>0</v>
      </c>
      <c r="L737" t="n">
        <v>0</v>
      </c>
      <c r="M737" t="n">
        <v>0</v>
      </c>
      <c r="N737" t="n">
        <v>0</v>
      </c>
      <c r="O737" t="n">
        <v>0</v>
      </c>
      <c r="P737" t="n">
        <v>0</v>
      </c>
      <c r="Q737" t="n">
        <v>0</v>
      </c>
      <c r="R737" s="2" t="inlineStr"/>
    </row>
    <row r="738" ht="15" customHeight="1">
      <c r="A738" t="inlineStr">
        <is>
          <t>A 33385-2024</t>
        </is>
      </c>
      <c r="B738" s="1" t="n">
        <v>45519</v>
      </c>
      <c r="C738" s="1" t="n">
        <v>45915</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29714-2023</t>
        </is>
      </c>
      <c r="B739" s="1" t="n">
        <v>45107.42538194444</v>
      </c>
      <c r="C739" s="1" t="n">
        <v>45915</v>
      </c>
      <c r="D739" t="inlineStr">
        <is>
          <t>STOCKHOLMS LÄN</t>
        </is>
      </c>
      <c r="E739" t="inlineStr">
        <is>
          <t>NORRTÄLJE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30508-2023</t>
        </is>
      </c>
      <c r="B740" s="1" t="n">
        <v>45111</v>
      </c>
      <c r="C740" s="1" t="n">
        <v>45915</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33211-2025</t>
        </is>
      </c>
      <c r="B741" s="1" t="n">
        <v>45840.62755787037</v>
      </c>
      <c r="C741" s="1" t="n">
        <v>45915</v>
      </c>
      <c r="D741" t="inlineStr">
        <is>
          <t>STOCKHOLMS LÄN</t>
        </is>
      </c>
      <c r="E741" t="inlineStr">
        <is>
          <t>NORRTÄLJE</t>
        </is>
      </c>
      <c r="G741" t="n">
        <v>5.1</v>
      </c>
      <c r="H741" t="n">
        <v>0</v>
      </c>
      <c r="I741" t="n">
        <v>0</v>
      </c>
      <c r="J741" t="n">
        <v>0</v>
      </c>
      <c r="K741" t="n">
        <v>0</v>
      </c>
      <c r="L741" t="n">
        <v>0</v>
      </c>
      <c r="M741" t="n">
        <v>0</v>
      </c>
      <c r="N741" t="n">
        <v>0</v>
      </c>
      <c r="O741" t="n">
        <v>0</v>
      </c>
      <c r="P741" t="n">
        <v>0</v>
      </c>
      <c r="Q741" t="n">
        <v>0</v>
      </c>
      <c r="R741" s="2" t="inlineStr"/>
    </row>
    <row r="742" ht="15" customHeight="1">
      <c r="A742" t="inlineStr">
        <is>
          <t>A 32705-2022</t>
        </is>
      </c>
      <c r="B742" s="1" t="n">
        <v>44783</v>
      </c>
      <c r="C742" s="1" t="n">
        <v>45915</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12031-2021</t>
        </is>
      </c>
      <c r="B743" s="1" t="n">
        <v>44266</v>
      </c>
      <c r="C743" s="1" t="n">
        <v>45915</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33149-2022</t>
        </is>
      </c>
      <c r="B744" s="1" t="n">
        <v>44785</v>
      </c>
      <c r="C744" s="1" t="n">
        <v>45915</v>
      </c>
      <c r="D744" t="inlineStr">
        <is>
          <t>STOCKHOLMS LÄN</t>
        </is>
      </c>
      <c r="E744" t="inlineStr">
        <is>
          <t>NORRTÄLJE</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14559-2024</t>
        </is>
      </c>
      <c r="B745" s="1" t="n">
        <v>45394.72869212963</v>
      </c>
      <c r="C745" s="1" t="n">
        <v>45915</v>
      </c>
      <c r="D745" t="inlineStr">
        <is>
          <t>STOCKHOLMS LÄN</t>
        </is>
      </c>
      <c r="E745" t="inlineStr">
        <is>
          <t>NORRTÄLJE</t>
        </is>
      </c>
      <c r="G745" t="n">
        <v>4.2</v>
      </c>
      <c r="H745" t="n">
        <v>0</v>
      </c>
      <c r="I745" t="n">
        <v>0</v>
      </c>
      <c r="J745" t="n">
        <v>0</v>
      </c>
      <c r="K745" t="n">
        <v>0</v>
      </c>
      <c r="L745" t="n">
        <v>0</v>
      </c>
      <c r="M745" t="n">
        <v>0</v>
      </c>
      <c r="N745" t="n">
        <v>0</v>
      </c>
      <c r="O745" t="n">
        <v>0</v>
      </c>
      <c r="P745" t="n">
        <v>0</v>
      </c>
      <c r="Q745" t="n">
        <v>0</v>
      </c>
      <c r="R745" s="2" t="inlineStr"/>
    </row>
    <row r="746" ht="15" customHeight="1">
      <c r="A746" t="inlineStr">
        <is>
          <t>A 32903-2025</t>
        </is>
      </c>
      <c r="B746" s="1" t="n">
        <v>45839.62398148148</v>
      </c>
      <c r="C746" s="1" t="n">
        <v>45915</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33265-2025</t>
        </is>
      </c>
      <c r="B747" s="1" t="n">
        <v>45840.67829861111</v>
      </c>
      <c r="C747" s="1" t="n">
        <v>45915</v>
      </c>
      <c r="D747" t="inlineStr">
        <is>
          <t>STOCKHOLMS LÄN</t>
        </is>
      </c>
      <c r="E747" t="inlineStr">
        <is>
          <t>NORRTÄLJE</t>
        </is>
      </c>
      <c r="G747" t="n">
        <v>5.5</v>
      </c>
      <c r="H747" t="n">
        <v>0</v>
      </c>
      <c r="I747" t="n">
        <v>0</v>
      </c>
      <c r="J747" t="n">
        <v>0</v>
      </c>
      <c r="K747" t="n">
        <v>0</v>
      </c>
      <c r="L747" t="n">
        <v>0</v>
      </c>
      <c r="M747" t="n">
        <v>0</v>
      </c>
      <c r="N747" t="n">
        <v>0</v>
      </c>
      <c r="O747" t="n">
        <v>0</v>
      </c>
      <c r="P747" t="n">
        <v>0</v>
      </c>
      <c r="Q747" t="n">
        <v>0</v>
      </c>
      <c r="R747" s="2" t="inlineStr"/>
    </row>
    <row r="748" ht="15" customHeight="1">
      <c r="A748" t="inlineStr">
        <is>
          <t>A 8296-2023</t>
        </is>
      </c>
      <c r="B748" s="1" t="n">
        <v>44974</v>
      </c>
      <c r="C748" s="1" t="n">
        <v>45915</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31236-2022</t>
        </is>
      </c>
      <c r="B749" s="1" t="n">
        <v>44771</v>
      </c>
      <c r="C749" s="1" t="n">
        <v>45915</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52593-2024</t>
        </is>
      </c>
      <c r="B750" s="1" t="n">
        <v>45609.70778935185</v>
      </c>
      <c r="C750" s="1" t="n">
        <v>45915</v>
      </c>
      <c r="D750" t="inlineStr">
        <is>
          <t>STOCKHOLMS LÄN</t>
        </is>
      </c>
      <c r="E750" t="inlineStr">
        <is>
          <t>NORRTÄLJE</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52617-2024</t>
        </is>
      </c>
      <c r="B751" s="1" t="n">
        <v>45609.85146990741</v>
      </c>
      <c r="C751" s="1" t="n">
        <v>45915</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27824-2022</t>
        </is>
      </c>
      <c r="B752" s="1" t="n">
        <v>44743.59331018518</v>
      </c>
      <c r="C752" s="1" t="n">
        <v>45915</v>
      </c>
      <c r="D752" t="inlineStr">
        <is>
          <t>STOCKHOLMS LÄN</t>
        </is>
      </c>
      <c r="E752" t="inlineStr">
        <is>
          <t>NORRTÄLJE</t>
        </is>
      </c>
      <c r="F752" t="inlineStr">
        <is>
          <t>Kommuner</t>
        </is>
      </c>
      <c r="G752" t="n">
        <v>3.1</v>
      </c>
      <c r="H752" t="n">
        <v>0</v>
      </c>
      <c r="I752" t="n">
        <v>0</v>
      </c>
      <c r="J752" t="n">
        <v>0</v>
      </c>
      <c r="K752" t="n">
        <v>0</v>
      </c>
      <c r="L752" t="n">
        <v>0</v>
      </c>
      <c r="M752" t="n">
        <v>0</v>
      </c>
      <c r="N752" t="n">
        <v>0</v>
      </c>
      <c r="O752" t="n">
        <v>0</v>
      </c>
      <c r="P752" t="n">
        <v>0</v>
      </c>
      <c r="Q752" t="n">
        <v>0</v>
      </c>
      <c r="R752" s="2" t="inlineStr"/>
    </row>
    <row r="753" ht="15" customHeight="1">
      <c r="A753" t="inlineStr">
        <is>
          <t>A 19058-2024</t>
        </is>
      </c>
      <c r="B753" s="1" t="n">
        <v>45427.89121527778</v>
      </c>
      <c r="C753" s="1" t="n">
        <v>45915</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32872-2025</t>
        </is>
      </c>
      <c r="B754" s="1" t="n">
        <v>45839</v>
      </c>
      <c r="C754" s="1" t="n">
        <v>45915</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47521-2024</t>
        </is>
      </c>
      <c r="B755" s="1" t="n">
        <v>45587.62565972222</v>
      </c>
      <c r="C755" s="1" t="n">
        <v>45915</v>
      </c>
      <c r="D755" t="inlineStr">
        <is>
          <t>STOCKHOLMS LÄN</t>
        </is>
      </c>
      <c r="E755" t="inlineStr">
        <is>
          <t>NORRTÄLJE</t>
        </is>
      </c>
      <c r="G755" t="n">
        <v>4.7</v>
      </c>
      <c r="H755" t="n">
        <v>0</v>
      </c>
      <c r="I755" t="n">
        <v>0</v>
      </c>
      <c r="J755" t="n">
        <v>0</v>
      </c>
      <c r="K755" t="n">
        <v>0</v>
      </c>
      <c r="L755" t="n">
        <v>0</v>
      </c>
      <c r="M755" t="n">
        <v>0</v>
      </c>
      <c r="N755" t="n">
        <v>0</v>
      </c>
      <c r="O755" t="n">
        <v>0</v>
      </c>
      <c r="P755" t="n">
        <v>0</v>
      </c>
      <c r="Q755" t="n">
        <v>0</v>
      </c>
      <c r="R755" s="2" t="inlineStr"/>
    </row>
    <row r="756" ht="15" customHeight="1">
      <c r="A756" t="inlineStr">
        <is>
          <t>A 50534-2024</t>
        </is>
      </c>
      <c r="B756" s="1" t="n">
        <v>45601.56726851852</v>
      </c>
      <c r="C756" s="1" t="n">
        <v>45915</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42094-2023</t>
        </is>
      </c>
      <c r="B757" s="1" t="n">
        <v>45177.61498842593</v>
      </c>
      <c r="C757" s="1" t="n">
        <v>45915</v>
      </c>
      <c r="D757" t="inlineStr">
        <is>
          <t>STOCKHOLMS LÄN</t>
        </is>
      </c>
      <c r="E757" t="inlineStr">
        <is>
          <t>NORRTÄLJE</t>
        </is>
      </c>
      <c r="G757" t="n">
        <v>0.3</v>
      </c>
      <c r="H757" t="n">
        <v>0</v>
      </c>
      <c r="I757" t="n">
        <v>0</v>
      </c>
      <c r="J757" t="n">
        <v>0</v>
      </c>
      <c r="K757" t="n">
        <v>0</v>
      </c>
      <c r="L757" t="n">
        <v>0</v>
      </c>
      <c r="M757" t="n">
        <v>0</v>
      </c>
      <c r="N757" t="n">
        <v>0</v>
      </c>
      <c r="O757" t="n">
        <v>0</v>
      </c>
      <c r="P757" t="n">
        <v>0</v>
      </c>
      <c r="Q757" t="n">
        <v>0</v>
      </c>
      <c r="R757" s="2" t="inlineStr"/>
    </row>
    <row r="758" ht="15" customHeight="1">
      <c r="A758" t="inlineStr">
        <is>
          <t>A 58530-2024</t>
        </is>
      </c>
      <c r="B758" s="1" t="n">
        <v>45635.44788194444</v>
      </c>
      <c r="C758" s="1" t="n">
        <v>45915</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30620-2022</t>
        </is>
      </c>
      <c r="B759" s="1" t="n">
        <v>44763.40914351852</v>
      </c>
      <c r="C759" s="1" t="n">
        <v>45915</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57602-2024</t>
        </is>
      </c>
      <c r="B760" s="1" t="n">
        <v>45630.52866898148</v>
      </c>
      <c r="C760" s="1" t="n">
        <v>45915</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11854-2025</t>
        </is>
      </c>
      <c r="B761" s="1" t="n">
        <v>45728.38924768518</v>
      </c>
      <c r="C761" s="1" t="n">
        <v>45915</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45915</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11-2024</t>
        </is>
      </c>
      <c r="B763" s="1" t="n">
        <v>45293</v>
      </c>
      <c r="C763" s="1" t="n">
        <v>45915</v>
      </c>
      <c r="D763" t="inlineStr">
        <is>
          <t>STOCKHOLMS LÄN</t>
        </is>
      </c>
      <c r="E763" t="inlineStr">
        <is>
          <t>NORRTÄLJE</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15256-2023</t>
        </is>
      </c>
      <c r="B764" s="1" t="n">
        <v>45019.3959837963</v>
      </c>
      <c r="C764" s="1" t="n">
        <v>45915</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48392-2020</t>
        </is>
      </c>
      <c r="B765" s="1" t="n">
        <v>44097</v>
      </c>
      <c r="C765" s="1" t="n">
        <v>45915</v>
      </c>
      <c r="D765" t="inlineStr">
        <is>
          <t>STOCKHOLMS LÄN</t>
        </is>
      </c>
      <c r="E765" t="inlineStr">
        <is>
          <t>NORRTÄLJE</t>
        </is>
      </c>
      <c r="G765" t="n">
        <v>12.5</v>
      </c>
      <c r="H765" t="n">
        <v>0</v>
      </c>
      <c r="I765" t="n">
        <v>0</v>
      </c>
      <c r="J765" t="n">
        <v>0</v>
      </c>
      <c r="K765" t="n">
        <v>0</v>
      </c>
      <c r="L765" t="n">
        <v>0</v>
      </c>
      <c r="M765" t="n">
        <v>0</v>
      </c>
      <c r="N765" t="n">
        <v>0</v>
      </c>
      <c r="O765" t="n">
        <v>0</v>
      </c>
      <c r="P765" t="n">
        <v>0</v>
      </c>
      <c r="Q765" t="n">
        <v>0</v>
      </c>
      <c r="R765" s="2" t="inlineStr"/>
    </row>
    <row r="766" ht="15" customHeight="1">
      <c r="A766" t="inlineStr">
        <is>
          <t>A 7413-2024</t>
        </is>
      </c>
      <c r="B766" s="1" t="n">
        <v>45345.6059837963</v>
      </c>
      <c r="C766" s="1" t="n">
        <v>45915</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58040-2024</t>
        </is>
      </c>
      <c r="B767" s="1" t="n">
        <v>45631.73952546297</v>
      </c>
      <c r="C767" s="1" t="n">
        <v>45915</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58041-2024</t>
        </is>
      </c>
      <c r="B768" s="1" t="n">
        <v>45631.74673611111</v>
      </c>
      <c r="C768" s="1" t="n">
        <v>45915</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31057-2022</t>
        </is>
      </c>
      <c r="B769" s="1" t="n">
        <v>44769</v>
      </c>
      <c r="C769" s="1" t="n">
        <v>45915</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60217-2021</t>
        </is>
      </c>
      <c r="B770" s="1" t="n">
        <v>44495.5893287037</v>
      </c>
      <c r="C770" s="1" t="n">
        <v>45915</v>
      </c>
      <c r="D770" t="inlineStr">
        <is>
          <t>STOCKHOLMS LÄN</t>
        </is>
      </c>
      <c r="E770" t="inlineStr">
        <is>
          <t>NORRTÄLJE</t>
        </is>
      </c>
      <c r="G770" t="n">
        <v>4.3</v>
      </c>
      <c r="H770" t="n">
        <v>0</v>
      </c>
      <c r="I770" t="n">
        <v>0</v>
      </c>
      <c r="J770" t="n">
        <v>0</v>
      </c>
      <c r="K770" t="n">
        <v>0</v>
      </c>
      <c r="L770" t="n">
        <v>0</v>
      </c>
      <c r="M770" t="n">
        <v>0</v>
      </c>
      <c r="N770" t="n">
        <v>0</v>
      </c>
      <c r="O770" t="n">
        <v>0</v>
      </c>
      <c r="P770" t="n">
        <v>0</v>
      </c>
      <c r="Q770" t="n">
        <v>0</v>
      </c>
      <c r="R770" s="2" t="inlineStr"/>
    </row>
    <row r="771" ht="15" customHeight="1">
      <c r="A771" t="inlineStr">
        <is>
          <t>A 28900-2022</t>
        </is>
      </c>
      <c r="B771" s="1" t="n">
        <v>44749.55258101852</v>
      </c>
      <c r="C771" s="1" t="n">
        <v>45915</v>
      </c>
      <c r="D771" t="inlineStr">
        <is>
          <t>STOCKHOLMS LÄN</t>
        </is>
      </c>
      <c r="E771" t="inlineStr">
        <is>
          <t>NORRTÄLJE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32514-2022</t>
        </is>
      </c>
      <c r="B772" s="1" t="n">
        <v>44782</v>
      </c>
      <c r="C772" s="1" t="n">
        <v>45915</v>
      </c>
      <c r="D772" t="inlineStr">
        <is>
          <t>STOCKHOLMS LÄN</t>
        </is>
      </c>
      <c r="E772" t="inlineStr">
        <is>
          <t>NORRTÄLJE</t>
        </is>
      </c>
      <c r="G772" t="n">
        <v>5.1</v>
      </c>
      <c r="H772" t="n">
        <v>0</v>
      </c>
      <c r="I772" t="n">
        <v>0</v>
      </c>
      <c r="J772" t="n">
        <v>0</v>
      </c>
      <c r="K772" t="n">
        <v>0</v>
      </c>
      <c r="L772" t="n">
        <v>0</v>
      </c>
      <c r="M772" t="n">
        <v>0</v>
      </c>
      <c r="N772" t="n">
        <v>0</v>
      </c>
      <c r="O772" t="n">
        <v>0</v>
      </c>
      <c r="P772" t="n">
        <v>0</v>
      </c>
      <c r="Q772" t="n">
        <v>0</v>
      </c>
      <c r="R772" s="2" t="inlineStr"/>
    </row>
    <row r="773" ht="15" customHeight="1">
      <c r="A773" t="inlineStr">
        <is>
          <t>A 38153-2025</t>
        </is>
      </c>
      <c r="B773" s="1" t="n">
        <v>45882.59722222222</v>
      </c>
      <c r="C773" s="1" t="n">
        <v>45915</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3143-2021</t>
        </is>
      </c>
      <c r="B774" s="1" t="n">
        <v>44217.40149305556</v>
      </c>
      <c r="C774" s="1" t="n">
        <v>45915</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25619-2022</t>
        </is>
      </c>
      <c r="B775" s="1" t="n">
        <v>44732</v>
      </c>
      <c r="C775" s="1" t="n">
        <v>45915</v>
      </c>
      <c r="D775" t="inlineStr">
        <is>
          <t>STOCKHOLMS LÄN</t>
        </is>
      </c>
      <c r="E775" t="inlineStr">
        <is>
          <t>NORRTÄLJE</t>
        </is>
      </c>
      <c r="G775" t="n">
        <v>3.9</v>
      </c>
      <c r="H775" t="n">
        <v>0</v>
      </c>
      <c r="I775" t="n">
        <v>0</v>
      </c>
      <c r="J775" t="n">
        <v>0</v>
      </c>
      <c r="K775" t="n">
        <v>0</v>
      </c>
      <c r="L775" t="n">
        <v>0</v>
      </c>
      <c r="M775" t="n">
        <v>0</v>
      </c>
      <c r="N775" t="n">
        <v>0</v>
      </c>
      <c r="O775" t="n">
        <v>0</v>
      </c>
      <c r="P775" t="n">
        <v>0</v>
      </c>
      <c r="Q775" t="n">
        <v>0</v>
      </c>
      <c r="R775" s="2" t="inlineStr"/>
    </row>
    <row r="776" ht="15" customHeight="1">
      <c r="A776" t="inlineStr">
        <is>
          <t>A 15422-2024</t>
        </is>
      </c>
      <c r="B776" s="1" t="n">
        <v>45401.3653125</v>
      </c>
      <c r="C776" s="1" t="n">
        <v>45915</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23125-2022</t>
        </is>
      </c>
      <c r="B777" s="1" t="n">
        <v>44719</v>
      </c>
      <c r="C777" s="1" t="n">
        <v>45915</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9329-2023</t>
        </is>
      </c>
      <c r="B778" s="1" t="n">
        <v>44980</v>
      </c>
      <c r="C778" s="1" t="n">
        <v>45915</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6855-2025</t>
        </is>
      </c>
      <c r="B779" s="1" t="n">
        <v>45700</v>
      </c>
      <c r="C779" s="1" t="n">
        <v>45915</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48716-2023</t>
        </is>
      </c>
      <c r="B780" s="1" t="n">
        <v>45208.69671296296</v>
      </c>
      <c r="C780" s="1" t="n">
        <v>45915</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55369-2023</t>
        </is>
      </c>
      <c r="B781" s="1" t="n">
        <v>45238</v>
      </c>
      <c r="C781" s="1" t="n">
        <v>45915</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20121-2022</t>
        </is>
      </c>
      <c r="B782" s="1" t="n">
        <v>44698</v>
      </c>
      <c r="C782" s="1" t="n">
        <v>45915</v>
      </c>
      <c r="D782" t="inlineStr">
        <is>
          <t>STOCKHOLMS LÄN</t>
        </is>
      </c>
      <c r="E782" t="inlineStr">
        <is>
          <t>NORRTÄLJE</t>
        </is>
      </c>
      <c r="G782" t="n">
        <v>4.2</v>
      </c>
      <c r="H782" t="n">
        <v>0</v>
      </c>
      <c r="I782" t="n">
        <v>0</v>
      </c>
      <c r="J782" t="n">
        <v>0</v>
      </c>
      <c r="K782" t="n">
        <v>0</v>
      </c>
      <c r="L782" t="n">
        <v>0</v>
      </c>
      <c r="M782" t="n">
        <v>0</v>
      </c>
      <c r="N782" t="n">
        <v>0</v>
      </c>
      <c r="O782" t="n">
        <v>0</v>
      </c>
      <c r="P782" t="n">
        <v>0</v>
      </c>
      <c r="Q782" t="n">
        <v>0</v>
      </c>
      <c r="R782" s="2" t="inlineStr"/>
    </row>
    <row r="783" ht="15" customHeight="1">
      <c r="A783" t="inlineStr">
        <is>
          <t>A 33702-2025</t>
        </is>
      </c>
      <c r="B783" s="1" t="n">
        <v>45841.74596064815</v>
      </c>
      <c r="C783" s="1" t="n">
        <v>45915</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33336-2025</t>
        </is>
      </c>
      <c r="B784" s="1" t="n">
        <v>45841.35611111111</v>
      </c>
      <c r="C784" s="1" t="n">
        <v>45915</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26407-2024</t>
        </is>
      </c>
      <c r="B785" s="1" t="n">
        <v>45469</v>
      </c>
      <c r="C785" s="1" t="n">
        <v>45915</v>
      </c>
      <c r="D785" t="inlineStr">
        <is>
          <t>STOCKHOLMS LÄN</t>
        </is>
      </c>
      <c r="E785" t="inlineStr">
        <is>
          <t>NORRTÄLJE</t>
        </is>
      </c>
      <c r="G785" t="n">
        <v>3.5</v>
      </c>
      <c r="H785" t="n">
        <v>0</v>
      </c>
      <c r="I785" t="n">
        <v>0</v>
      </c>
      <c r="J785" t="n">
        <v>0</v>
      </c>
      <c r="K785" t="n">
        <v>0</v>
      </c>
      <c r="L785" t="n">
        <v>0</v>
      </c>
      <c r="M785" t="n">
        <v>0</v>
      </c>
      <c r="N785" t="n">
        <v>0</v>
      </c>
      <c r="O785" t="n">
        <v>0</v>
      </c>
      <c r="P785" t="n">
        <v>0</v>
      </c>
      <c r="Q785" t="n">
        <v>0</v>
      </c>
      <c r="R785" s="2" t="inlineStr"/>
    </row>
    <row r="786" ht="15" customHeight="1">
      <c r="A786" t="inlineStr">
        <is>
          <t>A 14873-2025</t>
        </is>
      </c>
      <c r="B786" s="1" t="n">
        <v>45743.44953703704</v>
      </c>
      <c r="C786" s="1" t="n">
        <v>45915</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8135-2025</t>
        </is>
      </c>
      <c r="B787" s="1" t="n">
        <v>45707.84997685185</v>
      </c>
      <c r="C787" s="1" t="n">
        <v>45915</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31936-2022</t>
        </is>
      </c>
      <c r="B788" s="1" t="n">
        <v>44777</v>
      </c>
      <c r="C788" s="1" t="n">
        <v>45915</v>
      </c>
      <c r="D788" t="inlineStr">
        <is>
          <t>STOCKHOLMS LÄN</t>
        </is>
      </c>
      <c r="E788" t="inlineStr">
        <is>
          <t>NORRTÄLJE</t>
        </is>
      </c>
      <c r="G788" t="n">
        <v>5.2</v>
      </c>
      <c r="H788" t="n">
        <v>0</v>
      </c>
      <c r="I788" t="n">
        <v>0</v>
      </c>
      <c r="J788" t="n">
        <v>0</v>
      </c>
      <c r="K788" t="n">
        <v>0</v>
      </c>
      <c r="L788" t="n">
        <v>0</v>
      </c>
      <c r="M788" t="n">
        <v>0</v>
      </c>
      <c r="N788" t="n">
        <v>0</v>
      </c>
      <c r="O788" t="n">
        <v>0</v>
      </c>
      <c r="P788" t="n">
        <v>0</v>
      </c>
      <c r="Q788" t="n">
        <v>0</v>
      </c>
      <c r="R788" s="2" t="inlineStr"/>
    </row>
    <row r="789" ht="15" customHeight="1">
      <c r="A789" t="inlineStr">
        <is>
          <t>A 24887-2023</t>
        </is>
      </c>
      <c r="B789" s="1" t="n">
        <v>45085</v>
      </c>
      <c r="C789" s="1" t="n">
        <v>45915</v>
      </c>
      <c r="D789" t="inlineStr">
        <is>
          <t>STOCKHOLMS LÄN</t>
        </is>
      </c>
      <c r="E789" t="inlineStr">
        <is>
          <t>NORRTÄLJE</t>
        </is>
      </c>
      <c r="G789" t="n">
        <v>13.9</v>
      </c>
      <c r="H789" t="n">
        <v>0</v>
      </c>
      <c r="I789" t="n">
        <v>0</v>
      </c>
      <c r="J789" t="n">
        <v>0</v>
      </c>
      <c r="K789" t="n">
        <v>0</v>
      </c>
      <c r="L789" t="n">
        <v>0</v>
      </c>
      <c r="M789" t="n">
        <v>0</v>
      </c>
      <c r="N789" t="n">
        <v>0</v>
      </c>
      <c r="O789" t="n">
        <v>0</v>
      </c>
      <c r="P789" t="n">
        <v>0</v>
      </c>
      <c r="Q789" t="n">
        <v>0</v>
      </c>
      <c r="R789" s="2" t="inlineStr"/>
    </row>
    <row r="790" ht="15" customHeight="1">
      <c r="A790" t="inlineStr">
        <is>
          <t>A 56428-2023</t>
        </is>
      </c>
      <c r="B790" s="1" t="n">
        <v>45243.45289351852</v>
      </c>
      <c r="C790" s="1" t="n">
        <v>45915</v>
      </c>
      <c r="D790" t="inlineStr">
        <is>
          <t>STOCKHOLMS LÄN</t>
        </is>
      </c>
      <c r="E790" t="inlineStr">
        <is>
          <t>NORRTÄLJE</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58888-2020</t>
        </is>
      </c>
      <c r="B791" s="1" t="n">
        <v>44146</v>
      </c>
      <c r="C791" s="1" t="n">
        <v>45915</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38593-2025</t>
        </is>
      </c>
      <c r="B792" s="1" t="n">
        <v>45884.48696759259</v>
      </c>
      <c r="C792" s="1" t="n">
        <v>45915</v>
      </c>
      <c r="D792" t="inlineStr">
        <is>
          <t>STOCKHOLMS LÄN</t>
        </is>
      </c>
      <c r="E792" t="inlineStr">
        <is>
          <t>NORRTÄLJE</t>
        </is>
      </c>
      <c r="G792" t="n">
        <v>3</v>
      </c>
      <c r="H792" t="n">
        <v>0</v>
      </c>
      <c r="I792" t="n">
        <v>0</v>
      </c>
      <c r="J792" t="n">
        <v>0</v>
      </c>
      <c r="K792" t="n">
        <v>0</v>
      </c>
      <c r="L792" t="n">
        <v>0</v>
      </c>
      <c r="M792" t="n">
        <v>0</v>
      </c>
      <c r="N792" t="n">
        <v>0</v>
      </c>
      <c r="O792" t="n">
        <v>0</v>
      </c>
      <c r="P792" t="n">
        <v>0</v>
      </c>
      <c r="Q792" t="n">
        <v>0</v>
      </c>
      <c r="R792" s="2" t="inlineStr"/>
    </row>
    <row r="793" ht="15" customHeight="1">
      <c r="A793" t="inlineStr">
        <is>
          <t>A 10098-2022</t>
        </is>
      </c>
      <c r="B793" s="1" t="n">
        <v>44621</v>
      </c>
      <c r="C793" s="1" t="n">
        <v>45915</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30338-2022</t>
        </is>
      </c>
      <c r="B794" s="1" t="n">
        <v>44760</v>
      </c>
      <c r="C794" s="1" t="n">
        <v>45915</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18541-2023</t>
        </is>
      </c>
      <c r="B795" s="1" t="n">
        <v>45042.74291666667</v>
      </c>
      <c r="C795" s="1" t="n">
        <v>45915</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32857-2021</t>
        </is>
      </c>
      <c r="B796" s="1" t="n">
        <v>44375</v>
      </c>
      <c r="C796" s="1" t="n">
        <v>45915</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51325-2023</t>
        </is>
      </c>
      <c r="B797" s="1" t="n">
        <v>45219</v>
      </c>
      <c r="C797" s="1" t="n">
        <v>45915</v>
      </c>
      <c r="D797" t="inlineStr">
        <is>
          <t>STOCKHOLMS LÄN</t>
        </is>
      </c>
      <c r="E797" t="inlineStr">
        <is>
          <t>NORRTÄLJE</t>
        </is>
      </c>
      <c r="G797" t="n">
        <v>2.2</v>
      </c>
      <c r="H797" t="n">
        <v>0</v>
      </c>
      <c r="I797" t="n">
        <v>0</v>
      </c>
      <c r="J797" t="n">
        <v>0</v>
      </c>
      <c r="K797" t="n">
        <v>0</v>
      </c>
      <c r="L797" t="n">
        <v>0</v>
      </c>
      <c r="M797" t="n">
        <v>0</v>
      </c>
      <c r="N797" t="n">
        <v>0</v>
      </c>
      <c r="O797" t="n">
        <v>0</v>
      </c>
      <c r="P797" t="n">
        <v>0</v>
      </c>
      <c r="Q797" t="n">
        <v>0</v>
      </c>
      <c r="R797" s="2" t="inlineStr"/>
    </row>
    <row r="798" ht="15" customHeight="1">
      <c r="A798" t="inlineStr">
        <is>
          <t>A 21729-2024</t>
        </is>
      </c>
      <c r="B798" s="1" t="n">
        <v>45442</v>
      </c>
      <c r="C798" s="1" t="n">
        <v>45915</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33552-2025</t>
        </is>
      </c>
      <c r="B799" s="1" t="n">
        <v>45841.5737962963</v>
      </c>
      <c r="C799" s="1" t="n">
        <v>45915</v>
      </c>
      <c r="D799" t="inlineStr">
        <is>
          <t>STOCKHOLMS LÄN</t>
        </is>
      </c>
      <c r="E799" t="inlineStr">
        <is>
          <t>NORRTÄLJE</t>
        </is>
      </c>
      <c r="G799" t="n">
        <v>8.9</v>
      </c>
      <c r="H799" t="n">
        <v>0</v>
      </c>
      <c r="I799" t="n">
        <v>0</v>
      </c>
      <c r="J799" t="n">
        <v>0</v>
      </c>
      <c r="K799" t="n">
        <v>0</v>
      </c>
      <c r="L799" t="n">
        <v>0</v>
      </c>
      <c r="M799" t="n">
        <v>0</v>
      </c>
      <c r="N799" t="n">
        <v>0</v>
      </c>
      <c r="O799" t="n">
        <v>0</v>
      </c>
      <c r="P799" t="n">
        <v>0</v>
      </c>
      <c r="Q799" t="n">
        <v>0</v>
      </c>
      <c r="R799" s="2" t="inlineStr"/>
    </row>
    <row r="800" ht="15" customHeight="1">
      <c r="A800" t="inlineStr">
        <is>
          <t>A 21894-2023</t>
        </is>
      </c>
      <c r="B800" s="1" t="n">
        <v>45068.51783564815</v>
      </c>
      <c r="C800" s="1" t="n">
        <v>45915</v>
      </c>
      <c r="D800" t="inlineStr">
        <is>
          <t>STOCKHOLMS LÄN</t>
        </is>
      </c>
      <c r="E800" t="inlineStr">
        <is>
          <t>NORRTÄLJE</t>
        </is>
      </c>
      <c r="G800" t="n">
        <v>2.5</v>
      </c>
      <c r="H800" t="n">
        <v>0</v>
      </c>
      <c r="I800" t="n">
        <v>0</v>
      </c>
      <c r="J800" t="n">
        <v>0</v>
      </c>
      <c r="K800" t="n">
        <v>0</v>
      </c>
      <c r="L800" t="n">
        <v>0</v>
      </c>
      <c r="M800" t="n">
        <v>0</v>
      </c>
      <c r="N800" t="n">
        <v>0</v>
      </c>
      <c r="O800" t="n">
        <v>0</v>
      </c>
      <c r="P800" t="n">
        <v>0</v>
      </c>
      <c r="Q800" t="n">
        <v>0</v>
      </c>
      <c r="R800" s="2" t="inlineStr"/>
    </row>
    <row r="801" ht="15" customHeight="1">
      <c r="A801" t="inlineStr">
        <is>
          <t>A 35647-2024</t>
        </is>
      </c>
      <c r="B801" s="1" t="n">
        <v>45532</v>
      </c>
      <c r="C801" s="1" t="n">
        <v>45915</v>
      </c>
      <c r="D801" t="inlineStr">
        <is>
          <t>STOCKHOLMS LÄN</t>
        </is>
      </c>
      <c r="E801" t="inlineStr">
        <is>
          <t>NORRTÄLJE</t>
        </is>
      </c>
      <c r="G801" t="n">
        <v>5.3</v>
      </c>
      <c r="H801" t="n">
        <v>0</v>
      </c>
      <c r="I801" t="n">
        <v>0</v>
      </c>
      <c r="J801" t="n">
        <v>0</v>
      </c>
      <c r="K801" t="n">
        <v>0</v>
      </c>
      <c r="L801" t="n">
        <v>0</v>
      </c>
      <c r="M801" t="n">
        <v>0</v>
      </c>
      <c r="N801" t="n">
        <v>0</v>
      </c>
      <c r="O801" t="n">
        <v>0</v>
      </c>
      <c r="P801" t="n">
        <v>0</v>
      </c>
      <c r="Q801" t="n">
        <v>0</v>
      </c>
      <c r="R801" s="2" t="inlineStr"/>
    </row>
    <row r="802" ht="15" customHeight="1">
      <c r="A802" t="inlineStr">
        <is>
          <t>A 21732-2023</t>
        </is>
      </c>
      <c r="B802" s="1" t="n">
        <v>45063</v>
      </c>
      <c r="C802" s="1" t="n">
        <v>45915</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49700-2023</t>
        </is>
      </c>
      <c r="B803" s="1" t="n">
        <v>45212</v>
      </c>
      <c r="C803" s="1" t="n">
        <v>45915</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7806-2025</t>
        </is>
      </c>
      <c r="B804" s="1" t="n">
        <v>45706.61178240741</v>
      </c>
      <c r="C804" s="1" t="n">
        <v>45915</v>
      </c>
      <c r="D804" t="inlineStr">
        <is>
          <t>STOCKHOLMS LÄN</t>
        </is>
      </c>
      <c r="E804" t="inlineStr">
        <is>
          <t>NORRTÄLJE</t>
        </is>
      </c>
      <c r="F804" t="inlineStr">
        <is>
          <t>Holmen skog AB</t>
        </is>
      </c>
      <c r="G804" t="n">
        <v>3.5</v>
      </c>
      <c r="H804" t="n">
        <v>0</v>
      </c>
      <c r="I804" t="n">
        <v>0</v>
      </c>
      <c r="J804" t="n">
        <v>0</v>
      </c>
      <c r="K804" t="n">
        <v>0</v>
      </c>
      <c r="L804" t="n">
        <v>0</v>
      </c>
      <c r="M804" t="n">
        <v>0</v>
      </c>
      <c r="N804" t="n">
        <v>0</v>
      </c>
      <c r="O804" t="n">
        <v>0</v>
      </c>
      <c r="P804" t="n">
        <v>0</v>
      </c>
      <c r="Q804" t="n">
        <v>0</v>
      </c>
      <c r="R804" s="2" t="inlineStr"/>
    </row>
    <row r="805" ht="15" customHeight="1">
      <c r="A805" t="inlineStr">
        <is>
          <t>A 37444-2021</t>
        </is>
      </c>
      <c r="B805" s="1" t="n">
        <v>44398</v>
      </c>
      <c r="C805" s="1" t="n">
        <v>45915</v>
      </c>
      <c r="D805" t="inlineStr">
        <is>
          <t>STOCKHOLMS LÄN</t>
        </is>
      </c>
      <c r="E805" t="inlineStr">
        <is>
          <t>NORRTÄLJE</t>
        </is>
      </c>
      <c r="F805" t="inlineStr">
        <is>
          <t>Holmen skog AB</t>
        </is>
      </c>
      <c r="G805" t="n">
        <v>3.2</v>
      </c>
      <c r="H805" t="n">
        <v>0</v>
      </c>
      <c r="I805" t="n">
        <v>0</v>
      </c>
      <c r="J805" t="n">
        <v>0</v>
      </c>
      <c r="K805" t="n">
        <v>0</v>
      </c>
      <c r="L805" t="n">
        <v>0</v>
      </c>
      <c r="M805" t="n">
        <v>0</v>
      </c>
      <c r="N805" t="n">
        <v>0</v>
      </c>
      <c r="O805" t="n">
        <v>0</v>
      </c>
      <c r="P805" t="n">
        <v>0</v>
      </c>
      <c r="Q805" t="n">
        <v>0</v>
      </c>
      <c r="R805" s="2" t="inlineStr"/>
    </row>
    <row r="806" ht="15" customHeight="1">
      <c r="A806" t="inlineStr">
        <is>
          <t>A 45173-2023</t>
        </is>
      </c>
      <c r="B806" s="1" t="n">
        <v>45191</v>
      </c>
      <c r="C806" s="1" t="n">
        <v>45915</v>
      </c>
      <c r="D806" t="inlineStr">
        <is>
          <t>STOCKHOLMS LÄN</t>
        </is>
      </c>
      <c r="E806" t="inlineStr">
        <is>
          <t>NORRTÄLJE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64137-2021</t>
        </is>
      </c>
      <c r="B807" s="1" t="n">
        <v>44510.51422453704</v>
      </c>
      <c r="C807" s="1" t="n">
        <v>45915</v>
      </c>
      <c r="D807" t="inlineStr">
        <is>
          <t>STOCKHOLMS LÄN</t>
        </is>
      </c>
      <c r="E807" t="inlineStr">
        <is>
          <t>NORRTÄLJE</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38720-2022</t>
        </is>
      </c>
      <c r="B808" s="1" t="n">
        <v>44815.74539351852</v>
      </c>
      <c r="C808" s="1" t="n">
        <v>45915</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34432-2021</t>
        </is>
      </c>
      <c r="B809" s="1" t="n">
        <v>44380.77346064815</v>
      </c>
      <c r="C809" s="1" t="n">
        <v>45915</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33824-2025</t>
        </is>
      </c>
      <c r="B810" s="1" t="n">
        <v>45842.46885416667</v>
      </c>
      <c r="C810" s="1" t="n">
        <v>45915</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19911-2025</t>
        </is>
      </c>
      <c r="B811" s="1" t="n">
        <v>45771</v>
      </c>
      <c r="C811" s="1" t="n">
        <v>45915</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14130-2025</t>
        </is>
      </c>
      <c r="B812" s="1" t="n">
        <v>45740.47288194444</v>
      </c>
      <c r="C812" s="1" t="n">
        <v>45915</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12532-2025</t>
        </is>
      </c>
      <c r="B813" s="1" t="n">
        <v>45730.69143518519</v>
      </c>
      <c r="C813" s="1" t="n">
        <v>45915</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40175-2024</t>
        </is>
      </c>
      <c r="B814" s="1" t="n">
        <v>45554.55707175926</v>
      </c>
      <c r="C814" s="1" t="n">
        <v>45915</v>
      </c>
      <c r="D814" t="inlineStr">
        <is>
          <t>STOCKHOLMS LÄN</t>
        </is>
      </c>
      <c r="E814" t="inlineStr">
        <is>
          <t>NORRTÄLJE</t>
        </is>
      </c>
      <c r="G814" t="n">
        <v>7.7</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44670.4190162037</v>
      </c>
      <c r="C815" s="1" t="n">
        <v>45915</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46914-2022</t>
        </is>
      </c>
      <c r="B816" s="1" t="n">
        <v>44851</v>
      </c>
      <c r="C816" s="1" t="n">
        <v>45915</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20244-2025</t>
        </is>
      </c>
      <c r="B817" s="1" t="n">
        <v>45772.71221064815</v>
      </c>
      <c r="C817" s="1" t="n">
        <v>45915</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50143-2023</t>
        </is>
      </c>
      <c r="B818" s="1" t="n">
        <v>45215</v>
      </c>
      <c r="C818" s="1" t="n">
        <v>45915</v>
      </c>
      <c r="D818" t="inlineStr">
        <is>
          <t>STOCKHOLMS LÄN</t>
        </is>
      </c>
      <c r="E818" t="inlineStr">
        <is>
          <t>NORRTÄLJE</t>
        </is>
      </c>
      <c r="G818" t="n">
        <v>10.3</v>
      </c>
      <c r="H818" t="n">
        <v>0</v>
      </c>
      <c r="I818" t="n">
        <v>0</v>
      </c>
      <c r="J818" t="n">
        <v>0</v>
      </c>
      <c r="K818" t="n">
        <v>0</v>
      </c>
      <c r="L818" t="n">
        <v>0</v>
      </c>
      <c r="M818" t="n">
        <v>0</v>
      </c>
      <c r="N818" t="n">
        <v>0</v>
      </c>
      <c r="O818" t="n">
        <v>0</v>
      </c>
      <c r="P818" t="n">
        <v>0</v>
      </c>
      <c r="Q818" t="n">
        <v>0</v>
      </c>
      <c r="R818" s="2" t="inlineStr"/>
    </row>
    <row r="819" ht="15" customHeight="1">
      <c r="A819" t="inlineStr">
        <is>
          <t>A 59875-2024</t>
        </is>
      </c>
      <c r="B819" s="1" t="n">
        <v>45640.58716435185</v>
      </c>
      <c r="C819" s="1" t="n">
        <v>45915</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20015-2023</t>
        </is>
      </c>
      <c r="B820" s="1" t="n">
        <v>45054</v>
      </c>
      <c r="C820" s="1" t="n">
        <v>45915</v>
      </c>
      <c r="D820" t="inlineStr">
        <is>
          <t>STOCKHOLMS LÄN</t>
        </is>
      </c>
      <c r="E820" t="inlineStr">
        <is>
          <t>NORRTÄLJE</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45220-2024</t>
        </is>
      </c>
      <c r="B821" s="1" t="n">
        <v>45575</v>
      </c>
      <c r="C821" s="1" t="n">
        <v>45915</v>
      </c>
      <c r="D821" t="inlineStr">
        <is>
          <t>STOCKHOLMS LÄN</t>
        </is>
      </c>
      <c r="E821" t="inlineStr">
        <is>
          <t>NORRTÄLJE</t>
        </is>
      </c>
      <c r="G821" t="n">
        <v>4.3</v>
      </c>
      <c r="H821" t="n">
        <v>0</v>
      </c>
      <c r="I821" t="n">
        <v>0</v>
      </c>
      <c r="J821" t="n">
        <v>0</v>
      </c>
      <c r="K821" t="n">
        <v>0</v>
      </c>
      <c r="L821" t="n">
        <v>0</v>
      </c>
      <c r="M821" t="n">
        <v>0</v>
      </c>
      <c r="N821" t="n">
        <v>0</v>
      </c>
      <c r="O821" t="n">
        <v>0</v>
      </c>
      <c r="P821" t="n">
        <v>0</v>
      </c>
      <c r="Q821" t="n">
        <v>0</v>
      </c>
      <c r="R821" s="2" t="inlineStr"/>
    </row>
    <row r="822" ht="15" customHeight="1">
      <c r="A822" t="inlineStr">
        <is>
          <t>A 5027-2025</t>
        </is>
      </c>
      <c r="B822" s="1" t="n">
        <v>45691.41101851852</v>
      </c>
      <c r="C822" s="1" t="n">
        <v>45915</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20011-2025</t>
        </is>
      </c>
      <c r="B823" s="1" t="n">
        <v>45772.29622685185</v>
      </c>
      <c r="C823" s="1" t="n">
        <v>45915</v>
      </c>
      <c r="D823" t="inlineStr">
        <is>
          <t>STOCKHOLMS LÄN</t>
        </is>
      </c>
      <c r="E823" t="inlineStr">
        <is>
          <t>NORRTÄLJE</t>
        </is>
      </c>
      <c r="G823" t="n">
        <v>3.5</v>
      </c>
      <c r="H823" t="n">
        <v>0</v>
      </c>
      <c r="I823" t="n">
        <v>0</v>
      </c>
      <c r="J823" t="n">
        <v>0</v>
      </c>
      <c r="K823" t="n">
        <v>0</v>
      </c>
      <c r="L823" t="n">
        <v>0</v>
      </c>
      <c r="M823" t="n">
        <v>0</v>
      </c>
      <c r="N823" t="n">
        <v>0</v>
      </c>
      <c r="O823" t="n">
        <v>0</v>
      </c>
      <c r="P823" t="n">
        <v>0</v>
      </c>
      <c r="Q823" t="n">
        <v>0</v>
      </c>
      <c r="R823" s="2" t="inlineStr"/>
    </row>
    <row r="824" ht="15" customHeight="1">
      <c r="A824" t="inlineStr">
        <is>
          <t>A 8315-2025</t>
        </is>
      </c>
      <c r="B824" s="1" t="n">
        <v>45708.61761574074</v>
      </c>
      <c r="C824" s="1" t="n">
        <v>45915</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12251-2025</t>
        </is>
      </c>
      <c r="B825" s="1" t="n">
        <v>45729.60859953704</v>
      </c>
      <c r="C825" s="1" t="n">
        <v>45915</v>
      </c>
      <c r="D825" t="inlineStr">
        <is>
          <t>STOCKHOLMS LÄN</t>
        </is>
      </c>
      <c r="E825" t="inlineStr">
        <is>
          <t>NORRTÄLJE</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4658-2024</t>
        </is>
      </c>
      <c r="B826" s="1" t="n">
        <v>45328.46336805556</v>
      </c>
      <c r="C826" s="1" t="n">
        <v>45915</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48145-2024</t>
        </is>
      </c>
      <c r="B827" s="1" t="n">
        <v>45589.6756712963</v>
      </c>
      <c r="C827" s="1" t="n">
        <v>45915</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54776-2023</t>
        </is>
      </c>
      <c r="B828" s="1" t="n">
        <v>45236.46369212963</v>
      </c>
      <c r="C828" s="1" t="n">
        <v>45915</v>
      </c>
      <c r="D828" t="inlineStr">
        <is>
          <t>STOCKHOLMS LÄN</t>
        </is>
      </c>
      <c r="E828" t="inlineStr">
        <is>
          <t>NORRTÄLJE</t>
        </is>
      </c>
      <c r="G828" t="n">
        <v>0.3</v>
      </c>
      <c r="H828" t="n">
        <v>0</v>
      </c>
      <c r="I828" t="n">
        <v>0</v>
      </c>
      <c r="J828" t="n">
        <v>0</v>
      </c>
      <c r="K828" t="n">
        <v>0</v>
      </c>
      <c r="L828" t="n">
        <v>0</v>
      </c>
      <c r="M828" t="n">
        <v>0</v>
      </c>
      <c r="N828" t="n">
        <v>0</v>
      </c>
      <c r="O828" t="n">
        <v>0</v>
      </c>
      <c r="P828" t="n">
        <v>0</v>
      </c>
      <c r="Q828" t="n">
        <v>0</v>
      </c>
      <c r="R828" s="2" t="inlineStr"/>
    </row>
    <row r="829" ht="15" customHeight="1">
      <c r="A829" t="inlineStr">
        <is>
          <t>A 20144-2023</t>
        </is>
      </c>
      <c r="B829" s="1" t="n">
        <v>45055.43509259259</v>
      </c>
      <c r="C829" s="1" t="n">
        <v>45915</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13314-2025</t>
        </is>
      </c>
      <c r="B830" s="1" t="n">
        <v>45735.59287037037</v>
      </c>
      <c r="C830" s="1" t="n">
        <v>45915</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23056-2023</t>
        </is>
      </c>
      <c r="B831" s="1" t="n">
        <v>45075</v>
      </c>
      <c r="C831" s="1" t="n">
        <v>45915</v>
      </c>
      <c r="D831" t="inlineStr">
        <is>
          <t>STOCKHOLMS LÄN</t>
        </is>
      </c>
      <c r="E831" t="inlineStr">
        <is>
          <t>NORRTÄLJE</t>
        </is>
      </c>
      <c r="G831" t="n">
        <v>1.7</v>
      </c>
      <c r="H831" t="n">
        <v>0</v>
      </c>
      <c r="I831" t="n">
        <v>0</v>
      </c>
      <c r="J831" t="n">
        <v>0</v>
      </c>
      <c r="K831" t="n">
        <v>0</v>
      </c>
      <c r="L831" t="n">
        <v>0</v>
      </c>
      <c r="M831" t="n">
        <v>0</v>
      </c>
      <c r="N831" t="n">
        <v>0</v>
      </c>
      <c r="O831" t="n">
        <v>0</v>
      </c>
      <c r="P831" t="n">
        <v>0</v>
      </c>
      <c r="Q831" t="n">
        <v>0</v>
      </c>
      <c r="R831" s="2" t="inlineStr"/>
    </row>
    <row r="832" ht="15" customHeight="1">
      <c r="A832" t="inlineStr">
        <is>
          <t>A 13172-2025</t>
        </is>
      </c>
      <c r="B832" s="1" t="n">
        <v>45735.36873842592</v>
      </c>
      <c r="C832" s="1" t="n">
        <v>45915</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19025-2025</t>
        </is>
      </c>
      <c r="B833" s="1" t="n">
        <v>45764.6359837963</v>
      </c>
      <c r="C833" s="1" t="n">
        <v>45915</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5867-2022</t>
        </is>
      </c>
      <c r="B834" s="1" t="n">
        <v>44596.66335648148</v>
      </c>
      <c r="C834" s="1" t="n">
        <v>45915</v>
      </c>
      <c r="D834" t="inlineStr">
        <is>
          <t>STOCKHOLMS LÄN</t>
        </is>
      </c>
      <c r="E834" t="inlineStr">
        <is>
          <t>NORRTÄLJE</t>
        </is>
      </c>
      <c r="F834" t="inlineStr">
        <is>
          <t>Naturvårdsverket</t>
        </is>
      </c>
      <c r="G834" t="n">
        <v>1.6</v>
      </c>
      <c r="H834" t="n">
        <v>0</v>
      </c>
      <c r="I834" t="n">
        <v>0</v>
      </c>
      <c r="J834" t="n">
        <v>0</v>
      </c>
      <c r="K834" t="n">
        <v>0</v>
      </c>
      <c r="L834" t="n">
        <v>0</v>
      </c>
      <c r="M834" t="n">
        <v>0</v>
      </c>
      <c r="N834" t="n">
        <v>0</v>
      </c>
      <c r="O834" t="n">
        <v>0</v>
      </c>
      <c r="P834" t="n">
        <v>0</v>
      </c>
      <c r="Q834" t="n">
        <v>0</v>
      </c>
      <c r="R834" s="2" t="inlineStr"/>
    </row>
    <row r="835" ht="15" customHeight="1">
      <c r="A835" t="inlineStr">
        <is>
          <t>A 10642-2025</t>
        </is>
      </c>
      <c r="B835" s="1" t="n">
        <v>45721.65858796296</v>
      </c>
      <c r="C835" s="1" t="n">
        <v>45915</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73307-2021</t>
        </is>
      </c>
      <c r="B836" s="1" t="n">
        <v>44549</v>
      </c>
      <c r="C836" s="1" t="n">
        <v>45915</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45915</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58493-2020</t>
        </is>
      </c>
      <c r="B838" s="1" t="n">
        <v>44145</v>
      </c>
      <c r="C838" s="1" t="n">
        <v>45915</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21731-2023</t>
        </is>
      </c>
      <c r="B839" s="1" t="n">
        <v>45063</v>
      </c>
      <c r="C839" s="1" t="n">
        <v>45915</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21745-2023</t>
        </is>
      </c>
      <c r="B840" s="1" t="n">
        <v>45065.55917824074</v>
      </c>
      <c r="C840" s="1" t="n">
        <v>45915</v>
      </c>
      <c r="D840" t="inlineStr">
        <is>
          <t>STOCKHOLMS LÄN</t>
        </is>
      </c>
      <c r="E840" t="inlineStr">
        <is>
          <t>NORRTÄLJE</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30221-2024</t>
        </is>
      </c>
      <c r="B841" s="1" t="n">
        <v>45490.45342592592</v>
      </c>
      <c r="C841" s="1" t="n">
        <v>45915</v>
      </c>
      <c r="D841" t="inlineStr">
        <is>
          <t>STOCKHOLMS LÄN</t>
        </is>
      </c>
      <c r="E841" t="inlineStr">
        <is>
          <t>NORRTÄLJE</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60321-2020</t>
        </is>
      </c>
      <c r="B842" s="1" t="n">
        <v>44152</v>
      </c>
      <c r="C842" s="1" t="n">
        <v>45915</v>
      </c>
      <c r="D842" t="inlineStr">
        <is>
          <t>STOCKHOLMS LÄN</t>
        </is>
      </c>
      <c r="E842" t="inlineStr">
        <is>
          <t>NORRTÄLJE</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26365-2024</t>
        </is>
      </c>
      <c r="B843" s="1" t="n">
        <v>45469</v>
      </c>
      <c r="C843" s="1" t="n">
        <v>45915</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50602-2021</t>
        </is>
      </c>
      <c r="B844" s="1" t="n">
        <v>44459</v>
      </c>
      <c r="C844" s="1" t="n">
        <v>45915</v>
      </c>
      <c r="D844" t="inlineStr">
        <is>
          <t>STOCKHOLMS LÄN</t>
        </is>
      </c>
      <c r="E844" t="inlineStr">
        <is>
          <t>NORRTÄLJE</t>
        </is>
      </c>
      <c r="F844" t="inlineStr">
        <is>
          <t>Holmen skog AB</t>
        </is>
      </c>
      <c r="G844" t="n">
        <v>2</v>
      </c>
      <c r="H844" t="n">
        <v>0</v>
      </c>
      <c r="I844" t="n">
        <v>0</v>
      </c>
      <c r="J844" t="n">
        <v>0</v>
      </c>
      <c r="K844" t="n">
        <v>0</v>
      </c>
      <c r="L844" t="n">
        <v>0</v>
      </c>
      <c r="M844" t="n">
        <v>0</v>
      </c>
      <c r="N844" t="n">
        <v>0</v>
      </c>
      <c r="O844" t="n">
        <v>0</v>
      </c>
      <c r="P844" t="n">
        <v>0</v>
      </c>
      <c r="Q844" t="n">
        <v>0</v>
      </c>
      <c r="R844" s="2" t="inlineStr"/>
    </row>
    <row r="845" ht="15" customHeight="1">
      <c r="A845" t="inlineStr">
        <is>
          <t>A 39149-2025</t>
        </is>
      </c>
      <c r="B845" s="1" t="n">
        <v>45888.60714120371</v>
      </c>
      <c r="C845" s="1" t="n">
        <v>45915</v>
      </c>
      <c r="D845" t="inlineStr">
        <is>
          <t>STOCKHOLMS LÄN</t>
        </is>
      </c>
      <c r="E845" t="inlineStr">
        <is>
          <t>NORRTÄLJE</t>
        </is>
      </c>
      <c r="G845" t="n">
        <v>3.5</v>
      </c>
      <c r="H845" t="n">
        <v>0</v>
      </c>
      <c r="I845" t="n">
        <v>0</v>
      </c>
      <c r="J845" t="n">
        <v>0</v>
      </c>
      <c r="K845" t="n">
        <v>0</v>
      </c>
      <c r="L845" t="n">
        <v>0</v>
      </c>
      <c r="M845" t="n">
        <v>0</v>
      </c>
      <c r="N845" t="n">
        <v>0</v>
      </c>
      <c r="O845" t="n">
        <v>0</v>
      </c>
      <c r="P845" t="n">
        <v>0</v>
      </c>
      <c r="Q845" t="n">
        <v>0</v>
      </c>
      <c r="R845" s="2" t="inlineStr"/>
    </row>
    <row r="846" ht="15" customHeight="1">
      <c r="A846" t="inlineStr">
        <is>
          <t>A 48798-2021</t>
        </is>
      </c>
      <c r="B846" s="1" t="n">
        <v>44452</v>
      </c>
      <c r="C846" s="1" t="n">
        <v>45915</v>
      </c>
      <c r="D846" t="inlineStr">
        <is>
          <t>STOCKHOLMS LÄN</t>
        </is>
      </c>
      <c r="E846" t="inlineStr">
        <is>
          <t>NORRTÄLJE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46073-2024</t>
        </is>
      </c>
      <c r="B847" s="1" t="n">
        <v>45581</v>
      </c>
      <c r="C847" s="1" t="n">
        <v>45915</v>
      </c>
      <c r="D847" t="inlineStr">
        <is>
          <t>STOCKHOLMS LÄN</t>
        </is>
      </c>
      <c r="E847" t="inlineStr">
        <is>
          <t>NORRTÄLJE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53607-2020</t>
        </is>
      </c>
      <c r="B848" s="1" t="n">
        <v>44124</v>
      </c>
      <c r="C848" s="1" t="n">
        <v>45915</v>
      </c>
      <c r="D848" t="inlineStr">
        <is>
          <t>STOCKHOLMS LÄN</t>
        </is>
      </c>
      <c r="E848" t="inlineStr">
        <is>
          <t>NORRTÄLJE</t>
        </is>
      </c>
      <c r="F848" t="inlineStr">
        <is>
          <t>Holmen skog AB</t>
        </is>
      </c>
      <c r="G848" t="n">
        <v>1.9</v>
      </c>
      <c r="H848" t="n">
        <v>0</v>
      </c>
      <c r="I848" t="n">
        <v>0</v>
      </c>
      <c r="J848" t="n">
        <v>0</v>
      </c>
      <c r="K848" t="n">
        <v>0</v>
      </c>
      <c r="L848" t="n">
        <v>0</v>
      </c>
      <c r="M848" t="n">
        <v>0</v>
      </c>
      <c r="N848" t="n">
        <v>0</v>
      </c>
      <c r="O848" t="n">
        <v>0</v>
      </c>
      <c r="P848" t="n">
        <v>0</v>
      </c>
      <c r="Q848" t="n">
        <v>0</v>
      </c>
      <c r="R848" s="2" t="inlineStr"/>
    </row>
    <row r="849" ht="15" customHeight="1">
      <c r="A849" t="inlineStr">
        <is>
          <t>A 35532-2024</t>
        </is>
      </c>
      <c r="B849" s="1" t="n">
        <v>45531</v>
      </c>
      <c r="C849" s="1" t="n">
        <v>45915</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30283-2022</t>
        </is>
      </c>
      <c r="B850" s="1" t="n">
        <v>44760</v>
      </c>
      <c r="C850" s="1" t="n">
        <v>45915</v>
      </c>
      <c r="D850" t="inlineStr">
        <is>
          <t>STOCKHOLMS LÄN</t>
        </is>
      </c>
      <c r="E850" t="inlineStr">
        <is>
          <t>NORRTÄLJE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30290-2022</t>
        </is>
      </c>
      <c r="B851" s="1" t="n">
        <v>44760</v>
      </c>
      <c r="C851" s="1" t="n">
        <v>45915</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38985-2022</t>
        </is>
      </c>
      <c r="B852" s="1" t="n">
        <v>44816</v>
      </c>
      <c r="C852" s="1" t="n">
        <v>45915</v>
      </c>
      <c r="D852" t="inlineStr">
        <is>
          <t>STOCKHOLMS LÄN</t>
        </is>
      </c>
      <c r="E852" t="inlineStr">
        <is>
          <t>NORRTÄLJE</t>
        </is>
      </c>
      <c r="G852" t="n">
        <v>10.1</v>
      </c>
      <c r="H852" t="n">
        <v>0</v>
      </c>
      <c r="I852" t="n">
        <v>0</v>
      </c>
      <c r="J852" t="n">
        <v>0</v>
      </c>
      <c r="K852" t="n">
        <v>0</v>
      </c>
      <c r="L852" t="n">
        <v>0</v>
      </c>
      <c r="M852" t="n">
        <v>0</v>
      </c>
      <c r="N852" t="n">
        <v>0</v>
      </c>
      <c r="O852" t="n">
        <v>0</v>
      </c>
      <c r="P852" t="n">
        <v>0</v>
      </c>
      <c r="Q852" t="n">
        <v>0</v>
      </c>
      <c r="R852" s="2" t="inlineStr"/>
    </row>
    <row r="853" ht="15" customHeight="1">
      <c r="A853" t="inlineStr">
        <is>
          <t>A 21291-2021</t>
        </is>
      </c>
      <c r="B853" s="1" t="n">
        <v>44319</v>
      </c>
      <c r="C853" s="1" t="n">
        <v>45915</v>
      </c>
      <c r="D853" t="inlineStr">
        <is>
          <t>STOCKHOLMS LÄN</t>
        </is>
      </c>
      <c r="E853" t="inlineStr">
        <is>
          <t>NORRTÄLJE</t>
        </is>
      </c>
      <c r="G853" t="n">
        <v>12.7</v>
      </c>
      <c r="H853" t="n">
        <v>0</v>
      </c>
      <c r="I853" t="n">
        <v>0</v>
      </c>
      <c r="J853" t="n">
        <v>0</v>
      </c>
      <c r="K853" t="n">
        <v>0</v>
      </c>
      <c r="L853" t="n">
        <v>0</v>
      </c>
      <c r="M853" t="n">
        <v>0</v>
      </c>
      <c r="N853" t="n">
        <v>0</v>
      </c>
      <c r="O853" t="n">
        <v>0</v>
      </c>
      <c r="P853" t="n">
        <v>0</v>
      </c>
      <c r="Q853" t="n">
        <v>0</v>
      </c>
      <c r="R853" s="2" t="inlineStr"/>
    </row>
    <row r="854" ht="15" customHeight="1">
      <c r="A854" t="inlineStr">
        <is>
          <t>A 25625-2023</t>
        </is>
      </c>
      <c r="B854" s="1" t="n">
        <v>45089</v>
      </c>
      <c r="C854" s="1" t="n">
        <v>45915</v>
      </c>
      <c r="D854" t="inlineStr">
        <is>
          <t>STOCKHOLMS LÄN</t>
        </is>
      </c>
      <c r="E854" t="inlineStr">
        <is>
          <t>NORRTÄLJE</t>
        </is>
      </c>
      <c r="G854" t="n">
        <v>5.5</v>
      </c>
      <c r="H854" t="n">
        <v>0</v>
      </c>
      <c r="I854" t="n">
        <v>0</v>
      </c>
      <c r="J854" t="n">
        <v>0</v>
      </c>
      <c r="K854" t="n">
        <v>0</v>
      </c>
      <c r="L854" t="n">
        <v>0</v>
      </c>
      <c r="M854" t="n">
        <v>0</v>
      </c>
      <c r="N854" t="n">
        <v>0</v>
      </c>
      <c r="O854" t="n">
        <v>0</v>
      </c>
      <c r="P854" t="n">
        <v>0</v>
      </c>
      <c r="Q854" t="n">
        <v>0</v>
      </c>
      <c r="R854" s="2" t="inlineStr"/>
    </row>
    <row r="855" ht="15" customHeight="1">
      <c r="A855" t="inlineStr">
        <is>
          <t>A 19118-2022</t>
        </is>
      </c>
      <c r="B855" s="1" t="n">
        <v>44691.5652662037</v>
      </c>
      <c r="C855" s="1" t="n">
        <v>45915</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22421-2021</t>
        </is>
      </c>
      <c r="B856" s="1" t="n">
        <v>44326</v>
      </c>
      <c r="C856" s="1" t="n">
        <v>45915</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59893-2022</t>
        </is>
      </c>
      <c r="B857" s="1" t="n">
        <v>44908.77368055555</v>
      </c>
      <c r="C857" s="1" t="n">
        <v>45915</v>
      </c>
      <c r="D857" t="inlineStr">
        <is>
          <t>STOCKHOLMS LÄN</t>
        </is>
      </c>
      <c r="E857" t="inlineStr">
        <is>
          <t>NORRTÄLJE</t>
        </is>
      </c>
      <c r="G857" t="n">
        <v>3</v>
      </c>
      <c r="H857" t="n">
        <v>0</v>
      </c>
      <c r="I857" t="n">
        <v>0</v>
      </c>
      <c r="J857" t="n">
        <v>0</v>
      </c>
      <c r="K857" t="n">
        <v>0</v>
      </c>
      <c r="L857" t="n">
        <v>0</v>
      </c>
      <c r="M857" t="n">
        <v>0</v>
      </c>
      <c r="N857" t="n">
        <v>0</v>
      </c>
      <c r="O857" t="n">
        <v>0</v>
      </c>
      <c r="P857" t="n">
        <v>0</v>
      </c>
      <c r="Q857" t="n">
        <v>0</v>
      </c>
      <c r="R857" s="2" t="inlineStr"/>
    </row>
    <row r="858" ht="15" customHeight="1">
      <c r="A858" t="inlineStr">
        <is>
          <t>A 36689-2023</t>
        </is>
      </c>
      <c r="B858" s="1" t="n">
        <v>45152</v>
      </c>
      <c r="C858" s="1" t="n">
        <v>45915</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34139-2025</t>
        </is>
      </c>
      <c r="B859" s="1" t="n">
        <v>45845</v>
      </c>
      <c r="C859" s="1" t="n">
        <v>45915</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34006-2025</t>
        </is>
      </c>
      <c r="B860" s="1" t="n">
        <v>45844.62609953704</v>
      </c>
      <c r="C860" s="1" t="n">
        <v>45915</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14132-2025</t>
        </is>
      </c>
      <c r="B861" s="1" t="n">
        <v>45740.47550925926</v>
      </c>
      <c r="C861" s="1" t="n">
        <v>45915</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14133-2025</t>
        </is>
      </c>
      <c r="B862" s="1" t="n">
        <v>45740.47724537037</v>
      </c>
      <c r="C862" s="1" t="n">
        <v>45915</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7186-2024</t>
        </is>
      </c>
      <c r="B863" s="1" t="n">
        <v>45344</v>
      </c>
      <c r="C863" s="1" t="n">
        <v>45915</v>
      </c>
      <c r="D863" t="inlineStr">
        <is>
          <t>STOCKHOLMS LÄN</t>
        </is>
      </c>
      <c r="E863" t="inlineStr">
        <is>
          <t>NORRTÄLJE</t>
        </is>
      </c>
      <c r="G863" t="n">
        <v>4.9</v>
      </c>
      <c r="H863" t="n">
        <v>0</v>
      </c>
      <c r="I863" t="n">
        <v>0</v>
      </c>
      <c r="J863" t="n">
        <v>0</v>
      </c>
      <c r="K863" t="n">
        <v>0</v>
      </c>
      <c r="L863" t="n">
        <v>0</v>
      </c>
      <c r="M863" t="n">
        <v>0</v>
      </c>
      <c r="N863" t="n">
        <v>0</v>
      </c>
      <c r="O863" t="n">
        <v>0</v>
      </c>
      <c r="P863" t="n">
        <v>0</v>
      </c>
      <c r="Q863" t="n">
        <v>0</v>
      </c>
      <c r="R863" s="2" t="inlineStr"/>
    </row>
    <row r="864" ht="15" customHeight="1">
      <c r="A864" t="inlineStr">
        <is>
          <t>A 9469-2021</t>
        </is>
      </c>
      <c r="B864" s="1" t="n">
        <v>44251</v>
      </c>
      <c r="C864" s="1" t="n">
        <v>45915</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39202-2024</t>
        </is>
      </c>
      <c r="B865" s="1" t="n">
        <v>45548.72306712963</v>
      </c>
      <c r="C865" s="1" t="n">
        <v>45915</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34010-2025</t>
        </is>
      </c>
      <c r="B866" s="1" t="n">
        <v>45844.91234953704</v>
      </c>
      <c r="C866" s="1" t="n">
        <v>45915</v>
      </c>
      <c r="D866" t="inlineStr">
        <is>
          <t>STOCKHOLMS LÄN</t>
        </is>
      </c>
      <c r="E866" t="inlineStr">
        <is>
          <t>NORRTÄLJE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33226-2024</t>
        </is>
      </c>
      <c r="B867" s="1" t="n">
        <v>45518</v>
      </c>
      <c r="C867" s="1" t="n">
        <v>45915</v>
      </c>
      <c r="D867" t="inlineStr">
        <is>
          <t>STOCKHOLMS LÄN</t>
        </is>
      </c>
      <c r="E867" t="inlineStr">
        <is>
          <t>NORRTÄLJE</t>
        </is>
      </c>
      <c r="G867" t="n">
        <v>13.8</v>
      </c>
      <c r="H867" t="n">
        <v>0</v>
      </c>
      <c r="I867" t="n">
        <v>0</v>
      </c>
      <c r="J867" t="n">
        <v>0</v>
      </c>
      <c r="K867" t="n">
        <v>0</v>
      </c>
      <c r="L867" t="n">
        <v>0</v>
      </c>
      <c r="M867" t="n">
        <v>0</v>
      </c>
      <c r="N867" t="n">
        <v>0</v>
      </c>
      <c r="O867" t="n">
        <v>0</v>
      </c>
      <c r="P867" t="n">
        <v>0</v>
      </c>
      <c r="Q867" t="n">
        <v>0</v>
      </c>
      <c r="R867" s="2" t="inlineStr"/>
    </row>
    <row r="868" ht="15" customHeight="1">
      <c r="A868" t="inlineStr">
        <is>
          <t>A 39610-2025</t>
        </is>
      </c>
      <c r="B868" s="1" t="n">
        <v>45890.56001157407</v>
      </c>
      <c r="C868" s="1" t="n">
        <v>45915</v>
      </c>
      <c r="D868" t="inlineStr">
        <is>
          <t>STOCKHOLMS LÄN</t>
        </is>
      </c>
      <c r="E868" t="inlineStr">
        <is>
          <t>NORRTÄLJE</t>
        </is>
      </c>
      <c r="G868" t="n">
        <v>28.6</v>
      </c>
      <c r="H868" t="n">
        <v>0</v>
      </c>
      <c r="I868" t="n">
        <v>0</v>
      </c>
      <c r="J868" t="n">
        <v>0</v>
      </c>
      <c r="K868" t="n">
        <v>0</v>
      </c>
      <c r="L868" t="n">
        <v>0</v>
      </c>
      <c r="M868" t="n">
        <v>0</v>
      </c>
      <c r="N868" t="n">
        <v>0</v>
      </c>
      <c r="O868" t="n">
        <v>0</v>
      </c>
      <c r="P868" t="n">
        <v>0</v>
      </c>
      <c r="Q868" t="n">
        <v>0</v>
      </c>
      <c r="R868" s="2" t="inlineStr"/>
    </row>
    <row r="869" ht="15" customHeight="1">
      <c r="A869" t="inlineStr">
        <is>
          <t>A 53792-2023</t>
        </is>
      </c>
      <c r="B869" s="1" t="n">
        <v>45231.34144675926</v>
      </c>
      <c r="C869" s="1" t="n">
        <v>45915</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28816-2023</t>
        </is>
      </c>
      <c r="B870" s="1" t="n">
        <v>45104</v>
      </c>
      <c r="C870" s="1" t="n">
        <v>45915</v>
      </c>
      <c r="D870" t="inlineStr">
        <is>
          <t>STOCKHOLMS LÄN</t>
        </is>
      </c>
      <c r="E870" t="inlineStr">
        <is>
          <t>NORRTÄLJE</t>
        </is>
      </c>
      <c r="F870" t="inlineStr">
        <is>
          <t>Kommuner</t>
        </is>
      </c>
      <c r="G870" t="n">
        <v>0.5</v>
      </c>
      <c r="H870" t="n">
        <v>0</v>
      </c>
      <c r="I870" t="n">
        <v>0</v>
      </c>
      <c r="J870" t="n">
        <v>0</v>
      </c>
      <c r="K870" t="n">
        <v>0</v>
      </c>
      <c r="L870" t="n">
        <v>0</v>
      </c>
      <c r="M870" t="n">
        <v>0</v>
      </c>
      <c r="N870" t="n">
        <v>0</v>
      </c>
      <c r="O870" t="n">
        <v>0</v>
      </c>
      <c r="P870" t="n">
        <v>0</v>
      </c>
      <c r="Q870" t="n">
        <v>0</v>
      </c>
      <c r="R870" s="2" t="inlineStr"/>
    </row>
    <row r="871" ht="15" customHeight="1">
      <c r="A871" t="inlineStr">
        <is>
          <t>A 16980-2023</t>
        </is>
      </c>
      <c r="B871" s="1" t="n">
        <v>45033</v>
      </c>
      <c r="C871" s="1" t="n">
        <v>45915</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11280-2023</t>
        </is>
      </c>
      <c r="B872" s="1" t="n">
        <v>44992</v>
      </c>
      <c r="C872" s="1" t="n">
        <v>45915</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57442-2021</t>
        </is>
      </c>
      <c r="B873" s="1" t="n">
        <v>44483</v>
      </c>
      <c r="C873" s="1" t="n">
        <v>45915</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15733-2025</t>
        </is>
      </c>
      <c r="B874" s="1" t="n">
        <v>45748</v>
      </c>
      <c r="C874" s="1" t="n">
        <v>45915</v>
      </c>
      <c r="D874" t="inlineStr">
        <is>
          <t>STOCKHOLMS LÄN</t>
        </is>
      </c>
      <c r="E874" t="inlineStr">
        <is>
          <t>NORRTÄLJE</t>
        </is>
      </c>
      <c r="G874" t="n">
        <v>13.3</v>
      </c>
      <c r="H874" t="n">
        <v>0</v>
      </c>
      <c r="I874" t="n">
        <v>0</v>
      </c>
      <c r="J874" t="n">
        <v>0</v>
      </c>
      <c r="K874" t="n">
        <v>0</v>
      </c>
      <c r="L874" t="n">
        <v>0</v>
      </c>
      <c r="M874" t="n">
        <v>0</v>
      </c>
      <c r="N874" t="n">
        <v>0</v>
      </c>
      <c r="O874" t="n">
        <v>0</v>
      </c>
      <c r="P874" t="n">
        <v>0</v>
      </c>
      <c r="Q874" t="n">
        <v>0</v>
      </c>
      <c r="R874" s="2" t="inlineStr"/>
    </row>
    <row r="875" ht="15" customHeight="1">
      <c r="A875" t="inlineStr">
        <is>
          <t>A 31107-2022</t>
        </is>
      </c>
      <c r="B875" s="1" t="n">
        <v>44769.66864583334</v>
      </c>
      <c r="C875" s="1" t="n">
        <v>45915</v>
      </c>
      <c r="D875" t="inlineStr">
        <is>
          <t>STOCKHOLMS LÄN</t>
        </is>
      </c>
      <c r="E875" t="inlineStr">
        <is>
          <t>NORRTÄLJE</t>
        </is>
      </c>
      <c r="G875" t="n">
        <v>3.8</v>
      </c>
      <c r="H875" t="n">
        <v>0</v>
      </c>
      <c r="I875" t="n">
        <v>0</v>
      </c>
      <c r="J875" t="n">
        <v>0</v>
      </c>
      <c r="K875" t="n">
        <v>0</v>
      </c>
      <c r="L875" t="n">
        <v>0</v>
      </c>
      <c r="M875" t="n">
        <v>0</v>
      </c>
      <c r="N875" t="n">
        <v>0</v>
      </c>
      <c r="O875" t="n">
        <v>0</v>
      </c>
      <c r="P875" t="n">
        <v>0</v>
      </c>
      <c r="Q875" t="n">
        <v>0</v>
      </c>
      <c r="R875" s="2" t="inlineStr"/>
    </row>
    <row r="876" ht="15" customHeight="1">
      <c r="A876" t="inlineStr">
        <is>
          <t>A 19952-2023</t>
        </is>
      </c>
      <c r="B876" s="1" t="n">
        <v>45054.54091435186</v>
      </c>
      <c r="C876" s="1" t="n">
        <v>45915</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19994-2023</t>
        </is>
      </c>
      <c r="B877" s="1" t="n">
        <v>45054</v>
      </c>
      <c r="C877" s="1" t="n">
        <v>45915</v>
      </c>
      <c r="D877" t="inlineStr">
        <is>
          <t>STOCKHOLMS LÄN</t>
        </is>
      </c>
      <c r="E877" t="inlineStr">
        <is>
          <t>NORRTÄLJE</t>
        </is>
      </c>
      <c r="G877" t="n">
        <v>4.3</v>
      </c>
      <c r="H877" t="n">
        <v>0</v>
      </c>
      <c r="I877" t="n">
        <v>0</v>
      </c>
      <c r="J877" t="n">
        <v>0</v>
      </c>
      <c r="K877" t="n">
        <v>0</v>
      </c>
      <c r="L877" t="n">
        <v>0</v>
      </c>
      <c r="M877" t="n">
        <v>0</v>
      </c>
      <c r="N877" t="n">
        <v>0</v>
      </c>
      <c r="O877" t="n">
        <v>0</v>
      </c>
      <c r="P877" t="n">
        <v>0</v>
      </c>
      <c r="Q877" t="n">
        <v>0</v>
      </c>
      <c r="R877" s="2" t="inlineStr"/>
    </row>
    <row r="878" ht="15" customHeight="1">
      <c r="A878" t="inlineStr">
        <is>
          <t>A 39692-2025</t>
        </is>
      </c>
      <c r="B878" s="1" t="n">
        <v>45890.68083333333</v>
      </c>
      <c r="C878" s="1" t="n">
        <v>45915</v>
      </c>
      <c r="D878" t="inlineStr">
        <is>
          <t>STOCKHOLMS LÄN</t>
        </is>
      </c>
      <c r="E878" t="inlineStr">
        <is>
          <t>NORRTÄLJE</t>
        </is>
      </c>
      <c r="G878" t="n">
        <v>10.5</v>
      </c>
      <c r="H878" t="n">
        <v>0</v>
      </c>
      <c r="I878" t="n">
        <v>0</v>
      </c>
      <c r="J878" t="n">
        <v>0</v>
      </c>
      <c r="K878" t="n">
        <v>0</v>
      </c>
      <c r="L878" t="n">
        <v>0</v>
      </c>
      <c r="M878" t="n">
        <v>0</v>
      </c>
      <c r="N878" t="n">
        <v>0</v>
      </c>
      <c r="O878" t="n">
        <v>0</v>
      </c>
      <c r="P878" t="n">
        <v>0</v>
      </c>
      <c r="Q878" t="n">
        <v>0</v>
      </c>
      <c r="R878" s="2" t="inlineStr"/>
    </row>
    <row r="879" ht="15" customHeight="1">
      <c r="A879" t="inlineStr">
        <is>
          <t>A 18539-2021</t>
        </is>
      </c>
      <c r="B879" s="1" t="n">
        <v>44306</v>
      </c>
      <c r="C879" s="1" t="n">
        <v>45915</v>
      </c>
      <c r="D879" t="inlineStr">
        <is>
          <t>STOCKHOLMS LÄN</t>
        </is>
      </c>
      <c r="E879" t="inlineStr">
        <is>
          <t>NORRTÄLJE</t>
        </is>
      </c>
      <c r="F879" t="inlineStr">
        <is>
          <t>Holmen skog AB</t>
        </is>
      </c>
      <c r="G879" t="n">
        <v>5.5</v>
      </c>
      <c r="H879" t="n">
        <v>0</v>
      </c>
      <c r="I879" t="n">
        <v>0</v>
      </c>
      <c r="J879" t="n">
        <v>0</v>
      </c>
      <c r="K879" t="n">
        <v>0</v>
      </c>
      <c r="L879" t="n">
        <v>0</v>
      </c>
      <c r="M879" t="n">
        <v>0</v>
      </c>
      <c r="N879" t="n">
        <v>0</v>
      </c>
      <c r="O879" t="n">
        <v>0</v>
      </c>
      <c r="P879" t="n">
        <v>0</v>
      </c>
      <c r="Q879" t="n">
        <v>0</v>
      </c>
      <c r="R879" s="2" t="inlineStr"/>
    </row>
    <row r="880" ht="15" customHeight="1">
      <c r="A880" t="inlineStr">
        <is>
          <t>A 43170-2023</t>
        </is>
      </c>
      <c r="B880" s="1" t="n">
        <v>45183</v>
      </c>
      <c r="C880" s="1" t="n">
        <v>45915</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29003-2023</t>
        </is>
      </c>
      <c r="B881" s="1" t="n">
        <v>45104</v>
      </c>
      <c r="C881" s="1" t="n">
        <v>45915</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40097-2025</t>
        </is>
      </c>
      <c r="B882" s="1" t="n">
        <v>45894.48322916667</v>
      </c>
      <c r="C882" s="1" t="n">
        <v>45915</v>
      </c>
      <c r="D882" t="inlineStr">
        <is>
          <t>STOCKHOLMS LÄN</t>
        </is>
      </c>
      <c r="E882" t="inlineStr">
        <is>
          <t>NORRTÄLJE</t>
        </is>
      </c>
      <c r="G882" t="n">
        <v>3</v>
      </c>
      <c r="H882" t="n">
        <v>0</v>
      </c>
      <c r="I882" t="n">
        <v>0</v>
      </c>
      <c r="J882" t="n">
        <v>0</v>
      </c>
      <c r="K882" t="n">
        <v>0</v>
      </c>
      <c r="L882" t="n">
        <v>0</v>
      </c>
      <c r="M882" t="n">
        <v>0</v>
      </c>
      <c r="N882" t="n">
        <v>0</v>
      </c>
      <c r="O882" t="n">
        <v>0</v>
      </c>
      <c r="P882" t="n">
        <v>0</v>
      </c>
      <c r="Q882" t="n">
        <v>0</v>
      </c>
      <c r="R882" s="2" t="inlineStr"/>
    </row>
    <row r="883" ht="15" customHeight="1">
      <c r="A883" t="inlineStr">
        <is>
          <t>A 15956-2023</t>
        </is>
      </c>
      <c r="B883" s="1" t="n">
        <v>45022.61003472222</v>
      </c>
      <c r="C883" s="1" t="n">
        <v>45915</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40033-2025</t>
        </is>
      </c>
      <c r="B884" s="1" t="n">
        <v>45893</v>
      </c>
      <c r="C884" s="1" t="n">
        <v>45915</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40217-2025</t>
        </is>
      </c>
      <c r="B885" s="1" t="n">
        <v>45894.68864583333</v>
      </c>
      <c r="C885" s="1" t="n">
        <v>45915</v>
      </c>
      <c r="D885" t="inlineStr">
        <is>
          <t>STOCKHOLMS LÄN</t>
        </is>
      </c>
      <c r="E885" t="inlineStr">
        <is>
          <t>NORRTÄLJE</t>
        </is>
      </c>
      <c r="G885" t="n">
        <v>0.8</v>
      </c>
      <c r="H885" t="n">
        <v>0</v>
      </c>
      <c r="I885" t="n">
        <v>0</v>
      </c>
      <c r="J885" t="n">
        <v>0</v>
      </c>
      <c r="K885" t="n">
        <v>0</v>
      </c>
      <c r="L885" t="n">
        <v>0</v>
      </c>
      <c r="M885" t="n">
        <v>0</v>
      </c>
      <c r="N885" t="n">
        <v>0</v>
      </c>
      <c r="O885" t="n">
        <v>0</v>
      </c>
      <c r="P885" t="n">
        <v>0</v>
      </c>
      <c r="Q885" t="n">
        <v>0</v>
      </c>
      <c r="R885" s="2" t="inlineStr"/>
    </row>
    <row r="886" ht="15" customHeight="1">
      <c r="A886" t="inlineStr">
        <is>
          <t>A 40032-2025</t>
        </is>
      </c>
      <c r="B886" s="1" t="n">
        <v>45893</v>
      </c>
      <c r="C886" s="1" t="n">
        <v>45915</v>
      </c>
      <c r="D886" t="inlineStr">
        <is>
          <t>STOCKHOLMS LÄN</t>
        </is>
      </c>
      <c r="E886" t="inlineStr">
        <is>
          <t>NORRTÄLJE</t>
        </is>
      </c>
      <c r="G886" t="n">
        <v>2.6</v>
      </c>
      <c r="H886" t="n">
        <v>0</v>
      </c>
      <c r="I886" t="n">
        <v>0</v>
      </c>
      <c r="J886" t="n">
        <v>0</v>
      </c>
      <c r="K886" t="n">
        <v>0</v>
      </c>
      <c r="L886" t="n">
        <v>0</v>
      </c>
      <c r="M886" t="n">
        <v>0</v>
      </c>
      <c r="N886" t="n">
        <v>0</v>
      </c>
      <c r="O886" t="n">
        <v>0</v>
      </c>
      <c r="P886" t="n">
        <v>0</v>
      </c>
      <c r="Q886" t="n">
        <v>0</v>
      </c>
      <c r="R886" s="2" t="inlineStr"/>
    </row>
    <row r="887" ht="15" customHeight="1">
      <c r="A887" t="inlineStr">
        <is>
          <t>A 47626-2022</t>
        </is>
      </c>
      <c r="B887" s="1" t="n">
        <v>44854</v>
      </c>
      <c r="C887" s="1" t="n">
        <v>45915</v>
      </c>
      <c r="D887" t="inlineStr">
        <is>
          <t>STOCKHOLMS LÄN</t>
        </is>
      </c>
      <c r="E887" t="inlineStr">
        <is>
          <t>NORRTÄLJE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44778.69210648148</v>
      </c>
      <c r="C888" s="1" t="n">
        <v>45915</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28365-2022</t>
        </is>
      </c>
      <c r="B889" s="1" t="n">
        <v>44747</v>
      </c>
      <c r="C889" s="1" t="n">
        <v>45915</v>
      </c>
      <c r="D889" t="inlineStr">
        <is>
          <t>STOCKHOLMS LÄN</t>
        </is>
      </c>
      <c r="E889" t="inlineStr">
        <is>
          <t>NORRTÄLJE</t>
        </is>
      </c>
      <c r="G889" t="n">
        <v>5.1</v>
      </c>
      <c r="H889" t="n">
        <v>0</v>
      </c>
      <c r="I889" t="n">
        <v>0</v>
      </c>
      <c r="J889" t="n">
        <v>0</v>
      </c>
      <c r="K889" t="n">
        <v>0</v>
      </c>
      <c r="L889" t="n">
        <v>0</v>
      </c>
      <c r="M889" t="n">
        <v>0</v>
      </c>
      <c r="N889" t="n">
        <v>0</v>
      </c>
      <c r="O889" t="n">
        <v>0</v>
      </c>
      <c r="P889" t="n">
        <v>0</v>
      </c>
      <c r="Q889" t="n">
        <v>0</v>
      </c>
      <c r="R889" s="2" t="inlineStr"/>
    </row>
    <row r="890" ht="15" customHeight="1">
      <c r="A890" t="inlineStr">
        <is>
          <t>A 42867-2022</t>
        </is>
      </c>
      <c r="B890" s="1" t="n">
        <v>44832</v>
      </c>
      <c r="C890" s="1" t="n">
        <v>45915</v>
      </c>
      <c r="D890" t="inlineStr">
        <is>
          <t>STOCKHOLMS LÄN</t>
        </is>
      </c>
      <c r="E890" t="inlineStr">
        <is>
          <t>NORRTÄLJE</t>
        </is>
      </c>
      <c r="G890" t="n">
        <v>6.4</v>
      </c>
      <c r="H890" t="n">
        <v>0</v>
      </c>
      <c r="I890" t="n">
        <v>0</v>
      </c>
      <c r="J890" t="n">
        <v>0</v>
      </c>
      <c r="K890" t="n">
        <v>0</v>
      </c>
      <c r="L890" t="n">
        <v>0</v>
      </c>
      <c r="M890" t="n">
        <v>0</v>
      </c>
      <c r="N890" t="n">
        <v>0</v>
      </c>
      <c r="O890" t="n">
        <v>0</v>
      </c>
      <c r="P890" t="n">
        <v>0</v>
      </c>
      <c r="Q890" t="n">
        <v>0</v>
      </c>
      <c r="R890" s="2" t="inlineStr"/>
    </row>
    <row r="891" ht="15" customHeight="1">
      <c r="A891" t="inlineStr">
        <is>
          <t>A 5645-2023</t>
        </is>
      </c>
      <c r="B891" s="1" t="n">
        <v>44960.60469907407</v>
      </c>
      <c r="C891" s="1" t="n">
        <v>45915</v>
      </c>
      <c r="D891" t="inlineStr">
        <is>
          <t>STOCKHOLMS LÄN</t>
        </is>
      </c>
      <c r="E891" t="inlineStr">
        <is>
          <t>NORRTÄLJE</t>
        </is>
      </c>
      <c r="G891" t="n">
        <v>1.7</v>
      </c>
      <c r="H891" t="n">
        <v>0</v>
      </c>
      <c r="I891" t="n">
        <v>0</v>
      </c>
      <c r="J891" t="n">
        <v>0</v>
      </c>
      <c r="K891" t="n">
        <v>0</v>
      </c>
      <c r="L891" t="n">
        <v>0</v>
      </c>
      <c r="M891" t="n">
        <v>0</v>
      </c>
      <c r="N891" t="n">
        <v>0</v>
      </c>
      <c r="O891" t="n">
        <v>0</v>
      </c>
      <c r="P891" t="n">
        <v>0</v>
      </c>
      <c r="Q891" t="n">
        <v>0</v>
      </c>
      <c r="R891" s="2" t="inlineStr"/>
    </row>
    <row r="892" ht="15" customHeight="1">
      <c r="A892" t="inlineStr">
        <is>
          <t>A 40172-2025</t>
        </is>
      </c>
      <c r="B892" s="1" t="n">
        <v>45894.6353125</v>
      </c>
      <c r="C892" s="1" t="n">
        <v>45915</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35110-2025</t>
        </is>
      </c>
      <c r="B893" s="1" t="n">
        <v>45852.58030092593</v>
      </c>
      <c r="C893" s="1" t="n">
        <v>45915</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40228-2025</t>
        </is>
      </c>
      <c r="B894" s="1" t="n">
        <v>45894.70854166667</v>
      </c>
      <c r="C894" s="1" t="n">
        <v>45915</v>
      </c>
      <c r="D894" t="inlineStr">
        <is>
          <t>STOCKHOLMS LÄN</t>
        </is>
      </c>
      <c r="E894" t="inlineStr">
        <is>
          <t>NORRTÄLJE</t>
        </is>
      </c>
      <c r="G894" t="n">
        <v>2.1</v>
      </c>
      <c r="H894" t="n">
        <v>0</v>
      </c>
      <c r="I894" t="n">
        <v>0</v>
      </c>
      <c r="J894" t="n">
        <v>0</v>
      </c>
      <c r="K894" t="n">
        <v>0</v>
      </c>
      <c r="L894" t="n">
        <v>0</v>
      </c>
      <c r="M894" t="n">
        <v>0</v>
      </c>
      <c r="N894" t="n">
        <v>0</v>
      </c>
      <c r="O894" t="n">
        <v>0</v>
      </c>
      <c r="P894" t="n">
        <v>0</v>
      </c>
      <c r="Q894" t="n">
        <v>0</v>
      </c>
      <c r="R894" s="2" t="inlineStr"/>
    </row>
    <row r="895" ht="15" customHeight="1">
      <c r="A895" t="inlineStr">
        <is>
          <t>A 40230-2025</t>
        </is>
      </c>
      <c r="B895" s="1" t="n">
        <v>45894.71101851852</v>
      </c>
      <c r="C895" s="1" t="n">
        <v>45915</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40292-2025</t>
        </is>
      </c>
      <c r="B896" s="1" t="n">
        <v>45895.3867824074</v>
      </c>
      <c r="C896" s="1" t="n">
        <v>45915</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17775-2022</t>
        </is>
      </c>
      <c r="B897" s="1" t="n">
        <v>44682.78430555556</v>
      </c>
      <c r="C897" s="1" t="n">
        <v>45915</v>
      </c>
      <c r="D897" t="inlineStr">
        <is>
          <t>STOCKHOLMS LÄN</t>
        </is>
      </c>
      <c r="E897" t="inlineStr">
        <is>
          <t>NORRTÄLJE</t>
        </is>
      </c>
      <c r="G897" t="n">
        <v>4.7</v>
      </c>
      <c r="H897" t="n">
        <v>0</v>
      </c>
      <c r="I897" t="n">
        <v>0</v>
      </c>
      <c r="J897" t="n">
        <v>0</v>
      </c>
      <c r="K897" t="n">
        <v>0</v>
      </c>
      <c r="L897" t="n">
        <v>0</v>
      </c>
      <c r="M897" t="n">
        <v>0</v>
      </c>
      <c r="N897" t="n">
        <v>0</v>
      </c>
      <c r="O897" t="n">
        <v>0</v>
      </c>
      <c r="P897" t="n">
        <v>0</v>
      </c>
      <c r="Q897" t="n">
        <v>0</v>
      </c>
      <c r="R897" s="2" t="inlineStr"/>
    </row>
    <row r="898" ht="15" customHeight="1">
      <c r="A898" t="inlineStr">
        <is>
          <t>A 9703-2021</t>
        </is>
      </c>
      <c r="B898" s="1" t="n">
        <v>44252</v>
      </c>
      <c r="C898" s="1" t="n">
        <v>45915</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35256-2025</t>
        </is>
      </c>
      <c r="B899" s="1" t="n">
        <v>45853</v>
      </c>
      <c r="C899" s="1" t="n">
        <v>45915</v>
      </c>
      <c r="D899" t="inlineStr">
        <is>
          <t>STOCKHOLMS LÄN</t>
        </is>
      </c>
      <c r="E899" t="inlineStr">
        <is>
          <t>NORRTÄLJE</t>
        </is>
      </c>
      <c r="G899" t="n">
        <v>6.4</v>
      </c>
      <c r="H899" t="n">
        <v>0</v>
      </c>
      <c r="I899" t="n">
        <v>0</v>
      </c>
      <c r="J899" t="n">
        <v>0</v>
      </c>
      <c r="K899" t="n">
        <v>0</v>
      </c>
      <c r="L899" t="n">
        <v>0</v>
      </c>
      <c r="M899" t="n">
        <v>0</v>
      </c>
      <c r="N899" t="n">
        <v>0</v>
      </c>
      <c r="O899" t="n">
        <v>0</v>
      </c>
      <c r="P899" t="n">
        <v>0</v>
      </c>
      <c r="Q899" t="n">
        <v>0</v>
      </c>
      <c r="R899" s="2" t="inlineStr"/>
    </row>
    <row r="900" ht="15" customHeight="1">
      <c r="A900" t="inlineStr">
        <is>
          <t>A 40294-2025</t>
        </is>
      </c>
      <c r="B900" s="1" t="n">
        <v>45895.38778935185</v>
      </c>
      <c r="C900" s="1" t="n">
        <v>45915</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47481-2024</t>
        </is>
      </c>
      <c r="B901" s="1" t="n">
        <v>45587</v>
      </c>
      <c r="C901" s="1" t="n">
        <v>45915</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24933-2023</t>
        </is>
      </c>
      <c r="B902" s="1" t="n">
        <v>45085.5309375</v>
      </c>
      <c r="C902" s="1" t="n">
        <v>45915</v>
      </c>
      <c r="D902" t="inlineStr">
        <is>
          <t>STOCKHOLMS LÄN</t>
        </is>
      </c>
      <c r="E902" t="inlineStr">
        <is>
          <t>NORRTÄLJE</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35254-2025</t>
        </is>
      </c>
      <c r="B903" s="1" t="n">
        <v>45853</v>
      </c>
      <c r="C903" s="1" t="n">
        <v>45915</v>
      </c>
      <c r="D903" t="inlineStr">
        <is>
          <t>STOCKHOLMS LÄN</t>
        </is>
      </c>
      <c r="E903" t="inlineStr">
        <is>
          <t>NORRTÄLJE</t>
        </is>
      </c>
      <c r="G903" t="n">
        <v>6.5</v>
      </c>
      <c r="H903" t="n">
        <v>0</v>
      </c>
      <c r="I903" t="n">
        <v>0</v>
      </c>
      <c r="J903" t="n">
        <v>0</v>
      </c>
      <c r="K903" t="n">
        <v>0</v>
      </c>
      <c r="L903" t="n">
        <v>0</v>
      </c>
      <c r="M903" t="n">
        <v>0</v>
      </c>
      <c r="N903" t="n">
        <v>0</v>
      </c>
      <c r="O903" t="n">
        <v>0</v>
      </c>
      <c r="P903" t="n">
        <v>0</v>
      </c>
      <c r="Q903" t="n">
        <v>0</v>
      </c>
      <c r="R903" s="2" t="inlineStr"/>
    </row>
    <row r="904" ht="15" customHeight="1">
      <c r="A904" t="inlineStr">
        <is>
          <t>A 40529-2025</t>
        </is>
      </c>
      <c r="B904" s="1" t="n">
        <v>45896.38466435186</v>
      </c>
      <c r="C904" s="1" t="n">
        <v>45915</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11062-2024</t>
        </is>
      </c>
      <c r="B905" s="1" t="n">
        <v>45370</v>
      </c>
      <c r="C905" s="1" t="n">
        <v>45915</v>
      </c>
      <c r="D905" t="inlineStr">
        <is>
          <t>STOCKHOLMS LÄN</t>
        </is>
      </c>
      <c r="E905" t="inlineStr">
        <is>
          <t>NORRTÄLJE</t>
        </is>
      </c>
      <c r="G905" t="n">
        <v>3.2</v>
      </c>
      <c r="H905" t="n">
        <v>0</v>
      </c>
      <c r="I905" t="n">
        <v>0</v>
      </c>
      <c r="J905" t="n">
        <v>0</v>
      </c>
      <c r="K905" t="n">
        <v>0</v>
      </c>
      <c r="L905" t="n">
        <v>0</v>
      </c>
      <c r="M905" t="n">
        <v>0</v>
      </c>
      <c r="N905" t="n">
        <v>0</v>
      </c>
      <c r="O905" t="n">
        <v>0</v>
      </c>
      <c r="P905" t="n">
        <v>0</v>
      </c>
      <c r="Q905" t="n">
        <v>0</v>
      </c>
      <c r="R905" s="2" t="inlineStr"/>
    </row>
    <row r="906" ht="15" customHeight="1">
      <c r="A906" t="inlineStr">
        <is>
          <t>A 40829-2025</t>
        </is>
      </c>
      <c r="B906" s="1" t="n">
        <v>45897.50802083333</v>
      </c>
      <c r="C906" s="1" t="n">
        <v>45915</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40831-2025</t>
        </is>
      </c>
      <c r="B907" s="1" t="n">
        <v>45897.51077546296</v>
      </c>
      <c r="C907" s="1" t="n">
        <v>45915</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40837-2025</t>
        </is>
      </c>
      <c r="B908" s="1" t="n">
        <v>45897.51328703704</v>
      </c>
      <c r="C908" s="1" t="n">
        <v>45915</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35479-2025</t>
        </is>
      </c>
      <c r="B909" s="1" t="n">
        <v>45855.69387731481</v>
      </c>
      <c r="C909" s="1" t="n">
        <v>45915</v>
      </c>
      <c r="D909" t="inlineStr">
        <is>
          <t>STOCKHOLMS LÄN</t>
        </is>
      </c>
      <c r="E909" t="inlineStr">
        <is>
          <t>NORRTÄLJE</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41174-2025</t>
        </is>
      </c>
      <c r="B910" s="1" t="n">
        <v>45898.54921296296</v>
      </c>
      <c r="C910" s="1" t="n">
        <v>45915</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41259-2025</t>
        </is>
      </c>
      <c r="B911" s="1" t="n">
        <v>45898.61054398148</v>
      </c>
      <c r="C911" s="1" t="n">
        <v>45915</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41275-2025</t>
        </is>
      </c>
      <c r="B912" s="1" t="n">
        <v>45898.62625</v>
      </c>
      <c r="C912" s="1" t="n">
        <v>45915</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41036-2025</t>
        </is>
      </c>
      <c r="B913" s="1" t="n">
        <v>45898.38552083333</v>
      </c>
      <c r="C913" s="1" t="n">
        <v>45915</v>
      </c>
      <c r="D913" t="inlineStr">
        <is>
          <t>STOCKHOLMS LÄN</t>
        </is>
      </c>
      <c r="E913" t="inlineStr">
        <is>
          <t>NORRTÄLJE</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41053-2025</t>
        </is>
      </c>
      <c r="B914" s="1" t="n">
        <v>45898.40480324074</v>
      </c>
      <c r="C914" s="1" t="n">
        <v>45915</v>
      </c>
      <c r="D914" t="inlineStr">
        <is>
          <t>STOCKHOLMS LÄN</t>
        </is>
      </c>
      <c r="E914" t="inlineStr">
        <is>
          <t>NORRTÄLJE</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41106-2025</t>
        </is>
      </c>
      <c r="B915" s="1" t="n">
        <v>45898.45636574074</v>
      </c>
      <c r="C915" s="1" t="n">
        <v>45915</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35451-2025</t>
        </is>
      </c>
      <c r="B916" s="1" t="n">
        <v>45855.57033564815</v>
      </c>
      <c r="C916" s="1" t="n">
        <v>45915</v>
      </c>
      <c r="D916" t="inlineStr">
        <is>
          <t>STOCKHOLMS LÄN</t>
        </is>
      </c>
      <c r="E916" t="inlineStr">
        <is>
          <t>NORRTÄLJE</t>
        </is>
      </c>
      <c r="F916" t="inlineStr">
        <is>
          <t>Holmen skog AB</t>
        </is>
      </c>
      <c r="G916" t="n">
        <v>7.4</v>
      </c>
      <c r="H916" t="n">
        <v>0</v>
      </c>
      <c r="I916" t="n">
        <v>0</v>
      </c>
      <c r="J916" t="n">
        <v>0</v>
      </c>
      <c r="K916" t="n">
        <v>0</v>
      </c>
      <c r="L916" t="n">
        <v>0</v>
      </c>
      <c r="M916" t="n">
        <v>0</v>
      </c>
      <c r="N916" t="n">
        <v>0</v>
      </c>
      <c r="O916" t="n">
        <v>0</v>
      </c>
      <c r="P916" t="n">
        <v>0</v>
      </c>
      <c r="Q916" t="n">
        <v>0</v>
      </c>
      <c r="R916" s="2" t="inlineStr"/>
    </row>
    <row r="917" ht="15" customHeight="1">
      <c r="A917" t="inlineStr">
        <is>
          <t>A 35478-2025</t>
        </is>
      </c>
      <c r="B917" s="1" t="n">
        <v>45855.68413194444</v>
      </c>
      <c r="C917" s="1" t="n">
        <v>45915</v>
      </c>
      <c r="D917" t="inlineStr">
        <is>
          <t>STOCKHOLMS LÄN</t>
        </is>
      </c>
      <c r="E917" t="inlineStr">
        <is>
          <t>NORRTÄLJE</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576-2023</t>
        </is>
      </c>
      <c r="B918" s="1" t="n">
        <v>44925</v>
      </c>
      <c r="C918" s="1" t="n">
        <v>45915</v>
      </c>
      <c r="D918" t="inlineStr">
        <is>
          <t>STOCKHOLMS LÄN</t>
        </is>
      </c>
      <c r="E918" t="inlineStr">
        <is>
          <t>NORRTÄLJE</t>
        </is>
      </c>
      <c r="G918" t="n">
        <v>7.2</v>
      </c>
      <c r="H918" t="n">
        <v>0</v>
      </c>
      <c r="I918" t="n">
        <v>0</v>
      </c>
      <c r="J918" t="n">
        <v>0</v>
      </c>
      <c r="K918" t="n">
        <v>0</v>
      </c>
      <c r="L918" t="n">
        <v>0</v>
      </c>
      <c r="M918" t="n">
        <v>0</v>
      </c>
      <c r="N918" t="n">
        <v>0</v>
      </c>
      <c r="O918" t="n">
        <v>0</v>
      </c>
      <c r="P918" t="n">
        <v>0</v>
      </c>
      <c r="Q918" t="n">
        <v>0</v>
      </c>
      <c r="R918" s="2" t="inlineStr"/>
    </row>
    <row r="919" ht="15" customHeight="1">
      <c r="A919" t="inlineStr">
        <is>
          <t>A 41301-2025</t>
        </is>
      </c>
      <c r="B919" s="1" t="n">
        <v>45898.68826388889</v>
      </c>
      <c r="C919" s="1" t="n">
        <v>45915</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12908-2025</t>
        </is>
      </c>
      <c r="B920" s="1" t="n">
        <v>45733.82105324074</v>
      </c>
      <c r="C920" s="1" t="n">
        <v>45915</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68361-2021</t>
        </is>
      </c>
      <c r="B921" s="1" t="n">
        <v>44528.91494212963</v>
      </c>
      <c r="C921" s="1" t="n">
        <v>45915</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50469-2022</t>
        </is>
      </c>
      <c r="B922" s="1" t="n">
        <v>44866.49827546296</v>
      </c>
      <c r="C922" s="1" t="n">
        <v>45915</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41976-2024</t>
        </is>
      </c>
      <c r="B923" s="1" t="n">
        <v>45561.62141203704</v>
      </c>
      <c r="C923" s="1" t="n">
        <v>45915</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41110-2025</t>
        </is>
      </c>
      <c r="B924" s="1" t="n">
        <v>45898.45976851852</v>
      </c>
      <c r="C924" s="1" t="n">
        <v>45915</v>
      </c>
      <c r="D924" t="inlineStr">
        <is>
          <t>STOCKHOLMS LÄN</t>
        </is>
      </c>
      <c r="E924" t="inlineStr">
        <is>
          <t>NORRTÄLJE</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41030-2025</t>
        </is>
      </c>
      <c r="B925" s="1" t="n">
        <v>45898.37636574074</v>
      </c>
      <c r="C925" s="1" t="n">
        <v>45915</v>
      </c>
      <c r="D925" t="inlineStr">
        <is>
          <t>STOCKHOLMS LÄN</t>
        </is>
      </c>
      <c r="E925" t="inlineStr">
        <is>
          <t>NORRTÄLJE</t>
        </is>
      </c>
      <c r="F925" t="inlineStr">
        <is>
          <t>Holmen skog AB</t>
        </is>
      </c>
      <c r="G925" t="n">
        <v>2.6</v>
      </c>
      <c r="H925" t="n">
        <v>0</v>
      </c>
      <c r="I925" t="n">
        <v>0</v>
      </c>
      <c r="J925" t="n">
        <v>0</v>
      </c>
      <c r="K925" t="n">
        <v>0</v>
      </c>
      <c r="L925" t="n">
        <v>0</v>
      </c>
      <c r="M925" t="n">
        <v>0</v>
      </c>
      <c r="N925" t="n">
        <v>0</v>
      </c>
      <c r="O925" t="n">
        <v>0</v>
      </c>
      <c r="P925" t="n">
        <v>0</v>
      </c>
      <c r="Q925" t="n">
        <v>0</v>
      </c>
      <c r="R925" s="2" t="inlineStr"/>
    </row>
    <row r="926" ht="15" customHeight="1">
      <c r="A926" t="inlineStr">
        <is>
          <t>A 62206-2022</t>
        </is>
      </c>
      <c r="B926" s="1" t="n">
        <v>44922</v>
      </c>
      <c r="C926" s="1" t="n">
        <v>45915</v>
      </c>
      <c r="D926" t="inlineStr">
        <is>
          <t>STOCKHOLMS LÄN</t>
        </is>
      </c>
      <c r="E926" t="inlineStr">
        <is>
          <t>NORRTÄLJE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41158-2025</t>
        </is>
      </c>
      <c r="B927" s="1" t="n">
        <v>45898.5315625</v>
      </c>
      <c r="C927" s="1" t="n">
        <v>45915</v>
      </c>
      <c r="D927" t="inlineStr">
        <is>
          <t>STOCKHOLMS LÄN</t>
        </is>
      </c>
      <c r="E927" t="inlineStr">
        <is>
          <t>NORRTÄLJE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41272-2025</t>
        </is>
      </c>
      <c r="B928" s="1" t="n">
        <v>45898.62373842593</v>
      </c>
      <c r="C928" s="1" t="n">
        <v>45915</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30886-2022</t>
        </is>
      </c>
      <c r="B929" s="1" t="n">
        <v>44767.60601851852</v>
      </c>
      <c r="C929" s="1" t="n">
        <v>45915</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58989-2021</t>
        </is>
      </c>
      <c r="B930" s="1" t="n">
        <v>44490.02482638889</v>
      </c>
      <c r="C930" s="1" t="n">
        <v>45915</v>
      </c>
      <c r="D930" t="inlineStr">
        <is>
          <t>STOCKHOLMS LÄN</t>
        </is>
      </c>
      <c r="E930" t="inlineStr">
        <is>
          <t>NORRTÄLJE</t>
        </is>
      </c>
      <c r="G930" t="n">
        <v>0.3</v>
      </c>
      <c r="H930" t="n">
        <v>0</v>
      </c>
      <c r="I930" t="n">
        <v>0</v>
      </c>
      <c r="J930" t="n">
        <v>0</v>
      </c>
      <c r="K930" t="n">
        <v>0</v>
      </c>
      <c r="L930" t="n">
        <v>0</v>
      </c>
      <c r="M930" t="n">
        <v>0</v>
      </c>
      <c r="N930" t="n">
        <v>0</v>
      </c>
      <c r="O930" t="n">
        <v>0</v>
      </c>
      <c r="P930" t="n">
        <v>0</v>
      </c>
      <c r="Q930" t="n">
        <v>0</v>
      </c>
      <c r="R930" s="2" t="inlineStr"/>
    </row>
    <row r="931" ht="15" customHeight="1">
      <c r="A931" t="inlineStr">
        <is>
          <t>A 58990-2021</t>
        </is>
      </c>
      <c r="B931" s="1" t="n">
        <v>44490.03621527777</v>
      </c>
      <c r="C931" s="1" t="n">
        <v>45915</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11940-2023</t>
        </is>
      </c>
      <c r="B932" s="1" t="n">
        <v>44995</v>
      </c>
      <c r="C932" s="1" t="n">
        <v>45915</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38720-2025</t>
        </is>
      </c>
      <c r="B933" s="1" t="n">
        <v>45886</v>
      </c>
      <c r="C933" s="1" t="n">
        <v>45915</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29266-2022</t>
        </is>
      </c>
      <c r="B934" s="1" t="n">
        <v>44750.66068287037</v>
      </c>
      <c r="C934" s="1" t="n">
        <v>45915</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29278-2022</t>
        </is>
      </c>
      <c r="B935" s="1" t="n">
        <v>44750</v>
      </c>
      <c r="C935" s="1" t="n">
        <v>45915</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6401-2024</t>
        </is>
      </c>
      <c r="B936" s="1" t="n">
        <v>45338</v>
      </c>
      <c r="C936" s="1" t="n">
        <v>45915</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24501-2023</t>
        </is>
      </c>
      <c r="B937" s="1" t="n">
        <v>45082</v>
      </c>
      <c r="C937" s="1" t="n">
        <v>45915</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24520-2023</t>
        </is>
      </c>
      <c r="B938" s="1" t="n">
        <v>45082.68922453704</v>
      </c>
      <c r="C938" s="1" t="n">
        <v>45915</v>
      </c>
      <c r="D938" t="inlineStr">
        <is>
          <t>STOCKHOLMS LÄN</t>
        </is>
      </c>
      <c r="E938" t="inlineStr">
        <is>
          <t>NORRTÄLJE</t>
        </is>
      </c>
      <c r="G938" t="n">
        <v>4.3</v>
      </c>
      <c r="H938" t="n">
        <v>0</v>
      </c>
      <c r="I938" t="n">
        <v>0</v>
      </c>
      <c r="J938" t="n">
        <v>0</v>
      </c>
      <c r="K938" t="n">
        <v>0</v>
      </c>
      <c r="L938" t="n">
        <v>0</v>
      </c>
      <c r="M938" t="n">
        <v>0</v>
      </c>
      <c r="N938" t="n">
        <v>0</v>
      </c>
      <c r="O938" t="n">
        <v>0</v>
      </c>
      <c r="P938" t="n">
        <v>0</v>
      </c>
      <c r="Q938" t="n">
        <v>0</v>
      </c>
      <c r="R938" s="2" t="inlineStr"/>
    </row>
    <row r="939" ht="15" customHeight="1">
      <c r="A939" t="inlineStr">
        <is>
          <t>A 31281-2022</t>
        </is>
      </c>
      <c r="B939" s="1" t="n">
        <v>44771</v>
      </c>
      <c r="C939" s="1" t="n">
        <v>45915</v>
      </c>
      <c r="D939" t="inlineStr">
        <is>
          <t>STOCKHOLMS LÄN</t>
        </is>
      </c>
      <c r="E939" t="inlineStr">
        <is>
          <t>NORRTÄLJE</t>
        </is>
      </c>
      <c r="F939" t="inlineStr">
        <is>
          <t>Holmen skog AB</t>
        </is>
      </c>
      <c r="G939" t="n">
        <v>5.2</v>
      </c>
      <c r="H939" t="n">
        <v>0</v>
      </c>
      <c r="I939" t="n">
        <v>0</v>
      </c>
      <c r="J939" t="n">
        <v>0</v>
      </c>
      <c r="K939" t="n">
        <v>0</v>
      </c>
      <c r="L939" t="n">
        <v>0</v>
      </c>
      <c r="M939" t="n">
        <v>0</v>
      </c>
      <c r="N939" t="n">
        <v>0</v>
      </c>
      <c r="O939" t="n">
        <v>0</v>
      </c>
      <c r="P939" t="n">
        <v>0</v>
      </c>
      <c r="Q939" t="n">
        <v>0</v>
      </c>
      <c r="R939" s="2" t="inlineStr"/>
    </row>
    <row r="940" ht="15" customHeight="1">
      <c r="A940" t="inlineStr">
        <is>
          <t>A 41964-2025</t>
        </is>
      </c>
      <c r="B940" s="1" t="n">
        <v>45903.47270833333</v>
      </c>
      <c r="C940" s="1" t="n">
        <v>45915</v>
      </c>
      <c r="D940" t="inlineStr">
        <is>
          <t>STOCKHOLMS LÄN</t>
        </is>
      </c>
      <c r="E940" t="inlineStr">
        <is>
          <t>NORRTÄLJE</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42038-2025</t>
        </is>
      </c>
      <c r="B941" s="1" t="n">
        <v>45903.61431712963</v>
      </c>
      <c r="C941" s="1" t="n">
        <v>45915</v>
      </c>
      <c r="D941" t="inlineStr">
        <is>
          <t>STOCKHOLMS LÄN</t>
        </is>
      </c>
      <c r="E941" t="inlineStr">
        <is>
          <t>NORRTÄLJE</t>
        </is>
      </c>
      <c r="F941" t="inlineStr">
        <is>
          <t>Sveaskog</t>
        </is>
      </c>
      <c r="G941" t="n">
        <v>6.4</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45915</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33040-2021</t>
        </is>
      </c>
      <c r="B943" s="1" t="n">
        <v>44376.50728009259</v>
      </c>
      <c r="C943" s="1" t="n">
        <v>45915</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45915</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41966-2025</t>
        </is>
      </c>
      <c r="B945" s="1" t="n">
        <v>45903.47456018518</v>
      </c>
      <c r="C945" s="1" t="n">
        <v>45915</v>
      </c>
      <c r="D945" t="inlineStr">
        <is>
          <t>STOCKHOLMS LÄN</t>
        </is>
      </c>
      <c r="E945" t="inlineStr">
        <is>
          <t>NORRTÄLJE</t>
        </is>
      </c>
      <c r="F945" t="inlineStr">
        <is>
          <t>Sveaskog</t>
        </is>
      </c>
      <c r="G945" t="n">
        <v>3.7</v>
      </c>
      <c r="H945" t="n">
        <v>0</v>
      </c>
      <c r="I945" t="n">
        <v>0</v>
      </c>
      <c r="J945" t="n">
        <v>0</v>
      </c>
      <c r="K945" t="n">
        <v>0</v>
      </c>
      <c r="L945" t="n">
        <v>0</v>
      </c>
      <c r="M945" t="n">
        <v>0</v>
      </c>
      <c r="N945" t="n">
        <v>0</v>
      </c>
      <c r="O945" t="n">
        <v>0</v>
      </c>
      <c r="P945" t="n">
        <v>0</v>
      </c>
      <c r="Q945" t="n">
        <v>0</v>
      </c>
      <c r="R945" s="2" t="inlineStr"/>
    </row>
    <row r="946" ht="15" customHeight="1">
      <c r="A946" t="inlineStr">
        <is>
          <t>A 61113-2023</t>
        </is>
      </c>
      <c r="B946" s="1" t="n">
        <v>45261</v>
      </c>
      <c r="C946" s="1" t="n">
        <v>45915</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60822-2023</t>
        </is>
      </c>
      <c r="B947" s="1" t="n">
        <v>45259</v>
      </c>
      <c r="C947" s="1" t="n">
        <v>45915</v>
      </c>
      <c r="D947" t="inlineStr">
        <is>
          <t>STOCKHOLMS LÄN</t>
        </is>
      </c>
      <c r="E947" t="inlineStr">
        <is>
          <t>NORRTÄLJE</t>
        </is>
      </c>
      <c r="G947" t="n">
        <v>5.2</v>
      </c>
      <c r="H947" t="n">
        <v>0</v>
      </c>
      <c r="I947" t="n">
        <v>0</v>
      </c>
      <c r="J947" t="n">
        <v>0</v>
      </c>
      <c r="K947" t="n">
        <v>0</v>
      </c>
      <c r="L947" t="n">
        <v>0</v>
      </c>
      <c r="M947" t="n">
        <v>0</v>
      </c>
      <c r="N947" t="n">
        <v>0</v>
      </c>
      <c r="O947" t="n">
        <v>0</v>
      </c>
      <c r="P947" t="n">
        <v>0</v>
      </c>
      <c r="Q947" t="n">
        <v>0</v>
      </c>
      <c r="R947" s="2" t="inlineStr"/>
    </row>
    <row r="948" ht="15" customHeight="1">
      <c r="A948" t="inlineStr">
        <is>
          <t>A 59310-2023</t>
        </is>
      </c>
      <c r="B948" s="1" t="n">
        <v>45253.61146990741</v>
      </c>
      <c r="C948" s="1" t="n">
        <v>45915</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20343-2024</t>
        </is>
      </c>
      <c r="B949" s="1" t="n">
        <v>45435.43466435185</v>
      </c>
      <c r="C949" s="1" t="n">
        <v>45915</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20345-2024</t>
        </is>
      </c>
      <c r="B950" s="1" t="n">
        <v>45435.43820601852</v>
      </c>
      <c r="C950" s="1" t="n">
        <v>45915</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55010-2024</t>
        </is>
      </c>
      <c r="B951" s="1" t="n">
        <v>45621.34425925926</v>
      </c>
      <c r="C951" s="1" t="n">
        <v>45915</v>
      </c>
      <c r="D951" t="inlineStr">
        <is>
          <t>STOCKHOLMS LÄN</t>
        </is>
      </c>
      <c r="E951" t="inlineStr">
        <is>
          <t>NORRTÄLJE</t>
        </is>
      </c>
      <c r="F951" t="inlineStr">
        <is>
          <t>Sveaskog</t>
        </is>
      </c>
      <c r="G951" t="n">
        <v>5.7</v>
      </c>
      <c r="H951" t="n">
        <v>0</v>
      </c>
      <c r="I951" t="n">
        <v>0</v>
      </c>
      <c r="J951" t="n">
        <v>0</v>
      </c>
      <c r="K951" t="n">
        <v>0</v>
      </c>
      <c r="L951" t="n">
        <v>0</v>
      </c>
      <c r="M951" t="n">
        <v>0</v>
      </c>
      <c r="N951" t="n">
        <v>0</v>
      </c>
      <c r="O951" t="n">
        <v>0</v>
      </c>
      <c r="P951" t="n">
        <v>0</v>
      </c>
      <c r="Q951" t="n">
        <v>0</v>
      </c>
      <c r="R951" s="2" t="inlineStr"/>
    </row>
    <row r="952" ht="15" customHeight="1">
      <c r="A952" t="inlineStr">
        <is>
          <t>A 55018-2024</t>
        </is>
      </c>
      <c r="B952" s="1" t="n">
        <v>45621.35712962963</v>
      </c>
      <c r="C952" s="1" t="n">
        <v>45915</v>
      </c>
      <c r="D952" t="inlineStr">
        <is>
          <t>STOCKHOLMS LÄN</t>
        </is>
      </c>
      <c r="E952" t="inlineStr">
        <is>
          <t>NORRTÄLJE</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33219-2025</t>
        </is>
      </c>
      <c r="B953" s="1" t="n">
        <v>45840</v>
      </c>
      <c r="C953" s="1" t="n">
        <v>45915</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50113-2024</t>
        </is>
      </c>
      <c r="B954" s="1" t="n">
        <v>45600.411875</v>
      </c>
      <c r="C954" s="1" t="n">
        <v>45915</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20336-2024</t>
        </is>
      </c>
      <c r="B955" s="1" t="n">
        <v>45435.43123842592</v>
      </c>
      <c r="C955" s="1" t="n">
        <v>45915</v>
      </c>
      <c r="D955" t="inlineStr">
        <is>
          <t>STOCKHOLMS LÄN</t>
        </is>
      </c>
      <c r="E955" t="inlineStr">
        <is>
          <t>NORRTÄLJE</t>
        </is>
      </c>
      <c r="G955" t="n">
        <v>1.9</v>
      </c>
      <c r="H955" t="n">
        <v>0</v>
      </c>
      <c r="I955" t="n">
        <v>0</v>
      </c>
      <c r="J955" t="n">
        <v>0</v>
      </c>
      <c r="K955" t="n">
        <v>0</v>
      </c>
      <c r="L955" t="n">
        <v>0</v>
      </c>
      <c r="M955" t="n">
        <v>0</v>
      </c>
      <c r="N955" t="n">
        <v>0</v>
      </c>
      <c r="O955" t="n">
        <v>0</v>
      </c>
      <c r="P955" t="n">
        <v>0</v>
      </c>
      <c r="Q955" t="n">
        <v>0</v>
      </c>
      <c r="R955" s="2" t="inlineStr"/>
    </row>
    <row r="956" ht="15" customHeight="1">
      <c r="A956" t="inlineStr">
        <is>
          <t>A 64899-2023</t>
        </is>
      </c>
      <c r="B956" s="1" t="n">
        <v>45282</v>
      </c>
      <c r="C956" s="1" t="n">
        <v>45915</v>
      </c>
      <c r="D956" t="inlineStr">
        <is>
          <t>STOCKHOLMS LÄN</t>
        </is>
      </c>
      <c r="E956" t="inlineStr">
        <is>
          <t>NORRTÄLJE</t>
        </is>
      </c>
      <c r="G956" t="n">
        <v>6.3</v>
      </c>
      <c r="H956" t="n">
        <v>0</v>
      </c>
      <c r="I956" t="n">
        <v>0</v>
      </c>
      <c r="J956" t="n">
        <v>0</v>
      </c>
      <c r="K956" t="n">
        <v>0</v>
      </c>
      <c r="L956" t="n">
        <v>0</v>
      </c>
      <c r="M956" t="n">
        <v>0</v>
      </c>
      <c r="N956" t="n">
        <v>0</v>
      </c>
      <c r="O956" t="n">
        <v>0</v>
      </c>
      <c r="P956" t="n">
        <v>0</v>
      </c>
      <c r="Q956" t="n">
        <v>0</v>
      </c>
      <c r="R956" s="2" t="inlineStr"/>
    </row>
    <row r="957" ht="15" customHeight="1">
      <c r="A957" t="inlineStr">
        <is>
          <t>A 1847-2023</t>
        </is>
      </c>
      <c r="B957" s="1" t="n">
        <v>44938</v>
      </c>
      <c r="C957" s="1" t="n">
        <v>45915</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11122-2021</t>
        </is>
      </c>
      <c r="B958" s="1" t="n">
        <v>44260</v>
      </c>
      <c r="C958" s="1" t="n">
        <v>45915</v>
      </c>
      <c r="D958" t="inlineStr">
        <is>
          <t>STOCKHOLMS LÄN</t>
        </is>
      </c>
      <c r="E958" t="inlineStr">
        <is>
          <t>NORRTÄLJE</t>
        </is>
      </c>
      <c r="F958" t="inlineStr">
        <is>
          <t>Holmen skog AB</t>
        </is>
      </c>
      <c r="G958" t="n">
        <v>2.1</v>
      </c>
      <c r="H958" t="n">
        <v>0</v>
      </c>
      <c r="I958" t="n">
        <v>0</v>
      </c>
      <c r="J958" t="n">
        <v>0</v>
      </c>
      <c r="K958" t="n">
        <v>0</v>
      </c>
      <c r="L958" t="n">
        <v>0</v>
      </c>
      <c r="M958" t="n">
        <v>0</v>
      </c>
      <c r="N958" t="n">
        <v>0</v>
      </c>
      <c r="O958" t="n">
        <v>0</v>
      </c>
      <c r="P958" t="n">
        <v>0</v>
      </c>
      <c r="Q958" t="n">
        <v>0</v>
      </c>
      <c r="R958" s="2" t="inlineStr"/>
    </row>
    <row r="959" ht="15" customHeight="1">
      <c r="A959" t="inlineStr">
        <is>
          <t>A 39152-2025</t>
        </is>
      </c>
      <c r="B959" s="1" t="n">
        <v>45888</v>
      </c>
      <c r="C959" s="1" t="n">
        <v>45915</v>
      </c>
      <c r="D959" t="inlineStr">
        <is>
          <t>STOCKHOLMS LÄN</t>
        </is>
      </c>
      <c r="E959" t="inlineStr">
        <is>
          <t>NORRTÄLJE</t>
        </is>
      </c>
      <c r="G959" t="n">
        <v>4.6</v>
      </c>
      <c r="H959" t="n">
        <v>0</v>
      </c>
      <c r="I959" t="n">
        <v>0</v>
      </c>
      <c r="J959" t="n">
        <v>0</v>
      </c>
      <c r="K959" t="n">
        <v>0</v>
      </c>
      <c r="L959" t="n">
        <v>0</v>
      </c>
      <c r="M959" t="n">
        <v>0</v>
      </c>
      <c r="N959" t="n">
        <v>0</v>
      </c>
      <c r="O959" t="n">
        <v>0</v>
      </c>
      <c r="P959" t="n">
        <v>0</v>
      </c>
      <c r="Q959" t="n">
        <v>0</v>
      </c>
      <c r="R959" s="2" t="inlineStr"/>
    </row>
    <row r="960" ht="15" customHeight="1">
      <c r="A960" t="inlineStr">
        <is>
          <t>A 20698-2025</t>
        </is>
      </c>
      <c r="B960" s="1" t="n">
        <v>45776.47122685185</v>
      </c>
      <c r="C960" s="1" t="n">
        <v>45915</v>
      </c>
      <c r="D960" t="inlineStr">
        <is>
          <t>STOCKHOLMS LÄN</t>
        </is>
      </c>
      <c r="E960" t="inlineStr">
        <is>
          <t>NORRTÄLJE</t>
        </is>
      </c>
      <c r="G960" t="n">
        <v>1.7</v>
      </c>
      <c r="H960" t="n">
        <v>0</v>
      </c>
      <c r="I960" t="n">
        <v>0</v>
      </c>
      <c r="J960" t="n">
        <v>0</v>
      </c>
      <c r="K960" t="n">
        <v>0</v>
      </c>
      <c r="L960" t="n">
        <v>0</v>
      </c>
      <c r="M960" t="n">
        <v>0</v>
      </c>
      <c r="N960" t="n">
        <v>0</v>
      </c>
      <c r="O960" t="n">
        <v>0</v>
      </c>
      <c r="P960" t="n">
        <v>0</v>
      </c>
      <c r="Q960" t="n">
        <v>0</v>
      </c>
      <c r="R960" s="2" t="inlineStr"/>
    </row>
    <row r="961" ht="15" customHeight="1">
      <c r="A961" t="inlineStr">
        <is>
          <t>A 29362-2022</t>
        </is>
      </c>
      <c r="B961" s="1" t="n">
        <v>44753</v>
      </c>
      <c r="C961" s="1" t="n">
        <v>45915</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20291-2022</t>
        </is>
      </c>
      <c r="B962" s="1" t="n">
        <v>44698</v>
      </c>
      <c r="C962" s="1" t="n">
        <v>45915</v>
      </c>
      <c r="D962" t="inlineStr">
        <is>
          <t>STOCKHOLMS LÄN</t>
        </is>
      </c>
      <c r="E962" t="inlineStr">
        <is>
          <t>NORRTÄLJE</t>
        </is>
      </c>
      <c r="F962" t="inlineStr">
        <is>
          <t>Naturvårdsverket</t>
        </is>
      </c>
      <c r="G962" t="n">
        <v>2</v>
      </c>
      <c r="H962" t="n">
        <v>0</v>
      </c>
      <c r="I962" t="n">
        <v>0</v>
      </c>
      <c r="J962" t="n">
        <v>0</v>
      </c>
      <c r="K962" t="n">
        <v>0</v>
      </c>
      <c r="L962" t="n">
        <v>0</v>
      </c>
      <c r="M962" t="n">
        <v>0</v>
      </c>
      <c r="N962" t="n">
        <v>0</v>
      </c>
      <c r="O962" t="n">
        <v>0</v>
      </c>
      <c r="P962" t="n">
        <v>0</v>
      </c>
      <c r="Q962" t="n">
        <v>0</v>
      </c>
      <c r="R962" s="2" t="inlineStr"/>
    </row>
    <row r="963" ht="15" customHeight="1">
      <c r="A963" t="inlineStr">
        <is>
          <t>A 12302-2025</t>
        </is>
      </c>
      <c r="B963" s="1" t="n">
        <v>45729.72851851852</v>
      </c>
      <c r="C963" s="1" t="n">
        <v>45915</v>
      </c>
      <c r="D963" t="inlineStr">
        <is>
          <t>STOCKHOLMS LÄN</t>
        </is>
      </c>
      <c r="E963" t="inlineStr">
        <is>
          <t>NORRTÄLJE</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36396-2025</t>
        </is>
      </c>
      <c r="B964" s="1" t="n">
        <v>45868.62267361111</v>
      </c>
      <c r="C964" s="1" t="n">
        <v>45915</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31926-2022</t>
        </is>
      </c>
      <c r="B965" s="1" t="n">
        <v>44777</v>
      </c>
      <c r="C965" s="1" t="n">
        <v>45915</v>
      </c>
      <c r="D965" t="inlineStr">
        <is>
          <t>STOCKHOLMS LÄN</t>
        </is>
      </c>
      <c r="E965" t="inlineStr">
        <is>
          <t>NORRTÄLJE</t>
        </is>
      </c>
      <c r="G965" t="n">
        <v>5.2</v>
      </c>
      <c r="H965" t="n">
        <v>0</v>
      </c>
      <c r="I965" t="n">
        <v>0</v>
      </c>
      <c r="J965" t="n">
        <v>0</v>
      </c>
      <c r="K965" t="n">
        <v>0</v>
      </c>
      <c r="L965" t="n">
        <v>0</v>
      </c>
      <c r="M965" t="n">
        <v>0</v>
      </c>
      <c r="N965" t="n">
        <v>0</v>
      </c>
      <c r="O965" t="n">
        <v>0</v>
      </c>
      <c r="P965" t="n">
        <v>0</v>
      </c>
      <c r="Q965" t="n">
        <v>0</v>
      </c>
      <c r="R965" s="2" t="inlineStr"/>
    </row>
    <row r="966" ht="15" customHeight="1">
      <c r="A966" t="inlineStr">
        <is>
          <t>A 1425-2025</t>
        </is>
      </c>
      <c r="B966" s="1" t="n">
        <v>45668.67446759259</v>
      </c>
      <c r="C966" s="1" t="n">
        <v>45915</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1453-2025</t>
        </is>
      </c>
      <c r="B967" s="1" t="n">
        <v>45670.3079050926</v>
      </c>
      <c r="C967" s="1" t="n">
        <v>45915</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3386-2021</t>
        </is>
      </c>
      <c r="B968" s="1" t="n">
        <v>44218</v>
      </c>
      <c r="C968" s="1" t="n">
        <v>45915</v>
      </c>
      <c r="D968" t="inlineStr">
        <is>
          <t>STOCKHOLMS LÄN</t>
        </is>
      </c>
      <c r="E968" t="inlineStr">
        <is>
          <t>NORRTÄLJE</t>
        </is>
      </c>
      <c r="G968" t="n">
        <v>8</v>
      </c>
      <c r="H968" t="n">
        <v>0</v>
      </c>
      <c r="I968" t="n">
        <v>0</v>
      </c>
      <c r="J968" t="n">
        <v>0</v>
      </c>
      <c r="K968" t="n">
        <v>0</v>
      </c>
      <c r="L968" t="n">
        <v>0</v>
      </c>
      <c r="M968" t="n">
        <v>0</v>
      </c>
      <c r="N968" t="n">
        <v>0</v>
      </c>
      <c r="O968" t="n">
        <v>0</v>
      </c>
      <c r="P968" t="n">
        <v>0</v>
      </c>
      <c r="Q968" t="n">
        <v>0</v>
      </c>
      <c r="R968" s="2" t="inlineStr"/>
    </row>
    <row r="969" ht="15" customHeight="1">
      <c r="A969" t="inlineStr">
        <is>
          <t>A 13860-2023</t>
        </is>
      </c>
      <c r="B969" s="1" t="n">
        <v>45007</v>
      </c>
      <c r="C969" s="1" t="n">
        <v>45915</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6070-2022</t>
        </is>
      </c>
      <c r="B970" s="1" t="n">
        <v>44599.58428240741</v>
      </c>
      <c r="C970" s="1" t="n">
        <v>45915</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43269-2025</t>
        </is>
      </c>
      <c r="B971" s="1" t="n">
        <v>45910.5819212963</v>
      </c>
      <c r="C971" s="1" t="n">
        <v>45915</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22232-2024</t>
        </is>
      </c>
      <c r="B972" s="1" t="n">
        <v>45446.4287962963</v>
      </c>
      <c r="C972" s="1" t="n">
        <v>45915</v>
      </c>
      <c r="D972" t="inlineStr">
        <is>
          <t>STOCKHOLMS LÄN</t>
        </is>
      </c>
      <c r="E972" t="inlineStr">
        <is>
          <t>NORRTÄLJE</t>
        </is>
      </c>
      <c r="G972" t="n">
        <v>12.8</v>
      </c>
      <c r="H972" t="n">
        <v>0</v>
      </c>
      <c r="I972" t="n">
        <v>0</v>
      </c>
      <c r="J972" t="n">
        <v>0</v>
      </c>
      <c r="K972" t="n">
        <v>0</v>
      </c>
      <c r="L972" t="n">
        <v>0</v>
      </c>
      <c r="M972" t="n">
        <v>0</v>
      </c>
      <c r="N972" t="n">
        <v>0</v>
      </c>
      <c r="O972" t="n">
        <v>0</v>
      </c>
      <c r="P972" t="n">
        <v>0</v>
      </c>
      <c r="Q972" t="n">
        <v>0</v>
      </c>
      <c r="R972" s="2" t="inlineStr"/>
    </row>
    <row r="973" ht="15" customHeight="1">
      <c r="A973" t="inlineStr">
        <is>
          <t>A 9130-2025</t>
        </is>
      </c>
      <c r="B973" s="1" t="n">
        <v>45713.92623842593</v>
      </c>
      <c r="C973" s="1" t="n">
        <v>45915</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34444-2024</t>
        </is>
      </c>
      <c r="B974" s="1" t="n">
        <v>45525</v>
      </c>
      <c r="C974" s="1" t="n">
        <v>45915</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27828-2022</t>
        </is>
      </c>
      <c r="B975" s="1" t="n">
        <v>44743.59765046297</v>
      </c>
      <c r="C975" s="1" t="n">
        <v>45915</v>
      </c>
      <c r="D975" t="inlineStr">
        <is>
          <t>STOCKHOLMS LÄN</t>
        </is>
      </c>
      <c r="E975" t="inlineStr">
        <is>
          <t>NORRTÄLJE</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42856-2025</t>
        </is>
      </c>
      <c r="B976" s="1" t="n">
        <v>45908</v>
      </c>
      <c r="C976" s="1" t="n">
        <v>45915</v>
      </c>
      <c r="D976" t="inlineStr">
        <is>
          <t>STOCKHOLMS LÄN</t>
        </is>
      </c>
      <c r="E976" t="inlineStr">
        <is>
          <t>NORRTÄLJE</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43169-2025</t>
        </is>
      </c>
      <c r="B977" s="1" t="n">
        <v>45910</v>
      </c>
      <c r="C977" s="1" t="n">
        <v>45915</v>
      </c>
      <c r="D977" t="inlineStr">
        <is>
          <t>STOCKHOLMS LÄN</t>
        </is>
      </c>
      <c r="E977" t="inlineStr">
        <is>
          <t>NORRTÄLJE</t>
        </is>
      </c>
      <c r="G977" t="n">
        <v>6.9</v>
      </c>
      <c r="H977" t="n">
        <v>0</v>
      </c>
      <c r="I977" t="n">
        <v>0</v>
      </c>
      <c r="J977" t="n">
        <v>0</v>
      </c>
      <c r="K977" t="n">
        <v>0</v>
      </c>
      <c r="L977" t="n">
        <v>0</v>
      </c>
      <c r="M977" t="n">
        <v>0</v>
      </c>
      <c r="N977" t="n">
        <v>0</v>
      </c>
      <c r="O977" t="n">
        <v>0</v>
      </c>
      <c r="P977" t="n">
        <v>0</v>
      </c>
      <c r="Q977" t="n">
        <v>0</v>
      </c>
      <c r="R977" s="2" t="inlineStr"/>
    </row>
    <row r="978" ht="15" customHeight="1">
      <c r="A978" t="inlineStr">
        <is>
          <t>A 59873-2024</t>
        </is>
      </c>
      <c r="B978" s="1" t="n">
        <v>45640.57305555556</v>
      </c>
      <c r="C978" s="1" t="n">
        <v>45915</v>
      </c>
      <c r="D978" t="inlineStr">
        <is>
          <t>STOCKHOLMS LÄN</t>
        </is>
      </c>
      <c r="E978" t="inlineStr">
        <is>
          <t>NORRTÄLJE</t>
        </is>
      </c>
      <c r="G978" t="n">
        <v>3.3</v>
      </c>
      <c r="H978" t="n">
        <v>0</v>
      </c>
      <c r="I978" t="n">
        <v>0</v>
      </c>
      <c r="J978" t="n">
        <v>0</v>
      </c>
      <c r="K978" t="n">
        <v>0</v>
      </c>
      <c r="L978" t="n">
        <v>0</v>
      </c>
      <c r="M978" t="n">
        <v>0</v>
      </c>
      <c r="N978" t="n">
        <v>0</v>
      </c>
      <c r="O978" t="n">
        <v>0</v>
      </c>
      <c r="P978" t="n">
        <v>0</v>
      </c>
      <c r="Q978" t="n">
        <v>0</v>
      </c>
      <c r="R978" s="2" t="inlineStr"/>
    </row>
    <row r="979" ht="15" customHeight="1">
      <c r="A979" t="inlineStr">
        <is>
          <t>A 22412-2021</t>
        </is>
      </c>
      <c r="B979" s="1" t="n">
        <v>44326.61967592593</v>
      </c>
      <c r="C979" s="1" t="n">
        <v>45915</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45915</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43150-2023</t>
        </is>
      </c>
      <c r="B981" s="1" t="n">
        <v>45183</v>
      </c>
      <c r="C981" s="1" t="n">
        <v>45915</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35636-2025</t>
        </is>
      </c>
      <c r="B982" s="1" t="n">
        <v>45859</v>
      </c>
      <c r="C982" s="1" t="n">
        <v>45915</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35639-2025</t>
        </is>
      </c>
      <c r="B983" s="1" t="n">
        <v>45859</v>
      </c>
      <c r="C983" s="1" t="n">
        <v>45915</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59534-2024</t>
        </is>
      </c>
      <c r="B984" s="1" t="n">
        <v>45638.5987037037</v>
      </c>
      <c r="C984" s="1" t="n">
        <v>45915</v>
      </c>
      <c r="D984" t="inlineStr">
        <is>
          <t>STOCKHOLMS LÄN</t>
        </is>
      </c>
      <c r="E984" t="inlineStr">
        <is>
          <t>NORRTÄLJE</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23307-2024</t>
        </is>
      </c>
      <c r="B985" s="1" t="n">
        <v>45453</v>
      </c>
      <c r="C985" s="1" t="n">
        <v>45915</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19450-2025</t>
        </is>
      </c>
      <c r="B986" s="1" t="n">
        <v>45770</v>
      </c>
      <c r="C986" s="1" t="n">
        <v>45915</v>
      </c>
      <c r="D986" t="inlineStr">
        <is>
          <t>STOCKHOLMS LÄN</t>
        </is>
      </c>
      <c r="E986" t="inlineStr">
        <is>
          <t>NORRTÄLJE</t>
        </is>
      </c>
      <c r="G986" t="n">
        <v>5.3</v>
      </c>
      <c r="H986" t="n">
        <v>0</v>
      </c>
      <c r="I986" t="n">
        <v>0</v>
      </c>
      <c r="J986" t="n">
        <v>0</v>
      </c>
      <c r="K986" t="n">
        <v>0</v>
      </c>
      <c r="L986" t="n">
        <v>0</v>
      </c>
      <c r="M986" t="n">
        <v>0</v>
      </c>
      <c r="N986" t="n">
        <v>0</v>
      </c>
      <c r="O986" t="n">
        <v>0</v>
      </c>
      <c r="P986" t="n">
        <v>0</v>
      </c>
      <c r="Q986" t="n">
        <v>0</v>
      </c>
      <c r="R986" s="2" t="inlineStr"/>
    </row>
    <row r="987" ht="15" customHeight="1">
      <c r="A987" t="inlineStr">
        <is>
          <t>A 2281-2024</t>
        </is>
      </c>
      <c r="B987" s="1" t="n">
        <v>45310.40628472222</v>
      </c>
      <c r="C987" s="1" t="n">
        <v>45915</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2287-2024</t>
        </is>
      </c>
      <c r="B988" s="1" t="n">
        <v>45310</v>
      </c>
      <c r="C988" s="1" t="n">
        <v>45915</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20618-2022</t>
        </is>
      </c>
      <c r="B989" s="1" t="n">
        <v>44700.50659722222</v>
      </c>
      <c r="C989" s="1" t="n">
        <v>45915</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59504-2023</t>
        </is>
      </c>
      <c r="B990" s="1" t="n">
        <v>45254</v>
      </c>
      <c r="C990" s="1" t="n">
        <v>45915</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25656-2023</t>
        </is>
      </c>
      <c r="B991" s="1" t="n">
        <v>45089</v>
      </c>
      <c r="C991" s="1" t="n">
        <v>45915</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38049-2023</t>
        </is>
      </c>
      <c r="B992" s="1" t="n">
        <v>45159</v>
      </c>
      <c r="C992" s="1" t="n">
        <v>45915</v>
      </c>
      <c r="D992" t="inlineStr">
        <is>
          <t>STOCKHOLMS LÄN</t>
        </is>
      </c>
      <c r="E992" t="inlineStr">
        <is>
          <t>NORRTÄLJE</t>
        </is>
      </c>
      <c r="G992" t="n">
        <v>3.6</v>
      </c>
      <c r="H992" t="n">
        <v>0</v>
      </c>
      <c r="I992" t="n">
        <v>0</v>
      </c>
      <c r="J992" t="n">
        <v>0</v>
      </c>
      <c r="K992" t="n">
        <v>0</v>
      </c>
      <c r="L992" t="n">
        <v>0</v>
      </c>
      <c r="M992" t="n">
        <v>0</v>
      </c>
      <c r="N992" t="n">
        <v>0</v>
      </c>
      <c r="O992" t="n">
        <v>0</v>
      </c>
      <c r="P992" t="n">
        <v>0</v>
      </c>
      <c r="Q992" t="n">
        <v>0</v>
      </c>
      <c r="R992" s="2" t="inlineStr"/>
    </row>
    <row r="993" ht="15" customHeight="1">
      <c r="A993" t="inlineStr">
        <is>
          <t>A 3966-2024</t>
        </is>
      </c>
      <c r="B993" s="1" t="n">
        <v>45322</v>
      </c>
      <c r="C993" s="1" t="n">
        <v>45915</v>
      </c>
      <c r="D993" t="inlineStr">
        <is>
          <t>STOCKHOLMS LÄN</t>
        </is>
      </c>
      <c r="E993" t="inlineStr">
        <is>
          <t>NORRTÄLJE</t>
        </is>
      </c>
      <c r="G993" t="n">
        <v>5.3</v>
      </c>
      <c r="H993" t="n">
        <v>0</v>
      </c>
      <c r="I993" t="n">
        <v>0</v>
      </c>
      <c r="J993" t="n">
        <v>0</v>
      </c>
      <c r="K993" t="n">
        <v>0</v>
      </c>
      <c r="L993" t="n">
        <v>0</v>
      </c>
      <c r="M993" t="n">
        <v>0</v>
      </c>
      <c r="N993" t="n">
        <v>0</v>
      </c>
      <c r="O993" t="n">
        <v>0</v>
      </c>
      <c r="P993" t="n">
        <v>0</v>
      </c>
      <c r="Q993" t="n">
        <v>0</v>
      </c>
      <c r="R993" s="2" t="inlineStr"/>
    </row>
    <row r="994" ht="15" customHeight="1">
      <c r="A994" t="inlineStr">
        <is>
          <t>A 17348-2024</t>
        </is>
      </c>
      <c r="B994" s="1" t="n">
        <v>45414.58650462963</v>
      </c>
      <c r="C994" s="1" t="n">
        <v>45915</v>
      </c>
      <c r="D994" t="inlineStr">
        <is>
          <t>STOCKHOLMS LÄN</t>
        </is>
      </c>
      <c r="E994" t="inlineStr">
        <is>
          <t>NORRTÄLJE</t>
        </is>
      </c>
      <c r="G994" t="n">
        <v>2.3</v>
      </c>
      <c r="H994" t="n">
        <v>0</v>
      </c>
      <c r="I994" t="n">
        <v>0</v>
      </c>
      <c r="J994" t="n">
        <v>0</v>
      </c>
      <c r="K994" t="n">
        <v>0</v>
      </c>
      <c r="L994" t="n">
        <v>0</v>
      </c>
      <c r="M994" t="n">
        <v>0</v>
      </c>
      <c r="N994" t="n">
        <v>0</v>
      </c>
      <c r="O994" t="n">
        <v>0</v>
      </c>
      <c r="P994" t="n">
        <v>0</v>
      </c>
      <c r="Q994" t="n">
        <v>0</v>
      </c>
      <c r="R994" s="2" t="inlineStr"/>
    </row>
    <row r="995" ht="15" customHeight="1">
      <c r="A995" t="inlineStr">
        <is>
          <t>A 38591-2023</t>
        </is>
      </c>
      <c r="B995" s="1" t="n">
        <v>45162</v>
      </c>
      <c r="C995" s="1" t="n">
        <v>45915</v>
      </c>
      <c r="D995" t="inlineStr">
        <is>
          <t>STOCKHOLMS LÄN</t>
        </is>
      </c>
      <c r="E995" t="inlineStr">
        <is>
          <t>NORRTÄLJE</t>
        </is>
      </c>
      <c r="F995" t="inlineStr">
        <is>
          <t>Övriga Aktiebolag</t>
        </is>
      </c>
      <c r="G995" t="n">
        <v>3.1</v>
      </c>
      <c r="H995" t="n">
        <v>0</v>
      </c>
      <c r="I995" t="n">
        <v>0</v>
      </c>
      <c r="J995" t="n">
        <v>0</v>
      </c>
      <c r="K995" t="n">
        <v>0</v>
      </c>
      <c r="L995" t="n">
        <v>0</v>
      </c>
      <c r="M995" t="n">
        <v>0</v>
      </c>
      <c r="N995" t="n">
        <v>0</v>
      </c>
      <c r="O995" t="n">
        <v>0</v>
      </c>
      <c r="P995" t="n">
        <v>0</v>
      </c>
      <c r="Q995" t="n">
        <v>0</v>
      </c>
      <c r="R995" s="2" t="inlineStr"/>
    </row>
    <row r="996" ht="15" customHeight="1">
      <c r="A996" t="inlineStr">
        <is>
          <t>A 3273-2025</t>
        </is>
      </c>
      <c r="B996" s="1" t="n">
        <v>45679</v>
      </c>
      <c r="C996" s="1" t="n">
        <v>45915</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34461-2023</t>
        </is>
      </c>
      <c r="B997" s="1" t="n">
        <v>45139</v>
      </c>
      <c r="C997" s="1" t="n">
        <v>45915</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15217-2023</t>
        </is>
      </c>
      <c r="B998" s="1" t="n">
        <v>45019.28847222222</v>
      </c>
      <c r="C998" s="1" t="n">
        <v>45915</v>
      </c>
      <c r="D998" t="inlineStr">
        <is>
          <t>STOCKHOLMS LÄN</t>
        </is>
      </c>
      <c r="E998" t="inlineStr">
        <is>
          <t>NORRTÄLJE</t>
        </is>
      </c>
      <c r="G998" t="n">
        <v>3.6</v>
      </c>
      <c r="H998" t="n">
        <v>0</v>
      </c>
      <c r="I998" t="n">
        <v>0</v>
      </c>
      <c r="J998" t="n">
        <v>0</v>
      </c>
      <c r="K998" t="n">
        <v>0</v>
      </c>
      <c r="L998" t="n">
        <v>0</v>
      </c>
      <c r="M998" t="n">
        <v>0</v>
      </c>
      <c r="N998" t="n">
        <v>0</v>
      </c>
      <c r="O998" t="n">
        <v>0</v>
      </c>
      <c r="P998" t="n">
        <v>0</v>
      </c>
      <c r="Q998" t="n">
        <v>0</v>
      </c>
      <c r="R998" s="2" t="inlineStr"/>
    </row>
    <row r="999" ht="15" customHeight="1">
      <c r="A999" t="inlineStr">
        <is>
          <t>A 24522-2023</t>
        </is>
      </c>
      <c r="B999" s="1" t="n">
        <v>45082.69179398148</v>
      </c>
      <c r="C999" s="1" t="n">
        <v>45915</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29176-2024</t>
        </is>
      </c>
      <c r="B1000" s="1" t="n">
        <v>45482.53388888889</v>
      </c>
      <c r="C1000" s="1" t="n">
        <v>45915</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4596-2023</t>
        </is>
      </c>
      <c r="B1001" s="1" t="n">
        <v>44956</v>
      </c>
      <c r="C1001" s="1" t="n">
        <v>45915</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4438-2023</t>
        </is>
      </c>
      <c r="B1002" s="1" t="n">
        <v>44956</v>
      </c>
      <c r="C1002" s="1" t="n">
        <v>45915</v>
      </c>
      <c r="D1002" t="inlineStr">
        <is>
          <t>STOCKHOLMS LÄN</t>
        </is>
      </c>
      <c r="E1002" t="inlineStr">
        <is>
          <t>NORRTÄLJE</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24727-2023</t>
        </is>
      </c>
      <c r="B1003" s="1" t="n">
        <v>45084.57695601852</v>
      </c>
      <c r="C1003" s="1" t="n">
        <v>45915</v>
      </c>
      <c r="D1003" t="inlineStr">
        <is>
          <t>STOCKHOLMS LÄN</t>
        </is>
      </c>
      <c r="E1003" t="inlineStr">
        <is>
          <t>NORRTÄLJE</t>
        </is>
      </c>
      <c r="F1003" t="inlineStr">
        <is>
          <t>Holmen skog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59904-2023</t>
        </is>
      </c>
      <c r="B1004" s="1" t="n">
        <v>45257</v>
      </c>
      <c r="C1004" s="1" t="n">
        <v>45915</v>
      </c>
      <c r="D1004" t="inlineStr">
        <is>
          <t>STOCKHOLMS LÄN</t>
        </is>
      </c>
      <c r="E1004" t="inlineStr">
        <is>
          <t>NORRTÄLJE</t>
        </is>
      </c>
      <c r="G1004" t="n">
        <v>17.4</v>
      </c>
      <c r="H1004" t="n">
        <v>0</v>
      </c>
      <c r="I1004" t="n">
        <v>0</v>
      </c>
      <c r="J1004" t="n">
        <v>0</v>
      </c>
      <c r="K1004" t="n">
        <v>0</v>
      </c>
      <c r="L1004" t="n">
        <v>0</v>
      </c>
      <c r="M1004" t="n">
        <v>0</v>
      </c>
      <c r="N1004" t="n">
        <v>0</v>
      </c>
      <c r="O1004" t="n">
        <v>0</v>
      </c>
      <c r="P1004" t="n">
        <v>0</v>
      </c>
      <c r="Q1004" t="n">
        <v>0</v>
      </c>
      <c r="R1004" s="2" t="inlineStr"/>
    </row>
    <row r="1005" ht="15" customHeight="1">
      <c r="A1005" t="inlineStr">
        <is>
          <t>A 36308-2022</t>
        </is>
      </c>
      <c r="B1005" s="1" t="n">
        <v>44803</v>
      </c>
      <c r="C1005" s="1" t="n">
        <v>45915</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18787-2022</t>
        </is>
      </c>
      <c r="B1006" s="1" t="n">
        <v>44687</v>
      </c>
      <c r="C1006" s="1" t="n">
        <v>45915</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50497-2020</t>
        </is>
      </c>
      <c r="B1007" s="1" t="n">
        <v>44110</v>
      </c>
      <c r="C1007" s="1" t="n">
        <v>45915</v>
      </c>
      <c r="D1007" t="inlineStr">
        <is>
          <t>STOCKHOLMS LÄN</t>
        </is>
      </c>
      <c r="E1007" t="inlineStr">
        <is>
          <t>NORRTÄLJE</t>
        </is>
      </c>
      <c r="F1007" t="inlineStr">
        <is>
          <t>Holmen skog AB</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50108-2021</t>
        </is>
      </c>
      <c r="B1008" s="1" t="n">
        <v>44456</v>
      </c>
      <c r="C1008" s="1" t="n">
        <v>45915</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25621-2022</t>
        </is>
      </c>
      <c r="B1009" s="1" t="n">
        <v>44732</v>
      </c>
      <c r="C1009" s="1" t="n">
        <v>45915</v>
      </c>
      <c r="D1009" t="inlineStr">
        <is>
          <t>STOCKHOLMS LÄN</t>
        </is>
      </c>
      <c r="E1009" t="inlineStr">
        <is>
          <t>NORRTÄLJE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20304-2023</t>
        </is>
      </c>
      <c r="B1010" s="1" t="n">
        <v>45056</v>
      </c>
      <c r="C1010" s="1" t="n">
        <v>45915</v>
      </c>
      <c r="D1010" t="inlineStr">
        <is>
          <t>STOCKHOLMS LÄN</t>
        </is>
      </c>
      <c r="E1010" t="inlineStr">
        <is>
          <t>NORRTÄLJE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35235-2024</t>
        </is>
      </c>
      <c r="B1011" s="1" t="n">
        <v>45530</v>
      </c>
      <c r="C1011" s="1" t="n">
        <v>45915</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51061-2023</t>
        </is>
      </c>
      <c r="B1012" s="1" t="n">
        <v>45218.65849537037</v>
      </c>
      <c r="C1012" s="1" t="n">
        <v>45915</v>
      </c>
      <c r="D1012" t="inlineStr">
        <is>
          <t>STOCKHOLMS LÄN</t>
        </is>
      </c>
      <c r="E1012" t="inlineStr">
        <is>
          <t>NORRTÄLJE</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39213-2022</t>
        </is>
      </c>
      <c r="B1013" s="1" t="n">
        <v>44817.56120370371</v>
      </c>
      <c r="C1013" s="1" t="n">
        <v>45915</v>
      </c>
      <c r="D1013" t="inlineStr">
        <is>
          <t>STOCKHOLMS LÄN</t>
        </is>
      </c>
      <c r="E1013" t="inlineStr">
        <is>
          <t>NORRTÄLJE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36246-2021</t>
        </is>
      </c>
      <c r="B1014" s="1" t="n">
        <v>44390</v>
      </c>
      <c r="C1014" s="1" t="n">
        <v>45915</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15905-2023</t>
        </is>
      </c>
      <c r="B1015" s="1" t="n">
        <v>45022</v>
      </c>
      <c r="C1015" s="1" t="n">
        <v>45915</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11041-2025</t>
        </is>
      </c>
      <c r="B1016" s="1" t="n">
        <v>45723</v>
      </c>
      <c r="C1016" s="1" t="n">
        <v>45915</v>
      </c>
      <c r="D1016" t="inlineStr">
        <is>
          <t>STOCKHOLMS LÄN</t>
        </is>
      </c>
      <c r="E1016" t="inlineStr">
        <is>
          <t>NORRTÄLJE</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44917-2022</t>
        </is>
      </c>
      <c r="B1017" s="1" t="n">
        <v>44841.52804398148</v>
      </c>
      <c r="C1017" s="1" t="n">
        <v>45915</v>
      </c>
      <c r="D1017" t="inlineStr">
        <is>
          <t>STOCKHOLMS LÄN</t>
        </is>
      </c>
      <c r="E1017" t="inlineStr">
        <is>
          <t>NORRTÄLJE</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33173-2024</t>
        </is>
      </c>
      <c r="B1018" s="1" t="n">
        <v>45518</v>
      </c>
      <c r="C1018" s="1" t="n">
        <v>45915</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17551-2025</t>
        </is>
      </c>
      <c r="B1019" s="1" t="n">
        <v>45757.61421296297</v>
      </c>
      <c r="C1019" s="1" t="n">
        <v>45915</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10678-2025</t>
        </is>
      </c>
      <c r="B1020" s="1" t="n">
        <v>45721.89123842592</v>
      </c>
      <c r="C1020" s="1" t="n">
        <v>45915</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8370-2025</t>
        </is>
      </c>
      <c r="B1021" s="1" t="n">
        <v>45708</v>
      </c>
      <c r="C1021" s="1" t="n">
        <v>45915</v>
      </c>
      <c r="D1021" t="inlineStr">
        <is>
          <t>STOCKHOLMS LÄN</t>
        </is>
      </c>
      <c r="E1021" t="inlineStr">
        <is>
          <t>NORRTÄLJE</t>
        </is>
      </c>
      <c r="F1021" t="inlineStr">
        <is>
          <t>Övriga Aktiebolag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951-2023</t>
        </is>
      </c>
      <c r="B1022" s="1" t="n">
        <v>44934</v>
      </c>
      <c r="C1022" s="1" t="n">
        <v>45915</v>
      </c>
      <c r="D1022" t="inlineStr">
        <is>
          <t>STOCKHOLMS LÄN</t>
        </is>
      </c>
      <c r="E1022" t="inlineStr">
        <is>
          <t>NORRTÄLJE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32100-2022</t>
        </is>
      </c>
      <c r="B1023" s="1" t="n">
        <v>44778</v>
      </c>
      <c r="C1023" s="1" t="n">
        <v>45915</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2888-2022</t>
        </is>
      </c>
      <c r="B1024" s="1" t="n">
        <v>44581</v>
      </c>
      <c r="C1024" s="1" t="n">
        <v>45915</v>
      </c>
      <c r="D1024" t="inlineStr">
        <is>
          <t>STOCKHOLMS LÄN</t>
        </is>
      </c>
      <c r="E1024" t="inlineStr">
        <is>
          <t>NORRTÄLJE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11902-2024</t>
        </is>
      </c>
      <c r="B1025" s="1" t="n">
        <v>45376.55704861111</v>
      </c>
      <c r="C1025" s="1" t="n">
        <v>45915</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13-2024</t>
        </is>
      </c>
      <c r="B1026" s="1" t="n">
        <v>45293.37263888889</v>
      </c>
      <c r="C1026" s="1" t="n">
        <v>45915</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58260-2023</t>
        </is>
      </c>
      <c r="B1027" s="1" t="n">
        <v>45245</v>
      </c>
      <c r="C1027" s="1" t="n">
        <v>45915</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58261-2023</t>
        </is>
      </c>
      <c r="B1028" s="1" t="n">
        <v>45245</v>
      </c>
      <c r="C1028" s="1" t="n">
        <v>45915</v>
      </c>
      <c r="D1028" t="inlineStr">
        <is>
          <t>STOCKHOLMS LÄN</t>
        </is>
      </c>
      <c r="E1028" t="inlineStr">
        <is>
          <t>NORRTÄLJE</t>
        </is>
      </c>
      <c r="G1028" t="n">
        <v>53.5</v>
      </c>
      <c r="H1028" t="n">
        <v>0</v>
      </c>
      <c r="I1028" t="n">
        <v>0</v>
      </c>
      <c r="J1028" t="n">
        <v>0</v>
      </c>
      <c r="K1028" t="n">
        <v>0</v>
      </c>
      <c r="L1028" t="n">
        <v>0</v>
      </c>
      <c r="M1028" t="n">
        <v>0</v>
      </c>
      <c r="N1028" t="n">
        <v>0</v>
      </c>
      <c r="O1028" t="n">
        <v>0</v>
      </c>
      <c r="P1028" t="n">
        <v>0</v>
      </c>
      <c r="Q1028" t="n">
        <v>0</v>
      </c>
      <c r="R1028" s="2" t="inlineStr"/>
    </row>
    <row r="1029" ht="15" customHeight="1">
      <c r="A1029" t="inlineStr">
        <is>
          <t>A 4553-2023</t>
        </is>
      </c>
      <c r="B1029" s="1" t="n">
        <v>44956.65920138889</v>
      </c>
      <c r="C1029" s="1" t="n">
        <v>45915</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875-2023</t>
        </is>
      </c>
      <c r="B1030" s="1" t="n">
        <v>44931.65626157408</v>
      </c>
      <c r="C1030" s="1" t="n">
        <v>45915</v>
      </c>
      <c r="D1030" t="inlineStr">
        <is>
          <t>STOCKHOLMS LÄN</t>
        </is>
      </c>
      <c r="E1030" t="inlineStr">
        <is>
          <t>NORRTÄLJE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24575-2024</t>
        </is>
      </c>
      <c r="B1031" s="1" t="n">
        <v>45460.45523148148</v>
      </c>
      <c r="C1031" s="1" t="n">
        <v>45915</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19-2024</t>
        </is>
      </c>
      <c r="B1032" s="1" t="n">
        <v>45293</v>
      </c>
      <c r="C1032" s="1" t="n">
        <v>45915</v>
      </c>
      <c r="D1032" t="inlineStr">
        <is>
          <t>STOCKHOLMS LÄN</t>
        </is>
      </c>
      <c r="E1032" t="inlineStr">
        <is>
          <t>NORRTÄLJE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11333-2025</t>
        </is>
      </c>
      <c r="B1033" s="1" t="n">
        <v>45726.48377314815</v>
      </c>
      <c r="C1033" s="1" t="n">
        <v>45915</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21529-2021</t>
        </is>
      </c>
      <c r="B1034" s="1" t="n">
        <v>44321</v>
      </c>
      <c r="C1034" s="1" t="n">
        <v>45915</v>
      </c>
      <c r="D1034" t="inlineStr">
        <is>
          <t>STOCKHOLMS LÄN</t>
        </is>
      </c>
      <c r="E1034" t="inlineStr">
        <is>
          <t>NORRTÄLJE</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31827-2023</t>
        </is>
      </c>
      <c r="B1035" s="1" t="n">
        <v>45118</v>
      </c>
      <c r="C1035" s="1" t="n">
        <v>45915</v>
      </c>
      <c r="D1035" t="inlineStr">
        <is>
          <t>STOCKHOLMS LÄN</t>
        </is>
      </c>
      <c r="E1035" t="inlineStr">
        <is>
          <t>NORRTÄLJE</t>
        </is>
      </c>
      <c r="F1035" t="inlineStr">
        <is>
          <t>Kyrkan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10973-2025</t>
        </is>
      </c>
      <c r="B1036" s="1" t="n">
        <v>45723</v>
      </c>
      <c r="C1036" s="1" t="n">
        <v>45915</v>
      </c>
      <c r="D1036" t="inlineStr">
        <is>
          <t>STOCKHOLMS LÄN</t>
        </is>
      </c>
      <c r="E1036" t="inlineStr">
        <is>
          <t>NORRTÄLJE</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54496-2024</t>
        </is>
      </c>
      <c r="B1037" s="1" t="n">
        <v>45617.57439814815</v>
      </c>
      <c r="C1037" s="1" t="n">
        <v>45915</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7796-2025</t>
        </is>
      </c>
      <c r="B1038" s="1" t="n">
        <v>45706.60130787037</v>
      </c>
      <c r="C1038" s="1" t="n">
        <v>45915</v>
      </c>
      <c r="D1038" t="inlineStr">
        <is>
          <t>STOCKHOLMS LÄN</t>
        </is>
      </c>
      <c r="E1038" t="inlineStr">
        <is>
          <t>NORRTÄLJE</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59767-2022</t>
        </is>
      </c>
      <c r="B1039" s="1" t="n">
        <v>44900</v>
      </c>
      <c r="C1039" s="1" t="n">
        <v>45915</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22756-2022</t>
        </is>
      </c>
      <c r="B1040" s="1" t="n">
        <v>44714.92253472222</v>
      </c>
      <c r="C1040" s="1" t="n">
        <v>45915</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58311-2023</t>
        </is>
      </c>
      <c r="B1041" s="1" t="n">
        <v>45245</v>
      </c>
      <c r="C1041" s="1" t="n">
        <v>45915</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8739-2024</t>
        </is>
      </c>
      <c r="B1042" s="1" t="n">
        <v>45356.47784722222</v>
      </c>
      <c r="C1042" s="1" t="n">
        <v>45915</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26640-2023</t>
        </is>
      </c>
      <c r="B1043" s="1" t="n">
        <v>45092</v>
      </c>
      <c r="C1043" s="1" t="n">
        <v>45915</v>
      </c>
      <c r="D1043" t="inlineStr">
        <is>
          <t>STOCKHOLMS LÄN</t>
        </is>
      </c>
      <c r="E1043" t="inlineStr">
        <is>
          <t>NORRTÄLJE</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62765-2022</t>
        </is>
      </c>
      <c r="B1044" s="1" t="n">
        <v>44637</v>
      </c>
      <c r="C1044" s="1" t="n">
        <v>45915</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38990-2022</t>
        </is>
      </c>
      <c r="B1045" s="1" t="n">
        <v>44816</v>
      </c>
      <c r="C1045" s="1" t="n">
        <v>45915</v>
      </c>
      <c r="D1045" t="inlineStr">
        <is>
          <t>STOCKHOLMS LÄN</t>
        </is>
      </c>
      <c r="E1045" t="inlineStr">
        <is>
          <t>NORRTÄLJE</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17545-2025</t>
        </is>
      </c>
      <c r="B1046" s="1" t="n">
        <v>45757.60658564815</v>
      </c>
      <c r="C1046" s="1" t="n">
        <v>45915</v>
      </c>
      <c r="D1046" t="inlineStr">
        <is>
          <t>STOCKHOLMS LÄN</t>
        </is>
      </c>
      <c r="E1046" t="inlineStr">
        <is>
          <t>NORRTÄLJE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17956-2025</t>
        </is>
      </c>
      <c r="B1047" s="1" t="n">
        <v>45760.91174768518</v>
      </c>
      <c r="C1047" s="1" t="n">
        <v>45915</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23265-2023</t>
        </is>
      </c>
      <c r="B1048" s="1" t="n">
        <v>45075.90703703704</v>
      </c>
      <c r="C1048" s="1" t="n">
        <v>45915</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30268-2024</t>
        </is>
      </c>
      <c r="B1049" s="1" t="n">
        <v>45490.60572916667</v>
      </c>
      <c r="C1049" s="1" t="n">
        <v>45915</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59535-2024</t>
        </is>
      </c>
      <c r="B1050" s="1" t="n">
        <v>45638.59979166667</v>
      </c>
      <c r="C1050" s="1" t="n">
        <v>45915</v>
      </c>
      <c r="D1050" t="inlineStr">
        <is>
          <t>STOCKHOLMS LÄN</t>
        </is>
      </c>
      <c r="E1050" t="inlineStr">
        <is>
          <t>NORRTÄLJE</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9246-2024</t>
        </is>
      </c>
      <c r="B1051" s="1" t="n">
        <v>45357</v>
      </c>
      <c r="C1051" s="1" t="n">
        <v>45915</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20852-2023</t>
        </is>
      </c>
      <c r="B1052" s="1" t="n">
        <v>45058.78607638889</v>
      </c>
      <c r="C1052" s="1" t="n">
        <v>45915</v>
      </c>
      <c r="D1052" t="inlineStr">
        <is>
          <t>STOCKHOLMS LÄN</t>
        </is>
      </c>
      <c r="E1052" t="inlineStr">
        <is>
          <t>NORRTÄLJE</t>
        </is>
      </c>
      <c r="G1052" t="n">
        <v>3.5</v>
      </c>
      <c r="H1052" t="n">
        <v>0</v>
      </c>
      <c r="I1052" t="n">
        <v>0</v>
      </c>
      <c r="J1052" t="n">
        <v>0</v>
      </c>
      <c r="K1052" t="n">
        <v>0</v>
      </c>
      <c r="L1052" t="n">
        <v>0</v>
      </c>
      <c r="M1052" t="n">
        <v>0</v>
      </c>
      <c r="N1052" t="n">
        <v>0</v>
      </c>
      <c r="O1052" t="n">
        <v>0</v>
      </c>
      <c r="P1052" t="n">
        <v>0</v>
      </c>
      <c r="Q1052" t="n">
        <v>0</v>
      </c>
      <c r="R1052" s="2" t="inlineStr"/>
    </row>
    <row r="1053">
      <c r="A1053" t="inlineStr">
        <is>
          <t>A 50355-2024</t>
        </is>
      </c>
      <c r="B1053" s="1" t="n">
        <v>45600.86128472222</v>
      </c>
      <c r="C1053" s="1" t="n">
        <v>45915</v>
      </c>
      <c r="D1053" t="inlineStr">
        <is>
          <t>STOCKHOLMS LÄN</t>
        </is>
      </c>
      <c r="E1053" t="inlineStr">
        <is>
          <t>NORRTÄLJE</t>
        </is>
      </c>
      <c r="F1053" t="inlineStr">
        <is>
          <t>Kommuner</t>
        </is>
      </c>
      <c r="G1053" t="n">
        <v>1</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2025-09-15T08:54:39Z</dcterms:created>
  <dcterms:modified xmlns:dcterms="http://purl.org/dc/terms/" xmlns:xsi="http://www.w3.org/2001/XMLSchema-instance" xsi:type="dcterms:W3CDTF">2025-09-15T08:54:40Z</dcterms:modified>
</cp:coreProperties>
</file>