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45343</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45343</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45343</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45343</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45343</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45343</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45343</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45343</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45343</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45343</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45343</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45343</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45343</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45343</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45343</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45343</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45343</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45343</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45343</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45343</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45343</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45343</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45343</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45343</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45343</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45343</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45343</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45343</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45343</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45343</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45343</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45343</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45343</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45343</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45343</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45343</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45343</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45343</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45343</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45343</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45343</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45343</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45343</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45343</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45343</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45343</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45343</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45343</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45343</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45343</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45343</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45343</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45343</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45343</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45343</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45343</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45343</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45343</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45343</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45343</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45343</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45343</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45343</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45343</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45343</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45343</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45343</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45343</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45343</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14148-2019</t>
        </is>
      </c>
      <c r="B83" s="1" t="n">
        <v>43533</v>
      </c>
      <c r="C83" s="1" t="n">
        <v>45343</v>
      </c>
      <c r="D83" t="inlineStr">
        <is>
          <t>STOCKHOLMS LÄN</t>
        </is>
      </c>
      <c r="E83" t="inlineStr">
        <is>
          <t>NORRTÄLJE</t>
        </is>
      </c>
      <c r="G83" t="n">
        <v>6.1</v>
      </c>
      <c r="H83" t="n">
        <v>1</v>
      </c>
      <c r="I83" t="n">
        <v>0</v>
      </c>
      <c r="J83" t="n">
        <v>2</v>
      </c>
      <c r="K83" t="n">
        <v>0</v>
      </c>
      <c r="L83" t="n">
        <v>0</v>
      </c>
      <c r="M83" t="n">
        <v>0</v>
      </c>
      <c r="N83" t="n">
        <v>0</v>
      </c>
      <c r="O83" t="n">
        <v>2</v>
      </c>
      <c r="P83" t="n">
        <v>0</v>
      </c>
      <c r="Q83" t="n">
        <v>2</v>
      </c>
      <c r="R83" s="2" t="inlineStr">
        <is>
          <t>Havsörn
Tallticka</t>
        </is>
      </c>
      <c r="S83">
        <f>HYPERLINK("https://klasma.github.io/Logging_0188/artfynd/A 14148-2019 artfynd.xlsx", "A 14148-2019")</f>
        <v/>
      </c>
      <c r="T83">
        <f>HYPERLINK("https://klasma.github.io/Logging_0188/kartor/A 14148-2019 karta.png", "A 14148-2019")</f>
        <v/>
      </c>
      <c r="V83">
        <f>HYPERLINK("https://klasma.github.io/Logging_0188/klagomål/A 14148-2019 FSC-klagomål.docx", "A 14148-2019")</f>
        <v/>
      </c>
      <c r="W83">
        <f>HYPERLINK("https://klasma.github.io/Logging_0188/klagomålsmail/A 14148-2019 FSC-klagomål mail.docx", "A 14148-2019")</f>
        <v/>
      </c>
      <c r="X83">
        <f>HYPERLINK("https://klasma.github.io/Logging_0188/tillsyn/A 14148-2019 tillsynsbegäran.docx", "A 14148-2019")</f>
        <v/>
      </c>
      <c r="Y83">
        <f>HYPERLINK("https://klasma.github.io/Logging_0188/tillsynsmail/A 14148-2019 tillsynsbegäran mail.docx", "A 14148-2019")</f>
        <v/>
      </c>
      <c r="Z83">
        <f>HYPERLINK("https://klasma.github.io/Logging_0188/fåglar/A 14148-2019 prioriterade fågelarter.docx", "A 14148-2019")</f>
        <v/>
      </c>
    </row>
    <row r="84" ht="15" customHeight="1">
      <c r="A84" t="inlineStr">
        <is>
          <t>A 15109-2019</t>
        </is>
      </c>
      <c r="B84" s="1" t="n">
        <v>43539</v>
      </c>
      <c r="C84" s="1" t="n">
        <v>45343</v>
      </c>
      <c r="D84" t="inlineStr">
        <is>
          <t>STOCKHOLMS LÄN</t>
        </is>
      </c>
      <c r="E84" t="inlineStr">
        <is>
          <t>NORRTÄLJE</t>
        </is>
      </c>
      <c r="F84" t="inlineStr">
        <is>
          <t>Kommuner</t>
        </is>
      </c>
      <c r="G84" t="n">
        <v>1.8</v>
      </c>
      <c r="H84" t="n">
        <v>1</v>
      </c>
      <c r="I84" t="n">
        <v>1</v>
      </c>
      <c r="J84" t="n">
        <v>0</v>
      </c>
      <c r="K84" t="n">
        <v>0</v>
      </c>
      <c r="L84" t="n">
        <v>0</v>
      </c>
      <c r="M84" t="n">
        <v>0</v>
      </c>
      <c r="N84" t="n">
        <v>0</v>
      </c>
      <c r="O84" t="n">
        <v>0</v>
      </c>
      <c r="P84" t="n">
        <v>0</v>
      </c>
      <c r="Q84" t="n">
        <v>2</v>
      </c>
      <c r="R84" s="2" t="inlineStr">
        <is>
          <t>Vårärt
Blåsippa</t>
        </is>
      </c>
      <c r="S84">
        <f>HYPERLINK("https://klasma.github.io/Logging_0188/artfynd/A 15109-2019 artfynd.xlsx", "A 15109-2019")</f>
        <v/>
      </c>
      <c r="T84">
        <f>HYPERLINK("https://klasma.github.io/Logging_0188/kartor/A 15109-2019 karta.png", "A 15109-2019")</f>
        <v/>
      </c>
      <c r="V84">
        <f>HYPERLINK("https://klasma.github.io/Logging_0188/klagomål/A 15109-2019 FSC-klagomål.docx", "A 15109-2019")</f>
        <v/>
      </c>
      <c r="W84">
        <f>HYPERLINK("https://klasma.github.io/Logging_0188/klagomålsmail/A 15109-2019 FSC-klagomål mail.docx", "A 15109-2019")</f>
        <v/>
      </c>
      <c r="X84">
        <f>HYPERLINK("https://klasma.github.io/Logging_0188/tillsyn/A 15109-2019 tillsynsbegäran.docx", "A 15109-2019")</f>
        <v/>
      </c>
      <c r="Y84">
        <f>HYPERLINK("https://klasma.github.io/Logging_0188/tillsynsmail/A 15109-2019 tillsynsbegäran mail.docx", "A 15109-2019")</f>
        <v/>
      </c>
    </row>
    <row r="85" ht="15" customHeight="1">
      <c r="A85" t="inlineStr">
        <is>
          <t>A 14826-2019</t>
        </is>
      </c>
      <c r="B85" s="1" t="n">
        <v>43539</v>
      </c>
      <c r="C85" s="1" t="n">
        <v>45343</v>
      </c>
      <c r="D85" t="inlineStr">
        <is>
          <t>STOCKHOLMS LÄN</t>
        </is>
      </c>
      <c r="E85" t="inlineStr">
        <is>
          <t>NORRTÄLJE</t>
        </is>
      </c>
      <c r="F85" t="inlineStr">
        <is>
          <t>Kommuner</t>
        </is>
      </c>
      <c r="G85" t="n">
        <v>0.6</v>
      </c>
      <c r="H85" t="n">
        <v>0</v>
      </c>
      <c r="I85" t="n">
        <v>2</v>
      </c>
      <c r="J85" t="n">
        <v>0</v>
      </c>
      <c r="K85" t="n">
        <v>0</v>
      </c>
      <c r="L85" t="n">
        <v>0</v>
      </c>
      <c r="M85" t="n">
        <v>0</v>
      </c>
      <c r="N85" t="n">
        <v>0</v>
      </c>
      <c r="O85" t="n">
        <v>0</v>
      </c>
      <c r="P85" t="n">
        <v>0</v>
      </c>
      <c r="Q85" t="n">
        <v>2</v>
      </c>
      <c r="R85" s="2" t="inlineStr">
        <is>
          <t>Stubbspretmossa
Sårläka</t>
        </is>
      </c>
      <c r="S85">
        <f>HYPERLINK("https://klasma.github.io/Logging_0188/artfynd/A 14826-2019 artfynd.xlsx", "A 14826-2019")</f>
        <v/>
      </c>
      <c r="T85">
        <f>HYPERLINK("https://klasma.github.io/Logging_0188/kartor/A 14826-2019 karta.png", "A 14826-2019")</f>
        <v/>
      </c>
      <c r="V85">
        <f>HYPERLINK("https://klasma.github.io/Logging_0188/klagomål/A 14826-2019 FSC-klagomål.docx", "A 14826-2019")</f>
        <v/>
      </c>
      <c r="W85">
        <f>HYPERLINK("https://klasma.github.io/Logging_0188/klagomålsmail/A 14826-2019 FSC-klagomål mail.docx", "A 14826-2019")</f>
        <v/>
      </c>
      <c r="X85">
        <f>HYPERLINK("https://klasma.github.io/Logging_0188/tillsyn/A 14826-2019 tillsynsbegäran.docx", "A 14826-2019")</f>
        <v/>
      </c>
      <c r="Y85">
        <f>HYPERLINK("https://klasma.github.io/Logging_0188/tillsynsmail/A 14826-2019 tillsynsbegäran mail.docx", "A 14826-2019")</f>
        <v/>
      </c>
    </row>
    <row r="86" ht="15" customHeight="1">
      <c r="A86" t="inlineStr">
        <is>
          <t>A 23830-2019</t>
        </is>
      </c>
      <c r="B86" s="1" t="n">
        <v>43595</v>
      </c>
      <c r="C86" s="1" t="n">
        <v>45343</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45343</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6272-2020</t>
        </is>
      </c>
      <c r="B88" s="1" t="n">
        <v>43866</v>
      </c>
      <c r="C88" s="1" t="n">
        <v>45343</v>
      </c>
      <c r="D88" t="inlineStr">
        <is>
          <t>STOCKHOLMS LÄN</t>
        </is>
      </c>
      <c r="E88" t="inlineStr">
        <is>
          <t>NORRTÄLJE</t>
        </is>
      </c>
      <c r="F88" t="inlineStr">
        <is>
          <t>Övriga statliga verk och myndigheter</t>
        </is>
      </c>
      <c r="G88" t="n">
        <v>1.9</v>
      </c>
      <c r="H88" t="n">
        <v>1</v>
      </c>
      <c r="I88" t="n">
        <v>1</v>
      </c>
      <c r="J88" t="n">
        <v>1</v>
      </c>
      <c r="K88" t="n">
        <v>0</v>
      </c>
      <c r="L88" t="n">
        <v>0</v>
      </c>
      <c r="M88" t="n">
        <v>0</v>
      </c>
      <c r="N88" t="n">
        <v>0</v>
      </c>
      <c r="O88" t="n">
        <v>1</v>
      </c>
      <c r="P88" t="n">
        <v>0</v>
      </c>
      <c r="Q88" t="n">
        <v>2</v>
      </c>
      <c r="R88" s="2" t="inlineStr">
        <is>
          <t>Silversmygare
Nästrot</t>
        </is>
      </c>
      <c r="S88">
        <f>HYPERLINK("https://klasma.github.io/Logging_0188/artfynd/A 6272-2020 artfynd.xlsx", "A 6272-2020")</f>
        <v/>
      </c>
      <c r="T88">
        <f>HYPERLINK("https://klasma.github.io/Logging_0188/kartor/A 6272-2020 karta.png", "A 6272-2020")</f>
        <v/>
      </c>
      <c r="V88">
        <f>HYPERLINK("https://klasma.github.io/Logging_0188/klagomål/A 6272-2020 FSC-klagomål.docx", "A 6272-2020")</f>
        <v/>
      </c>
      <c r="W88">
        <f>HYPERLINK("https://klasma.github.io/Logging_0188/klagomålsmail/A 6272-2020 FSC-klagomål mail.docx", "A 6272-2020")</f>
        <v/>
      </c>
      <c r="X88">
        <f>HYPERLINK("https://klasma.github.io/Logging_0188/tillsyn/A 6272-2020 tillsynsbegäran.docx", "A 6272-2020")</f>
        <v/>
      </c>
      <c r="Y88">
        <f>HYPERLINK("https://klasma.github.io/Logging_0188/tillsynsmail/A 6272-2020 tillsynsbegäran mail.docx", "A 6272-2020")</f>
        <v/>
      </c>
    </row>
    <row r="89" ht="15" customHeight="1">
      <c r="A89" t="inlineStr">
        <is>
          <t>A 19565-2020</t>
        </is>
      </c>
      <c r="B89" s="1" t="n">
        <v>43936</v>
      </c>
      <c r="C89" s="1" t="n">
        <v>45343</v>
      </c>
      <c r="D89" t="inlineStr">
        <is>
          <t>STOCKHOLMS LÄN</t>
        </is>
      </c>
      <c r="E89" t="inlineStr">
        <is>
          <t>NORRTÄLJE</t>
        </is>
      </c>
      <c r="G89" t="n">
        <v>2.4</v>
      </c>
      <c r="H89" t="n">
        <v>0</v>
      </c>
      <c r="I89" t="n">
        <v>2</v>
      </c>
      <c r="J89" t="n">
        <v>0</v>
      </c>
      <c r="K89" t="n">
        <v>0</v>
      </c>
      <c r="L89" t="n">
        <v>0</v>
      </c>
      <c r="M89" t="n">
        <v>0</v>
      </c>
      <c r="N89" t="n">
        <v>0</v>
      </c>
      <c r="O89" t="n">
        <v>0</v>
      </c>
      <c r="P89" t="n">
        <v>0</v>
      </c>
      <c r="Q89" t="n">
        <v>2</v>
      </c>
      <c r="R89" s="2" t="inlineStr">
        <is>
          <t>Mörk husmossa
Rödgul trumpetsvamp</t>
        </is>
      </c>
      <c r="S89">
        <f>HYPERLINK("https://klasma.github.io/Logging_0188/artfynd/A 19565-2020 artfynd.xlsx", "A 19565-2020")</f>
        <v/>
      </c>
      <c r="T89">
        <f>HYPERLINK("https://klasma.github.io/Logging_0188/kartor/A 19565-2020 karta.png", "A 19565-2020")</f>
        <v/>
      </c>
      <c r="V89">
        <f>HYPERLINK("https://klasma.github.io/Logging_0188/klagomål/A 19565-2020 FSC-klagomål.docx", "A 19565-2020")</f>
        <v/>
      </c>
      <c r="W89">
        <f>HYPERLINK("https://klasma.github.io/Logging_0188/klagomålsmail/A 19565-2020 FSC-klagomål mail.docx", "A 19565-2020")</f>
        <v/>
      </c>
      <c r="X89">
        <f>HYPERLINK("https://klasma.github.io/Logging_0188/tillsyn/A 19565-2020 tillsynsbegäran.docx", "A 19565-2020")</f>
        <v/>
      </c>
      <c r="Y89">
        <f>HYPERLINK("https://klasma.github.io/Logging_0188/tillsynsmail/A 19565-2020 tillsynsbegäran mail.docx", "A 19565-2020")</f>
        <v/>
      </c>
    </row>
    <row r="90" ht="15" customHeight="1">
      <c r="A90" t="inlineStr">
        <is>
          <t>A 31803-2021</t>
        </is>
      </c>
      <c r="B90" s="1" t="n">
        <v>44370</v>
      </c>
      <c r="C90" s="1" t="n">
        <v>45343</v>
      </c>
      <c r="D90" t="inlineStr">
        <is>
          <t>STOCKHOLMS LÄN</t>
        </is>
      </c>
      <c r="E90" t="inlineStr">
        <is>
          <t>NORRTÄLJE</t>
        </is>
      </c>
      <c r="G90" t="n">
        <v>4.6</v>
      </c>
      <c r="H90" t="n">
        <v>0</v>
      </c>
      <c r="I90" t="n">
        <v>1</v>
      </c>
      <c r="J90" t="n">
        <v>1</v>
      </c>
      <c r="K90" t="n">
        <v>0</v>
      </c>
      <c r="L90" t="n">
        <v>0</v>
      </c>
      <c r="M90" t="n">
        <v>0</v>
      </c>
      <c r="N90" t="n">
        <v>0</v>
      </c>
      <c r="O90" t="n">
        <v>1</v>
      </c>
      <c r="P90" t="n">
        <v>0</v>
      </c>
      <c r="Q90" t="n">
        <v>2</v>
      </c>
      <c r="R90" s="2" t="inlineStr">
        <is>
          <t>Slåtterfibbla
Vårärt</t>
        </is>
      </c>
      <c r="S90">
        <f>HYPERLINK("https://klasma.github.io/Logging_0188/artfynd/A 31803-2021 artfynd.xlsx", "A 31803-2021")</f>
        <v/>
      </c>
      <c r="T90">
        <f>HYPERLINK("https://klasma.github.io/Logging_0188/kartor/A 31803-2021 karta.png", "A 31803-2021")</f>
        <v/>
      </c>
      <c r="V90">
        <f>HYPERLINK("https://klasma.github.io/Logging_0188/klagomål/A 31803-2021 FSC-klagomål.docx", "A 31803-2021")</f>
        <v/>
      </c>
      <c r="W90">
        <f>HYPERLINK("https://klasma.github.io/Logging_0188/klagomålsmail/A 31803-2021 FSC-klagomål mail.docx", "A 31803-2021")</f>
        <v/>
      </c>
      <c r="X90">
        <f>HYPERLINK("https://klasma.github.io/Logging_0188/tillsyn/A 31803-2021 tillsynsbegäran.docx", "A 31803-2021")</f>
        <v/>
      </c>
      <c r="Y90">
        <f>HYPERLINK("https://klasma.github.io/Logging_0188/tillsynsmail/A 31803-2021 tillsynsbegäran mail.docx", "A 31803-2021")</f>
        <v/>
      </c>
    </row>
    <row r="91" ht="15" customHeight="1">
      <c r="A91" t="inlineStr">
        <is>
          <t>A 40072-2021</t>
        </is>
      </c>
      <c r="B91" s="1" t="n">
        <v>44418</v>
      </c>
      <c r="C91" s="1" t="n">
        <v>45343</v>
      </c>
      <c r="D91" t="inlineStr">
        <is>
          <t>STOCKHOLMS LÄN</t>
        </is>
      </c>
      <c r="E91" t="inlineStr">
        <is>
          <t>NORRTÄLJE</t>
        </is>
      </c>
      <c r="G91" t="n">
        <v>1.1</v>
      </c>
      <c r="H91" t="n">
        <v>2</v>
      </c>
      <c r="I91" t="n">
        <v>0</v>
      </c>
      <c r="J91" t="n">
        <v>2</v>
      </c>
      <c r="K91" t="n">
        <v>0</v>
      </c>
      <c r="L91" t="n">
        <v>0</v>
      </c>
      <c r="M91" t="n">
        <v>0</v>
      </c>
      <c r="N91" t="n">
        <v>0</v>
      </c>
      <c r="O91" t="n">
        <v>2</v>
      </c>
      <c r="P91" t="n">
        <v>0</v>
      </c>
      <c r="Q91" t="n">
        <v>2</v>
      </c>
      <c r="R91" s="2" t="inlineStr">
        <is>
          <t>Rördrom
Slaguggla</t>
        </is>
      </c>
      <c r="S91">
        <f>HYPERLINK("https://klasma.github.io/Logging_0188/artfynd/A 40072-2021 artfynd.xlsx", "A 40072-2021")</f>
        <v/>
      </c>
      <c r="T91">
        <f>HYPERLINK("https://klasma.github.io/Logging_0188/kartor/A 40072-2021 karta.png", "A 40072-2021")</f>
        <v/>
      </c>
      <c r="V91">
        <f>HYPERLINK("https://klasma.github.io/Logging_0188/klagomål/A 40072-2021 FSC-klagomål.docx", "A 40072-2021")</f>
        <v/>
      </c>
      <c r="W91">
        <f>HYPERLINK("https://klasma.github.io/Logging_0188/klagomålsmail/A 40072-2021 FSC-klagomål mail.docx", "A 40072-2021")</f>
        <v/>
      </c>
      <c r="X91">
        <f>HYPERLINK("https://klasma.github.io/Logging_0188/tillsyn/A 40072-2021 tillsynsbegäran.docx", "A 40072-2021")</f>
        <v/>
      </c>
      <c r="Y91">
        <f>HYPERLINK("https://klasma.github.io/Logging_0188/tillsynsmail/A 40072-2021 tillsynsbegäran mail.docx", "A 40072-2021")</f>
        <v/>
      </c>
      <c r="Z91">
        <f>HYPERLINK("https://klasma.github.io/Logging_0188/fåglar/A 40072-2021 prioriterade fågelarter.docx", "A 40072-2021")</f>
        <v/>
      </c>
    </row>
    <row r="92" ht="15" customHeight="1">
      <c r="A92" t="inlineStr">
        <is>
          <t>A 58676-2021</t>
        </is>
      </c>
      <c r="B92" s="1" t="n">
        <v>44489</v>
      </c>
      <c r="C92" s="1" t="n">
        <v>45343</v>
      </c>
      <c r="D92" t="inlineStr">
        <is>
          <t>STOCKHOLMS LÄN</t>
        </is>
      </c>
      <c r="E92" t="inlineStr">
        <is>
          <t>NORRTÄLJE</t>
        </is>
      </c>
      <c r="G92" t="n">
        <v>0.6</v>
      </c>
      <c r="H92" t="n">
        <v>2</v>
      </c>
      <c r="I92" t="n">
        <v>0</v>
      </c>
      <c r="J92" t="n">
        <v>0</v>
      </c>
      <c r="K92" t="n">
        <v>0</v>
      </c>
      <c r="L92" t="n">
        <v>0</v>
      </c>
      <c r="M92" t="n">
        <v>0</v>
      </c>
      <c r="N92" t="n">
        <v>0</v>
      </c>
      <c r="O92" t="n">
        <v>0</v>
      </c>
      <c r="P92" t="n">
        <v>0</v>
      </c>
      <c r="Q92" t="n">
        <v>2</v>
      </c>
      <c r="R92" s="2" t="inlineStr">
        <is>
          <t>Nattviol
Blåsippa</t>
        </is>
      </c>
      <c r="S92">
        <f>HYPERLINK("https://klasma.github.io/Logging_0188/artfynd/A 58676-2021 artfynd.xlsx", "A 58676-2021")</f>
        <v/>
      </c>
      <c r="T92">
        <f>HYPERLINK("https://klasma.github.io/Logging_0188/kartor/A 58676-2021 karta.png", "A 58676-2021")</f>
        <v/>
      </c>
      <c r="V92">
        <f>HYPERLINK("https://klasma.github.io/Logging_0188/klagomål/A 58676-2021 FSC-klagomål.docx", "A 58676-2021")</f>
        <v/>
      </c>
      <c r="W92">
        <f>HYPERLINK("https://klasma.github.io/Logging_0188/klagomålsmail/A 58676-2021 FSC-klagomål mail.docx", "A 58676-2021")</f>
        <v/>
      </c>
      <c r="X92">
        <f>HYPERLINK("https://klasma.github.io/Logging_0188/tillsyn/A 58676-2021 tillsynsbegäran.docx", "A 58676-2021")</f>
        <v/>
      </c>
      <c r="Y92">
        <f>HYPERLINK("https://klasma.github.io/Logging_0188/tillsynsmail/A 58676-2021 tillsynsbegäran mail.docx", "A 58676-2021")</f>
        <v/>
      </c>
    </row>
    <row r="93" ht="15" customHeight="1">
      <c r="A93" t="inlineStr">
        <is>
          <t>A 16260-2022</t>
        </is>
      </c>
      <c r="B93" s="1" t="n">
        <v>44670</v>
      </c>
      <c r="C93" s="1" t="n">
        <v>45343</v>
      </c>
      <c r="D93" t="inlineStr">
        <is>
          <t>STOCKHOLMS LÄN</t>
        </is>
      </c>
      <c r="E93" t="inlineStr">
        <is>
          <t>NORRTÄLJE</t>
        </is>
      </c>
      <c r="G93" t="n">
        <v>6.6</v>
      </c>
      <c r="H93" t="n">
        <v>1</v>
      </c>
      <c r="I93" t="n">
        <v>2</v>
      </c>
      <c r="J93" t="n">
        <v>0</v>
      </c>
      <c r="K93" t="n">
        <v>0</v>
      </c>
      <c r="L93" t="n">
        <v>0</v>
      </c>
      <c r="M93" t="n">
        <v>0</v>
      </c>
      <c r="N93" t="n">
        <v>0</v>
      </c>
      <c r="O93" t="n">
        <v>0</v>
      </c>
      <c r="P93" t="n">
        <v>0</v>
      </c>
      <c r="Q93" t="n">
        <v>2</v>
      </c>
      <c r="R93" s="2" t="inlineStr">
        <is>
          <t>Nästrot
Vårärt</t>
        </is>
      </c>
      <c r="S93">
        <f>HYPERLINK("https://klasma.github.io/Logging_0188/artfynd/A 16260-2022 artfynd.xlsx", "A 16260-2022")</f>
        <v/>
      </c>
      <c r="T93">
        <f>HYPERLINK("https://klasma.github.io/Logging_0188/kartor/A 16260-2022 karta.png", "A 16260-2022")</f>
        <v/>
      </c>
      <c r="V93">
        <f>HYPERLINK("https://klasma.github.io/Logging_0188/klagomål/A 16260-2022 FSC-klagomål.docx", "A 16260-2022")</f>
        <v/>
      </c>
      <c r="W93">
        <f>HYPERLINK("https://klasma.github.io/Logging_0188/klagomålsmail/A 16260-2022 FSC-klagomål mail.docx", "A 16260-2022")</f>
        <v/>
      </c>
      <c r="X93">
        <f>HYPERLINK("https://klasma.github.io/Logging_0188/tillsyn/A 16260-2022 tillsynsbegäran.docx", "A 16260-2022")</f>
        <v/>
      </c>
      <c r="Y93">
        <f>HYPERLINK("https://klasma.github.io/Logging_0188/tillsynsmail/A 16260-2022 tillsynsbegäran mail.docx", "A 16260-2022")</f>
        <v/>
      </c>
    </row>
    <row r="94" ht="15" customHeight="1">
      <c r="A94" t="inlineStr">
        <is>
          <t>A 19862-2022</t>
        </is>
      </c>
      <c r="B94" s="1" t="n">
        <v>44696</v>
      </c>
      <c r="C94" s="1" t="n">
        <v>45343</v>
      </c>
      <c r="D94" t="inlineStr">
        <is>
          <t>STOCKHOLMS LÄN</t>
        </is>
      </c>
      <c r="E94" t="inlineStr">
        <is>
          <t>NORRTÄLJE</t>
        </is>
      </c>
      <c r="G94" t="n">
        <v>6</v>
      </c>
      <c r="H94" t="n">
        <v>1</v>
      </c>
      <c r="I94" t="n">
        <v>0</v>
      </c>
      <c r="J94" t="n">
        <v>1</v>
      </c>
      <c r="K94" t="n">
        <v>0</v>
      </c>
      <c r="L94" t="n">
        <v>0</v>
      </c>
      <c r="M94" t="n">
        <v>0</v>
      </c>
      <c r="N94" t="n">
        <v>0</v>
      </c>
      <c r="O94" t="n">
        <v>1</v>
      </c>
      <c r="P94" t="n">
        <v>0</v>
      </c>
      <c r="Q94" t="n">
        <v>2</v>
      </c>
      <c r="R94" s="2" t="inlineStr">
        <is>
          <t>Granticka
Blåsippa</t>
        </is>
      </c>
      <c r="S94">
        <f>HYPERLINK("https://klasma.github.io/Logging_0188/artfynd/A 19862-2022 artfynd.xlsx", "A 19862-2022")</f>
        <v/>
      </c>
      <c r="T94">
        <f>HYPERLINK("https://klasma.github.io/Logging_0188/kartor/A 19862-2022 karta.png", "A 19862-2022")</f>
        <v/>
      </c>
      <c r="V94">
        <f>HYPERLINK("https://klasma.github.io/Logging_0188/klagomål/A 19862-2022 FSC-klagomål.docx", "A 19862-2022")</f>
        <v/>
      </c>
      <c r="W94">
        <f>HYPERLINK("https://klasma.github.io/Logging_0188/klagomålsmail/A 19862-2022 FSC-klagomål mail.docx", "A 19862-2022")</f>
        <v/>
      </c>
      <c r="X94">
        <f>HYPERLINK("https://klasma.github.io/Logging_0188/tillsyn/A 19862-2022 tillsynsbegäran.docx", "A 19862-2022")</f>
        <v/>
      </c>
      <c r="Y94">
        <f>HYPERLINK("https://klasma.github.io/Logging_0188/tillsynsmail/A 19862-2022 tillsynsbegäran mail.docx", "A 19862-2022")</f>
        <v/>
      </c>
    </row>
    <row r="95" ht="15" customHeight="1">
      <c r="A95" t="inlineStr">
        <is>
          <t>A 27742-2022</t>
        </is>
      </c>
      <c r="B95" s="1" t="n">
        <v>44743</v>
      </c>
      <c r="C95" s="1" t="n">
        <v>45343</v>
      </c>
      <c r="D95" t="inlineStr">
        <is>
          <t>STOCKHOLMS LÄN</t>
        </is>
      </c>
      <c r="E95" t="inlineStr">
        <is>
          <t>NORRTÄLJE</t>
        </is>
      </c>
      <c r="G95" t="n">
        <v>3.9</v>
      </c>
      <c r="H95" t="n">
        <v>1</v>
      </c>
      <c r="I95" t="n">
        <v>1</v>
      </c>
      <c r="J95" t="n">
        <v>0</v>
      </c>
      <c r="K95" t="n">
        <v>0</v>
      </c>
      <c r="L95" t="n">
        <v>0</v>
      </c>
      <c r="M95" t="n">
        <v>0</v>
      </c>
      <c r="N95" t="n">
        <v>0</v>
      </c>
      <c r="O95" t="n">
        <v>0</v>
      </c>
      <c r="P95" t="n">
        <v>0</v>
      </c>
      <c r="Q95" t="n">
        <v>2</v>
      </c>
      <c r="R95" s="2" t="inlineStr">
        <is>
          <t>Svavelriska
Blåsippa</t>
        </is>
      </c>
      <c r="S95">
        <f>HYPERLINK("https://klasma.github.io/Logging_0188/artfynd/A 27742-2022 artfynd.xlsx", "A 27742-2022")</f>
        <v/>
      </c>
      <c r="T95">
        <f>HYPERLINK("https://klasma.github.io/Logging_0188/kartor/A 27742-2022 karta.png", "A 27742-2022")</f>
        <v/>
      </c>
      <c r="V95">
        <f>HYPERLINK("https://klasma.github.io/Logging_0188/klagomål/A 27742-2022 FSC-klagomål.docx", "A 27742-2022")</f>
        <v/>
      </c>
      <c r="W95">
        <f>HYPERLINK("https://klasma.github.io/Logging_0188/klagomålsmail/A 27742-2022 FSC-klagomål mail.docx", "A 27742-2022")</f>
        <v/>
      </c>
      <c r="X95">
        <f>HYPERLINK("https://klasma.github.io/Logging_0188/tillsyn/A 27742-2022 tillsynsbegäran.docx", "A 27742-2022")</f>
        <v/>
      </c>
      <c r="Y95">
        <f>HYPERLINK("https://klasma.github.io/Logging_0188/tillsynsmail/A 27742-2022 tillsynsbegäran mail.docx", "A 27742-2022")</f>
        <v/>
      </c>
    </row>
    <row r="96" ht="15" customHeight="1">
      <c r="A96" t="inlineStr">
        <is>
          <t>A 30693-2022</t>
        </is>
      </c>
      <c r="B96" s="1" t="n">
        <v>44763</v>
      </c>
      <c r="C96" s="1" t="n">
        <v>45343</v>
      </c>
      <c r="D96" t="inlineStr">
        <is>
          <t>STOCKHOLMS LÄN</t>
        </is>
      </c>
      <c r="E96" t="inlineStr">
        <is>
          <t>NORRTÄLJE</t>
        </is>
      </c>
      <c r="F96" t="inlineStr">
        <is>
          <t>Sveaskog</t>
        </is>
      </c>
      <c r="G96" t="n">
        <v>3.4</v>
      </c>
      <c r="H96" t="n">
        <v>2</v>
      </c>
      <c r="I96" t="n">
        <v>0</v>
      </c>
      <c r="J96" t="n">
        <v>1</v>
      </c>
      <c r="K96" t="n">
        <v>0</v>
      </c>
      <c r="L96" t="n">
        <v>0</v>
      </c>
      <c r="M96" t="n">
        <v>0</v>
      </c>
      <c r="N96" t="n">
        <v>0</v>
      </c>
      <c r="O96" t="n">
        <v>1</v>
      </c>
      <c r="P96" t="n">
        <v>0</v>
      </c>
      <c r="Q96" t="n">
        <v>2</v>
      </c>
      <c r="R96" s="2" t="inlineStr">
        <is>
          <t>Gulsparv
Gök</t>
        </is>
      </c>
      <c r="S96">
        <f>HYPERLINK("https://klasma.github.io/Logging_0188/artfynd/A 30693-2022 artfynd.xlsx", "A 30693-2022")</f>
        <v/>
      </c>
      <c r="T96">
        <f>HYPERLINK("https://klasma.github.io/Logging_0188/kartor/A 30693-2022 karta.png", "A 30693-2022")</f>
        <v/>
      </c>
      <c r="V96">
        <f>HYPERLINK("https://klasma.github.io/Logging_0188/klagomål/A 30693-2022 FSC-klagomål.docx", "A 30693-2022")</f>
        <v/>
      </c>
      <c r="W96">
        <f>HYPERLINK("https://klasma.github.io/Logging_0188/klagomålsmail/A 30693-2022 FSC-klagomål mail.docx", "A 30693-2022")</f>
        <v/>
      </c>
      <c r="X96">
        <f>HYPERLINK("https://klasma.github.io/Logging_0188/tillsyn/A 30693-2022 tillsynsbegäran.docx", "A 30693-2022")</f>
        <v/>
      </c>
      <c r="Y96">
        <f>HYPERLINK("https://klasma.github.io/Logging_0188/tillsynsmail/A 30693-2022 tillsynsbegäran mail.docx", "A 30693-2022")</f>
        <v/>
      </c>
      <c r="Z96">
        <f>HYPERLINK("https://klasma.github.io/Logging_0188/fåglar/A 30693-2022 prioriterade fågelarter.docx", "A 30693-2022")</f>
        <v/>
      </c>
    </row>
    <row r="97" ht="15" customHeight="1">
      <c r="A97" t="inlineStr">
        <is>
          <t>A 52124-2022</t>
        </is>
      </c>
      <c r="B97" s="1" t="n">
        <v>44868</v>
      </c>
      <c r="C97" s="1" t="n">
        <v>45343</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45343</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45343</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45343</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45343</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45343</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45343</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45343</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45343</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45343</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62482-2018</t>
        </is>
      </c>
      <c r="B107" s="1" t="n">
        <v>43415</v>
      </c>
      <c r="C107" s="1" t="n">
        <v>45343</v>
      </c>
      <c r="D107" t="inlineStr">
        <is>
          <t>STOCKHOLMS LÄN</t>
        </is>
      </c>
      <c r="E107" t="inlineStr">
        <is>
          <t>NORRTÄLJE</t>
        </is>
      </c>
      <c r="G107" t="n">
        <v>4.5</v>
      </c>
      <c r="H107" t="n">
        <v>0</v>
      </c>
      <c r="I107" t="n">
        <v>0</v>
      </c>
      <c r="J107" t="n">
        <v>1</v>
      </c>
      <c r="K107" t="n">
        <v>0</v>
      </c>
      <c r="L107" t="n">
        <v>0</v>
      </c>
      <c r="M107" t="n">
        <v>0</v>
      </c>
      <c r="N107" t="n">
        <v>0</v>
      </c>
      <c r="O107" t="n">
        <v>1</v>
      </c>
      <c r="P107" t="n">
        <v>0</v>
      </c>
      <c r="Q107" t="n">
        <v>1</v>
      </c>
      <c r="R107" s="2" t="inlineStr">
        <is>
          <t>Solvända</t>
        </is>
      </c>
      <c r="S107">
        <f>HYPERLINK("https://klasma.github.io/Logging_0188/artfynd/A 62482-2018 artfynd.xlsx", "A 62482-2018")</f>
        <v/>
      </c>
      <c r="T107">
        <f>HYPERLINK("https://klasma.github.io/Logging_0188/kartor/A 62482-2018 karta.png", "A 62482-2018")</f>
        <v/>
      </c>
      <c r="V107">
        <f>HYPERLINK("https://klasma.github.io/Logging_0188/klagomål/A 62482-2018 FSC-klagomål.docx", "A 62482-2018")</f>
        <v/>
      </c>
      <c r="W107">
        <f>HYPERLINK("https://klasma.github.io/Logging_0188/klagomålsmail/A 62482-2018 FSC-klagomål mail.docx", "A 62482-2018")</f>
        <v/>
      </c>
      <c r="X107">
        <f>HYPERLINK("https://klasma.github.io/Logging_0188/tillsyn/A 62482-2018 tillsynsbegäran.docx", "A 62482-2018")</f>
        <v/>
      </c>
      <c r="Y107">
        <f>HYPERLINK("https://klasma.github.io/Logging_0188/tillsynsmail/A 62482-2018 tillsynsbegäran mail.docx", "A 62482-2018")</f>
        <v/>
      </c>
    </row>
    <row r="108" ht="15" customHeight="1">
      <c r="A108" t="inlineStr">
        <is>
          <t>A 62403-2018</t>
        </is>
      </c>
      <c r="B108" s="1" t="n">
        <v>43416</v>
      </c>
      <c r="C108" s="1" t="n">
        <v>45343</v>
      </c>
      <c r="D108" t="inlineStr">
        <is>
          <t>STOCKHOLMS LÄN</t>
        </is>
      </c>
      <c r="E108" t="inlineStr">
        <is>
          <t>NORRTÄLJE</t>
        </is>
      </c>
      <c r="G108" t="n">
        <v>0.3</v>
      </c>
      <c r="H108" t="n">
        <v>0</v>
      </c>
      <c r="I108" t="n">
        <v>0</v>
      </c>
      <c r="J108" t="n">
        <v>1</v>
      </c>
      <c r="K108" t="n">
        <v>0</v>
      </c>
      <c r="L108" t="n">
        <v>0</v>
      </c>
      <c r="M108" t="n">
        <v>0</v>
      </c>
      <c r="N108" t="n">
        <v>0</v>
      </c>
      <c r="O108" t="n">
        <v>1</v>
      </c>
      <c r="P108" t="n">
        <v>0</v>
      </c>
      <c r="Q108" t="n">
        <v>1</v>
      </c>
      <c r="R108" s="2" t="inlineStr">
        <is>
          <t>Smalsprötad bastardsvärmare</t>
        </is>
      </c>
      <c r="S108">
        <f>HYPERLINK("https://klasma.github.io/Logging_0188/artfynd/A 62403-2018 artfynd.xlsx", "A 62403-2018")</f>
        <v/>
      </c>
      <c r="T108">
        <f>HYPERLINK("https://klasma.github.io/Logging_0188/kartor/A 62403-2018 karta.png", "A 62403-2018")</f>
        <v/>
      </c>
      <c r="V108">
        <f>HYPERLINK("https://klasma.github.io/Logging_0188/klagomål/A 62403-2018 FSC-klagomål.docx", "A 62403-2018")</f>
        <v/>
      </c>
      <c r="W108">
        <f>HYPERLINK("https://klasma.github.io/Logging_0188/klagomålsmail/A 62403-2018 FSC-klagomål mail.docx", "A 62403-2018")</f>
        <v/>
      </c>
      <c r="X108">
        <f>HYPERLINK("https://klasma.github.io/Logging_0188/tillsyn/A 62403-2018 tillsynsbegäran.docx", "A 62403-2018")</f>
        <v/>
      </c>
      <c r="Y108">
        <f>HYPERLINK("https://klasma.github.io/Logging_0188/tillsynsmail/A 62403-2018 tillsynsbegäran mail.docx", "A 62403-2018")</f>
        <v/>
      </c>
    </row>
    <row r="109" ht="15" customHeight="1">
      <c r="A109" t="inlineStr">
        <is>
          <t>A 2647-2019</t>
        </is>
      </c>
      <c r="B109" s="1" t="n">
        <v>43478</v>
      </c>
      <c r="C109" s="1" t="n">
        <v>45343</v>
      </c>
      <c r="D109" t="inlineStr">
        <is>
          <t>STOCKHOLMS LÄN</t>
        </is>
      </c>
      <c r="E109" t="inlineStr">
        <is>
          <t>NORRTÄLJE</t>
        </is>
      </c>
      <c r="G109" t="n">
        <v>3.4</v>
      </c>
      <c r="H109" t="n">
        <v>1</v>
      </c>
      <c r="I109" t="n">
        <v>0</v>
      </c>
      <c r="J109" t="n">
        <v>0</v>
      </c>
      <c r="K109" t="n">
        <v>0</v>
      </c>
      <c r="L109" t="n">
        <v>0</v>
      </c>
      <c r="M109" t="n">
        <v>0</v>
      </c>
      <c r="N109" t="n">
        <v>0</v>
      </c>
      <c r="O109" t="n">
        <v>0</v>
      </c>
      <c r="P109" t="n">
        <v>0</v>
      </c>
      <c r="Q109" t="n">
        <v>1</v>
      </c>
      <c r="R109" s="2" t="inlineStr">
        <is>
          <t>Blåsippa</t>
        </is>
      </c>
      <c r="S109">
        <f>HYPERLINK("https://klasma.github.io/Logging_0188/artfynd/A 2647-2019 artfynd.xlsx", "A 2647-2019")</f>
        <v/>
      </c>
      <c r="T109">
        <f>HYPERLINK("https://klasma.github.io/Logging_0188/kartor/A 2647-2019 karta.png", "A 2647-2019")</f>
        <v/>
      </c>
      <c r="V109">
        <f>HYPERLINK("https://klasma.github.io/Logging_0188/klagomål/A 2647-2019 FSC-klagomål.docx", "A 2647-2019")</f>
        <v/>
      </c>
      <c r="W109">
        <f>HYPERLINK("https://klasma.github.io/Logging_0188/klagomålsmail/A 2647-2019 FSC-klagomål mail.docx", "A 2647-2019")</f>
        <v/>
      </c>
      <c r="X109">
        <f>HYPERLINK("https://klasma.github.io/Logging_0188/tillsyn/A 2647-2019 tillsynsbegäran.docx", "A 2647-2019")</f>
        <v/>
      </c>
      <c r="Y109">
        <f>HYPERLINK("https://klasma.github.io/Logging_0188/tillsynsmail/A 2647-2019 tillsynsbegäran mail.docx", "A 2647-2019")</f>
        <v/>
      </c>
    </row>
    <row r="110" ht="15" customHeight="1">
      <c r="A110" t="inlineStr">
        <is>
          <t>A 3309-2019</t>
        </is>
      </c>
      <c r="B110" s="1" t="n">
        <v>43480</v>
      </c>
      <c r="C110" s="1" t="n">
        <v>45343</v>
      </c>
      <c r="D110" t="inlineStr">
        <is>
          <t>STOCKHOLMS LÄN</t>
        </is>
      </c>
      <c r="E110" t="inlineStr">
        <is>
          <t>NORRTÄLJE</t>
        </is>
      </c>
      <c r="G110" t="n">
        <v>12.6</v>
      </c>
      <c r="H110" t="n">
        <v>0</v>
      </c>
      <c r="I110" t="n">
        <v>1</v>
      </c>
      <c r="J110" t="n">
        <v>0</v>
      </c>
      <c r="K110" t="n">
        <v>0</v>
      </c>
      <c r="L110" t="n">
        <v>0</v>
      </c>
      <c r="M110" t="n">
        <v>0</v>
      </c>
      <c r="N110" t="n">
        <v>0</v>
      </c>
      <c r="O110" t="n">
        <v>0</v>
      </c>
      <c r="P110" t="n">
        <v>0</v>
      </c>
      <c r="Q110" t="n">
        <v>1</v>
      </c>
      <c r="R110" s="2" t="inlineStr">
        <is>
          <t>Granbräken</t>
        </is>
      </c>
      <c r="S110">
        <f>HYPERLINK("https://klasma.github.io/Logging_0188/artfynd/A 3309-2019 artfynd.xlsx", "A 3309-2019")</f>
        <v/>
      </c>
      <c r="T110">
        <f>HYPERLINK("https://klasma.github.io/Logging_0188/kartor/A 3309-2019 karta.png", "A 3309-2019")</f>
        <v/>
      </c>
      <c r="V110">
        <f>HYPERLINK("https://klasma.github.io/Logging_0188/klagomål/A 3309-2019 FSC-klagomål.docx", "A 3309-2019")</f>
        <v/>
      </c>
      <c r="W110">
        <f>HYPERLINK("https://klasma.github.io/Logging_0188/klagomålsmail/A 3309-2019 FSC-klagomål mail.docx", "A 3309-2019")</f>
        <v/>
      </c>
      <c r="X110">
        <f>HYPERLINK("https://klasma.github.io/Logging_0188/tillsyn/A 3309-2019 tillsynsbegäran.docx", "A 3309-2019")</f>
        <v/>
      </c>
      <c r="Y110">
        <f>HYPERLINK("https://klasma.github.io/Logging_0188/tillsynsmail/A 3309-2019 tillsynsbegäran mail.docx", "A 3309-2019")</f>
        <v/>
      </c>
    </row>
    <row r="111" ht="15" customHeight="1">
      <c r="A111" t="inlineStr">
        <is>
          <t>A 4067-2019</t>
        </is>
      </c>
      <c r="B111" s="1" t="n">
        <v>43482</v>
      </c>
      <c r="C111" s="1" t="n">
        <v>45343</v>
      </c>
      <c r="D111" t="inlineStr">
        <is>
          <t>STOCKHOLMS LÄN</t>
        </is>
      </c>
      <c r="E111" t="inlineStr">
        <is>
          <t>NORRTÄLJE</t>
        </is>
      </c>
      <c r="G111" t="n">
        <v>6</v>
      </c>
      <c r="H111" t="n">
        <v>0</v>
      </c>
      <c r="I111" t="n">
        <v>1</v>
      </c>
      <c r="J111" t="n">
        <v>0</v>
      </c>
      <c r="K111" t="n">
        <v>0</v>
      </c>
      <c r="L111" t="n">
        <v>0</v>
      </c>
      <c r="M111" t="n">
        <v>0</v>
      </c>
      <c r="N111" t="n">
        <v>0</v>
      </c>
      <c r="O111" t="n">
        <v>0</v>
      </c>
      <c r="P111" t="n">
        <v>0</v>
      </c>
      <c r="Q111" t="n">
        <v>1</v>
      </c>
      <c r="R111" s="2" t="inlineStr">
        <is>
          <t>Grovticka</t>
        </is>
      </c>
      <c r="S111">
        <f>HYPERLINK("https://klasma.github.io/Logging_0188/artfynd/A 4067-2019 artfynd.xlsx", "A 4067-2019")</f>
        <v/>
      </c>
      <c r="T111">
        <f>HYPERLINK("https://klasma.github.io/Logging_0188/kartor/A 4067-2019 karta.png", "A 4067-2019")</f>
        <v/>
      </c>
      <c r="V111">
        <f>HYPERLINK("https://klasma.github.io/Logging_0188/klagomål/A 4067-2019 FSC-klagomål.docx", "A 4067-2019")</f>
        <v/>
      </c>
      <c r="W111">
        <f>HYPERLINK("https://klasma.github.io/Logging_0188/klagomålsmail/A 4067-2019 FSC-klagomål mail.docx", "A 4067-2019")</f>
        <v/>
      </c>
      <c r="X111">
        <f>HYPERLINK("https://klasma.github.io/Logging_0188/tillsyn/A 4067-2019 tillsynsbegäran.docx", "A 4067-2019")</f>
        <v/>
      </c>
      <c r="Y111">
        <f>HYPERLINK("https://klasma.github.io/Logging_0188/tillsynsmail/A 4067-2019 tillsynsbegäran mail.docx", "A 4067-2019")</f>
        <v/>
      </c>
    </row>
    <row r="112" ht="15" customHeight="1">
      <c r="A112" t="inlineStr">
        <is>
          <t>A 5488-2019</t>
        </is>
      </c>
      <c r="B112" s="1" t="n">
        <v>43489</v>
      </c>
      <c r="C112" s="1" t="n">
        <v>45343</v>
      </c>
      <c r="D112" t="inlineStr">
        <is>
          <t>STOCKHOLMS LÄN</t>
        </is>
      </c>
      <c r="E112" t="inlineStr">
        <is>
          <t>NORRTÄLJE</t>
        </is>
      </c>
      <c r="G112" t="n">
        <v>5.5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5488-2019 artfynd.xlsx", "A 5488-2019")</f>
        <v/>
      </c>
      <c r="T112">
        <f>HYPERLINK("https://klasma.github.io/Logging_0188/kartor/A 5488-2019 karta.png", "A 5488-2019")</f>
        <v/>
      </c>
      <c r="V112">
        <f>HYPERLINK("https://klasma.github.io/Logging_0188/klagomål/A 5488-2019 FSC-klagomål.docx", "A 5488-2019")</f>
        <v/>
      </c>
      <c r="W112">
        <f>HYPERLINK("https://klasma.github.io/Logging_0188/klagomålsmail/A 5488-2019 FSC-klagomål mail.docx", "A 5488-2019")</f>
        <v/>
      </c>
      <c r="X112">
        <f>HYPERLINK("https://klasma.github.io/Logging_0188/tillsyn/A 5488-2019 tillsynsbegäran.docx", "A 5488-2019")</f>
        <v/>
      </c>
      <c r="Y112">
        <f>HYPERLINK("https://klasma.github.io/Logging_0188/tillsynsmail/A 5488-2019 tillsynsbegäran mail.docx", "A 5488-2019")</f>
        <v/>
      </c>
    </row>
    <row r="113" ht="15" customHeight="1">
      <c r="A113" t="inlineStr">
        <is>
          <t>A 5502-2019</t>
        </is>
      </c>
      <c r="B113" s="1" t="n">
        <v>43489</v>
      </c>
      <c r="C113" s="1" t="n">
        <v>45343</v>
      </c>
      <c r="D113" t="inlineStr">
        <is>
          <t>STOCKHOLMS LÄN</t>
        </is>
      </c>
      <c r="E113" t="inlineStr">
        <is>
          <t>NORRTÄLJE</t>
        </is>
      </c>
      <c r="G113" t="n">
        <v>37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5502-2019 artfynd.xlsx", "A 5502-2019")</f>
        <v/>
      </c>
      <c r="T113">
        <f>HYPERLINK("https://klasma.github.io/Logging_0188/kartor/A 5502-2019 karta.png", "A 5502-2019")</f>
        <v/>
      </c>
      <c r="V113">
        <f>HYPERLINK("https://klasma.github.io/Logging_0188/klagomål/A 5502-2019 FSC-klagomål.docx", "A 5502-2019")</f>
        <v/>
      </c>
      <c r="W113">
        <f>HYPERLINK("https://klasma.github.io/Logging_0188/klagomålsmail/A 5502-2019 FSC-klagomål mail.docx", "A 5502-2019")</f>
        <v/>
      </c>
      <c r="X113">
        <f>HYPERLINK("https://klasma.github.io/Logging_0188/tillsyn/A 5502-2019 tillsynsbegäran.docx", "A 5502-2019")</f>
        <v/>
      </c>
      <c r="Y113">
        <f>HYPERLINK("https://klasma.github.io/Logging_0188/tillsynsmail/A 5502-2019 tillsynsbegäran mail.docx", "A 5502-2019")</f>
        <v/>
      </c>
    </row>
    <row r="114" ht="15" customHeight="1">
      <c r="A114" t="inlineStr">
        <is>
          <t>A 6523-2019</t>
        </is>
      </c>
      <c r="B114" s="1" t="n">
        <v>43494</v>
      </c>
      <c r="C114" s="1" t="n">
        <v>45343</v>
      </c>
      <c r="D114" t="inlineStr">
        <is>
          <t>STOCKHOLMS LÄN</t>
        </is>
      </c>
      <c r="E114" t="inlineStr">
        <is>
          <t>NORRTÄLJE</t>
        </is>
      </c>
      <c r="F114" t="inlineStr">
        <is>
          <t>Holmen skog AB</t>
        </is>
      </c>
      <c r="G114" t="n">
        <v>1.1</v>
      </c>
      <c r="H114" t="n">
        <v>1</v>
      </c>
      <c r="I114" t="n">
        <v>0</v>
      </c>
      <c r="J114" t="n">
        <v>0</v>
      </c>
      <c r="K114" t="n">
        <v>0</v>
      </c>
      <c r="L114" t="n">
        <v>1</v>
      </c>
      <c r="M114" t="n">
        <v>0</v>
      </c>
      <c r="N114" t="n">
        <v>0</v>
      </c>
      <c r="O114" t="n">
        <v>1</v>
      </c>
      <c r="P114" t="n">
        <v>1</v>
      </c>
      <c r="Q114" t="n">
        <v>1</v>
      </c>
      <c r="R114" s="2" t="inlineStr">
        <is>
          <t>Asknätfjäril</t>
        </is>
      </c>
      <c r="S114">
        <f>HYPERLINK("https://klasma.github.io/Logging_0188/artfynd/A 6523-2019 artfynd.xlsx", "A 6523-2019")</f>
        <v/>
      </c>
      <c r="T114">
        <f>HYPERLINK("https://klasma.github.io/Logging_0188/kartor/A 6523-2019 karta.png", "A 6523-2019")</f>
        <v/>
      </c>
      <c r="V114">
        <f>HYPERLINK("https://klasma.github.io/Logging_0188/klagomål/A 6523-2019 FSC-klagomål.docx", "A 6523-2019")</f>
        <v/>
      </c>
      <c r="W114">
        <f>HYPERLINK("https://klasma.github.io/Logging_0188/klagomålsmail/A 6523-2019 FSC-klagomål mail.docx", "A 6523-2019")</f>
        <v/>
      </c>
      <c r="X114">
        <f>HYPERLINK("https://klasma.github.io/Logging_0188/tillsyn/A 6523-2019 tillsynsbegäran.docx", "A 6523-2019")</f>
        <v/>
      </c>
      <c r="Y114">
        <f>HYPERLINK("https://klasma.github.io/Logging_0188/tillsynsmail/A 6523-2019 tillsynsbegäran mail.docx", "A 6523-2019")</f>
        <v/>
      </c>
    </row>
    <row r="115" ht="15" customHeight="1">
      <c r="A115" t="inlineStr">
        <is>
          <t>A 7739-2019</t>
        </is>
      </c>
      <c r="B115" s="1" t="n">
        <v>43500</v>
      </c>
      <c r="C115" s="1" t="n">
        <v>45343</v>
      </c>
      <c r="D115" t="inlineStr">
        <is>
          <t>STOCKHOLMS LÄN</t>
        </is>
      </c>
      <c r="E115" t="inlineStr">
        <is>
          <t>NORRTÄLJE</t>
        </is>
      </c>
      <c r="G115" t="n">
        <v>10.7</v>
      </c>
      <c r="H115" t="n">
        <v>0</v>
      </c>
      <c r="I115" t="n">
        <v>0</v>
      </c>
      <c r="J115" t="n">
        <v>1</v>
      </c>
      <c r="K115" t="n">
        <v>0</v>
      </c>
      <c r="L115" t="n">
        <v>0</v>
      </c>
      <c r="M115" t="n">
        <v>0</v>
      </c>
      <c r="N115" t="n">
        <v>0</v>
      </c>
      <c r="O115" t="n">
        <v>1</v>
      </c>
      <c r="P115" t="n">
        <v>0</v>
      </c>
      <c r="Q115" t="n">
        <v>1</v>
      </c>
      <c r="R115" s="2" t="inlineStr">
        <is>
          <t>Brunklöver</t>
        </is>
      </c>
      <c r="S115">
        <f>HYPERLINK("https://klasma.github.io/Logging_0188/artfynd/A 7739-2019 artfynd.xlsx", "A 7739-2019")</f>
        <v/>
      </c>
      <c r="T115">
        <f>HYPERLINK("https://klasma.github.io/Logging_0188/kartor/A 7739-2019 karta.png", "A 7739-2019")</f>
        <v/>
      </c>
      <c r="V115">
        <f>HYPERLINK("https://klasma.github.io/Logging_0188/klagomål/A 7739-2019 FSC-klagomål.docx", "A 7739-2019")</f>
        <v/>
      </c>
      <c r="W115">
        <f>HYPERLINK("https://klasma.github.io/Logging_0188/klagomålsmail/A 7739-2019 FSC-klagomål mail.docx", "A 7739-2019")</f>
        <v/>
      </c>
      <c r="X115">
        <f>HYPERLINK("https://klasma.github.io/Logging_0188/tillsyn/A 7739-2019 tillsynsbegäran.docx", "A 7739-2019")</f>
        <v/>
      </c>
      <c r="Y115">
        <f>HYPERLINK("https://klasma.github.io/Logging_0188/tillsynsmail/A 7739-2019 tillsynsbegäran mail.docx", "A 7739-2019")</f>
        <v/>
      </c>
    </row>
    <row r="116" ht="15" customHeight="1">
      <c r="A116" t="inlineStr">
        <is>
          <t>A 8742-2019</t>
        </is>
      </c>
      <c r="B116" s="1" t="n">
        <v>43503</v>
      </c>
      <c r="C116" s="1" t="n">
        <v>45343</v>
      </c>
      <c r="D116" t="inlineStr">
        <is>
          <t>STOCKHOLMS LÄN</t>
        </is>
      </c>
      <c r="E116" t="inlineStr">
        <is>
          <t>NORRTÄLJE</t>
        </is>
      </c>
      <c r="G116" t="n">
        <v>5.2</v>
      </c>
      <c r="H116" t="n">
        <v>0</v>
      </c>
      <c r="I116" t="n">
        <v>0</v>
      </c>
      <c r="J116" t="n">
        <v>0</v>
      </c>
      <c r="K116" t="n">
        <v>0</v>
      </c>
      <c r="L116" t="n">
        <v>1</v>
      </c>
      <c r="M116" t="n">
        <v>0</v>
      </c>
      <c r="N116" t="n">
        <v>0</v>
      </c>
      <c r="O116" t="n">
        <v>1</v>
      </c>
      <c r="P116" t="n">
        <v>1</v>
      </c>
      <c r="Q116" t="n">
        <v>1</v>
      </c>
      <c r="R116" s="2" t="inlineStr">
        <is>
          <t>Ask</t>
        </is>
      </c>
      <c r="S116">
        <f>HYPERLINK("https://klasma.github.io/Logging_0188/artfynd/A 8742-2019 artfynd.xlsx", "A 8742-2019")</f>
        <v/>
      </c>
      <c r="T116">
        <f>HYPERLINK("https://klasma.github.io/Logging_0188/kartor/A 8742-2019 karta.png", "A 8742-2019")</f>
        <v/>
      </c>
      <c r="V116">
        <f>HYPERLINK("https://klasma.github.io/Logging_0188/klagomål/A 8742-2019 FSC-klagomål.docx", "A 8742-2019")</f>
        <v/>
      </c>
      <c r="W116">
        <f>HYPERLINK("https://klasma.github.io/Logging_0188/klagomålsmail/A 8742-2019 FSC-klagomål mail.docx", "A 8742-2019")</f>
        <v/>
      </c>
      <c r="X116">
        <f>HYPERLINK("https://klasma.github.io/Logging_0188/tillsyn/A 8742-2019 tillsynsbegäran.docx", "A 8742-2019")</f>
        <v/>
      </c>
      <c r="Y116">
        <f>HYPERLINK("https://klasma.github.io/Logging_0188/tillsynsmail/A 8742-2019 tillsynsbegäran mail.docx", "A 8742-2019")</f>
        <v/>
      </c>
    </row>
    <row r="117" ht="15" customHeight="1">
      <c r="A117" t="inlineStr">
        <is>
          <t>A 9041-2019</t>
        </is>
      </c>
      <c r="B117" s="1" t="n">
        <v>43504</v>
      </c>
      <c r="C117" s="1" t="n">
        <v>45343</v>
      </c>
      <c r="D117" t="inlineStr">
        <is>
          <t>STOCKHOLMS LÄN</t>
        </is>
      </c>
      <c r="E117" t="inlineStr">
        <is>
          <t>NORRTÄLJE</t>
        </is>
      </c>
      <c r="F117" t="inlineStr">
        <is>
          <t>Holmen skog AB</t>
        </is>
      </c>
      <c r="G117" t="n">
        <v>3.5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9041-2019 artfynd.xlsx", "A 9041-2019")</f>
        <v/>
      </c>
      <c r="T117">
        <f>HYPERLINK("https://klasma.github.io/Logging_0188/kartor/A 9041-2019 karta.png", "A 9041-2019")</f>
        <v/>
      </c>
      <c r="V117">
        <f>HYPERLINK("https://klasma.github.io/Logging_0188/klagomål/A 9041-2019 FSC-klagomål.docx", "A 9041-2019")</f>
        <v/>
      </c>
      <c r="W117">
        <f>HYPERLINK("https://klasma.github.io/Logging_0188/klagomålsmail/A 9041-2019 FSC-klagomål mail.docx", "A 9041-2019")</f>
        <v/>
      </c>
      <c r="X117">
        <f>HYPERLINK("https://klasma.github.io/Logging_0188/tillsyn/A 9041-2019 tillsynsbegäran.docx", "A 9041-2019")</f>
        <v/>
      </c>
      <c r="Y117">
        <f>HYPERLINK("https://klasma.github.io/Logging_0188/tillsynsmail/A 9041-2019 tillsynsbegäran mail.docx", "A 9041-2019")</f>
        <v/>
      </c>
    </row>
    <row r="118" ht="15" customHeight="1">
      <c r="A118" t="inlineStr">
        <is>
          <t>A 9689-2019</t>
        </is>
      </c>
      <c r="B118" s="1" t="n">
        <v>43508</v>
      </c>
      <c r="C118" s="1" t="n">
        <v>45343</v>
      </c>
      <c r="D118" t="inlineStr">
        <is>
          <t>STOCKHOLMS LÄN</t>
        </is>
      </c>
      <c r="E118" t="inlineStr">
        <is>
          <t>NORRTÄLJE</t>
        </is>
      </c>
      <c r="F118" t="inlineStr">
        <is>
          <t>Övriga statliga verk och myndigheter</t>
        </is>
      </c>
      <c r="G118" t="n">
        <v>10</v>
      </c>
      <c r="H118" t="n">
        <v>0</v>
      </c>
      <c r="I118" t="n">
        <v>0</v>
      </c>
      <c r="J118" t="n">
        <v>0</v>
      </c>
      <c r="K118" t="n">
        <v>1</v>
      </c>
      <c r="L118" t="n">
        <v>0</v>
      </c>
      <c r="M118" t="n">
        <v>0</v>
      </c>
      <c r="N118" t="n">
        <v>0</v>
      </c>
      <c r="O118" t="n">
        <v>1</v>
      </c>
      <c r="P118" t="n">
        <v>1</v>
      </c>
      <c r="Q118" t="n">
        <v>1</v>
      </c>
      <c r="R118" s="2" t="inlineStr">
        <is>
          <t>Trubbdaggkåpa</t>
        </is>
      </c>
      <c r="S118">
        <f>HYPERLINK("https://klasma.github.io/Logging_0188/artfynd/A 9689-2019 artfynd.xlsx", "A 9689-2019")</f>
        <v/>
      </c>
      <c r="T118">
        <f>HYPERLINK("https://klasma.github.io/Logging_0188/kartor/A 9689-2019 karta.png", "A 9689-2019")</f>
        <v/>
      </c>
      <c r="V118">
        <f>HYPERLINK("https://klasma.github.io/Logging_0188/klagomål/A 9689-2019 FSC-klagomål.docx", "A 9689-2019")</f>
        <v/>
      </c>
      <c r="W118">
        <f>HYPERLINK("https://klasma.github.io/Logging_0188/klagomålsmail/A 9689-2019 FSC-klagomål mail.docx", "A 9689-2019")</f>
        <v/>
      </c>
      <c r="X118">
        <f>HYPERLINK("https://klasma.github.io/Logging_0188/tillsyn/A 9689-2019 tillsynsbegäran.docx", "A 9689-2019")</f>
        <v/>
      </c>
      <c r="Y118">
        <f>HYPERLINK("https://klasma.github.io/Logging_0188/tillsynsmail/A 9689-2019 tillsynsbegäran mail.docx", "A 9689-2019")</f>
        <v/>
      </c>
    </row>
    <row r="119" ht="15" customHeight="1">
      <c r="A119" t="inlineStr">
        <is>
          <t>A 9917-2019</t>
        </is>
      </c>
      <c r="B119" s="1" t="n">
        <v>43509</v>
      </c>
      <c r="C119" s="1" t="n">
        <v>45343</v>
      </c>
      <c r="D119" t="inlineStr">
        <is>
          <t>STOCKHOLMS LÄN</t>
        </is>
      </c>
      <c r="E119" t="inlineStr">
        <is>
          <t>NORRTÄLJE</t>
        </is>
      </c>
      <c r="G119" t="n">
        <v>1.7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9917-2019 artfynd.xlsx", "A 9917-2019")</f>
        <v/>
      </c>
      <c r="T119">
        <f>HYPERLINK("https://klasma.github.io/Logging_0188/kartor/A 9917-2019 karta.png", "A 9917-2019")</f>
        <v/>
      </c>
      <c r="V119">
        <f>HYPERLINK("https://klasma.github.io/Logging_0188/klagomål/A 9917-2019 FSC-klagomål.docx", "A 9917-2019")</f>
        <v/>
      </c>
      <c r="W119">
        <f>HYPERLINK("https://klasma.github.io/Logging_0188/klagomålsmail/A 9917-2019 FSC-klagomål mail.docx", "A 9917-2019")</f>
        <v/>
      </c>
      <c r="X119">
        <f>HYPERLINK("https://klasma.github.io/Logging_0188/tillsyn/A 9917-2019 tillsynsbegäran.docx", "A 9917-2019")</f>
        <v/>
      </c>
      <c r="Y119">
        <f>HYPERLINK("https://klasma.github.io/Logging_0188/tillsynsmail/A 9917-2019 tillsynsbegäran mail.docx", "A 9917-2019")</f>
        <v/>
      </c>
    </row>
    <row r="120" ht="15" customHeight="1">
      <c r="A120" t="inlineStr">
        <is>
          <t>A 10426-2019</t>
        </is>
      </c>
      <c r="B120" s="1" t="n">
        <v>43511</v>
      </c>
      <c r="C120" s="1" t="n">
        <v>45343</v>
      </c>
      <c r="D120" t="inlineStr">
        <is>
          <t>STOCKHOLMS LÄN</t>
        </is>
      </c>
      <c r="E120" t="inlineStr">
        <is>
          <t>NORRTÄLJE</t>
        </is>
      </c>
      <c r="G120" t="n">
        <v>19</v>
      </c>
      <c r="H120" t="n">
        <v>1</v>
      </c>
      <c r="I120" t="n">
        <v>0</v>
      </c>
      <c r="J120" t="n">
        <v>0</v>
      </c>
      <c r="K120" t="n">
        <v>0</v>
      </c>
      <c r="L120" t="n">
        <v>0</v>
      </c>
      <c r="M120" t="n">
        <v>0</v>
      </c>
      <c r="N120" t="n">
        <v>0</v>
      </c>
      <c r="O120" t="n">
        <v>0</v>
      </c>
      <c r="P120" t="n">
        <v>0</v>
      </c>
      <c r="Q120" t="n">
        <v>1</v>
      </c>
      <c r="R120" s="2" t="inlineStr">
        <is>
          <t>Grönvit nattviol</t>
        </is>
      </c>
      <c r="S120">
        <f>HYPERLINK("https://klasma.github.io/Logging_0188/artfynd/A 10426-2019 artfynd.xlsx", "A 10426-2019")</f>
        <v/>
      </c>
      <c r="T120">
        <f>HYPERLINK("https://klasma.github.io/Logging_0188/kartor/A 10426-2019 karta.png", "A 10426-2019")</f>
        <v/>
      </c>
      <c r="V120">
        <f>HYPERLINK("https://klasma.github.io/Logging_0188/klagomål/A 10426-2019 FSC-klagomål.docx", "A 10426-2019")</f>
        <v/>
      </c>
      <c r="W120">
        <f>HYPERLINK("https://klasma.github.io/Logging_0188/klagomålsmail/A 10426-2019 FSC-klagomål mail.docx", "A 10426-2019")</f>
        <v/>
      </c>
      <c r="X120">
        <f>HYPERLINK("https://klasma.github.io/Logging_0188/tillsyn/A 10426-2019 tillsynsbegäran.docx", "A 10426-2019")</f>
        <v/>
      </c>
      <c r="Y120">
        <f>HYPERLINK("https://klasma.github.io/Logging_0188/tillsynsmail/A 10426-2019 tillsynsbegäran mail.docx", "A 10426-2019")</f>
        <v/>
      </c>
    </row>
    <row r="121" ht="15" customHeight="1">
      <c r="A121" t="inlineStr">
        <is>
          <t>A 10981-2019</t>
        </is>
      </c>
      <c r="B121" s="1" t="n">
        <v>43515</v>
      </c>
      <c r="C121" s="1" t="n">
        <v>45343</v>
      </c>
      <c r="D121" t="inlineStr">
        <is>
          <t>STOCKHOLMS LÄN</t>
        </is>
      </c>
      <c r="E121" t="inlineStr">
        <is>
          <t>NORRTÄLJE</t>
        </is>
      </c>
      <c r="G121" t="n">
        <v>29.6</v>
      </c>
      <c r="H121" t="n">
        <v>1</v>
      </c>
      <c r="I121" t="n">
        <v>0</v>
      </c>
      <c r="J121" t="n">
        <v>1</v>
      </c>
      <c r="K121" t="n">
        <v>0</v>
      </c>
      <c r="L121" t="n">
        <v>0</v>
      </c>
      <c r="M121" t="n">
        <v>0</v>
      </c>
      <c r="N121" t="n">
        <v>0</v>
      </c>
      <c r="O121" t="n">
        <v>1</v>
      </c>
      <c r="P121" t="n">
        <v>0</v>
      </c>
      <c r="Q121" t="n">
        <v>1</v>
      </c>
      <c r="R121" s="2" t="inlineStr">
        <is>
          <t>Talltita</t>
        </is>
      </c>
      <c r="S121">
        <f>HYPERLINK("https://klasma.github.io/Logging_0188/artfynd/A 10981-2019 artfynd.xlsx", "A 10981-2019")</f>
        <v/>
      </c>
      <c r="T121">
        <f>HYPERLINK("https://klasma.github.io/Logging_0188/kartor/A 10981-2019 karta.png", "A 10981-2019")</f>
        <v/>
      </c>
      <c r="V121">
        <f>HYPERLINK("https://klasma.github.io/Logging_0188/klagomål/A 10981-2019 FSC-klagomål.docx", "A 10981-2019")</f>
        <v/>
      </c>
      <c r="W121">
        <f>HYPERLINK("https://klasma.github.io/Logging_0188/klagomålsmail/A 10981-2019 FSC-klagomål mail.docx", "A 10981-2019")</f>
        <v/>
      </c>
      <c r="X121">
        <f>HYPERLINK("https://klasma.github.io/Logging_0188/tillsyn/A 10981-2019 tillsynsbegäran.docx", "A 10981-2019")</f>
        <v/>
      </c>
      <c r="Y121">
        <f>HYPERLINK("https://klasma.github.io/Logging_0188/tillsynsmail/A 10981-2019 tillsynsbegäran mail.docx", "A 10981-2019")</f>
        <v/>
      </c>
      <c r="Z121">
        <f>HYPERLINK("https://klasma.github.io/Logging_0188/fåglar/A 10981-2019 prioriterade fågelarter.docx", "A 10981-2019")</f>
        <v/>
      </c>
    </row>
    <row r="122" ht="15" customHeight="1">
      <c r="A122" t="inlineStr">
        <is>
          <t>A 11462-2019</t>
        </is>
      </c>
      <c r="B122" s="1" t="n">
        <v>43517</v>
      </c>
      <c r="C122" s="1" t="n">
        <v>45343</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45343</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45343</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45343</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45343</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45343</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45343</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45343</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45343</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45343</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45343</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45343</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45343</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45343</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45343</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45343</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45343</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45343</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45343</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45343</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45343</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45343</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45343</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45343</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45343</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45343</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45343</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45343</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45343</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45343</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45343</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45343</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45343</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45343</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45343</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45343</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45343</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45343</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45343</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45343</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45343</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45343</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45343</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45343</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45343</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45343</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45343</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45343</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45343</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45343</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45343</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45343</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45343</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45343</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45343</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45343</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45343</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45343</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45343</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45343</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45343</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45343</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45343</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45343</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45343</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45343</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45343</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45343</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34215-2018</t>
        </is>
      </c>
      <c r="B190" s="1" t="n">
        <v>43318</v>
      </c>
      <c r="C190" s="1" t="n">
        <v>45343</v>
      </c>
      <c r="D190" t="inlineStr">
        <is>
          <t>STOCKHOLMS LÄN</t>
        </is>
      </c>
      <c r="E190" t="inlineStr">
        <is>
          <t>NORRTÄLJE</t>
        </is>
      </c>
      <c r="G190" t="n">
        <v>4.1</v>
      </c>
      <c r="H190" t="n">
        <v>0</v>
      </c>
      <c r="I190" t="n">
        <v>0</v>
      </c>
      <c r="J190" t="n">
        <v>0</v>
      </c>
      <c r="K190" t="n">
        <v>0</v>
      </c>
      <c r="L190" t="n">
        <v>0</v>
      </c>
      <c r="M190" t="n">
        <v>0</v>
      </c>
      <c r="N190" t="n">
        <v>0</v>
      </c>
      <c r="O190" t="n">
        <v>0</v>
      </c>
      <c r="P190" t="n">
        <v>0</v>
      </c>
      <c r="Q190" t="n">
        <v>0</v>
      </c>
      <c r="R190" s="2" t="inlineStr"/>
    </row>
    <row r="191" ht="15" customHeight="1">
      <c r="A191" t="inlineStr">
        <is>
          <t>A 41609-2018</t>
        </is>
      </c>
      <c r="B191" s="1" t="n">
        <v>43349</v>
      </c>
      <c r="C191" s="1" t="n">
        <v>45343</v>
      </c>
      <c r="D191" t="inlineStr">
        <is>
          <t>STOCKHOLMS LÄN</t>
        </is>
      </c>
      <c r="E191" t="inlineStr">
        <is>
          <t>NORRTÄLJE</t>
        </is>
      </c>
      <c r="G191" t="n">
        <v>3</v>
      </c>
      <c r="H191" t="n">
        <v>0</v>
      </c>
      <c r="I191" t="n">
        <v>0</v>
      </c>
      <c r="J191" t="n">
        <v>0</v>
      </c>
      <c r="K191" t="n">
        <v>0</v>
      </c>
      <c r="L191" t="n">
        <v>0</v>
      </c>
      <c r="M191" t="n">
        <v>0</v>
      </c>
      <c r="N191" t="n">
        <v>0</v>
      </c>
      <c r="O191" t="n">
        <v>0</v>
      </c>
      <c r="P191" t="n">
        <v>0</v>
      </c>
      <c r="Q191" t="n">
        <v>0</v>
      </c>
      <c r="R191" s="2" t="inlineStr"/>
    </row>
    <row r="192" ht="15" customHeight="1">
      <c r="A192" t="inlineStr">
        <is>
          <t>A 44575-2018</t>
        </is>
      </c>
      <c r="B192" s="1" t="n">
        <v>43361</v>
      </c>
      <c r="C192" s="1" t="n">
        <v>45343</v>
      </c>
      <c r="D192" t="inlineStr">
        <is>
          <t>STOCKHOLMS LÄN</t>
        </is>
      </c>
      <c r="E192" t="inlineStr">
        <is>
          <t>NORRTÄLJE</t>
        </is>
      </c>
      <c r="G192" t="n">
        <v>9.9</v>
      </c>
      <c r="H192" t="n">
        <v>0</v>
      </c>
      <c r="I192" t="n">
        <v>0</v>
      </c>
      <c r="J192" t="n">
        <v>0</v>
      </c>
      <c r="K192" t="n">
        <v>0</v>
      </c>
      <c r="L192" t="n">
        <v>0</v>
      </c>
      <c r="M192" t="n">
        <v>0</v>
      </c>
      <c r="N192" t="n">
        <v>0</v>
      </c>
      <c r="O192" t="n">
        <v>0</v>
      </c>
      <c r="P192" t="n">
        <v>0</v>
      </c>
      <c r="Q192" t="n">
        <v>0</v>
      </c>
      <c r="R192" s="2" t="inlineStr"/>
    </row>
    <row r="193" ht="15" customHeight="1">
      <c r="A193" t="inlineStr">
        <is>
          <t>A 44554-2018</t>
        </is>
      </c>
      <c r="B193" s="1" t="n">
        <v>43361</v>
      </c>
      <c r="C193" s="1" t="n">
        <v>45343</v>
      </c>
      <c r="D193" t="inlineStr">
        <is>
          <t>STOCKHOLMS LÄN</t>
        </is>
      </c>
      <c r="E193" t="inlineStr">
        <is>
          <t>NORRTÄLJE</t>
        </is>
      </c>
      <c r="G193" t="n">
        <v>0.5</v>
      </c>
      <c r="H193" t="n">
        <v>0</v>
      </c>
      <c r="I193" t="n">
        <v>0</v>
      </c>
      <c r="J193" t="n">
        <v>0</v>
      </c>
      <c r="K193" t="n">
        <v>0</v>
      </c>
      <c r="L193" t="n">
        <v>0</v>
      </c>
      <c r="M193" t="n">
        <v>0</v>
      </c>
      <c r="N193" t="n">
        <v>0</v>
      </c>
      <c r="O193" t="n">
        <v>0</v>
      </c>
      <c r="P193" t="n">
        <v>0</v>
      </c>
      <c r="Q193" t="n">
        <v>0</v>
      </c>
      <c r="R193" s="2" t="inlineStr"/>
    </row>
    <row r="194" ht="15" customHeight="1">
      <c r="A194" t="inlineStr">
        <is>
          <t>A 55474-2018</t>
        </is>
      </c>
      <c r="B194" s="1" t="n">
        <v>43391</v>
      </c>
      <c r="C194" s="1" t="n">
        <v>45343</v>
      </c>
      <c r="D194" t="inlineStr">
        <is>
          <t>STOCKHOLMS LÄN</t>
        </is>
      </c>
      <c r="E194" t="inlineStr">
        <is>
          <t>NORRTÄLJE</t>
        </is>
      </c>
      <c r="G194" t="n">
        <v>1.5</v>
      </c>
      <c r="H194" t="n">
        <v>0</v>
      </c>
      <c r="I194" t="n">
        <v>0</v>
      </c>
      <c r="J194" t="n">
        <v>0</v>
      </c>
      <c r="K194" t="n">
        <v>0</v>
      </c>
      <c r="L194" t="n">
        <v>0</v>
      </c>
      <c r="M194" t="n">
        <v>0</v>
      </c>
      <c r="N194" t="n">
        <v>0</v>
      </c>
      <c r="O194" t="n">
        <v>0</v>
      </c>
      <c r="P194" t="n">
        <v>0</v>
      </c>
      <c r="Q194" t="n">
        <v>0</v>
      </c>
      <c r="R194" s="2" t="inlineStr"/>
    </row>
    <row r="195" ht="15" customHeight="1">
      <c r="A195" t="inlineStr">
        <is>
          <t>A 59037-2018</t>
        </is>
      </c>
      <c r="B195" s="1" t="n">
        <v>43402</v>
      </c>
      <c r="C195" s="1" t="n">
        <v>45343</v>
      </c>
      <c r="D195" t="inlineStr">
        <is>
          <t>STOCKHOLMS LÄN</t>
        </is>
      </c>
      <c r="E195" t="inlineStr">
        <is>
          <t>NORRTÄLJE</t>
        </is>
      </c>
      <c r="G195" t="n">
        <v>3.3</v>
      </c>
      <c r="H195" t="n">
        <v>0</v>
      </c>
      <c r="I195" t="n">
        <v>0</v>
      </c>
      <c r="J195" t="n">
        <v>0</v>
      </c>
      <c r="K195" t="n">
        <v>0</v>
      </c>
      <c r="L195" t="n">
        <v>0</v>
      </c>
      <c r="M195" t="n">
        <v>0</v>
      </c>
      <c r="N195" t="n">
        <v>0</v>
      </c>
      <c r="O195" t="n">
        <v>0</v>
      </c>
      <c r="P195" t="n">
        <v>0</v>
      </c>
      <c r="Q195" t="n">
        <v>0</v>
      </c>
      <c r="R195" s="2" t="inlineStr"/>
    </row>
    <row r="196" ht="15" customHeight="1">
      <c r="A196" t="inlineStr">
        <is>
          <t>A 59531-2018</t>
        </is>
      </c>
      <c r="B196" s="1" t="n">
        <v>43404</v>
      </c>
      <c r="C196" s="1" t="n">
        <v>45343</v>
      </c>
      <c r="D196" t="inlineStr">
        <is>
          <t>STOCKHOLMS LÄN</t>
        </is>
      </c>
      <c r="E196" t="inlineStr">
        <is>
          <t>NORRTÄLJE</t>
        </is>
      </c>
      <c r="G196" t="n">
        <v>2</v>
      </c>
      <c r="H196" t="n">
        <v>0</v>
      </c>
      <c r="I196" t="n">
        <v>0</v>
      </c>
      <c r="J196" t="n">
        <v>0</v>
      </c>
      <c r="K196" t="n">
        <v>0</v>
      </c>
      <c r="L196" t="n">
        <v>0</v>
      </c>
      <c r="M196" t="n">
        <v>0</v>
      </c>
      <c r="N196" t="n">
        <v>0</v>
      </c>
      <c r="O196" t="n">
        <v>0</v>
      </c>
      <c r="P196" t="n">
        <v>0</v>
      </c>
      <c r="Q196" t="n">
        <v>0</v>
      </c>
      <c r="R196" s="2" t="inlineStr"/>
    </row>
    <row r="197" ht="15" customHeight="1">
      <c r="A197" t="inlineStr">
        <is>
          <t>A 59257-2018</t>
        </is>
      </c>
      <c r="B197" s="1" t="n">
        <v>43404</v>
      </c>
      <c r="C197" s="1" t="n">
        <v>45343</v>
      </c>
      <c r="D197" t="inlineStr">
        <is>
          <t>STOCKHOLMS LÄN</t>
        </is>
      </c>
      <c r="E197" t="inlineStr">
        <is>
          <t>NORRTÄLJE</t>
        </is>
      </c>
      <c r="G197" t="n">
        <v>6</v>
      </c>
      <c r="H197" t="n">
        <v>0</v>
      </c>
      <c r="I197" t="n">
        <v>0</v>
      </c>
      <c r="J197" t="n">
        <v>0</v>
      </c>
      <c r="K197" t="n">
        <v>0</v>
      </c>
      <c r="L197" t="n">
        <v>0</v>
      </c>
      <c r="M197" t="n">
        <v>0</v>
      </c>
      <c r="N197" t="n">
        <v>0</v>
      </c>
      <c r="O197" t="n">
        <v>0</v>
      </c>
      <c r="P197" t="n">
        <v>0</v>
      </c>
      <c r="Q197" t="n">
        <v>0</v>
      </c>
      <c r="R197" s="2" t="inlineStr"/>
    </row>
    <row r="198" ht="15" customHeight="1">
      <c r="A198" t="inlineStr">
        <is>
          <t>A 59205-2018</t>
        </is>
      </c>
      <c r="B198" s="1" t="n">
        <v>43404</v>
      </c>
      <c r="C198" s="1" t="n">
        <v>45343</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57788-2018</t>
        </is>
      </c>
      <c r="B199" s="1" t="n">
        <v>43405</v>
      </c>
      <c r="C199" s="1" t="n">
        <v>45343</v>
      </c>
      <c r="D199" t="inlineStr">
        <is>
          <t>STOCKHOLMS LÄN</t>
        </is>
      </c>
      <c r="E199" t="inlineStr">
        <is>
          <t>NORRTÄLJE</t>
        </is>
      </c>
      <c r="G199" t="n">
        <v>5.3</v>
      </c>
      <c r="H199" t="n">
        <v>0</v>
      </c>
      <c r="I199" t="n">
        <v>0</v>
      </c>
      <c r="J199" t="n">
        <v>0</v>
      </c>
      <c r="K199" t="n">
        <v>0</v>
      </c>
      <c r="L199" t="n">
        <v>0</v>
      </c>
      <c r="M199" t="n">
        <v>0</v>
      </c>
      <c r="N199" t="n">
        <v>0</v>
      </c>
      <c r="O199" t="n">
        <v>0</v>
      </c>
      <c r="P199" t="n">
        <v>0</v>
      </c>
      <c r="Q199" t="n">
        <v>0</v>
      </c>
      <c r="R199" s="2" t="inlineStr"/>
    </row>
    <row r="200" ht="15" customHeight="1">
      <c r="A200" t="inlineStr">
        <is>
          <t>A 59554-2018</t>
        </is>
      </c>
      <c r="B200" s="1" t="n">
        <v>43405</v>
      </c>
      <c r="C200" s="1" t="n">
        <v>45343</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64973-2018</t>
        </is>
      </c>
      <c r="B201" s="1" t="n">
        <v>43405</v>
      </c>
      <c r="C201" s="1" t="n">
        <v>45343</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58116-2018</t>
        </is>
      </c>
      <c r="B202" s="1" t="n">
        <v>43406</v>
      </c>
      <c r="C202" s="1" t="n">
        <v>45343</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58894-2018</t>
        </is>
      </c>
      <c r="B203" s="1" t="n">
        <v>43410</v>
      </c>
      <c r="C203" s="1" t="n">
        <v>45343</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62408-2018</t>
        </is>
      </c>
      <c r="B204" s="1" t="n">
        <v>43416</v>
      </c>
      <c r="C204" s="1" t="n">
        <v>45343</v>
      </c>
      <c r="D204" t="inlineStr">
        <is>
          <t>STOCKHOLMS LÄN</t>
        </is>
      </c>
      <c r="E204" t="inlineStr">
        <is>
          <t>NORRTÄLJE</t>
        </is>
      </c>
      <c r="G204" t="n">
        <v>0.2</v>
      </c>
      <c r="H204" t="n">
        <v>0</v>
      </c>
      <c r="I204" t="n">
        <v>0</v>
      </c>
      <c r="J204" t="n">
        <v>0</v>
      </c>
      <c r="K204" t="n">
        <v>0</v>
      </c>
      <c r="L204" t="n">
        <v>0</v>
      </c>
      <c r="M204" t="n">
        <v>0</v>
      </c>
      <c r="N204" t="n">
        <v>0</v>
      </c>
      <c r="O204" t="n">
        <v>0</v>
      </c>
      <c r="P204" t="n">
        <v>0</v>
      </c>
      <c r="Q204" t="n">
        <v>0</v>
      </c>
      <c r="R204" s="2" t="inlineStr"/>
    </row>
    <row r="205" ht="15" customHeight="1">
      <c r="A205" t="inlineStr">
        <is>
          <t>A 59363-2018</t>
        </is>
      </c>
      <c r="B205" s="1" t="n">
        <v>43418</v>
      </c>
      <c r="C205" s="1" t="n">
        <v>45343</v>
      </c>
      <c r="D205" t="inlineStr">
        <is>
          <t>STOCKHOLMS LÄN</t>
        </is>
      </c>
      <c r="E205" t="inlineStr">
        <is>
          <t>NORRTÄLJE</t>
        </is>
      </c>
      <c r="G205" t="n">
        <v>4.5</v>
      </c>
      <c r="H205" t="n">
        <v>0</v>
      </c>
      <c r="I205" t="n">
        <v>0</v>
      </c>
      <c r="J205" t="n">
        <v>0</v>
      </c>
      <c r="K205" t="n">
        <v>0</v>
      </c>
      <c r="L205" t="n">
        <v>0</v>
      </c>
      <c r="M205" t="n">
        <v>0</v>
      </c>
      <c r="N205" t="n">
        <v>0</v>
      </c>
      <c r="O205" t="n">
        <v>0</v>
      </c>
      <c r="P205" t="n">
        <v>0</v>
      </c>
      <c r="Q205" t="n">
        <v>0</v>
      </c>
      <c r="R205" s="2" t="inlineStr"/>
    </row>
    <row r="206" ht="15" customHeight="1">
      <c r="A206" t="inlineStr">
        <is>
          <t>A 61000-2018</t>
        </is>
      </c>
      <c r="B206" s="1" t="n">
        <v>43419</v>
      </c>
      <c r="C206" s="1" t="n">
        <v>45343</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61574-2018</t>
        </is>
      </c>
      <c r="B207" s="1" t="n">
        <v>43424</v>
      </c>
      <c r="C207" s="1" t="n">
        <v>45343</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63233-2018</t>
        </is>
      </c>
      <c r="B208" s="1" t="n">
        <v>43426</v>
      </c>
      <c r="C208" s="1" t="n">
        <v>45343</v>
      </c>
      <c r="D208" t="inlineStr">
        <is>
          <t>STOCKHOLMS LÄN</t>
        </is>
      </c>
      <c r="E208" t="inlineStr">
        <is>
          <t>NORRTÄLJE</t>
        </is>
      </c>
      <c r="G208" t="n">
        <v>6.4</v>
      </c>
      <c r="H208" t="n">
        <v>0</v>
      </c>
      <c r="I208" t="n">
        <v>0</v>
      </c>
      <c r="J208" t="n">
        <v>0</v>
      </c>
      <c r="K208" t="n">
        <v>0</v>
      </c>
      <c r="L208" t="n">
        <v>0</v>
      </c>
      <c r="M208" t="n">
        <v>0</v>
      </c>
      <c r="N208" t="n">
        <v>0</v>
      </c>
      <c r="O208" t="n">
        <v>0</v>
      </c>
      <c r="P208" t="n">
        <v>0</v>
      </c>
      <c r="Q208" t="n">
        <v>0</v>
      </c>
      <c r="R208" s="2" t="inlineStr"/>
    </row>
    <row r="209" ht="15" customHeight="1">
      <c r="A209" t="inlineStr">
        <is>
          <t>A 63230-2018</t>
        </is>
      </c>
      <c r="B209" s="1" t="n">
        <v>43426</v>
      </c>
      <c r="C209" s="1" t="n">
        <v>45343</v>
      </c>
      <c r="D209" t="inlineStr">
        <is>
          <t>STOCKHOLMS LÄN</t>
        </is>
      </c>
      <c r="E209" t="inlineStr">
        <is>
          <t>NORRTÄLJE</t>
        </is>
      </c>
      <c r="G209" t="n">
        <v>1.1</v>
      </c>
      <c r="H209" t="n">
        <v>0</v>
      </c>
      <c r="I209" t="n">
        <v>0</v>
      </c>
      <c r="J209" t="n">
        <v>0</v>
      </c>
      <c r="K209" t="n">
        <v>0</v>
      </c>
      <c r="L209" t="n">
        <v>0</v>
      </c>
      <c r="M209" t="n">
        <v>0</v>
      </c>
      <c r="N209" t="n">
        <v>0</v>
      </c>
      <c r="O209" t="n">
        <v>0</v>
      </c>
      <c r="P209" t="n">
        <v>0</v>
      </c>
      <c r="Q209" t="n">
        <v>0</v>
      </c>
      <c r="R209" s="2" t="inlineStr"/>
    </row>
    <row r="210" ht="15" customHeight="1">
      <c r="A210" t="inlineStr">
        <is>
          <t>A 65027-2018</t>
        </is>
      </c>
      <c r="B210" s="1" t="n">
        <v>43432</v>
      </c>
      <c r="C210" s="1" t="n">
        <v>45343</v>
      </c>
      <c r="D210" t="inlineStr">
        <is>
          <t>STOCKHOLMS LÄN</t>
        </is>
      </c>
      <c r="E210" t="inlineStr">
        <is>
          <t>NORRTÄLJE</t>
        </is>
      </c>
      <c r="G210" t="n">
        <v>2.7</v>
      </c>
      <c r="H210" t="n">
        <v>0</v>
      </c>
      <c r="I210" t="n">
        <v>0</v>
      </c>
      <c r="J210" t="n">
        <v>0</v>
      </c>
      <c r="K210" t="n">
        <v>0</v>
      </c>
      <c r="L210" t="n">
        <v>0</v>
      </c>
      <c r="M210" t="n">
        <v>0</v>
      </c>
      <c r="N210" t="n">
        <v>0</v>
      </c>
      <c r="O210" t="n">
        <v>0</v>
      </c>
      <c r="P210" t="n">
        <v>0</v>
      </c>
      <c r="Q210" t="n">
        <v>0</v>
      </c>
      <c r="R210" s="2" t="inlineStr"/>
    </row>
    <row r="211" ht="15" customHeight="1">
      <c r="A211" t="inlineStr">
        <is>
          <t>A 65015-2018</t>
        </is>
      </c>
      <c r="B211" s="1" t="n">
        <v>43432</v>
      </c>
      <c r="C211" s="1" t="n">
        <v>45343</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65566-2018</t>
        </is>
      </c>
      <c r="B212" s="1" t="n">
        <v>43433</v>
      </c>
      <c r="C212" s="1" t="n">
        <v>45343</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66351-2018</t>
        </is>
      </c>
      <c r="B213" s="1" t="n">
        <v>43436</v>
      </c>
      <c r="C213" s="1" t="n">
        <v>45343</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66350-2018</t>
        </is>
      </c>
      <c r="B214" s="1" t="n">
        <v>43436</v>
      </c>
      <c r="C214" s="1" t="n">
        <v>45343</v>
      </c>
      <c r="D214" t="inlineStr">
        <is>
          <t>STOCKHOLMS LÄN</t>
        </is>
      </c>
      <c r="E214" t="inlineStr">
        <is>
          <t>NORRTÄLJE</t>
        </is>
      </c>
      <c r="G214" t="n">
        <v>1</v>
      </c>
      <c r="H214" t="n">
        <v>0</v>
      </c>
      <c r="I214" t="n">
        <v>0</v>
      </c>
      <c r="J214" t="n">
        <v>0</v>
      </c>
      <c r="K214" t="n">
        <v>0</v>
      </c>
      <c r="L214" t="n">
        <v>0</v>
      </c>
      <c r="M214" t="n">
        <v>0</v>
      </c>
      <c r="N214" t="n">
        <v>0</v>
      </c>
      <c r="O214" t="n">
        <v>0</v>
      </c>
      <c r="P214" t="n">
        <v>0</v>
      </c>
      <c r="Q214" t="n">
        <v>0</v>
      </c>
      <c r="R214" s="2" t="inlineStr"/>
    </row>
    <row r="215" ht="15" customHeight="1">
      <c r="A215" t="inlineStr">
        <is>
          <t>A 67951-2018</t>
        </is>
      </c>
      <c r="B215" s="1" t="n">
        <v>43440</v>
      </c>
      <c r="C215" s="1" t="n">
        <v>45343</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70310-2018</t>
        </is>
      </c>
      <c r="B216" s="1" t="n">
        <v>43445</v>
      </c>
      <c r="C216" s="1" t="n">
        <v>45343</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69025-2018</t>
        </is>
      </c>
      <c r="B217" s="1" t="n">
        <v>43445</v>
      </c>
      <c r="C217" s="1" t="n">
        <v>45343</v>
      </c>
      <c r="D217" t="inlineStr">
        <is>
          <t>STOCKHOLMS LÄN</t>
        </is>
      </c>
      <c r="E217" t="inlineStr">
        <is>
          <t>NORRTÄLJE</t>
        </is>
      </c>
      <c r="G217" t="n">
        <v>1.1</v>
      </c>
      <c r="H217" t="n">
        <v>0</v>
      </c>
      <c r="I217" t="n">
        <v>0</v>
      </c>
      <c r="J217" t="n">
        <v>0</v>
      </c>
      <c r="K217" t="n">
        <v>0</v>
      </c>
      <c r="L217" t="n">
        <v>0</v>
      </c>
      <c r="M217" t="n">
        <v>0</v>
      </c>
      <c r="N217" t="n">
        <v>0</v>
      </c>
      <c r="O217" t="n">
        <v>0</v>
      </c>
      <c r="P217" t="n">
        <v>0</v>
      </c>
      <c r="Q217" t="n">
        <v>0</v>
      </c>
      <c r="R217" s="2" t="inlineStr"/>
    </row>
    <row r="218" ht="15" customHeight="1">
      <c r="A218" t="inlineStr">
        <is>
          <t>A 71399-2018</t>
        </is>
      </c>
      <c r="B218" s="1" t="n">
        <v>43453</v>
      </c>
      <c r="C218" s="1" t="n">
        <v>45343</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72278-2018</t>
        </is>
      </c>
      <c r="B219" s="1" t="n">
        <v>43455</v>
      </c>
      <c r="C219" s="1" t="n">
        <v>45343</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72281-2018</t>
        </is>
      </c>
      <c r="B220" s="1" t="n">
        <v>43455</v>
      </c>
      <c r="C220" s="1" t="n">
        <v>45343</v>
      </c>
      <c r="D220" t="inlineStr">
        <is>
          <t>STOCKHOLMS LÄN</t>
        </is>
      </c>
      <c r="E220" t="inlineStr">
        <is>
          <t>NORRTÄLJE</t>
        </is>
      </c>
      <c r="G220" t="n">
        <v>1.2</v>
      </c>
      <c r="H220" t="n">
        <v>0</v>
      </c>
      <c r="I220" t="n">
        <v>0</v>
      </c>
      <c r="J220" t="n">
        <v>0</v>
      </c>
      <c r="K220" t="n">
        <v>0</v>
      </c>
      <c r="L220" t="n">
        <v>0</v>
      </c>
      <c r="M220" t="n">
        <v>0</v>
      </c>
      <c r="N220" t="n">
        <v>0</v>
      </c>
      <c r="O220" t="n">
        <v>0</v>
      </c>
      <c r="P220" t="n">
        <v>0</v>
      </c>
      <c r="Q220" t="n">
        <v>0</v>
      </c>
      <c r="R220" s="2" t="inlineStr"/>
    </row>
    <row r="221" ht="15" customHeight="1">
      <c r="A221" t="inlineStr">
        <is>
          <t>A 72328-2018</t>
        </is>
      </c>
      <c r="B221" s="1" t="n">
        <v>43459</v>
      </c>
      <c r="C221" s="1" t="n">
        <v>45343</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72453-2018</t>
        </is>
      </c>
      <c r="B222" s="1" t="n">
        <v>43461</v>
      </c>
      <c r="C222" s="1" t="n">
        <v>45343</v>
      </c>
      <c r="D222" t="inlineStr">
        <is>
          <t>STOCKHOLMS LÄN</t>
        </is>
      </c>
      <c r="E222" t="inlineStr">
        <is>
          <t>NORRTÄLJE</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72408-2018</t>
        </is>
      </c>
      <c r="B223" s="1" t="n">
        <v>43461</v>
      </c>
      <c r="C223" s="1" t="n">
        <v>45343</v>
      </c>
      <c r="D223" t="inlineStr">
        <is>
          <t>STOCKHOLMS LÄN</t>
        </is>
      </c>
      <c r="E223" t="inlineStr">
        <is>
          <t>NORRTÄLJE</t>
        </is>
      </c>
      <c r="G223" t="n">
        <v>1.9</v>
      </c>
      <c r="H223" t="n">
        <v>0</v>
      </c>
      <c r="I223" t="n">
        <v>0</v>
      </c>
      <c r="J223" t="n">
        <v>0</v>
      </c>
      <c r="K223" t="n">
        <v>0</v>
      </c>
      <c r="L223" t="n">
        <v>0</v>
      </c>
      <c r="M223" t="n">
        <v>0</v>
      </c>
      <c r="N223" t="n">
        <v>0</v>
      </c>
      <c r="O223" t="n">
        <v>0</v>
      </c>
      <c r="P223" t="n">
        <v>0</v>
      </c>
      <c r="Q223" t="n">
        <v>0</v>
      </c>
      <c r="R223" s="2" t="inlineStr"/>
    </row>
    <row r="224" ht="15" customHeight="1">
      <c r="A224" t="inlineStr">
        <is>
          <t>A 248-2019</t>
        </is>
      </c>
      <c r="B224" s="1" t="n">
        <v>43467</v>
      </c>
      <c r="C224" s="1" t="n">
        <v>45343</v>
      </c>
      <c r="D224" t="inlineStr">
        <is>
          <t>STOCKHOLMS LÄN</t>
        </is>
      </c>
      <c r="E224" t="inlineStr">
        <is>
          <t>NORRTÄLJE</t>
        </is>
      </c>
      <c r="G224" t="n">
        <v>9.4</v>
      </c>
      <c r="H224" t="n">
        <v>0</v>
      </c>
      <c r="I224" t="n">
        <v>0</v>
      </c>
      <c r="J224" t="n">
        <v>0</v>
      </c>
      <c r="K224" t="n">
        <v>0</v>
      </c>
      <c r="L224" t="n">
        <v>0</v>
      </c>
      <c r="M224" t="n">
        <v>0</v>
      </c>
      <c r="N224" t="n">
        <v>0</v>
      </c>
      <c r="O224" t="n">
        <v>0</v>
      </c>
      <c r="P224" t="n">
        <v>0</v>
      </c>
      <c r="Q224" t="n">
        <v>0</v>
      </c>
      <c r="R224" s="2" t="inlineStr"/>
    </row>
    <row r="225" ht="15" customHeight="1">
      <c r="A225" t="inlineStr">
        <is>
          <t>A 441-2019</t>
        </is>
      </c>
      <c r="B225" s="1" t="n">
        <v>43468</v>
      </c>
      <c r="C225" s="1" t="n">
        <v>45343</v>
      </c>
      <c r="D225" t="inlineStr">
        <is>
          <t>STOCKHOLMS LÄN</t>
        </is>
      </c>
      <c r="E225" t="inlineStr">
        <is>
          <t>NORRTÄLJE</t>
        </is>
      </c>
      <c r="G225" t="n">
        <v>7.2</v>
      </c>
      <c r="H225" t="n">
        <v>0</v>
      </c>
      <c r="I225" t="n">
        <v>0</v>
      </c>
      <c r="J225" t="n">
        <v>0</v>
      </c>
      <c r="K225" t="n">
        <v>0</v>
      </c>
      <c r="L225" t="n">
        <v>0</v>
      </c>
      <c r="M225" t="n">
        <v>0</v>
      </c>
      <c r="N225" t="n">
        <v>0</v>
      </c>
      <c r="O225" t="n">
        <v>0</v>
      </c>
      <c r="P225" t="n">
        <v>0</v>
      </c>
      <c r="Q225" t="n">
        <v>0</v>
      </c>
      <c r="R225" s="2" t="inlineStr"/>
    </row>
    <row r="226" ht="15" customHeight="1">
      <c r="A226" t="inlineStr">
        <is>
          <t>A 694-2019</t>
        </is>
      </c>
      <c r="B226" s="1" t="n">
        <v>43469</v>
      </c>
      <c r="C226" s="1" t="n">
        <v>45343</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649-2019</t>
        </is>
      </c>
      <c r="B227" s="1" t="n">
        <v>43469</v>
      </c>
      <c r="C227" s="1" t="n">
        <v>45343</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708-2019</t>
        </is>
      </c>
      <c r="B228" s="1" t="n">
        <v>43470</v>
      </c>
      <c r="C228" s="1" t="n">
        <v>45343</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738-2019</t>
        </is>
      </c>
      <c r="B229" s="1" t="n">
        <v>43471</v>
      </c>
      <c r="C229" s="1" t="n">
        <v>45343</v>
      </c>
      <c r="D229" t="inlineStr">
        <is>
          <t>STOCKHOLMS LÄN</t>
        </is>
      </c>
      <c r="E229" t="inlineStr">
        <is>
          <t>NORRTÄLJE</t>
        </is>
      </c>
      <c r="G229" t="n">
        <v>1.9</v>
      </c>
      <c r="H229" t="n">
        <v>0</v>
      </c>
      <c r="I229" t="n">
        <v>0</v>
      </c>
      <c r="J229" t="n">
        <v>0</v>
      </c>
      <c r="K229" t="n">
        <v>0</v>
      </c>
      <c r="L229" t="n">
        <v>0</v>
      </c>
      <c r="M229" t="n">
        <v>0</v>
      </c>
      <c r="N229" t="n">
        <v>0</v>
      </c>
      <c r="O229" t="n">
        <v>0</v>
      </c>
      <c r="P229" t="n">
        <v>0</v>
      </c>
      <c r="Q229" t="n">
        <v>0</v>
      </c>
      <c r="R229" s="2" t="inlineStr"/>
    </row>
    <row r="230" ht="15" customHeight="1">
      <c r="A230" t="inlineStr">
        <is>
          <t>A 753-2019</t>
        </is>
      </c>
      <c r="B230" s="1" t="n">
        <v>43471</v>
      </c>
      <c r="C230" s="1" t="n">
        <v>45343</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728-2019</t>
        </is>
      </c>
      <c r="B231" s="1" t="n">
        <v>43471</v>
      </c>
      <c r="C231" s="1" t="n">
        <v>45343</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740-2019</t>
        </is>
      </c>
      <c r="B232" s="1" t="n">
        <v>43471</v>
      </c>
      <c r="C232" s="1" t="n">
        <v>45343</v>
      </c>
      <c r="D232" t="inlineStr">
        <is>
          <t>STOCKHOLMS LÄN</t>
        </is>
      </c>
      <c r="E232" t="inlineStr">
        <is>
          <t>NORRTÄLJE</t>
        </is>
      </c>
      <c r="G232" t="n">
        <v>11.4</v>
      </c>
      <c r="H232" t="n">
        <v>0</v>
      </c>
      <c r="I232" t="n">
        <v>0</v>
      </c>
      <c r="J232" t="n">
        <v>0</v>
      </c>
      <c r="K232" t="n">
        <v>0</v>
      </c>
      <c r="L232" t="n">
        <v>0</v>
      </c>
      <c r="M232" t="n">
        <v>0</v>
      </c>
      <c r="N232" t="n">
        <v>0</v>
      </c>
      <c r="O232" t="n">
        <v>0</v>
      </c>
      <c r="P232" t="n">
        <v>0</v>
      </c>
      <c r="Q232" t="n">
        <v>0</v>
      </c>
      <c r="R232" s="2" t="inlineStr"/>
    </row>
    <row r="233" ht="15" customHeight="1">
      <c r="A233" t="inlineStr">
        <is>
          <t>A 761-2019</t>
        </is>
      </c>
      <c r="B233" s="1" t="n">
        <v>43471</v>
      </c>
      <c r="C233" s="1" t="n">
        <v>45343</v>
      </c>
      <c r="D233" t="inlineStr">
        <is>
          <t>STOCKHOLMS LÄN</t>
        </is>
      </c>
      <c r="E233" t="inlineStr">
        <is>
          <t>NORRTÄLJE</t>
        </is>
      </c>
      <c r="G233" t="n">
        <v>2</v>
      </c>
      <c r="H233" t="n">
        <v>0</v>
      </c>
      <c r="I233" t="n">
        <v>0</v>
      </c>
      <c r="J233" t="n">
        <v>0</v>
      </c>
      <c r="K233" t="n">
        <v>0</v>
      </c>
      <c r="L233" t="n">
        <v>0</v>
      </c>
      <c r="M233" t="n">
        <v>0</v>
      </c>
      <c r="N233" t="n">
        <v>0</v>
      </c>
      <c r="O233" t="n">
        <v>0</v>
      </c>
      <c r="P233" t="n">
        <v>0</v>
      </c>
      <c r="Q233" t="n">
        <v>0</v>
      </c>
      <c r="R233" s="2" t="inlineStr"/>
    </row>
    <row r="234" ht="15" customHeight="1">
      <c r="A234" t="inlineStr">
        <is>
          <t>A 750-2019</t>
        </is>
      </c>
      <c r="B234" s="1" t="n">
        <v>43471</v>
      </c>
      <c r="C234" s="1" t="n">
        <v>45343</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725-2019</t>
        </is>
      </c>
      <c r="B235" s="1" t="n">
        <v>43471</v>
      </c>
      <c r="C235" s="1" t="n">
        <v>45343</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751-2019</t>
        </is>
      </c>
      <c r="B236" s="1" t="n">
        <v>43471</v>
      </c>
      <c r="C236" s="1" t="n">
        <v>45343</v>
      </c>
      <c r="D236" t="inlineStr">
        <is>
          <t>STOCKHOLMS LÄN</t>
        </is>
      </c>
      <c r="E236" t="inlineStr">
        <is>
          <t>NORRTÄLJE</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743-2019</t>
        </is>
      </c>
      <c r="B237" s="1" t="n">
        <v>43471</v>
      </c>
      <c r="C237" s="1" t="n">
        <v>45343</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726-2019</t>
        </is>
      </c>
      <c r="B238" s="1" t="n">
        <v>43471</v>
      </c>
      <c r="C238" s="1" t="n">
        <v>45343</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744-2019</t>
        </is>
      </c>
      <c r="B239" s="1" t="n">
        <v>43471</v>
      </c>
      <c r="C239" s="1" t="n">
        <v>45343</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758-2019</t>
        </is>
      </c>
      <c r="B240" s="1" t="n">
        <v>43471</v>
      </c>
      <c r="C240" s="1" t="n">
        <v>45343</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727-2019</t>
        </is>
      </c>
      <c r="B241" s="1" t="n">
        <v>43471</v>
      </c>
      <c r="C241" s="1" t="n">
        <v>45343</v>
      </c>
      <c r="D241" t="inlineStr">
        <is>
          <t>STOCKHOLMS LÄN</t>
        </is>
      </c>
      <c r="E241" t="inlineStr">
        <is>
          <t>NORRTÄLJE</t>
        </is>
      </c>
      <c r="G241" t="n">
        <v>4.9</v>
      </c>
      <c r="H241" t="n">
        <v>0</v>
      </c>
      <c r="I241" t="n">
        <v>0</v>
      </c>
      <c r="J241" t="n">
        <v>0</v>
      </c>
      <c r="K241" t="n">
        <v>0</v>
      </c>
      <c r="L241" t="n">
        <v>0</v>
      </c>
      <c r="M241" t="n">
        <v>0</v>
      </c>
      <c r="N241" t="n">
        <v>0</v>
      </c>
      <c r="O241" t="n">
        <v>0</v>
      </c>
      <c r="P241" t="n">
        <v>0</v>
      </c>
      <c r="Q241" t="n">
        <v>0</v>
      </c>
      <c r="R241" s="2" t="inlineStr"/>
    </row>
    <row r="242" ht="15" customHeight="1">
      <c r="A242" t="inlineStr">
        <is>
          <t>A 891-2019</t>
        </is>
      </c>
      <c r="B242" s="1" t="n">
        <v>43472</v>
      </c>
      <c r="C242" s="1" t="n">
        <v>45343</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1093-2019</t>
        </is>
      </c>
      <c r="B243" s="1" t="n">
        <v>43472</v>
      </c>
      <c r="C243" s="1" t="n">
        <v>45343</v>
      </c>
      <c r="D243" t="inlineStr">
        <is>
          <t>STOCKHOLMS LÄN</t>
        </is>
      </c>
      <c r="E243" t="inlineStr">
        <is>
          <t>NORRTÄLJE</t>
        </is>
      </c>
      <c r="G243" t="n">
        <v>3.5</v>
      </c>
      <c r="H243" t="n">
        <v>0</v>
      </c>
      <c r="I243" t="n">
        <v>0</v>
      </c>
      <c r="J243" t="n">
        <v>0</v>
      </c>
      <c r="K243" t="n">
        <v>0</v>
      </c>
      <c r="L243" t="n">
        <v>0</v>
      </c>
      <c r="M243" t="n">
        <v>0</v>
      </c>
      <c r="N243" t="n">
        <v>0</v>
      </c>
      <c r="O243" t="n">
        <v>0</v>
      </c>
      <c r="P243" t="n">
        <v>0</v>
      </c>
      <c r="Q243" t="n">
        <v>0</v>
      </c>
      <c r="R243" s="2" t="inlineStr"/>
    </row>
    <row r="244" ht="15" customHeight="1">
      <c r="A244" t="inlineStr">
        <is>
          <t>A 1099-2019</t>
        </is>
      </c>
      <c r="B244" s="1" t="n">
        <v>43472</v>
      </c>
      <c r="C244" s="1" t="n">
        <v>45343</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1336-2019</t>
        </is>
      </c>
      <c r="B245" s="1" t="n">
        <v>43473</v>
      </c>
      <c r="C245" s="1" t="n">
        <v>45343</v>
      </c>
      <c r="D245" t="inlineStr">
        <is>
          <t>STOCKHOLMS LÄN</t>
        </is>
      </c>
      <c r="E245" t="inlineStr">
        <is>
          <t>NORRTÄLJE</t>
        </is>
      </c>
      <c r="G245" t="n">
        <v>4.8</v>
      </c>
      <c r="H245" t="n">
        <v>0</v>
      </c>
      <c r="I245" t="n">
        <v>0</v>
      </c>
      <c r="J245" t="n">
        <v>0</v>
      </c>
      <c r="K245" t="n">
        <v>0</v>
      </c>
      <c r="L245" t="n">
        <v>0</v>
      </c>
      <c r="M245" t="n">
        <v>0</v>
      </c>
      <c r="N245" t="n">
        <v>0</v>
      </c>
      <c r="O245" t="n">
        <v>0</v>
      </c>
      <c r="P245" t="n">
        <v>0</v>
      </c>
      <c r="Q245" t="n">
        <v>0</v>
      </c>
      <c r="R245" s="2" t="inlineStr"/>
    </row>
    <row r="246" ht="15" customHeight="1">
      <c r="A246" t="inlineStr">
        <is>
          <t>A 1349-2019</t>
        </is>
      </c>
      <c r="B246" s="1" t="n">
        <v>43473</v>
      </c>
      <c r="C246" s="1" t="n">
        <v>45343</v>
      </c>
      <c r="D246" t="inlineStr">
        <is>
          <t>STOCKHOLMS LÄN</t>
        </is>
      </c>
      <c r="E246" t="inlineStr">
        <is>
          <t>NORRTÄLJE</t>
        </is>
      </c>
      <c r="G246" t="n">
        <v>0.5</v>
      </c>
      <c r="H246" t="n">
        <v>0</v>
      </c>
      <c r="I246" t="n">
        <v>0</v>
      </c>
      <c r="J246" t="n">
        <v>0</v>
      </c>
      <c r="K246" t="n">
        <v>0</v>
      </c>
      <c r="L246" t="n">
        <v>0</v>
      </c>
      <c r="M246" t="n">
        <v>0</v>
      </c>
      <c r="N246" t="n">
        <v>0</v>
      </c>
      <c r="O246" t="n">
        <v>0</v>
      </c>
      <c r="P246" t="n">
        <v>0</v>
      </c>
      <c r="Q246" t="n">
        <v>0</v>
      </c>
      <c r="R246" s="2" t="inlineStr"/>
    </row>
    <row r="247" ht="15" customHeight="1">
      <c r="A247" t="inlineStr">
        <is>
          <t>A 1252-2019</t>
        </is>
      </c>
      <c r="B247" s="1" t="n">
        <v>43473</v>
      </c>
      <c r="C247" s="1" t="n">
        <v>45343</v>
      </c>
      <c r="D247" t="inlineStr">
        <is>
          <t>STOCKHOLMS LÄN</t>
        </is>
      </c>
      <c r="E247" t="inlineStr">
        <is>
          <t>NORRTÄLJE</t>
        </is>
      </c>
      <c r="G247" t="n">
        <v>3.7</v>
      </c>
      <c r="H247" t="n">
        <v>0</v>
      </c>
      <c r="I247" t="n">
        <v>0</v>
      </c>
      <c r="J247" t="n">
        <v>0</v>
      </c>
      <c r="K247" t="n">
        <v>0</v>
      </c>
      <c r="L247" t="n">
        <v>0</v>
      </c>
      <c r="M247" t="n">
        <v>0</v>
      </c>
      <c r="N247" t="n">
        <v>0</v>
      </c>
      <c r="O247" t="n">
        <v>0</v>
      </c>
      <c r="P247" t="n">
        <v>0</v>
      </c>
      <c r="Q247" t="n">
        <v>0</v>
      </c>
      <c r="R247" s="2" t="inlineStr"/>
    </row>
    <row r="248" ht="15" customHeight="1">
      <c r="A248" t="inlineStr">
        <is>
          <t>A 3688-2019</t>
        </is>
      </c>
      <c r="B248" s="1" t="n">
        <v>43473</v>
      </c>
      <c r="C248" s="1" t="n">
        <v>45343</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3042-2019</t>
        </is>
      </c>
      <c r="B249" s="1" t="n">
        <v>43473</v>
      </c>
      <c r="C249" s="1" t="n">
        <v>45343</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2215-2019</t>
        </is>
      </c>
      <c r="B250" s="1" t="n">
        <v>43475</v>
      </c>
      <c r="C250" s="1" t="n">
        <v>45343</v>
      </c>
      <c r="D250" t="inlineStr">
        <is>
          <t>STOCKHOLMS LÄN</t>
        </is>
      </c>
      <c r="E250" t="inlineStr">
        <is>
          <t>NORRTÄLJE</t>
        </is>
      </c>
      <c r="G250" t="n">
        <v>4.4</v>
      </c>
      <c r="H250" t="n">
        <v>0</v>
      </c>
      <c r="I250" t="n">
        <v>0</v>
      </c>
      <c r="J250" t="n">
        <v>0</v>
      </c>
      <c r="K250" t="n">
        <v>0</v>
      </c>
      <c r="L250" t="n">
        <v>0</v>
      </c>
      <c r="M250" t="n">
        <v>0</v>
      </c>
      <c r="N250" t="n">
        <v>0</v>
      </c>
      <c r="O250" t="n">
        <v>0</v>
      </c>
      <c r="P250" t="n">
        <v>0</v>
      </c>
      <c r="Q250" t="n">
        <v>0</v>
      </c>
      <c r="R250" s="2" t="inlineStr"/>
    </row>
    <row r="251" ht="15" customHeight="1">
      <c r="A251" t="inlineStr">
        <is>
          <t>A 2281-2019</t>
        </is>
      </c>
      <c r="B251" s="1" t="n">
        <v>43475</v>
      </c>
      <c r="C251" s="1" t="n">
        <v>45343</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1996-2019</t>
        </is>
      </c>
      <c r="B252" s="1" t="n">
        <v>43475</v>
      </c>
      <c r="C252" s="1" t="n">
        <v>45343</v>
      </c>
      <c r="D252" t="inlineStr">
        <is>
          <t>STOCKHOLMS LÄN</t>
        </is>
      </c>
      <c r="E252" t="inlineStr">
        <is>
          <t>NORRTÄLJE</t>
        </is>
      </c>
      <c r="G252" t="n">
        <v>3.3</v>
      </c>
      <c r="H252" t="n">
        <v>0</v>
      </c>
      <c r="I252" t="n">
        <v>0</v>
      </c>
      <c r="J252" t="n">
        <v>0</v>
      </c>
      <c r="K252" t="n">
        <v>0</v>
      </c>
      <c r="L252" t="n">
        <v>0</v>
      </c>
      <c r="M252" t="n">
        <v>0</v>
      </c>
      <c r="N252" t="n">
        <v>0</v>
      </c>
      <c r="O252" t="n">
        <v>0</v>
      </c>
      <c r="P252" t="n">
        <v>0</v>
      </c>
      <c r="Q252" t="n">
        <v>0</v>
      </c>
      <c r="R252" s="2" t="inlineStr"/>
    </row>
    <row r="253" ht="15" customHeight="1">
      <c r="A253" t="inlineStr">
        <is>
          <t>A 2143-2019</t>
        </is>
      </c>
      <c r="B253" s="1" t="n">
        <v>43475</v>
      </c>
      <c r="C253" s="1" t="n">
        <v>45343</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2011-2019</t>
        </is>
      </c>
      <c r="B254" s="1" t="n">
        <v>43475</v>
      </c>
      <c r="C254" s="1" t="n">
        <v>45343</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2259-2019</t>
        </is>
      </c>
      <c r="B255" s="1" t="n">
        <v>43475</v>
      </c>
      <c r="C255" s="1" t="n">
        <v>45343</v>
      </c>
      <c r="D255" t="inlineStr">
        <is>
          <t>STOCKHOLMS LÄN</t>
        </is>
      </c>
      <c r="E255" t="inlineStr">
        <is>
          <t>NORRTÄLJE</t>
        </is>
      </c>
      <c r="G255" t="n">
        <v>6.3</v>
      </c>
      <c r="H255" t="n">
        <v>0</v>
      </c>
      <c r="I255" t="n">
        <v>0</v>
      </c>
      <c r="J255" t="n">
        <v>0</v>
      </c>
      <c r="K255" t="n">
        <v>0</v>
      </c>
      <c r="L255" t="n">
        <v>0</v>
      </c>
      <c r="M255" t="n">
        <v>0</v>
      </c>
      <c r="N255" t="n">
        <v>0</v>
      </c>
      <c r="O255" t="n">
        <v>0</v>
      </c>
      <c r="P255" t="n">
        <v>0</v>
      </c>
      <c r="Q255" t="n">
        <v>0</v>
      </c>
      <c r="R255" s="2" t="inlineStr"/>
    </row>
    <row r="256" ht="15" customHeight="1">
      <c r="A256" t="inlineStr">
        <is>
          <t>A 2251-2019</t>
        </is>
      </c>
      <c r="B256" s="1" t="n">
        <v>43475</v>
      </c>
      <c r="C256" s="1" t="n">
        <v>45343</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2200-2019</t>
        </is>
      </c>
      <c r="B257" s="1" t="n">
        <v>43475</v>
      </c>
      <c r="C257" s="1" t="n">
        <v>45343</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2137-2019</t>
        </is>
      </c>
      <c r="B258" s="1" t="n">
        <v>43475</v>
      </c>
      <c r="C258" s="1" t="n">
        <v>45343</v>
      </c>
      <c r="D258" t="inlineStr">
        <is>
          <t>STOCKHOLMS LÄN</t>
        </is>
      </c>
      <c r="E258" t="inlineStr">
        <is>
          <t>NORRTÄLJE</t>
        </is>
      </c>
      <c r="G258" t="n">
        <v>4.3</v>
      </c>
      <c r="H258" t="n">
        <v>0</v>
      </c>
      <c r="I258" t="n">
        <v>0</v>
      </c>
      <c r="J258" t="n">
        <v>0</v>
      </c>
      <c r="K258" t="n">
        <v>0</v>
      </c>
      <c r="L258" t="n">
        <v>0</v>
      </c>
      <c r="M258" t="n">
        <v>0</v>
      </c>
      <c r="N258" t="n">
        <v>0</v>
      </c>
      <c r="O258" t="n">
        <v>0</v>
      </c>
      <c r="P258" t="n">
        <v>0</v>
      </c>
      <c r="Q258" t="n">
        <v>0</v>
      </c>
      <c r="R258" s="2" t="inlineStr"/>
    </row>
    <row r="259" ht="15" customHeight="1">
      <c r="A259" t="inlineStr">
        <is>
          <t>A 3848-2019</t>
        </is>
      </c>
      <c r="B259" s="1" t="n">
        <v>43475</v>
      </c>
      <c r="C259" s="1" t="n">
        <v>45343</v>
      </c>
      <c r="D259" t="inlineStr">
        <is>
          <t>STOCKHOLMS LÄN</t>
        </is>
      </c>
      <c r="E259" t="inlineStr">
        <is>
          <t>NORRTÄLJE</t>
        </is>
      </c>
      <c r="G259" t="n">
        <v>2.5</v>
      </c>
      <c r="H259" t="n">
        <v>0</v>
      </c>
      <c r="I259" t="n">
        <v>0</v>
      </c>
      <c r="J259" t="n">
        <v>0</v>
      </c>
      <c r="K259" t="n">
        <v>0</v>
      </c>
      <c r="L259" t="n">
        <v>0</v>
      </c>
      <c r="M259" t="n">
        <v>0</v>
      </c>
      <c r="N259" t="n">
        <v>0</v>
      </c>
      <c r="O259" t="n">
        <v>0</v>
      </c>
      <c r="P259" t="n">
        <v>0</v>
      </c>
      <c r="Q259" t="n">
        <v>0</v>
      </c>
      <c r="R259" s="2" t="inlineStr"/>
    </row>
    <row r="260" ht="15" customHeight="1">
      <c r="A260" t="inlineStr">
        <is>
          <t>A 2568-2019</t>
        </is>
      </c>
      <c r="B260" s="1" t="n">
        <v>43476</v>
      </c>
      <c r="C260" s="1" t="n">
        <v>45343</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2571-2019</t>
        </is>
      </c>
      <c r="B261" s="1" t="n">
        <v>43476</v>
      </c>
      <c r="C261" s="1" t="n">
        <v>45343</v>
      </c>
      <c r="D261" t="inlineStr">
        <is>
          <t>STOCKHOLMS LÄN</t>
        </is>
      </c>
      <c r="E261" t="inlineStr">
        <is>
          <t>NORRTÄLJE</t>
        </is>
      </c>
      <c r="G261" t="n">
        <v>16.5</v>
      </c>
      <c r="H261" t="n">
        <v>0</v>
      </c>
      <c r="I261" t="n">
        <v>0</v>
      </c>
      <c r="J261" t="n">
        <v>0</v>
      </c>
      <c r="K261" t="n">
        <v>0</v>
      </c>
      <c r="L261" t="n">
        <v>0</v>
      </c>
      <c r="M261" t="n">
        <v>0</v>
      </c>
      <c r="N261" t="n">
        <v>0</v>
      </c>
      <c r="O261" t="n">
        <v>0</v>
      </c>
      <c r="P261" t="n">
        <v>0</v>
      </c>
      <c r="Q261" t="n">
        <v>0</v>
      </c>
      <c r="R261" s="2" t="inlineStr"/>
    </row>
    <row r="262" ht="15" customHeight="1">
      <c r="A262" t="inlineStr">
        <is>
          <t>A 2628-2019</t>
        </is>
      </c>
      <c r="B262" s="1" t="n">
        <v>43477</v>
      </c>
      <c r="C262" s="1" t="n">
        <v>45343</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2626-2019</t>
        </is>
      </c>
      <c r="B263" s="1" t="n">
        <v>43477</v>
      </c>
      <c r="C263" s="1" t="n">
        <v>45343</v>
      </c>
      <c r="D263" t="inlineStr">
        <is>
          <t>STOCKHOLMS LÄN</t>
        </is>
      </c>
      <c r="E263" t="inlineStr">
        <is>
          <t>NORRTÄLJE</t>
        </is>
      </c>
      <c r="G263" t="n">
        <v>4.5</v>
      </c>
      <c r="H263" t="n">
        <v>0</v>
      </c>
      <c r="I263" t="n">
        <v>0</v>
      </c>
      <c r="J263" t="n">
        <v>0</v>
      </c>
      <c r="K263" t="n">
        <v>0</v>
      </c>
      <c r="L263" t="n">
        <v>0</v>
      </c>
      <c r="M263" t="n">
        <v>0</v>
      </c>
      <c r="N263" t="n">
        <v>0</v>
      </c>
      <c r="O263" t="n">
        <v>0</v>
      </c>
      <c r="P263" t="n">
        <v>0</v>
      </c>
      <c r="Q263" t="n">
        <v>0</v>
      </c>
      <c r="R263" s="2" t="inlineStr"/>
    </row>
    <row r="264" ht="15" customHeight="1">
      <c r="A264" t="inlineStr">
        <is>
          <t>A 2634-2019</t>
        </is>
      </c>
      <c r="B264" s="1" t="n">
        <v>43478</v>
      </c>
      <c r="C264" s="1" t="n">
        <v>45343</v>
      </c>
      <c r="D264" t="inlineStr">
        <is>
          <t>STOCKHOLMS LÄN</t>
        </is>
      </c>
      <c r="E264" t="inlineStr">
        <is>
          <t>NORRTÄLJE</t>
        </is>
      </c>
      <c r="G264" t="n">
        <v>2.7</v>
      </c>
      <c r="H264" t="n">
        <v>0</v>
      </c>
      <c r="I264" t="n">
        <v>0</v>
      </c>
      <c r="J264" t="n">
        <v>0</v>
      </c>
      <c r="K264" t="n">
        <v>0</v>
      </c>
      <c r="L264" t="n">
        <v>0</v>
      </c>
      <c r="M264" t="n">
        <v>0</v>
      </c>
      <c r="N264" t="n">
        <v>0</v>
      </c>
      <c r="O264" t="n">
        <v>0</v>
      </c>
      <c r="P264" t="n">
        <v>0</v>
      </c>
      <c r="Q264" t="n">
        <v>0</v>
      </c>
      <c r="R264" s="2" t="inlineStr"/>
    </row>
    <row r="265" ht="15" customHeight="1">
      <c r="A265" t="inlineStr">
        <is>
          <t>A 2659-2019</t>
        </is>
      </c>
      <c r="B265" s="1" t="n">
        <v>43478</v>
      </c>
      <c r="C265" s="1" t="n">
        <v>45343</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2646-2019</t>
        </is>
      </c>
      <c r="B266" s="1" t="n">
        <v>43478</v>
      </c>
      <c r="C266" s="1" t="n">
        <v>45343</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2657-2019</t>
        </is>
      </c>
      <c r="B267" s="1" t="n">
        <v>43478</v>
      </c>
      <c r="C267" s="1" t="n">
        <v>45343</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2651-2019</t>
        </is>
      </c>
      <c r="B268" s="1" t="n">
        <v>43478</v>
      </c>
      <c r="C268" s="1" t="n">
        <v>45343</v>
      </c>
      <c r="D268" t="inlineStr">
        <is>
          <t>STOCKHOLMS LÄN</t>
        </is>
      </c>
      <c r="E268" t="inlineStr">
        <is>
          <t>NORRTÄLJE</t>
        </is>
      </c>
      <c r="G268" t="n">
        <v>2.2</v>
      </c>
      <c r="H268" t="n">
        <v>0</v>
      </c>
      <c r="I268" t="n">
        <v>0</v>
      </c>
      <c r="J268" t="n">
        <v>0</v>
      </c>
      <c r="K268" t="n">
        <v>0</v>
      </c>
      <c r="L268" t="n">
        <v>0</v>
      </c>
      <c r="M268" t="n">
        <v>0</v>
      </c>
      <c r="N268" t="n">
        <v>0</v>
      </c>
      <c r="O268" t="n">
        <v>0</v>
      </c>
      <c r="P268" t="n">
        <v>0</v>
      </c>
      <c r="Q268" t="n">
        <v>0</v>
      </c>
      <c r="R268" s="2" t="inlineStr"/>
    </row>
    <row r="269" ht="15" customHeight="1">
      <c r="A269" t="inlineStr">
        <is>
          <t>A 2635-2019</t>
        </is>
      </c>
      <c r="B269" s="1" t="n">
        <v>43478</v>
      </c>
      <c r="C269" s="1" t="n">
        <v>45343</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2655-2019</t>
        </is>
      </c>
      <c r="B270" s="1" t="n">
        <v>43478</v>
      </c>
      <c r="C270" s="1" t="n">
        <v>45343</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2658-2019</t>
        </is>
      </c>
      <c r="B271" s="1" t="n">
        <v>43478</v>
      </c>
      <c r="C271" s="1" t="n">
        <v>45343</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2823-2019</t>
        </is>
      </c>
      <c r="B272" s="1" t="n">
        <v>43479</v>
      </c>
      <c r="C272" s="1" t="n">
        <v>45343</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2796-2019</t>
        </is>
      </c>
      <c r="B273" s="1" t="n">
        <v>43479</v>
      </c>
      <c r="C273" s="1" t="n">
        <v>45343</v>
      </c>
      <c r="D273" t="inlineStr">
        <is>
          <t>STOCKHOLMS LÄN</t>
        </is>
      </c>
      <c r="E273" t="inlineStr">
        <is>
          <t>NORRTÄLJE</t>
        </is>
      </c>
      <c r="G273" t="n">
        <v>2.3</v>
      </c>
      <c r="H273" t="n">
        <v>0</v>
      </c>
      <c r="I273" t="n">
        <v>0</v>
      </c>
      <c r="J273" t="n">
        <v>0</v>
      </c>
      <c r="K273" t="n">
        <v>0</v>
      </c>
      <c r="L273" t="n">
        <v>0</v>
      </c>
      <c r="M273" t="n">
        <v>0</v>
      </c>
      <c r="N273" t="n">
        <v>0</v>
      </c>
      <c r="O273" t="n">
        <v>0</v>
      </c>
      <c r="P273" t="n">
        <v>0</v>
      </c>
      <c r="Q273" t="n">
        <v>0</v>
      </c>
      <c r="R273" s="2" t="inlineStr"/>
    </row>
    <row r="274" ht="15" customHeight="1">
      <c r="A274" t="inlineStr">
        <is>
          <t>A 2833-2019</t>
        </is>
      </c>
      <c r="B274" s="1" t="n">
        <v>43479</v>
      </c>
      <c r="C274" s="1" t="n">
        <v>45343</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2966-2019</t>
        </is>
      </c>
      <c r="B275" s="1" t="n">
        <v>43479</v>
      </c>
      <c r="C275" s="1" t="n">
        <v>45343</v>
      </c>
      <c r="D275" t="inlineStr">
        <is>
          <t>STOCKHOLMS LÄN</t>
        </is>
      </c>
      <c r="E275" t="inlineStr">
        <is>
          <t>NORRTÄLJE</t>
        </is>
      </c>
      <c r="G275" t="n">
        <v>4.2</v>
      </c>
      <c r="H275" t="n">
        <v>0</v>
      </c>
      <c r="I275" t="n">
        <v>0</v>
      </c>
      <c r="J275" t="n">
        <v>0</v>
      </c>
      <c r="K275" t="n">
        <v>0</v>
      </c>
      <c r="L275" t="n">
        <v>0</v>
      </c>
      <c r="M275" t="n">
        <v>0</v>
      </c>
      <c r="N275" t="n">
        <v>0</v>
      </c>
      <c r="O275" t="n">
        <v>0</v>
      </c>
      <c r="P275" t="n">
        <v>0</v>
      </c>
      <c r="Q275" t="n">
        <v>0</v>
      </c>
      <c r="R275" s="2" t="inlineStr"/>
    </row>
    <row r="276" ht="15" customHeight="1">
      <c r="A276" t="inlineStr">
        <is>
          <t>A 3079-2019</t>
        </is>
      </c>
      <c r="B276" s="1" t="n">
        <v>43479</v>
      </c>
      <c r="C276" s="1" t="n">
        <v>45343</v>
      </c>
      <c r="D276" t="inlineStr">
        <is>
          <t>STOCKHOLMS LÄN</t>
        </is>
      </c>
      <c r="E276" t="inlineStr">
        <is>
          <t>NORRTÄLJE</t>
        </is>
      </c>
      <c r="G276" t="n">
        <v>13.6</v>
      </c>
      <c r="H276" t="n">
        <v>0</v>
      </c>
      <c r="I276" t="n">
        <v>0</v>
      </c>
      <c r="J276" t="n">
        <v>0</v>
      </c>
      <c r="K276" t="n">
        <v>0</v>
      </c>
      <c r="L276" t="n">
        <v>0</v>
      </c>
      <c r="M276" t="n">
        <v>0</v>
      </c>
      <c r="N276" t="n">
        <v>0</v>
      </c>
      <c r="O276" t="n">
        <v>0</v>
      </c>
      <c r="P276" t="n">
        <v>0</v>
      </c>
      <c r="Q276" t="n">
        <v>0</v>
      </c>
      <c r="R276" s="2" t="inlineStr"/>
    </row>
    <row r="277" ht="15" customHeight="1">
      <c r="A277" t="inlineStr">
        <is>
          <t>A 2839-2019</t>
        </is>
      </c>
      <c r="B277" s="1" t="n">
        <v>43479</v>
      </c>
      <c r="C277" s="1" t="n">
        <v>45343</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4731-2019</t>
        </is>
      </c>
      <c r="B278" s="1" t="n">
        <v>43479</v>
      </c>
      <c r="C278" s="1" t="n">
        <v>45343</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3088-2019</t>
        </is>
      </c>
      <c r="B279" s="1" t="n">
        <v>43479</v>
      </c>
      <c r="C279" s="1" t="n">
        <v>45343</v>
      </c>
      <c r="D279" t="inlineStr">
        <is>
          <t>STOCKHOLMS LÄN</t>
        </is>
      </c>
      <c r="E279" t="inlineStr">
        <is>
          <t>NORRTÄLJE</t>
        </is>
      </c>
      <c r="G279" t="n">
        <v>5.2</v>
      </c>
      <c r="H279" t="n">
        <v>0</v>
      </c>
      <c r="I279" t="n">
        <v>0</v>
      </c>
      <c r="J279" t="n">
        <v>0</v>
      </c>
      <c r="K279" t="n">
        <v>0</v>
      </c>
      <c r="L279" t="n">
        <v>0</v>
      </c>
      <c r="M279" t="n">
        <v>0</v>
      </c>
      <c r="N279" t="n">
        <v>0</v>
      </c>
      <c r="O279" t="n">
        <v>0</v>
      </c>
      <c r="P279" t="n">
        <v>0</v>
      </c>
      <c r="Q279" t="n">
        <v>0</v>
      </c>
      <c r="R279" s="2" t="inlineStr"/>
    </row>
    <row r="280" ht="15" customHeight="1">
      <c r="A280" t="inlineStr">
        <is>
          <t>A 3133-2019</t>
        </is>
      </c>
      <c r="B280" s="1" t="n">
        <v>43480</v>
      </c>
      <c r="C280" s="1" t="n">
        <v>45343</v>
      </c>
      <c r="D280" t="inlineStr">
        <is>
          <t>STOCKHOLMS LÄN</t>
        </is>
      </c>
      <c r="E280" t="inlineStr">
        <is>
          <t>NORRTÄLJE</t>
        </is>
      </c>
      <c r="G280" t="n">
        <v>0.3</v>
      </c>
      <c r="H280" t="n">
        <v>0</v>
      </c>
      <c r="I280" t="n">
        <v>0</v>
      </c>
      <c r="J280" t="n">
        <v>0</v>
      </c>
      <c r="K280" t="n">
        <v>0</v>
      </c>
      <c r="L280" t="n">
        <v>0</v>
      </c>
      <c r="M280" t="n">
        <v>0</v>
      </c>
      <c r="N280" t="n">
        <v>0</v>
      </c>
      <c r="O280" t="n">
        <v>0</v>
      </c>
      <c r="P280" t="n">
        <v>0</v>
      </c>
      <c r="Q280" t="n">
        <v>0</v>
      </c>
      <c r="R280" s="2" t="inlineStr"/>
    </row>
    <row r="281" ht="15" customHeight="1">
      <c r="A281" t="inlineStr">
        <is>
          <t>A 3376-2019</t>
        </is>
      </c>
      <c r="B281" s="1" t="n">
        <v>43480</v>
      </c>
      <c r="C281" s="1" t="n">
        <v>45343</v>
      </c>
      <c r="D281" t="inlineStr">
        <is>
          <t>STOCKHOLMS LÄN</t>
        </is>
      </c>
      <c r="E281" t="inlineStr">
        <is>
          <t>NORRTÄLJE</t>
        </is>
      </c>
      <c r="G281" t="n">
        <v>4.9</v>
      </c>
      <c r="H281" t="n">
        <v>0</v>
      </c>
      <c r="I281" t="n">
        <v>0</v>
      </c>
      <c r="J281" t="n">
        <v>0</v>
      </c>
      <c r="K281" t="n">
        <v>0</v>
      </c>
      <c r="L281" t="n">
        <v>0</v>
      </c>
      <c r="M281" t="n">
        <v>0</v>
      </c>
      <c r="N281" t="n">
        <v>0</v>
      </c>
      <c r="O281" t="n">
        <v>0</v>
      </c>
      <c r="P281" t="n">
        <v>0</v>
      </c>
      <c r="Q281" t="n">
        <v>0</v>
      </c>
      <c r="R281" s="2" t="inlineStr"/>
    </row>
    <row r="282" ht="15" customHeight="1">
      <c r="A282" t="inlineStr">
        <is>
          <t>A 3361-2019</t>
        </is>
      </c>
      <c r="B282" s="1" t="n">
        <v>43480</v>
      </c>
      <c r="C282" s="1" t="n">
        <v>45343</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3372-2019</t>
        </is>
      </c>
      <c r="B283" s="1" t="n">
        <v>43480</v>
      </c>
      <c r="C283" s="1" t="n">
        <v>45343</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3232-2019</t>
        </is>
      </c>
      <c r="B284" s="1" t="n">
        <v>43480</v>
      </c>
      <c r="C284" s="1" t="n">
        <v>45343</v>
      </c>
      <c r="D284" t="inlineStr">
        <is>
          <t>STOCKHOLMS LÄN</t>
        </is>
      </c>
      <c r="E284" t="inlineStr">
        <is>
          <t>NORRTÄLJE</t>
        </is>
      </c>
      <c r="G284" t="n">
        <v>9.1</v>
      </c>
      <c r="H284" t="n">
        <v>0</v>
      </c>
      <c r="I284" t="n">
        <v>0</v>
      </c>
      <c r="J284" t="n">
        <v>0</v>
      </c>
      <c r="K284" t="n">
        <v>0</v>
      </c>
      <c r="L284" t="n">
        <v>0</v>
      </c>
      <c r="M284" t="n">
        <v>0</v>
      </c>
      <c r="N284" t="n">
        <v>0</v>
      </c>
      <c r="O284" t="n">
        <v>0</v>
      </c>
      <c r="P284" t="n">
        <v>0</v>
      </c>
      <c r="Q284" t="n">
        <v>0</v>
      </c>
      <c r="R284" s="2" t="inlineStr"/>
    </row>
    <row r="285" ht="15" customHeight="1">
      <c r="A285" t="inlineStr">
        <is>
          <t>A 3156-2019</t>
        </is>
      </c>
      <c r="B285" s="1" t="n">
        <v>43480</v>
      </c>
      <c r="C285" s="1" t="n">
        <v>45343</v>
      </c>
      <c r="D285" t="inlineStr">
        <is>
          <t>STOCKHOLMS LÄN</t>
        </is>
      </c>
      <c r="E285" t="inlineStr">
        <is>
          <t>NORRTÄLJE</t>
        </is>
      </c>
      <c r="G285" t="n">
        <v>0.1</v>
      </c>
      <c r="H285" t="n">
        <v>0</v>
      </c>
      <c r="I285" t="n">
        <v>0</v>
      </c>
      <c r="J285" t="n">
        <v>0</v>
      </c>
      <c r="K285" t="n">
        <v>0</v>
      </c>
      <c r="L285" t="n">
        <v>0</v>
      </c>
      <c r="M285" t="n">
        <v>0</v>
      </c>
      <c r="N285" t="n">
        <v>0</v>
      </c>
      <c r="O285" t="n">
        <v>0</v>
      </c>
      <c r="P285" t="n">
        <v>0</v>
      </c>
      <c r="Q285" t="n">
        <v>0</v>
      </c>
      <c r="R285" s="2" t="inlineStr"/>
    </row>
    <row r="286" ht="15" customHeight="1">
      <c r="A286" t="inlineStr">
        <is>
          <t>A 3475-2019</t>
        </is>
      </c>
      <c r="B286" s="1" t="n">
        <v>43481</v>
      </c>
      <c r="C286" s="1" t="n">
        <v>45343</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3480-2019</t>
        </is>
      </c>
      <c r="B287" s="1" t="n">
        <v>43481</v>
      </c>
      <c r="C287" s="1" t="n">
        <v>45343</v>
      </c>
      <c r="D287" t="inlineStr">
        <is>
          <t>STOCKHOLMS LÄN</t>
        </is>
      </c>
      <c r="E287" t="inlineStr">
        <is>
          <t>NORRTÄLJE</t>
        </is>
      </c>
      <c r="G287" t="n">
        <v>3</v>
      </c>
      <c r="H287" t="n">
        <v>0</v>
      </c>
      <c r="I287" t="n">
        <v>0</v>
      </c>
      <c r="J287" t="n">
        <v>0</v>
      </c>
      <c r="K287" t="n">
        <v>0</v>
      </c>
      <c r="L287" t="n">
        <v>0</v>
      </c>
      <c r="M287" t="n">
        <v>0</v>
      </c>
      <c r="N287" t="n">
        <v>0</v>
      </c>
      <c r="O287" t="n">
        <v>0</v>
      </c>
      <c r="P287" t="n">
        <v>0</v>
      </c>
      <c r="Q287" t="n">
        <v>0</v>
      </c>
      <c r="R287" s="2" t="inlineStr"/>
    </row>
    <row r="288" ht="15" customHeight="1">
      <c r="A288" t="inlineStr">
        <is>
          <t>A 3741-2019</t>
        </is>
      </c>
      <c r="B288" s="1" t="n">
        <v>43481</v>
      </c>
      <c r="C288" s="1" t="n">
        <v>45343</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3743-2019</t>
        </is>
      </c>
      <c r="B289" s="1" t="n">
        <v>43481</v>
      </c>
      <c r="C289" s="1" t="n">
        <v>45343</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3456-2019</t>
        </is>
      </c>
      <c r="B290" s="1" t="n">
        <v>43481</v>
      </c>
      <c r="C290" s="1" t="n">
        <v>45343</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3502-2019</t>
        </is>
      </c>
      <c r="B291" s="1" t="n">
        <v>43481</v>
      </c>
      <c r="C291" s="1" t="n">
        <v>45343</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4107-2019</t>
        </is>
      </c>
      <c r="B292" s="1" t="n">
        <v>43482</v>
      </c>
      <c r="C292" s="1" t="n">
        <v>45343</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3879-2019</t>
        </is>
      </c>
      <c r="B293" s="1" t="n">
        <v>43482</v>
      </c>
      <c r="C293" s="1" t="n">
        <v>45343</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4040-2019</t>
        </is>
      </c>
      <c r="B294" s="1" t="n">
        <v>43482</v>
      </c>
      <c r="C294" s="1" t="n">
        <v>45343</v>
      </c>
      <c r="D294" t="inlineStr">
        <is>
          <t>STOCKHOLMS LÄN</t>
        </is>
      </c>
      <c r="E294" t="inlineStr">
        <is>
          <t>NORRTÄLJE</t>
        </is>
      </c>
      <c r="F294" t="inlineStr">
        <is>
          <t>Övriga statliga verk och myndigheter</t>
        </is>
      </c>
      <c r="G294" t="n">
        <v>10.7</v>
      </c>
      <c r="H294" t="n">
        <v>0</v>
      </c>
      <c r="I294" t="n">
        <v>0</v>
      </c>
      <c r="J294" t="n">
        <v>0</v>
      </c>
      <c r="K294" t="n">
        <v>0</v>
      </c>
      <c r="L294" t="n">
        <v>0</v>
      </c>
      <c r="M294" t="n">
        <v>0</v>
      </c>
      <c r="N294" t="n">
        <v>0</v>
      </c>
      <c r="O294" t="n">
        <v>0</v>
      </c>
      <c r="P294" t="n">
        <v>0</v>
      </c>
      <c r="Q294" t="n">
        <v>0</v>
      </c>
      <c r="R294" s="2" t="inlineStr"/>
    </row>
    <row r="295" ht="15" customHeight="1">
      <c r="A295" t="inlineStr">
        <is>
          <t>A 4036-2019</t>
        </is>
      </c>
      <c r="B295" s="1" t="n">
        <v>43482</v>
      </c>
      <c r="C295" s="1" t="n">
        <v>45343</v>
      </c>
      <c r="D295" t="inlineStr">
        <is>
          <t>STOCKHOLMS LÄN</t>
        </is>
      </c>
      <c r="E295" t="inlineStr">
        <is>
          <t>NORRTÄLJE</t>
        </is>
      </c>
      <c r="G295" t="n">
        <v>6</v>
      </c>
      <c r="H295" t="n">
        <v>0</v>
      </c>
      <c r="I295" t="n">
        <v>0</v>
      </c>
      <c r="J295" t="n">
        <v>0</v>
      </c>
      <c r="K295" t="n">
        <v>0</v>
      </c>
      <c r="L295" t="n">
        <v>0</v>
      </c>
      <c r="M295" t="n">
        <v>0</v>
      </c>
      <c r="N295" t="n">
        <v>0</v>
      </c>
      <c r="O295" t="n">
        <v>0</v>
      </c>
      <c r="P295" t="n">
        <v>0</v>
      </c>
      <c r="Q295" t="n">
        <v>0</v>
      </c>
      <c r="R295" s="2" t="inlineStr"/>
    </row>
    <row r="296" ht="15" customHeight="1">
      <c r="A296" t="inlineStr">
        <is>
          <t>A 4037-2019</t>
        </is>
      </c>
      <c r="B296" s="1" t="n">
        <v>43482</v>
      </c>
      <c r="C296" s="1" t="n">
        <v>45343</v>
      </c>
      <c r="D296" t="inlineStr">
        <is>
          <t>STOCKHOLMS LÄN</t>
        </is>
      </c>
      <c r="E296" t="inlineStr">
        <is>
          <t>NORRTÄLJE</t>
        </is>
      </c>
      <c r="G296" t="n">
        <v>5.1</v>
      </c>
      <c r="H296" t="n">
        <v>0</v>
      </c>
      <c r="I296" t="n">
        <v>0</v>
      </c>
      <c r="J296" t="n">
        <v>0</v>
      </c>
      <c r="K296" t="n">
        <v>0</v>
      </c>
      <c r="L296" t="n">
        <v>0</v>
      </c>
      <c r="M296" t="n">
        <v>0</v>
      </c>
      <c r="N296" t="n">
        <v>0</v>
      </c>
      <c r="O296" t="n">
        <v>0</v>
      </c>
      <c r="P296" t="n">
        <v>0</v>
      </c>
      <c r="Q296" t="n">
        <v>0</v>
      </c>
      <c r="R296" s="2" t="inlineStr"/>
    </row>
    <row r="297" ht="15" customHeight="1">
      <c r="A297" t="inlineStr">
        <is>
          <t>A 4027-2019</t>
        </is>
      </c>
      <c r="B297" s="1" t="n">
        <v>43482</v>
      </c>
      <c r="C297" s="1" t="n">
        <v>45343</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3864-2019</t>
        </is>
      </c>
      <c r="B298" s="1" t="n">
        <v>43482</v>
      </c>
      <c r="C298" s="1" t="n">
        <v>45343</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4133-2019</t>
        </is>
      </c>
      <c r="B299" s="1" t="n">
        <v>43483</v>
      </c>
      <c r="C299" s="1" t="n">
        <v>45343</v>
      </c>
      <c r="D299" t="inlineStr">
        <is>
          <t>STOCKHOLMS LÄN</t>
        </is>
      </c>
      <c r="E299" t="inlineStr">
        <is>
          <t>NORRTÄLJE</t>
        </is>
      </c>
      <c r="G299" t="n">
        <v>3.9</v>
      </c>
      <c r="H299" t="n">
        <v>0</v>
      </c>
      <c r="I299" t="n">
        <v>0</v>
      </c>
      <c r="J299" t="n">
        <v>0</v>
      </c>
      <c r="K299" t="n">
        <v>0</v>
      </c>
      <c r="L299" t="n">
        <v>0</v>
      </c>
      <c r="M299" t="n">
        <v>0</v>
      </c>
      <c r="N299" t="n">
        <v>0</v>
      </c>
      <c r="O299" t="n">
        <v>0</v>
      </c>
      <c r="P299" t="n">
        <v>0</v>
      </c>
      <c r="Q299" t="n">
        <v>0</v>
      </c>
      <c r="R299" s="2" t="inlineStr"/>
    </row>
    <row r="300" ht="15" customHeight="1">
      <c r="A300" t="inlineStr">
        <is>
          <t>A 4397-2019</t>
        </is>
      </c>
      <c r="B300" s="1" t="n">
        <v>43484</v>
      </c>
      <c r="C300" s="1" t="n">
        <v>45343</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4393-2019</t>
        </is>
      </c>
      <c r="B301" s="1" t="n">
        <v>43484</v>
      </c>
      <c r="C301" s="1" t="n">
        <v>45343</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4395-2019</t>
        </is>
      </c>
      <c r="B302" s="1" t="n">
        <v>43484</v>
      </c>
      <c r="C302" s="1" t="n">
        <v>45343</v>
      </c>
      <c r="D302" t="inlineStr">
        <is>
          <t>STOCKHOLMS LÄN</t>
        </is>
      </c>
      <c r="E302" t="inlineStr">
        <is>
          <t>NORRTÄLJE</t>
        </is>
      </c>
      <c r="G302" t="n">
        <v>1.2</v>
      </c>
      <c r="H302" t="n">
        <v>0</v>
      </c>
      <c r="I302" t="n">
        <v>0</v>
      </c>
      <c r="J302" t="n">
        <v>0</v>
      </c>
      <c r="K302" t="n">
        <v>0</v>
      </c>
      <c r="L302" t="n">
        <v>0</v>
      </c>
      <c r="M302" t="n">
        <v>0</v>
      </c>
      <c r="N302" t="n">
        <v>0</v>
      </c>
      <c r="O302" t="n">
        <v>0</v>
      </c>
      <c r="P302" t="n">
        <v>0</v>
      </c>
      <c r="Q302" t="n">
        <v>0</v>
      </c>
      <c r="R302" s="2" t="inlineStr"/>
    </row>
    <row r="303" ht="15" customHeight="1">
      <c r="A303" t="inlineStr">
        <is>
          <t>A 4394-2019</t>
        </is>
      </c>
      <c r="B303" s="1" t="n">
        <v>43484</v>
      </c>
      <c r="C303" s="1" t="n">
        <v>45343</v>
      </c>
      <c r="D303" t="inlineStr">
        <is>
          <t>STOCKHOLMS LÄN</t>
        </is>
      </c>
      <c r="E303" t="inlineStr">
        <is>
          <t>NORRTÄLJE</t>
        </is>
      </c>
      <c r="G303" t="n">
        <v>2</v>
      </c>
      <c r="H303" t="n">
        <v>0</v>
      </c>
      <c r="I303" t="n">
        <v>0</v>
      </c>
      <c r="J303" t="n">
        <v>0</v>
      </c>
      <c r="K303" t="n">
        <v>0</v>
      </c>
      <c r="L303" t="n">
        <v>0</v>
      </c>
      <c r="M303" t="n">
        <v>0</v>
      </c>
      <c r="N303" t="n">
        <v>0</v>
      </c>
      <c r="O303" t="n">
        <v>0</v>
      </c>
      <c r="P303" t="n">
        <v>0</v>
      </c>
      <c r="Q303" t="n">
        <v>0</v>
      </c>
      <c r="R303" s="2" t="inlineStr"/>
    </row>
    <row r="304" ht="15" customHeight="1">
      <c r="A304" t="inlineStr">
        <is>
          <t>A 4457-2019</t>
        </is>
      </c>
      <c r="B304" s="1" t="n">
        <v>43485</v>
      </c>
      <c r="C304" s="1" t="n">
        <v>45343</v>
      </c>
      <c r="D304" t="inlineStr">
        <is>
          <t>STOCKHOLMS LÄN</t>
        </is>
      </c>
      <c r="E304" t="inlineStr">
        <is>
          <t>NORRTÄLJE</t>
        </is>
      </c>
      <c r="G304" t="n">
        <v>3.6</v>
      </c>
      <c r="H304" t="n">
        <v>0</v>
      </c>
      <c r="I304" t="n">
        <v>0</v>
      </c>
      <c r="J304" t="n">
        <v>0</v>
      </c>
      <c r="K304" t="n">
        <v>0</v>
      </c>
      <c r="L304" t="n">
        <v>0</v>
      </c>
      <c r="M304" t="n">
        <v>0</v>
      </c>
      <c r="N304" t="n">
        <v>0</v>
      </c>
      <c r="O304" t="n">
        <v>0</v>
      </c>
      <c r="P304" t="n">
        <v>0</v>
      </c>
      <c r="Q304" t="n">
        <v>0</v>
      </c>
      <c r="R304" s="2" t="inlineStr"/>
    </row>
    <row r="305" ht="15" customHeight="1">
      <c r="A305" t="inlineStr">
        <is>
          <t>A 4548-2019</t>
        </is>
      </c>
      <c r="B305" s="1" t="n">
        <v>43486</v>
      </c>
      <c r="C305" s="1" t="n">
        <v>45343</v>
      </c>
      <c r="D305" t="inlineStr">
        <is>
          <t>STOCKHOLMS LÄN</t>
        </is>
      </c>
      <c r="E305" t="inlineStr">
        <is>
          <t>NORRTÄLJE</t>
        </is>
      </c>
      <c r="F305" t="inlineStr">
        <is>
          <t>Kommuner</t>
        </is>
      </c>
      <c r="G305" t="n">
        <v>2</v>
      </c>
      <c r="H305" t="n">
        <v>0</v>
      </c>
      <c r="I305" t="n">
        <v>0</v>
      </c>
      <c r="J305" t="n">
        <v>0</v>
      </c>
      <c r="K305" t="n">
        <v>0</v>
      </c>
      <c r="L305" t="n">
        <v>0</v>
      </c>
      <c r="M305" t="n">
        <v>0</v>
      </c>
      <c r="N305" t="n">
        <v>0</v>
      </c>
      <c r="O305" t="n">
        <v>0</v>
      </c>
      <c r="P305" t="n">
        <v>0</v>
      </c>
      <c r="Q305" t="n">
        <v>0</v>
      </c>
      <c r="R305" s="2" t="inlineStr"/>
    </row>
    <row r="306" ht="15" customHeight="1">
      <c r="A306" t="inlineStr">
        <is>
          <t>A 4528-2019</t>
        </is>
      </c>
      <c r="B306" s="1" t="n">
        <v>43486</v>
      </c>
      <c r="C306" s="1" t="n">
        <v>45343</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4885-2019</t>
        </is>
      </c>
      <c r="B307" s="1" t="n">
        <v>43486</v>
      </c>
      <c r="C307" s="1" t="n">
        <v>45343</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4833-2019</t>
        </is>
      </c>
      <c r="B308" s="1" t="n">
        <v>43486</v>
      </c>
      <c r="C308" s="1" t="n">
        <v>45343</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4862-2019</t>
        </is>
      </c>
      <c r="B309" s="1" t="n">
        <v>43486</v>
      </c>
      <c r="C309" s="1" t="n">
        <v>45343</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4947-2019</t>
        </is>
      </c>
      <c r="B310" s="1" t="n">
        <v>43487</v>
      </c>
      <c r="C310" s="1" t="n">
        <v>45343</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5109-2019</t>
        </is>
      </c>
      <c r="B311" s="1" t="n">
        <v>43487</v>
      </c>
      <c r="C311" s="1" t="n">
        <v>45343</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4857-2019</t>
        </is>
      </c>
      <c r="B312" s="1" t="n">
        <v>43487</v>
      </c>
      <c r="C312" s="1" t="n">
        <v>45343</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5106-2019</t>
        </is>
      </c>
      <c r="B313" s="1" t="n">
        <v>43487</v>
      </c>
      <c r="C313" s="1" t="n">
        <v>45343</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6606-2019</t>
        </is>
      </c>
      <c r="B314" s="1" t="n">
        <v>43487</v>
      </c>
      <c r="C314" s="1" t="n">
        <v>45343</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5080-2019</t>
        </is>
      </c>
      <c r="B315" s="1" t="n">
        <v>43487</v>
      </c>
      <c r="C315" s="1" t="n">
        <v>45343</v>
      </c>
      <c r="D315" t="inlineStr">
        <is>
          <t>STOCKHOLMS LÄN</t>
        </is>
      </c>
      <c r="E315" t="inlineStr">
        <is>
          <t>NORRTÄLJE</t>
        </is>
      </c>
      <c r="G315" t="n">
        <v>2.6</v>
      </c>
      <c r="H315" t="n">
        <v>0</v>
      </c>
      <c r="I315" t="n">
        <v>0</v>
      </c>
      <c r="J315" t="n">
        <v>0</v>
      </c>
      <c r="K315" t="n">
        <v>0</v>
      </c>
      <c r="L315" t="n">
        <v>0</v>
      </c>
      <c r="M315" t="n">
        <v>0</v>
      </c>
      <c r="N315" t="n">
        <v>0</v>
      </c>
      <c r="O315" t="n">
        <v>0</v>
      </c>
      <c r="P315" t="n">
        <v>0</v>
      </c>
      <c r="Q315" t="n">
        <v>0</v>
      </c>
      <c r="R315" s="2" t="inlineStr"/>
    </row>
    <row r="316" ht="15" customHeight="1">
      <c r="A316" t="inlineStr">
        <is>
          <t>A 5386-2019</t>
        </is>
      </c>
      <c r="B316" s="1" t="n">
        <v>43488</v>
      </c>
      <c r="C316" s="1" t="n">
        <v>45343</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5314-2019</t>
        </is>
      </c>
      <c r="B317" s="1" t="n">
        <v>43488</v>
      </c>
      <c r="C317" s="1" t="n">
        <v>45343</v>
      </c>
      <c r="D317" t="inlineStr">
        <is>
          <t>STOCKHOLMS LÄN</t>
        </is>
      </c>
      <c r="E317" t="inlineStr">
        <is>
          <t>NORRTÄLJE</t>
        </is>
      </c>
      <c r="G317" t="n">
        <v>0.3</v>
      </c>
      <c r="H317" t="n">
        <v>0</v>
      </c>
      <c r="I317" t="n">
        <v>0</v>
      </c>
      <c r="J317" t="n">
        <v>0</v>
      </c>
      <c r="K317" t="n">
        <v>0</v>
      </c>
      <c r="L317" t="n">
        <v>0</v>
      </c>
      <c r="M317" t="n">
        <v>0</v>
      </c>
      <c r="N317" t="n">
        <v>0</v>
      </c>
      <c r="O317" t="n">
        <v>0</v>
      </c>
      <c r="P317" t="n">
        <v>0</v>
      </c>
      <c r="Q317" t="n">
        <v>0</v>
      </c>
      <c r="R317" s="2" t="inlineStr"/>
    </row>
    <row r="318" ht="15" customHeight="1">
      <c r="A318" t="inlineStr">
        <is>
          <t>A 5517-2019</t>
        </is>
      </c>
      <c r="B318" s="1" t="n">
        <v>43489</v>
      </c>
      <c r="C318" s="1" t="n">
        <v>45343</v>
      </c>
      <c r="D318" t="inlineStr">
        <is>
          <t>STOCKHOLMS LÄN</t>
        </is>
      </c>
      <c r="E318" t="inlineStr">
        <is>
          <t>NORRTÄLJE</t>
        </is>
      </c>
      <c r="G318" t="n">
        <v>3.3</v>
      </c>
      <c r="H318" t="n">
        <v>0</v>
      </c>
      <c r="I318" t="n">
        <v>0</v>
      </c>
      <c r="J318" t="n">
        <v>0</v>
      </c>
      <c r="K318" t="n">
        <v>0</v>
      </c>
      <c r="L318" t="n">
        <v>0</v>
      </c>
      <c r="M318" t="n">
        <v>0</v>
      </c>
      <c r="N318" t="n">
        <v>0</v>
      </c>
      <c r="O318" t="n">
        <v>0</v>
      </c>
      <c r="P318" t="n">
        <v>0</v>
      </c>
      <c r="Q318" t="n">
        <v>0</v>
      </c>
      <c r="R318" s="2" t="inlineStr"/>
    </row>
    <row r="319" ht="15" customHeight="1">
      <c r="A319" t="inlineStr">
        <is>
          <t>A 5548-2019</t>
        </is>
      </c>
      <c r="B319" s="1" t="n">
        <v>43489</v>
      </c>
      <c r="C319" s="1" t="n">
        <v>45343</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5580-2019</t>
        </is>
      </c>
      <c r="B320" s="1" t="n">
        <v>43489</v>
      </c>
      <c r="C320" s="1" t="n">
        <v>45343</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5486-2019</t>
        </is>
      </c>
      <c r="B321" s="1" t="n">
        <v>43489</v>
      </c>
      <c r="C321" s="1" t="n">
        <v>45343</v>
      </c>
      <c r="D321" t="inlineStr">
        <is>
          <t>STOCKHOLMS LÄN</t>
        </is>
      </c>
      <c r="E321" t="inlineStr">
        <is>
          <t>NORRTÄLJE</t>
        </is>
      </c>
      <c r="F321" t="inlineStr">
        <is>
          <t>Övriga Aktiebolag</t>
        </is>
      </c>
      <c r="G321" t="n">
        <v>3.9</v>
      </c>
      <c r="H321" t="n">
        <v>0</v>
      </c>
      <c r="I321" t="n">
        <v>0</v>
      </c>
      <c r="J321" t="n">
        <v>0</v>
      </c>
      <c r="K321" t="n">
        <v>0</v>
      </c>
      <c r="L321" t="n">
        <v>0</v>
      </c>
      <c r="M321" t="n">
        <v>0</v>
      </c>
      <c r="N321" t="n">
        <v>0</v>
      </c>
      <c r="O321" t="n">
        <v>0</v>
      </c>
      <c r="P321" t="n">
        <v>0</v>
      </c>
      <c r="Q321" t="n">
        <v>0</v>
      </c>
      <c r="R321" s="2" t="inlineStr"/>
    </row>
    <row r="322" ht="15" customHeight="1">
      <c r="A322" t="inlineStr">
        <is>
          <t>A 5640-2019</t>
        </is>
      </c>
      <c r="B322" s="1" t="n">
        <v>43489</v>
      </c>
      <c r="C322" s="1" t="n">
        <v>45343</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5664-2019</t>
        </is>
      </c>
      <c r="B323" s="1" t="n">
        <v>43489</v>
      </c>
      <c r="C323" s="1" t="n">
        <v>45343</v>
      </c>
      <c r="D323" t="inlineStr">
        <is>
          <t>STOCKHOLMS LÄN</t>
        </is>
      </c>
      <c r="E323" t="inlineStr">
        <is>
          <t>NORRTÄLJE</t>
        </is>
      </c>
      <c r="G323" t="n">
        <v>2.2</v>
      </c>
      <c r="H323" t="n">
        <v>0</v>
      </c>
      <c r="I323" t="n">
        <v>0</v>
      </c>
      <c r="J323" t="n">
        <v>0</v>
      </c>
      <c r="K323" t="n">
        <v>0</v>
      </c>
      <c r="L323" t="n">
        <v>0</v>
      </c>
      <c r="M323" t="n">
        <v>0</v>
      </c>
      <c r="N323" t="n">
        <v>0</v>
      </c>
      <c r="O323" t="n">
        <v>0</v>
      </c>
      <c r="P323" t="n">
        <v>0</v>
      </c>
      <c r="Q323" t="n">
        <v>0</v>
      </c>
      <c r="R323" s="2" t="inlineStr"/>
    </row>
    <row r="324" ht="15" customHeight="1">
      <c r="A324" t="inlineStr">
        <is>
          <t>A 5504-2019</t>
        </is>
      </c>
      <c r="B324" s="1" t="n">
        <v>43489</v>
      </c>
      <c r="C324" s="1" t="n">
        <v>45343</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5919-2019</t>
        </is>
      </c>
      <c r="B325" s="1" t="n">
        <v>43490</v>
      </c>
      <c r="C325" s="1" t="n">
        <v>45343</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5959-2019</t>
        </is>
      </c>
      <c r="B326" s="1" t="n">
        <v>43492</v>
      </c>
      <c r="C326" s="1" t="n">
        <v>45343</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6187-2019</t>
        </is>
      </c>
      <c r="B327" s="1" t="n">
        <v>43493</v>
      </c>
      <c r="C327" s="1" t="n">
        <v>45343</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6184-2019</t>
        </is>
      </c>
      <c r="B328" s="1" t="n">
        <v>43493</v>
      </c>
      <c r="C328" s="1" t="n">
        <v>45343</v>
      </c>
      <c r="D328" t="inlineStr">
        <is>
          <t>STOCKHOLMS LÄN</t>
        </is>
      </c>
      <c r="E328" t="inlineStr">
        <is>
          <t>NORRTÄLJE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6121-2019</t>
        </is>
      </c>
      <c r="B329" s="1" t="n">
        <v>43493</v>
      </c>
      <c r="C329" s="1" t="n">
        <v>45343</v>
      </c>
      <c r="D329" t="inlineStr">
        <is>
          <t>STOCKHOLMS LÄN</t>
        </is>
      </c>
      <c r="E329" t="inlineStr">
        <is>
          <t>NORRTÄLJE</t>
        </is>
      </c>
      <c r="G329" t="n">
        <v>4.8</v>
      </c>
      <c r="H329" t="n">
        <v>0</v>
      </c>
      <c r="I329" t="n">
        <v>0</v>
      </c>
      <c r="J329" t="n">
        <v>0</v>
      </c>
      <c r="K329" t="n">
        <v>0</v>
      </c>
      <c r="L329" t="n">
        <v>0</v>
      </c>
      <c r="M329" t="n">
        <v>0</v>
      </c>
      <c r="N329" t="n">
        <v>0</v>
      </c>
      <c r="O329" t="n">
        <v>0</v>
      </c>
      <c r="P329" t="n">
        <v>0</v>
      </c>
      <c r="Q329" t="n">
        <v>0</v>
      </c>
      <c r="R329" s="2" t="inlineStr"/>
    </row>
    <row r="330" ht="15" customHeight="1">
      <c r="A330" t="inlineStr">
        <is>
          <t>A 6170-2019</t>
        </is>
      </c>
      <c r="B330" s="1" t="n">
        <v>43493</v>
      </c>
      <c r="C330" s="1" t="n">
        <v>45343</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6496-2019</t>
        </is>
      </c>
      <c r="B331" s="1" t="n">
        <v>43494</v>
      </c>
      <c r="C331" s="1" t="n">
        <v>45343</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6563-2019</t>
        </is>
      </c>
      <c r="B332" s="1" t="n">
        <v>43494</v>
      </c>
      <c r="C332" s="1" t="n">
        <v>45343</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6560-2019</t>
        </is>
      </c>
      <c r="B333" s="1" t="n">
        <v>43494</v>
      </c>
      <c r="C333" s="1" t="n">
        <v>45343</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6740-2019</t>
        </is>
      </c>
      <c r="B334" s="1" t="n">
        <v>43494</v>
      </c>
      <c r="C334" s="1" t="n">
        <v>45343</v>
      </c>
      <c r="D334" t="inlineStr">
        <is>
          <t>STOCKHOLMS LÄN</t>
        </is>
      </c>
      <c r="E334" t="inlineStr">
        <is>
          <t>NORRTÄLJE</t>
        </is>
      </c>
      <c r="G334" t="n">
        <v>4.9</v>
      </c>
      <c r="H334" t="n">
        <v>0</v>
      </c>
      <c r="I334" t="n">
        <v>0</v>
      </c>
      <c r="J334" t="n">
        <v>0</v>
      </c>
      <c r="K334" t="n">
        <v>0</v>
      </c>
      <c r="L334" t="n">
        <v>0</v>
      </c>
      <c r="M334" t="n">
        <v>0</v>
      </c>
      <c r="N334" t="n">
        <v>0</v>
      </c>
      <c r="O334" t="n">
        <v>0</v>
      </c>
      <c r="P334" t="n">
        <v>0</v>
      </c>
      <c r="Q334" t="n">
        <v>0</v>
      </c>
      <c r="R334" s="2" t="inlineStr"/>
    </row>
    <row r="335" ht="15" customHeight="1">
      <c r="A335" t="inlineStr">
        <is>
          <t>A 6530-2019</t>
        </is>
      </c>
      <c r="B335" s="1" t="n">
        <v>43494</v>
      </c>
      <c r="C335" s="1" t="n">
        <v>45343</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6545-2019</t>
        </is>
      </c>
      <c r="B336" s="1" t="n">
        <v>43494</v>
      </c>
      <c r="C336" s="1" t="n">
        <v>45343</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6921-2019</t>
        </is>
      </c>
      <c r="B337" s="1" t="n">
        <v>43495</v>
      </c>
      <c r="C337" s="1" t="n">
        <v>45343</v>
      </c>
      <c r="D337" t="inlineStr">
        <is>
          <t>STOCKHOLMS LÄN</t>
        </is>
      </c>
      <c r="E337" t="inlineStr">
        <is>
          <t>NORRTÄLJE</t>
        </is>
      </c>
      <c r="G337" t="n">
        <v>5.8</v>
      </c>
      <c r="H337" t="n">
        <v>0</v>
      </c>
      <c r="I337" t="n">
        <v>0</v>
      </c>
      <c r="J337" t="n">
        <v>0</v>
      </c>
      <c r="K337" t="n">
        <v>0</v>
      </c>
      <c r="L337" t="n">
        <v>0</v>
      </c>
      <c r="M337" t="n">
        <v>0</v>
      </c>
      <c r="N337" t="n">
        <v>0</v>
      </c>
      <c r="O337" t="n">
        <v>0</v>
      </c>
      <c r="P337" t="n">
        <v>0</v>
      </c>
      <c r="Q337" t="n">
        <v>0</v>
      </c>
      <c r="R337" s="2" t="inlineStr"/>
    </row>
    <row r="338" ht="15" customHeight="1">
      <c r="A338" t="inlineStr">
        <is>
          <t>A 7041-2019</t>
        </is>
      </c>
      <c r="B338" s="1" t="n">
        <v>43495</v>
      </c>
      <c r="C338" s="1" t="n">
        <v>45343</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7040-2019</t>
        </is>
      </c>
      <c r="B339" s="1" t="n">
        <v>43495</v>
      </c>
      <c r="C339" s="1" t="n">
        <v>45343</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7003-2019</t>
        </is>
      </c>
      <c r="B340" s="1" t="n">
        <v>43495</v>
      </c>
      <c r="C340" s="1" t="n">
        <v>45343</v>
      </c>
      <c r="D340" t="inlineStr">
        <is>
          <t>STOCKHOLMS LÄN</t>
        </is>
      </c>
      <c r="E340" t="inlineStr">
        <is>
          <t>NORRTÄLJE</t>
        </is>
      </c>
      <c r="G340" t="n">
        <v>3</v>
      </c>
      <c r="H340" t="n">
        <v>0</v>
      </c>
      <c r="I340" t="n">
        <v>0</v>
      </c>
      <c r="J340" t="n">
        <v>0</v>
      </c>
      <c r="K340" t="n">
        <v>0</v>
      </c>
      <c r="L340" t="n">
        <v>0</v>
      </c>
      <c r="M340" t="n">
        <v>0</v>
      </c>
      <c r="N340" t="n">
        <v>0</v>
      </c>
      <c r="O340" t="n">
        <v>0</v>
      </c>
      <c r="P340" t="n">
        <v>0</v>
      </c>
      <c r="Q340" t="n">
        <v>0</v>
      </c>
      <c r="R340" s="2" t="inlineStr"/>
    </row>
    <row r="341" ht="15" customHeight="1">
      <c r="A341" t="inlineStr">
        <is>
          <t>A 6985-2019</t>
        </is>
      </c>
      <c r="B341" s="1" t="n">
        <v>43495</v>
      </c>
      <c r="C341" s="1" t="n">
        <v>45343</v>
      </c>
      <c r="D341" t="inlineStr">
        <is>
          <t>STOCKHOLMS LÄN</t>
        </is>
      </c>
      <c r="E341" t="inlineStr">
        <is>
          <t>NORRTÄLJE</t>
        </is>
      </c>
      <c r="G341" t="n">
        <v>75.09999999999999</v>
      </c>
      <c r="H341" t="n">
        <v>0</v>
      </c>
      <c r="I341" t="n">
        <v>0</v>
      </c>
      <c r="J341" t="n">
        <v>0</v>
      </c>
      <c r="K341" t="n">
        <v>0</v>
      </c>
      <c r="L341" t="n">
        <v>0</v>
      </c>
      <c r="M341" t="n">
        <v>0</v>
      </c>
      <c r="N341" t="n">
        <v>0</v>
      </c>
      <c r="O341" t="n">
        <v>0</v>
      </c>
      <c r="P341" t="n">
        <v>0</v>
      </c>
      <c r="Q341" t="n">
        <v>0</v>
      </c>
      <c r="R341" s="2" t="inlineStr"/>
    </row>
    <row r="342" ht="15" customHeight="1">
      <c r="A342" t="inlineStr">
        <is>
          <t>A 6970-2019</t>
        </is>
      </c>
      <c r="B342" s="1" t="n">
        <v>43495</v>
      </c>
      <c r="C342" s="1" t="n">
        <v>45343</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7090-2019</t>
        </is>
      </c>
      <c r="B343" s="1" t="n">
        <v>43495</v>
      </c>
      <c r="C343" s="1" t="n">
        <v>45343</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7015-2019</t>
        </is>
      </c>
      <c r="B344" s="1" t="n">
        <v>43495</v>
      </c>
      <c r="C344" s="1" t="n">
        <v>45343</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7117-2019</t>
        </is>
      </c>
      <c r="B345" s="1" t="n">
        <v>43496</v>
      </c>
      <c r="C345" s="1" t="n">
        <v>45343</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7288-2019</t>
        </is>
      </c>
      <c r="B346" s="1" t="n">
        <v>43496</v>
      </c>
      <c r="C346" s="1" t="n">
        <v>45343</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7278-2019</t>
        </is>
      </c>
      <c r="B347" s="1" t="n">
        <v>43496</v>
      </c>
      <c r="C347" s="1" t="n">
        <v>45343</v>
      </c>
      <c r="D347" t="inlineStr">
        <is>
          <t>STOCKHOLMS LÄN</t>
        </is>
      </c>
      <c r="E347" t="inlineStr">
        <is>
          <t>NORRTÄLJE</t>
        </is>
      </c>
      <c r="G347" t="n">
        <v>13.6</v>
      </c>
      <c r="H347" t="n">
        <v>0</v>
      </c>
      <c r="I347" t="n">
        <v>0</v>
      </c>
      <c r="J347" t="n">
        <v>0</v>
      </c>
      <c r="K347" t="n">
        <v>0</v>
      </c>
      <c r="L347" t="n">
        <v>0</v>
      </c>
      <c r="M347" t="n">
        <v>0</v>
      </c>
      <c r="N347" t="n">
        <v>0</v>
      </c>
      <c r="O347" t="n">
        <v>0</v>
      </c>
      <c r="P347" t="n">
        <v>0</v>
      </c>
      <c r="Q347" t="n">
        <v>0</v>
      </c>
      <c r="R347" s="2" t="inlineStr"/>
    </row>
    <row r="348" ht="15" customHeight="1">
      <c r="A348" t="inlineStr">
        <is>
          <t>A 7255-2019</t>
        </is>
      </c>
      <c r="B348" s="1" t="n">
        <v>43496</v>
      </c>
      <c r="C348" s="1" t="n">
        <v>45343</v>
      </c>
      <c r="D348" t="inlineStr">
        <is>
          <t>STOCKHOLMS LÄN</t>
        </is>
      </c>
      <c r="E348" t="inlineStr">
        <is>
          <t>NORRTÄLJE</t>
        </is>
      </c>
      <c r="G348" t="n">
        <v>1.8</v>
      </c>
      <c r="H348" t="n">
        <v>0</v>
      </c>
      <c r="I348" t="n">
        <v>0</v>
      </c>
      <c r="J348" t="n">
        <v>0</v>
      </c>
      <c r="K348" t="n">
        <v>0</v>
      </c>
      <c r="L348" t="n">
        <v>0</v>
      </c>
      <c r="M348" t="n">
        <v>0</v>
      </c>
      <c r="N348" t="n">
        <v>0</v>
      </c>
      <c r="O348" t="n">
        <v>0</v>
      </c>
      <c r="P348" t="n">
        <v>0</v>
      </c>
      <c r="Q348" t="n">
        <v>0</v>
      </c>
      <c r="R348" s="2" t="inlineStr"/>
    </row>
    <row r="349" ht="15" customHeight="1">
      <c r="A349" t="inlineStr">
        <is>
          <t>A 7285-2019</t>
        </is>
      </c>
      <c r="B349" s="1" t="n">
        <v>43496</v>
      </c>
      <c r="C349" s="1" t="n">
        <v>45343</v>
      </c>
      <c r="D349" t="inlineStr">
        <is>
          <t>STOCKHOLMS LÄN</t>
        </is>
      </c>
      <c r="E349" t="inlineStr">
        <is>
          <t>NORRTÄLJE</t>
        </is>
      </c>
      <c r="G349" t="n">
        <v>7.8</v>
      </c>
      <c r="H349" t="n">
        <v>0</v>
      </c>
      <c r="I349" t="n">
        <v>0</v>
      </c>
      <c r="J349" t="n">
        <v>0</v>
      </c>
      <c r="K349" t="n">
        <v>0</v>
      </c>
      <c r="L349" t="n">
        <v>0</v>
      </c>
      <c r="M349" t="n">
        <v>0</v>
      </c>
      <c r="N349" t="n">
        <v>0</v>
      </c>
      <c r="O349" t="n">
        <v>0</v>
      </c>
      <c r="P349" t="n">
        <v>0</v>
      </c>
      <c r="Q349" t="n">
        <v>0</v>
      </c>
      <c r="R349" s="2" t="inlineStr"/>
    </row>
    <row r="350" ht="15" customHeight="1">
      <c r="A350" t="inlineStr">
        <is>
          <t>A 7176-2019</t>
        </is>
      </c>
      <c r="B350" s="1" t="n">
        <v>43496</v>
      </c>
      <c r="C350" s="1" t="n">
        <v>45343</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7170-2019</t>
        </is>
      </c>
      <c r="B351" s="1" t="n">
        <v>43496</v>
      </c>
      <c r="C351" s="1" t="n">
        <v>45343</v>
      </c>
      <c r="D351" t="inlineStr">
        <is>
          <t>STOCKHOLMS LÄN</t>
        </is>
      </c>
      <c r="E351" t="inlineStr">
        <is>
          <t>NORRTÄLJE</t>
        </is>
      </c>
      <c r="F351" t="inlineStr">
        <is>
          <t>Holmen skog AB</t>
        </is>
      </c>
      <c r="G351" t="n">
        <v>14.6</v>
      </c>
      <c r="H351" t="n">
        <v>0</v>
      </c>
      <c r="I351" t="n">
        <v>0</v>
      </c>
      <c r="J351" t="n">
        <v>0</v>
      </c>
      <c r="K351" t="n">
        <v>0</v>
      </c>
      <c r="L351" t="n">
        <v>0</v>
      </c>
      <c r="M351" t="n">
        <v>0</v>
      </c>
      <c r="N351" t="n">
        <v>0</v>
      </c>
      <c r="O351" t="n">
        <v>0</v>
      </c>
      <c r="P351" t="n">
        <v>0</v>
      </c>
      <c r="Q351" t="n">
        <v>0</v>
      </c>
      <c r="R351" s="2" t="inlineStr"/>
    </row>
    <row r="352" ht="15" customHeight="1">
      <c r="A352" t="inlineStr">
        <is>
          <t>A 7343-2019</t>
        </is>
      </c>
      <c r="B352" s="1" t="n">
        <v>43496</v>
      </c>
      <c r="C352" s="1" t="n">
        <v>45343</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7174-2019</t>
        </is>
      </c>
      <c r="B353" s="1" t="n">
        <v>43496</v>
      </c>
      <c r="C353" s="1" t="n">
        <v>45343</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7502-2019</t>
        </is>
      </c>
      <c r="B354" s="1" t="n">
        <v>43497</v>
      </c>
      <c r="C354" s="1" t="n">
        <v>45343</v>
      </c>
      <c r="D354" t="inlineStr">
        <is>
          <t>STOCKHOLMS LÄN</t>
        </is>
      </c>
      <c r="E354" t="inlineStr">
        <is>
          <t>NORRTÄLJE</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7426-2019</t>
        </is>
      </c>
      <c r="B355" s="1" t="n">
        <v>43497</v>
      </c>
      <c r="C355" s="1" t="n">
        <v>45343</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7568-2019</t>
        </is>
      </c>
      <c r="B356" s="1" t="n">
        <v>43497</v>
      </c>
      <c r="C356" s="1" t="n">
        <v>45343</v>
      </c>
      <c r="D356" t="inlineStr">
        <is>
          <t>STOCKHOLMS LÄN</t>
        </is>
      </c>
      <c r="E356" t="inlineStr">
        <is>
          <t>NORRTÄLJE</t>
        </is>
      </c>
      <c r="G356" t="n">
        <v>4.2</v>
      </c>
      <c r="H356" t="n">
        <v>0</v>
      </c>
      <c r="I356" t="n">
        <v>0</v>
      </c>
      <c r="J356" t="n">
        <v>0</v>
      </c>
      <c r="K356" t="n">
        <v>0</v>
      </c>
      <c r="L356" t="n">
        <v>0</v>
      </c>
      <c r="M356" t="n">
        <v>0</v>
      </c>
      <c r="N356" t="n">
        <v>0</v>
      </c>
      <c r="O356" t="n">
        <v>0</v>
      </c>
      <c r="P356" t="n">
        <v>0</v>
      </c>
      <c r="Q356" t="n">
        <v>0</v>
      </c>
      <c r="R356" s="2" t="inlineStr"/>
    </row>
    <row r="357" ht="15" customHeight="1">
      <c r="A357" t="inlineStr">
        <is>
          <t>A 7403-2019</t>
        </is>
      </c>
      <c r="B357" s="1" t="n">
        <v>43497</v>
      </c>
      <c r="C357" s="1" t="n">
        <v>45343</v>
      </c>
      <c r="D357" t="inlineStr">
        <is>
          <t>STOCKHOLMS LÄN</t>
        </is>
      </c>
      <c r="E357" t="inlineStr">
        <is>
          <t>NORRTÄLJE</t>
        </is>
      </c>
      <c r="G357" t="n">
        <v>6.1</v>
      </c>
      <c r="H357" t="n">
        <v>0</v>
      </c>
      <c r="I357" t="n">
        <v>0</v>
      </c>
      <c r="J357" t="n">
        <v>0</v>
      </c>
      <c r="K357" t="n">
        <v>0</v>
      </c>
      <c r="L357" t="n">
        <v>0</v>
      </c>
      <c r="M357" t="n">
        <v>0</v>
      </c>
      <c r="N357" t="n">
        <v>0</v>
      </c>
      <c r="O357" t="n">
        <v>0</v>
      </c>
      <c r="P357" t="n">
        <v>0</v>
      </c>
      <c r="Q357" t="n">
        <v>0</v>
      </c>
      <c r="R357" s="2" t="inlineStr"/>
    </row>
    <row r="358" ht="15" customHeight="1">
      <c r="A358" t="inlineStr">
        <is>
          <t>A 7429-2019</t>
        </is>
      </c>
      <c r="B358" s="1" t="n">
        <v>43497</v>
      </c>
      <c r="C358" s="1" t="n">
        <v>45343</v>
      </c>
      <c r="D358" t="inlineStr">
        <is>
          <t>STOCKHOLMS LÄN</t>
        </is>
      </c>
      <c r="E358" t="inlineStr">
        <is>
          <t>NORRTÄLJE</t>
        </is>
      </c>
      <c r="G358" t="n">
        <v>2.2</v>
      </c>
      <c r="H358" t="n">
        <v>0</v>
      </c>
      <c r="I358" t="n">
        <v>0</v>
      </c>
      <c r="J358" t="n">
        <v>0</v>
      </c>
      <c r="K358" t="n">
        <v>0</v>
      </c>
      <c r="L358" t="n">
        <v>0</v>
      </c>
      <c r="M358" t="n">
        <v>0</v>
      </c>
      <c r="N358" t="n">
        <v>0</v>
      </c>
      <c r="O358" t="n">
        <v>0</v>
      </c>
      <c r="P358" t="n">
        <v>0</v>
      </c>
      <c r="Q358" t="n">
        <v>0</v>
      </c>
      <c r="R358" s="2" t="inlineStr"/>
    </row>
    <row r="359" ht="15" customHeight="1">
      <c r="A359" t="inlineStr">
        <is>
          <t>A 7579-2019</t>
        </is>
      </c>
      <c r="B359" s="1" t="n">
        <v>43498</v>
      </c>
      <c r="C359" s="1" t="n">
        <v>45343</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7608-2019</t>
        </is>
      </c>
      <c r="B360" s="1" t="n">
        <v>43499</v>
      </c>
      <c r="C360" s="1" t="n">
        <v>45343</v>
      </c>
      <c r="D360" t="inlineStr">
        <is>
          <t>STOCKHOLMS LÄN</t>
        </is>
      </c>
      <c r="E360" t="inlineStr">
        <is>
          <t>NORRTÄLJE</t>
        </is>
      </c>
      <c r="G360" t="n">
        <v>10</v>
      </c>
      <c r="H360" t="n">
        <v>0</v>
      </c>
      <c r="I360" t="n">
        <v>0</v>
      </c>
      <c r="J360" t="n">
        <v>0</v>
      </c>
      <c r="K360" t="n">
        <v>0</v>
      </c>
      <c r="L360" t="n">
        <v>0</v>
      </c>
      <c r="M360" t="n">
        <v>0</v>
      </c>
      <c r="N360" t="n">
        <v>0</v>
      </c>
      <c r="O360" t="n">
        <v>0</v>
      </c>
      <c r="P360" t="n">
        <v>0</v>
      </c>
      <c r="Q360" t="n">
        <v>0</v>
      </c>
      <c r="R360" s="2" t="inlineStr"/>
    </row>
    <row r="361" ht="15" customHeight="1">
      <c r="A361" t="inlineStr">
        <is>
          <t>A 7606-2019</t>
        </is>
      </c>
      <c r="B361" s="1" t="n">
        <v>43499</v>
      </c>
      <c r="C361" s="1" t="n">
        <v>45343</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7607-2019</t>
        </is>
      </c>
      <c r="B362" s="1" t="n">
        <v>43499</v>
      </c>
      <c r="C362" s="1" t="n">
        <v>45343</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7650-2019</t>
        </is>
      </c>
      <c r="B363" s="1" t="n">
        <v>43500</v>
      </c>
      <c r="C363" s="1" t="n">
        <v>45343</v>
      </c>
      <c r="D363" t="inlineStr">
        <is>
          <t>STOCKHOLMS LÄN</t>
        </is>
      </c>
      <c r="E363" t="inlineStr">
        <is>
          <t>NORRTÄLJE</t>
        </is>
      </c>
      <c r="F363" t="inlineStr">
        <is>
          <t>Övriga Aktiebolag</t>
        </is>
      </c>
      <c r="G363" t="n">
        <v>3.8</v>
      </c>
      <c r="H363" t="n">
        <v>0</v>
      </c>
      <c r="I363" t="n">
        <v>0</v>
      </c>
      <c r="J363" t="n">
        <v>0</v>
      </c>
      <c r="K363" t="n">
        <v>0</v>
      </c>
      <c r="L363" t="n">
        <v>0</v>
      </c>
      <c r="M363" t="n">
        <v>0</v>
      </c>
      <c r="N363" t="n">
        <v>0</v>
      </c>
      <c r="O363" t="n">
        <v>0</v>
      </c>
      <c r="P363" t="n">
        <v>0</v>
      </c>
      <c r="Q363" t="n">
        <v>0</v>
      </c>
      <c r="R363" s="2" t="inlineStr"/>
    </row>
    <row r="364" ht="15" customHeight="1">
      <c r="A364" t="inlineStr">
        <is>
          <t>A 8039-2019</t>
        </is>
      </c>
      <c r="B364" s="1" t="n">
        <v>43501</v>
      </c>
      <c r="C364" s="1" t="n">
        <v>45343</v>
      </c>
      <c r="D364" t="inlineStr">
        <is>
          <t>STOCKHOLMS LÄN</t>
        </is>
      </c>
      <c r="E364" t="inlineStr">
        <is>
          <t>NORRTÄLJE</t>
        </is>
      </c>
      <c r="G364" t="n">
        <v>16.8</v>
      </c>
      <c r="H364" t="n">
        <v>0</v>
      </c>
      <c r="I364" t="n">
        <v>0</v>
      </c>
      <c r="J364" t="n">
        <v>0</v>
      </c>
      <c r="K364" t="n">
        <v>0</v>
      </c>
      <c r="L364" t="n">
        <v>0</v>
      </c>
      <c r="M364" t="n">
        <v>0</v>
      </c>
      <c r="N364" t="n">
        <v>0</v>
      </c>
      <c r="O364" t="n">
        <v>0</v>
      </c>
      <c r="P364" t="n">
        <v>0</v>
      </c>
      <c r="Q364" t="n">
        <v>0</v>
      </c>
      <c r="R364" s="2" t="inlineStr"/>
    </row>
    <row r="365" ht="15" customHeight="1">
      <c r="A365" t="inlineStr">
        <is>
          <t>A 8256-2019</t>
        </is>
      </c>
      <c r="B365" s="1" t="n">
        <v>43501</v>
      </c>
      <c r="C365" s="1" t="n">
        <v>45343</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8452-2019</t>
        </is>
      </c>
      <c r="B366" s="1" t="n">
        <v>43502</v>
      </c>
      <c r="C366" s="1" t="n">
        <v>45343</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8586-2019</t>
        </is>
      </c>
      <c r="B367" s="1" t="n">
        <v>43502</v>
      </c>
      <c r="C367" s="1" t="n">
        <v>45343</v>
      </c>
      <c r="D367" t="inlineStr">
        <is>
          <t>STOCKHOLMS LÄN</t>
        </is>
      </c>
      <c r="E367" t="inlineStr">
        <is>
          <t>NORRTÄLJE</t>
        </is>
      </c>
      <c r="G367" t="n">
        <v>12.4</v>
      </c>
      <c r="H367" t="n">
        <v>0</v>
      </c>
      <c r="I367" t="n">
        <v>0</v>
      </c>
      <c r="J367" t="n">
        <v>0</v>
      </c>
      <c r="K367" t="n">
        <v>0</v>
      </c>
      <c r="L367" t="n">
        <v>0</v>
      </c>
      <c r="M367" t="n">
        <v>0</v>
      </c>
      <c r="N367" t="n">
        <v>0</v>
      </c>
      <c r="O367" t="n">
        <v>0</v>
      </c>
      <c r="P367" t="n">
        <v>0</v>
      </c>
      <c r="Q367" t="n">
        <v>0</v>
      </c>
      <c r="R367" s="2" t="inlineStr"/>
    </row>
    <row r="368" ht="15" customHeight="1">
      <c r="A368" t="inlineStr">
        <is>
          <t>A 8574-2019</t>
        </is>
      </c>
      <c r="B368" s="1" t="n">
        <v>43502</v>
      </c>
      <c r="C368" s="1" t="n">
        <v>45343</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8678-2019</t>
        </is>
      </c>
      <c r="B369" s="1" t="n">
        <v>43503</v>
      </c>
      <c r="C369" s="1" t="n">
        <v>45343</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8701-2019</t>
        </is>
      </c>
      <c r="B370" s="1" t="n">
        <v>43503</v>
      </c>
      <c r="C370" s="1" t="n">
        <v>45343</v>
      </c>
      <c r="D370" t="inlineStr">
        <is>
          <t>STOCKHOLMS LÄN</t>
        </is>
      </c>
      <c r="E370" t="inlineStr">
        <is>
          <t>NORRTÄLJE</t>
        </is>
      </c>
      <c r="G370" t="n">
        <v>15.3</v>
      </c>
      <c r="H370" t="n">
        <v>0</v>
      </c>
      <c r="I370" t="n">
        <v>0</v>
      </c>
      <c r="J370" t="n">
        <v>0</v>
      </c>
      <c r="K370" t="n">
        <v>0</v>
      </c>
      <c r="L370" t="n">
        <v>0</v>
      </c>
      <c r="M370" t="n">
        <v>0</v>
      </c>
      <c r="N370" t="n">
        <v>0</v>
      </c>
      <c r="O370" t="n">
        <v>0</v>
      </c>
      <c r="P370" t="n">
        <v>0</v>
      </c>
      <c r="Q370" t="n">
        <v>0</v>
      </c>
      <c r="R370" s="2" t="inlineStr"/>
    </row>
    <row r="371" ht="15" customHeight="1">
      <c r="A371" t="inlineStr">
        <is>
          <t>A 8719-2019</t>
        </is>
      </c>
      <c r="B371" s="1" t="n">
        <v>43503</v>
      </c>
      <c r="C371" s="1" t="n">
        <v>45343</v>
      </c>
      <c r="D371" t="inlineStr">
        <is>
          <t>STOCKHOLMS LÄN</t>
        </is>
      </c>
      <c r="E371" t="inlineStr">
        <is>
          <t>NORRTÄLJE</t>
        </is>
      </c>
      <c r="G371" t="n">
        <v>1.9</v>
      </c>
      <c r="H371" t="n">
        <v>0</v>
      </c>
      <c r="I371" t="n">
        <v>0</v>
      </c>
      <c r="J371" t="n">
        <v>0</v>
      </c>
      <c r="K371" t="n">
        <v>0</v>
      </c>
      <c r="L371" t="n">
        <v>0</v>
      </c>
      <c r="M371" t="n">
        <v>0</v>
      </c>
      <c r="N371" t="n">
        <v>0</v>
      </c>
      <c r="O371" t="n">
        <v>0</v>
      </c>
      <c r="P371" t="n">
        <v>0</v>
      </c>
      <c r="Q371" t="n">
        <v>0</v>
      </c>
      <c r="R371" s="2" t="inlineStr"/>
    </row>
    <row r="372" ht="15" customHeight="1">
      <c r="A372" t="inlineStr">
        <is>
          <t>A 8721-2019</t>
        </is>
      </c>
      <c r="B372" s="1" t="n">
        <v>43503</v>
      </c>
      <c r="C372" s="1" t="n">
        <v>45343</v>
      </c>
      <c r="D372" t="inlineStr">
        <is>
          <t>STOCKHOLMS LÄN</t>
        </is>
      </c>
      <c r="E372" t="inlineStr">
        <is>
          <t>NORRTÄLJE</t>
        </is>
      </c>
      <c r="G372" t="n">
        <v>5.2</v>
      </c>
      <c r="H372" t="n">
        <v>0</v>
      </c>
      <c r="I372" t="n">
        <v>0</v>
      </c>
      <c r="J372" t="n">
        <v>0</v>
      </c>
      <c r="K372" t="n">
        <v>0</v>
      </c>
      <c r="L372" t="n">
        <v>0</v>
      </c>
      <c r="M372" t="n">
        <v>0</v>
      </c>
      <c r="N372" t="n">
        <v>0</v>
      </c>
      <c r="O372" t="n">
        <v>0</v>
      </c>
      <c r="P372" t="n">
        <v>0</v>
      </c>
      <c r="Q372" t="n">
        <v>0</v>
      </c>
      <c r="R372" s="2" t="inlineStr"/>
    </row>
    <row r="373" ht="15" customHeight="1">
      <c r="A373" t="inlineStr">
        <is>
          <t>A 8818-2019</t>
        </is>
      </c>
      <c r="B373" s="1" t="n">
        <v>43503</v>
      </c>
      <c r="C373" s="1" t="n">
        <v>45343</v>
      </c>
      <c r="D373" t="inlineStr">
        <is>
          <t>STOCKHOLMS LÄN</t>
        </is>
      </c>
      <c r="E373" t="inlineStr">
        <is>
          <t>NORRTÄLJE</t>
        </is>
      </c>
      <c r="F373" t="inlineStr">
        <is>
          <t>Övriga statliga verk och myndigheter</t>
        </is>
      </c>
      <c r="G373" t="n">
        <v>2.7</v>
      </c>
      <c r="H373" t="n">
        <v>0</v>
      </c>
      <c r="I373" t="n">
        <v>0</v>
      </c>
      <c r="J373" t="n">
        <v>0</v>
      </c>
      <c r="K373" t="n">
        <v>0</v>
      </c>
      <c r="L373" t="n">
        <v>0</v>
      </c>
      <c r="M373" t="n">
        <v>0</v>
      </c>
      <c r="N373" t="n">
        <v>0</v>
      </c>
      <c r="O373" t="n">
        <v>0</v>
      </c>
      <c r="P373" t="n">
        <v>0</v>
      </c>
      <c r="Q373" t="n">
        <v>0</v>
      </c>
      <c r="R373" s="2" t="inlineStr"/>
    </row>
    <row r="374" ht="15" customHeight="1">
      <c r="A374" t="inlineStr">
        <is>
          <t>A 8692-2019</t>
        </is>
      </c>
      <c r="B374" s="1" t="n">
        <v>43503</v>
      </c>
      <c r="C374" s="1" t="n">
        <v>45343</v>
      </c>
      <c r="D374" t="inlineStr">
        <is>
          <t>STOCKHOLMS LÄN</t>
        </is>
      </c>
      <c r="E374" t="inlineStr">
        <is>
          <t>NORRTÄLJE</t>
        </is>
      </c>
      <c r="G374" t="n">
        <v>6.8</v>
      </c>
      <c r="H374" t="n">
        <v>0</v>
      </c>
      <c r="I374" t="n">
        <v>0</v>
      </c>
      <c r="J374" t="n">
        <v>0</v>
      </c>
      <c r="K374" t="n">
        <v>0</v>
      </c>
      <c r="L374" t="n">
        <v>0</v>
      </c>
      <c r="M374" t="n">
        <v>0</v>
      </c>
      <c r="N374" t="n">
        <v>0</v>
      </c>
      <c r="O374" t="n">
        <v>0</v>
      </c>
      <c r="P374" t="n">
        <v>0</v>
      </c>
      <c r="Q374" t="n">
        <v>0</v>
      </c>
      <c r="R374" s="2" t="inlineStr"/>
    </row>
    <row r="375" ht="15" customHeight="1">
      <c r="A375" t="inlineStr">
        <is>
          <t>A 9090-2019</t>
        </is>
      </c>
      <c r="B375" s="1" t="n">
        <v>43504</v>
      </c>
      <c r="C375" s="1" t="n">
        <v>45343</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9154-2019</t>
        </is>
      </c>
      <c r="B376" s="1" t="n">
        <v>43504</v>
      </c>
      <c r="C376" s="1" t="n">
        <v>45343</v>
      </c>
      <c r="D376" t="inlineStr">
        <is>
          <t>STOCKHOLMS LÄN</t>
        </is>
      </c>
      <c r="E376" t="inlineStr">
        <is>
          <t>NORRTÄLJE</t>
        </is>
      </c>
      <c r="G376" t="n">
        <v>2.9</v>
      </c>
      <c r="H376" t="n">
        <v>0</v>
      </c>
      <c r="I376" t="n">
        <v>0</v>
      </c>
      <c r="J376" t="n">
        <v>0</v>
      </c>
      <c r="K376" t="n">
        <v>0</v>
      </c>
      <c r="L376" t="n">
        <v>0</v>
      </c>
      <c r="M376" t="n">
        <v>0</v>
      </c>
      <c r="N376" t="n">
        <v>0</v>
      </c>
      <c r="O376" t="n">
        <v>0</v>
      </c>
      <c r="P376" t="n">
        <v>0</v>
      </c>
      <c r="Q376" t="n">
        <v>0</v>
      </c>
      <c r="R376" s="2" t="inlineStr"/>
    </row>
    <row r="377" ht="15" customHeight="1">
      <c r="A377" t="inlineStr">
        <is>
          <t>A 9216-2019</t>
        </is>
      </c>
      <c r="B377" s="1" t="n">
        <v>43506</v>
      </c>
      <c r="C377" s="1" t="n">
        <v>45343</v>
      </c>
      <c r="D377" t="inlineStr">
        <is>
          <t>STOCKHOLMS LÄN</t>
        </is>
      </c>
      <c r="E377" t="inlineStr">
        <is>
          <t>NORRTÄLJE</t>
        </is>
      </c>
      <c r="G377" t="n">
        <v>3.8</v>
      </c>
      <c r="H377" t="n">
        <v>0</v>
      </c>
      <c r="I377" t="n">
        <v>0</v>
      </c>
      <c r="J377" t="n">
        <v>0</v>
      </c>
      <c r="K377" t="n">
        <v>0</v>
      </c>
      <c r="L377" t="n">
        <v>0</v>
      </c>
      <c r="M377" t="n">
        <v>0</v>
      </c>
      <c r="N377" t="n">
        <v>0</v>
      </c>
      <c r="O377" t="n">
        <v>0</v>
      </c>
      <c r="P377" t="n">
        <v>0</v>
      </c>
      <c r="Q377" t="n">
        <v>0</v>
      </c>
      <c r="R377" s="2" t="inlineStr"/>
    </row>
    <row r="378" ht="15" customHeight="1">
      <c r="A378" t="inlineStr">
        <is>
          <t>A 9452-2019</t>
        </is>
      </c>
      <c r="B378" s="1" t="n">
        <v>43507</v>
      </c>
      <c r="C378" s="1" t="n">
        <v>45343</v>
      </c>
      <c r="D378" t="inlineStr">
        <is>
          <t>STOCKHOLMS LÄN</t>
        </is>
      </c>
      <c r="E378" t="inlineStr">
        <is>
          <t>NORRTÄLJE</t>
        </is>
      </c>
      <c r="G378" t="n">
        <v>4.2</v>
      </c>
      <c r="H378" t="n">
        <v>0</v>
      </c>
      <c r="I378" t="n">
        <v>0</v>
      </c>
      <c r="J378" t="n">
        <v>0</v>
      </c>
      <c r="K378" t="n">
        <v>0</v>
      </c>
      <c r="L378" t="n">
        <v>0</v>
      </c>
      <c r="M378" t="n">
        <v>0</v>
      </c>
      <c r="N378" t="n">
        <v>0</v>
      </c>
      <c r="O378" t="n">
        <v>0</v>
      </c>
      <c r="P378" t="n">
        <v>0</v>
      </c>
      <c r="Q378" t="n">
        <v>0</v>
      </c>
      <c r="R378" s="2" t="inlineStr"/>
    </row>
    <row r="379" ht="15" customHeight="1">
      <c r="A379" t="inlineStr">
        <is>
          <t>A 9507-2019</t>
        </is>
      </c>
      <c r="B379" s="1" t="n">
        <v>43507</v>
      </c>
      <c r="C379" s="1" t="n">
        <v>45343</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9500-2019</t>
        </is>
      </c>
      <c r="B380" s="1" t="n">
        <v>43507</v>
      </c>
      <c r="C380" s="1" t="n">
        <v>45343</v>
      </c>
      <c r="D380" t="inlineStr">
        <is>
          <t>STOCKHOLMS LÄN</t>
        </is>
      </c>
      <c r="E380" t="inlineStr">
        <is>
          <t>NORRTÄLJE</t>
        </is>
      </c>
      <c r="G380" t="n">
        <v>3.7</v>
      </c>
      <c r="H380" t="n">
        <v>0</v>
      </c>
      <c r="I380" t="n">
        <v>0</v>
      </c>
      <c r="J380" t="n">
        <v>0</v>
      </c>
      <c r="K380" t="n">
        <v>0</v>
      </c>
      <c r="L380" t="n">
        <v>0</v>
      </c>
      <c r="M380" t="n">
        <v>0</v>
      </c>
      <c r="N380" t="n">
        <v>0</v>
      </c>
      <c r="O380" t="n">
        <v>0</v>
      </c>
      <c r="P380" t="n">
        <v>0</v>
      </c>
      <c r="Q380" t="n">
        <v>0</v>
      </c>
      <c r="R380" s="2" t="inlineStr"/>
    </row>
    <row r="381" ht="15" customHeight="1">
      <c r="A381" t="inlineStr">
        <is>
          <t>A 9505-2019</t>
        </is>
      </c>
      <c r="B381" s="1" t="n">
        <v>43507</v>
      </c>
      <c r="C381" s="1" t="n">
        <v>45343</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9462-2019</t>
        </is>
      </c>
      <c r="B382" s="1" t="n">
        <v>43507</v>
      </c>
      <c r="C382" s="1" t="n">
        <v>45343</v>
      </c>
      <c r="D382" t="inlineStr">
        <is>
          <t>STOCKHOLMS LÄN</t>
        </is>
      </c>
      <c r="E382" t="inlineStr">
        <is>
          <t>NORRTÄLJE</t>
        </is>
      </c>
      <c r="G382" t="n">
        <v>4.4</v>
      </c>
      <c r="H382" t="n">
        <v>0</v>
      </c>
      <c r="I382" t="n">
        <v>0</v>
      </c>
      <c r="J382" t="n">
        <v>0</v>
      </c>
      <c r="K382" t="n">
        <v>0</v>
      </c>
      <c r="L382" t="n">
        <v>0</v>
      </c>
      <c r="M382" t="n">
        <v>0</v>
      </c>
      <c r="N382" t="n">
        <v>0</v>
      </c>
      <c r="O382" t="n">
        <v>0</v>
      </c>
      <c r="P382" t="n">
        <v>0</v>
      </c>
      <c r="Q382" t="n">
        <v>0</v>
      </c>
      <c r="R382" s="2" t="inlineStr"/>
    </row>
    <row r="383" ht="15" customHeight="1">
      <c r="A383" t="inlineStr">
        <is>
          <t>A 9504-2019</t>
        </is>
      </c>
      <c r="B383" s="1" t="n">
        <v>43507</v>
      </c>
      <c r="C383" s="1" t="n">
        <v>45343</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9447-2019</t>
        </is>
      </c>
      <c r="B384" s="1" t="n">
        <v>43507</v>
      </c>
      <c r="C384" s="1" t="n">
        <v>45343</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9506-2019</t>
        </is>
      </c>
      <c r="B385" s="1" t="n">
        <v>43507</v>
      </c>
      <c r="C385" s="1" t="n">
        <v>45343</v>
      </c>
      <c r="D385" t="inlineStr">
        <is>
          <t>STOCKHOLMS LÄN</t>
        </is>
      </c>
      <c r="E385" t="inlineStr">
        <is>
          <t>NORRTÄLJE</t>
        </is>
      </c>
      <c r="G385" t="n">
        <v>3.7</v>
      </c>
      <c r="H385" t="n">
        <v>0</v>
      </c>
      <c r="I385" t="n">
        <v>0</v>
      </c>
      <c r="J385" t="n">
        <v>0</v>
      </c>
      <c r="K385" t="n">
        <v>0</v>
      </c>
      <c r="L385" t="n">
        <v>0</v>
      </c>
      <c r="M385" t="n">
        <v>0</v>
      </c>
      <c r="N385" t="n">
        <v>0</v>
      </c>
      <c r="O385" t="n">
        <v>0</v>
      </c>
      <c r="P385" t="n">
        <v>0</v>
      </c>
      <c r="Q385" t="n">
        <v>0</v>
      </c>
      <c r="R385" s="2" t="inlineStr"/>
    </row>
    <row r="386" ht="15" customHeight="1">
      <c r="A386" t="inlineStr">
        <is>
          <t>A 9432-2019</t>
        </is>
      </c>
      <c r="B386" s="1" t="n">
        <v>43507</v>
      </c>
      <c r="C386" s="1" t="n">
        <v>45343</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9712-2019</t>
        </is>
      </c>
      <c r="B387" s="1" t="n">
        <v>43508</v>
      </c>
      <c r="C387" s="1" t="n">
        <v>45343</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9577-2019</t>
        </is>
      </c>
      <c r="B388" s="1" t="n">
        <v>43508</v>
      </c>
      <c r="C388" s="1" t="n">
        <v>45343</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9687-2019</t>
        </is>
      </c>
      <c r="B389" s="1" t="n">
        <v>43508</v>
      </c>
      <c r="C389" s="1" t="n">
        <v>45343</v>
      </c>
      <c r="D389" t="inlineStr">
        <is>
          <t>STOCKHOLMS LÄN</t>
        </is>
      </c>
      <c r="E389" t="inlineStr">
        <is>
          <t>NORRTÄLJE</t>
        </is>
      </c>
      <c r="F389" t="inlineStr">
        <is>
          <t>Övriga statliga verk och myndigheter</t>
        </is>
      </c>
      <c r="G389" t="n">
        <v>10</v>
      </c>
      <c r="H389" t="n">
        <v>0</v>
      </c>
      <c r="I389" t="n">
        <v>0</v>
      </c>
      <c r="J389" t="n">
        <v>0</v>
      </c>
      <c r="K389" t="n">
        <v>0</v>
      </c>
      <c r="L389" t="n">
        <v>0</v>
      </c>
      <c r="M389" t="n">
        <v>0</v>
      </c>
      <c r="N389" t="n">
        <v>0</v>
      </c>
      <c r="O389" t="n">
        <v>0</v>
      </c>
      <c r="P389" t="n">
        <v>0</v>
      </c>
      <c r="Q389" t="n">
        <v>0</v>
      </c>
      <c r="R389" s="2" t="inlineStr"/>
    </row>
    <row r="390" ht="15" customHeight="1">
      <c r="A390" t="inlineStr">
        <is>
          <t>A 9693-2019</t>
        </is>
      </c>
      <c r="B390" s="1" t="n">
        <v>43508</v>
      </c>
      <c r="C390" s="1" t="n">
        <v>45343</v>
      </c>
      <c r="D390" t="inlineStr">
        <is>
          <t>STOCKHOLMS LÄN</t>
        </is>
      </c>
      <c r="E390" t="inlineStr">
        <is>
          <t>NORRTÄLJE</t>
        </is>
      </c>
      <c r="F390" t="inlineStr">
        <is>
          <t>Övriga statliga verk och myndigheter</t>
        </is>
      </c>
      <c r="G390" t="n">
        <v>3</v>
      </c>
      <c r="H390" t="n">
        <v>0</v>
      </c>
      <c r="I390" t="n">
        <v>0</v>
      </c>
      <c r="J390" t="n">
        <v>0</v>
      </c>
      <c r="K390" t="n">
        <v>0</v>
      </c>
      <c r="L390" t="n">
        <v>0</v>
      </c>
      <c r="M390" t="n">
        <v>0</v>
      </c>
      <c r="N390" t="n">
        <v>0</v>
      </c>
      <c r="O390" t="n">
        <v>0</v>
      </c>
      <c r="P390" t="n">
        <v>0</v>
      </c>
      <c r="Q390" t="n">
        <v>0</v>
      </c>
      <c r="R390" s="2" t="inlineStr"/>
    </row>
    <row r="391" ht="15" customHeight="1">
      <c r="A391" t="inlineStr">
        <is>
          <t>A 9927-2019</t>
        </is>
      </c>
      <c r="B391" s="1" t="n">
        <v>43509</v>
      </c>
      <c r="C391" s="1" t="n">
        <v>45343</v>
      </c>
      <c r="D391" t="inlineStr">
        <is>
          <t>STOCKHOLMS LÄN</t>
        </is>
      </c>
      <c r="E391" t="inlineStr">
        <is>
          <t>NORRTÄLJE</t>
        </is>
      </c>
      <c r="G391" t="n">
        <v>3.7</v>
      </c>
      <c r="H391" t="n">
        <v>0</v>
      </c>
      <c r="I391" t="n">
        <v>0</v>
      </c>
      <c r="J391" t="n">
        <v>0</v>
      </c>
      <c r="K391" t="n">
        <v>0</v>
      </c>
      <c r="L391" t="n">
        <v>0</v>
      </c>
      <c r="M391" t="n">
        <v>0</v>
      </c>
      <c r="N391" t="n">
        <v>0</v>
      </c>
      <c r="O391" t="n">
        <v>0</v>
      </c>
      <c r="P391" t="n">
        <v>0</v>
      </c>
      <c r="Q391" t="n">
        <v>0</v>
      </c>
      <c r="R391" s="2" t="inlineStr"/>
    </row>
    <row r="392" ht="15" customHeight="1">
      <c r="A392" t="inlineStr">
        <is>
          <t>A 10062-2019</t>
        </is>
      </c>
      <c r="B392" s="1" t="n">
        <v>43510</v>
      </c>
      <c r="C392" s="1" t="n">
        <v>45343</v>
      </c>
      <c r="D392" t="inlineStr">
        <is>
          <t>STOCKHOLMS LÄN</t>
        </is>
      </c>
      <c r="E392" t="inlineStr">
        <is>
          <t>NORRTÄLJE</t>
        </is>
      </c>
      <c r="G392" t="n">
        <v>1.7</v>
      </c>
      <c r="H392" t="n">
        <v>0</v>
      </c>
      <c r="I392" t="n">
        <v>0</v>
      </c>
      <c r="J392" t="n">
        <v>0</v>
      </c>
      <c r="K392" t="n">
        <v>0</v>
      </c>
      <c r="L392" t="n">
        <v>0</v>
      </c>
      <c r="M392" t="n">
        <v>0</v>
      </c>
      <c r="N392" t="n">
        <v>0</v>
      </c>
      <c r="O392" t="n">
        <v>0</v>
      </c>
      <c r="P392" t="n">
        <v>0</v>
      </c>
      <c r="Q392" t="n">
        <v>0</v>
      </c>
      <c r="R392" s="2" t="inlineStr"/>
    </row>
    <row r="393" ht="15" customHeight="1">
      <c r="A393" t="inlineStr">
        <is>
          <t>A 10207-2019</t>
        </is>
      </c>
      <c r="B393" s="1" t="n">
        <v>43510</v>
      </c>
      <c r="C393" s="1" t="n">
        <v>45343</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10150-2019</t>
        </is>
      </c>
      <c r="B394" s="1" t="n">
        <v>43510</v>
      </c>
      <c r="C394" s="1" t="n">
        <v>45343</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10225-2019</t>
        </is>
      </c>
      <c r="B395" s="1" t="n">
        <v>43510</v>
      </c>
      <c r="C395" s="1" t="n">
        <v>45343</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10100-2019</t>
        </is>
      </c>
      <c r="B396" s="1" t="n">
        <v>43510</v>
      </c>
      <c r="C396" s="1" t="n">
        <v>45343</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10055-2019</t>
        </is>
      </c>
      <c r="B397" s="1" t="n">
        <v>43510</v>
      </c>
      <c r="C397" s="1" t="n">
        <v>45343</v>
      </c>
      <c r="D397" t="inlineStr">
        <is>
          <t>STOCKHOLMS LÄN</t>
        </is>
      </c>
      <c r="E397" t="inlineStr">
        <is>
          <t>NORRTÄLJE</t>
        </is>
      </c>
      <c r="G397" t="n">
        <v>3.2</v>
      </c>
      <c r="H397" t="n">
        <v>0</v>
      </c>
      <c r="I397" t="n">
        <v>0</v>
      </c>
      <c r="J397" t="n">
        <v>0</v>
      </c>
      <c r="K397" t="n">
        <v>0</v>
      </c>
      <c r="L397" t="n">
        <v>0</v>
      </c>
      <c r="M397" t="n">
        <v>0</v>
      </c>
      <c r="N397" t="n">
        <v>0</v>
      </c>
      <c r="O397" t="n">
        <v>0</v>
      </c>
      <c r="P397" t="n">
        <v>0</v>
      </c>
      <c r="Q397" t="n">
        <v>0</v>
      </c>
      <c r="R397" s="2" t="inlineStr"/>
    </row>
    <row r="398" ht="15" customHeight="1">
      <c r="A398" t="inlineStr">
        <is>
          <t>A 10049-2019</t>
        </is>
      </c>
      <c r="B398" s="1" t="n">
        <v>43510</v>
      </c>
      <c r="C398" s="1" t="n">
        <v>45343</v>
      </c>
      <c r="D398" t="inlineStr">
        <is>
          <t>STOCKHOLMS LÄN</t>
        </is>
      </c>
      <c r="E398" t="inlineStr">
        <is>
          <t>NORRTÄLJE</t>
        </is>
      </c>
      <c r="G398" t="n">
        <v>3.8</v>
      </c>
      <c r="H398" t="n">
        <v>0</v>
      </c>
      <c r="I398" t="n">
        <v>0</v>
      </c>
      <c r="J398" t="n">
        <v>0</v>
      </c>
      <c r="K398" t="n">
        <v>0</v>
      </c>
      <c r="L398" t="n">
        <v>0</v>
      </c>
      <c r="M398" t="n">
        <v>0</v>
      </c>
      <c r="N398" t="n">
        <v>0</v>
      </c>
      <c r="O398" t="n">
        <v>0</v>
      </c>
      <c r="P398" t="n">
        <v>0</v>
      </c>
      <c r="Q398" t="n">
        <v>0</v>
      </c>
      <c r="R398" s="2" t="inlineStr"/>
    </row>
    <row r="399" ht="15" customHeight="1">
      <c r="A399" t="inlineStr">
        <is>
          <t>A 10168-2019</t>
        </is>
      </c>
      <c r="B399" s="1" t="n">
        <v>43510</v>
      </c>
      <c r="C399" s="1" t="n">
        <v>45343</v>
      </c>
      <c r="D399" t="inlineStr">
        <is>
          <t>STOCKHOLMS LÄN</t>
        </is>
      </c>
      <c r="E399" t="inlineStr">
        <is>
          <t>NORRTÄLJE</t>
        </is>
      </c>
      <c r="G399" t="n">
        <v>3.4</v>
      </c>
      <c r="H399" t="n">
        <v>0</v>
      </c>
      <c r="I399" t="n">
        <v>0</v>
      </c>
      <c r="J399" t="n">
        <v>0</v>
      </c>
      <c r="K399" t="n">
        <v>0</v>
      </c>
      <c r="L399" t="n">
        <v>0</v>
      </c>
      <c r="M399" t="n">
        <v>0</v>
      </c>
      <c r="N399" t="n">
        <v>0</v>
      </c>
      <c r="O399" t="n">
        <v>0</v>
      </c>
      <c r="P399" t="n">
        <v>0</v>
      </c>
      <c r="Q399" t="n">
        <v>0</v>
      </c>
      <c r="R399" s="2" t="inlineStr"/>
    </row>
    <row r="400" ht="15" customHeight="1">
      <c r="A400" t="inlineStr">
        <is>
          <t>A 10071-2019</t>
        </is>
      </c>
      <c r="B400" s="1" t="n">
        <v>43510</v>
      </c>
      <c r="C400" s="1" t="n">
        <v>45343</v>
      </c>
      <c r="D400" t="inlineStr">
        <is>
          <t>STOCKHOLMS LÄN</t>
        </is>
      </c>
      <c r="E400" t="inlineStr">
        <is>
          <t>NORRTÄLJE</t>
        </is>
      </c>
      <c r="G400" t="n">
        <v>11.8</v>
      </c>
      <c r="H400" t="n">
        <v>0</v>
      </c>
      <c r="I400" t="n">
        <v>0</v>
      </c>
      <c r="J400" t="n">
        <v>0</v>
      </c>
      <c r="K400" t="n">
        <v>0</v>
      </c>
      <c r="L400" t="n">
        <v>0</v>
      </c>
      <c r="M400" t="n">
        <v>0</v>
      </c>
      <c r="N400" t="n">
        <v>0</v>
      </c>
      <c r="O400" t="n">
        <v>0</v>
      </c>
      <c r="P400" t="n">
        <v>0</v>
      </c>
      <c r="Q400" t="n">
        <v>0</v>
      </c>
      <c r="R400" s="2" t="inlineStr"/>
    </row>
    <row r="401" ht="15" customHeight="1">
      <c r="A401" t="inlineStr">
        <is>
          <t>A 10277-2019</t>
        </is>
      </c>
      <c r="B401" s="1" t="n">
        <v>43511</v>
      </c>
      <c r="C401" s="1" t="n">
        <v>45343</v>
      </c>
      <c r="D401" t="inlineStr">
        <is>
          <t>STOCKHOLMS LÄN</t>
        </is>
      </c>
      <c r="E401" t="inlineStr">
        <is>
          <t>NORRTÄLJE</t>
        </is>
      </c>
      <c r="G401" t="n">
        <v>2.7</v>
      </c>
      <c r="H401" t="n">
        <v>0</v>
      </c>
      <c r="I401" t="n">
        <v>0</v>
      </c>
      <c r="J401" t="n">
        <v>0</v>
      </c>
      <c r="K401" t="n">
        <v>0</v>
      </c>
      <c r="L401" t="n">
        <v>0</v>
      </c>
      <c r="M401" t="n">
        <v>0</v>
      </c>
      <c r="N401" t="n">
        <v>0</v>
      </c>
      <c r="O401" t="n">
        <v>0</v>
      </c>
      <c r="P401" t="n">
        <v>0</v>
      </c>
      <c r="Q401" t="n">
        <v>0</v>
      </c>
      <c r="R401" s="2" t="inlineStr"/>
    </row>
    <row r="402" ht="15" customHeight="1">
      <c r="A402" t="inlineStr">
        <is>
          <t>A 10458-2019</t>
        </is>
      </c>
      <c r="B402" s="1" t="n">
        <v>43511</v>
      </c>
      <c r="C402" s="1" t="n">
        <v>45343</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10314-2019</t>
        </is>
      </c>
      <c r="B403" s="1" t="n">
        <v>43511</v>
      </c>
      <c r="C403" s="1" t="n">
        <v>45343</v>
      </c>
      <c r="D403" t="inlineStr">
        <is>
          <t>STOCKHOLMS LÄN</t>
        </is>
      </c>
      <c r="E403" t="inlineStr">
        <is>
          <t>NORRTÄLJE</t>
        </is>
      </c>
      <c r="G403" t="n">
        <v>6.2</v>
      </c>
      <c r="H403" t="n">
        <v>0</v>
      </c>
      <c r="I403" t="n">
        <v>0</v>
      </c>
      <c r="J403" t="n">
        <v>0</v>
      </c>
      <c r="K403" t="n">
        <v>0</v>
      </c>
      <c r="L403" t="n">
        <v>0</v>
      </c>
      <c r="M403" t="n">
        <v>0</v>
      </c>
      <c r="N403" t="n">
        <v>0</v>
      </c>
      <c r="O403" t="n">
        <v>0</v>
      </c>
      <c r="P403" t="n">
        <v>0</v>
      </c>
      <c r="Q403" t="n">
        <v>0</v>
      </c>
      <c r="R403" s="2" t="inlineStr"/>
    </row>
    <row r="404" ht="15" customHeight="1">
      <c r="A404" t="inlineStr">
        <is>
          <t>A 10540-2019</t>
        </is>
      </c>
      <c r="B404" s="1" t="n">
        <v>43511</v>
      </c>
      <c r="C404" s="1" t="n">
        <v>45343</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10504-2019</t>
        </is>
      </c>
      <c r="B405" s="1" t="n">
        <v>43512</v>
      </c>
      <c r="C405" s="1" t="n">
        <v>45343</v>
      </c>
      <c r="D405" t="inlineStr">
        <is>
          <t>STOCKHOLMS LÄN</t>
        </is>
      </c>
      <c r="E405" t="inlineStr">
        <is>
          <t>NORRTÄLJE</t>
        </is>
      </c>
      <c r="G405" t="n">
        <v>2.8</v>
      </c>
      <c r="H405" t="n">
        <v>0</v>
      </c>
      <c r="I405" t="n">
        <v>0</v>
      </c>
      <c r="J405" t="n">
        <v>0</v>
      </c>
      <c r="K405" t="n">
        <v>0</v>
      </c>
      <c r="L405" t="n">
        <v>0</v>
      </c>
      <c r="M405" t="n">
        <v>0</v>
      </c>
      <c r="N405" t="n">
        <v>0</v>
      </c>
      <c r="O405" t="n">
        <v>0</v>
      </c>
      <c r="P405" t="n">
        <v>0</v>
      </c>
      <c r="Q405" t="n">
        <v>0</v>
      </c>
      <c r="R405" s="2" t="inlineStr"/>
    </row>
    <row r="406" ht="15" customHeight="1">
      <c r="A406" t="inlineStr">
        <is>
          <t>A 10794-2019</t>
        </is>
      </c>
      <c r="B406" s="1" t="n">
        <v>43514</v>
      </c>
      <c r="C406" s="1" t="n">
        <v>45343</v>
      </c>
      <c r="D406" t="inlineStr">
        <is>
          <t>STOCKHOLMS LÄN</t>
        </is>
      </c>
      <c r="E406" t="inlineStr">
        <is>
          <t>NORRTÄLJE</t>
        </is>
      </c>
      <c r="G406" t="n">
        <v>11.3</v>
      </c>
      <c r="H406" t="n">
        <v>0</v>
      </c>
      <c r="I406" t="n">
        <v>0</v>
      </c>
      <c r="J406" t="n">
        <v>0</v>
      </c>
      <c r="K406" t="n">
        <v>0</v>
      </c>
      <c r="L406" t="n">
        <v>0</v>
      </c>
      <c r="M406" t="n">
        <v>0</v>
      </c>
      <c r="N406" t="n">
        <v>0</v>
      </c>
      <c r="O406" t="n">
        <v>0</v>
      </c>
      <c r="P406" t="n">
        <v>0</v>
      </c>
      <c r="Q406" t="n">
        <v>0</v>
      </c>
      <c r="R406" s="2" t="inlineStr"/>
    </row>
    <row r="407" ht="15" customHeight="1">
      <c r="A407" t="inlineStr">
        <is>
          <t>A 10542-2019</t>
        </is>
      </c>
      <c r="B407" s="1" t="n">
        <v>43514</v>
      </c>
      <c r="C407" s="1" t="n">
        <v>45343</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10616-2019</t>
        </is>
      </c>
      <c r="B408" s="1" t="n">
        <v>43514</v>
      </c>
      <c r="C408" s="1" t="n">
        <v>45343</v>
      </c>
      <c r="D408" t="inlineStr">
        <is>
          <t>STOCKHOLMS LÄN</t>
        </is>
      </c>
      <c r="E408" t="inlineStr">
        <is>
          <t>NORRTÄLJE</t>
        </is>
      </c>
      <c r="F408" t="inlineStr">
        <is>
          <t>Kommuner</t>
        </is>
      </c>
      <c r="G408" t="n">
        <v>6.2</v>
      </c>
      <c r="H408" t="n">
        <v>0</v>
      </c>
      <c r="I408" t="n">
        <v>0</v>
      </c>
      <c r="J408" t="n">
        <v>0</v>
      </c>
      <c r="K408" t="n">
        <v>0</v>
      </c>
      <c r="L408" t="n">
        <v>0</v>
      </c>
      <c r="M408" t="n">
        <v>0</v>
      </c>
      <c r="N408" t="n">
        <v>0</v>
      </c>
      <c r="O408" t="n">
        <v>0</v>
      </c>
      <c r="P408" t="n">
        <v>0</v>
      </c>
      <c r="Q408" t="n">
        <v>0</v>
      </c>
      <c r="R408" s="2" t="inlineStr"/>
    </row>
    <row r="409" ht="15" customHeight="1">
      <c r="A409" t="inlineStr">
        <is>
          <t>A 10597-2019</t>
        </is>
      </c>
      <c r="B409" s="1" t="n">
        <v>43514</v>
      </c>
      <c r="C409" s="1" t="n">
        <v>45343</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10790-2019</t>
        </is>
      </c>
      <c r="B410" s="1" t="n">
        <v>43514</v>
      </c>
      <c r="C410" s="1" t="n">
        <v>45343</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10904-2019</t>
        </is>
      </c>
      <c r="B411" s="1" t="n">
        <v>43515</v>
      </c>
      <c r="C411" s="1" t="n">
        <v>45343</v>
      </c>
      <c r="D411" t="inlineStr">
        <is>
          <t>STOCKHOLMS LÄN</t>
        </is>
      </c>
      <c r="E411" t="inlineStr">
        <is>
          <t>NORRTÄLJE</t>
        </is>
      </c>
      <c r="G411" t="n">
        <v>5.3</v>
      </c>
      <c r="H411" t="n">
        <v>0</v>
      </c>
      <c r="I411" t="n">
        <v>0</v>
      </c>
      <c r="J411" t="n">
        <v>0</v>
      </c>
      <c r="K411" t="n">
        <v>0</v>
      </c>
      <c r="L411" t="n">
        <v>0</v>
      </c>
      <c r="M411" t="n">
        <v>0</v>
      </c>
      <c r="N411" t="n">
        <v>0</v>
      </c>
      <c r="O411" t="n">
        <v>0</v>
      </c>
      <c r="P411" t="n">
        <v>0</v>
      </c>
      <c r="Q411" t="n">
        <v>0</v>
      </c>
      <c r="R411" s="2" t="inlineStr"/>
    </row>
    <row r="412" ht="15" customHeight="1">
      <c r="A412" t="inlineStr">
        <is>
          <t>A 10960-2019</t>
        </is>
      </c>
      <c r="B412" s="1" t="n">
        <v>43515</v>
      </c>
      <c r="C412" s="1" t="n">
        <v>45343</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11010-2019</t>
        </is>
      </c>
      <c r="B413" s="1" t="n">
        <v>43515</v>
      </c>
      <c r="C413" s="1" t="n">
        <v>45343</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11076-2019</t>
        </is>
      </c>
      <c r="B414" s="1" t="n">
        <v>43515</v>
      </c>
      <c r="C414" s="1" t="n">
        <v>45343</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11031-2019</t>
        </is>
      </c>
      <c r="B415" s="1" t="n">
        <v>43515</v>
      </c>
      <c r="C415" s="1" t="n">
        <v>45343</v>
      </c>
      <c r="D415" t="inlineStr">
        <is>
          <t>STOCKHOLMS LÄN</t>
        </is>
      </c>
      <c r="E415" t="inlineStr">
        <is>
          <t>NORRTÄLJE</t>
        </is>
      </c>
      <c r="F415" t="inlineStr">
        <is>
          <t>Kommuner</t>
        </is>
      </c>
      <c r="G415" t="n">
        <v>0.8</v>
      </c>
      <c r="H415" t="n">
        <v>0</v>
      </c>
      <c r="I415" t="n">
        <v>0</v>
      </c>
      <c r="J415" t="n">
        <v>0</v>
      </c>
      <c r="K415" t="n">
        <v>0</v>
      </c>
      <c r="L415" t="n">
        <v>0</v>
      </c>
      <c r="M415" t="n">
        <v>0</v>
      </c>
      <c r="N415" t="n">
        <v>0</v>
      </c>
      <c r="O415" t="n">
        <v>0</v>
      </c>
      <c r="P415" t="n">
        <v>0</v>
      </c>
      <c r="Q415" t="n">
        <v>0</v>
      </c>
      <c r="R415" s="2" t="inlineStr"/>
    </row>
    <row r="416" ht="15" customHeight="1">
      <c r="A416" t="inlineStr">
        <is>
          <t>A 10987-2019</t>
        </is>
      </c>
      <c r="B416" s="1" t="n">
        <v>43515</v>
      </c>
      <c r="C416" s="1" t="n">
        <v>45343</v>
      </c>
      <c r="D416" t="inlineStr">
        <is>
          <t>STOCKHOLMS LÄN</t>
        </is>
      </c>
      <c r="E416" t="inlineStr">
        <is>
          <t>NORRTÄLJE</t>
        </is>
      </c>
      <c r="G416" t="n">
        <v>33.9</v>
      </c>
      <c r="H416" t="n">
        <v>0</v>
      </c>
      <c r="I416" t="n">
        <v>0</v>
      </c>
      <c r="J416" t="n">
        <v>0</v>
      </c>
      <c r="K416" t="n">
        <v>0</v>
      </c>
      <c r="L416" t="n">
        <v>0</v>
      </c>
      <c r="M416" t="n">
        <v>0</v>
      </c>
      <c r="N416" t="n">
        <v>0</v>
      </c>
      <c r="O416" t="n">
        <v>0</v>
      </c>
      <c r="P416" t="n">
        <v>0</v>
      </c>
      <c r="Q416" t="n">
        <v>0</v>
      </c>
      <c r="R416" s="2" t="inlineStr"/>
    </row>
    <row r="417" ht="15" customHeight="1">
      <c r="A417" t="inlineStr">
        <is>
          <t>A 10934-2019</t>
        </is>
      </c>
      <c r="B417" s="1" t="n">
        <v>43515</v>
      </c>
      <c r="C417" s="1" t="n">
        <v>45343</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11286-2019</t>
        </is>
      </c>
      <c r="B418" s="1" t="n">
        <v>43516</v>
      </c>
      <c r="C418" s="1" t="n">
        <v>45343</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11260-2019</t>
        </is>
      </c>
      <c r="B419" s="1" t="n">
        <v>43516</v>
      </c>
      <c r="C419" s="1" t="n">
        <v>45343</v>
      </c>
      <c r="D419" t="inlineStr">
        <is>
          <t>STOCKHOLMS LÄN</t>
        </is>
      </c>
      <c r="E419" t="inlineStr">
        <is>
          <t>NORRTÄLJE</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11243-2019</t>
        </is>
      </c>
      <c r="B420" s="1" t="n">
        <v>43516</v>
      </c>
      <c r="C420" s="1" t="n">
        <v>45343</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11242-2019</t>
        </is>
      </c>
      <c r="B421" s="1" t="n">
        <v>43516</v>
      </c>
      <c r="C421" s="1" t="n">
        <v>45343</v>
      </c>
      <c r="D421" t="inlineStr">
        <is>
          <t>STOCKHOLMS LÄN</t>
        </is>
      </c>
      <c r="E421" t="inlineStr">
        <is>
          <t>NORRTÄLJE</t>
        </is>
      </c>
      <c r="G421" t="n">
        <v>3.1</v>
      </c>
      <c r="H421" t="n">
        <v>0</v>
      </c>
      <c r="I421" t="n">
        <v>0</v>
      </c>
      <c r="J421" t="n">
        <v>0</v>
      </c>
      <c r="K421" t="n">
        <v>0</v>
      </c>
      <c r="L421" t="n">
        <v>0</v>
      </c>
      <c r="M421" t="n">
        <v>0</v>
      </c>
      <c r="N421" t="n">
        <v>0</v>
      </c>
      <c r="O421" t="n">
        <v>0</v>
      </c>
      <c r="P421" t="n">
        <v>0</v>
      </c>
      <c r="Q421" t="n">
        <v>0</v>
      </c>
      <c r="R421" s="2" t="inlineStr"/>
    </row>
    <row r="422" ht="15" customHeight="1">
      <c r="A422" t="inlineStr">
        <is>
          <t>A 11321-2019</t>
        </is>
      </c>
      <c r="B422" s="1" t="n">
        <v>43517</v>
      </c>
      <c r="C422" s="1" t="n">
        <v>45343</v>
      </c>
      <c r="D422" t="inlineStr">
        <is>
          <t>STOCKHOLMS LÄN</t>
        </is>
      </c>
      <c r="E422" t="inlineStr">
        <is>
          <t>NORRTÄLJE</t>
        </is>
      </c>
      <c r="G422" t="n">
        <v>8.6</v>
      </c>
      <c r="H422" t="n">
        <v>0</v>
      </c>
      <c r="I422" t="n">
        <v>0</v>
      </c>
      <c r="J422" t="n">
        <v>0</v>
      </c>
      <c r="K422" t="n">
        <v>0</v>
      </c>
      <c r="L422" t="n">
        <v>0</v>
      </c>
      <c r="M422" t="n">
        <v>0</v>
      </c>
      <c r="N422" t="n">
        <v>0</v>
      </c>
      <c r="O422" t="n">
        <v>0</v>
      </c>
      <c r="P422" t="n">
        <v>0</v>
      </c>
      <c r="Q422" t="n">
        <v>0</v>
      </c>
      <c r="R422" s="2" t="inlineStr"/>
    </row>
    <row r="423" ht="15" customHeight="1">
      <c r="A423" t="inlineStr">
        <is>
          <t>A 11356-2019</t>
        </is>
      </c>
      <c r="B423" s="1" t="n">
        <v>43517</v>
      </c>
      <c r="C423" s="1" t="n">
        <v>45343</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11361-2019</t>
        </is>
      </c>
      <c r="B424" s="1" t="n">
        <v>43517</v>
      </c>
      <c r="C424" s="1" t="n">
        <v>45343</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11320-2019</t>
        </is>
      </c>
      <c r="B425" s="1" t="n">
        <v>43517</v>
      </c>
      <c r="C425" s="1" t="n">
        <v>45343</v>
      </c>
      <c r="D425" t="inlineStr">
        <is>
          <t>STOCKHOLMS LÄN</t>
        </is>
      </c>
      <c r="E425" t="inlineStr">
        <is>
          <t>NORRTÄLJE</t>
        </is>
      </c>
      <c r="G425" t="n">
        <v>6.7</v>
      </c>
      <c r="H425" t="n">
        <v>0</v>
      </c>
      <c r="I425" t="n">
        <v>0</v>
      </c>
      <c r="J425" t="n">
        <v>0</v>
      </c>
      <c r="K425" t="n">
        <v>0</v>
      </c>
      <c r="L425" t="n">
        <v>0</v>
      </c>
      <c r="M425" t="n">
        <v>0</v>
      </c>
      <c r="N425" t="n">
        <v>0</v>
      </c>
      <c r="O425" t="n">
        <v>0</v>
      </c>
      <c r="P425" t="n">
        <v>0</v>
      </c>
      <c r="Q425" t="n">
        <v>0</v>
      </c>
      <c r="R425" s="2" t="inlineStr"/>
    </row>
    <row r="426" ht="15" customHeight="1">
      <c r="A426" t="inlineStr">
        <is>
          <t>A 11328-2019</t>
        </is>
      </c>
      <c r="B426" s="1" t="n">
        <v>43517</v>
      </c>
      <c r="C426" s="1" t="n">
        <v>45343</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11465-2019</t>
        </is>
      </c>
      <c r="B427" s="1" t="n">
        <v>43517</v>
      </c>
      <c r="C427" s="1" t="n">
        <v>45343</v>
      </c>
      <c r="D427" t="inlineStr">
        <is>
          <t>STOCKHOLMS LÄN</t>
        </is>
      </c>
      <c r="E427" t="inlineStr">
        <is>
          <t>NORRTÄLJE</t>
        </is>
      </c>
      <c r="G427" t="n">
        <v>1.5</v>
      </c>
      <c r="H427" t="n">
        <v>0</v>
      </c>
      <c r="I427" t="n">
        <v>0</v>
      </c>
      <c r="J427" t="n">
        <v>0</v>
      </c>
      <c r="K427" t="n">
        <v>0</v>
      </c>
      <c r="L427" t="n">
        <v>0</v>
      </c>
      <c r="M427" t="n">
        <v>0</v>
      </c>
      <c r="N427" t="n">
        <v>0</v>
      </c>
      <c r="O427" t="n">
        <v>0</v>
      </c>
      <c r="P427" t="n">
        <v>0</v>
      </c>
      <c r="Q427" t="n">
        <v>0</v>
      </c>
      <c r="R427" s="2" t="inlineStr"/>
    </row>
    <row r="428" ht="15" customHeight="1">
      <c r="A428" t="inlineStr">
        <is>
          <t>A 11487-2019</t>
        </is>
      </c>
      <c r="B428" s="1" t="n">
        <v>43517</v>
      </c>
      <c r="C428" s="1" t="n">
        <v>45343</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11430-2019</t>
        </is>
      </c>
      <c r="B429" s="1" t="n">
        <v>43517</v>
      </c>
      <c r="C429" s="1" t="n">
        <v>45343</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11452-2019</t>
        </is>
      </c>
      <c r="B430" s="1" t="n">
        <v>43517</v>
      </c>
      <c r="C430" s="1" t="n">
        <v>45343</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11997-2019</t>
        </is>
      </c>
      <c r="B431" s="1" t="n">
        <v>43521</v>
      </c>
      <c r="C431" s="1" t="n">
        <v>45343</v>
      </c>
      <c r="D431" t="inlineStr">
        <is>
          <t>STOCKHOLMS LÄN</t>
        </is>
      </c>
      <c r="E431" t="inlineStr">
        <is>
          <t>NORRTÄLJE</t>
        </is>
      </c>
      <c r="G431" t="n">
        <v>3.9</v>
      </c>
      <c r="H431" t="n">
        <v>0</v>
      </c>
      <c r="I431" t="n">
        <v>0</v>
      </c>
      <c r="J431" t="n">
        <v>0</v>
      </c>
      <c r="K431" t="n">
        <v>0</v>
      </c>
      <c r="L431" t="n">
        <v>0</v>
      </c>
      <c r="M431" t="n">
        <v>0</v>
      </c>
      <c r="N431" t="n">
        <v>0</v>
      </c>
      <c r="O431" t="n">
        <v>0</v>
      </c>
      <c r="P431" t="n">
        <v>0</v>
      </c>
      <c r="Q431" t="n">
        <v>0</v>
      </c>
      <c r="R431" s="2" t="inlineStr"/>
    </row>
    <row r="432" ht="15" customHeight="1">
      <c r="A432" t="inlineStr">
        <is>
          <t>A 11996-2019</t>
        </is>
      </c>
      <c r="B432" s="1" t="n">
        <v>43521</v>
      </c>
      <c r="C432" s="1" t="n">
        <v>45343</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11992-2019</t>
        </is>
      </c>
      <c r="B433" s="1" t="n">
        <v>43521</v>
      </c>
      <c r="C433" s="1" t="n">
        <v>45343</v>
      </c>
      <c r="D433" t="inlineStr">
        <is>
          <t>STOCKHOLMS LÄN</t>
        </is>
      </c>
      <c r="E433" t="inlineStr">
        <is>
          <t>NORRTÄLJE</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11987-2019</t>
        </is>
      </c>
      <c r="B434" s="1" t="n">
        <v>43521</v>
      </c>
      <c r="C434" s="1" t="n">
        <v>45343</v>
      </c>
      <c r="D434" t="inlineStr">
        <is>
          <t>STOCKHOLMS LÄN</t>
        </is>
      </c>
      <c r="E434" t="inlineStr">
        <is>
          <t>NORRTÄLJE</t>
        </is>
      </c>
      <c r="G434" t="n">
        <v>15.6</v>
      </c>
      <c r="H434" t="n">
        <v>0</v>
      </c>
      <c r="I434" t="n">
        <v>0</v>
      </c>
      <c r="J434" t="n">
        <v>0</v>
      </c>
      <c r="K434" t="n">
        <v>0</v>
      </c>
      <c r="L434" t="n">
        <v>0</v>
      </c>
      <c r="M434" t="n">
        <v>0</v>
      </c>
      <c r="N434" t="n">
        <v>0</v>
      </c>
      <c r="O434" t="n">
        <v>0</v>
      </c>
      <c r="P434" t="n">
        <v>0</v>
      </c>
      <c r="Q434" t="n">
        <v>0</v>
      </c>
      <c r="R434" s="2" t="inlineStr"/>
    </row>
    <row r="435" ht="15" customHeight="1">
      <c r="A435" t="inlineStr">
        <is>
          <t>A 11797-2019</t>
        </is>
      </c>
      <c r="B435" s="1" t="n">
        <v>43521</v>
      </c>
      <c r="C435" s="1" t="n">
        <v>45343</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12061-2019</t>
        </is>
      </c>
      <c r="B436" s="1" t="n">
        <v>43522</v>
      </c>
      <c r="C436" s="1" t="n">
        <v>45343</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12351-2019</t>
        </is>
      </c>
      <c r="B437" s="1" t="n">
        <v>43523</v>
      </c>
      <c r="C437" s="1" t="n">
        <v>45343</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12418-2019</t>
        </is>
      </c>
      <c r="B438" s="1" t="n">
        <v>43523</v>
      </c>
      <c r="C438" s="1" t="n">
        <v>45343</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12668-2019</t>
        </is>
      </c>
      <c r="B439" s="1" t="n">
        <v>43524</v>
      </c>
      <c r="C439" s="1" t="n">
        <v>45343</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12564-2019</t>
        </is>
      </c>
      <c r="B440" s="1" t="n">
        <v>43524</v>
      </c>
      <c r="C440" s="1" t="n">
        <v>45343</v>
      </c>
      <c r="D440" t="inlineStr">
        <is>
          <t>STOCKHOLMS LÄN</t>
        </is>
      </c>
      <c r="E440" t="inlineStr">
        <is>
          <t>NORRTÄLJE</t>
        </is>
      </c>
      <c r="G440" t="n">
        <v>6.8</v>
      </c>
      <c r="H440" t="n">
        <v>0</v>
      </c>
      <c r="I440" t="n">
        <v>0</v>
      </c>
      <c r="J440" t="n">
        <v>0</v>
      </c>
      <c r="K440" t="n">
        <v>0</v>
      </c>
      <c r="L440" t="n">
        <v>0</v>
      </c>
      <c r="M440" t="n">
        <v>0</v>
      </c>
      <c r="N440" t="n">
        <v>0</v>
      </c>
      <c r="O440" t="n">
        <v>0</v>
      </c>
      <c r="P440" t="n">
        <v>0</v>
      </c>
      <c r="Q440" t="n">
        <v>0</v>
      </c>
      <c r="R440" s="2" t="inlineStr"/>
    </row>
    <row r="441" ht="15" customHeight="1">
      <c r="A441" t="inlineStr">
        <is>
          <t>A 12577-2019</t>
        </is>
      </c>
      <c r="B441" s="1" t="n">
        <v>43524</v>
      </c>
      <c r="C441" s="1" t="n">
        <v>45343</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12580-2019</t>
        </is>
      </c>
      <c r="B442" s="1" t="n">
        <v>43524</v>
      </c>
      <c r="C442" s="1" t="n">
        <v>45343</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12569-2019</t>
        </is>
      </c>
      <c r="B443" s="1" t="n">
        <v>43524</v>
      </c>
      <c r="C443" s="1" t="n">
        <v>45343</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12804-2019</t>
        </is>
      </c>
      <c r="B444" s="1" t="n">
        <v>43525</v>
      </c>
      <c r="C444" s="1" t="n">
        <v>45343</v>
      </c>
      <c r="D444" t="inlineStr">
        <is>
          <t>STOCKHOLMS LÄN</t>
        </is>
      </c>
      <c r="E444" t="inlineStr">
        <is>
          <t>NORRTÄLJE</t>
        </is>
      </c>
      <c r="G444" t="n">
        <v>3.4</v>
      </c>
      <c r="H444" t="n">
        <v>0</v>
      </c>
      <c r="I444" t="n">
        <v>0</v>
      </c>
      <c r="J444" t="n">
        <v>0</v>
      </c>
      <c r="K444" t="n">
        <v>0</v>
      </c>
      <c r="L444" t="n">
        <v>0</v>
      </c>
      <c r="M444" t="n">
        <v>0</v>
      </c>
      <c r="N444" t="n">
        <v>0</v>
      </c>
      <c r="O444" t="n">
        <v>0</v>
      </c>
      <c r="P444" t="n">
        <v>0</v>
      </c>
      <c r="Q444" t="n">
        <v>0</v>
      </c>
      <c r="R444" s="2" t="inlineStr"/>
    </row>
    <row r="445" ht="15" customHeight="1">
      <c r="A445" t="inlineStr">
        <is>
          <t>A 12817-2019</t>
        </is>
      </c>
      <c r="B445" s="1" t="n">
        <v>43525</v>
      </c>
      <c r="C445" s="1" t="n">
        <v>45343</v>
      </c>
      <c r="D445" t="inlineStr">
        <is>
          <t>STOCKHOLMS LÄN</t>
        </is>
      </c>
      <c r="E445" t="inlineStr">
        <is>
          <t>NORRTÄLJE</t>
        </is>
      </c>
      <c r="G445" t="n">
        <v>2.2</v>
      </c>
      <c r="H445" t="n">
        <v>0</v>
      </c>
      <c r="I445" t="n">
        <v>0</v>
      </c>
      <c r="J445" t="n">
        <v>0</v>
      </c>
      <c r="K445" t="n">
        <v>0</v>
      </c>
      <c r="L445" t="n">
        <v>0</v>
      </c>
      <c r="M445" t="n">
        <v>0</v>
      </c>
      <c r="N445" t="n">
        <v>0</v>
      </c>
      <c r="O445" t="n">
        <v>0</v>
      </c>
      <c r="P445" t="n">
        <v>0</v>
      </c>
      <c r="Q445" t="n">
        <v>0</v>
      </c>
      <c r="R445" s="2" t="inlineStr"/>
    </row>
    <row r="446" ht="15" customHeight="1">
      <c r="A446" t="inlineStr">
        <is>
          <t>A 12811-2019</t>
        </is>
      </c>
      <c r="B446" s="1" t="n">
        <v>43525</v>
      </c>
      <c r="C446" s="1" t="n">
        <v>45343</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12805-2019</t>
        </is>
      </c>
      <c r="B447" s="1" t="n">
        <v>43525</v>
      </c>
      <c r="C447" s="1" t="n">
        <v>45343</v>
      </c>
      <c r="D447" t="inlineStr">
        <is>
          <t>STOCKHOLMS LÄN</t>
        </is>
      </c>
      <c r="E447" t="inlineStr">
        <is>
          <t>NORRTÄLJE</t>
        </is>
      </c>
      <c r="G447" t="n">
        <v>4.5</v>
      </c>
      <c r="H447" t="n">
        <v>0</v>
      </c>
      <c r="I447" t="n">
        <v>0</v>
      </c>
      <c r="J447" t="n">
        <v>0</v>
      </c>
      <c r="K447" t="n">
        <v>0</v>
      </c>
      <c r="L447" t="n">
        <v>0</v>
      </c>
      <c r="M447" t="n">
        <v>0</v>
      </c>
      <c r="N447" t="n">
        <v>0</v>
      </c>
      <c r="O447" t="n">
        <v>0</v>
      </c>
      <c r="P447" t="n">
        <v>0</v>
      </c>
      <c r="Q447" t="n">
        <v>0</v>
      </c>
      <c r="R447" s="2" t="inlineStr"/>
    </row>
    <row r="448" ht="15" customHeight="1">
      <c r="A448" t="inlineStr">
        <is>
          <t>A 12839-2019</t>
        </is>
      </c>
      <c r="B448" s="1" t="n">
        <v>43525</v>
      </c>
      <c r="C448" s="1" t="n">
        <v>45343</v>
      </c>
      <c r="D448" t="inlineStr">
        <is>
          <t>STOCKHOLMS LÄN</t>
        </is>
      </c>
      <c r="E448" t="inlineStr">
        <is>
          <t>NORRTÄLJE</t>
        </is>
      </c>
      <c r="G448" t="n">
        <v>3.1</v>
      </c>
      <c r="H448" t="n">
        <v>0</v>
      </c>
      <c r="I448" t="n">
        <v>0</v>
      </c>
      <c r="J448" t="n">
        <v>0</v>
      </c>
      <c r="K448" t="n">
        <v>0</v>
      </c>
      <c r="L448" t="n">
        <v>0</v>
      </c>
      <c r="M448" t="n">
        <v>0</v>
      </c>
      <c r="N448" t="n">
        <v>0</v>
      </c>
      <c r="O448" t="n">
        <v>0</v>
      </c>
      <c r="P448" t="n">
        <v>0</v>
      </c>
      <c r="Q448" t="n">
        <v>0</v>
      </c>
      <c r="R448" s="2" t="inlineStr"/>
    </row>
    <row r="449" ht="15" customHeight="1">
      <c r="A449" t="inlineStr">
        <is>
          <t>A 12919-2019</t>
        </is>
      </c>
      <c r="B449" s="1" t="n">
        <v>43525</v>
      </c>
      <c r="C449" s="1" t="n">
        <v>45343</v>
      </c>
      <c r="D449" t="inlineStr">
        <is>
          <t>STOCKHOLMS LÄN</t>
        </is>
      </c>
      <c r="E449" t="inlineStr">
        <is>
          <t>NORRTÄLJE</t>
        </is>
      </c>
      <c r="G449" t="n">
        <v>2.9</v>
      </c>
      <c r="H449" t="n">
        <v>0</v>
      </c>
      <c r="I449" t="n">
        <v>0</v>
      </c>
      <c r="J449" t="n">
        <v>0</v>
      </c>
      <c r="K449" t="n">
        <v>0</v>
      </c>
      <c r="L449" t="n">
        <v>0</v>
      </c>
      <c r="M449" t="n">
        <v>0</v>
      </c>
      <c r="N449" t="n">
        <v>0</v>
      </c>
      <c r="O449" t="n">
        <v>0</v>
      </c>
      <c r="P449" t="n">
        <v>0</v>
      </c>
      <c r="Q449" t="n">
        <v>0</v>
      </c>
      <c r="R449" s="2" t="inlineStr"/>
    </row>
    <row r="450" ht="15" customHeight="1">
      <c r="A450" t="inlineStr">
        <is>
          <t>A 12790-2019</t>
        </is>
      </c>
      <c r="B450" s="1" t="n">
        <v>43525</v>
      </c>
      <c r="C450" s="1" t="n">
        <v>45343</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12765-2019</t>
        </is>
      </c>
      <c r="B451" s="1" t="n">
        <v>43525</v>
      </c>
      <c r="C451" s="1" t="n">
        <v>45343</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17037-2019</t>
        </is>
      </c>
      <c r="B452" s="1" t="n">
        <v>43525</v>
      </c>
      <c r="C452" s="1" t="n">
        <v>45343</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12797-2019</t>
        </is>
      </c>
      <c r="B453" s="1" t="n">
        <v>43525</v>
      </c>
      <c r="C453" s="1" t="n">
        <v>45343</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17033-2019</t>
        </is>
      </c>
      <c r="B454" s="1" t="n">
        <v>43525</v>
      </c>
      <c r="C454" s="1" t="n">
        <v>45343</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12964-2019</t>
        </is>
      </c>
      <c r="B455" s="1" t="n">
        <v>43526</v>
      </c>
      <c r="C455" s="1" t="n">
        <v>45343</v>
      </c>
      <c r="D455" t="inlineStr">
        <is>
          <t>STOCKHOLMS LÄN</t>
        </is>
      </c>
      <c r="E455" t="inlineStr">
        <is>
          <t>NORRTÄLJE</t>
        </is>
      </c>
      <c r="G455" t="n">
        <v>3.2</v>
      </c>
      <c r="H455" t="n">
        <v>0</v>
      </c>
      <c r="I455" t="n">
        <v>0</v>
      </c>
      <c r="J455" t="n">
        <v>0</v>
      </c>
      <c r="K455" t="n">
        <v>0</v>
      </c>
      <c r="L455" t="n">
        <v>0</v>
      </c>
      <c r="M455" t="n">
        <v>0</v>
      </c>
      <c r="N455" t="n">
        <v>0</v>
      </c>
      <c r="O455" t="n">
        <v>0</v>
      </c>
      <c r="P455" t="n">
        <v>0</v>
      </c>
      <c r="Q455" t="n">
        <v>0</v>
      </c>
      <c r="R455" s="2" t="inlineStr"/>
    </row>
    <row r="456" ht="15" customHeight="1">
      <c r="A456" t="inlineStr">
        <is>
          <t>A 12979-2019</t>
        </is>
      </c>
      <c r="B456" s="1" t="n">
        <v>43527</v>
      </c>
      <c r="C456" s="1" t="n">
        <v>45343</v>
      </c>
      <c r="D456" t="inlineStr">
        <is>
          <t>STOCKHOLMS LÄN</t>
        </is>
      </c>
      <c r="E456" t="inlineStr">
        <is>
          <t>NORRTÄLJE</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13096-2019</t>
        </is>
      </c>
      <c r="B457" s="1" t="n">
        <v>43528</v>
      </c>
      <c r="C457" s="1" t="n">
        <v>45343</v>
      </c>
      <c r="D457" t="inlineStr">
        <is>
          <t>STOCKHOLMS LÄN</t>
        </is>
      </c>
      <c r="E457" t="inlineStr">
        <is>
          <t>NORRTÄLJE</t>
        </is>
      </c>
      <c r="F457" t="inlineStr">
        <is>
          <t>Sveaskog</t>
        </is>
      </c>
      <c r="G457" t="n">
        <v>4.5</v>
      </c>
      <c r="H457" t="n">
        <v>0</v>
      </c>
      <c r="I457" t="n">
        <v>0</v>
      </c>
      <c r="J457" t="n">
        <v>0</v>
      </c>
      <c r="K457" t="n">
        <v>0</v>
      </c>
      <c r="L457" t="n">
        <v>0</v>
      </c>
      <c r="M457" t="n">
        <v>0</v>
      </c>
      <c r="N457" t="n">
        <v>0</v>
      </c>
      <c r="O457" t="n">
        <v>0</v>
      </c>
      <c r="P457" t="n">
        <v>0</v>
      </c>
      <c r="Q457" t="n">
        <v>0</v>
      </c>
      <c r="R457" s="2" t="inlineStr"/>
    </row>
    <row r="458" ht="15" customHeight="1">
      <c r="A458" t="inlineStr">
        <is>
          <t>A 13210-2019</t>
        </is>
      </c>
      <c r="B458" s="1" t="n">
        <v>43528</v>
      </c>
      <c r="C458" s="1" t="n">
        <v>45343</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13353-2019</t>
        </is>
      </c>
      <c r="B459" s="1" t="n">
        <v>43529</v>
      </c>
      <c r="C459" s="1" t="n">
        <v>45343</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13356-2019</t>
        </is>
      </c>
      <c r="B460" s="1" t="n">
        <v>43529</v>
      </c>
      <c r="C460" s="1" t="n">
        <v>45343</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13354-2019</t>
        </is>
      </c>
      <c r="B461" s="1" t="n">
        <v>43529</v>
      </c>
      <c r="C461" s="1" t="n">
        <v>45343</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13315-2019</t>
        </is>
      </c>
      <c r="B462" s="1" t="n">
        <v>43529</v>
      </c>
      <c r="C462" s="1" t="n">
        <v>45343</v>
      </c>
      <c r="D462" t="inlineStr">
        <is>
          <t>STOCKHOLMS LÄN</t>
        </is>
      </c>
      <c r="E462" t="inlineStr">
        <is>
          <t>NORRTÄLJE</t>
        </is>
      </c>
      <c r="G462" t="n">
        <v>2.9</v>
      </c>
      <c r="H462" t="n">
        <v>0</v>
      </c>
      <c r="I462" t="n">
        <v>0</v>
      </c>
      <c r="J462" t="n">
        <v>0</v>
      </c>
      <c r="K462" t="n">
        <v>0</v>
      </c>
      <c r="L462" t="n">
        <v>0</v>
      </c>
      <c r="M462" t="n">
        <v>0</v>
      </c>
      <c r="N462" t="n">
        <v>0</v>
      </c>
      <c r="O462" t="n">
        <v>0</v>
      </c>
      <c r="P462" t="n">
        <v>0</v>
      </c>
      <c r="Q462" t="n">
        <v>0</v>
      </c>
      <c r="R462" s="2" t="inlineStr"/>
    </row>
    <row r="463" ht="15" customHeight="1">
      <c r="A463" t="inlineStr">
        <is>
          <t>A 13289-2019</t>
        </is>
      </c>
      <c r="B463" s="1" t="n">
        <v>43529</v>
      </c>
      <c r="C463" s="1" t="n">
        <v>45343</v>
      </c>
      <c r="D463" t="inlineStr">
        <is>
          <t>STOCKHOLMS LÄN</t>
        </is>
      </c>
      <c r="E463" t="inlineStr">
        <is>
          <t>NORRTÄLJE</t>
        </is>
      </c>
      <c r="F463" t="inlineStr">
        <is>
          <t>Holmen skog AB</t>
        </is>
      </c>
      <c r="G463" t="n">
        <v>4.6</v>
      </c>
      <c r="H463" t="n">
        <v>0</v>
      </c>
      <c r="I463" t="n">
        <v>0</v>
      </c>
      <c r="J463" t="n">
        <v>0</v>
      </c>
      <c r="K463" t="n">
        <v>0</v>
      </c>
      <c r="L463" t="n">
        <v>0</v>
      </c>
      <c r="M463" t="n">
        <v>0</v>
      </c>
      <c r="N463" t="n">
        <v>0</v>
      </c>
      <c r="O463" t="n">
        <v>0</v>
      </c>
      <c r="P463" t="n">
        <v>0</v>
      </c>
      <c r="Q463" t="n">
        <v>0</v>
      </c>
      <c r="R463" s="2" t="inlineStr"/>
    </row>
    <row r="464" ht="15" customHeight="1">
      <c r="A464" t="inlineStr">
        <is>
          <t>A 13566-2019</t>
        </is>
      </c>
      <c r="B464" s="1" t="n">
        <v>43530</v>
      </c>
      <c r="C464" s="1" t="n">
        <v>45343</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13676-2019</t>
        </is>
      </c>
      <c r="B465" s="1" t="n">
        <v>43530</v>
      </c>
      <c r="C465" s="1" t="n">
        <v>45343</v>
      </c>
      <c r="D465" t="inlineStr">
        <is>
          <t>STOCKHOLMS LÄN</t>
        </is>
      </c>
      <c r="E465" t="inlineStr">
        <is>
          <t>NORRTÄLJE</t>
        </is>
      </c>
      <c r="G465" t="n">
        <v>6.2</v>
      </c>
      <c r="H465" t="n">
        <v>0</v>
      </c>
      <c r="I465" t="n">
        <v>0</v>
      </c>
      <c r="J465" t="n">
        <v>0</v>
      </c>
      <c r="K465" t="n">
        <v>0</v>
      </c>
      <c r="L465" t="n">
        <v>0</v>
      </c>
      <c r="M465" t="n">
        <v>0</v>
      </c>
      <c r="N465" t="n">
        <v>0</v>
      </c>
      <c r="O465" t="n">
        <v>0</v>
      </c>
      <c r="P465" t="n">
        <v>0</v>
      </c>
      <c r="Q465" t="n">
        <v>0</v>
      </c>
      <c r="R465" s="2" t="inlineStr"/>
    </row>
    <row r="466" ht="15" customHeight="1">
      <c r="A466" t="inlineStr">
        <is>
          <t>A 13851-2019</t>
        </is>
      </c>
      <c r="B466" s="1" t="n">
        <v>43531</v>
      </c>
      <c r="C466" s="1" t="n">
        <v>45343</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13940-2019</t>
        </is>
      </c>
      <c r="B467" s="1" t="n">
        <v>43531</v>
      </c>
      <c r="C467" s="1" t="n">
        <v>45343</v>
      </c>
      <c r="D467" t="inlineStr">
        <is>
          <t>STOCKHOLMS LÄN</t>
        </is>
      </c>
      <c r="E467" t="inlineStr">
        <is>
          <t>NORRTÄLJE</t>
        </is>
      </c>
      <c r="G467" t="n">
        <v>4.2</v>
      </c>
      <c r="H467" t="n">
        <v>0</v>
      </c>
      <c r="I467" t="n">
        <v>0</v>
      </c>
      <c r="J467" t="n">
        <v>0</v>
      </c>
      <c r="K467" t="n">
        <v>0</v>
      </c>
      <c r="L467" t="n">
        <v>0</v>
      </c>
      <c r="M467" t="n">
        <v>0</v>
      </c>
      <c r="N467" t="n">
        <v>0</v>
      </c>
      <c r="O467" t="n">
        <v>0</v>
      </c>
      <c r="P467" t="n">
        <v>0</v>
      </c>
      <c r="Q467" t="n">
        <v>0</v>
      </c>
      <c r="R467" s="2" t="inlineStr"/>
    </row>
    <row r="468" ht="15" customHeight="1">
      <c r="A468" t="inlineStr">
        <is>
          <t>A 13828-2019</t>
        </is>
      </c>
      <c r="B468" s="1" t="n">
        <v>43531</v>
      </c>
      <c r="C468" s="1" t="n">
        <v>45343</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14027-2019</t>
        </is>
      </c>
      <c r="B469" s="1" t="n">
        <v>43532</v>
      </c>
      <c r="C469" s="1" t="n">
        <v>45343</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14049-2019</t>
        </is>
      </c>
      <c r="B470" s="1" t="n">
        <v>43532</v>
      </c>
      <c r="C470" s="1" t="n">
        <v>45343</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14147-2019</t>
        </is>
      </c>
      <c r="B471" s="1" t="n">
        <v>43532</v>
      </c>
      <c r="C471" s="1" t="n">
        <v>45343</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14145-2019</t>
        </is>
      </c>
      <c r="B472" s="1" t="n">
        <v>43532</v>
      </c>
      <c r="C472" s="1" t="n">
        <v>45343</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14146-2019</t>
        </is>
      </c>
      <c r="B473" s="1" t="n">
        <v>43532</v>
      </c>
      <c r="C473" s="1" t="n">
        <v>45343</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14020-2019</t>
        </is>
      </c>
      <c r="B474" s="1" t="n">
        <v>43532</v>
      </c>
      <c r="C474" s="1" t="n">
        <v>45343</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14161-2019</t>
        </is>
      </c>
      <c r="B475" s="1" t="n">
        <v>43533</v>
      </c>
      <c r="C475" s="1" t="n">
        <v>45343</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14294-2019</t>
        </is>
      </c>
      <c r="B476" s="1" t="n">
        <v>43535</v>
      </c>
      <c r="C476" s="1" t="n">
        <v>45343</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14258-2019</t>
        </is>
      </c>
      <c r="B477" s="1" t="n">
        <v>43535</v>
      </c>
      <c r="C477" s="1" t="n">
        <v>45343</v>
      </c>
      <c r="D477" t="inlineStr">
        <is>
          <t>STOCKHOLMS LÄN</t>
        </is>
      </c>
      <c r="E477" t="inlineStr">
        <is>
          <t>NORRTÄLJE</t>
        </is>
      </c>
      <c r="G477" t="n">
        <v>4.2</v>
      </c>
      <c r="H477" t="n">
        <v>0</v>
      </c>
      <c r="I477" t="n">
        <v>0</v>
      </c>
      <c r="J477" t="n">
        <v>0</v>
      </c>
      <c r="K477" t="n">
        <v>0</v>
      </c>
      <c r="L477" t="n">
        <v>0</v>
      </c>
      <c r="M477" t="n">
        <v>0</v>
      </c>
      <c r="N477" t="n">
        <v>0</v>
      </c>
      <c r="O477" t="n">
        <v>0</v>
      </c>
      <c r="P477" t="n">
        <v>0</v>
      </c>
      <c r="Q477" t="n">
        <v>0</v>
      </c>
      <c r="R477" s="2" t="inlineStr"/>
    </row>
    <row r="478" ht="15" customHeight="1">
      <c r="A478" t="inlineStr">
        <is>
          <t>A 14297-2019</t>
        </is>
      </c>
      <c r="B478" s="1" t="n">
        <v>43535</v>
      </c>
      <c r="C478" s="1" t="n">
        <v>45343</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14330-2019</t>
        </is>
      </c>
      <c r="B479" s="1" t="n">
        <v>43535</v>
      </c>
      <c r="C479" s="1" t="n">
        <v>45343</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14293-2019</t>
        </is>
      </c>
      <c r="B480" s="1" t="n">
        <v>43535</v>
      </c>
      <c r="C480" s="1" t="n">
        <v>45343</v>
      </c>
      <c r="D480" t="inlineStr">
        <is>
          <t>STOCKHOLMS LÄN</t>
        </is>
      </c>
      <c r="E480" t="inlineStr">
        <is>
          <t>NORRTÄLJE</t>
        </is>
      </c>
      <c r="G480" t="n">
        <v>5.3</v>
      </c>
      <c r="H480" t="n">
        <v>0</v>
      </c>
      <c r="I480" t="n">
        <v>0</v>
      </c>
      <c r="J480" t="n">
        <v>0</v>
      </c>
      <c r="K480" t="n">
        <v>0</v>
      </c>
      <c r="L480" t="n">
        <v>0</v>
      </c>
      <c r="M480" t="n">
        <v>0</v>
      </c>
      <c r="N480" t="n">
        <v>0</v>
      </c>
      <c r="O480" t="n">
        <v>0</v>
      </c>
      <c r="P480" t="n">
        <v>0</v>
      </c>
      <c r="Q480" t="n">
        <v>0</v>
      </c>
      <c r="R480" s="2" t="inlineStr"/>
    </row>
    <row r="481" ht="15" customHeight="1">
      <c r="A481" t="inlineStr">
        <is>
          <t>A 14239-2019</t>
        </is>
      </c>
      <c r="B481" s="1" t="n">
        <v>43536</v>
      </c>
      <c r="C481" s="1" t="n">
        <v>45343</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14229-2019</t>
        </is>
      </c>
      <c r="B482" s="1" t="n">
        <v>43536</v>
      </c>
      <c r="C482" s="1" t="n">
        <v>45343</v>
      </c>
      <c r="D482" t="inlineStr">
        <is>
          <t>STOCKHOLMS LÄN</t>
        </is>
      </c>
      <c r="E482" t="inlineStr">
        <is>
          <t>NORRTÄLJE</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14946-2019</t>
        </is>
      </c>
      <c r="B483" s="1" t="n">
        <v>43537</v>
      </c>
      <c r="C483" s="1" t="n">
        <v>45343</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14958-2019</t>
        </is>
      </c>
      <c r="B484" s="1" t="n">
        <v>43538</v>
      </c>
      <c r="C484" s="1" t="n">
        <v>45343</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14840-2019</t>
        </is>
      </c>
      <c r="B485" s="1" t="n">
        <v>43538</v>
      </c>
      <c r="C485" s="1" t="n">
        <v>45343</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15085-2019</t>
        </is>
      </c>
      <c r="B486" s="1" t="n">
        <v>43538</v>
      </c>
      <c r="C486" s="1" t="n">
        <v>45343</v>
      </c>
      <c r="D486" t="inlineStr">
        <is>
          <t>STOCKHOLMS LÄN</t>
        </is>
      </c>
      <c r="E486" t="inlineStr">
        <is>
          <t>NORRTÄLJE</t>
        </is>
      </c>
      <c r="G486" t="n">
        <v>4.7</v>
      </c>
      <c r="H486" t="n">
        <v>0</v>
      </c>
      <c r="I486" t="n">
        <v>0</v>
      </c>
      <c r="J486" t="n">
        <v>0</v>
      </c>
      <c r="K486" t="n">
        <v>0</v>
      </c>
      <c r="L486" t="n">
        <v>0</v>
      </c>
      <c r="M486" t="n">
        <v>0</v>
      </c>
      <c r="N486" t="n">
        <v>0</v>
      </c>
      <c r="O486" t="n">
        <v>0</v>
      </c>
      <c r="P486" t="n">
        <v>0</v>
      </c>
      <c r="Q486" t="n">
        <v>0</v>
      </c>
      <c r="R486" s="2" t="inlineStr"/>
    </row>
    <row r="487" ht="15" customHeight="1">
      <c r="A487" t="inlineStr">
        <is>
          <t>A 14995-2019</t>
        </is>
      </c>
      <c r="B487" s="1" t="n">
        <v>43538</v>
      </c>
      <c r="C487" s="1" t="n">
        <v>45343</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15017-2019</t>
        </is>
      </c>
      <c r="B488" s="1" t="n">
        <v>43538</v>
      </c>
      <c r="C488" s="1" t="n">
        <v>45343</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14849-2019</t>
        </is>
      </c>
      <c r="B489" s="1" t="n">
        <v>43539</v>
      </c>
      <c r="C489" s="1" t="n">
        <v>45343</v>
      </c>
      <c r="D489" t="inlineStr">
        <is>
          <t>STOCKHOLMS LÄN</t>
        </is>
      </c>
      <c r="E489" t="inlineStr">
        <is>
          <t>NORRTÄLJE</t>
        </is>
      </c>
      <c r="F489" t="inlineStr">
        <is>
          <t>Kommuner</t>
        </is>
      </c>
      <c r="G489" t="n">
        <v>0.9</v>
      </c>
      <c r="H489" t="n">
        <v>0</v>
      </c>
      <c r="I489" t="n">
        <v>0</v>
      </c>
      <c r="J489" t="n">
        <v>0</v>
      </c>
      <c r="K489" t="n">
        <v>0</v>
      </c>
      <c r="L489" t="n">
        <v>0</v>
      </c>
      <c r="M489" t="n">
        <v>0</v>
      </c>
      <c r="N489" t="n">
        <v>0</v>
      </c>
      <c r="O489" t="n">
        <v>0</v>
      </c>
      <c r="P489" t="n">
        <v>0</v>
      </c>
      <c r="Q489" t="n">
        <v>0</v>
      </c>
      <c r="R489" s="2" t="inlineStr"/>
    </row>
    <row r="490" ht="15" customHeight="1">
      <c r="A490" t="inlineStr">
        <is>
          <t>A 15237-2019</t>
        </is>
      </c>
      <c r="B490" s="1" t="n">
        <v>43539</v>
      </c>
      <c r="C490" s="1" t="n">
        <v>45343</v>
      </c>
      <c r="D490" t="inlineStr">
        <is>
          <t>STOCKHOLMS LÄN</t>
        </is>
      </c>
      <c r="E490" t="inlineStr">
        <is>
          <t>NORRTÄLJE</t>
        </is>
      </c>
      <c r="G490" t="n">
        <v>3.4</v>
      </c>
      <c r="H490" t="n">
        <v>0</v>
      </c>
      <c r="I490" t="n">
        <v>0</v>
      </c>
      <c r="J490" t="n">
        <v>0</v>
      </c>
      <c r="K490" t="n">
        <v>0</v>
      </c>
      <c r="L490" t="n">
        <v>0</v>
      </c>
      <c r="M490" t="n">
        <v>0</v>
      </c>
      <c r="N490" t="n">
        <v>0</v>
      </c>
      <c r="O490" t="n">
        <v>0</v>
      </c>
      <c r="P490" t="n">
        <v>0</v>
      </c>
      <c r="Q490" t="n">
        <v>0</v>
      </c>
      <c r="R490" s="2" t="inlineStr"/>
    </row>
    <row r="491" ht="15" customHeight="1">
      <c r="A491" t="inlineStr">
        <is>
          <t>A 15453-2019</t>
        </is>
      </c>
      <c r="B491" s="1" t="n">
        <v>43539</v>
      </c>
      <c r="C491" s="1" t="n">
        <v>45343</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15098-2019</t>
        </is>
      </c>
      <c r="B492" s="1" t="n">
        <v>43539</v>
      </c>
      <c r="C492" s="1" t="n">
        <v>45343</v>
      </c>
      <c r="D492" t="inlineStr">
        <is>
          <t>STOCKHOLMS LÄN</t>
        </is>
      </c>
      <c r="E492" t="inlineStr">
        <is>
          <t>NORRTÄLJE</t>
        </is>
      </c>
      <c r="F492" t="inlineStr">
        <is>
          <t>Kommuner</t>
        </is>
      </c>
      <c r="G492" t="n">
        <v>1.6</v>
      </c>
      <c r="H492" t="n">
        <v>0</v>
      </c>
      <c r="I492" t="n">
        <v>0</v>
      </c>
      <c r="J492" t="n">
        <v>0</v>
      </c>
      <c r="K492" t="n">
        <v>0</v>
      </c>
      <c r="L492" t="n">
        <v>0</v>
      </c>
      <c r="M492" t="n">
        <v>0</v>
      </c>
      <c r="N492" t="n">
        <v>0</v>
      </c>
      <c r="O492" t="n">
        <v>0</v>
      </c>
      <c r="P492" t="n">
        <v>0</v>
      </c>
      <c r="Q492" t="n">
        <v>0</v>
      </c>
      <c r="R492" s="2" t="inlineStr"/>
    </row>
    <row r="493" ht="15" customHeight="1">
      <c r="A493" t="inlineStr">
        <is>
          <t>A 14804-2019</t>
        </is>
      </c>
      <c r="B493" s="1" t="n">
        <v>43539</v>
      </c>
      <c r="C493" s="1" t="n">
        <v>45343</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15541-2019</t>
        </is>
      </c>
      <c r="B494" s="1" t="n">
        <v>43542</v>
      </c>
      <c r="C494" s="1" t="n">
        <v>45343</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15500-2019</t>
        </is>
      </c>
      <c r="B495" s="1" t="n">
        <v>43542</v>
      </c>
      <c r="C495" s="1" t="n">
        <v>45343</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15727-2019</t>
        </is>
      </c>
      <c r="B496" s="1" t="n">
        <v>43543</v>
      </c>
      <c r="C496" s="1" t="n">
        <v>45343</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15710-2019</t>
        </is>
      </c>
      <c r="B497" s="1" t="n">
        <v>43543</v>
      </c>
      <c r="C497" s="1" t="n">
        <v>45343</v>
      </c>
      <c r="D497" t="inlineStr">
        <is>
          <t>STOCKHOLMS LÄN</t>
        </is>
      </c>
      <c r="E497" t="inlineStr">
        <is>
          <t>NORRTÄLJE</t>
        </is>
      </c>
      <c r="G497" t="n">
        <v>15.8</v>
      </c>
      <c r="H497" t="n">
        <v>0</v>
      </c>
      <c r="I497" t="n">
        <v>0</v>
      </c>
      <c r="J497" t="n">
        <v>0</v>
      </c>
      <c r="K497" t="n">
        <v>0</v>
      </c>
      <c r="L497" t="n">
        <v>0</v>
      </c>
      <c r="M497" t="n">
        <v>0</v>
      </c>
      <c r="N497" t="n">
        <v>0</v>
      </c>
      <c r="O497" t="n">
        <v>0</v>
      </c>
      <c r="P497" t="n">
        <v>0</v>
      </c>
      <c r="Q497" t="n">
        <v>0</v>
      </c>
      <c r="R497" s="2" t="inlineStr"/>
    </row>
    <row r="498" ht="15" customHeight="1">
      <c r="A498" t="inlineStr">
        <is>
          <t>A 15728-2019</t>
        </is>
      </c>
      <c r="B498" s="1" t="n">
        <v>43543</v>
      </c>
      <c r="C498" s="1" t="n">
        <v>45343</v>
      </c>
      <c r="D498" t="inlineStr">
        <is>
          <t>STOCKHOLMS LÄN</t>
        </is>
      </c>
      <c r="E498" t="inlineStr">
        <is>
          <t>NORRTÄLJE</t>
        </is>
      </c>
      <c r="G498" t="n">
        <v>6.9</v>
      </c>
      <c r="H498" t="n">
        <v>0</v>
      </c>
      <c r="I498" t="n">
        <v>0</v>
      </c>
      <c r="J498" t="n">
        <v>0</v>
      </c>
      <c r="K498" t="n">
        <v>0</v>
      </c>
      <c r="L498" t="n">
        <v>0</v>
      </c>
      <c r="M498" t="n">
        <v>0</v>
      </c>
      <c r="N498" t="n">
        <v>0</v>
      </c>
      <c r="O498" t="n">
        <v>0</v>
      </c>
      <c r="P498" t="n">
        <v>0</v>
      </c>
      <c r="Q498" t="n">
        <v>0</v>
      </c>
      <c r="R498" s="2" t="inlineStr"/>
    </row>
    <row r="499" ht="15" customHeight="1">
      <c r="A499" t="inlineStr">
        <is>
          <t>A 15673-2019</t>
        </is>
      </c>
      <c r="B499" s="1" t="n">
        <v>43543</v>
      </c>
      <c r="C499" s="1" t="n">
        <v>45343</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15736-2019</t>
        </is>
      </c>
      <c r="B500" s="1" t="n">
        <v>43543</v>
      </c>
      <c r="C500" s="1" t="n">
        <v>45343</v>
      </c>
      <c r="D500" t="inlineStr">
        <is>
          <t>STOCKHOLMS LÄN</t>
        </is>
      </c>
      <c r="E500" t="inlineStr">
        <is>
          <t>NORRTÄLJE</t>
        </is>
      </c>
      <c r="G500" t="n">
        <v>6.2</v>
      </c>
      <c r="H500" t="n">
        <v>0</v>
      </c>
      <c r="I500" t="n">
        <v>0</v>
      </c>
      <c r="J500" t="n">
        <v>0</v>
      </c>
      <c r="K500" t="n">
        <v>0</v>
      </c>
      <c r="L500" t="n">
        <v>0</v>
      </c>
      <c r="M500" t="n">
        <v>0</v>
      </c>
      <c r="N500" t="n">
        <v>0</v>
      </c>
      <c r="O500" t="n">
        <v>0</v>
      </c>
      <c r="P500" t="n">
        <v>0</v>
      </c>
      <c r="Q500" t="n">
        <v>0</v>
      </c>
      <c r="R500" s="2" t="inlineStr"/>
    </row>
    <row r="501" ht="15" customHeight="1">
      <c r="A501" t="inlineStr">
        <is>
          <t>A 15702-2019</t>
        </is>
      </c>
      <c r="B501" s="1" t="n">
        <v>43543</v>
      </c>
      <c r="C501" s="1" t="n">
        <v>45343</v>
      </c>
      <c r="D501" t="inlineStr">
        <is>
          <t>STOCKHOLMS LÄN</t>
        </is>
      </c>
      <c r="E501" t="inlineStr">
        <is>
          <t>NORRTÄLJE</t>
        </is>
      </c>
      <c r="G501" t="n">
        <v>21.3</v>
      </c>
      <c r="H501" t="n">
        <v>0</v>
      </c>
      <c r="I501" t="n">
        <v>0</v>
      </c>
      <c r="J501" t="n">
        <v>0</v>
      </c>
      <c r="K501" t="n">
        <v>0</v>
      </c>
      <c r="L501" t="n">
        <v>0</v>
      </c>
      <c r="M501" t="n">
        <v>0</v>
      </c>
      <c r="N501" t="n">
        <v>0</v>
      </c>
      <c r="O501" t="n">
        <v>0</v>
      </c>
      <c r="P501" t="n">
        <v>0</v>
      </c>
      <c r="Q501" t="n">
        <v>0</v>
      </c>
      <c r="R501" s="2" t="inlineStr"/>
    </row>
    <row r="502" ht="15" customHeight="1">
      <c r="A502" t="inlineStr">
        <is>
          <t>A 16186-2019</t>
        </is>
      </c>
      <c r="B502" s="1" t="n">
        <v>43545</v>
      </c>
      <c r="C502" s="1" t="n">
        <v>45343</v>
      </c>
      <c r="D502" t="inlineStr">
        <is>
          <t>STOCKHOLMS LÄN</t>
        </is>
      </c>
      <c r="E502" t="inlineStr">
        <is>
          <t>NORRTÄLJE</t>
        </is>
      </c>
      <c r="G502" t="n">
        <v>5.7</v>
      </c>
      <c r="H502" t="n">
        <v>0</v>
      </c>
      <c r="I502" t="n">
        <v>0</v>
      </c>
      <c r="J502" t="n">
        <v>0</v>
      </c>
      <c r="K502" t="n">
        <v>0</v>
      </c>
      <c r="L502" t="n">
        <v>0</v>
      </c>
      <c r="M502" t="n">
        <v>0</v>
      </c>
      <c r="N502" t="n">
        <v>0</v>
      </c>
      <c r="O502" t="n">
        <v>0</v>
      </c>
      <c r="P502" t="n">
        <v>0</v>
      </c>
      <c r="Q502" t="n">
        <v>0</v>
      </c>
      <c r="R502" s="2" t="inlineStr"/>
    </row>
    <row r="503" ht="15" customHeight="1">
      <c r="A503" t="inlineStr">
        <is>
          <t>A 16211-2019</t>
        </is>
      </c>
      <c r="B503" s="1" t="n">
        <v>43545</v>
      </c>
      <c r="C503" s="1" t="n">
        <v>45343</v>
      </c>
      <c r="D503" t="inlineStr">
        <is>
          <t>STOCKHOLMS LÄN</t>
        </is>
      </c>
      <c r="E503" t="inlineStr">
        <is>
          <t>NORRTÄLJE</t>
        </is>
      </c>
      <c r="G503" t="n">
        <v>14.2</v>
      </c>
      <c r="H503" t="n">
        <v>0</v>
      </c>
      <c r="I503" t="n">
        <v>0</v>
      </c>
      <c r="J503" t="n">
        <v>0</v>
      </c>
      <c r="K503" t="n">
        <v>0</v>
      </c>
      <c r="L503" t="n">
        <v>0</v>
      </c>
      <c r="M503" t="n">
        <v>0</v>
      </c>
      <c r="N503" t="n">
        <v>0</v>
      </c>
      <c r="O503" t="n">
        <v>0</v>
      </c>
      <c r="P503" t="n">
        <v>0</v>
      </c>
      <c r="Q503" t="n">
        <v>0</v>
      </c>
      <c r="R503" s="2" t="inlineStr"/>
    </row>
    <row r="504" ht="15" customHeight="1">
      <c r="A504" t="inlineStr">
        <is>
          <t>A 16318-2019</t>
        </is>
      </c>
      <c r="B504" s="1" t="n">
        <v>43545</v>
      </c>
      <c r="C504" s="1" t="n">
        <v>45343</v>
      </c>
      <c r="D504" t="inlineStr">
        <is>
          <t>STOCKHOLMS LÄN</t>
        </is>
      </c>
      <c r="E504" t="inlineStr">
        <is>
          <t>NORRTÄLJE</t>
        </is>
      </c>
      <c r="F504" t="inlineStr">
        <is>
          <t>Kyrkan</t>
        </is>
      </c>
      <c r="G504" t="n">
        <v>0.5</v>
      </c>
      <c r="H504" t="n">
        <v>0</v>
      </c>
      <c r="I504" t="n">
        <v>0</v>
      </c>
      <c r="J504" t="n">
        <v>0</v>
      </c>
      <c r="K504" t="n">
        <v>0</v>
      </c>
      <c r="L504" t="n">
        <v>0</v>
      </c>
      <c r="M504" t="n">
        <v>0</v>
      </c>
      <c r="N504" t="n">
        <v>0</v>
      </c>
      <c r="O504" t="n">
        <v>0</v>
      </c>
      <c r="P504" t="n">
        <v>0</v>
      </c>
      <c r="Q504" t="n">
        <v>0</v>
      </c>
      <c r="R504" s="2" t="inlineStr"/>
    </row>
    <row r="505" ht="15" customHeight="1">
      <c r="A505" t="inlineStr">
        <is>
          <t>A 16258-2019</t>
        </is>
      </c>
      <c r="B505" s="1" t="n">
        <v>43545</v>
      </c>
      <c r="C505" s="1" t="n">
        <v>45343</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16533-2019</t>
        </is>
      </c>
      <c r="B506" s="1" t="n">
        <v>43546</v>
      </c>
      <c r="C506" s="1" t="n">
        <v>45343</v>
      </c>
      <c r="D506" t="inlineStr">
        <is>
          <t>STOCKHOLMS LÄN</t>
        </is>
      </c>
      <c r="E506" t="inlineStr">
        <is>
          <t>NORRTÄLJE</t>
        </is>
      </c>
      <c r="G506" t="n">
        <v>0.8</v>
      </c>
      <c r="H506" t="n">
        <v>0</v>
      </c>
      <c r="I506" t="n">
        <v>0</v>
      </c>
      <c r="J506" t="n">
        <v>0</v>
      </c>
      <c r="K506" t="n">
        <v>0</v>
      </c>
      <c r="L506" t="n">
        <v>0</v>
      </c>
      <c r="M506" t="n">
        <v>0</v>
      </c>
      <c r="N506" t="n">
        <v>0</v>
      </c>
      <c r="O506" t="n">
        <v>0</v>
      </c>
      <c r="P506" t="n">
        <v>0</v>
      </c>
      <c r="Q506" t="n">
        <v>0</v>
      </c>
      <c r="R506" s="2" t="inlineStr"/>
    </row>
    <row r="507" ht="15" customHeight="1">
      <c r="A507" t="inlineStr">
        <is>
          <t>A 16575-2019</t>
        </is>
      </c>
      <c r="B507" s="1" t="n">
        <v>43547</v>
      </c>
      <c r="C507" s="1" t="n">
        <v>45343</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16584-2019</t>
        </is>
      </c>
      <c r="B508" s="1" t="n">
        <v>43548</v>
      </c>
      <c r="C508" s="1" t="n">
        <v>45343</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16581-2019</t>
        </is>
      </c>
      <c r="B509" s="1" t="n">
        <v>43548</v>
      </c>
      <c r="C509" s="1" t="n">
        <v>45343</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16579-2019</t>
        </is>
      </c>
      <c r="B510" s="1" t="n">
        <v>43548</v>
      </c>
      <c r="C510" s="1" t="n">
        <v>45343</v>
      </c>
      <c r="D510" t="inlineStr">
        <is>
          <t>STOCKHOLMS LÄN</t>
        </is>
      </c>
      <c r="E510" t="inlineStr">
        <is>
          <t>NORRTÄLJE</t>
        </is>
      </c>
      <c r="G510" t="n">
        <v>5.9</v>
      </c>
      <c r="H510" t="n">
        <v>0</v>
      </c>
      <c r="I510" t="n">
        <v>0</v>
      </c>
      <c r="J510" t="n">
        <v>0</v>
      </c>
      <c r="K510" t="n">
        <v>0</v>
      </c>
      <c r="L510" t="n">
        <v>0</v>
      </c>
      <c r="M510" t="n">
        <v>0</v>
      </c>
      <c r="N510" t="n">
        <v>0</v>
      </c>
      <c r="O510" t="n">
        <v>0</v>
      </c>
      <c r="P510" t="n">
        <v>0</v>
      </c>
      <c r="Q510" t="n">
        <v>0</v>
      </c>
      <c r="R510" s="2" t="inlineStr"/>
    </row>
    <row r="511" ht="15" customHeight="1">
      <c r="A511" t="inlineStr">
        <is>
          <t>A 16881-2019</t>
        </is>
      </c>
      <c r="B511" s="1" t="n">
        <v>43550</v>
      </c>
      <c r="C511" s="1" t="n">
        <v>45343</v>
      </c>
      <c r="D511" t="inlineStr">
        <is>
          <t>STOCKHOLMS LÄN</t>
        </is>
      </c>
      <c r="E511" t="inlineStr">
        <is>
          <t>NORRTÄLJE</t>
        </is>
      </c>
      <c r="F511" t="inlineStr">
        <is>
          <t>Övriga Aktiebolag</t>
        </is>
      </c>
      <c r="G511" t="n">
        <v>6.3</v>
      </c>
      <c r="H511" t="n">
        <v>0</v>
      </c>
      <c r="I511" t="n">
        <v>0</v>
      </c>
      <c r="J511" t="n">
        <v>0</v>
      </c>
      <c r="K511" t="n">
        <v>0</v>
      </c>
      <c r="L511" t="n">
        <v>0</v>
      </c>
      <c r="M511" t="n">
        <v>0</v>
      </c>
      <c r="N511" t="n">
        <v>0</v>
      </c>
      <c r="O511" t="n">
        <v>0</v>
      </c>
      <c r="P511" t="n">
        <v>0</v>
      </c>
      <c r="Q511" t="n">
        <v>0</v>
      </c>
      <c r="R511" s="2" t="inlineStr"/>
    </row>
    <row r="512" ht="15" customHeight="1">
      <c r="A512" t="inlineStr">
        <is>
          <t>A 17233-2019</t>
        </is>
      </c>
      <c r="B512" s="1" t="n">
        <v>43550</v>
      </c>
      <c r="C512" s="1" t="n">
        <v>45343</v>
      </c>
      <c r="D512" t="inlineStr">
        <is>
          <t>STOCKHOLMS LÄN</t>
        </is>
      </c>
      <c r="E512" t="inlineStr">
        <is>
          <t>NORRTÄLJE</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16984-2019</t>
        </is>
      </c>
      <c r="B513" s="1" t="n">
        <v>43550</v>
      </c>
      <c r="C513" s="1" t="n">
        <v>45343</v>
      </c>
      <c r="D513" t="inlineStr">
        <is>
          <t>STOCKHOLMS LÄN</t>
        </is>
      </c>
      <c r="E513" t="inlineStr">
        <is>
          <t>NORRTÄLJE</t>
        </is>
      </c>
      <c r="G513" t="n">
        <v>2.6</v>
      </c>
      <c r="H513" t="n">
        <v>0</v>
      </c>
      <c r="I513" t="n">
        <v>0</v>
      </c>
      <c r="J513" t="n">
        <v>0</v>
      </c>
      <c r="K513" t="n">
        <v>0</v>
      </c>
      <c r="L513" t="n">
        <v>0</v>
      </c>
      <c r="M513" t="n">
        <v>0</v>
      </c>
      <c r="N513" t="n">
        <v>0</v>
      </c>
      <c r="O513" t="n">
        <v>0</v>
      </c>
      <c r="P513" t="n">
        <v>0</v>
      </c>
      <c r="Q513" t="n">
        <v>0</v>
      </c>
      <c r="R513" s="2" t="inlineStr"/>
    </row>
    <row r="514" ht="15" customHeight="1">
      <c r="A514" t="inlineStr">
        <is>
          <t>A 16918-2019</t>
        </is>
      </c>
      <c r="B514" s="1" t="n">
        <v>43550</v>
      </c>
      <c r="C514" s="1" t="n">
        <v>45343</v>
      </c>
      <c r="D514" t="inlineStr">
        <is>
          <t>STOCKHOLMS LÄN</t>
        </is>
      </c>
      <c r="E514" t="inlineStr">
        <is>
          <t>NORRTÄLJE</t>
        </is>
      </c>
      <c r="F514" t="inlineStr">
        <is>
          <t>Kommuner</t>
        </is>
      </c>
      <c r="G514" t="n">
        <v>1</v>
      </c>
      <c r="H514" t="n">
        <v>0</v>
      </c>
      <c r="I514" t="n">
        <v>0</v>
      </c>
      <c r="J514" t="n">
        <v>0</v>
      </c>
      <c r="K514" t="n">
        <v>0</v>
      </c>
      <c r="L514" t="n">
        <v>0</v>
      </c>
      <c r="M514" t="n">
        <v>0</v>
      </c>
      <c r="N514" t="n">
        <v>0</v>
      </c>
      <c r="O514" t="n">
        <v>0</v>
      </c>
      <c r="P514" t="n">
        <v>0</v>
      </c>
      <c r="Q514" t="n">
        <v>0</v>
      </c>
      <c r="R514" s="2" t="inlineStr"/>
    </row>
    <row r="515" ht="15" customHeight="1">
      <c r="A515" t="inlineStr">
        <is>
          <t>A 17060-2019</t>
        </is>
      </c>
      <c r="B515" s="1" t="n">
        <v>43551</v>
      </c>
      <c r="C515" s="1" t="n">
        <v>45343</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17149-2019</t>
        </is>
      </c>
      <c r="B516" s="1" t="n">
        <v>43551</v>
      </c>
      <c r="C516" s="1" t="n">
        <v>45343</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17061-2019</t>
        </is>
      </c>
      <c r="B517" s="1" t="n">
        <v>43551</v>
      </c>
      <c r="C517" s="1" t="n">
        <v>45343</v>
      </c>
      <c r="D517" t="inlineStr">
        <is>
          <t>STOCKHOLMS LÄN</t>
        </is>
      </c>
      <c r="E517" t="inlineStr">
        <is>
          <t>NORRTÄLJE</t>
        </is>
      </c>
      <c r="F517" t="inlineStr">
        <is>
          <t>Kommuner</t>
        </is>
      </c>
      <c r="G517" t="n">
        <v>3.7</v>
      </c>
      <c r="H517" t="n">
        <v>0</v>
      </c>
      <c r="I517" t="n">
        <v>0</v>
      </c>
      <c r="J517" t="n">
        <v>0</v>
      </c>
      <c r="K517" t="n">
        <v>0</v>
      </c>
      <c r="L517" t="n">
        <v>0</v>
      </c>
      <c r="M517" t="n">
        <v>0</v>
      </c>
      <c r="N517" t="n">
        <v>0</v>
      </c>
      <c r="O517" t="n">
        <v>0</v>
      </c>
      <c r="P517" t="n">
        <v>0</v>
      </c>
      <c r="Q517" t="n">
        <v>0</v>
      </c>
      <c r="R517" s="2" t="inlineStr"/>
    </row>
    <row r="518" ht="15" customHeight="1">
      <c r="A518" t="inlineStr">
        <is>
          <t>A 17350-2019</t>
        </is>
      </c>
      <c r="B518" s="1" t="n">
        <v>43552</v>
      </c>
      <c r="C518" s="1" t="n">
        <v>45343</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17240-2019</t>
        </is>
      </c>
      <c r="B519" s="1" t="n">
        <v>43552</v>
      </c>
      <c r="C519" s="1" t="n">
        <v>45343</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17272-2019</t>
        </is>
      </c>
      <c r="B520" s="1" t="n">
        <v>43552</v>
      </c>
      <c r="C520" s="1" t="n">
        <v>45343</v>
      </c>
      <c r="D520" t="inlineStr">
        <is>
          <t>STOCKHOLMS LÄN</t>
        </is>
      </c>
      <c r="E520" t="inlineStr">
        <is>
          <t>NORRTÄLJE</t>
        </is>
      </c>
      <c r="G520" t="n">
        <v>5.8</v>
      </c>
      <c r="H520" t="n">
        <v>0</v>
      </c>
      <c r="I520" t="n">
        <v>0</v>
      </c>
      <c r="J520" t="n">
        <v>0</v>
      </c>
      <c r="K520" t="n">
        <v>0</v>
      </c>
      <c r="L520" t="n">
        <v>0</v>
      </c>
      <c r="M520" t="n">
        <v>0</v>
      </c>
      <c r="N520" t="n">
        <v>0</v>
      </c>
      <c r="O520" t="n">
        <v>0</v>
      </c>
      <c r="P520" t="n">
        <v>0</v>
      </c>
      <c r="Q520" t="n">
        <v>0</v>
      </c>
      <c r="R520" s="2" t="inlineStr"/>
    </row>
    <row r="521" ht="15" customHeight="1">
      <c r="A521" t="inlineStr">
        <is>
          <t>A 17378-2019</t>
        </is>
      </c>
      <c r="B521" s="1" t="n">
        <v>43552</v>
      </c>
      <c r="C521" s="1" t="n">
        <v>45343</v>
      </c>
      <c r="D521" t="inlineStr">
        <is>
          <t>STOCKHOLMS LÄN</t>
        </is>
      </c>
      <c r="E521" t="inlineStr">
        <is>
          <t>NORRTÄLJE</t>
        </is>
      </c>
      <c r="G521" t="n">
        <v>8.1</v>
      </c>
      <c r="H521" t="n">
        <v>0</v>
      </c>
      <c r="I521" t="n">
        <v>0</v>
      </c>
      <c r="J521" t="n">
        <v>0</v>
      </c>
      <c r="K521" t="n">
        <v>0</v>
      </c>
      <c r="L521" t="n">
        <v>0</v>
      </c>
      <c r="M521" t="n">
        <v>0</v>
      </c>
      <c r="N521" t="n">
        <v>0</v>
      </c>
      <c r="O521" t="n">
        <v>0</v>
      </c>
      <c r="P521" t="n">
        <v>0</v>
      </c>
      <c r="Q521" t="n">
        <v>0</v>
      </c>
      <c r="R521" s="2" t="inlineStr"/>
    </row>
    <row r="522" ht="15" customHeight="1">
      <c r="A522" t="inlineStr">
        <is>
          <t>A 17297-2019</t>
        </is>
      </c>
      <c r="B522" s="1" t="n">
        <v>43552</v>
      </c>
      <c r="C522" s="1" t="n">
        <v>45343</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17389-2019</t>
        </is>
      </c>
      <c r="B523" s="1" t="n">
        <v>43552</v>
      </c>
      <c r="C523" s="1" t="n">
        <v>45343</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17292-2019</t>
        </is>
      </c>
      <c r="B524" s="1" t="n">
        <v>43552</v>
      </c>
      <c r="C524" s="1" t="n">
        <v>45343</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17390-2019</t>
        </is>
      </c>
      <c r="B525" s="1" t="n">
        <v>43552</v>
      </c>
      <c r="C525" s="1" t="n">
        <v>45343</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17582-2019</t>
        </is>
      </c>
      <c r="B526" s="1" t="n">
        <v>43553</v>
      </c>
      <c r="C526" s="1" t="n">
        <v>45343</v>
      </c>
      <c r="D526" t="inlineStr">
        <is>
          <t>STOCKHOLMS LÄN</t>
        </is>
      </c>
      <c r="E526" t="inlineStr">
        <is>
          <t>NORRTÄLJE</t>
        </is>
      </c>
      <c r="G526" t="n">
        <v>1.9</v>
      </c>
      <c r="H526" t="n">
        <v>0</v>
      </c>
      <c r="I526" t="n">
        <v>0</v>
      </c>
      <c r="J526" t="n">
        <v>0</v>
      </c>
      <c r="K526" t="n">
        <v>0</v>
      </c>
      <c r="L526" t="n">
        <v>0</v>
      </c>
      <c r="M526" t="n">
        <v>0</v>
      </c>
      <c r="N526" t="n">
        <v>0</v>
      </c>
      <c r="O526" t="n">
        <v>0</v>
      </c>
      <c r="P526" t="n">
        <v>0</v>
      </c>
      <c r="Q526" t="n">
        <v>0</v>
      </c>
      <c r="R526" s="2" t="inlineStr"/>
    </row>
    <row r="527" ht="15" customHeight="1">
      <c r="A527" t="inlineStr">
        <is>
          <t>A 17552-2019</t>
        </is>
      </c>
      <c r="B527" s="1" t="n">
        <v>43553</v>
      </c>
      <c r="C527" s="1" t="n">
        <v>45343</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17752-2019</t>
        </is>
      </c>
      <c r="B528" s="1" t="n">
        <v>43556</v>
      </c>
      <c r="C528" s="1" t="n">
        <v>45343</v>
      </c>
      <c r="D528" t="inlineStr">
        <is>
          <t>STOCKHOLMS LÄN</t>
        </is>
      </c>
      <c r="E528" t="inlineStr">
        <is>
          <t>NORRTÄLJE</t>
        </is>
      </c>
      <c r="G528" t="n">
        <v>3</v>
      </c>
      <c r="H528" t="n">
        <v>0</v>
      </c>
      <c r="I528" t="n">
        <v>0</v>
      </c>
      <c r="J528" t="n">
        <v>0</v>
      </c>
      <c r="K528" t="n">
        <v>0</v>
      </c>
      <c r="L528" t="n">
        <v>0</v>
      </c>
      <c r="M528" t="n">
        <v>0</v>
      </c>
      <c r="N528" t="n">
        <v>0</v>
      </c>
      <c r="O528" t="n">
        <v>0</v>
      </c>
      <c r="P528" t="n">
        <v>0</v>
      </c>
      <c r="Q528" t="n">
        <v>0</v>
      </c>
      <c r="R528" s="2" t="inlineStr"/>
    </row>
    <row r="529" ht="15" customHeight="1">
      <c r="A529" t="inlineStr">
        <is>
          <t>A 17795-2019</t>
        </is>
      </c>
      <c r="B529" s="1" t="n">
        <v>43556</v>
      </c>
      <c r="C529" s="1" t="n">
        <v>45343</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17757-2019</t>
        </is>
      </c>
      <c r="B530" s="1" t="n">
        <v>43556</v>
      </c>
      <c r="C530" s="1" t="n">
        <v>45343</v>
      </c>
      <c r="D530" t="inlineStr">
        <is>
          <t>STOCKHOLMS LÄN</t>
        </is>
      </c>
      <c r="E530" t="inlineStr">
        <is>
          <t>NORRTÄLJE</t>
        </is>
      </c>
      <c r="G530" t="n">
        <v>2.5</v>
      </c>
      <c r="H530" t="n">
        <v>0</v>
      </c>
      <c r="I530" t="n">
        <v>0</v>
      </c>
      <c r="J530" t="n">
        <v>0</v>
      </c>
      <c r="K530" t="n">
        <v>0</v>
      </c>
      <c r="L530" t="n">
        <v>0</v>
      </c>
      <c r="M530" t="n">
        <v>0</v>
      </c>
      <c r="N530" t="n">
        <v>0</v>
      </c>
      <c r="O530" t="n">
        <v>0</v>
      </c>
      <c r="P530" t="n">
        <v>0</v>
      </c>
      <c r="Q530" t="n">
        <v>0</v>
      </c>
      <c r="R530" s="2" t="inlineStr"/>
    </row>
    <row r="531" ht="15" customHeight="1">
      <c r="A531" t="inlineStr">
        <is>
          <t>A 17963-2019</t>
        </is>
      </c>
      <c r="B531" s="1" t="n">
        <v>43557</v>
      </c>
      <c r="C531" s="1" t="n">
        <v>45343</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18378-2019</t>
        </is>
      </c>
      <c r="B532" s="1" t="n">
        <v>43559</v>
      </c>
      <c r="C532" s="1" t="n">
        <v>45343</v>
      </c>
      <c r="D532" t="inlineStr">
        <is>
          <t>STOCKHOLMS LÄN</t>
        </is>
      </c>
      <c r="E532" t="inlineStr">
        <is>
          <t>NORRTÄLJE</t>
        </is>
      </c>
      <c r="G532" t="n">
        <v>5.8</v>
      </c>
      <c r="H532" t="n">
        <v>0</v>
      </c>
      <c r="I532" t="n">
        <v>0</v>
      </c>
      <c r="J532" t="n">
        <v>0</v>
      </c>
      <c r="K532" t="n">
        <v>0</v>
      </c>
      <c r="L532" t="n">
        <v>0</v>
      </c>
      <c r="M532" t="n">
        <v>0</v>
      </c>
      <c r="N532" t="n">
        <v>0</v>
      </c>
      <c r="O532" t="n">
        <v>0</v>
      </c>
      <c r="P532" t="n">
        <v>0</v>
      </c>
      <c r="Q532" t="n">
        <v>0</v>
      </c>
      <c r="R532" s="2" t="inlineStr"/>
    </row>
    <row r="533" ht="15" customHeight="1">
      <c r="A533" t="inlineStr">
        <is>
          <t>A 18664-2019</t>
        </is>
      </c>
      <c r="B533" s="1" t="n">
        <v>43560</v>
      </c>
      <c r="C533" s="1" t="n">
        <v>45343</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18767-2019</t>
        </is>
      </c>
      <c r="B534" s="1" t="n">
        <v>43560</v>
      </c>
      <c r="C534" s="1" t="n">
        <v>45343</v>
      </c>
      <c r="D534" t="inlineStr">
        <is>
          <t>STOCKHOLMS LÄN</t>
        </is>
      </c>
      <c r="E534" t="inlineStr">
        <is>
          <t>NORRTÄLJE</t>
        </is>
      </c>
      <c r="G534" t="n">
        <v>4</v>
      </c>
      <c r="H534" t="n">
        <v>0</v>
      </c>
      <c r="I534" t="n">
        <v>0</v>
      </c>
      <c r="J534" t="n">
        <v>0</v>
      </c>
      <c r="K534" t="n">
        <v>0</v>
      </c>
      <c r="L534" t="n">
        <v>0</v>
      </c>
      <c r="M534" t="n">
        <v>0</v>
      </c>
      <c r="N534" t="n">
        <v>0</v>
      </c>
      <c r="O534" t="n">
        <v>0</v>
      </c>
      <c r="P534" t="n">
        <v>0</v>
      </c>
      <c r="Q534" t="n">
        <v>0</v>
      </c>
      <c r="R534" s="2" t="inlineStr"/>
    </row>
    <row r="535" ht="15" customHeight="1">
      <c r="A535" t="inlineStr">
        <is>
          <t>A 18820-2019</t>
        </is>
      </c>
      <c r="B535" s="1" t="n">
        <v>43563</v>
      </c>
      <c r="C535" s="1" t="n">
        <v>45343</v>
      </c>
      <c r="D535" t="inlineStr">
        <is>
          <t>STOCKHOLMS LÄN</t>
        </is>
      </c>
      <c r="E535" t="inlineStr">
        <is>
          <t>NORRTÄLJE</t>
        </is>
      </c>
      <c r="G535" t="n">
        <v>3</v>
      </c>
      <c r="H535" t="n">
        <v>0</v>
      </c>
      <c r="I535" t="n">
        <v>0</v>
      </c>
      <c r="J535" t="n">
        <v>0</v>
      </c>
      <c r="K535" t="n">
        <v>0</v>
      </c>
      <c r="L535" t="n">
        <v>0</v>
      </c>
      <c r="M535" t="n">
        <v>0</v>
      </c>
      <c r="N535" t="n">
        <v>0</v>
      </c>
      <c r="O535" t="n">
        <v>0</v>
      </c>
      <c r="P535" t="n">
        <v>0</v>
      </c>
      <c r="Q535" t="n">
        <v>0</v>
      </c>
      <c r="R535" s="2" t="inlineStr"/>
    </row>
    <row r="536" ht="15" customHeight="1">
      <c r="A536" t="inlineStr">
        <is>
          <t>A 18890-2019</t>
        </is>
      </c>
      <c r="B536" s="1" t="n">
        <v>43563</v>
      </c>
      <c r="C536" s="1" t="n">
        <v>45343</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18909-2019</t>
        </is>
      </c>
      <c r="B537" s="1" t="n">
        <v>43563</v>
      </c>
      <c r="C537" s="1" t="n">
        <v>45343</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19026-2019</t>
        </is>
      </c>
      <c r="B538" s="1" t="n">
        <v>43563</v>
      </c>
      <c r="C538" s="1" t="n">
        <v>45343</v>
      </c>
      <c r="D538" t="inlineStr">
        <is>
          <t>STOCKHOLMS LÄN</t>
        </is>
      </c>
      <c r="E538" t="inlineStr">
        <is>
          <t>NORRTÄLJE</t>
        </is>
      </c>
      <c r="G538" t="n">
        <v>4.4</v>
      </c>
      <c r="H538" t="n">
        <v>0</v>
      </c>
      <c r="I538" t="n">
        <v>0</v>
      </c>
      <c r="J538" t="n">
        <v>0</v>
      </c>
      <c r="K538" t="n">
        <v>0</v>
      </c>
      <c r="L538" t="n">
        <v>0</v>
      </c>
      <c r="M538" t="n">
        <v>0</v>
      </c>
      <c r="N538" t="n">
        <v>0</v>
      </c>
      <c r="O538" t="n">
        <v>0</v>
      </c>
      <c r="P538" t="n">
        <v>0</v>
      </c>
      <c r="Q538" t="n">
        <v>0</v>
      </c>
      <c r="R538" s="2" t="inlineStr"/>
    </row>
    <row r="539" ht="15" customHeight="1">
      <c r="A539" t="inlineStr">
        <is>
          <t>A 19014-2019</t>
        </is>
      </c>
      <c r="B539" s="1" t="n">
        <v>43563</v>
      </c>
      <c r="C539" s="1" t="n">
        <v>45343</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19247-2019</t>
        </is>
      </c>
      <c r="B540" s="1" t="n">
        <v>43564</v>
      </c>
      <c r="C540" s="1" t="n">
        <v>45343</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19255-2019</t>
        </is>
      </c>
      <c r="B541" s="1" t="n">
        <v>43564</v>
      </c>
      <c r="C541" s="1" t="n">
        <v>45343</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19302-2019</t>
        </is>
      </c>
      <c r="B542" s="1" t="n">
        <v>43565</v>
      </c>
      <c r="C542" s="1" t="n">
        <v>45343</v>
      </c>
      <c r="D542" t="inlineStr">
        <is>
          <t>STOCKHOLMS LÄN</t>
        </is>
      </c>
      <c r="E542" t="inlineStr">
        <is>
          <t>NORRTÄLJE</t>
        </is>
      </c>
      <c r="F542" t="inlineStr">
        <is>
          <t>Kommuner</t>
        </is>
      </c>
      <c r="G542" t="n">
        <v>4.2</v>
      </c>
      <c r="H542" t="n">
        <v>0</v>
      </c>
      <c r="I542" t="n">
        <v>0</v>
      </c>
      <c r="J542" t="n">
        <v>0</v>
      </c>
      <c r="K542" t="n">
        <v>0</v>
      </c>
      <c r="L542" t="n">
        <v>0</v>
      </c>
      <c r="M542" t="n">
        <v>0</v>
      </c>
      <c r="N542" t="n">
        <v>0</v>
      </c>
      <c r="O542" t="n">
        <v>0</v>
      </c>
      <c r="P542" t="n">
        <v>0</v>
      </c>
      <c r="Q542" t="n">
        <v>0</v>
      </c>
      <c r="R542" s="2" t="inlineStr"/>
    </row>
    <row r="543" ht="15" customHeight="1">
      <c r="A543" t="inlineStr">
        <is>
          <t>A 19301-2019</t>
        </is>
      </c>
      <c r="B543" s="1" t="n">
        <v>43565</v>
      </c>
      <c r="C543" s="1" t="n">
        <v>45343</v>
      </c>
      <c r="D543" t="inlineStr">
        <is>
          <t>STOCKHOLMS LÄN</t>
        </is>
      </c>
      <c r="E543" t="inlineStr">
        <is>
          <t>NORRTÄLJE</t>
        </is>
      </c>
      <c r="F543" t="inlineStr">
        <is>
          <t>Kommuner</t>
        </is>
      </c>
      <c r="G543" t="n">
        <v>3.9</v>
      </c>
      <c r="H543" t="n">
        <v>0</v>
      </c>
      <c r="I543" t="n">
        <v>0</v>
      </c>
      <c r="J543" t="n">
        <v>0</v>
      </c>
      <c r="K543" t="n">
        <v>0</v>
      </c>
      <c r="L543" t="n">
        <v>0</v>
      </c>
      <c r="M543" t="n">
        <v>0</v>
      </c>
      <c r="N543" t="n">
        <v>0</v>
      </c>
      <c r="O543" t="n">
        <v>0</v>
      </c>
      <c r="P543" t="n">
        <v>0</v>
      </c>
      <c r="Q543" t="n">
        <v>0</v>
      </c>
      <c r="R543" s="2" t="inlineStr"/>
    </row>
    <row r="544" ht="15" customHeight="1">
      <c r="A544" t="inlineStr">
        <is>
          <t>A 19297-2019</t>
        </is>
      </c>
      <c r="B544" s="1" t="n">
        <v>43565</v>
      </c>
      <c r="C544" s="1" t="n">
        <v>45343</v>
      </c>
      <c r="D544" t="inlineStr">
        <is>
          <t>STOCKHOLMS LÄN</t>
        </is>
      </c>
      <c r="E544" t="inlineStr">
        <is>
          <t>NORRTÄLJE</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19537-2019</t>
        </is>
      </c>
      <c r="B545" s="1" t="n">
        <v>43565</v>
      </c>
      <c r="C545" s="1" t="n">
        <v>45343</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19539-2019</t>
        </is>
      </c>
      <c r="B546" s="1" t="n">
        <v>43565</v>
      </c>
      <c r="C546" s="1" t="n">
        <v>45343</v>
      </c>
      <c r="D546" t="inlineStr">
        <is>
          <t>STOCKHOLMS LÄN</t>
        </is>
      </c>
      <c r="E546" t="inlineStr">
        <is>
          <t>NORRTÄLJE</t>
        </is>
      </c>
      <c r="G546" t="n">
        <v>2.4</v>
      </c>
      <c r="H546" t="n">
        <v>0</v>
      </c>
      <c r="I546" t="n">
        <v>0</v>
      </c>
      <c r="J546" t="n">
        <v>0</v>
      </c>
      <c r="K546" t="n">
        <v>0</v>
      </c>
      <c r="L546" t="n">
        <v>0</v>
      </c>
      <c r="M546" t="n">
        <v>0</v>
      </c>
      <c r="N546" t="n">
        <v>0</v>
      </c>
      <c r="O546" t="n">
        <v>0</v>
      </c>
      <c r="P546" t="n">
        <v>0</v>
      </c>
      <c r="Q546" t="n">
        <v>0</v>
      </c>
      <c r="R546" s="2" t="inlineStr"/>
    </row>
    <row r="547" ht="15" customHeight="1">
      <c r="A547" t="inlineStr">
        <is>
          <t>A 19540-2019</t>
        </is>
      </c>
      <c r="B547" s="1" t="n">
        <v>43565</v>
      </c>
      <c r="C547" s="1" t="n">
        <v>45343</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19638-2019</t>
        </is>
      </c>
      <c r="B548" s="1" t="n">
        <v>43566</v>
      </c>
      <c r="C548" s="1" t="n">
        <v>45343</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19593-2019</t>
        </is>
      </c>
      <c r="B549" s="1" t="n">
        <v>43566</v>
      </c>
      <c r="C549" s="1" t="n">
        <v>45343</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19872-2019</t>
        </is>
      </c>
      <c r="B550" s="1" t="n">
        <v>43567</v>
      </c>
      <c r="C550" s="1" t="n">
        <v>45343</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19811-2019</t>
        </is>
      </c>
      <c r="B551" s="1" t="n">
        <v>43567</v>
      </c>
      <c r="C551" s="1" t="n">
        <v>45343</v>
      </c>
      <c r="D551" t="inlineStr">
        <is>
          <t>STOCKHOLMS LÄN</t>
        </is>
      </c>
      <c r="E551" t="inlineStr">
        <is>
          <t>NORRTÄLJE</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19812-2019</t>
        </is>
      </c>
      <c r="B552" s="1" t="n">
        <v>43567</v>
      </c>
      <c r="C552" s="1" t="n">
        <v>45343</v>
      </c>
      <c r="D552" t="inlineStr">
        <is>
          <t>STOCKHOLMS LÄN</t>
        </is>
      </c>
      <c r="E552" t="inlineStr">
        <is>
          <t>NORRTÄLJE</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19931-2019</t>
        </is>
      </c>
      <c r="B553" s="1" t="n">
        <v>43568</v>
      </c>
      <c r="C553" s="1" t="n">
        <v>45343</v>
      </c>
      <c r="D553" t="inlineStr">
        <is>
          <t>STOCKHOLMS LÄN</t>
        </is>
      </c>
      <c r="E553" t="inlineStr">
        <is>
          <t>NORRTÄLJE</t>
        </is>
      </c>
      <c r="G553" t="n">
        <v>4.2</v>
      </c>
      <c r="H553" t="n">
        <v>0</v>
      </c>
      <c r="I553" t="n">
        <v>0</v>
      </c>
      <c r="J553" t="n">
        <v>0</v>
      </c>
      <c r="K553" t="n">
        <v>0</v>
      </c>
      <c r="L553" t="n">
        <v>0</v>
      </c>
      <c r="M553" t="n">
        <v>0</v>
      </c>
      <c r="N553" t="n">
        <v>0</v>
      </c>
      <c r="O553" t="n">
        <v>0</v>
      </c>
      <c r="P553" t="n">
        <v>0</v>
      </c>
      <c r="Q553" t="n">
        <v>0</v>
      </c>
      <c r="R553" s="2" t="inlineStr"/>
    </row>
    <row r="554" ht="15" customHeight="1">
      <c r="A554" t="inlineStr">
        <is>
          <t>A 20033-2019</t>
        </is>
      </c>
      <c r="B554" s="1" t="n">
        <v>43570</v>
      </c>
      <c r="C554" s="1" t="n">
        <v>45343</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20020-2019</t>
        </is>
      </c>
      <c r="B555" s="1" t="n">
        <v>43570</v>
      </c>
      <c r="C555" s="1" t="n">
        <v>45343</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20051-2019</t>
        </is>
      </c>
      <c r="B556" s="1" t="n">
        <v>43570</v>
      </c>
      <c r="C556" s="1" t="n">
        <v>45343</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20137-2019</t>
        </is>
      </c>
      <c r="B557" s="1" t="n">
        <v>43570</v>
      </c>
      <c r="C557" s="1" t="n">
        <v>45343</v>
      </c>
      <c r="D557" t="inlineStr">
        <is>
          <t>STOCKHOLMS LÄN</t>
        </is>
      </c>
      <c r="E557" t="inlineStr">
        <is>
          <t>NORRTÄLJE</t>
        </is>
      </c>
      <c r="G557" t="n">
        <v>3</v>
      </c>
      <c r="H557" t="n">
        <v>0</v>
      </c>
      <c r="I557" t="n">
        <v>0</v>
      </c>
      <c r="J557" t="n">
        <v>0</v>
      </c>
      <c r="K557" t="n">
        <v>0</v>
      </c>
      <c r="L557" t="n">
        <v>0</v>
      </c>
      <c r="M557" t="n">
        <v>0</v>
      </c>
      <c r="N557" t="n">
        <v>0</v>
      </c>
      <c r="O557" t="n">
        <v>0</v>
      </c>
      <c r="P557" t="n">
        <v>0</v>
      </c>
      <c r="Q557" t="n">
        <v>0</v>
      </c>
      <c r="R557" s="2" t="inlineStr"/>
    </row>
    <row r="558" ht="15" customHeight="1">
      <c r="A558" t="inlineStr">
        <is>
          <t>A 20007-2019</t>
        </is>
      </c>
      <c r="B558" s="1" t="n">
        <v>43570</v>
      </c>
      <c r="C558" s="1" t="n">
        <v>45343</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20052-2019</t>
        </is>
      </c>
      <c r="B559" s="1" t="n">
        <v>43570</v>
      </c>
      <c r="C559" s="1" t="n">
        <v>45343</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20159-2019</t>
        </is>
      </c>
      <c r="B560" s="1" t="n">
        <v>43570</v>
      </c>
      <c r="C560" s="1" t="n">
        <v>45343</v>
      </c>
      <c r="D560" t="inlineStr">
        <is>
          <t>STOCKHOLMS LÄN</t>
        </is>
      </c>
      <c r="E560" t="inlineStr">
        <is>
          <t>NORRTÄLJE</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20181-2019</t>
        </is>
      </c>
      <c r="B561" s="1" t="n">
        <v>43570</v>
      </c>
      <c r="C561" s="1" t="n">
        <v>45343</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20184-2019</t>
        </is>
      </c>
      <c r="B562" s="1" t="n">
        <v>43570</v>
      </c>
      <c r="C562" s="1" t="n">
        <v>45343</v>
      </c>
      <c r="D562" t="inlineStr">
        <is>
          <t>STOCKHOLMS LÄN</t>
        </is>
      </c>
      <c r="E562" t="inlineStr">
        <is>
          <t>NORRTÄLJE</t>
        </is>
      </c>
      <c r="G562" t="n">
        <v>2.8</v>
      </c>
      <c r="H562" t="n">
        <v>0</v>
      </c>
      <c r="I562" t="n">
        <v>0</v>
      </c>
      <c r="J562" t="n">
        <v>0</v>
      </c>
      <c r="K562" t="n">
        <v>0</v>
      </c>
      <c r="L562" t="n">
        <v>0</v>
      </c>
      <c r="M562" t="n">
        <v>0</v>
      </c>
      <c r="N562" t="n">
        <v>0</v>
      </c>
      <c r="O562" t="n">
        <v>0</v>
      </c>
      <c r="P562" t="n">
        <v>0</v>
      </c>
      <c r="Q562" t="n">
        <v>0</v>
      </c>
      <c r="R562" s="2" t="inlineStr"/>
    </row>
    <row r="563" ht="15" customHeight="1">
      <c r="A563" t="inlineStr">
        <is>
          <t>A 20193-2019</t>
        </is>
      </c>
      <c r="B563" s="1" t="n">
        <v>43570</v>
      </c>
      <c r="C563" s="1" t="n">
        <v>45343</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20090-2019</t>
        </is>
      </c>
      <c r="B564" s="1" t="n">
        <v>43570</v>
      </c>
      <c r="C564" s="1" t="n">
        <v>45343</v>
      </c>
      <c r="D564" t="inlineStr">
        <is>
          <t>STOCKHOLMS LÄN</t>
        </is>
      </c>
      <c r="E564" t="inlineStr">
        <is>
          <t>NORRTÄLJE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20165-2019</t>
        </is>
      </c>
      <c r="B565" s="1" t="n">
        <v>43570</v>
      </c>
      <c r="C565" s="1" t="n">
        <v>45343</v>
      </c>
      <c r="D565" t="inlineStr">
        <is>
          <t>STOCKHOLMS LÄN</t>
        </is>
      </c>
      <c r="E565" t="inlineStr">
        <is>
          <t>NORRTÄLJE</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20023-2019</t>
        </is>
      </c>
      <c r="B566" s="1" t="n">
        <v>43570</v>
      </c>
      <c r="C566" s="1" t="n">
        <v>45343</v>
      </c>
      <c r="D566" t="inlineStr">
        <is>
          <t>STOCKHOLMS LÄN</t>
        </is>
      </c>
      <c r="E566" t="inlineStr">
        <is>
          <t>NORRTÄLJE</t>
        </is>
      </c>
      <c r="G566" t="n">
        <v>5.1</v>
      </c>
      <c r="H566" t="n">
        <v>0</v>
      </c>
      <c r="I566" t="n">
        <v>0</v>
      </c>
      <c r="J566" t="n">
        <v>0</v>
      </c>
      <c r="K566" t="n">
        <v>0</v>
      </c>
      <c r="L566" t="n">
        <v>0</v>
      </c>
      <c r="M566" t="n">
        <v>0</v>
      </c>
      <c r="N566" t="n">
        <v>0</v>
      </c>
      <c r="O566" t="n">
        <v>0</v>
      </c>
      <c r="P566" t="n">
        <v>0</v>
      </c>
      <c r="Q566" t="n">
        <v>0</v>
      </c>
      <c r="R566" s="2" t="inlineStr"/>
    </row>
    <row r="567" ht="15" customHeight="1">
      <c r="A567" t="inlineStr">
        <is>
          <t>A 20531-2019</t>
        </is>
      </c>
      <c r="B567" s="1" t="n">
        <v>43572</v>
      </c>
      <c r="C567" s="1" t="n">
        <v>45343</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20743-2019</t>
        </is>
      </c>
      <c r="B568" s="1" t="n">
        <v>43573</v>
      </c>
      <c r="C568" s="1" t="n">
        <v>45343</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20809-2019</t>
        </is>
      </c>
      <c r="B569" s="1" t="n">
        <v>43573</v>
      </c>
      <c r="C569" s="1" t="n">
        <v>45343</v>
      </c>
      <c r="D569" t="inlineStr">
        <is>
          <t>STOCKHOLMS LÄN</t>
        </is>
      </c>
      <c r="E569" t="inlineStr">
        <is>
          <t>NORRTÄLJE</t>
        </is>
      </c>
      <c r="F569" t="inlineStr">
        <is>
          <t>Kommuner</t>
        </is>
      </c>
      <c r="G569" t="n">
        <v>2.2</v>
      </c>
      <c r="H569" t="n">
        <v>0</v>
      </c>
      <c r="I569" t="n">
        <v>0</v>
      </c>
      <c r="J569" t="n">
        <v>0</v>
      </c>
      <c r="K569" t="n">
        <v>0</v>
      </c>
      <c r="L569" t="n">
        <v>0</v>
      </c>
      <c r="M569" t="n">
        <v>0</v>
      </c>
      <c r="N569" t="n">
        <v>0</v>
      </c>
      <c r="O569" t="n">
        <v>0</v>
      </c>
      <c r="P569" t="n">
        <v>0</v>
      </c>
      <c r="Q569" t="n">
        <v>0</v>
      </c>
      <c r="R569" s="2" t="inlineStr"/>
    </row>
    <row r="570" ht="15" customHeight="1">
      <c r="A570" t="inlineStr">
        <is>
          <t>A 20925-2019</t>
        </is>
      </c>
      <c r="B570" s="1" t="n">
        <v>43578</v>
      </c>
      <c r="C570" s="1" t="n">
        <v>45343</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21062-2019</t>
        </is>
      </c>
      <c r="B571" s="1" t="n">
        <v>43578</v>
      </c>
      <c r="C571" s="1" t="n">
        <v>45343</v>
      </c>
      <c r="D571" t="inlineStr">
        <is>
          <t>STOCKHOLMS LÄN</t>
        </is>
      </c>
      <c r="E571" t="inlineStr">
        <is>
          <t>NORRTÄLJE</t>
        </is>
      </c>
      <c r="G571" t="n">
        <v>2.7</v>
      </c>
      <c r="H571" t="n">
        <v>0</v>
      </c>
      <c r="I571" t="n">
        <v>0</v>
      </c>
      <c r="J571" t="n">
        <v>0</v>
      </c>
      <c r="K571" t="n">
        <v>0</v>
      </c>
      <c r="L571" t="n">
        <v>0</v>
      </c>
      <c r="M571" t="n">
        <v>0</v>
      </c>
      <c r="N571" t="n">
        <v>0</v>
      </c>
      <c r="O571" t="n">
        <v>0</v>
      </c>
      <c r="P571" t="n">
        <v>0</v>
      </c>
      <c r="Q571" t="n">
        <v>0</v>
      </c>
      <c r="R571" s="2" t="inlineStr"/>
    </row>
    <row r="572" ht="15" customHeight="1">
      <c r="A572" t="inlineStr">
        <is>
          <t>A 21441-2019</t>
        </is>
      </c>
      <c r="B572" s="1" t="n">
        <v>43580</v>
      </c>
      <c r="C572" s="1" t="n">
        <v>45343</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21521-2019</t>
        </is>
      </c>
      <c r="B573" s="1" t="n">
        <v>43580</v>
      </c>
      <c r="C573" s="1" t="n">
        <v>45343</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21508-2019</t>
        </is>
      </c>
      <c r="B574" s="1" t="n">
        <v>43580</v>
      </c>
      <c r="C574" s="1" t="n">
        <v>45343</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21457-2019</t>
        </is>
      </c>
      <c r="B575" s="1" t="n">
        <v>43580</v>
      </c>
      <c r="C575" s="1" t="n">
        <v>45343</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21501-2019</t>
        </is>
      </c>
      <c r="B576" s="1" t="n">
        <v>43580</v>
      </c>
      <c r="C576" s="1" t="n">
        <v>45343</v>
      </c>
      <c r="D576" t="inlineStr">
        <is>
          <t>STOCKHOLMS LÄN</t>
        </is>
      </c>
      <c r="E576" t="inlineStr">
        <is>
          <t>NORRTÄLJE</t>
        </is>
      </c>
      <c r="G576" t="n">
        <v>3.6</v>
      </c>
      <c r="H576" t="n">
        <v>0</v>
      </c>
      <c r="I576" t="n">
        <v>0</v>
      </c>
      <c r="J576" t="n">
        <v>0</v>
      </c>
      <c r="K576" t="n">
        <v>0</v>
      </c>
      <c r="L576" t="n">
        <v>0</v>
      </c>
      <c r="M576" t="n">
        <v>0</v>
      </c>
      <c r="N576" t="n">
        <v>0</v>
      </c>
      <c r="O576" t="n">
        <v>0</v>
      </c>
      <c r="P576" t="n">
        <v>0</v>
      </c>
      <c r="Q576" t="n">
        <v>0</v>
      </c>
      <c r="R576" s="2" t="inlineStr"/>
    </row>
    <row r="577" ht="15" customHeight="1">
      <c r="A577" t="inlineStr">
        <is>
          <t>A 21616-2019</t>
        </is>
      </c>
      <c r="B577" s="1" t="n">
        <v>43581</v>
      </c>
      <c r="C577" s="1" t="n">
        <v>45343</v>
      </c>
      <c r="D577" t="inlineStr">
        <is>
          <t>STOCKHOLMS LÄN</t>
        </is>
      </c>
      <c r="E577" t="inlineStr">
        <is>
          <t>NORRTÄLJE</t>
        </is>
      </c>
      <c r="G577" t="n">
        <v>5.3</v>
      </c>
      <c r="H577" t="n">
        <v>0</v>
      </c>
      <c r="I577" t="n">
        <v>0</v>
      </c>
      <c r="J577" t="n">
        <v>0</v>
      </c>
      <c r="K577" t="n">
        <v>0</v>
      </c>
      <c r="L577" t="n">
        <v>0</v>
      </c>
      <c r="M577" t="n">
        <v>0</v>
      </c>
      <c r="N577" t="n">
        <v>0</v>
      </c>
      <c r="O577" t="n">
        <v>0</v>
      </c>
      <c r="P577" t="n">
        <v>0</v>
      </c>
      <c r="Q577" t="n">
        <v>0</v>
      </c>
      <c r="R577" s="2" t="inlineStr"/>
    </row>
    <row r="578" ht="15" customHeight="1">
      <c r="A578" t="inlineStr">
        <is>
          <t>A 21662-2019</t>
        </is>
      </c>
      <c r="B578" s="1" t="n">
        <v>43581</v>
      </c>
      <c r="C578" s="1" t="n">
        <v>45343</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21720-2019</t>
        </is>
      </c>
      <c r="B579" s="1" t="n">
        <v>43581</v>
      </c>
      <c r="C579" s="1" t="n">
        <v>45343</v>
      </c>
      <c r="D579" t="inlineStr">
        <is>
          <t>STOCKHOLMS LÄN</t>
        </is>
      </c>
      <c r="E579" t="inlineStr">
        <is>
          <t>NORRTÄLJE</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21692-2019</t>
        </is>
      </c>
      <c r="B580" s="1" t="n">
        <v>43581</v>
      </c>
      <c r="C580" s="1" t="n">
        <v>45343</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21811-2019</t>
        </is>
      </c>
      <c r="B581" s="1" t="n">
        <v>43582</v>
      </c>
      <c r="C581" s="1" t="n">
        <v>45343</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22207-2019</t>
        </is>
      </c>
      <c r="B582" s="1" t="n">
        <v>43585</v>
      </c>
      <c r="C582" s="1" t="n">
        <v>45343</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22211-2019</t>
        </is>
      </c>
      <c r="B583" s="1" t="n">
        <v>43585</v>
      </c>
      <c r="C583" s="1" t="n">
        <v>45343</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22254-2019</t>
        </is>
      </c>
      <c r="B584" s="1" t="n">
        <v>43585</v>
      </c>
      <c r="C584" s="1" t="n">
        <v>45343</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22218-2019</t>
        </is>
      </c>
      <c r="B585" s="1" t="n">
        <v>43585</v>
      </c>
      <c r="C585" s="1" t="n">
        <v>45343</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22331-2019</t>
        </is>
      </c>
      <c r="B586" s="1" t="n">
        <v>43586</v>
      </c>
      <c r="C586" s="1" t="n">
        <v>45343</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22359-2019</t>
        </is>
      </c>
      <c r="B587" s="1" t="n">
        <v>43587</v>
      </c>
      <c r="C587" s="1" t="n">
        <v>45343</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22422-2019</t>
        </is>
      </c>
      <c r="B588" s="1" t="n">
        <v>43587</v>
      </c>
      <c r="C588" s="1" t="n">
        <v>45343</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22490-2019</t>
        </is>
      </c>
      <c r="B589" s="1" t="n">
        <v>43587</v>
      </c>
      <c r="C589" s="1" t="n">
        <v>45343</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22496-2019</t>
        </is>
      </c>
      <c r="B590" s="1" t="n">
        <v>43587</v>
      </c>
      <c r="C590" s="1" t="n">
        <v>45343</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23711-2019</t>
        </is>
      </c>
      <c r="B591" s="1" t="n">
        <v>43594</v>
      </c>
      <c r="C591" s="1" t="n">
        <v>45343</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23710-2019</t>
        </is>
      </c>
      <c r="B592" s="1" t="n">
        <v>43594</v>
      </c>
      <c r="C592" s="1" t="n">
        <v>45343</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23862-2019</t>
        </is>
      </c>
      <c r="B593" s="1" t="n">
        <v>43595</v>
      </c>
      <c r="C593" s="1" t="n">
        <v>45343</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23878-2019</t>
        </is>
      </c>
      <c r="B594" s="1" t="n">
        <v>43595</v>
      </c>
      <c r="C594" s="1" t="n">
        <v>45343</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23961-2019</t>
        </is>
      </c>
      <c r="B595" s="1" t="n">
        <v>43597</v>
      </c>
      <c r="C595" s="1" t="n">
        <v>45343</v>
      </c>
      <c r="D595" t="inlineStr">
        <is>
          <t>STOCKHOLMS LÄN</t>
        </is>
      </c>
      <c r="E595" t="inlineStr">
        <is>
          <t>NORRTÄLJE</t>
        </is>
      </c>
      <c r="G595" t="n">
        <v>17.6</v>
      </c>
      <c r="H595" t="n">
        <v>0</v>
      </c>
      <c r="I595" t="n">
        <v>0</v>
      </c>
      <c r="J595" t="n">
        <v>0</v>
      </c>
      <c r="K595" t="n">
        <v>0</v>
      </c>
      <c r="L595" t="n">
        <v>0</v>
      </c>
      <c r="M595" t="n">
        <v>0</v>
      </c>
      <c r="N595" t="n">
        <v>0</v>
      </c>
      <c r="O595" t="n">
        <v>0</v>
      </c>
      <c r="P595" t="n">
        <v>0</v>
      </c>
      <c r="Q595" t="n">
        <v>0</v>
      </c>
      <c r="R595" s="2" t="inlineStr"/>
    </row>
    <row r="596" ht="15" customHeight="1">
      <c r="A596" t="inlineStr">
        <is>
          <t>A 23965-2019</t>
        </is>
      </c>
      <c r="B596" s="1" t="n">
        <v>43597</v>
      </c>
      <c r="C596" s="1" t="n">
        <v>45343</v>
      </c>
      <c r="D596" t="inlineStr">
        <is>
          <t>STOCKHOLMS LÄN</t>
        </is>
      </c>
      <c r="E596" t="inlineStr">
        <is>
          <t>NORRTÄLJE</t>
        </is>
      </c>
      <c r="G596" t="n">
        <v>6.1</v>
      </c>
      <c r="H596" t="n">
        <v>0</v>
      </c>
      <c r="I596" t="n">
        <v>0</v>
      </c>
      <c r="J596" t="n">
        <v>0</v>
      </c>
      <c r="K596" t="n">
        <v>0</v>
      </c>
      <c r="L596" t="n">
        <v>0</v>
      </c>
      <c r="M596" t="n">
        <v>0</v>
      </c>
      <c r="N596" t="n">
        <v>0</v>
      </c>
      <c r="O596" t="n">
        <v>0</v>
      </c>
      <c r="P596" t="n">
        <v>0</v>
      </c>
      <c r="Q596" t="n">
        <v>0</v>
      </c>
      <c r="R596" s="2" t="inlineStr"/>
    </row>
    <row r="597" ht="15" customHeight="1">
      <c r="A597" t="inlineStr">
        <is>
          <t>A 23963-2019</t>
        </is>
      </c>
      <c r="B597" s="1" t="n">
        <v>43597</v>
      </c>
      <c r="C597" s="1" t="n">
        <v>45343</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24124-2019</t>
        </is>
      </c>
      <c r="B598" s="1" t="n">
        <v>43598</v>
      </c>
      <c r="C598" s="1" t="n">
        <v>45343</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24058-2019</t>
        </is>
      </c>
      <c r="B599" s="1" t="n">
        <v>43598</v>
      </c>
      <c r="C599" s="1" t="n">
        <v>45343</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24562-2019</t>
        </is>
      </c>
      <c r="B600" s="1" t="n">
        <v>43600</v>
      </c>
      <c r="C600" s="1" t="n">
        <v>45343</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24721-2019</t>
        </is>
      </c>
      <c r="B601" s="1" t="n">
        <v>43601</v>
      </c>
      <c r="C601" s="1" t="n">
        <v>45343</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25284-2019</t>
        </is>
      </c>
      <c r="B602" s="1" t="n">
        <v>43605</v>
      </c>
      <c r="C602" s="1" t="n">
        <v>45343</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25535-2019</t>
        </is>
      </c>
      <c r="B603" s="1" t="n">
        <v>43606</v>
      </c>
      <c r="C603" s="1" t="n">
        <v>45343</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25316-2019</t>
        </is>
      </c>
      <c r="B604" s="1" t="n">
        <v>43606</v>
      </c>
      <c r="C604" s="1" t="n">
        <v>45343</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26374-2019</t>
        </is>
      </c>
      <c r="B605" s="1" t="n">
        <v>43606</v>
      </c>
      <c r="C605" s="1" t="n">
        <v>45343</v>
      </c>
      <c r="D605" t="inlineStr">
        <is>
          <t>STOCKHOLMS LÄN</t>
        </is>
      </c>
      <c r="E605" t="inlineStr">
        <is>
          <t>NORRTÄLJE</t>
        </is>
      </c>
      <c r="G605" t="n">
        <v>11.6</v>
      </c>
      <c r="H605" t="n">
        <v>0</v>
      </c>
      <c r="I605" t="n">
        <v>0</v>
      </c>
      <c r="J605" t="n">
        <v>0</v>
      </c>
      <c r="K605" t="n">
        <v>0</v>
      </c>
      <c r="L605" t="n">
        <v>0</v>
      </c>
      <c r="M605" t="n">
        <v>0</v>
      </c>
      <c r="N605" t="n">
        <v>0</v>
      </c>
      <c r="O605" t="n">
        <v>0</v>
      </c>
      <c r="P605" t="n">
        <v>0</v>
      </c>
      <c r="Q605" t="n">
        <v>0</v>
      </c>
      <c r="R605" s="2" t="inlineStr"/>
    </row>
    <row r="606" ht="15" customHeight="1">
      <c r="A606" t="inlineStr">
        <is>
          <t>A 25315-2019</t>
        </is>
      </c>
      <c r="B606" s="1" t="n">
        <v>43606</v>
      </c>
      <c r="C606" s="1" t="n">
        <v>45343</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25625-2019</t>
        </is>
      </c>
      <c r="B607" s="1" t="n">
        <v>43607</v>
      </c>
      <c r="C607" s="1" t="n">
        <v>45343</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26272-2019</t>
        </is>
      </c>
      <c r="B608" s="1" t="n">
        <v>43611</v>
      </c>
      <c r="C608" s="1" t="n">
        <v>45343</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26620-2019</t>
        </is>
      </c>
      <c r="B609" s="1" t="n">
        <v>43612</v>
      </c>
      <c r="C609" s="1" t="n">
        <v>45343</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26391-2019</t>
        </is>
      </c>
      <c r="B610" s="1" t="n">
        <v>43612</v>
      </c>
      <c r="C610" s="1" t="n">
        <v>45343</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26933-2019</t>
        </is>
      </c>
      <c r="B611" s="1" t="n">
        <v>43613</v>
      </c>
      <c r="C611" s="1" t="n">
        <v>45343</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26830-2019</t>
        </is>
      </c>
      <c r="B612" s="1" t="n">
        <v>43613</v>
      </c>
      <c r="C612" s="1" t="n">
        <v>45343</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27095-2019</t>
        </is>
      </c>
      <c r="B613" s="1" t="n">
        <v>43614</v>
      </c>
      <c r="C613" s="1" t="n">
        <v>45343</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28157-2019</t>
        </is>
      </c>
      <c r="B614" s="1" t="n">
        <v>43614</v>
      </c>
      <c r="C614" s="1" t="n">
        <v>45343</v>
      </c>
      <c r="D614" t="inlineStr">
        <is>
          <t>STOCKHOLMS LÄN</t>
        </is>
      </c>
      <c r="E614" t="inlineStr">
        <is>
          <t>NORRTÄLJE</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27264-2019</t>
        </is>
      </c>
      <c r="B615" s="1" t="n">
        <v>43615</v>
      </c>
      <c r="C615" s="1" t="n">
        <v>45343</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27971-2019</t>
        </is>
      </c>
      <c r="B616" s="1" t="n">
        <v>43620</v>
      </c>
      <c r="C616" s="1" t="n">
        <v>45343</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27967-2019</t>
        </is>
      </c>
      <c r="B617" s="1" t="n">
        <v>43620</v>
      </c>
      <c r="C617" s="1" t="n">
        <v>45343</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28121-2019</t>
        </is>
      </c>
      <c r="B618" s="1" t="n">
        <v>43621</v>
      </c>
      <c r="C618" s="1" t="n">
        <v>45343</v>
      </c>
      <c r="D618" t="inlineStr">
        <is>
          <t>STOCKHOLMS LÄN</t>
        </is>
      </c>
      <c r="E618" t="inlineStr">
        <is>
          <t>NORRTÄLJE</t>
        </is>
      </c>
      <c r="F618" t="inlineStr">
        <is>
          <t>Kyrkan</t>
        </is>
      </c>
      <c r="G618" t="n">
        <v>2.5</v>
      </c>
      <c r="H618" t="n">
        <v>0</v>
      </c>
      <c r="I618" t="n">
        <v>0</v>
      </c>
      <c r="J618" t="n">
        <v>0</v>
      </c>
      <c r="K618" t="n">
        <v>0</v>
      </c>
      <c r="L618" t="n">
        <v>0</v>
      </c>
      <c r="M618" t="n">
        <v>0</v>
      </c>
      <c r="N618" t="n">
        <v>0</v>
      </c>
      <c r="O618" t="n">
        <v>0</v>
      </c>
      <c r="P618" t="n">
        <v>0</v>
      </c>
      <c r="Q618" t="n">
        <v>0</v>
      </c>
      <c r="R618" s="2" t="inlineStr"/>
    </row>
    <row r="619" ht="15" customHeight="1">
      <c r="A619" t="inlineStr">
        <is>
          <t>A 28289-2019</t>
        </is>
      </c>
      <c r="B619" s="1" t="n">
        <v>43623</v>
      </c>
      <c r="C619" s="1" t="n">
        <v>45343</v>
      </c>
      <c r="D619" t="inlineStr">
        <is>
          <t>STOCKHOLMS LÄN</t>
        </is>
      </c>
      <c r="E619" t="inlineStr">
        <is>
          <t>NORRTÄLJE</t>
        </is>
      </c>
      <c r="G619" t="n">
        <v>7.7</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45343</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45343</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45343</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29260-2019</t>
        </is>
      </c>
      <c r="B623" s="1" t="n">
        <v>43629</v>
      </c>
      <c r="C623" s="1" t="n">
        <v>45343</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29312-2019</t>
        </is>
      </c>
      <c r="B624" s="1" t="n">
        <v>43629</v>
      </c>
      <c r="C624" s="1" t="n">
        <v>45343</v>
      </c>
      <c r="D624" t="inlineStr">
        <is>
          <t>STOCKHOLMS LÄN</t>
        </is>
      </c>
      <c r="E624" t="inlineStr">
        <is>
          <t>NORRTÄLJE</t>
        </is>
      </c>
      <c r="G624" t="n">
        <v>7.1</v>
      </c>
      <c r="H624" t="n">
        <v>0</v>
      </c>
      <c r="I624" t="n">
        <v>0</v>
      </c>
      <c r="J624" t="n">
        <v>0</v>
      </c>
      <c r="K624" t="n">
        <v>0</v>
      </c>
      <c r="L624" t="n">
        <v>0</v>
      </c>
      <c r="M624" t="n">
        <v>0</v>
      </c>
      <c r="N624" t="n">
        <v>0</v>
      </c>
      <c r="O624" t="n">
        <v>0</v>
      </c>
      <c r="P624" t="n">
        <v>0</v>
      </c>
      <c r="Q624" t="n">
        <v>0</v>
      </c>
      <c r="R624" s="2" t="inlineStr"/>
    </row>
    <row r="625" ht="15" customHeight="1">
      <c r="A625" t="inlineStr">
        <is>
          <t>A 29759-2019</t>
        </is>
      </c>
      <c r="B625" s="1" t="n">
        <v>43631</v>
      </c>
      <c r="C625" s="1" t="n">
        <v>45343</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30000-2019</t>
        </is>
      </c>
      <c r="B626" s="1" t="n">
        <v>43633</v>
      </c>
      <c r="C626" s="1" t="n">
        <v>45343</v>
      </c>
      <c r="D626" t="inlineStr">
        <is>
          <t>STOCKHOLMS LÄN</t>
        </is>
      </c>
      <c r="E626" t="inlineStr">
        <is>
          <t>NORRTÄLJE</t>
        </is>
      </c>
      <c r="G626" t="n">
        <v>5.4</v>
      </c>
      <c r="H626" t="n">
        <v>0</v>
      </c>
      <c r="I626" t="n">
        <v>0</v>
      </c>
      <c r="J626" t="n">
        <v>0</v>
      </c>
      <c r="K626" t="n">
        <v>0</v>
      </c>
      <c r="L626" t="n">
        <v>0</v>
      </c>
      <c r="M626" t="n">
        <v>0</v>
      </c>
      <c r="N626" t="n">
        <v>0</v>
      </c>
      <c r="O626" t="n">
        <v>0</v>
      </c>
      <c r="P626" t="n">
        <v>0</v>
      </c>
      <c r="Q626" t="n">
        <v>0</v>
      </c>
      <c r="R626" s="2" t="inlineStr"/>
    </row>
    <row r="627" ht="15" customHeight="1">
      <c r="A627" t="inlineStr">
        <is>
          <t>A 30833-2019</t>
        </is>
      </c>
      <c r="B627" s="1" t="n">
        <v>43636</v>
      </c>
      <c r="C627" s="1" t="n">
        <v>45343</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31215-2019</t>
        </is>
      </c>
      <c r="B628" s="1" t="n">
        <v>43640</v>
      </c>
      <c r="C628" s="1" t="n">
        <v>45343</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45343</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31966-2019</t>
        </is>
      </c>
      <c r="B630" s="1" t="n">
        <v>43643</v>
      </c>
      <c r="C630" s="1" t="n">
        <v>45343</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32725-2019</t>
        </is>
      </c>
      <c r="B631" s="1" t="n">
        <v>43647</v>
      </c>
      <c r="C631" s="1" t="n">
        <v>45343</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32726-2019</t>
        </is>
      </c>
      <c r="B632" s="1" t="n">
        <v>43647</v>
      </c>
      <c r="C632" s="1" t="n">
        <v>45343</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33207-2019</t>
        </is>
      </c>
      <c r="B633" s="1" t="n">
        <v>43649</v>
      </c>
      <c r="C633" s="1" t="n">
        <v>45343</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33955-2019</t>
        </is>
      </c>
      <c r="B634" s="1" t="n">
        <v>43654</v>
      </c>
      <c r="C634" s="1" t="n">
        <v>45343</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33966-2019</t>
        </is>
      </c>
      <c r="B635" s="1" t="n">
        <v>43654</v>
      </c>
      <c r="C635" s="1" t="n">
        <v>45343</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35247-2019</t>
        </is>
      </c>
      <c r="B636" s="1" t="n">
        <v>43656</v>
      </c>
      <c r="C636" s="1" t="n">
        <v>45343</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35244-2019</t>
        </is>
      </c>
      <c r="B637" s="1" t="n">
        <v>43656</v>
      </c>
      <c r="C637" s="1" t="n">
        <v>45343</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35249-2019</t>
        </is>
      </c>
      <c r="B638" s="1" t="n">
        <v>43656</v>
      </c>
      <c r="C638" s="1" t="n">
        <v>45343</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35251-2019</t>
        </is>
      </c>
      <c r="B639" s="1" t="n">
        <v>43656</v>
      </c>
      <c r="C639" s="1" t="n">
        <v>45343</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35492-2019</t>
        </is>
      </c>
      <c r="B640" s="1" t="n">
        <v>43663</v>
      </c>
      <c r="C640" s="1" t="n">
        <v>45343</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35770-2019</t>
        </is>
      </c>
      <c r="B641" s="1" t="n">
        <v>43665</v>
      </c>
      <c r="C641" s="1" t="n">
        <v>45343</v>
      </c>
      <c r="D641" t="inlineStr">
        <is>
          <t>STOCKHOLMS LÄN</t>
        </is>
      </c>
      <c r="E641" t="inlineStr">
        <is>
          <t>NORRTÄLJE</t>
        </is>
      </c>
      <c r="G641" t="n">
        <v>6.3</v>
      </c>
      <c r="H641" t="n">
        <v>0</v>
      </c>
      <c r="I641" t="n">
        <v>0</v>
      </c>
      <c r="J641" t="n">
        <v>0</v>
      </c>
      <c r="K641" t="n">
        <v>0</v>
      </c>
      <c r="L641" t="n">
        <v>0</v>
      </c>
      <c r="M641" t="n">
        <v>0</v>
      </c>
      <c r="N641" t="n">
        <v>0</v>
      </c>
      <c r="O641" t="n">
        <v>0</v>
      </c>
      <c r="P641" t="n">
        <v>0</v>
      </c>
      <c r="Q641" t="n">
        <v>0</v>
      </c>
      <c r="R641" s="2" t="inlineStr"/>
    </row>
    <row r="642" ht="15" customHeight="1">
      <c r="A642" t="inlineStr">
        <is>
          <t>A 35766-2019</t>
        </is>
      </c>
      <c r="B642" s="1" t="n">
        <v>43665</v>
      </c>
      <c r="C642" s="1" t="n">
        <v>45343</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36418-2019</t>
        </is>
      </c>
      <c r="B643" s="1" t="n">
        <v>43670</v>
      </c>
      <c r="C643" s="1" t="n">
        <v>45343</v>
      </c>
      <c r="D643" t="inlineStr">
        <is>
          <t>STOCKHOLMS LÄN</t>
        </is>
      </c>
      <c r="E643" t="inlineStr">
        <is>
          <t>NORRTÄLJE</t>
        </is>
      </c>
      <c r="G643" t="n">
        <v>16.8</v>
      </c>
      <c r="H643" t="n">
        <v>0</v>
      </c>
      <c r="I643" t="n">
        <v>0</v>
      </c>
      <c r="J643" t="n">
        <v>0</v>
      </c>
      <c r="K643" t="n">
        <v>0</v>
      </c>
      <c r="L643" t="n">
        <v>0</v>
      </c>
      <c r="M643" t="n">
        <v>0</v>
      </c>
      <c r="N643" t="n">
        <v>0</v>
      </c>
      <c r="O643" t="n">
        <v>0</v>
      </c>
      <c r="P643" t="n">
        <v>0</v>
      </c>
      <c r="Q643" t="n">
        <v>0</v>
      </c>
      <c r="R643" s="2" t="inlineStr"/>
    </row>
    <row r="644" ht="15" customHeight="1">
      <c r="A644" t="inlineStr">
        <is>
          <t>A 37401-2019</t>
        </is>
      </c>
      <c r="B644" s="1" t="n">
        <v>43678</v>
      </c>
      <c r="C644" s="1" t="n">
        <v>45343</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37662-2019</t>
        </is>
      </c>
      <c r="B645" s="1" t="n">
        <v>43682</v>
      </c>
      <c r="C645" s="1" t="n">
        <v>45343</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38144-2019</t>
        </is>
      </c>
      <c r="B646" s="1" t="n">
        <v>43684</v>
      </c>
      <c r="C646" s="1" t="n">
        <v>45343</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38139-2019</t>
        </is>
      </c>
      <c r="B647" s="1" t="n">
        <v>43684</v>
      </c>
      <c r="C647" s="1" t="n">
        <v>45343</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38145-2019</t>
        </is>
      </c>
      <c r="B648" s="1" t="n">
        <v>43684</v>
      </c>
      <c r="C648" s="1" t="n">
        <v>45343</v>
      </c>
      <c r="D648" t="inlineStr">
        <is>
          <t>STOCKHOLMS LÄN</t>
        </is>
      </c>
      <c r="E648" t="inlineStr">
        <is>
          <t>NORRTÄLJE</t>
        </is>
      </c>
      <c r="G648" t="n">
        <v>9.9</v>
      </c>
      <c r="H648" t="n">
        <v>0</v>
      </c>
      <c r="I648" t="n">
        <v>0</v>
      </c>
      <c r="J648" t="n">
        <v>0</v>
      </c>
      <c r="K648" t="n">
        <v>0</v>
      </c>
      <c r="L648" t="n">
        <v>0</v>
      </c>
      <c r="M648" t="n">
        <v>0</v>
      </c>
      <c r="N648" t="n">
        <v>0</v>
      </c>
      <c r="O648" t="n">
        <v>0</v>
      </c>
      <c r="P648" t="n">
        <v>0</v>
      </c>
      <c r="Q648" t="n">
        <v>0</v>
      </c>
      <c r="R648" s="2" t="inlineStr"/>
    </row>
    <row r="649" ht="15" customHeight="1">
      <c r="A649" t="inlineStr">
        <is>
          <t>A 38140-2019</t>
        </is>
      </c>
      <c r="B649" s="1" t="n">
        <v>43684</v>
      </c>
      <c r="C649" s="1" t="n">
        <v>45343</v>
      </c>
      <c r="D649" t="inlineStr">
        <is>
          <t>STOCKHOLMS LÄN</t>
        </is>
      </c>
      <c r="E649" t="inlineStr">
        <is>
          <t>NORRTÄLJE</t>
        </is>
      </c>
      <c r="G649" t="n">
        <v>3.4</v>
      </c>
      <c r="H649" t="n">
        <v>0</v>
      </c>
      <c r="I649" t="n">
        <v>0</v>
      </c>
      <c r="J649" t="n">
        <v>0</v>
      </c>
      <c r="K649" t="n">
        <v>0</v>
      </c>
      <c r="L649" t="n">
        <v>0</v>
      </c>
      <c r="M649" t="n">
        <v>0</v>
      </c>
      <c r="N649" t="n">
        <v>0</v>
      </c>
      <c r="O649" t="n">
        <v>0</v>
      </c>
      <c r="P649" t="n">
        <v>0</v>
      </c>
      <c r="Q649" t="n">
        <v>0</v>
      </c>
      <c r="R649" s="2" t="inlineStr"/>
    </row>
    <row r="650" ht="15" customHeight="1">
      <c r="A650" t="inlineStr">
        <is>
          <t>A 38143-2019</t>
        </is>
      </c>
      <c r="B650" s="1" t="n">
        <v>43684</v>
      </c>
      <c r="C650" s="1" t="n">
        <v>45343</v>
      </c>
      <c r="D650" t="inlineStr">
        <is>
          <t>STOCKHOLMS LÄN</t>
        </is>
      </c>
      <c r="E650" t="inlineStr">
        <is>
          <t>NORRTÄLJE</t>
        </is>
      </c>
      <c r="G650" t="n">
        <v>12.7</v>
      </c>
      <c r="H650" t="n">
        <v>0</v>
      </c>
      <c r="I650" t="n">
        <v>0</v>
      </c>
      <c r="J650" t="n">
        <v>0</v>
      </c>
      <c r="K650" t="n">
        <v>0</v>
      </c>
      <c r="L650" t="n">
        <v>0</v>
      </c>
      <c r="M650" t="n">
        <v>0</v>
      </c>
      <c r="N650" t="n">
        <v>0</v>
      </c>
      <c r="O650" t="n">
        <v>0</v>
      </c>
      <c r="P650" t="n">
        <v>0</v>
      </c>
      <c r="Q650" t="n">
        <v>0</v>
      </c>
      <c r="R650" s="2" t="inlineStr"/>
    </row>
    <row r="651" ht="15" customHeight="1">
      <c r="A651" t="inlineStr">
        <is>
          <t>A 38506-2019</t>
        </is>
      </c>
      <c r="B651" s="1" t="n">
        <v>43685</v>
      </c>
      <c r="C651" s="1" t="n">
        <v>45343</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38605-2019</t>
        </is>
      </c>
      <c r="B652" s="1" t="n">
        <v>43686</v>
      </c>
      <c r="C652" s="1" t="n">
        <v>45343</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38737-2019</t>
        </is>
      </c>
      <c r="B653" s="1" t="n">
        <v>43686</v>
      </c>
      <c r="C653" s="1" t="n">
        <v>45343</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40571-2019</t>
        </is>
      </c>
      <c r="B654" s="1" t="n">
        <v>43696</v>
      </c>
      <c r="C654" s="1" t="n">
        <v>45343</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42330-2019</t>
        </is>
      </c>
      <c r="B655" s="1" t="n">
        <v>43703</v>
      </c>
      <c r="C655" s="1" t="n">
        <v>45343</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43379-2019</t>
        </is>
      </c>
      <c r="B656" s="1" t="n">
        <v>43703</v>
      </c>
      <c r="C656" s="1" t="n">
        <v>45343</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45343</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44643-2019</t>
        </is>
      </c>
      <c r="B658" s="1" t="n">
        <v>43712</v>
      </c>
      <c r="C658" s="1" t="n">
        <v>45343</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45463-2019</t>
        </is>
      </c>
      <c r="B659" s="1" t="n">
        <v>43714</v>
      </c>
      <c r="C659" s="1" t="n">
        <v>45343</v>
      </c>
      <c r="D659" t="inlineStr">
        <is>
          <t>STOCKHOLMS LÄN</t>
        </is>
      </c>
      <c r="E659" t="inlineStr">
        <is>
          <t>NORRTÄLJE</t>
        </is>
      </c>
      <c r="F659" t="inlineStr">
        <is>
          <t>Övriga statliga verk och myndigheter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45477-2019</t>
        </is>
      </c>
      <c r="B660" s="1" t="n">
        <v>43714</v>
      </c>
      <c r="C660" s="1" t="n">
        <v>45343</v>
      </c>
      <c r="D660" t="inlineStr">
        <is>
          <t>STOCKHOLMS LÄN</t>
        </is>
      </c>
      <c r="E660" t="inlineStr">
        <is>
          <t>NORRTÄLJE</t>
        </is>
      </c>
      <c r="F660" t="inlineStr">
        <is>
          <t>Övriga statliga verk och myndigheter</t>
        </is>
      </c>
      <c r="G660" t="n">
        <v>8.9</v>
      </c>
      <c r="H660" t="n">
        <v>0</v>
      </c>
      <c r="I660" t="n">
        <v>0</v>
      </c>
      <c r="J660" t="n">
        <v>0</v>
      </c>
      <c r="K660" t="n">
        <v>0</v>
      </c>
      <c r="L660" t="n">
        <v>0</v>
      </c>
      <c r="M660" t="n">
        <v>0</v>
      </c>
      <c r="N660" t="n">
        <v>0</v>
      </c>
      <c r="O660" t="n">
        <v>0</v>
      </c>
      <c r="P660" t="n">
        <v>0</v>
      </c>
      <c r="Q660" t="n">
        <v>0</v>
      </c>
      <c r="R660" s="2" t="inlineStr"/>
    </row>
    <row r="661" ht="15" customHeight="1">
      <c r="A661" t="inlineStr">
        <is>
          <t>A 46327-2019</t>
        </is>
      </c>
      <c r="B661" s="1" t="n">
        <v>43718</v>
      </c>
      <c r="C661" s="1" t="n">
        <v>45343</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47876-2019</t>
        </is>
      </c>
      <c r="B662" s="1" t="n">
        <v>43725</v>
      </c>
      <c r="C662" s="1" t="n">
        <v>45343</v>
      </c>
      <c r="D662" t="inlineStr">
        <is>
          <t>STOCKHOLMS LÄN</t>
        </is>
      </c>
      <c r="E662" t="inlineStr">
        <is>
          <t>NORRTÄLJE</t>
        </is>
      </c>
      <c r="G662" t="n">
        <v>11.4</v>
      </c>
      <c r="H662" t="n">
        <v>0</v>
      </c>
      <c r="I662" t="n">
        <v>0</v>
      </c>
      <c r="J662" t="n">
        <v>0</v>
      </c>
      <c r="K662" t="n">
        <v>0</v>
      </c>
      <c r="L662" t="n">
        <v>0</v>
      </c>
      <c r="M662" t="n">
        <v>0</v>
      </c>
      <c r="N662" t="n">
        <v>0</v>
      </c>
      <c r="O662" t="n">
        <v>0</v>
      </c>
      <c r="P662" t="n">
        <v>0</v>
      </c>
      <c r="Q662" t="n">
        <v>0</v>
      </c>
      <c r="R662" s="2" t="inlineStr"/>
    </row>
    <row r="663" ht="15" customHeight="1">
      <c r="A663" t="inlineStr">
        <is>
          <t>A 47877-2019</t>
        </is>
      </c>
      <c r="B663" s="1" t="n">
        <v>43725</v>
      </c>
      <c r="C663" s="1" t="n">
        <v>45343</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47903-2019</t>
        </is>
      </c>
      <c r="B664" s="1" t="n">
        <v>43725</v>
      </c>
      <c r="C664" s="1" t="n">
        <v>45343</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47901-2019</t>
        </is>
      </c>
      <c r="B665" s="1" t="n">
        <v>43725</v>
      </c>
      <c r="C665" s="1" t="n">
        <v>45343</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47939-2019</t>
        </is>
      </c>
      <c r="B666" s="1" t="n">
        <v>43725</v>
      </c>
      <c r="C666" s="1" t="n">
        <v>45343</v>
      </c>
      <c r="D666" t="inlineStr">
        <is>
          <t>STOCKHOLMS LÄN</t>
        </is>
      </c>
      <c r="E666" t="inlineStr">
        <is>
          <t>NORRTÄLJE</t>
        </is>
      </c>
      <c r="G666" t="n">
        <v>4.5</v>
      </c>
      <c r="H666" t="n">
        <v>0</v>
      </c>
      <c r="I666" t="n">
        <v>0</v>
      </c>
      <c r="J666" t="n">
        <v>0</v>
      </c>
      <c r="K666" t="n">
        <v>0</v>
      </c>
      <c r="L666" t="n">
        <v>0</v>
      </c>
      <c r="M666" t="n">
        <v>0</v>
      </c>
      <c r="N666" t="n">
        <v>0</v>
      </c>
      <c r="O666" t="n">
        <v>0</v>
      </c>
      <c r="P666" t="n">
        <v>0</v>
      </c>
      <c r="Q666" t="n">
        <v>0</v>
      </c>
      <c r="R666" s="2" t="inlineStr"/>
    </row>
    <row r="667" ht="15" customHeight="1">
      <c r="A667" t="inlineStr">
        <is>
          <t>A 47941-2019</t>
        </is>
      </c>
      <c r="B667" s="1" t="n">
        <v>43725</v>
      </c>
      <c r="C667" s="1" t="n">
        <v>45343</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47879-2019</t>
        </is>
      </c>
      <c r="B668" s="1" t="n">
        <v>43725</v>
      </c>
      <c r="C668" s="1" t="n">
        <v>45343</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48730-2019</t>
        </is>
      </c>
      <c r="B669" s="1" t="n">
        <v>43728</v>
      </c>
      <c r="C669" s="1" t="n">
        <v>45343</v>
      </c>
      <c r="D669" t="inlineStr">
        <is>
          <t>STOCKHOLMS LÄN</t>
        </is>
      </c>
      <c r="E669" t="inlineStr">
        <is>
          <t>NORRTÄLJE</t>
        </is>
      </c>
      <c r="F669" t="inlineStr">
        <is>
          <t>Övriga statliga verk och myndigheter</t>
        </is>
      </c>
      <c r="G669" t="n">
        <v>1.3</v>
      </c>
      <c r="H669" t="n">
        <v>0</v>
      </c>
      <c r="I669" t="n">
        <v>0</v>
      </c>
      <c r="J669" t="n">
        <v>0</v>
      </c>
      <c r="K669" t="n">
        <v>0</v>
      </c>
      <c r="L669" t="n">
        <v>0</v>
      </c>
      <c r="M669" t="n">
        <v>0</v>
      </c>
      <c r="N669" t="n">
        <v>0</v>
      </c>
      <c r="O669" t="n">
        <v>0</v>
      </c>
      <c r="P669" t="n">
        <v>0</v>
      </c>
      <c r="Q669" t="n">
        <v>0</v>
      </c>
      <c r="R669" s="2" t="inlineStr"/>
    </row>
    <row r="670" ht="15" customHeight="1">
      <c r="A670" t="inlineStr">
        <is>
          <t>A 49252-2019</t>
        </is>
      </c>
      <c r="B670" s="1" t="n">
        <v>43731</v>
      </c>
      <c r="C670" s="1" t="n">
        <v>45343</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51940-2019</t>
        </is>
      </c>
      <c r="B671" s="1" t="n">
        <v>43741</v>
      </c>
      <c r="C671" s="1" t="n">
        <v>45343</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51942-2019</t>
        </is>
      </c>
      <c r="B672" s="1" t="n">
        <v>43741</v>
      </c>
      <c r="C672" s="1" t="n">
        <v>45343</v>
      </c>
      <c r="D672" t="inlineStr">
        <is>
          <t>STOCKHOLMS LÄN</t>
        </is>
      </c>
      <c r="E672" t="inlineStr">
        <is>
          <t>NORRTÄLJE</t>
        </is>
      </c>
      <c r="G672" t="n">
        <v>5.6</v>
      </c>
      <c r="H672" t="n">
        <v>0</v>
      </c>
      <c r="I672" t="n">
        <v>0</v>
      </c>
      <c r="J672" t="n">
        <v>0</v>
      </c>
      <c r="K672" t="n">
        <v>0</v>
      </c>
      <c r="L672" t="n">
        <v>0</v>
      </c>
      <c r="M672" t="n">
        <v>0</v>
      </c>
      <c r="N672" t="n">
        <v>0</v>
      </c>
      <c r="O672" t="n">
        <v>0</v>
      </c>
      <c r="P672" t="n">
        <v>0</v>
      </c>
      <c r="Q672" t="n">
        <v>0</v>
      </c>
      <c r="R672" s="2" t="inlineStr"/>
    </row>
    <row r="673" ht="15" customHeight="1">
      <c r="A673" t="inlineStr">
        <is>
          <t>A 55481-2019</t>
        </is>
      </c>
      <c r="B673" s="1" t="n">
        <v>43759</v>
      </c>
      <c r="C673" s="1" t="n">
        <v>45343</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55891-2019</t>
        </is>
      </c>
      <c r="B674" s="1" t="n">
        <v>43761</v>
      </c>
      <c r="C674" s="1" t="n">
        <v>45343</v>
      </c>
      <c r="D674" t="inlineStr">
        <is>
          <t>STOCKHOLMS LÄN</t>
        </is>
      </c>
      <c r="E674" t="inlineStr">
        <is>
          <t>NORRTÄLJE</t>
        </is>
      </c>
      <c r="G674" t="n">
        <v>7.6</v>
      </c>
      <c r="H674" t="n">
        <v>0</v>
      </c>
      <c r="I674" t="n">
        <v>0</v>
      </c>
      <c r="J674" t="n">
        <v>0</v>
      </c>
      <c r="K674" t="n">
        <v>0</v>
      </c>
      <c r="L674" t="n">
        <v>0</v>
      </c>
      <c r="M674" t="n">
        <v>0</v>
      </c>
      <c r="N674" t="n">
        <v>0</v>
      </c>
      <c r="O674" t="n">
        <v>0</v>
      </c>
      <c r="P674" t="n">
        <v>0</v>
      </c>
      <c r="Q674" t="n">
        <v>0</v>
      </c>
      <c r="R674" s="2" t="inlineStr"/>
    </row>
    <row r="675" ht="15" customHeight="1">
      <c r="A675" t="inlineStr">
        <is>
          <t>A 56349-2019</t>
        </is>
      </c>
      <c r="B675" s="1" t="n">
        <v>43762</v>
      </c>
      <c r="C675" s="1" t="n">
        <v>45343</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57759-2019</t>
        </is>
      </c>
      <c r="B676" s="1" t="n">
        <v>43763</v>
      </c>
      <c r="C676" s="1" t="n">
        <v>45343</v>
      </c>
      <c r="D676" t="inlineStr">
        <is>
          <t>STOCKHOLMS LÄN</t>
        </is>
      </c>
      <c r="E676" t="inlineStr">
        <is>
          <t>NORRTÄLJE</t>
        </is>
      </c>
      <c r="F676" t="inlineStr">
        <is>
          <t>Övriga Aktiebolag</t>
        </is>
      </c>
      <c r="G676" t="n">
        <v>7.3</v>
      </c>
      <c r="H676" t="n">
        <v>0</v>
      </c>
      <c r="I676" t="n">
        <v>0</v>
      </c>
      <c r="J676" t="n">
        <v>0</v>
      </c>
      <c r="K676" t="n">
        <v>0</v>
      </c>
      <c r="L676" t="n">
        <v>0</v>
      </c>
      <c r="M676" t="n">
        <v>0</v>
      </c>
      <c r="N676" t="n">
        <v>0</v>
      </c>
      <c r="O676" t="n">
        <v>0</v>
      </c>
      <c r="P676" t="n">
        <v>0</v>
      </c>
      <c r="Q676" t="n">
        <v>0</v>
      </c>
      <c r="R676" s="2" t="inlineStr"/>
    </row>
    <row r="677" ht="15" customHeight="1">
      <c r="A677" t="inlineStr">
        <is>
          <t>A 57063-2019</t>
        </is>
      </c>
      <c r="B677" s="1" t="n">
        <v>43766</v>
      </c>
      <c r="C677" s="1" t="n">
        <v>45343</v>
      </c>
      <c r="D677" t="inlineStr">
        <is>
          <t>STOCKHOLMS LÄN</t>
        </is>
      </c>
      <c r="E677" t="inlineStr">
        <is>
          <t>NORRTÄLJE</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56950-2019</t>
        </is>
      </c>
      <c r="B678" s="1" t="n">
        <v>43766</v>
      </c>
      <c r="C678" s="1" t="n">
        <v>45343</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57605-2019</t>
        </is>
      </c>
      <c r="B679" s="1" t="n">
        <v>43768</v>
      </c>
      <c r="C679" s="1" t="n">
        <v>45343</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58064-2019</t>
        </is>
      </c>
      <c r="B680" s="1" t="n">
        <v>43769</v>
      </c>
      <c r="C680" s="1" t="n">
        <v>45343</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58631-2019</t>
        </is>
      </c>
      <c r="B681" s="1" t="n">
        <v>43773</v>
      </c>
      <c r="C681" s="1" t="n">
        <v>45343</v>
      </c>
      <c r="D681" t="inlineStr">
        <is>
          <t>STOCKHOLMS LÄN</t>
        </is>
      </c>
      <c r="E681" t="inlineStr">
        <is>
          <t>NORRTÄLJE</t>
        </is>
      </c>
      <c r="G681" t="n">
        <v>6</v>
      </c>
      <c r="H681" t="n">
        <v>0</v>
      </c>
      <c r="I681" t="n">
        <v>0</v>
      </c>
      <c r="J681" t="n">
        <v>0</v>
      </c>
      <c r="K681" t="n">
        <v>0</v>
      </c>
      <c r="L681" t="n">
        <v>0</v>
      </c>
      <c r="M681" t="n">
        <v>0</v>
      </c>
      <c r="N681" t="n">
        <v>0</v>
      </c>
      <c r="O681" t="n">
        <v>0</v>
      </c>
      <c r="P681" t="n">
        <v>0</v>
      </c>
      <c r="Q681" t="n">
        <v>0</v>
      </c>
      <c r="R681" s="2" t="inlineStr"/>
    </row>
    <row r="682" ht="15" customHeight="1">
      <c r="A682" t="inlineStr">
        <is>
          <t>A 60214-2019</t>
        </is>
      </c>
      <c r="B682" s="1" t="n">
        <v>43780</v>
      </c>
      <c r="C682" s="1" t="n">
        <v>45343</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60208-2019</t>
        </is>
      </c>
      <c r="B683" s="1" t="n">
        <v>43780</v>
      </c>
      <c r="C683" s="1" t="n">
        <v>45343</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60842-2019</t>
        </is>
      </c>
      <c r="B684" s="1" t="n">
        <v>43781</v>
      </c>
      <c r="C684" s="1" t="n">
        <v>45343</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60844-2019</t>
        </is>
      </c>
      <c r="B685" s="1" t="n">
        <v>43781</v>
      </c>
      <c r="C685" s="1" t="n">
        <v>45343</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61657-2019</t>
        </is>
      </c>
      <c r="B686" s="1" t="n">
        <v>43784</v>
      </c>
      <c r="C686" s="1" t="n">
        <v>45343</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62848-2019</t>
        </is>
      </c>
      <c r="B687" s="1" t="n">
        <v>43790</v>
      </c>
      <c r="C687" s="1" t="n">
        <v>45343</v>
      </c>
      <c r="D687" t="inlineStr">
        <is>
          <t>STOCKHOLMS LÄN</t>
        </is>
      </c>
      <c r="E687" t="inlineStr">
        <is>
          <t>NORRTÄLJE</t>
        </is>
      </c>
      <c r="F687" t="inlineStr">
        <is>
          <t>Holmen skog AB</t>
        </is>
      </c>
      <c r="G687" t="n">
        <v>6.6</v>
      </c>
      <c r="H687" t="n">
        <v>0</v>
      </c>
      <c r="I687" t="n">
        <v>0</v>
      </c>
      <c r="J687" t="n">
        <v>0</v>
      </c>
      <c r="K687" t="n">
        <v>0</v>
      </c>
      <c r="L687" t="n">
        <v>0</v>
      </c>
      <c r="M687" t="n">
        <v>0</v>
      </c>
      <c r="N687" t="n">
        <v>0</v>
      </c>
      <c r="O687" t="n">
        <v>0</v>
      </c>
      <c r="P687" t="n">
        <v>0</v>
      </c>
      <c r="Q687" t="n">
        <v>0</v>
      </c>
      <c r="R687" s="2" t="inlineStr"/>
    </row>
    <row r="688" ht="15" customHeight="1">
      <c r="A688" t="inlineStr">
        <is>
          <t>A 62980-2019</t>
        </is>
      </c>
      <c r="B688" s="1" t="n">
        <v>43790</v>
      </c>
      <c r="C688" s="1" t="n">
        <v>45343</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63513-2019</t>
        </is>
      </c>
      <c r="B689" s="1" t="n">
        <v>43794</v>
      </c>
      <c r="C689" s="1" t="n">
        <v>45343</v>
      </c>
      <c r="D689" t="inlineStr">
        <is>
          <t>STOCKHOLMS LÄN</t>
        </is>
      </c>
      <c r="E689" t="inlineStr">
        <is>
          <t>NORRTÄLJE</t>
        </is>
      </c>
      <c r="G689" t="n">
        <v>9</v>
      </c>
      <c r="H689" t="n">
        <v>0</v>
      </c>
      <c r="I689" t="n">
        <v>0</v>
      </c>
      <c r="J689" t="n">
        <v>0</v>
      </c>
      <c r="K689" t="n">
        <v>0</v>
      </c>
      <c r="L689" t="n">
        <v>0</v>
      </c>
      <c r="M689" t="n">
        <v>0</v>
      </c>
      <c r="N689" t="n">
        <v>0</v>
      </c>
      <c r="O689" t="n">
        <v>0</v>
      </c>
      <c r="P689" t="n">
        <v>0</v>
      </c>
      <c r="Q689" t="n">
        <v>0</v>
      </c>
      <c r="R689" s="2" t="inlineStr"/>
    </row>
    <row r="690" ht="15" customHeight="1">
      <c r="A690" t="inlineStr">
        <is>
          <t>A 63529-2019</t>
        </is>
      </c>
      <c r="B690" s="1" t="n">
        <v>43794</v>
      </c>
      <c r="C690" s="1" t="n">
        <v>45343</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63495-2019</t>
        </is>
      </c>
      <c r="B691" s="1" t="n">
        <v>43794</v>
      </c>
      <c r="C691" s="1" t="n">
        <v>45343</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63504-2019</t>
        </is>
      </c>
      <c r="B692" s="1" t="n">
        <v>43794</v>
      </c>
      <c r="C692" s="1" t="n">
        <v>45343</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63528-2019</t>
        </is>
      </c>
      <c r="B693" s="1" t="n">
        <v>43794</v>
      </c>
      <c r="C693" s="1" t="n">
        <v>45343</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63515-2019</t>
        </is>
      </c>
      <c r="B694" s="1" t="n">
        <v>43794</v>
      </c>
      <c r="C694" s="1" t="n">
        <v>45343</v>
      </c>
      <c r="D694" t="inlineStr">
        <is>
          <t>STOCKHOLMS LÄN</t>
        </is>
      </c>
      <c r="E694" t="inlineStr">
        <is>
          <t>NORRTÄLJE</t>
        </is>
      </c>
      <c r="G694" t="n">
        <v>7.1</v>
      </c>
      <c r="H694" t="n">
        <v>0</v>
      </c>
      <c r="I694" t="n">
        <v>0</v>
      </c>
      <c r="J694" t="n">
        <v>0</v>
      </c>
      <c r="K694" t="n">
        <v>0</v>
      </c>
      <c r="L694" t="n">
        <v>0</v>
      </c>
      <c r="M694" t="n">
        <v>0</v>
      </c>
      <c r="N694" t="n">
        <v>0</v>
      </c>
      <c r="O694" t="n">
        <v>0</v>
      </c>
      <c r="P694" t="n">
        <v>0</v>
      </c>
      <c r="Q694" t="n">
        <v>0</v>
      </c>
      <c r="R694" s="2" t="inlineStr"/>
    </row>
    <row r="695" ht="15" customHeight="1">
      <c r="A695" t="inlineStr">
        <is>
          <t>A 64293-2019</t>
        </is>
      </c>
      <c r="B695" s="1" t="n">
        <v>43797</v>
      </c>
      <c r="C695" s="1" t="n">
        <v>45343</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65640-2019</t>
        </is>
      </c>
      <c r="B696" s="1" t="n">
        <v>43804</v>
      </c>
      <c r="C696" s="1" t="n">
        <v>45343</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65998-2019</t>
        </is>
      </c>
      <c r="B697" s="1" t="n">
        <v>43805</v>
      </c>
      <c r="C697" s="1" t="n">
        <v>45343</v>
      </c>
      <c r="D697" t="inlineStr">
        <is>
          <t>STOCKHOLMS LÄN</t>
        </is>
      </c>
      <c r="E697" t="inlineStr">
        <is>
          <t>NORRTÄLJE</t>
        </is>
      </c>
      <c r="G697" t="n">
        <v>6.5</v>
      </c>
      <c r="H697" t="n">
        <v>0</v>
      </c>
      <c r="I697" t="n">
        <v>0</v>
      </c>
      <c r="J697" t="n">
        <v>0</v>
      </c>
      <c r="K697" t="n">
        <v>0</v>
      </c>
      <c r="L697" t="n">
        <v>0</v>
      </c>
      <c r="M697" t="n">
        <v>0</v>
      </c>
      <c r="N697" t="n">
        <v>0</v>
      </c>
      <c r="O697" t="n">
        <v>0</v>
      </c>
      <c r="P697" t="n">
        <v>0</v>
      </c>
      <c r="Q697" t="n">
        <v>0</v>
      </c>
      <c r="R697" s="2" t="inlineStr"/>
    </row>
    <row r="698" ht="15" customHeight="1">
      <c r="A698" t="inlineStr">
        <is>
          <t>A 66604-2019</t>
        </is>
      </c>
      <c r="B698" s="1" t="n">
        <v>43809</v>
      </c>
      <c r="C698" s="1" t="n">
        <v>45343</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67158-2019</t>
        </is>
      </c>
      <c r="B699" s="1" t="n">
        <v>43811</v>
      </c>
      <c r="C699" s="1" t="n">
        <v>45343</v>
      </c>
      <c r="D699" t="inlineStr">
        <is>
          <t>STOCKHOLMS LÄN</t>
        </is>
      </c>
      <c r="E699" t="inlineStr">
        <is>
          <t>NORRTÄLJE</t>
        </is>
      </c>
      <c r="G699" t="n">
        <v>4.4</v>
      </c>
      <c r="H699" t="n">
        <v>0</v>
      </c>
      <c r="I699" t="n">
        <v>0</v>
      </c>
      <c r="J699" t="n">
        <v>0</v>
      </c>
      <c r="K699" t="n">
        <v>0</v>
      </c>
      <c r="L699" t="n">
        <v>0</v>
      </c>
      <c r="M699" t="n">
        <v>0</v>
      </c>
      <c r="N699" t="n">
        <v>0</v>
      </c>
      <c r="O699" t="n">
        <v>0</v>
      </c>
      <c r="P699" t="n">
        <v>0</v>
      </c>
      <c r="Q699" t="n">
        <v>0</v>
      </c>
      <c r="R699" s="2" t="inlineStr"/>
    </row>
    <row r="700" ht="15" customHeight="1">
      <c r="A700" t="inlineStr">
        <is>
          <t>A 67324-2019</t>
        </is>
      </c>
      <c r="B700" s="1" t="n">
        <v>43812</v>
      </c>
      <c r="C700" s="1" t="n">
        <v>45343</v>
      </c>
      <c r="D700" t="inlineStr">
        <is>
          <t>STOCKHOLMS LÄN</t>
        </is>
      </c>
      <c r="E700" t="inlineStr">
        <is>
          <t>NORRTÄLJE</t>
        </is>
      </c>
      <c r="G700" t="n">
        <v>7.7</v>
      </c>
      <c r="H700" t="n">
        <v>0</v>
      </c>
      <c r="I700" t="n">
        <v>0</v>
      </c>
      <c r="J700" t="n">
        <v>0</v>
      </c>
      <c r="K700" t="n">
        <v>0</v>
      </c>
      <c r="L700" t="n">
        <v>0</v>
      </c>
      <c r="M700" t="n">
        <v>0</v>
      </c>
      <c r="N700" t="n">
        <v>0</v>
      </c>
      <c r="O700" t="n">
        <v>0</v>
      </c>
      <c r="P700" t="n">
        <v>0</v>
      </c>
      <c r="Q700" t="n">
        <v>0</v>
      </c>
      <c r="R700" s="2" t="inlineStr"/>
    </row>
    <row r="701" ht="15" customHeight="1">
      <c r="A701" t="inlineStr">
        <is>
          <t>A 68865-2019</t>
        </is>
      </c>
      <c r="B701" s="1" t="n">
        <v>43821</v>
      </c>
      <c r="C701" s="1" t="n">
        <v>45343</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1099-2020</t>
        </is>
      </c>
      <c r="B702" s="1" t="n">
        <v>43822</v>
      </c>
      <c r="C702" s="1" t="n">
        <v>45343</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4475-2020</t>
        </is>
      </c>
      <c r="B703" s="1" t="n">
        <v>43849</v>
      </c>
      <c r="C703" s="1" t="n">
        <v>45343</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2808-2020</t>
        </is>
      </c>
      <c r="B704" s="1" t="n">
        <v>43850</v>
      </c>
      <c r="C704" s="1" t="n">
        <v>45343</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2810-2020</t>
        </is>
      </c>
      <c r="B705" s="1" t="n">
        <v>43850</v>
      </c>
      <c r="C705" s="1" t="n">
        <v>45343</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2803-2020</t>
        </is>
      </c>
      <c r="B706" s="1" t="n">
        <v>43850</v>
      </c>
      <c r="C706" s="1" t="n">
        <v>45343</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3882-2020</t>
        </is>
      </c>
      <c r="B707" s="1" t="n">
        <v>43854</v>
      </c>
      <c r="C707" s="1" t="n">
        <v>45343</v>
      </c>
      <c r="D707" t="inlineStr">
        <is>
          <t>STOCKHOLMS LÄN</t>
        </is>
      </c>
      <c r="E707" t="inlineStr">
        <is>
          <t>NORRTÄLJE</t>
        </is>
      </c>
      <c r="G707" t="n">
        <v>5.9</v>
      </c>
      <c r="H707" t="n">
        <v>0</v>
      </c>
      <c r="I707" t="n">
        <v>0</v>
      </c>
      <c r="J707" t="n">
        <v>0</v>
      </c>
      <c r="K707" t="n">
        <v>0</v>
      </c>
      <c r="L707" t="n">
        <v>0</v>
      </c>
      <c r="M707" t="n">
        <v>0</v>
      </c>
      <c r="N707" t="n">
        <v>0</v>
      </c>
      <c r="O707" t="n">
        <v>0</v>
      </c>
      <c r="P707" t="n">
        <v>0</v>
      </c>
      <c r="Q707" t="n">
        <v>0</v>
      </c>
      <c r="R707" s="2" t="inlineStr"/>
    </row>
    <row r="708" ht="15" customHeight="1">
      <c r="A708" t="inlineStr">
        <is>
          <t>A 4094-2020</t>
        </is>
      </c>
      <c r="B708" s="1" t="n">
        <v>43857</v>
      </c>
      <c r="C708" s="1" t="n">
        <v>45343</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4950-2020</t>
        </is>
      </c>
      <c r="B709" s="1" t="n">
        <v>43859</v>
      </c>
      <c r="C709" s="1" t="n">
        <v>45343</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5084-2020</t>
        </is>
      </c>
      <c r="B710" s="1" t="n">
        <v>43859</v>
      </c>
      <c r="C710" s="1" t="n">
        <v>45343</v>
      </c>
      <c r="D710" t="inlineStr">
        <is>
          <t>STOCKHOLMS LÄN</t>
        </is>
      </c>
      <c r="E710" t="inlineStr">
        <is>
          <t>NORRTÄLJE</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4952-2020</t>
        </is>
      </c>
      <c r="B711" s="1" t="n">
        <v>43859</v>
      </c>
      <c r="C711" s="1" t="n">
        <v>45343</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5735-2020</t>
        </is>
      </c>
      <c r="B712" s="1" t="n">
        <v>43863</v>
      </c>
      <c r="C712" s="1" t="n">
        <v>45343</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5733-2020</t>
        </is>
      </c>
      <c r="B713" s="1" t="n">
        <v>43863</v>
      </c>
      <c r="C713" s="1" t="n">
        <v>45343</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5739-2020</t>
        </is>
      </c>
      <c r="B714" s="1" t="n">
        <v>43863</v>
      </c>
      <c r="C714" s="1" t="n">
        <v>45343</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7471-2020</t>
        </is>
      </c>
      <c r="B715" s="1" t="n">
        <v>43871</v>
      </c>
      <c r="C715" s="1" t="n">
        <v>45343</v>
      </c>
      <c r="D715" t="inlineStr">
        <is>
          <t>STOCKHOLMS LÄN</t>
        </is>
      </c>
      <c r="E715" t="inlineStr">
        <is>
          <t>NORRTÄLJE</t>
        </is>
      </c>
      <c r="G715" t="n">
        <v>7.8</v>
      </c>
      <c r="H715" t="n">
        <v>0</v>
      </c>
      <c r="I715" t="n">
        <v>0</v>
      </c>
      <c r="J715" t="n">
        <v>0</v>
      </c>
      <c r="K715" t="n">
        <v>0</v>
      </c>
      <c r="L715" t="n">
        <v>0</v>
      </c>
      <c r="M715" t="n">
        <v>0</v>
      </c>
      <c r="N715" t="n">
        <v>0</v>
      </c>
      <c r="O715" t="n">
        <v>0</v>
      </c>
      <c r="P715" t="n">
        <v>0</v>
      </c>
      <c r="Q715" t="n">
        <v>0</v>
      </c>
      <c r="R715" s="2" t="inlineStr"/>
    </row>
    <row r="716" ht="15" customHeight="1">
      <c r="A716" t="inlineStr">
        <is>
          <t>A 9845-2020</t>
        </is>
      </c>
      <c r="B716" s="1" t="n">
        <v>43881</v>
      </c>
      <c r="C716" s="1" t="n">
        <v>45343</v>
      </c>
      <c r="D716" t="inlineStr">
        <is>
          <t>STOCKHOLMS LÄN</t>
        </is>
      </c>
      <c r="E716" t="inlineStr">
        <is>
          <t>NORRTÄLJE</t>
        </is>
      </c>
      <c r="G716" t="n">
        <v>0.4</v>
      </c>
      <c r="H716" t="n">
        <v>0</v>
      </c>
      <c r="I716" t="n">
        <v>0</v>
      </c>
      <c r="J716" t="n">
        <v>0</v>
      </c>
      <c r="K716" t="n">
        <v>0</v>
      </c>
      <c r="L716" t="n">
        <v>0</v>
      </c>
      <c r="M716" t="n">
        <v>0</v>
      </c>
      <c r="N716" t="n">
        <v>0</v>
      </c>
      <c r="O716" t="n">
        <v>0</v>
      </c>
      <c r="P716" t="n">
        <v>0</v>
      </c>
      <c r="Q716" t="n">
        <v>0</v>
      </c>
      <c r="R716" s="2" t="inlineStr"/>
    </row>
    <row r="717" ht="15" customHeight="1">
      <c r="A717" t="inlineStr">
        <is>
          <t>A 10618-2020</t>
        </is>
      </c>
      <c r="B717" s="1" t="n">
        <v>43887</v>
      </c>
      <c r="C717" s="1" t="n">
        <v>45343</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11184-2020</t>
        </is>
      </c>
      <c r="B718" s="1" t="n">
        <v>43892</v>
      </c>
      <c r="C718" s="1" t="n">
        <v>45343</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11576-2020</t>
        </is>
      </c>
      <c r="B719" s="1" t="n">
        <v>43893</v>
      </c>
      <c r="C719" s="1" t="n">
        <v>45343</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12113-2020</t>
        </is>
      </c>
      <c r="B720" s="1" t="n">
        <v>43895</v>
      </c>
      <c r="C720" s="1" t="n">
        <v>45343</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12970-2020</t>
        </is>
      </c>
      <c r="B721" s="1" t="n">
        <v>43900</v>
      </c>
      <c r="C721" s="1" t="n">
        <v>45343</v>
      </c>
      <c r="D721" t="inlineStr">
        <is>
          <t>STOCKHOLMS LÄN</t>
        </is>
      </c>
      <c r="E721" t="inlineStr">
        <is>
          <t>NORRTÄLJE</t>
        </is>
      </c>
      <c r="F721" t="inlineStr">
        <is>
          <t>Kommuner</t>
        </is>
      </c>
      <c r="G721" t="n">
        <v>3</v>
      </c>
      <c r="H721" t="n">
        <v>0</v>
      </c>
      <c r="I721" t="n">
        <v>0</v>
      </c>
      <c r="J721" t="n">
        <v>0</v>
      </c>
      <c r="K721" t="n">
        <v>0</v>
      </c>
      <c r="L721" t="n">
        <v>0</v>
      </c>
      <c r="M721" t="n">
        <v>0</v>
      </c>
      <c r="N721" t="n">
        <v>0</v>
      </c>
      <c r="O721" t="n">
        <v>0</v>
      </c>
      <c r="P721" t="n">
        <v>0</v>
      </c>
      <c r="Q721" t="n">
        <v>0</v>
      </c>
      <c r="R721" s="2" t="inlineStr"/>
    </row>
    <row r="722" ht="15" customHeight="1">
      <c r="A722" t="inlineStr">
        <is>
          <t>A 13230-2020</t>
        </is>
      </c>
      <c r="B722" s="1" t="n">
        <v>43901</v>
      </c>
      <c r="C722" s="1" t="n">
        <v>45343</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13287-2020</t>
        </is>
      </c>
      <c r="B723" s="1" t="n">
        <v>43901</v>
      </c>
      <c r="C723" s="1" t="n">
        <v>45343</v>
      </c>
      <c r="D723" t="inlineStr">
        <is>
          <t>STOCKHOLMS LÄN</t>
        </is>
      </c>
      <c r="E723" t="inlineStr">
        <is>
          <t>NORRTÄLJE</t>
        </is>
      </c>
      <c r="F723" t="inlineStr">
        <is>
          <t>Kommuner</t>
        </is>
      </c>
      <c r="G723" t="n">
        <v>3.2</v>
      </c>
      <c r="H723" t="n">
        <v>0</v>
      </c>
      <c r="I723" t="n">
        <v>0</v>
      </c>
      <c r="J723" t="n">
        <v>0</v>
      </c>
      <c r="K723" t="n">
        <v>0</v>
      </c>
      <c r="L723" t="n">
        <v>0</v>
      </c>
      <c r="M723" t="n">
        <v>0</v>
      </c>
      <c r="N723" t="n">
        <v>0</v>
      </c>
      <c r="O723" t="n">
        <v>0</v>
      </c>
      <c r="P723" t="n">
        <v>0</v>
      </c>
      <c r="Q723" t="n">
        <v>0</v>
      </c>
      <c r="R723" s="2" t="inlineStr"/>
    </row>
    <row r="724" ht="15" customHeight="1">
      <c r="A724" t="inlineStr">
        <is>
          <t>A 13281-2020</t>
        </is>
      </c>
      <c r="B724" s="1" t="n">
        <v>43901</v>
      </c>
      <c r="C724" s="1" t="n">
        <v>45343</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13501-2020</t>
        </is>
      </c>
      <c r="B725" s="1" t="n">
        <v>43902</v>
      </c>
      <c r="C725" s="1" t="n">
        <v>45343</v>
      </c>
      <c r="D725" t="inlineStr">
        <is>
          <t>STOCKHOLMS LÄN</t>
        </is>
      </c>
      <c r="E725" t="inlineStr">
        <is>
          <t>NORRTÄLJE</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13506-2020</t>
        </is>
      </c>
      <c r="B726" s="1" t="n">
        <v>43902</v>
      </c>
      <c r="C726" s="1" t="n">
        <v>45343</v>
      </c>
      <c r="D726" t="inlineStr">
        <is>
          <t>STOCKHOLMS LÄN</t>
        </is>
      </c>
      <c r="E726" t="inlineStr">
        <is>
          <t>NORRTÄLJE</t>
        </is>
      </c>
      <c r="G726" t="n">
        <v>5.7</v>
      </c>
      <c r="H726" t="n">
        <v>0</v>
      </c>
      <c r="I726" t="n">
        <v>0</v>
      </c>
      <c r="J726" t="n">
        <v>0</v>
      </c>
      <c r="K726" t="n">
        <v>0</v>
      </c>
      <c r="L726" t="n">
        <v>0</v>
      </c>
      <c r="M726" t="n">
        <v>0</v>
      </c>
      <c r="N726" t="n">
        <v>0</v>
      </c>
      <c r="O726" t="n">
        <v>0</v>
      </c>
      <c r="P726" t="n">
        <v>0</v>
      </c>
      <c r="Q726" t="n">
        <v>0</v>
      </c>
      <c r="R726" s="2" t="inlineStr"/>
    </row>
    <row r="727" ht="15" customHeight="1">
      <c r="A727" t="inlineStr">
        <is>
          <t>A 14525-2020</t>
        </is>
      </c>
      <c r="B727" s="1" t="n">
        <v>43908</v>
      </c>
      <c r="C727" s="1" t="n">
        <v>45343</v>
      </c>
      <c r="D727" t="inlineStr">
        <is>
          <t>STOCKHOLMS LÄN</t>
        </is>
      </c>
      <c r="E727" t="inlineStr">
        <is>
          <t>NORRTÄLJE</t>
        </is>
      </c>
      <c r="G727" t="n">
        <v>10.2</v>
      </c>
      <c r="H727" t="n">
        <v>0</v>
      </c>
      <c r="I727" t="n">
        <v>0</v>
      </c>
      <c r="J727" t="n">
        <v>0</v>
      </c>
      <c r="K727" t="n">
        <v>0</v>
      </c>
      <c r="L727" t="n">
        <v>0</v>
      </c>
      <c r="M727" t="n">
        <v>0</v>
      </c>
      <c r="N727" t="n">
        <v>0</v>
      </c>
      <c r="O727" t="n">
        <v>0</v>
      </c>
      <c r="P727" t="n">
        <v>0</v>
      </c>
      <c r="Q727" t="n">
        <v>0</v>
      </c>
      <c r="R727" s="2" t="inlineStr"/>
    </row>
    <row r="728" ht="15" customHeight="1">
      <c r="A728" t="inlineStr">
        <is>
          <t>A 14565-2020</t>
        </is>
      </c>
      <c r="B728" s="1" t="n">
        <v>43908</v>
      </c>
      <c r="C728" s="1" t="n">
        <v>45343</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14831-2020</t>
        </is>
      </c>
      <c r="B729" s="1" t="n">
        <v>43909</v>
      </c>
      <c r="C729" s="1" t="n">
        <v>45343</v>
      </c>
      <c r="D729" t="inlineStr">
        <is>
          <t>STOCKHOLMS LÄN</t>
        </is>
      </c>
      <c r="E729" t="inlineStr">
        <is>
          <t>NORRTÄLJE</t>
        </is>
      </c>
      <c r="G729" t="n">
        <v>11.4</v>
      </c>
      <c r="H729" t="n">
        <v>0</v>
      </c>
      <c r="I729" t="n">
        <v>0</v>
      </c>
      <c r="J729" t="n">
        <v>0</v>
      </c>
      <c r="K729" t="n">
        <v>0</v>
      </c>
      <c r="L729" t="n">
        <v>0</v>
      </c>
      <c r="M729" t="n">
        <v>0</v>
      </c>
      <c r="N729" t="n">
        <v>0</v>
      </c>
      <c r="O729" t="n">
        <v>0</v>
      </c>
      <c r="P729" t="n">
        <v>0</v>
      </c>
      <c r="Q729" t="n">
        <v>0</v>
      </c>
      <c r="R729" s="2" t="inlineStr"/>
    </row>
    <row r="730" ht="15" customHeight="1">
      <c r="A730" t="inlineStr">
        <is>
          <t>A 15663-2020</t>
        </is>
      </c>
      <c r="B730" s="1" t="n">
        <v>43915</v>
      </c>
      <c r="C730" s="1" t="n">
        <v>45343</v>
      </c>
      <c r="D730" t="inlineStr">
        <is>
          <t>STOCKHOLMS LÄN</t>
        </is>
      </c>
      <c r="E730" t="inlineStr">
        <is>
          <t>NORRTÄLJE</t>
        </is>
      </c>
      <c r="G730" t="n">
        <v>11.1</v>
      </c>
      <c r="H730" t="n">
        <v>0</v>
      </c>
      <c r="I730" t="n">
        <v>0</v>
      </c>
      <c r="J730" t="n">
        <v>0</v>
      </c>
      <c r="K730" t="n">
        <v>0</v>
      </c>
      <c r="L730" t="n">
        <v>0</v>
      </c>
      <c r="M730" t="n">
        <v>0</v>
      </c>
      <c r="N730" t="n">
        <v>0</v>
      </c>
      <c r="O730" t="n">
        <v>0</v>
      </c>
      <c r="P730" t="n">
        <v>0</v>
      </c>
      <c r="Q730" t="n">
        <v>0</v>
      </c>
      <c r="R730" s="2" t="inlineStr"/>
    </row>
    <row r="731" ht="15" customHeight="1">
      <c r="A731" t="inlineStr">
        <is>
          <t>A 16273-2020</t>
        </is>
      </c>
      <c r="B731" s="1" t="n">
        <v>43917</v>
      </c>
      <c r="C731" s="1" t="n">
        <v>45343</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17965-2020</t>
        </is>
      </c>
      <c r="B732" s="1" t="n">
        <v>43925</v>
      </c>
      <c r="C732" s="1" t="n">
        <v>45343</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19258-2020</t>
        </is>
      </c>
      <c r="B733" s="1" t="n">
        <v>43937</v>
      </c>
      <c r="C733" s="1" t="n">
        <v>45343</v>
      </c>
      <c r="D733" t="inlineStr">
        <is>
          <t>STOCKHOLMS LÄN</t>
        </is>
      </c>
      <c r="E733" t="inlineStr">
        <is>
          <t>NORRTÄLJE</t>
        </is>
      </c>
      <c r="F733" t="inlineStr">
        <is>
          <t>Övriga statliga verk och myndigheter</t>
        </is>
      </c>
      <c r="G733" t="n">
        <v>2.9</v>
      </c>
      <c r="H733" t="n">
        <v>0</v>
      </c>
      <c r="I733" t="n">
        <v>0</v>
      </c>
      <c r="J733" t="n">
        <v>0</v>
      </c>
      <c r="K733" t="n">
        <v>0</v>
      </c>
      <c r="L733" t="n">
        <v>0</v>
      </c>
      <c r="M733" t="n">
        <v>0</v>
      </c>
      <c r="N733" t="n">
        <v>0</v>
      </c>
      <c r="O733" t="n">
        <v>0</v>
      </c>
      <c r="P733" t="n">
        <v>0</v>
      </c>
      <c r="Q733" t="n">
        <v>0</v>
      </c>
      <c r="R733" s="2" t="inlineStr"/>
    </row>
    <row r="734" ht="15" customHeight="1">
      <c r="A734" t="inlineStr">
        <is>
          <t>A 20257-2020</t>
        </is>
      </c>
      <c r="B734" s="1" t="n">
        <v>43944</v>
      </c>
      <c r="C734" s="1" t="n">
        <v>45343</v>
      </c>
      <c r="D734" t="inlineStr">
        <is>
          <t>STOCKHOLMS LÄN</t>
        </is>
      </c>
      <c r="E734" t="inlineStr">
        <is>
          <t>NORRTÄLJE</t>
        </is>
      </c>
      <c r="G734" t="n">
        <v>80.09999999999999</v>
      </c>
      <c r="H734" t="n">
        <v>0</v>
      </c>
      <c r="I734" t="n">
        <v>0</v>
      </c>
      <c r="J734" t="n">
        <v>0</v>
      </c>
      <c r="K734" t="n">
        <v>0</v>
      </c>
      <c r="L734" t="n">
        <v>0</v>
      </c>
      <c r="M734" t="n">
        <v>0</v>
      </c>
      <c r="N734" t="n">
        <v>0</v>
      </c>
      <c r="O734" t="n">
        <v>0</v>
      </c>
      <c r="P734" t="n">
        <v>0</v>
      </c>
      <c r="Q734" t="n">
        <v>0</v>
      </c>
      <c r="R734" s="2" t="inlineStr"/>
    </row>
    <row r="735" ht="15" customHeight="1">
      <c r="A735" t="inlineStr">
        <is>
          <t>A 21849-2020</t>
        </is>
      </c>
      <c r="B735" s="1" t="n">
        <v>43958</v>
      </c>
      <c r="C735" s="1" t="n">
        <v>45343</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21875-2020</t>
        </is>
      </c>
      <c r="B736" s="1" t="n">
        <v>43958</v>
      </c>
      <c r="C736" s="1" t="n">
        <v>45343</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23751-2020</t>
        </is>
      </c>
      <c r="B737" s="1" t="n">
        <v>43970</v>
      </c>
      <c r="C737" s="1" t="n">
        <v>45343</v>
      </c>
      <c r="D737" t="inlineStr">
        <is>
          <t>STOCKHOLMS LÄN</t>
        </is>
      </c>
      <c r="E737" t="inlineStr">
        <is>
          <t>NORRTÄLJE</t>
        </is>
      </c>
      <c r="G737" t="n">
        <v>5.6</v>
      </c>
      <c r="H737" t="n">
        <v>0</v>
      </c>
      <c r="I737" t="n">
        <v>0</v>
      </c>
      <c r="J737" t="n">
        <v>0</v>
      </c>
      <c r="K737" t="n">
        <v>0</v>
      </c>
      <c r="L737" t="n">
        <v>0</v>
      </c>
      <c r="M737" t="n">
        <v>0</v>
      </c>
      <c r="N737" t="n">
        <v>0</v>
      </c>
      <c r="O737" t="n">
        <v>0</v>
      </c>
      <c r="P737" t="n">
        <v>0</v>
      </c>
      <c r="Q737" t="n">
        <v>0</v>
      </c>
      <c r="R737" s="2" t="inlineStr"/>
    </row>
    <row r="738" ht="15" customHeight="1">
      <c r="A738" t="inlineStr">
        <is>
          <t>A 24136-2020</t>
        </is>
      </c>
      <c r="B738" s="1" t="n">
        <v>43973</v>
      </c>
      <c r="C738" s="1" t="n">
        <v>45343</v>
      </c>
      <c r="D738" t="inlineStr">
        <is>
          <t>STOCKHOLMS LÄN</t>
        </is>
      </c>
      <c r="E738" t="inlineStr">
        <is>
          <t>NORRTÄLJE</t>
        </is>
      </c>
      <c r="G738" t="n">
        <v>4.1</v>
      </c>
      <c r="H738" t="n">
        <v>0</v>
      </c>
      <c r="I738" t="n">
        <v>0</v>
      </c>
      <c r="J738" t="n">
        <v>0</v>
      </c>
      <c r="K738" t="n">
        <v>0</v>
      </c>
      <c r="L738" t="n">
        <v>0</v>
      </c>
      <c r="M738" t="n">
        <v>0</v>
      </c>
      <c r="N738" t="n">
        <v>0</v>
      </c>
      <c r="O738" t="n">
        <v>0</v>
      </c>
      <c r="P738" t="n">
        <v>0</v>
      </c>
      <c r="Q738" t="n">
        <v>0</v>
      </c>
      <c r="R738" s="2" t="inlineStr"/>
    </row>
    <row r="739" ht="15" customHeight="1">
      <c r="A739" t="inlineStr">
        <is>
          <t>A 25584-2020</t>
        </is>
      </c>
      <c r="B739" s="1" t="n">
        <v>43983</v>
      </c>
      <c r="C739" s="1" t="n">
        <v>45343</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25589-2020</t>
        </is>
      </c>
      <c r="B740" s="1" t="n">
        <v>43983</v>
      </c>
      <c r="C740" s="1" t="n">
        <v>45343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25897-2020</t>
        </is>
      </c>
      <c r="B741" s="1" t="n">
        <v>43984</v>
      </c>
      <c r="C741" s="1" t="n">
        <v>45343</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28495-2020</t>
        </is>
      </c>
      <c r="B742" s="1" t="n">
        <v>43999</v>
      </c>
      <c r="C742" s="1" t="n">
        <v>45343</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30600-2020</t>
        </is>
      </c>
      <c r="B743" s="1" t="n">
        <v>44008</v>
      </c>
      <c r="C743" s="1" t="n">
        <v>45343</v>
      </c>
      <c r="D743" t="inlineStr">
        <is>
          <t>STOCKHOLMS LÄN</t>
        </is>
      </c>
      <c r="E743" t="inlineStr">
        <is>
          <t>NORRTÄLJE</t>
        </is>
      </c>
      <c r="G743" t="n">
        <v>3.3</v>
      </c>
      <c r="H743" t="n">
        <v>0</v>
      </c>
      <c r="I743" t="n">
        <v>0</v>
      </c>
      <c r="J743" t="n">
        <v>0</v>
      </c>
      <c r="K743" t="n">
        <v>0</v>
      </c>
      <c r="L743" t="n">
        <v>0</v>
      </c>
      <c r="M743" t="n">
        <v>0</v>
      </c>
      <c r="N743" t="n">
        <v>0</v>
      </c>
      <c r="O743" t="n">
        <v>0</v>
      </c>
      <c r="P743" t="n">
        <v>0</v>
      </c>
      <c r="Q743" t="n">
        <v>0</v>
      </c>
      <c r="R743" s="2" t="inlineStr"/>
    </row>
    <row r="744" ht="15" customHeight="1">
      <c r="A744" t="inlineStr">
        <is>
          <t>A 31783-2020</t>
        </is>
      </c>
      <c r="B744" s="1" t="n">
        <v>44014</v>
      </c>
      <c r="C744" s="1" t="n">
        <v>45343</v>
      </c>
      <c r="D744" t="inlineStr">
        <is>
          <t>STOCKHOLMS LÄN</t>
        </is>
      </c>
      <c r="E744" t="inlineStr">
        <is>
          <t>NORRTÄLJE</t>
        </is>
      </c>
      <c r="G744" t="n">
        <v>4.8</v>
      </c>
      <c r="H744" t="n">
        <v>0</v>
      </c>
      <c r="I744" t="n">
        <v>0</v>
      </c>
      <c r="J744" t="n">
        <v>0</v>
      </c>
      <c r="K744" t="n">
        <v>0</v>
      </c>
      <c r="L744" t="n">
        <v>0</v>
      </c>
      <c r="M744" t="n">
        <v>0</v>
      </c>
      <c r="N744" t="n">
        <v>0</v>
      </c>
      <c r="O744" t="n">
        <v>0</v>
      </c>
      <c r="P744" t="n">
        <v>0</v>
      </c>
      <c r="Q744" t="n">
        <v>0</v>
      </c>
      <c r="R744" s="2" t="inlineStr"/>
    </row>
    <row r="745" ht="15" customHeight="1">
      <c r="A745" t="inlineStr">
        <is>
          <t>A 33749-2020</t>
        </is>
      </c>
      <c r="B745" s="1" t="n">
        <v>44026</v>
      </c>
      <c r="C745" s="1" t="n">
        <v>45343</v>
      </c>
      <c r="D745" t="inlineStr">
        <is>
          <t>STOCKHOLMS LÄN</t>
        </is>
      </c>
      <c r="E745" t="inlineStr">
        <is>
          <t>NORRTÄLJE</t>
        </is>
      </c>
      <c r="F745" t="inlineStr">
        <is>
          <t>Holmen skog AB</t>
        </is>
      </c>
      <c r="G745" t="n">
        <v>0.5</v>
      </c>
      <c r="H745" t="n">
        <v>0</v>
      </c>
      <c r="I745" t="n">
        <v>0</v>
      </c>
      <c r="J745" t="n">
        <v>0</v>
      </c>
      <c r="K745" t="n">
        <v>0</v>
      </c>
      <c r="L745" t="n">
        <v>0</v>
      </c>
      <c r="M745" t="n">
        <v>0</v>
      </c>
      <c r="N745" t="n">
        <v>0</v>
      </c>
      <c r="O745" t="n">
        <v>0</v>
      </c>
      <c r="P745" t="n">
        <v>0</v>
      </c>
      <c r="Q745" t="n">
        <v>0</v>
      </c>
      <c r="R745" s="2" t="inlineStr"/>
    </row>
    <row r="746" ht="15" customHeight="1">
      <c r="A746" t="inlineStr">
        <is>
          <t>A 34651-2020</t>
        </is>
      </c>
      <c r="B746" s="1" t="n">
        <v>44034</v>
      </c>
      <c r="C746" s="1" t="n">
        <v>45343</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34650-2020</t>
        </is>
      </c>
      <c r="B747" s="1" t="n">
        <v>44034</v>
      </c>
      <c r="C747" s="1" t="n">
        <v>45343</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36314-2020</t>
        </is>
      </c>
      <c r="B748" s="1" t="n">
        <v>44049</v>
      </c>
      <c r="C748" s="1" t="n">
        <v>45343</v>
      </c>
      <c r="D748" t="inlineStr">
        <is>
          <t>STOCKHOLMS LÄN</t>
        </is>
      </c>
      <c r="E748" t="inlineStr">
        <is>
          <t>NORRTÄLJE</t>
        </is>
      </c>
      <c r="G748" t="n">
        <v>5</v>
      </c>
      <c r="H748" t="n">
        <v>0</v>
      </c>
      <c r="I748" t="n">
        <v>0</v>
      </c>
      <c r="J748" t="n">
        <v>0</v>
      </c>
      <c r="K748" t="n">
        <v>0</v>
      </c>
      <c r="L748" t="n">
        <v>0</v>
      </c>
      <c r="M748" t="n">
        <v>0</v>
      </c>
      <c r="N748" t="n">
        <v>0</v>
      </c>
      <c r="O748" t="n">
        <v>0</v>
      </c>
      <c r="P748" t="n">
        <v>0</v>
      </c>
      <c r="Q748" t="n">
        <v>0</v>
      </c>
      <c r="R748" s="2" t="inlineStr"/>
    </row>
    <row r="749" ht="15" customHeight="1">
      <c r="A749" t="inlineStr">
        <is>
          <t>A 36359-2020</t>
        </is>
      </c>
      <c r="B749" s="1" t="n">
        <v>44049</v>
      </c>
      <c r="C749" s="1" t="n">
        <v>45343</v>
      </c>
      <c r="D749" t="inlineStr">
        <is>
          <t>STOCKHOLMS LÄN</t>
        </is>
      </c>
      <c r="E749" t="inlineStr">
        <is>
          <t>NORRTÄLJE</t>
        </is>
      </c>
      <c r="G749" t="n">
        <v>6.5</v>
      </c>
      <c r="H749" t="n">
        <v>0</v>
      </c>
      <c r="I749" t="n">
        <v>0</v>
      </c>
      <c r="J749" t="n">
        <v>0</v>
      </c>
      <c r="K749" t="n">
        <v>0</v>
      </c>
      <c r="L749" t="n">
        <v>0</v>
      </c>
      <c r="M749" t="n">
        <v>0</v>
      </c>
      <c r="N749" t="n">
        <v>0</v>
      </c>
      <c r="O749" t="n">
        <v>0</v>
      </c>
      <c r="P749" t="n">
        <v>0</v>
      </c>
      <c r="Q749" t="n">
        <v>0</v>
      </c>
      <c r="R749" s="2" t="inlineStr"/>
    </row>
    <row r="750" ht="15" customHeight="1">
      <c r="A750" t="inlineStr">
        <is>
          <t>A 40837-2020</t>
        </is>
      </c>
      <c r="B750" s="1" t="n">
        <v>44067</v>
      </c>
      <c r="C750" s="1" t="n">
        <v>45343</v>
      </c>
      <c r="D750" t="inlineStr">
        <is>
          <t>STOCKHOLMS LÄN</t>
        </is>
      </c>
      <c r="E750" t="inlineStr">
        <is>
          <t>NORRTÄLJE</t>
        </is>
      </c>
      <c r="G750" t="n">
        <v>20.6</v>
      </c>
      <c r="H750" t="n">
        <v>0</v>
      </c>
      <c r="I750" t="n">
        <v>0</v>
      </c>
      <c r="J750" t="n">
        <v>0</v>
      </c>
      <c r="K750" t="n">
        <v>0</v>
      </c>
      <c r="L750" t="n">
        <v>0</v>
      </c>
      <c r="M750" t="n">
        <v>0</v>
      </c>
      <c r="N750" t="n">
        <v>0</v>
      </c>
      <c r="O750" t="n">
        <v>0</v>
      </c>
      <c r="P750" t="n">
        <v>0</v>
      </c>
      <c r="Q750" t="n">
        <v>0</v>
      </c>
      <c r="R750" s="2" t="inlineStr"/>
    </row>
    <row r="751" ht="15" customHeight="1">
      <c r="A751" t="inlineStr">
        <is>
          <t>A 40661-2020</t>
        </is>
      </c>
      <c r="B751" s="1" t="n">
        <v>44069</v>
      </c>
      <c r="C751" s="1" t="n">
        <v>45343</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42247-2020</t>
        </is>
      </c>
      <c r="B752" s="1" t="n">
        <v>44074</v>
      </c>
      <c r="C752" s="1" t="n">
        <v>45343</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42256-2020</t>
        </is>
      </c>
      <c r="B753" s="1" t="n">
        <v>44074</v>
      </c>
      <c r="C753" s="1" t="n">
        <v>45343</v>
      </c>
      <c r="D753" t="inlineStr">
        <is>
          <t>STOCKHOLMS LÄN</t>
        </is>
      </c>
      <c r="E753" t="inlineStr">
        <is>
          <t>NORRTÄLJE</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41694-2020</t>
        </is>
      </c>
      <c r="B754" s="1" t="n">
        <v>44074</v>
      </c>
      <c r="C754" s="1" t="n">
        <v>45343</v>
      </c>
      <c r="D754" t="inlineStr">
        <is>
          <t>STOCKHOLMS LÄN</t>
        </is>
      </c>
      <c r="E754" t="inlineStr">
        <is>
          <t>NORRTÄLJE</t>
        </is>
      </c>
      <c r="G754" t="n">
        <v>3</v>
      </c>
      <c r="H754" t="n">
        <v>0</v>
      </c>
      <c r="I754" t="n">
        <v>0</v>
      </c>
      <c r="J754" t="n">
        <v>0</v>
      </c>
      <c r="K754" t="n">
        <v>0</v>
      </c>
      <c r="L754" t="n">
        <v>0</v>
      </c>
      <c r="M754" t="n">
        <v>0</v>
      </c>
      <c r="N754" t="n">
        <v>0</v>
      </c>
      <c r="O754" t="n">
        <v>0</v>
      </c>
      <c r="P754" t="n">
        <v>0</v>
      </c>
      <c r="Q754" t="n">
        <v>0</v>
      </c>
      <c r="R754" s="2" t="inlineStr"/>
    </row>
    <row r="755" ht="15" customHeight="1">
      <c r="A755" t="inlineStr">
        <is>
          <t>A 42365-2020</t>
        </is>
      </c>
      <c r="B755" s="1" t="n">
        <v>44076</v>
      </c>
      <c r="C755" s="1" t="n">
        <v>45343</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42361-2020</t>
        </is>
      </c>
      <c r="B756" s="1" t="n">
        <v>44076</v>
      </c>
      <c r="C756" s="1" t="n">
        <v>45343</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42455-2020</t>
        </is>
      </c>
      <c r="B757" s="1" t="n">
        <v>44076</v>
      </c>
      <c r="C757" s="1" t="n">
        <v>45343</v>
      </c>
      <c r="D757" t="inlineStr">
        <is>
          <t>STOCKHOLMS LÄN</t>
        </is>
      </c>
      <c r="E757" t="inlineStr">
        <is>
          <t>NORRTÄLJE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43751-2020</t>
        </is>
      </c>
      <c r="B758" s="1" t="n">
        <v>44082</v>
      </c>
      <c r="C758" s="1" t="n">
        <v>45343</v>
      </c>
      <c r="D758" t="inlineStr">
        <is>
          <t>STOCKHOLMS LÄN</t>
        </is>
      </c>
      <c r="E758" t="inlineStr">
        <is>
          <t>NORRTÄLJE</t>
        </is>
      </c>
      <c r="G758" t="n">
        <v>8</v>
      </c>
      <c r="H758" t="n">
        <v>0</v>
      </c>
      <c r="I758" t="n">
        <v>0</v>
      </c>
      <c r="J758" t="n">
        <v>0</v>
      </c>
      <c r="K758" t="n">
        <v>0</v>
      </c>
      <c r="L758" t="n">
        <v>0</v>
      </c>
      <c r="M758" t="n">
        <v>0</v>
      </c>
      <c r="N758" t="n">
        <v>0</v>
      </c>
      <c r="O758" t="n">
        <v>0</v>
      </c>
      <c r="P758" t="n">
        <v>0</v>
      </c>
      <c r="Q758" t="n">
        <v>0</v>
      </c>
      <c r="R758" s="2" t="inlineStr"/>
    </row>
    <row r="759" ht="15" customHeight="1">
      <c r="A759" t="inlineStr">
        <is>
          <t>A 44096-2020</t>
        </is>
      </c>
      <c r="B759" s="1" t="n">
        <v>44083</v>
      </c>
      <c r="C759" s="1" t="n">
        <v>45343</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44071-2020</t>
        </is>
      </c>
      <c r="B760" s="1" t="n">
        <v>44083</v>
      </c>
      <c r="C760" s="1" t="n">
        <v>45343</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44183-2020</t>
        </is>
      </c>
      <c r="B761" s="1" t="n">
        <v>44083</v>
      </c>
      <c r="C761" s="1" t="n">
        <v>45343</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44792-2020</t>
        </is>
      </c>
      <c r="B762" s="1" t="n">
        <v>44085</v>
      </c>
      <c r="C762" s="1" t="n">
        <v>45343</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45988-2020</t>
        </is>
      </c>
      <c r="B763" s="1" t="n">
        <v>44091</v>
      </c>
      <c r="C763" s="1" t="n">
        <v>45343</v>
      </c>
      <c r="D763" t="inlineStr">
        <is>
          <t>STOCKHOLMS LÄN</t>
        </is>
      </c>
      <c r="E763" t="inlineStr">
        <is>
          <t>NORRTÄLJE</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46556-2020</t>
        </is>
      </c>
      <c r="B764" s="1" t="n">
        <v>44095</v>
      </c>
      <c r="C764" s="1" t="n">
        <v>45343</v>
      </c>
      <c r="D764" t="inlineStr">
        <is>
          <t>STOCKHOLMS LÄN</t>
        </is>
      </c>
      <c r="E764" t="inlineStr">
        <is>
          <t>NORRTÄLJE</t>
        </is>
      </c>
      <c r="F764" t="inlineStr">
        <is>
          <t>Holmen skog AB</t>
        </is>
      </c>
      <c r="G764" t="n">
        <v>2.1</v>
      </c>
      <c r="H764" t="n">
        <v>0</v>
      </c>
      <c r="I764" t="n">
        <v>0</v>
      </c>
      <c r="J764" t="n">
        <v>0</v>
      </c>
      <c r="K764" t="n">
        <v>0</v>
      </c>
      <c r="L764" t="n">
        <v>0</v>
      </c>
      <c r="M764" t="n">
        <v>0</v>
      </c>
      <c r="N764" t="n">
        <v>0</v>
      </c>
      <c r="O764" t="n">
        <v>0</v>
      </c>
      <c r="P764" t="n">
        <v>0</v>
      </c>
      <c r="Q764" t="n">
        <v>0</v>
      </c>
      <c r="R764" s="2" t="inlineStr"/>
    </row>
    <row r="765" ht="15" customHeight="1">
      <c r="A765" t="inlineStr">
        <is>
          <t>A 47291-2020</t>
        </is>
      </c>
      <c r="B765" s="1" t="n">
        <v>44097</v>
      </c>
      <c r="C765" s="1" t="n">
        <v>45343</v>
      </c>
      <c r="D765" t="inlineStr">
        <is>
          <t>STOCKHOLMS LÄN</t>
        </is>
      </c>
      <c r="E765" t="inlineStr">
        <is>
          <t>NORRTÄLJE</t>
        </is>
      </c>
      <c r="F765" t="inlineStr">
        <is>
          <t>Holmen skog AB</t>
        </is>
      </c>
      <c r="G765" t="n">
        <v>0.8</v>
      </c>
      <c r="H765" t="n">
        <v>0</v>
      </c>
      <c r="I765" t="n">
        <v>0</v>
      </c>
      <c r="J765" t="n">
        <v>0</v>
      </c>
      <c r="K765" t="n">
        <v>0</v>
      </c>
      <c r="L765" t="n">
        <v>0</v>
      </c>
      <c r="M765" t="n">
        <v>0</v>
      </c>
      <c r="N765" t="n">
        <v>0</v>
      </c>
      <c r="O765" t="n">
        <v>0</v>
      </c>
      <c r="P765" t="n">
        <v>0</v>
      </c>
      <c r="Q765" t="n">
        <v>0</v>
      </c>
      <c r="R765" s="2" t="inlineStr"/>
    </row>
    <row r="766" ht="15" customHeight="1">
      <c r="A766" t="inlineStr">
        <is>
          <t>A 48392-2020</t>
        </is>
      </c>
      <c r="B766" s="1" t="n">
        <v>44097</v>
      </c>
      <c r="C766" s="1" t="n">
        <v>45343</v>
      </c>
      <c r="D766" t="inlineStr">
        <is>
          <t>STOCKHOLMS LÄN</t>
        </is>
      </c>
      <c r="E766" t="inlineStr">
        <is>
          <t>NORRTÄLJE</t>
        </is>
      </c>
      <c r="G766" t="n">
        <v>12.5</v>
      </c>
      <c r="H766" t="n">
        <v>0</v>
      </c>
      <c r="I766" t="n">
        <v>0</v>
      </c>
      <c r="J766" t="n">
        <v>0</v>
      </c>
      <c r="K766" t="n">
        <v>0</v>
      </c>
      <c r="L766" t="n">
        <v>0</v>
      </c>
      <c r="M766" t="n">
        <v>0</v>
      </c>
      <c r="N766" t="n">
        <v>0</v>
      </c>
      <c r="O766" t="n">
        <v>0</v>
      </c>
      <c r="P766" t="n">
        <v>0</v>
      </c>
      <c r="Q766" t="n">
        <v>0</v>
      </c>
      <c r="R766" s="2" t="inlineStr"/>
    </row>
    <row r="767" ht="15" customHeight="1">
      <c r="A767" t="inlineStr">
        <is>
          <t>A 47869-2020</t>
        </is>
      </c>
      <c r="B767" s="1" t="n">
        <v>44098</v>
      </c>
      <c r="C767" s="1" t="n">
        <v>45343</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47868-2020</t>
        </is>
      </c>
      <c r="B768" s="1" t="n">
        <v>44098</v>
      </c>
      <c r="C768" s="1" t="n">
        <v>45343</v>
      </c>
      <c r="D768" t="inlineStr">
        <is>
          <t>STOCKHOLMS LÄN</t>
        </is>
      </c>
      <c r="E768" t="inlineStr">
        <is>
          <t>NORRTÄLJE</t>
        </is>
      </c>
      <c r="G768" t="n">
        <v>4.7</v>
      </c>
      <c r="H768" t="n">
        <v>0</v>
      </c>
      <c r="I768" t="n">
        <v>0</v>
      </c>
      <c r="J768" t="n">
        <v>0</v>
      </c>
      <c r="K768" t="n">
        <v>0</v>
      </c>
      <c r="L768" t="n">
        <v>0</v>
      </c>
      <c r="M768" t="n">
        <v>0</v>
      </c>
      <c r="N768" t="n">
        <v>0</v>
      </c>
      <c r="O768" t="n">
        <v>0</v>
      </c>
      <c r="P768" t="n">
        <v>0</v>
      </c>
      <c r="Q768" t="n">
        <v>0</v>
      </c>
      <c r="R768" s="2" t="inlineStr"/>
    </row>
    <row r="769" ht="15" customHeight="1">
      <c r="A769" t="inlineStr">
        <is>
          <t>A 48066-2020</t>
        </is>
      </c>
      <c r="B769" s="1" t="n">
        <v>44100</v>
      </c>
      <c r="C769" s="1" t="n">
        <v>45343</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48071-2020</t>
        </is>
      </c>
      <c r="B770" s="1" t="n">
        <v>44100</v>
      </c>
      <c r="C770" s="1" t="n">
        <v>45343</v>
      </c>
      <c r="D770" t="inlineStr">
        <is>
          <t>STOCKHOLMS LÄN</t>
        </is>
      </c>
      <c r="E770" t="inlineStr">
        <is>
          <t>NORRTÄLJE</t>
        </is>
      </c>
      <c r="G770" t="n">
        <v>6.8</v>
      </c>
      <c r="H770" t="n">
        <v>0</v>
      </c>
      <c r="I770" t="n">
        <v>0</v>
      </c>
      <c r="J770" t="n">
        <v>0</v>
      </c>
      <c r="K770" t="n">
        <v>0</v>
      </c>
      <c r="L770" t="n">
        <v>0</v>
      </c>
      <c r="M770" t="n">
        <v>0</v>
      </c>
      <c r="N770" t="n">
        <v>0</v>
      </c>
      <c r="O770" t="n">
        <v>0</v>
      </c>
      <c r="P770" t="n">
        <v>0</v>
      </c>
      <c r="Q770" t="n">
        <v>0</v>
      </c>
      <c r="R770" s="2" t="inlineStr"/>
    </row>
    <row r="771" ht="15" customHeight="1">
      <c r="A771" t="inlineStr">
        <is>
          <t>A 48496-2020</t>
        </is>
      </c>
      <c r="B771" s="1" t="n">
        <v>44103</v>
      </c>
      <c r="C771" s="1" t="n">
        <v>45343</v>
      </c>
      <c r="D771" t="inlineStr">
        <is>
          <t>STOCKHOLMS LÄN</t>
        </is>
      </c>
      <c r="E771" t="inlineStr">
        <is>
          <t>NORRTÄLJE</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48522-2020</t>
        </is>
      </c>
      <c r="B772" s="1" t="n">
        <v>44103</v>
      </c>
      <c r="C772" s="1" t="n">
        <v>45343</v>
      </c>
      <c r="D772" t="inlineStr">
        <is>
          <t>STOCKHOLMS LÄN</t>
        </is>
      </c>
      <c r="E772" t="inlineStr">
        <is>
          <t>NORRTÄLJE</t>
        </is>
      </c>
      <c r="F772" t="inlineStr">
        <is>
          <t>Holmen skog AB</t>
        </is>
      </c>
      <c r="G772" t="n">
        <v>1.3</v>
      </c>
      <c r="H772" t="n">
        <v>0</v>
      </c>
      <c r="I772" t="n">
        <v>0</v>
      </c>
      <c r="J772" t="n">
        <v>0</v>
      </c>
      <c r="K772" t="n">
        <v>0</v>
      </c>
      <c r="L772" t="n">
        <v>0</v>
      </c>
      <c r="M772" t="n">
        <v>0</v>
      </c>
      <c r="N772" t="n">
        <v>0</v>
      </c>
      <c r="O772" t="n">
        <v>0</v>
      </c>
      <c r="P772" t="n">
        <v>0</v>
      </c>
      <c r="Q772" t="n">
        <v>0</v>
      </c>
      <c r="R772" s="2" t="inlineStr"/>
    </row>
    <row r="773" ht="15" customHeight="1">
      <c r="A773" t="inlineStr">
        <is>
          <t>A 49334-2020</t>
        </is>
      </c>
      <c r="B773" s="1" t="n">
        <v>44105</v>
      </c>
      <c r="C773" s="1" t="n">
        <v>45343</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49327-2020</t>
        </is>
      </c>
      <c r="B774" s="1" t="n">
        <v>44105</v>
      </c>
      <c r="C774" s="1" t="n">
        <v>45343</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49898-2020</t>
        </is>
      </c>
      <c r="B775" s="1" t="n">
        <v>44108</v>
      </c>
      <c r="C775" s="1" t="n">
        <v>45343</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50497-2020</t>
        </is>
      </c>
      <c r="B776" s="1" t="n">
        <v>44110</v>
      </c>
      <c r="C776" s="1" t="n">
        <v>45343</v>
      </c>
      <c r="D776" t="inlineStr">
        <is>
          <t>STOCKHOLMS LÄN</t>
        </is>
      </c>
      <c r="E776" t="inlineStr">
        <is>
          <t>NORRTÄLJE</t>
        </is>
      </c>
      <c r="F776" t="inlineStr">
        <is>
          <t>Holmen skog AB</t>
        </is>
      </c>
      <c r="G776" t="n">
        <v>4.3</v>
      </c>
      <c r="H776" t="n">
        <v>0</v>
      </c>
      <c r="I776" t="n">
        <v>0</v>
      </c>
      <c r="J776" t="n">
        <v>0</v>
      </c>
      <c r="K776" t="n">
        <v>0</v>
      </c>
      <c r="L776" t="n">
        <v>0</v>
      </c>
      <c r="M776" t="n">
        <v>0</v>
      </c>
      <c r="N776" t="n">
        <v>0</v>
      </c>
      <c r="O776" t="n">
        <v>0</v>
      </c>
      <c r="P776" t="n">
        <v>0</v>
      </c>
      <c r="Q776" t="n">
        <v>0</v>
      </c>
      <c r="R776" s="2" t="inlineStr"/>
    </row>
    <row r="777" ht="15" customHeight="1">
      <c r="A777" t="inlineStr">
        <is>
          <t>A 50738-2020</t>
        </is>
      </c>
      <c r="B777" s="1" t="n">
        <v>44111</v>
      </c>
      <c r="C777" s="1" t="n">
        <v>45343</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50746-2020</t>
        </is>
      </c>
      <c r="B778" s="1" t="n">
        <v>44111</v>
      </c>
      <c r="C778" s="1" t="n">
        <v>45343</v>
      </c>
      <c r="D778" t="inlineStr">
        <is>
          <t>STOCKHOLMS LÄN</t>
        </is>
      </c>
      <c r="E778" t="inlineStr">
        <is>
          <t>NORRTÄLJE</t>
        </is>
      </c>
      <c r="G778" t="n">
        <v>4.9</v>
      </c>
      <c r="H778" t="n">
        <v>0</v>
      </c>
      <c r="I778" t="n">
        <v>0</v>
      </c>
      <c r="J778" t="n">
        <v>0</v>
      </c>
      <c r="K778" t="n">
        <v>0</v>
      </c>
      <c r="L778" t="n">
        <v>0</v>
      </c>
      <c r="M778" t="n">
        <v>0</v>
      </c>
      <c r="N778" t="n">
        <v>0</v>
      </c>
      <c r="O778" t="n">
        <v>0</v>
      </c>
      <c r="P778" t="n">
        <v>0</v>
      </c>
      <c r="Q778" t="n">
        <v>0</v>
      </c>
      <c r="R778" s="2" t="inlineStr"/>
    </row>
    <row r="779" ht="15" customHeight="1">
      <c r="A779" t="inlineStr">
        <is>
          <t>A 50742-2020</t>
        </is>
      </c>
      <c r="B779" s="1" t="n">
        <v>44111</v>
      </c>
      <c r="C779" s="1" t="n">
        <v>45343</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51720-2020</t>
        </is>
      </c>
      <c r="B780" s="1" t="n">
        <v>44113</v>
      </c>
      <c r="C780" s="1" t="n">
        <v>45343</v>
      </c>
      <c r="D780" t="inlineStr">
        <is>
          <t>STOCKHOLMS LÄN</t>
        </is>
      </c>
      <c r="E780" t="inlineStr">
        <is>
          <t>NORRTÄLJE</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51787-2020</t>
        </is>
      </c>
      <c r="B781" s="1" t="n">
        <v>44116</v>
      </c>
      <c r="C781" s="1" t="n">
        <v>45343</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51798-2020</t>
        </is>
      </c>
      <c r="B782" s="1" t="n">
        <v>44116</v>
      </c>
      <c r="C782" s="1" t="n">
        <v>45343</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53768-2020</t>
        </is>
      </c>
      <c r="B783" s="1" t="n">
        <v>44123</v>
      </c>
      <c r="C783" s="1" t="n">
        <v>45343</v>
      </c>
      <c r="D783" t="inlineStr">
        <is>
          <t>STOCKHOLMS LÄN</t>
        </is>
      </c>
      <c r="E783" t="inlineStr">
        <is>
          <t>NORRTÄLJE</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53652-2020</t>
        </is>
      </c>
      <c r="B784" s="1" t="n">
        <v>44124</v>
      </c>
      <c r="C784" s="1" t="n">
        <v>45343</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53690-2020</t>
        </is>
      </c>
      <c r="B785" s="1" t="n">
        <v>44124</v>
      </c>
      <c r="C785" s="1" t="n">
        <v>45343</v>
      </c>
      <c r="D785" t="inlineStr">
        <is>
          <t>STOCKHOLMS LÄN</t>
        </is>
      </c>
      <c r="E785" t="inlineStr">
        <is>
          <t>NORRTÄLJE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53607-2020</t>
        </is>
      </c>
      <c r="B786" s="1" t="n">
        <v>44124</v>
      </c>
      <c r="C786" s="1" t="n">
        <v>45343</v>
      </c>
      <c r="D786" t="inlineStr">
        <is>
          <t>STOCKHOLMS LÄN</t>
        </is>
      </c>
      <c r="E786" t="inlineStr">
        <is>
          <t>NORRTÄLJE</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55089-2020</t>
        </is>
      </c>
      <c r="B787" s="1" t="n">
        <v>44130</v>
      </c>
      <c r="C787" s="1" t="n">
        <v>45343</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55895-2020</t>
        </is>
      </c>
      <c r="B788" s="1" t="n">
        <v>44132</v>
      </c>
      <c r="C788" s="1" t="n">
        <v>45343</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55890-2020</t>
        </is>
      </c>
      <c r="B789" s="1" t="n">
        <v>44132</v>
      </c>
      <c r="C789" s="1" t="n">
        <v>45343</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55982-2020</t>
        </is>
      </c>
      <c r="B790" s="1" t="n">
        <v>44132</v>
      </c>
      <c r="C790" s="1" t="n">
        <v>45343</v>
      </c>
      <c r="D790" t="inlineStr">
        <is>
          <t>STOCKHOLMS LÄN</t>
        </is>
      </c>
      <c r="E790" t="inlineStr">
        <is>
          <t>NORRTÄLJE</t>
        </is>
      </c>
      <c r="G790" t="n">
        <v>11.3</v>
      </c>
      <c r="H790" t="n">
        <v>0</v>
      </c>
      <c r="I790" t="n">
        <v>0</v>
      </c>
      <c r="J790" t="n">
        <v>0</v>
      </c>
      <c r="K790" t="n">
        <v>0</v>
      </c>
      <c r="L790" t="n">
        <v>0</v>
      </c>
      <c r="M790" t="n">
        <v>0</v>
      </c>
      <c r="N790" t="n">
        <v>0</v>
      </c>
      <c r="O790" t="n">
        <v>0</v>
      </c>
      <c r="P790" t="n">
        <v>0</v>
      </c>
      <c r="Q790" t="n">
        <v>0</v>
      </c>
      <c r="R790" s="2" t="inlineStr"/>
    </row>
    <row r="791" ht="15" customHeight="1">
      <c r="A791" t="inlineStr">
        <is>
          <t>A 56166-2020</t>
        </is>
      </c>
      <c r="B791" s="1" t="n">
        <v>44133</v>
      </c>
      <c r="C791" s="1" t="n">
        <v>45343</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56323-2020</t>
        </is>
      </c>
      <c r="B792" s="1" t="n">
        <v>44134</v>
      </c>
      <c r="C792" s="1" t="n">
        <v>45343</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57216-2020</t>
        </is>
      </c>
      <c r="B793" s="1" t="n">
        <v>44139</v>
      </c>
      <c r="C793" s="1" t="n">
        <v>45343</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57957-2020</t>
        </is>
      </c>
      <c r="B794" s="1" t="n">
        <v>44143</v>
      </c>
      <c r="C794" s="1" t="n">
        <v>45343</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57987-2020</t>
        </is>
      </c>
      <c r="B795" s="1" t="n">
        <v>44143</v>
      </c>
      <c r="C795" s="1" t="n">
        <v>45343</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58493-2020</t>
        </is>
      </c>
      <c r="B796" s="1" t="n">
        <v>44145</v>
      </c>
      <c r="C796" s="1" t="n">
        <v>45343</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58661-2020</t>
        </is>
      </c>
      <c r="B797" s="1" t="n">
        <v>44145</v>
      </c>
      <c r="C797" s="1" t="n">
        <v>45343</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58665-2020</t>
        </is>
      </c>
      <c r="B798" s="1" t="n">
        <v>44145</v>
      </c>
      <c r="C798" s="1" t="n">
        <v>45343</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58888-2020</t>
        </is>
      </c>
      <c r="B799" s="1" t="n">
        <v>44146</v>
      </c>
      <c r="C799" s="1" t="n">
        <v>45343</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60321-2020</t>
        </is>
      </c>
      <c r="B800" s="1" t="n">
        <v>44152</v>
      </c>
      <c r="C800" s="1" t="n">
        <v>45343</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60542-2020</t>
        </is>
      </c>
      <c r="B801" s="1" t="n">
        <v>44153</v>
      </c>
      <c r="C801" s="1" t="n">
        <v>45343</v>
      </c>
      <c r="D801" t="inlineStr">
        <is>
          <t>STOCKHOLMS LÄN</t>
        </is>
      </c>
      <c r="E801" t="inlineStr">
        <is>
          <t>NORRTÄLJE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60977-2020</t>
        </is>
      </c>
      <c r="B802" s="1" t="n">
        <v>44154</v>
      </c>
      <c r="C802" s="1" t="n">
        <v>45343</v>
      </c>
      <c r="D802" t="inlineStr">
        <is>
          <t>STOCKHOLMS LÄN</t>
        </is>
      </c>
      <c r="E802" t="inlineStr">
        <is>
          <t>NORRTÄLJE</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60891-2020</t>
        </is>
      </c>
      <c r="B803" s="1" t="n">
        <v>44154</v>
      </c>
      <c r="C803" s="1" t="n">
        <v>45343</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60961-2020</t>
        </is>
      </c>
      <c r="B804" s="1" t="n">
        <v>44154</v>
      </c>
      <c r="C804" s="1" t="n">
        <v>45343</v>
      </c>
      <c r="D804" t="inlineStr">
        <is>
          <t>STOCKHOLMS LÄN</t>
        </is>
      </c>
      <c r="E804" t="inlineStr">
        <is>
          <t>NORRTÄLJE</t>
        </is>
      </c>
      <c r="F804" t="inlineStr">
        <is>
          <t>Holmen skog AB</t>
        </is>
      </c>
      <c r="G804" t="n">
        <v>0.9</v>
      </c>
      <c r="H804" t="n">
        <v>0</v>
      </c>
      <c r="I804" t="n">
        <v>0</v>
      </c>
      <c r="J804" t="n">
        <v>0</v>
      </c>
      <c r="K804" t="n">
        <v>0</v>
      </c>
      <c r="L804" t="n">
        <v>0</v>
      </c>
      <c r="M804" t="n">
        <v>0</v>
      </c>
      <c r="N804" t="n">
        <v>0</v>
      </c>
      <c r="O804" t="n">
        <v>0</v>
      </c>
      <c r="P804" t="n">
        <v>0</v>
      </c>
      <c r="Q804" t="n">
        <v>0</v>
      </c>
      <c r="R804" s="2" t="inlineStr"/>
    </row>
    <row r="805" ht="15" customHeight="1">
      <c r="A805" t="inlineStr">
        <is>
          <t>A 61195-2020</t>
        </is>
      </c>
      <c r="B805" s="1" t="n">
        <v>44155</v>
      </c>
      <c r="C805" s="1" t="n">
        <v>45343</v>
      </c>
      <c r="D805" t="inlineStr">
        <is>
          <t>STOCKHOLMS LÄN</t>
        </is>
      </c>
      <c r="E805" t="inlineStr">
        <is>
          <t>NORRTÄLJE</t>
        </is>
      </c>
      <c r="G805" t="n">
        <v>7.8</v>
      </c>
      <c r="H805" t="n">
        <v>0</v>
      </c>
      <c r="I805" t="n">
        <v>0</v>
      </c>
      <c r="J805" t="n">
        <v>0</v>
      </c>
      <c r="K805" t="n">
        <v>0</v>
      </c>
      <c r="L805" t="n">
        <v>0</v>
      </c>
      <c r="M805" t="n">
        <v>0</v>
      </c>
      <c r="N805" t="n">
        <v>0</v>
      </c>
      <c r="O805" t="n">
        <v>0</v>
      </c>
      <c r="P805" t="n">
        <v>0</v>
      </c>
      <c r="Q805" t="n">
        <v>0</v>
      </c>
      <c r="R805" s="2" t="inlineStr"/>
    </row>
    <row r="806" ht="15" customHeight="1">
      <c r="A806" t="inlineStr">
        <is>
          <t>A 61221-2020</t>
        </is>
      </c>
      <c r="B806" s="1" t="n">
        <v>44155</v>
      </c>
      <c r="C806" s="1" t="n">
        <v>45343</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61363-2020</t>
        </is>
      </c>
      <c r="B807" s="1" t="n">
        <v>44155</v>
      </c>
      <c r="C807" s="1" t="n">
        <v>45343</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61469-2020</t>
        </is>
      </c>
      <c r="B808" s="1" t="n">
        <v>44155</v>
      </c>
      <c r="C808" s="1" t="n">
        <v>45343</v>
      </c>
      <c r="D808" t="inlineStr">
        <is>
          <t>STOCKHOLMS LÄN</t>
        </is>
      </c>
      <c r="E808" t="inlineStr">
        <is>
          <t>NORRTÄLJE</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61192-2020</t>
        </is>
      </c>
      <c r="B809" s="1" t="n">
        <v>44155</v>
      </c>
      <c r="C809" s="1" t="n">
        <v>45343</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62460-2020</t>
        </is>
      </c>
      <c r="B810" s="1" t="n">
        <v>44160</v>
      </c>
      <c r="C810" s="1" t="n">
        <v>45343</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62854-2020</t>
        </is>
      </c>
      <c r="B811" s="1" t="n">
        <v>44161</v>
      </c>
      <c r="C811" s="1" t="n">
        <v>45343</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63824-2020</t>
        </is>
      </c>
      <c r="B812" s="1" t="n">
        <v>44162</v>
      </c>
      <c r="C812" s="1" t="n">
        <v>45343</v>
      </c>
      <c r="D812" t="inlineStr">
        <is>
          <t>STOCKHOLMS LÄN</t>
        </is>
      </c>
      <c r="E812" t="inlineStr">
        <is>
          <t>NORRTÄLJE</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66372-2020</t>
        </is>
      </c>
      <c r="B813" s="1" t="n">
        <v>44176</v>
      </c>
      <c r="C813" s="1" t="n">
        <v>45343</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66907-2020</t>
        </is>
      </c>
      <c r="B814" s="1" t="n">
        <v>44176</v>
      </c>
      <c r="C814" s="1" t="n">
        <v>45343</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67393-2020</t>
        </is>
      </c>
      <c r="B815" s="1" t="n">
        <v>44181</v>
      </c>
      <c r="C815" s="1" t="n">
        <v>45343</v>
      </c>
      <c r="D815" t="inlineStr">
        <is>
          <t>STOCKHOLMS LÄN</t>
        </is>
      </c>
      <c r="E815" t="inlineStr">
        <is>
          <t>NORRTÄLJE</t>
        </is>
      </c>
      <c r="G815" t="n">
        <v>5.5</v>
      </c>
      <c r="H815" t="n">
        <v>0</v>
      </c>
      <c r="I815" t="n">
        <v>0</v>
      </c>
      <c r="J815" t="n">
        <v>0</v>
      </c>
      <c r="K815" t="n">
        <v>0</v>
      </c>
      <c r="L815" t="n">
        <v>0</v>
      </c>
      <c r="M815" t="n">
        <v>0</v>
      </c>
      <c r="N815" t="n">
        <v>0</v>
      </c>
      <c r="O815" t="n">
        <v>0</v>
      </c>
      <c r="P815" t="n">
        <v>0</v>
      </c>
      <c r="Q815" t="n">
        <v>0</v>
      </c>
      <c r="R815" s="2" t="inlineStr"/>
    </row>
    <row r="816" ht="15" customHeight="1">
      <c r="A816" t="inlineStr">
        <is>
          <t>A 68081-2020</t>
        </is>
      </c>
      <c r="B816" s="1" t="n">
        <v>44183</v>
      </c>
      <c r="C816" s="1" t="n">
        <v>45343</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367-2021</t>
        </is>
      </c>
      <c r="B817" s="1" t="n">
        <v>44201</v>
      </c>
      <c r="C817" s="1" t="n">
        <v>45343</v>
      </c>
      <c r="D817" t="inlineStr">
        <is>
          <t>STOCKHOLMS LÄN</t>
        </is>
      </c>
      <c r="E817" t="inlineStr">
        <is>
          <t>NORRTÄLJE</t>
        </is>
      </c>
      <c r="G817" t="n">
        <v>0.1</v>
      </c>
      <c r="H817" t="n">
        <v>0</v>
      </c>
      <c r="I817" t="n">
        <v>0</v>
      </c>
      <c r="J817" t="n">
        <v>0</v>
      </c>
      <c r="K817" t="n">
        <v>0</v>
      </c>
      <c r="L817" t="n">
        <v>0</v>
      </c>
      <c r="M817" t="n">
        <v>0</v>
      </c>
      <c r="N817" t="n">
        <v>0</v>
      </c>
      <c r="O817" t="n">
        <v>0</v>
      </c>
      <c r="P817" t="n">
        <v>0</v>
      </c>
      <c r="Q817" t="n">
        <v>0</v>
      </c>
      <c r="R817" s="2" t="inlineStr"/>
    </row>
    <row r="818" ht="15" customHeight="1">
      <c r="A818" t="inlineStr">
        <is>
          <t>A 348-2021</t>
        </is>
      </c>
      <c r="B818" s="1" t="n">
        <v>44201</v>
      </c>
      <c r="C818" s="1" t="n">
        <v>45343</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1637-2021</t>
        </is>
      </c>
      <c r="B819" s="1" t="n">
        <v>44209</v>
      </c>
      <c r="C819" s="1" t="n">
        <v>45343</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1970-2021</t>
        </is>
      </c>
      <c r="B820" s="1" t="n">
        <v>44210</v>
      </c>
      <c r="C820" s="1" t="n">
        <v>45343</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2447-2021</t>
        </is>
      </c>
      <c r="B821" s="1" t="n">
        <v>44214</v>
      </c>
      <c r="C821" s="1" t="n">
        <v>45343</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2976-2021</t>
        </is>
      </c>
      <c r="B822" s="1" t="n">
        <v>44216</v>
      </c>
      <c r="C822" s="1" t="n">
        <v>45343</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3143-2021</t>
        </is>
      </c>
      <c r="B823" s="1" t="n">
        <v>44217</v>
      </c>
      <c r="C823" s="1" t="n">
        <v>45343</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3386-2021</t>
        </is>
      </c>
      <c r="B824" s="1" t="n">
        <v>44218</v>
      </c>
      <c r="C824" s="1" t="n">
        <v>45343</v>
      </c>
      <c r="D824" t="inlineStr">
        <is>
          <t>STOCKHOLMS LÄN</t>
        </is>
      </c>
      <c r="E824" t="inlineStr">
        <is>
          <t>NORRTÄLJE</t>
        </is>
      </c>
      <c r="G824" t="n">
        <v>8</v>
      </c>
      <c r="H824" t="n">
        <v>0</v>
      </c>
      <c r="I824" t="n">
        <v>0</v>
      </c>
      <c r="J824" t="n">
        <v>0</v>
      </c>
      <c r="K824" t="n">
        <v>0</v>
      </c>
      <c r="L824" t="n">
        <v>0</v>
      </c>
      <c r="M824" t="n">
        <v>0</v>
      </c>
      <c r="N824" t="n">
        <v>0</v>
      </c>
      <c r="O824" t="n">
        <v>0</v>
      </c>
      <c r="P824" t="n">
        <v>0</v>
      </c>
      <c r="Q824" t="n">
        <v>0</v>
      </c>
      <c r="R824" s="2" t="inlineStr"/>
    </row>
    <row r="825" ht="15" customHeight="1">
      <c r="A825" t="inlineStr">
        <is>
          <t>A 4634-2021</t>
        </is>
      </c>
      <c r="B825" s="1" t="n">
        <v>44224</v>
      </c>
      <c r="C825" s="1" t="n">
        <v>45343</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4632-2021</t>
        </is>
      </c>
      <c r="B826" s="1" t="n">
        <v>44224</v>
      </c>
      <c r="C826" s="1" t="n">
        <v>45343</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5037-2021</t>
        </is>
      </c>
      <c r="B827" s="1" t="n">
        <v>44228</v>
      </c>
      <c r="C827" s="1" t="n">
        <v>45343</v>
      </c>
      <c r="D827" t="inlineStr">
        <is>
          <t>STOCKHOLMS LÄN</t>
        </is>
      </c>
      <c r="E827" t="inlineStr">
        <is>
          <t>NORRTÄLJE</t>
        </is>
      </c>
      <c r="F827" t="inlineStr">
        <is>
          <t>Holmen skog AB</t>
        </is>
      </c>
      <c r="G827" t="n">
        <v>3.8</v>
      </c>
      <c r="H827" t="n">
        <v>0</v>
      </c>
      <c r="I827" t="n">
        <v>0</v>
      </c>
      <c r="J827" t="n">
        <v>0</v>
      </c>
      <c r="K827" t="n">
        <v>0</v>
      </c>
      <c r="L827" t="n">
        <v>0</v>
      </c>
      <c r="M827" t="n">
        <v>0</v>
      </c>
      <c r="N827" t="n">
        <v>0</v>
      </c>
      <c r="O827" t="n">
        <v>0</v>
      </c>
      <c r="P827" t="n">
        <v>0</v>
      </c>
      <c r="Q827" t="n">
        <v>0</v>
      </c>
      <c r="R827" s="2" t="inlineStr"/>
    </row>
    <row r="828" ht="15" customHeight="1">
      <c r="A828" t="inlineStr">
        <is>
          <t>A 5562-2021</t>
        </is>
      </c>
      <c r="B828" s="1" t="n">
        <v>44230</v>
      </c>
      <c r="C828" s="1" t="n">
        <v>45343</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5566-2021</t>
        </is>
      </c>
      <c r="B829" s="1" t="n">
        <v>44230</v>
      </c>
      <c r="C829" s="1" t="n">
        <v>45343</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5950-2021</t>
        </is>
      </c>
      <c r="B830" s="1" t="n">
        <v>44231</v>
      </c>
      <c r="C830" s="1" t="n">
        <v>45343</v>
      </c>
      <c r="D830" t="inlineStr">
        <is>
          <t>STOCKHOLMS LÄN</t>
        </is>
      </c>
      <c r="E830" t="inlineStr">
        <is>
          <t>NORRTÄLJE</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6049-2021</t>
        </is>
      </c>
      <c r="B831" s="1" t="n">
        <v>44231</v>
      </c>
      <c r="C831" s="1" t="n">
        <v>45343</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7903-2021</t>
        </is>
      </c>
      <c r="B832" s="1" t="n">
        <v>44243</v>
      </c>
      <c r="C832" s="1" t="n">
        <v>45343</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7999-2021</t>
        </is>
      </c>
      <c r="B833" s="1" t="n">
        <v>44243</v>
      </c>
      <c r="C833" s="1" t="n">
        <v>45343</v>
      </c>
      <c r="D833" t="inlineStr">
        <is>
          <t>STOCKHOLMS LÄN</t>
        </is>
      </c>
      <c r="E833" t="inlineStr">
        <is>
          <t>NORRTÄLJE</t>
        </is>
      </c>
      <c r="G833" t="n">
        <v>6.8</v>
      </c>
      <c r="H833" t="n">
        <v>0</v>
      </c>
      <c r="I833" t="n">
        <v>0</v>
      </c>
      <c r="J833" t="n">
        <v>0</v>
      </c>
      <c r="K833" t="n">
        <v>0</v>
      </c>
      <c r="L833" t="n">
        <v>0</v>
      </c>
      <c r="M833" t="n">
        <v>0</v>
      </c>
      <c r="N833" t="n">
        <v>0</v>
      </c>
      <c r="O833" t="n">
        <v>0</v>
      </c>
      <c r="P833" t="n">
        <v>0</v>
      </c>
      <c r="Q833" t="n">
        <v>0</v>
      </c>
      <c r="R833" s="2" t="inlineStr"/>
    </row>
    <row r="834" ht="15" customHeight="1">
      <c r="A834" t="inlineStr">
        <is>
          <t>A 8338-2021</t>
        </is>
      </c>
      <c r="B834" s="1" t="n">
        <v>44244</v>
      </c>
      <c r="C834" s="1" t="n">
        <v>45343</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9467-2021</t>
        </is>
      </c>
      <c r="B835" s="1" t="n">
        <v>44251</v>
      </c>
      <c r="C835" s="1" t="n">
        <v>45343</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9469-2021</t>
        </is>
      </c>
      <c r="B836" s="1" t="n">
        <v>44251</v>
      </c>
      <c r="C836" s="1" t="n">
        <v>45343</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9446-2021</t>
        </is>
      </c>
      <c r="B837" s="1" t="n">
        <v>44251</v>
      </c>
      <c r="C837" s="1" t="n">
        <v>45343</v>
      </c>
      <c r="D837" t="inlineStr">
        <is>
          <t>STOCKHOLMS LÄN</t>
        </is>
      </c>
      <c r="E837" t="inlineStr">
        <is>
          <t>NORRTÄLJE</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9719-2021</t>
        </is>
      </c>
      <c r="B838" s="1" t="n">
        <v>44252</v>
      </c>
      <c r="C838" s="1" t="n">
        <v>45343</v>
      </c>
      <c r="D838" t="inlineStr">
        <is>
          <t>STOCKHOLMS LÄN</t>
        </is>
      </c>
      <c r="E838" t="inlineStr">
        <is>
          <t>NORRTÄLJE</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9703-2021</t>
        </is>
      </c>
      <c r="B839" s="1" t="n">
        <v>44252</v>
      </c>
      <c r="C839" s="1" t="n">
        <v>45343</v>
      </c>
      <c r="D839" t="inlineStr">
        <is>
          <t>STOCKHOLMS LÄN</t>
        </is>
      </c>
      <c r="E839" t="inlineStr">
        <is>
          <t>NORRTÄLJE</t>
        </is>
      </c>
      <c r="G839" t="n">
        <v>3.4</v>
      </c>
      <c r="H839" t="n">
        <v>0</v>
      </c>
      <c r="I839" t="n">
        <v>0</v>
      </c>
      <c r="J839" t="n">
        <v>0</v>
      </c>
      <c r="K839" t="n">
        <v>0</v>
      </c>
      <c r="L839" t="n">
        <v>0</v>
      </c>
      <c r="M839" t="n">
        <v>0</v>
      </c>
      <c r="N839" t="n">
        <v>0</v>
      </c>
      <c r="O839" t="n">
        <v>0</v>
      </c>
      <c r="P839" t="n">
        <v>0</v>
      </c>
      <c r="Q839" t="n">
        <v>0</v>
      </c>
      <c r="R839" s="2" t="inlineStr"/>
    </row>
    <row r="840" ht="15" customHeight="1">
      <c r="A840" t="inlineStr">
        <is>
          <t>A 10687-2021</t>
        </is>
      </c>
      <c r="B840" s="1" t="n">
        <v>44258</v>
      </c>
      <c r="C840" s="1" t="n">
        <v>45343</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10684-2021</t>
        </is>
      </c>
      <c r="B841" s="1" t="n">
        <v>44258</v>
      </c>
      <c r="C841" s="1" t="n">
        <v>45343</v>
      </c>
      <c r="D841" t="inlineStr">
        <is>
          <t>STOCKHOLMS LÄN</t>
        </is>
      </c>
      <c r="E841" t="inlineStr">
        <is>
          <t>NORRTÄLJE</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11122-2021</t>
        </is>
      </c>
      <c r="B842" s="1" t="n">
        <v>44260</v>
      </c>
      <c r="C842" s="1" t="n">
        <v>45343</v>
      </c>
      <c r="D842" t="inlineStr">
        <is>
          <t>STOCKHOLMS LÄN</t>
        </is>
      </c>
      <c r="E842" t="inlineStr">
        <is>
          <t>NORRTÄLJE</t>
        </is>
      </c>
      <c r="F842" t="inlineStr">
        <is>
          <t>Holmen skog AB</t>
        </is>
      </c>
      <c r="G842" t="n">
        <v>2.1</v>
      </c>
      <c r="H842" t="n">
        <v>0</v>
      </c>
      <c r="I842" t="n">
        <v>0</v>
      </c>
      <c r="J842" t="n">
        <v>0</v>
      </c>
      <c r="K842" t="n">
        <v>0</v>
      </c>
      <c r="L842" t="n">
        <v>0</v>
      </c>
      <c r="M842" t="n">
        <v>0</v>
      </c>
      <c r="N842" t="n">
        <v>0</v>
      </c>
      <c r="O842" t="n">
        <v>0</v>
      </c>
      <c r="P842" t="n">
        <v>0</v>
      </c>
      <c r="Q842" t="n">
        <v>0</v>
      </c>
      <c r="R842" s="2" t="inlineStr"/>
    </row>
    <row r="843" ht="15" customHeight="1">
      <c r="A843" t="inlineStr">
        <is>
          <t>A 11438-2021</t>
        </is>
      </c>
      <c r="B843" s="1" t="n">
        <v>44263</v>
      </c>
      <c r="C843" s="1" t="n">
        <v>45343</v>
      </c>
      <c r="D843" t="inlineStr">
        <is>
          <t>STOCKHOLMS LÄN</t>
        </is>
      </c>
      <c r="E843" t="inlineStr">
        <is>
          <t>NORRTÄLJE</t>
        </is>
      </c>
      <c r="G843" t="n">
        <v>2.6</v>
      </c>
      <c r="H843" t="n">
        <v>0</v>
      </c>
      <c r="I843" t="n">
        <v>0</v>
      </c>
      <c r="J843" t="n">
        <v>0</v>
      </c>
      <c r="K843" t="n">
        <v>0</v>
      </c>
      <c r="L843" t="n">
        <v>0</v>
      </c>
      <c r="M843" t="n">
        <v>0</v>
      </c>
      <c r="N843" t="n">
        <v>0</v>
      </c>
      <c r="O843" t="n">
        <v>0</v>
      </c>
      <c r="P843" t="n">
        <v>0</v>
      </c>
      <c r="Q843" t="n">
        <v>0</v>
      </c>
      <c r="R843" s="2" t="inlineStr"/>
    </row>
    <row r="844" ht="15" customHeight="1">
      <c r="A844" t="inlineStr">
        <is>
          <t>A 11988-2021</t>
        </is>
      </c>
      <c r="B844" s="1" t="n">
        <v>44266</v>
      </c>
      <c r="C844" s="1" t="n">
        <v>45343</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12031-2021</t>
        </is>
      </c>
      <c r="B845" s="1" t="n">
        <v>44266</v>
      </c>
      <c r="C845" s="1" t="n">
        <v>45343</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12111-2021</t>
        </is>
      </c>
      <c r="B846" s="1" t="n">
        <v>44266</v>
      </c>
      <c r="C846" s="1" t="n">
        <v>45343</v>
      </c>
      <c r="D846" t="inlineStr">
        <is>
          <t>STOCKHOLMS LÄN</t>
        </is>
      </c>
      <c r="E846" t="inlineStr">
        <is>
          <t>NORRTÄLJE</t>
        </is>
      </c>
      <c r="G846" t="n">
        <v>5.5</v>
      </c>
      <c r="H846" t="n">
        <v>0</v>
      </c>
      <c r="I846" t="n">
        <v>0</v>
      </c>
      <c r="J846" t="n">
        <v>0</v>
      </c>
      <c r="K846" t="n">
        <v>0</v>
      </c>
      <c r="L846" t="n">
        <v>0</v>
      </c>
      <c r="M846" t="n">
        <v>0</v>
      </c>
      <c r="N846" t="n">
        <v>0</v>
      </c>
      <c r="O846" t="n">
        <v>0</v>
      </c>
      <c r="P846" t="n">
        <v>0</v>
      </c>
      <c r="Q846" t="n">
        <v>0</v>
      </c>
      <c r="R846" s="2" t="inlineStr"/>
    </row>
    <row r="847" ht="15" customHeight="1">
      <c r="A847" t="inlineStr">
        <is>
          <t>A 12132-2021</t>
        </is>
      </c>
      <c r="B847" s="1" t="n">
        <v>44266</v>
      </c>
      <c r="C847" s="1" t="n">
        <v>45343</v>
      </c>
      <c r="D847" t="inlineStr">
        <is>
          <t>STOCKHOLMS LÄN</t>
        </is>
      </c>
      <c r="E847" t="inlineStr">
        <is>
          <t>NORRTÄLJE</t>
        </is>
      </c>
      <c r="G847" t="n">
        <v>4</v>
      </c>
      <c r="H847" t="n">
        <v>0</v>
      </c>
      <c r="I847" t="n">
        <v>0</v>
      </c>
      <c r="J847" t="n">
        <v>0</v>
      </c>
      <c r="K847" t="n">
        <v>0</v>
      </c>
      <c r="L847" t="n">
        <v>0</v>
      </c>
      <c r="M847" t="n">
        <v>0</v>
      </c>
      <c r="N847" t="n">
        <v>0</v>
      </c>
      <c r="O847" t="n">
        <v>0</v>
      </c>
      <c r="P847" t="n">
        <v>0</v>
      </c>
      <c r="Q847" t="n">
        <v>0</v>
      </c>
      <c r="R847" s="2" t="inlineStr"/>
    </row>
    <row r="848" ht="15" customHeight="1">
      <c r="A848" t="inlineStr">
        <is>
          <t>A 12564-2021</t>
        </is>
      </c>
      <c r="B848" s="1" t="n">
        <v>44270</v>
      </c>
      <c r="C848" s="1" t="n">
        <v>45343</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12779-2021</t>
        </is>
      </c>
      <c r="B849" s="1" t="n">
        <v>44270</v>
      </c>
      <c r="C849" s="1" t="n">
        <v>45343</v>
      </c>
      <c r="D849" t="inlineStr">
        <is>
          <t>STOCKHOLMS LÄN</t>
        </is>
      </c>
      <c r="E849" t="inlineStr">
        <is>
          <t>NORRTÄLJE</t>
        </is>
      </c>
      <c r="G849" t="n">
        <v>10.8</v>
      </c>
      <c r="H849" t="n">
        <v>0</v>
      </c>
      <c r="I849" t="n">
        <v>0</v>
      </c>
      <c r="J849" t="n">
        <v>0</v>
      </c>
      <c r="K849" t="n">
        <v>0</v>
      </c>
      <c r="L849" t="n">
        <v>0</v>
      </c>
      <c r="M849" t="n">
        <v>0</v>
      </c>
      <c r="N849" t="n">
        <v>0</v>
      </c>
      <c r="O849" t="n">
        <v>0</v>
      </c>
      <c r="P849" t="n">
        <v>0</v>
      </c>
      <c r="Q849" t="n">
        <v>0</v>
      </c>
      <c r="R849" s="2" t="inlineStr"/>
    </row>
    <row r="850" ht="15" customHeight="1">
      <c r="A850" t="inlineStr">
        <is>
          <t>A 12782-2021</t>
        </is>
      </c>
      <c r="B850" s="1" t="n">
        <v>44270</v>
      </c>
      <c r="C850" s="1" t="n">
        <v>45343</v>
      </c>
      <c r="D850" t="inlineStr">
        <is>
          <t>STOCKHOLMS LÄN</t>
        </is>
      </c>
      <c r="E850" t="inlineStr">
        <is>
          <t>NORRTÄLJE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13051-2021</t>
        </is>
      </c>
      <c r="B851" s="1" t="n">
        <v>44272</v>
      </c>
      <c r="C851" s="1" t="n">
        <v>45343</v>
      </c>
      <c r="D851" t="inlineStr">
        <is>
          <t>STOCKHOLMS LÄN</t>
        </is>
      </c>
      <c r="E851" t="inlineStr">
        <is>
          <t>NORRTÄLJE</t>
        </is>
      </c>
      <c r="G851" t="n">
        <v>9.1</v>
      </c>
      <c r="H851" t="n">
        <v>0</v>
      </c>
      <c r="I851" t="n">
        <v>0</v>
      </c>
      <c r="J851" t="n">
        <v>0</v>
      </c>
      <c r="K851" t="n">
        <v>0</v>
      </c>
      <c r="L851" t="n">
        <v>0</v>
      </c>
      <c r="M851" t="n">
        <v>0</v>
      </c>
      <c r="N851" t="n">
        <v>0</v>
      </c>
      <c r="O851" t="n">
        <v>0</v>
      </c>
      <c r="P851" t="n">
        <v>0</v>
      </c>
      <c r="Q851" t="n">
        <v>0</v>
      </c>
      <c r="R851" s="2" t="inlineStr"/>
    </row>
    <row r="852" ht="15" customHeight="1">
      <c r="A852" t="inlineStr">
        <is>
          <t>A 13148-2021</t>
        </is>
      </c>
      <c r="B852" s="1" t="n">
        <v>44272</v>
      </c>
      <c r="C852" s="1" t="n">
        <v>45343</v>
      </c>
      <c r="D852" t="inlineStr">
        <is>
          <t>STOCKHOLMS LÄN</t>
        </is>
      </c>
      <c r="E852" t="inlineStr">
        <is>
          <t>NORRTÄLJE</t>
        </is>
      </c>
      <c r="G852" t="n">
        <v>12.4</v>
      </c>
      <c r="H852" t="n">
        <v>0</v>
      </c>
      <c r="I852" t="n">
        <v>0</v>
      </c>
      <c r="J852" t="n">
        <v>0</v>
      </c>
      <c r="K852" t="n">
        <v>0</v>
      </c>
      <c r="L852" t="n">
        <v>0</v>
      </c>
      <c r="M852" t="n">
        <v>0</v>
      </c>
      <c r="N852" t="n">
        <v>0</v>
      </c>
      <c r="O852" t="n">
        <v>0</v>
      </c>
      <c r="P852" t="n">
        <v>0</v>
      </c>
      <c r="Q852" t="n">
        <v>0</v>
      </c>
      <c r="R852" s="2" t="inlineStr"/>
    </row>
    <row r="853" ht="15" customHeight="1">
      <c r="A853" t="inlineStr">
        <is>
          <t>A 13736-2021</t>
        </is>
      </c>
      <c r="B853" s="1" t="n">
        <v>44274</v>
      </c>
      <c r="C853" s="1" t="n">
        <v>45343</v>
      </c>
      <c r="D853" t="inlineStr">
        <is>
          <t>STOCKHOLMS LÄN</t>
        </is>
      </c>
      <c r="E853" t="inlineStr">
        <is>
          <t>NORRTÄLJE</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13752-2021</t>
        </is>
      </c>
      <c r="B854" s="1" t="n">
        <v>44274</v>
      </c>
      <c r="C854" s="1" t="n">
        <v>45343</v>
      </c>
      <c r="D854" t="inlineStr">
        <is>
          <t>STOCKHOLMS LÄN</t>
        </is>
      </c>
      <c r="E854" t="inlineStr">
        <is>
          <t>NORRTÄLJE</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14381-2021</t>
        </is>
      </c>
      <c r="B855" s="1" t="n">
        <v>44279</v>
      </c>
      <c r="C855" s="1" t="n">
        <v>45343</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14922-2021</t>
        </is>
      </c>
      <c r="B856" s="1" t="n">
        <v>44281</v>
      </c>
      <c r="C856" s="1" t="n">
        <v>45343</v>
      </c>
      <c r="D856" t="inlineStr">
        <is>
          <t>STOCKHOLMS LÄN</t>
        </is>
      </c>
      <c r="E856" t="inlineStr">
        <is>
          <t>NORRTÄLJE</t>
        </is>
      </c>
      <c r="G856" t="n">
        <v>4.8</v>
      </c>
      <c r="H856" t="n">
        <v>0</v>
      </c>
      <c r="I856" t="n">
        <v>0</v>
      </c>
      <c r="J856" t="n">
        <v>0</v>
      </c>
      <c r="K856" t="n">
        <v>0</v>
      </c>
      <c r="L856" t="n">
        <v>0</v>
      </c>
      <c r="M856" t="n">
        <v>0</v>
      </c>
      <c r="N856" t="n">
        <v>0</v>
      </c>
      <c r="O856" t="n">
        <v>0</v>
      </c>
      <c r="P856" t="n">
        <v>0</v>
      </c>
      <c r="Q856" t="n">
        <v>0</v>
      </c>
      <c r="R856" s="2" t="inlineStr"/>
    </row>
    <row r="857" ht="15" customHeight="1">
      <c r="A857" t="inlineStr">
        <is>
          <t>A 14933-2021</t>
        </is>
      </c>
      <c r="B857" s="1" t="n">
        <v>44281</v>
      </c>
      <c r="C857" s="1" t="n">
        <v>45343</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15289-2021</t>
        </is>
      </c>
      <c r="B858" s="1" t="n">
        <v>44284</v>
      </c>
      <c r="C858" s="1" t="n">
        <v>45343</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15441-2021</t>
        </is>
      </c>
      <c r="B859" s="1" t="n">
        <v>44284</v>
      </c>
      <c r="C859" s="1" t="n">
        <v>45343</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15552-2021</t>
        </is>
      </c>
      <c r="B860" s="1" t="n">
        <v>44285</v>
      </c>
      <c r="C860" s="1" t="n">
        <v>45343</v>
      </c>
      <c r="D860" t="inlineStr">
        <is>
          <t>STOCKHOLMS LÄN</t>
        </is>
      </c>
      <c r="E860" t="inlineStr">
        <is>
          <t>NORRTÄLJE</t>
        </is>
      </c>
      <c r="G860" t="n">
        <v>10</v>
      </c>
      <c r="H860" t="n">
        <v>0</v>
      </c>
      <c r="I860" t="n">
        <v>0</v>
      </c>
      <c r="J860" t="n">
        <v>0</v>
      </c>
      <c r="K860" t="n">
        <v>0</v>
      </c>
      <c r="L860" t="n">
        <v>0</v>
      </c>
      <c r="M860" t="n">
        <v>0</v>
      </c>
      <c r="N860" t="n">
        <v>0</v>
      </c>
      <c r="O860" t="n">
        <v>0</v>
      </c>
      <c r="P860" t="n">
        <v>0</v>
      </c>
      <c r="Q860" t="n">
        <v>0</v>
      </c>
      <c r="R860" s="2" t="inlineStr"/>
    </row>
    <row r="861" ht="15" customHeight="1">
      <c r="A861" t="inlineStr">
        <is>
          <t>A 16668-2021</t>
        </is>
      </c>
      <c r="B861" s="1" t="n">
        <v>44294</v>
      </c>
      <c r="C861" s="1" t="n">
        <v>45343</v>
      </c>
      <c r="D861" t="inlineStr">
        <is>
          <t>STOCKHOLMS LÄN</t>
        </is>
      </c>
      <c r="E861" t="inlineStr">
        <is>
          <t>NORRTÄLJE</t>
        </is>
      </c>
      <c r="G861" t="n">
        <v>1.7</v>
      </c>
      <c r="H861" t="n">
        <v>0</v>
      </c>
      <c r="I861" t="n">
        <v>0</v>
      </c>
      <c r="J861" t="n">
        <v>0</v>
      </c>
      <c r="K861" t="n">
        <v>0</v>
      </c>
      <c r="L861" t="n">
        <v>0</v>
      </c>
      <c r="M861" t="n">
        <v>0</v>
      </c>
      <c r="N861" t="n">
        <v>0</v>
      </c>
      <c r="O861" t="n">
        <v>0</v>
      </c>
      <c r="P861" t="n">
        <v>0</v>
      </c>
      <c r="Q861" t="n">
        <v>0</v>
      </c>
      <c r="R861" s="2" t="inlineStr"/>
    </row>
    <row r="862" ht="15" customHeight="1">
      <c r="A862" t="inlineStr">
        <is>
          <t>A 17460-2021</t>
        </is>
      </c>
      <c r="B862" s="1" t="n">
        <v>44299</v>
      </c>
      <c r="C862" s="1" t="n">
        <v>45343</v>
      </c>
      <c r="D862" t="inlineStr">
        <is>
          <t>STOCKHOLMS LÄN</t>
        </is>
      </c>
      <c r="E862" t="inlineStr">
        <is>
          <t>NORRTÄLJE</t>
        </is>
      </c>
      <c r="G862" t="n">
        <v>3.2</v>
      </c>
      <c r="H862" t="n">
        <v>0</v>
      </c>
      <c r="I862" t="n">
        <v>0</v>
      </c>
      <c r="J862" t="n">
        <v>0</v>
      </c>
      <c r="K862" t="n">
        <v>0</v>
      </c>
      <c r="L862" t="n">
        <v>0</v>
      </c>
      <c r="M862" t="n">
        <v>0</v>
      </c>
      <c r="N862" t="n">
        <v>0</v>
      </c>
      <c r="O862" t="n">
        <v>0</v>
      </c>
      <c r="P862" t="n">
        <v>0</v>
      </c>
      <c r="Q862" t="n">
        <v>0</v>
      </c>
      <c r="R862" s="2" t="inlineStr"/>
    </row>
    <row r="863" ht="15" customHeight="1">
      <c r="A863" t="inlineStr">
        <is>
          <t>A 17703-2021</t>
        </is>
      </c>
      <c r="B863" s="1" t="n">
        <v>44300</v>
      </c>
      <c r="C863" s="1" t="n">
        <v>45343</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18580-2021</t>
        </is>
      </c>
      <c r="B864" s="1" t="n">
        <v>44306</v>
      </c>
      <c r="C864" s="1" t="n">
        <v>45343</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18609-2021</t>
        </is>
      </c>
      <c r="B865" s="1" t="n">
        <v>44306</v>
      </c>
      <c r="C865" s="1" t="n">
        <v>45343</v>
      </c>
      <c r="D865" t="inlineStr">
        <is>
          <t>STOCKHOLMS LÄN</t>
        </is>
      </c>
      <c r="E865" t="inlineStr">
        <is>
          <t>NORRTÄLJE</t>
        </is>
      </c>
      <c r="G865" t="n">
        <v>9.5</v>
      </c>
      <c r="H865" t="n">
        <v>0</v>
      </c>
      <c r="I865" t="n">
        <v>0</v>
      </c>
      <c r="J865" t="n">
        <v>0</v>
      </c>
      <c r="K865" t="n">
        <v>0</v>
      </c>
      <c r="L865" t="n">
        <v>0</v>
      </c>
      <c r="M865" t="n">
        <v>0</v>
      </c>
      <c r="N865" t="n">
        <v>0</v>
      </c>
      <c r="O865" t="n">
        <v>0</v>
      </c>
      <c r="P865" t="n">
        <v>0</v>
      </c>
      <c r="Q865" t="n">
        <v>0</v>
      </c>
      <c r="R865" s="2" t="inlineStr"/>
    </row>
    <row r="866" ht="15" customHeight="1">
      <c r="A866" t="inlineStr">
        <is>
          <t>A 18539-2021</t>
        </is>
      </c>
      <c r="B866" s="1" t="n">
        <v>44306</v>
      </c>
      <c r="C866" s="1" t="n">
        <v>45343</v>
      </c>
      <c r="D866" t="inlineStr">
        <is>
          <t>STOCKHOLMS LÄN</t>
        </is>
      </c>
      <c r="E866" t="inlineStr">
        <is>
          <t>NORRTÄLJE</t>
        </is>
      </c>
      <c r="F866" t="inlineStr">
        <is>
          <t>Holmen skog AB</t>
        </is>
      </c>
      <c r="G866" t="n">
        <v>5.5</v>
      </c>
      <c r="H866" t="n">
        <v>0</v>
      </c>
      <c r="I866" t="n">
        <v>0</v>
      </c>
      <c r="J866" t="n">
        <v>0</v>
      </c>
      <c r="K866" t="n">
        <v>0</v>
      </c>
      <c r="L866" t="n">
        <v>0</v>
      </c>
      <c r="M866" t="n">
        <v>0</v>
      </c>
      <c r="N866" t="n">
        <v>0</v>
      </c>
      <c r="O866" t="n">
        <v>0</v>
      </c>
      <c r="P866" t="n">
        <v>0</v>
      </c>
      <c r="Q866" t="n">
        <v>0</v>
      </c>
      <c r="R866" s="2" t="inlineStr"/>
    </row>
    <row r="867" ht="15" customHeight="1">
      <c r="A867" t="inlineStr">
        <is>
          <t>A 18570-2021</t>
        </is>
      </c>
      <c r="B867" s="1" t="n">
        <v>44306</v>
      </c>
      <c r="C867" s="1" t="n">
        <v>45343</v>
      </c>
      <c r="D867" t="inlineStr">
        <is>
          <t>STOCKHOLMS LÄN</t>
        </is>
      </c>
      <c r="E867" t="inlineStr">
        <is>
          <t>NORRTÄLJE</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19283-2021</t>
        </is>
      </c>
      <c r="B868" s="1" t="n">
        <v>44309</v>
      </c>
      <c r="C868" s="1" t="n">
        <v>45343</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19400-2021</t>
        </is>
      </c>
      <c r="B869" s="1" t="n">
        <v>44309</v>
      </c>
      <c r="C869" s="1" t="n">
        <v>45343</v>
      </c>
      <c r="D869" t="inlineStr">
        <is>
          <t>STOCKHOLMS LÄN</t>
        </is>
      </c>
      <c r="E869" t="inlineStr">
        <is>
          <t>NORRTÄLJE</t>
        </is>
      </c>
      <c r="F869" t="inlineStr">
        <is>
          <t>Kommuner</t>
        </is>
      </c>
      <c r="G869" t="n">
        <v>2.4</v>
      </c>
      <c r="H869" t="n">
        <v>0</v>
      </c>
      <c r="I869" t="n">
        <v>0</v>
      </c>
      <c r="J869" t="n">
        <v>0</v>
      </c>
      <c r="K869" t="n">
        <v>0</v>
      </c>
      <c r="L869" t="n">
        <v>0</v>
      </c>
      <c r="M869" t="n">
        <v>0</v>
      </c>
      <c r="N869" t="n">
        <v>0</v>
      </c>
      <c r="O869" t="n">
        <v>0</v>
      </c>
      <c r="P869" t="n">
        <v>0</v>
      </c>
      <c r="Q869" t="n">
        <v>0</v>
      </c>
      <c r="R869" s="2" t="inlineStr"/>
    </row>
    <row r="870" ht="15" customHeight="1">
      <c r="A870" t="inlineStr">
        <is>
          <t>A 19307-2021</t>
        </is>
      </c>
      <c r="B870" s="1" t="n">
        <v>44309</v>
      </c>
      <c r="C870" s="1" t="n">
        <v>45343</v>
      </c>
      <c r="D870" t="inlineStr">
        <is>
          <t>STOCKHOLMS LÄN</t>
        </is>
      </c>
      <c r="E870" t="inlineStr">
        <is>
          <t>NORRTÄLJE</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19398-2021</t>
        </is>
      </c>
      <c r="B871" s="1" t="n">
        <v>44309</v>
      </c>
      <c r="C871" s="1" t="n">
        <v>45343</v>
      </c>
      <c r="D871" t="inlineStr">
        <is>
          <t>STOCKHOLMS LÄN</t>
        </is>
      </c>
      <c r="E871" t="inlineStr">
        <is>
          <t>NORRTÄLJE</t>
        </is>
      </c>
      <c r="F871" t="inlineStr">
        <is>
          <t>Kommuner</t>
        </is>
      </c>
      <c r="G871" t="n">
        <v>2.1</v>
      </c>
      <c r="H871" t="n">
        <v>0</v>
      </c>
      <c r="I871" t="n">
        <v>0</v>
      </c>
      <c r="J871" t="n">
        <v>0</v>
      </c>
      <c r="K871" t="n">
        <v>0</v>
      </c>
      <c r="L871" t="n">
        <v>0</v>
      </c>
      <c r="M871" t="n">
        <v>0</v>
      </c>
      <c r="N871" t="n">
        <v>0</v>
      </c>
      <c r="O871" t="n">
        <v>0</v>
      </c>
      <c r="P871" t="n">
        <v>0</v>
      </c>
      <c r="Q871" t="n">
        <v>0</v>
      </c>
      <c r="R871" s="2" t="inlineStr"/>
    </row>
    <row r="872" ht="15" customHeight="1">
      <c r="A872" t="inlineStr">
        <is>
          <t>A 20073-2021</t>
        </is>
      </c>
      <c r="B872" s="1" t="n">
        <v>44314</v>
      </c>
      <c r="C872" s="1" t="n">
        <v>45343</v>
      </c>
      <c r="D872" t="inlineStr">
        <is>
          <t>STOCKHOLMS LÄN</t>
        </is>
      </c>
      <c r="E872" t="inlineStr">
        <is>
          <t>NORRTÄLJE</t>
        </is>
      </c>
      <c r="G872" t="n">
        <v>4.6</v>
      </c>
      <c r="H872" t="n">
        <v>0</v>
      </c>
      <c r="I872" t="n">
        <v>0</v>
      </c>
      <c r="J872" t="n">
        <v>0</v>
      </c>
      <c r="K872" t="n">
        <v>0</v>
      </c>
      <c r="L872" t="n">
        <v>0</v>
      </c>
      <c r="M872" t="n">
        <v>0</v>
      </c>
      <c r="N872" t="n">
        <v>0</v>
      </c>
      <c r="O872" t="n">
        <v>0</v>
      </c>
      <c r="P872" t="n">
        <v>0</v>
      </c>
      <c r="Q872" t="n">
        <v>0</v>
      </c>
      <c r="R872" s="2" t="inlineStr"/>
    </row>
    <row r="873" ht="15" customHeight="1">
      <c r="A873" t="inlineStr">
        <is>
          <t>A 20473-2021</t>
        </is>
      </c>
      <c r="B873" s="1" t="n">
        <v>44315</v>
      </c>
      <c r="C873" s="1" t="n">
        <v>45343</v>
      </c>
      <c r="D873" t="inlineStr">
        <is>
          <t>STOCKHOLMS LÄN</t>
        </is>
      </c>
      <c r="E873" t="inlineStr">
        <is>
          <t>NORRTÄLJE</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21291-2021</t>
        </is>
      </c>
      <c r="B874" s="1" t="n">
        <v>44319</v>
      </c>
      <c r="C874" s="1" t="n">
        <v>45343</v>
      </c>
      <c r="D874" t="inlineStr">
        <is>
          <t>STOCKHOLMS LÄN</t>
        </is>
      </c>
      <c r="E874" t="inlineStr">
        <is>
          <t>NORRTÄLJE</t>
        </is>
      </c>
      <c r="G874" t="n">
        <v>12.7</v>
      </c>
      <c r="H874" t="n">
        <v>0</v>
      </c>
      <c r="I874" t="n">
        <v>0</v>
      </c>
      <c r="J874" t="n">
        <v>0</v>
      </c>
      <c r="K874" t="n">
        <v>0</v>
      </c>
      <c r="L874" t="n">
        <v>0</v>
      </c>
      <c r="M874" t="n">
        <v>0</v>
      </c>
      <c r="N874" t="n">
        <v>0</v>
      </c>
      <c r="O874" t="n">
        <v>0</v>
      </c>
      <c r="P874" t="n">
        <v>0</v>
      </c>
      <c r="Q874" t="n">
        <v>0</v>
      </c>
      <c r="R874" s="2" t="inlineStr"/>
    </row>
    <row r="875" ht="15" customHeight="1">
      <c r="A875" t="inlineStr">
        <is>
          <t>A 21529-2021</t>
        </is>
      </c>
      <c r="B875" s="1" t="n">
        <v>44321</v>
      </c>
      <c r="C875" s="1" t="n">
        <v>45343</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22832-2021</t>
        </is>
      </c>
      <c r="B876" s="1" t="n">
        <v>44325</v>
      </c>
      <c r="C876" s="1" t="n">
        <v>45343</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22816-2021</t>
        </is>
      </c>
      <c r="B877" s="1" t="n">
        <v>44325</v>
      </c>
      <c r="C877" s="1" t="n">
        <v>45343</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22369-2021</t>
        </is>
      </c>
      <c r="B878" s="1" t="n">
        <v>44326</v>
      </c>
      <c r="C878" s="1" t="n">
        <v>45343</v>
      </c>
      <c r="D878" t="inlineStr">
        <is>
          <t>STOCKHOLMS LÄN</t>
        </is>
      </c>
      <c r="E878" t="inlineStr">
        <is>
          <t>NORRTÄLJE</t>
        </is>
      </c>
      <c r="F878" t="inlineStr">
        <is>
          <t>Holmen skog AB</t>
        </is>
      </c>
      <c r="G878" t="n">
        <v>3.4</v>
      </c>
      <c r="H878" t="n">
        <v>0</v>
      </c>
      <c r="I878" t="n">
        <v>0</v>
      </c>
      <c r="J878" t="n">
        <v>0</v>
      </c>
      <c r="K878" t="n">
        <v>0</v>
      </c>
      <c r="L878" t="n">
        <v>0</v>
      </c>
      <c r="M878" t="n">
        <v>0</v>
      </c>
      <c r="N878" t="n">
        <v>0</v>
      </c>
      <c r="O878" t="n">
        <v>0</v>
      </c>
      <c r="P878" t="n">
        <v>0</v>
      </c>
      <c r="Q878" t="n">
        <v>0</v>
      </c>
      <c r="R878" s="2" t="inlineStr"/>
    </row>
    <row r="879" ht="15" customHeight="1">
      <c r="A879" t="inlineStr">
        <is>
          <t>A 22421-2021</t>
        </is>
      </c>
      <c r="B879" s="1" t="n">
        <v>44326</v>
      </c>
      <c r="C879" s="1" t="n">
        <v>45343</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22412-2021</t>
        </is>
      </c>
      <c r="B880" s="1" t="n">
        <v>44326</v>
      </c>
      <c r="C880" s="1" t="n">
        <v>45343</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23123-2021</t>
        </is>
      </c>
      <c r="B881" s="1" t="n">
        <v>44330</v>
      </c>
      <c r="C881" s="1" t="n">
        <v>45343</v>
      </c>
      <c r="D881" t="inlineStr">
        <is>
          <t>STOCKHOLMS LÄN</t>
        </is>
      </c>
      <c r="E881" t="inlineStr">
        <is>
          <t>NORRTÄLJE</t>
        </is>
      </c>
      <c r="G881" t="n">
        <v>0.4</v>
      </c>
      <c r="H881" t="n">
        <v>0</v>
      </c>
      <c r="I881" t="n">
        <v>0</v>
      </c>
      <c r="J881" t="n">
        <v>0</v>
      </c>
      <c r="K881" t="n">
        <v>0</v>
      </c>
      <c r="L881" t="n">
        <v>0</v>
      </c>
      <c r="M881" t="n">
        <v>0</v>
      </c>
      <c r="N881" t="n">
        <v>0</v>
      </c>
      <c r="O881" t="n">
        <v>0</v>
      </c>
      <c r="P881" t="n">
        <v>0</v>
      </c>
      <c r="Q881" t="n">
        <v>0</v>
      </c>
      <c r="R881" s="2" t="inlineStr"/>
    </row>
    <row r="882" ht="15" customHeight="1">
      <c r="A882" t="inlineStr">
        <is>
          <t>A 23096-2021</t>
        </is>
      </c>
      <c r="B882" s="1" t="n">
        <v>44330</v>
      </c>
      <c r="C882" s="1" t="n">
        <v>45343</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23122-2021</t>
        </is>
      </c>
      <c r="B883" s="1" t="n">
        <v>44330</v>
      </c>
      <c r="C883" s="1" t="n">
        <v>45343</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23453-2021</t>
        </is>
      </c>
      <c r="B884" s="1" t="n">
        <v>44333</v>
      </c>
      <c r="C884" s="1" t="n">
        <v>45343</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24082-2021</t>
        </is>
      </c>
      <c r="B885" s="1" t="n">
        <v>44336</v>
      </c>
      <c r="C885" s="1" t="n">
        <v>45343</v>
      </c>
      <c r="D885" t="inlineStr">
        <is>
          <t>STOCKHOLMS LÄN</t>
        </is>
      </c>
      <c r="E885" t="inlineStr">
        <is>
          <t>NORRTÄLJE</t>
        </is>
      </c>
      <c r="G885" t="n">
        <v>6.8</v>
      </c>
      <c r="H885" t="n">
        <v>0</v>
      </c>
      <c r="I885" t="n">
        <v>0</v>
      </c>
      <c r="J885" t="n">
        <v>0</v>
      </c>
      <c r="K885" t="n">
        <v>0</v>
      </c>
      <c r="L885" t="n">
        <v>0</v>
      </c>
      <c r="M885" t="n">
        <v>0</v>
      </c>
      <c r="N885" t="n">
        <v>0</v>
      </c>
      <c r="O885" t="n">
        <v>0</v>
      </c>
      <c r="P885" t="n">
        <v>0</v>
      </c>
      <c r="Q885" t="n">
        <v>0</v>
      </c>
      <c r="R885" s="2" t="inlineStr"/>
    </row>
    <row r="886" ht="15" customHeight="1">
      <c r="A886" t="inlineStr">
        <is>
          <t>A 25463-2021</t>
        </is>
      </c>
      <c r="B886" s="1" t="n">
        <v>44342</v>
      </c>
      <c r="C886" s="1" t="n">
        <v>45343</v>
      </c>
      <c r="D886" t="inlineStr">
        <is>
          <t>STOCKHOLMS LÄN</t>
        </is>
      </c>
      <c r="E886" t="inlineStr">
        <is>
          <t>NORRTÄLJE</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27217-2021</t>
        </is>
      </c>
      <c r="B887" s="1" t="n">
        <v>44350</v>
      </c>
      <c r="C887" s="1" t="n">
        <v>45343</v>
      </c>
      <c r="D887" t="inlineStr">
        <is>
          <t>STOCKHOLMS LÄN</t>
        </is>
      </c>
      <c r="E887" t="inlineStr">
        <is>
          <t>NORRTÄLJE</t>
        </is>
      </c>
      <c r="G887" t="n">
        <v>5.5</v>
      </c>
      <c r="H887" t="n">
        <v>0</v>
      </c>
      <c r="I887" t="n">
        <v>0</v>
      </c>
      <c r="J887" t="n">
        <v>0</v>
      </c>
      <c r="K887" t="n">
        <v>0</v>
      </c>
      <c r="L887" t="n">
        <v>0</v>
      </c>
      <c r="M887" t="n">
        <v>0</v>
      </c>
      <c r="N887" t="n">
        <v>0</v>
      </c>
      <c r="O887" t="n">
        <v>0</v>
      </c>
      <c r="P887" t="n">
        <v>0</v>
      </c>
      <c r="Q887" t="n">
        <v>0</v>
      </c>
      <c r="R887" s="2" t="inlineStr"/>
    </row>
    <row r="888" ht="15" customHeight="1">
      <c r="A888" t="inlineStr">
        <is>
          <t>A 27214-2021</t>
        </is>
      </c>
      <c r="B888" s="1" t="n">
        <v>44350</v>
      </c>
      <c r="C888" s="1" t="n">
        <v>45343</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29357-2021</t>
        </is>
      </c>
      <c r="B889" s="1" t="n">
        <v>44361</v>
      </c>
      <c r="C889" s="1" t="n">
        <v>45343</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29680-2021</t>
        </is>
      </c>
      <c r="B890" s="1" t="n">
        <v>44362</v>
      </c>
      <c r="C890" s="1" t="n">
        <v>45343</v>
      </c>
      <c r="D890" t="inlineStr">
        <is>
          <t>STOCKHOLMS LÄN</t>
        </is>
      </c>
      <c r="E890" t="inlineStr">
        <is>
          <t>NORRTÄLJE</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29684-2021</t>
        </is>
      </c>
      <c r="B891" s="1" t="n">
        <v>44362</v>
      </c>
      <c r="C891" s="1" t="n">
        <v>45343</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30129-2021</t>
        </is>
      </c>
      <c r="B892" s="1" t="n">
        <v>44363</v>
      </c>
      <c r="C892" s="1" t="n">
        <v>45343</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30138-2021</t>
        </is>
      </c>
      <c r="B893" s="1" t="n">
        <v>44363</v>
      </c>
      <c r="C893" s="1" t="n">
        <v>45343</v>
      </c>
      <c r="D893" t="inlineStr">
        <is>
          <t>STOCKHOLMS LÄN</t>
        </is>
      </c>
      <c r="E893" t="inlineStr">
        <is>
          <t>NORRTÄLJE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31688-2021</t>
        </is>
      </c>
      <c r="B894" s="1" t="n">
        <v>44369</v>
      </c>
      <c r="C894" s="1" t="n">
        <v>45343</v>
      </c>
      <c r="D894" t="inlineStr">
        <is>
          <t>STOCKHOLMS LÄN</t>
        </is>
      </c>
      <c r="E894" t="inlineStr">
        <is>
          <t>NORRTÄLJE</t>
        </is>
      </c>
      <c r="G894" t="n">
        <v>2.9</v>
      </c>
      <c r="H894" t="n">
        <v>0</v>
      </c>
      <c r="I894" t="n">
        <v>0</v>
      </c>
      <c r="J894" t="n">
        <v>0</v>
      </c>
      <c r="K894" t="n">
        <v>0</v>
      </c>
      <c r="L894" t="n">
        <v>0</v>
      </c>
      <c r="M894" t="n">
        <v>0</v>
      </c>
      <c r="N894" t="n">
        <v>0</v>
      </c>
      <c r="O894" t="n">
        <v>0</v>
      </c>
      <c r="P894" t="n">
        <v>0</v>
      </c>
      <c r="Q894" t="n">
        <v>0</v>
      </c>
      <c r="R894" s="2" t="inlineStr"/>
    </row>
    <row r="895" ht="15" customHeight="1">
      <c r="A895" t="inlineStr">
        <is>
          <t>A 32002-2021</t>
        </is>
      </c>
      <c r="B895" s="1" t="n">
        <v>44370</v>
      </c>
      <c r="C895" s="1" t="n">
        <v>45343</v>
      </c>
      <c r="D895" t="inlineStr">
        <is>
          <t>STOCKHOLMS LÄN</t>
        </is>
      </c>
      <c r="E895" t="inlineStr">
        <is>
          <t>NORRTÄLJE</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32051-2021</t>
        </is>
      </c>
      <c r="B896" s="1" t="n">
        <v>44370</v>
      </c>
      <c r="C896" s="1" t="n">
        <v>45343</v>
      </c>
      <c r="D896" t="inlineStr">
        <is>
          <t>STOCKHOLMS LÄN</t>
        </is>
      </c>
      <c r="E896" t="inlineStr">
        <is>
          <t>NORRTÄLJE</t>
        </is>
      </c>
      <c r="G896" t="n">
        <v>4.6</v>
      </c>
      <c r="H896" t="n">
        <v>0</v>
      </c>
      <c r="I896" t="n">
        <v>0</v>
      </c>
      <c r="J896" t="n">
        <v>0</v>
      </c>
      <c r="K896" t="n">
        <v>0</v>
      </c>
      <c r="L896" t="n">
        <v>0</v>
      </c>
      <c r="M896" t="n">
        <v>0</v>
      </c>
      <c r="N896" t="n">
        <v>0</v>
      </c>
      <c r="O896" t="n">
        <v>0</v>
      </c>
      <c r="P896" t="n">
        <v>0</v>
      </c>
      <c r="Q896" t="n">
        <v>0</v>
      </c>
      <c r="R896" s="2" t="inlineStr"/>
    </row>
    <row r="897" ht="15" customHeight="1">
      <c r="A897" t="inlineStr">
        <is>
          <t>A 32055-2021</t>
        </is>
      </c>
      <c r="B897" s="1" t="n">
        <v>44370</v>
      </c>
      <c r="C897" s="1" t="n">
        <v>45343</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32561-2021</t>
        </is>
      </c>
      <c r="B898" s="1" t="n">
        <v>44375</v>
      </c>
      <c r="C898" s="1" t="n">
        <v>45343</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32857-2021</t>
        </is>
      </c>
      <c r="B899" s="1" t="n">
        <v>44375</v>
      </c>
      <c r="C899" s="1" t="n">
        <v>45343</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33053-2021</t>
        </is>
      </c>
      <c r="B900" s="1" t="n">
        <v>44376</v>
      </c>
      <c r="C900" s="1" t="n">
        <v>45343</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33046-2021</t>
        </is>
      </c>
      <c r="B901" s="1" t="n">
        <v>44376</v>
      </c>
      <c r="C901" s="1" t="n">
        <v>45343</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33040-2021</t>
        </is>
      </c>
      <c r="B902" s="1" t="n">
        <v>44376</v>
      </c>
      <c r="C902" s="1" t="n">
        <v>45343</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34520-2021</t>
        </is>
      </c>
      <c r="B903" s="1" t="n">
        <v>44379</v>
      </c>
      <c r="C903" s="1" t="n">
        <v>45343</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34432-2021</t>
        </is>
      </c>
      <c r="B904" s="1" t="n">
        <v>44380</v>
      </c>
      <c r="C904" s="1" t="n">
        <v>45343</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34431-2021</t>
        </is>
      </c>
      <c r="B905" s="1" t="n">
        <v>44380</v>
      </c>
      <c r="C905" s="1" t="n">
        <v>45343</v>
      </c>
      <c r="D905" t="inlineStr">
        <is>
          <t>STOCKHOLMS LÄN</t>
        </is>
      </c>
      <c r="E905" t="inlineStr">
        <is>
          <t>NORRTÄLJE</t>
        </is>
      </c>
      <c r="G905" t="n">
        <v>3</v>
      </c>
      <c r="H905" t="n">
        <v>0</v>
      </c>
      <c r="I905" t="n">
        <v>0</v>
      </c>
      <c r="J905" t="n">
        <v>0</v>
      </c>
      <c r="K905" t="n">
        <v>0</v>
      </c>
      <c r="L905" t="n">
        <v>0</v>
      </c>
      <c r="M905" t="n">
        <v>0</v>
      </c>
      <c r="N905" t="n">
        <v>0</v>
      </c>
      <c r="O905" t="n">
        <v>0</v>
      </c>
      <c r="P905" t="n">
        <v>0</v>
      </c>
      <c r="Q905" t="n">
        <v>0</v>
      </c>
      <c r="R905" s="2" t="inlineStr"/>
    </row>
    <row r="906" ht="15" customHeight="1">
      <c r="A906" t="inlineStr">
        <is>
          <t>A 34436-2021</t>
        </is>
      </c>
      <c r="B906" s="1" t="n">
        <v>44380</v>
      </c>
      <c r="C906" s="1" t="n">
        <v>45343</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34731-2021</t>
        </is>
      </c>
      <c r="B907" s="1" t="n">
        <v>44382</v>
      </c>
      <c r="C907" s="1" t="n">
        <v>45343</v>
      </c>
      <c r="D907" t="inlineStr">
        <is>
          <t>STOCKHOLMS LÄN</t>
        </is>
      </c>
      <c r="E907" t="inlineStr">
        <is>
          <t>NORRTÄLJE</t>
        </is>
      </c>
      <c r="G907" t="n">
        <v>0.2</v>
      </c>
      <c r="H907" t="n">
        <v>0</v>
      </c>
      <c r="I907" t="n">
        <v>0</v>
      </c>
      <c r="J907" t="n">
        <v>0</v>
      </c>
      <c r="K907" t="n">
        <v>0</v>
      </c>
      <c r="L907" t="n">
        <v>0</v>
      </c>
      <c r="M907" t="n">
        <v>0</v>
      </c>
      <c r="N907" t="n">
        <v>0</v>
      </c>
      <c r="O907" t="n">
        <v>0</v>
      </c>
      <c r="P907" t="n">
        <v>0</v>
      </c>
      <c r="Q907" t="n">
        <v>0</v>
      </c>
      <c r="R907" s="2" t="inlineStr"/>
    </row>
    <row r="908" ht="15" customHeight="1">
      <c r="A908" t="inlineStr">
        <is>
          <t>A 34792-2021</t>
        </is>
      </c>
      <c r="B908" s="1" t="n">
        <v>44383</v>
      </c>
      <c r="C908" s="1" t="n">
        <v>45343</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36246-2021</t>
        </is>
      </c>
      <c r="B909" s="1" t="n">
        <v>44390</v>
      </c>
      <c r="C909" s="1" t="n">
        <v>45343</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36565-2021</t>
        </is>
      </c>
      <c r="B910" s="1" t="n">
        <v>44391</v>
      </c>
      <c r="C910" s="1" t="n">
        <v>45343</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37085-2021</t>
        </is>
      </c>
      <c r="B911" s="1" t="n">
        <v>44395</v>
      </c>
      <c r="C911" s="1" t="n">
        <v>45343</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37344-2021</t>
        </is>
      </c>
      <c r="B912" s="1" t="n">
        <v>44397</v>
      </c>
      <c r="C912" s="1" t="n">
        <v>45343</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37415-2021</t>
        </is>
      </c>
      <c r="B913" s="1" t="n">
        <v>44397</v>
      </c>
      <c r="C913" s="1" t="n">
        <v>45343</v>
      </c>
      <c r="D913" t="inlineStr">
        <is>
          <t>STOCKHOLMS LÄN</t>
        </is>
      </c>
      <c r="E913" t="inlineStr">
        <is>
          <t>NORRTÄLJE</t>
        </is>
      </c>
      <c r="F913" t="inlineStr">
        <is>
          <t>Övriga Aktiebolag</t>
        </is>
      </c>
      <c r="G913" t="n">
        <v>3</v>
      </c>
      <c r="H913" t="n">
        <v>0</v>
      </c>
      <c r="I913" t="n">
        <v>0</v>
      </c>
      <c r="J913" t="n">
        <v>0</v>
      </c>
      <c r="K913" t="n">
        <v>0</v>
      </c>
      <c r="L913" t="n">
        <v>0</v>
      </c>
      <c r="M913" t="n">
        <v>0</v>
      </c>
      <c r="N913" t="n">
        <v>0</v>
      </c>
      <c r="O913" t="n">
        <v>0</v>
      </c>
      <c r="P913" t="n">
        <v>0</v>
      </c>
      <c r="Q913" t="n">
        <v>0</v>
      </c>
      <c r="R913" s="2" t="inlineStr"/>
    </row>
    <row r="914" ht="15" customHeight="1">
      <c r="A914" t="inlineStr">
        <is>
          <t>A 37444-2021</t>
        </is>
      </c>
      <c r="B914" s="1" t="n">
        <v>44398</v>
      </c>
      <c r="C914" s="1" t="n">
        <v>45343</v>
      </c>
      <c r="D914" t="inlineStr">
        <is>
          <t>STOCKHOLMS LÄN</t>
        </is>
      </c>
      <c r="E914" t="inlineStr">
        <is>
          <t>NORRTÄLJE</t>
        </is>
      </c>
      <c r="F914" t="inlineStr">
        <is>
          <t>Holmen skog AB</t>
        </is>
      </c>
      <c r="G914" t="n">
        <v>3.2</v>
      </c>
      <c r="H914" t="n">
        <v>0</v>
      </c>
      <c r="I914" t="n">
        <v>0</v>
      </c>
      <c r="J914" t="n">
        <v>0</v>
      </c>
      <c r="K914" t="n">
        <v>0</v>
      </c>
      <c r="L914" t="n">
        <v>0</v>
      </c>
      <c r="M914" t="n">
        <v>0</v>
      </c>
      <c r="N914" t="n">
        <v>0</v>
      </c>
      <c r="O914" t="n">
        <v>0</v>
      </c>
      <c r="P914" t="n">
        <v>0</v>
      </c>
      <c r="Q914" t="n">
        <v>0</v>
      </c>
      <c r="R914" s="2" t="inlineStr"/>
    </row>
    <row r="915" ht="15" customHeight="1">
      <c r="A915" t="inlineStr">
        <is>
          <t>A 37462-2021</t>
        </is>
      </c>
      <c r="B915" s="1" t="n">
        <v>44398</v>
      </c>
      <c r="C915" s="1" t="n">
        <v>45343</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37530-2021</t>
        </is>
      </c>
      <c r="B916" s="1" t="n">
        <v>44399</v>
      </c>
      <c r="C916" s="1" t="n">
        <v>45343</v>
      </c>
      <c r="D916" t="inlineStr">
        <is>
          <t>STOCKHOLMS LÄN</t>
        </is>
      </c>
      <c r="E916" t="inlineStr">
        <is>
          <t>NORRTÄLJE</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37522-2021</t>
        </is>
      </c>
      <c r="B917" s="1" t="n">
        <v>44399</v>
      </c>
      <c r="C917" s="1" t="n">
        <v>45343</v>
      </c>
      <c r="D917" t="inlineStr">
        <is>
          <t>STOCKHOLMS LÄN</t>
        </is>
      </c>
      <c r="E917" t="inlineStr">
        <is>
          <t>NORRTÄLJE</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37525-2021</t>
        </is>
      </c>
      <c r="B918" s="1" t="n">
        <v>44399</v>
      </c>
      <c r="C918" s="1" t="n">
        <v>45343</v>
      </c>
      <c r="D918" t="inlineStr">
        <is>
          <t>STOCKHOLMS LÄN</t>
        </is>
      </c>
      <c r="E918" t="inlineStr">
        <is>
          <t>NORRTÄLJE</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37712-2021</t>
        </is>
      </c>
      <c r="B919" s="1" t="n">
        <v>44400</v>
      </c>
      <c r="C919" s="1" t="n">
        <v>45343</v>
      </c>
      <c r="D919" t="inlineStr">
        <is>
          <t>STOCKHOLMS LÄN</t>
        </is>
      </c>
      <c r="E919" t="inlineStr">
        <is>
          <t>NORRTÄLJE</t>
        </is>
      </c>
      <c r="G919" t="n">
        <v>22.9</v>
      </c>
      <c r="H919" t="n">
        <v>0</v>
      </c>
      <c r="I919" t="n">
        <v>0</v>
      </c>
      <c r="J919" t="n">
        <v>0</v>
      </c>
      <c r="K919" t="n">
        <v>0</v>
      </c>
      <c r="L919" t="n">
        <v>0</v>
      </c>
      <c r="M919" t="n">
        <v>0</v>
      </c>
      <c r="N919" t="n">
        <v>0</v>
      </c>
      <c r="O919" t="n">
        <v>0</v>
      </c>
      <c r="P919" t="n">
        <v>0</v>
      </c>
      <c r="Q919" t="n">
        <v>0</v>
      </c>
      <c r="R919" s="2" t="inlineStr"/>
    </row>
    <row r="920" ht="15" customHeight="1">
      <c r="A920" t="inlineStr">
        <is>
          <t>A 37859-2021</t>
        </is>
      </c>
      <c r="B920" s="1" t="n">
        <v>44403</v>
      </c>
      <c r="C920" s="1" t="n">
        <v>45343</v>
      </c>
      <c r="D920" t="inlineStr">
        <is>
          <t>STOCKHOLMS LÄN</t>
        </is>
      </c>
      <c r="E920" t="inlineStr">
        <is>
          <t>NORRTÄLJE</t>
        </is>
      </c>
      <c r="F920" t="inlineStr">
        <is>
          <t>Holmen skog AB</t>
        </is>
      </c>
      <c r="G920" t="n">
        <v>6.9</v>
      </c>
      <c r="H920" t="n">
        <v>0</v>
      </c>
      <c r="I920" t="n">
        <v>0</v>
      </c>
      <c r="J920" t="n">
        <v>0</v>
      </c>
      <c r="K920" t="n">
        <v>0</v>
      </c>
      <c r="L920" t="n">
        <v>0</v>
      </c>
      <c r="M920" t="n">
        <v>0</v>
      </c>
      <c r="N920" t="n">
        <v>0</v>
      </c>
      <c r="O920" t="n">
        <v>0</v>
      </c>
      <c r="P920" t="n">
        <v>0</v>
      </c>
      <c r="Q920" t="n">
        <v>0</v>
      </c>
      <c r="R920" s="2" t="inlineStr"/>
    </row>
    <row r="921" ht="15" customHeight="1">
      <c r="A921" t="inlineStr">
        <is>
          <t>A 39157-2021</t>
        </is>
      </c>
      <c r="B921" s="1" t="n">
        <v>44412</v>
      </c>
      <c r="C921" s="1" t="n">
        <v>45343</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39496-2021</t>
        </is>
      </c>
      <c r="B922" s="1" t="n">
        <v>44414</v>
      </c>
      <c r="C922" s="1" t="n">
        <v>45343</v>
      </c>
      <c r="D922" t="inlineStr">
        <is>
          <t>STOCKHOLMS LÄN</t>
        </is>
      </c>
      <c r="E922" t="inlineStr">
        <is>
          <t>NORRTÄLJE</t>
        </is>
      </c>
      <c r="G922" t="n">
        <v>4.6</v>
      </c>
      <c r="H922" t="n">
        <v>0</v>
      </c>
      <c r="I922" t="n">
        <v>0</v>
      </c>
      <c r="J922" t="n">
        <v>0</v>
      </c>
      <c r="K922" t="n">
        <v>0</v>
      </c>
      <c r="L922" t="n">
        <v>0</v>
      </c>
      <c r="M922" t="n">
        <v>0</v>
      </c>
      <c r="N922" t="n">
        <v>0</v>
      </c>
      <c r="O922" t="n">
        <v>0</v>
      </c>
      <c r="P922" t="n">
        <v>0</v>
      </c>
      <c r="Q922" t="n">
        <v>0</v>
      </c>
      <c r="R922" s="2" t="inlineStr"/>
    </row>
    <row r="923" ht="15" customHeight="1">
      <c r="A923" t="inlineStr">
        <is>
          <t>A 39497-2021</t>
        </is>
      </c>
      <c r="B923" s="1" t="n">
        <v>44414</v>
      </c>
      <c r="C923" s="1" t="n">
        <v>45343</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40425-2021</t>
        </is>
      </c>
      <c r="B924" s="1" t="n">
        <v>44419</v>
      </c>
      <c r="C924" s="1" t="n">
        <v>45343</v>
      </c>
      <c r="D924" t="inlineStr">
        <is>
          <t>STOCKHOLMS LÄN</t>
        </is>
      </c>
      <c r="E924" t="inlineStr">
        <is>
          <t>NORRTÄLJE</t>
        </is>
      </c>
      <c r="G924" t="n">
        <v>5</v>
      </c>
      <c r="H924" t="n">
        <v>0</v>
      </c>
      <c r="I924" t="n">
        <v>0</v>
      </c>
      <c r="J924" t="n">
        <v>0</v>
      </c>
      <c r="K924" t="n">
        <v>0</v>
      </c>
      <c r="L924" t="n">
        <v>0</v>
      </c>
      <c r="M924" t="n">
        <v>0</v>
      </c>
      <c r="N924" t="n">
        <v>0</v>
      </c>
      <c r="O924" t="n">
        <v>0</v>
      </c>
      <c r="P924" t="n">
        <v>0</v>
      </c>
      <c r="Q924" t="n">
        <v>0</v>
      </c>
      <c r="R924" s="2" t="inlineStr"/>
    </row>
    <row r="925" ht="15" customHeight="1">
      <c r="A925" t="inlineStr">
        <is>
          <t>A 40542-2021</t>
        </is>
      </c>
      <c r="B925" s="1" t="n">
        <v>44420</v>
      </c>
      <c r="C925" s="1" t="n">
        <v>45343</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40546-2021</t>
        </is>
      </c>
      <c r="B926" s="1" t="n">
        <v>44420</v>
      </c>
      <c r="C926" s="1" t="n">
        <v>45343</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41595-2021</t>
        </is>
      </c>
      <c r="B927" s="1" t="n">
        <v>44425</v>
      </c>
      <c r="C927" s="1" t="n">
        <v>45343</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41823-2021</t>
        </is>
      </c>
      <c r="B928" s="1" t="n">
        <v>44425</v>
      </c>
      <c r="C928" s="1" t="n">
        <v>45343</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41822-2021</t>
        </is>
      </c>
      <c r="B929" s="1" t="n">
        <v>44425</v>
      </c>
      <c r="C929" s="1" t="n">
        <v>45343</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42396-2021</t>
        </is>
      </c>
      <c r="B930" s="1" t="n">
        <v>44427</v>
      </c>
      <c r="C930" s="1" t="n">
        <v>45343</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43478-2021</t>
        </is>
      </c>
      <c r="B931" s="1" t="n">
        <v>44432</v>
      </c>
      <c r="C931" s="1" t="n">
        <v>45343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44274-2021</t>
        </is>
      </c>
      <c r="B932" s="1" t="n">
        <v>44435</v>
      </c>
      <c r="C932" s="1" t="n">
        <v>45343</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47344-2021</t>
        </is>
      </c>
      <c r="B933" s="1" t="n">
        <v>44447</v>
      </c>
      <c r="C933" s="1" t="n">
        <v>45343</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47349-2021</t>
        </is>
      </c>
      <c r="B934" s="1" t="n">
        <v>44447</v>
      </c>
      <c r="C934" s="1" t="n">
        <v>45343</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47691-2021</t>
        </is>
      </c>
      <c r="B935" s="1" t="n">
        <v>44448</v>
      </c>
      <c r="C935" s="1" t="n">
        <v>45343</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48384-2021</t>
        </is>
      </c>
      <c r="B936" s="1" t="n">
        <v>44451</v>
      </c>
      <c r="C936" s="1" t="n">
        <v>45343</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48798-2021</t>
        </is>
      </c>
      <c r="B937" s="1" t="n">
        <v>44452</v>
      </c>
      <c r="C937" s="1" t="n">
        <v>45343</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48932-2021</t>
        </is>
      </c>
      <c r="B938" s="1" t="n">
        <v>44453</v>
      </c>
      <c r="C938" s="1" t="n">
        <v>45343</v>
      </c>
      <c r="D938" t="inlineStr">
        <is>
          <t>STOCKHOLMS LÄN</t>
        </is>
      </c>
      <c r="E938" t="inlineStr">
        <is>
          <t>NORRTÄLJE</t>
        </is>
      </c>
      <c r="G938" t="n">
        <v>11.2</v>
      </c>
      <c r="H938" t="n">
        <v>0</v>
      </c>
      <c r="I938" t="n">
        <v>0</v>
      </c>
      <c r="J938" t="n">
        <v>0</v>
      </c>
      <c r="K938" t="n">
        <v>0</v>
      </c>
      <c r="L938" t="n">
        <v>0</v>
      </c>
      <c r="M938" t="n">
        <v>0</v>
      </c>
      <c r="N938" t="n">
        <v>0</v>
      </c>
      <c r="O938" t="n">
        <v>0</v>
      </c>
      <c r="P938" t="n">
        <v>0</v>
      </c>
      <c r="Q938" t="n">
        <v>0</v>
      </c>
      <c r="R938" s="2" t="inlineStr"/>
    </row>
    <row r="939" ht="15" customHeight="1">
      <c r="A939" t="inlineStr">
        <is>
          <t>A 49113-2021</t>
        </is>
      </c>
      <c r="B939" s="1" t="n">
        <v>44453</v>
      </c>
      <c r="C939" s="1" t="n">
        <v>45343</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50038-2021</t>
        </is>
      </c>
      <c r="B940" s="1" t="n">
        <v>44456</v>
      </c>
      <c r="C940" s="1" t="n">
        <v>45343</v>
      </c>
      <c r="D940" t="inlineStr">
        <is>
          <t>STOCKHOLMS LÄN</t>
        </is>
      </c>
      <c r="E940" t="inlineStr">
        <is>
          <t>NORRTÄLJE</t>
        </is>
      </c>
      <c r="G940" t="n">
        <v>4.2</v>
      </c>
      <c r="H940" t="n">
        <v>0</v>
      </c>
      <c r="I940" t="n">
        <v>0</v>
      </c>
      <c r="J940" t="n">
        <v>0</v>
      </c>
      <c r="K940" t="n">
        <v>0</v>
      </c>
      <c r="L940" t="n">
        <v>0</v>
      </c>
      <c r="M940" t="n">
        <v>0</v>
      </c>
      <c r="N940" t="n">
        <v>0</v>
      </c>
      <c r="O940" t="n">
        <v>0</v>
      </c>
      <c r="P940" t="n">
        <v>0</v>
      </c>
      <c r="Q940" t="n">
        <v>0</v>
      </c>
      <c r="R940" s="2" t="inlineStr"/>
    </row>
    <row r="941" ht="15" customHeight="1">
      <c r="A941" t="inlineStr">
        <is>
          <t>A 50108-2021</t>
        </is>
      </c>
      <c r="B941" s="1" t="n">
        <v>44456</v>
      </c>
      <c r="C941" s="1" t="n">
        <v>45343</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50252-2021</t>
        </is>
      </c>
      <c r="B942" s="1" t="n">
        <v>44458</v>
      </c>
      <c r="C942" s="1" t="n">
        <v>45343</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50602-2021</t>
        </is>
      </c>
      <c r="B943" s="1" t="n">
        <v>44459</v>
      </c>
      <c r="C943" s="1" t="n">
        <v>45343</v>
      </c>
      <c r="D943" t="inlineStr">
        <is>
          <t>STOCKHOLMS LÄN</t>
        </is>
      </c>
      <c r="E943" t="inlineStr">
        <is>
          <t>NORRTÄLJE</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51279-2021</t>
        </is>
      </c>
      <c r="B944" s="1" t="n">
        <v>44461</v>
      </c>
      <c r="C944" s="1" t="n">
        <v>45343</v>
      </c>
      <c r="D944" t="inlineStr">
        <is>
          <t>STOCKHOLMS LÄN</t>
        </is>
      </c>
      <c r="E944" t="inlineStr">
        <is>
          <t>NORRTÄLJE</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51315-2021</t>
        </is>
      </c>
      <c r="B945" s="1" t="n">
        <v>44461</v>
      </c>
      <c r="C945" s="1" t="n">
        <v>45343</v>
      </c>
      <c r="D945" t="inlineStr">
        <is>
          <t>STOCKHOLMS LÄN</t>
        </is>
      </c>
      <c r="E945" t="inlineStr">
        <is>
          <t>NORRTÄLJE</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52090-2021</t>
        </is>
      </c>
      <c r="B946" s="1" t="n">
        <v>44463</v>
      </c>
      <c r="C946" s="1" t="n">
        <v>45343</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52449-2021</t>
        </is>
      </c>
      <c r="B947" s="1" t="n">
        <v>44466</v>
      </c>
      <c r="C947" s="1" t="n">
        <v>45343</v>
      </c>
      <c r="D947" t="inlineStr">
        <is>
          <t>STOCKHOLMS LÄN</t>
        </is>
      </c>
      <c r="E947" t="inlineStr">
        <is>
          <t>NORRTÄLJE</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54276-2021</t>
        </is>
      </c>
      <c r="B948" s="1" t="n">
        <v>44470</v>
      </c>
      <c r="C948" s="1" t="n">
        <v>45343</v>
      </c>
      <c r="D948" t="inlineStr">
        <is>
          <t>STOCKHOLMS LÄN</t>
        </is>
      </c>
      <c r="E948" t="inlineStr">
        <is>
          <t>NORRTÄLJE</t>
        </is>
      </c>
      <c r="G948" t="n">
        <v>7.3</v>
      </c>
      <c r="H948" t="n">
        <v>0</v>
      </c>
      <c r="I948" t="n">
        <v>0</v>
      </c>
      <c r="J948" t="n">
        <v>0</v>
      </c>
      <c r="K948" t="n">
        <v>0</v>
      </c>
      <c r="L948" t="n">
        <v>0</v>
      </c>
      <c r="M948" t="n">
        <v>0</v>
      </c>
      <c r="N948" t="n">
        <v>0</v>
      </c>
      <c r="O948" t="n">
        <v>0</v>
      </c>
      <c r="P948" t="n">
        <v>0</v>
      </c>
      <c r="Q948" t="n">
        <v>0</v>
      </c>
      <c r="R948" s="2" t="inlineStr"/>
    </row>
    <row r="949" ht="15" customHeight="1">
      <c r="A949" t="inlineStr">
        <is>
          <t>A 54273-2021</t>
        </is>
      </c>
      <c r="B949" s="1" t="n">
        <v>44470</v>
      </c>
      <c r="C949" s="1" t="n">
        <v>45343</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54272-2021</t>
        </is>
      </c>
      <c r="B950" s="1" t="n">
        <v>44470</v>
      </c>
      <c r="C950" s="1" t="n">
        <v>45343</v>
      </c>
      <c r="D950" t="inlineStr">
        <is>
          <t>STOCKHOLMS LÄN</t>
        </is>
      </c>
      <c r="E950" t="inlineStr">
        <is>
          <t>NORRTÄLJE</t>
        </is>
      </c>
      <c r="G950" t="n">
        <v>5.8</v>
      </c>
      <c r="H950" t="n">
        <v>0</v>
      </c>
      <c r="I950" t="n">
        <v>0</v>
      </c>
      <c r="J950" t="n">
        <v>0</v>
      </c>
      <c r="K950" t="n">
        <v>0</v>
      </c>
      <c r="L950" t="n">
        <v>0</v>
      </c>
      <c r="M950" t="n">
        <v>0</v>
      </c>
      <c r="N950" t="n">
        <v>0</v>
      </c>
      <c r="O950" t="n">
        <v>0</v>
      </c>
      <c r="P950" t="n">
        <v>0</v>
      </c>
      <c r="Q950" t="n">
        <v>0</v>
      </c>
      <c r="R950" s="2" t="inlineStr"/>
    </row>
    <row r="951" ht="15" customHeight="1">
      <c r="A951" t="inlineStr">
        <is>
          <t>A 54396-2021</t>
        </is>
      </c>
      <c r="B951" s="1" t="n">
        <v>44472</v>
      </c>
      <c r="C951" s="1" t="n">
        <v>45343</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55058-2021</t>
        </is>
      </c>
      <c r="B952" s="1" t="n">
        <v>44474</v>
      </c>
      <c r="C952" s="1" t="n">
        <v>45343</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56219-2021</t>
        </is>
      </c>
      <c r="B953" s="1" t="n">
        <v>44477</v>
      </c>
      <c r="C953" s="1" t="n">
        <v>45343</v>
      </c>
      <c r="D953" t="inlineStr">
        <is>
          <t>STOCKHOLMS LÄN</t>
        </is>
      </c>
      <c r="E953" t="inlineStr">
        <is>
          <t>NORRTÄLJE</t>
        </is>
      </c>
      <c r="F953" t="inlineStr">
        <is>
          <t>Kommuner</t>
        </is>
      </c>
      <c r="G953" t="n">
        <v>2.3</v>
      </c>
      <c r="H953" t="n">
        <v>0</v>
      </c>
      <c r="I953" t="n">
        <v>0</v>
      </c>
      <c r="J953" t="n">
        <v>0</v>
      </c>
      <c r="K953" t="n">
        <v>0</v>
      </c>
      <c r="L953" t="n">
        <v>0</v>
      </c>
      <c r="M953" t="n">
        <v>0</v>
      </c>
      <c r="N953" t="n">
        <v>0</v>
      </c>
      <c r="O953" t="n">
        <v>0</v>
      </c>
      <c r="P953" t="n">
        <v>0</v>
      </c>
      <c r="Q953" t="n">
        <v>0</v>
      </c>
      <c r="R953" s="2" t="inlineStr"/>
    </row>
    <row r="954" ht="15" customHeight="1">
      <c r="A954" t="inlineStr">
        <is>
          <t>A 56225-2021</t>
        </is>
      </c>
      <c r="B954" s="1" t="n">
        <v>44478</v>
      </c>
      <c r="C954" s="1" t="n">
        <v>45343</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56878-2021</t>
        </is>
      </c>
      <c r="B955" s="1" t="n">
        <v>44481</v>
      </c>
      <c r="C955" s="1" t="n">
        <v>45343</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57442-2021</t>
        </is>
      </c>
      <c r="B956" s="1" t="n">
        <v>44483</v>
      </c>
      <c r="C956" s="1" t="n">
        <v>45343</v>
      </c>
      <c r="D956" t="inlineStr">
        <is>
          <t>STOCKHOLMS LÄN</t>
        </is>
      </c>
      <c r="E956" t="inlineStr">
        <is>
          <t>NORRTÄLJE</t>
        </is>
      </c>
      <c r="G956" t="n">
        <v>3.3</v>
      </c>
      <c r="H956" t="n">
        <v>0</v>
      </c>
      <c r="I956" t="n">
        <v>0</v>
      </c>
      <c r="J956" t="n">
        <v>0</v>
      </c>
      <c r="K956" t="n">
        <v>0</v>
      </c>
      <c r="L956" t="n">
        <v>0</v>
      </c>
      <c r="M956" t="n">
        <v>0</v>
      </c>
      <c r="N956" t="n">
        <v>0</v>
      </c>
      <c r="O956" t="n">
        <v>0</v>
      </c>
      <c r="P956" t="n">
        <v>0</v>
      </c>
      <c r="Q956" t="n">
        <v>0</v>
      </c>
      <c r="R956" s="2" t="inlineStr"/>
    </row>
    <row r="957" ht="15" customHeight="1">
      <c r="A957" t="inlineStr">
        <is>
          <t>A 57507-2021</t>
        </is>
      </c>
      <c r="B957" s="1" t="n">
        <v>44483</v>
      </c>
      <c r="C957" s="1" t="n">
        <v>45343</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58989-2021</t>
        </is>
      </c>
      <c r="B958" s="1" t="n">
        <v>44490</v>
      </c>
      <c r="C958" s="1" t="n">
        <v>45343</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58990-2021</t>
        </is>
      </c>
      <c r="B959" s="1" t="n">
        <v>44490</v>
      </c>
      <c r="C959" s="1" t="n">
        <v>45343</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60217-2021</t>
        </is>
      </c>
      <c r="B960" s="1" t="n">
        <v>44495</v>
      </c>
      <c r="C960" s="1" t="n">
        <v>45343</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60184-2021</t>
        </is>
      </c>
      <c r="B961" s="1" t="n">
        <v>44495</v>
      </c>
      <c r="C961" s="1" t="n">
        <v>45343</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60186-2021</t>
        </is>
      </c>
      <c r="B962" s="1" t="n">
        <v>44495</v>
      </c>
      <c r="C962" s="1" t="n">
        <v>45343</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60209-2021</t>
        </is>
      </c>
      <c r="B963" s="1" t="n">
        <v>44495</v>
      </c>
      <c r="C963" s="1" t="n">
        <v>45343</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60671-2021</t>
        </is>
      </c>
      <c r="B964" s="1" t="n">
        <v>44496</v>
      </c>
      <c r="C964" s="1" t="n">
        <v>45343</v>
      </c>
      <c r="D964" t="inlineStr">
        <is>
          <t>STOCKHOLMS LÄN</t>
        </is>
      </c>
      <c r="E964" t="inlineStr">
        <is>
          <t>NORRTÄLJE</t>
        </is>
      </c>
      <c r="G964" t="n">
        <v>3.3</v>
      </c>
      <c r="H964" t="n">
        <v>0</v>
      </c>
      <c r="I964" t="n">
        <v>0</v>
      </c>
      <c r="J964" t="n">
        <v>0</v>
      </c>
      <c r="K964" t="n">
        <v>0</v>
      </c>
      <c r="L964" t="n">
        <v>0</v>
      </c>
      <c r="M964" t="n">
        <v>0</v>
      </c>
      <c r="N964" t="n">
        <v>0</v>
      </c>
      <c r="O964" t="n">
        <v>0</v>
      </c>
      <c r="P964" t="n">
        <v>0</v>
      </c>
      <c r="Q964" t="n">
        <v>0</v>
      </c>
      <c r="R964" s="2" t="inlineStr"/>
    </row>
    <row r="965" ht="15" customHeight="1">
      <c r="A965" t="inlineStr">
        <is>
          <t>A 60733-2021</t>
        </is>
      </c>
      <c r="B965" s="1" t="n">
        <v>44496</v>
      </c>
      <c r="C965" s="1" t="n">
        <v>45343</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60813-2021</t>
        </is>
      </c>
      <c r="B966" s="1" t="n">
        <v>44496</v>
      </c>
      <c r="C966" s="1" t="n">
        <v>45343</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60822-2021</t>
        </is>
      </c>
      <c r="B967" s="1" t="n">
        <v>44496</v>
      </c>
      <c r="C967" s="1" t="n">
        <v>45343</v>
      </c>
      <c r="D967" t="inlineStr">
        <is>
          <t>STOCKHOLMS LÄN</t>
        </is>
      </c>
      <c r="E967" t="inlineStr">
        <is>
          <t>NORRTÄLJE</t>
        </is>
      </c>
      <c r="G967" t="n">
        <v>7.6</v>
      </c>
      <c r="H967" t="n">
        <v>0</v>
      </c>
      <c r="I967" t="n">
        <v>0</v>
      </c>
      <c r="J967" t="n">
        <v>0</v>
      </c>
      <c r="K967" t="n">
        <v>0</v>
      </c>
      <c r="L967" t="n">
        <v>0</v>
      </c>
      <c r="M967" t="n">
        <v>0</v>
      </c>
      <c r="N967" t="n">
        <v>0</v>
      </c>
      <c r="O967" t="n">
        <v>0</v>
      </c>
      <c r="P967" t="n">
        <v>0</v>
      </c>
      <c r="Q967" t="n">
        <v>0</v>
      </c>
      <c r="R967" s="2" t="inlineStr"/>
    </row>
    <row r="968" ht="15" customHeight="1">
      <c r="A968" t="inlineStr">
        <is>
          <t>A 62030-2021</t>
        </is>
      </c>
      <c r="B968" s="1" t="n">
        <v>44502</v>
      </c>
      <c r="C968" s="1" t="n">
        <v>45343</v>
      </c>
      <c r="D968" t="inlineStr">
        <is>
          <t>STOCKHOLMS LÄN</t>
        </is>
      </c>
      <c r="E968" t="inlineStr">
        <is>
          <t>NORRTÄLJE</t>
        </is>
      </c>
      <c r="G968" t="n">
        <v>4.7</v>
      </c>
      <c r="H968" t="n">
        <v>0</v>
      </c>
      <c r="I968" t="n">
        <v>0</v>
      </c>
      <c r="J968" t="n">
        <v>0</v>
      </c>
      <c r="K968" t="n">
        <v>0</v>
      </c>
      <c r="L968" t="n">
        <v>0</v>
      </c>
      <c r="M968" t="n">
        <v>0</v>
      </c>
      <c r="N968" t="n">
        <v>0</v>
      </c>
      <c r="O968" t="n">
        <v>0</v>
      </c>
      <c r="P968" t="n">
        <v>0</v>
      </c>
      <c r="Q968" t="n">
        <v>0</v>
      </c>
      <c r="R968" s="2" t="inlineStr"/>
    </row>
    <row r="969" ht="15" customHeight="1">
      <c r="A969" t="inlineStr">
        <is>
          <t>A 63530-2021</t>
        </is>
      </c>
      <c r="B969" s="1" t="n">
        <v>44508</v>
      </c>
      <c r="C969" s="1" t="n">
        <v>45343</v>
      </c>
      <c r="D969" t="inlineStr">
        <is>
          <t>STOCKHOLMS LÄN</t>
        </is>
      </c>
      <c r="E969" t="inlineStr">
        <is>
          <t>NORRTÄLJE</t>
        </is>
      </c>
      <c r="G969" t="n">
        <v>8.9</v>
      </c>
      <c r="H969" t="n">
        <v>0</v>
      </c>
      <c r="I969" t="n">
        <v>0</v>
      </c>
      <c r="J969" t="n">
        <v>0</v>
      </c>
      <c r="K969" t="n">
        <v>0</v>
      </c>
      <c r="L969" t="n">
        <v>0</v>
      </c>
      <c r="M969" t="n">
        <v>0</v>
      </c>
      <c r="N969" t="n">
        <v>0</v>
      </c>
      <c r="O969" t="n">
        <v>0</v>
      </c>
      <c r="P969" t="n">
        <v>0</v>
      </c>
      <c r="Q969" t="n">
        <v>0</v>
      </c>
      <c r="R969" s="2" t="inlineStr"/>
    </row>
    <row r="970" ht="15" customHeight="1">
      <c r="A970" t="inlineStr">
        <is>
          <t>A 64137-2021</t>
        </is>
      </c>
      <c r="B970" s="1" t="n">
        <v>44510</v>
      </c>
      <c r="C970" s="1" t="n">
        <v>45343</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64212-2021</t>
        </is>
      </c>
      <c r="B971" s="1" t="n">
        <v>44510</v>
      </c>
      <c r="C971" s="1" t="n">
        <v>45343</v>
      </c>
      <c r="D971" t="inlineStr">
        <is>
          <t>STOCKHOLMS LÄN</t>
        </is>
      </c>
      <c r="E971" t="inlineStr">
        <is>
          <t>NORRTÄLJE</t>
        </is>
      </c>
      <c r="G971" t="n">
        <v>28.7</v>
      </c>
      <c r="H971" t="n">
        <v>0</v>
      </c>
      <c r="I971" t="n">
        <v>0</v>
      </c>
      <c r="J971" t="n">
        <v>0</v>
      </c>
      <c r="K971" t="n">
        <v>0</v>
      </c>
      <c r="L971" t="n">
        <v>0</v>
      </c>
      <c r="M971" t="n">
        <v>0</v>
      </c>
      <c r="N971" t="n">
        <v>0</v>
      </c>
      <c r="O971" t="n">
        <v>0</v>
      </c>
      <c r="P971" t="n">
        <v>0</v>
      </c>
      <c r="Q971" t="n">
        <v>0</v>
      </c>
      <c r="R971" s="2" t="inlineStr"/>
    </row>
    <row r="972" ht="15" customHeight="1">
      <c r="A972" t="inlineStr">
        <is>
          <t>A 64074-2021</t>
        </is>
      </c>
      <c r="B972" s="1" t="n">
        <v>44510</v>
      </c>
      <c r="C972" s="1" t="n">
        <v>45343</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64145-2021</t>
        </is>
      </c>
      <c r="B973" s="1" t="n">
        <v>44510</v>
      </c>
      <c r="C973" s="1" t="n">
        <v>45343</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64600-2021</t>
        </is>
      </c>
      <c r="B974" s="1" t="n">
        <v>44511</v>
      </c>
      <c r="C974" s="1" t="n">
        <v>45343</v>
      </c>
      <c r="D974" t="inlineStr">
        <is>
          <t>STOCKHOLMS LÄN</t>
        </is>
      </c>
      <c r="E974" t="inlineStr">
        <is>
          <t>NORRTÄLJE</t>
        </is>
      </c>
      <c r="G974" t="n">
        <v>6.2</v>
      </c>
      <c r="H974" t="n">
        <v>0</v>
      </c>
      <c r="I974" t="n">
        <v>0</v>
      </c>
      <c r="J974" t="n">
        <v>0</v>
      </c>
      <c r="K974" t="n">
        <v>0</v>
      </c>
      <c r="L974" t="n">
        <v>0</v>
      </c>
      <c r="M974" t="n">
        <v>0</v>
      </c>
      <c r="N974" t="n">
        <v>0</v>
      </c>
      <c r="O974" t="n">
        <v>0</v>
      </c>
      <c r="P974" t="n">
        <v>0</v>
      </c>
      <c r="Q974" t="n">
        <v>0</v>
      </c>
      <c r="R974" s="2" t="inlineStr"/>
    </row>
    <row r="975" ht="15" customHeight="1">
      <c r="A975" t="inlineStr">
        <is>
          <t>A 64599-2021</t>
        </is>
      </c>
      <c r="B975" s="1" t="n">
        <v>44511</v>
      </c>
      <c r="C975" s="1" t="n">
        <v>45343</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64628-2021</t>
        </is>
      </c>
      <c r="B976" s="1" t="n">
        <v>44511</v>
      </c>
      <c r="C976" s="1" t="n">
        <v>45343</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64915-2021</t>
        </is>
      </c>
      <c r="B977" s="1" t="n">
        <v>44512</v>
      </c>
      <c r="C977" s="1" t="n">
        <v>45343</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65359-2021</t>
        </is>
      </c>
      <c r="B978" s="1" t="n">
        <v>44515</v>
      </c>
      <c r="C978" s="1" t="n">
        <v>45343</v>
      </c>
      <c r="D978" t="inlineStr">
        <is>
          <t>STOCKHOLMS LÄN</t>
        </is>
      </c>
      <c r="E978" t="inlineStr">
        <is>
          <t>NORRTÄLJE</t>
        </is>
      </c>
      <c r="F978" t="inlineStr">
        <is>
          <t>Kyrkan</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65499-2021</t>
        </is>
      </c>
      <c r="B979" s="1" t="n">
        <v>44516</v>
      </c>
      <c r="C979" s="1" t="n">
        <v>45343</v>
      </c>
      <c r="D979" t="inlineStr">
        <is>
          <t>STOCKHOLMS LÄN</t>
        </is>
      </c>
      <c r="E979" t="inlineStr">
        <is>
          <t>NORRTÄLJE</t>
        </is>
      </c>
      <c r="F979" t="inlineStr">
        <is>
          <t>Kommuner</t>
        </is>
      </c>
      <c r="G979" t="n">
        <v>5.2</v>
      </c>
      <c r="H979" t="n">
        <v>0</v>
      </c>
      <c r="I979" t="n">
        <v>0</v>
      </c>
      <c r="J979" t="n">
        <v>0</v>
      </c>
      <c r="K979" t="n">
        <v>0</v>
      </c>
      <c r="L979" t="n">
        <v>0</v>
      </c>
      <c r="M979" t="n">
        <v>0</v>
      </c>
      <c r="N979" t="n">
        <v>0</v>
      </c>
      <c r="O979" t="n">
        <v>0</v>
      </c>
      <c r="P979" t="n">
        <v>0</v>
      </c>
      <c r="Q979" t="n">
        <v>0</v>
      </c>
      <c r="R979" s="2" t="inlineStr"/>
    </row>
    <row r="980" ht="15" customHeight="1">
      <c r="A980" t="inlineStr">
        <is>
          <t>A 65513-2021</t>
        </is>
      </c>
      <c r="B980" s="1" t="n">
        <v>44516</v>
      </c>
      <c r="C980" s="1" t="n">
        <v>45343</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65511-2021</t>
        </is>
      </c>
      <c r="B981" s="1" t="n">
        <v>44516</v>
      </c>
      <c r="C981" s="1" t="n">
        <v>45343</v>
      </c>
      <c r="D981" t="inlineStr">
        <is>
          <t>STOCKHOLMS LÄN</t>
        </is>
      </c>
      <c r="E981" t="inlineStr">
        <is>
          <t>NORRTÄLJE</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65501-2021</t>
        </is>
      </c>
      <c r="B982" s="1" t="n">
        <v>44516</v>
      </c>
      <c r="C982" s="1" t="n">
        <v>45343</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65509-2021</t>
        </is>
      </c>
      <c r="B983" s="1" t="n">
        <v>44516</v>
      </c>
      <c r="C983" s="1" t="n">
        <v>45343</v>
      </c>
      <c r="D983" t="inlineStr">
        <is>
          <t>STOCKHOLMS LÄN</t>
        </is>
      </c>
      <c r="E983" t="inlineStr">
        <is>
          <t>NORRTÄLJE</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65611-2021</t>
        </is>
      </c>
      <c r="B984" s="1" t="n">
        <v>44516</v>
      </c>
      <c r="C984" s="1" t="n">
        <v>45343</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65737-2021</t>
        </is>
      </c>
      <c r="B985" s="1" t="n">
        <v>44516</v>
      </c>
      <c r="C985" s="1" t="n">
        <v>45343</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66450-2021</t>
        </is>
      </c>
      <c r="B986" s="1" t="n">
        <v>44518</v>
      </c>
      <c r="C986" s="1" t="n">
        <v>45343</v>
      </c>
      <c r="D986" t="inlineStr">
        <is>
          <t>STOCKHOLMS LÄN</t>
        </is>
      </c>
      <c r="E986" t="inlineStr">
        <is>
          <t>NORRTÄLJE</t>
        </is>
      </c>
      <c r="G986" t="n">
        <v>9.1</v>
      </c>
      <c r="H986" t="n">
        <v>0</v>
      </c>
      <c r="I986" t="n">
        <v>0</v>
      </c>
      <c r="J986" t="n">
        <v>0</v>
      </c>
      <c r="K986" t="n">
        <v>0</v>
      </c>
      <c r="L986" t="n">
        <v>0</v>
      </c>
      <c r="M986" t="n">
        <v>0</v>
      </c>
      <c r="N986" t="n">
        <v>0</v>
      </c>
      <c r="O986" t="n">
        <v>0</v>
      </c>
      <c r="P986" t="n">
        <v>0</v>
      </c>
      <c r="Q986" t="n">
        <v>0</v>
      </c>
      <c r="R986" s="2" t="inlineStr"/>
    </row>
    <row r="987" ht="15" customHeight="1">
      <c r="A987" t="inlineStr">
        <is>
          <t>A 66608-2021</t>
        </is>
      </c>
      <c r="B987" s="1" t="n">
        <v>44519</v>
      </c>
      <c r="C987" s="1" t="n">
        <v>45343</v>
      </c>
      <c r="D987" t="inlineStr">
        <is>
          <t>STOCKHOLMS LÄN</t>
        </is>
      </c>
      <c r="E987" t="inlineStr">
        <is>
          <t>NORRTÄLJE</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66592-2021</t>
        </is>
      </c>
      <c r="B988" s="1" t="n">
        <v>44519</v>
      </c>
      <c r="C988" s="1" t="n">
        <v>45343</v>
      </c>
      <c r="D988" t="inlineStr">
        <is>
          <t>STOCKHOLMS LÄN</t>
        </is>
      </c>
      <c r="E988" t="inlineStr">
        <is>
          <t>NORRTÄLJE</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66769-2021</t>
        </is>
      </c>
      <c r="B989" s="1" t="n">
        <v>44521</v>
      </c>
      <c r="C989" s="1" t="n">
        <v>45343</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67285-2021</t>
        </is>
      </c>
      <c r="B990" s="1" t="n">
        <v>44523</v>
      </c>
      <c r="C990" s="1" t="n">
        <v>45343</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67525-2021</t>
        </is>
      </c>
      <c r="B991" s="1" t="n">
        <v>44524</v>
      </c>
      <c r="C991" s="1" t="n">
        <v>45343</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67598-2021</t>
        </is>
      </c>
      <c r="B992" s="1" t="n">
        <v>44524</v>
      </c>
      <c r="C992" s="1" t="n">
        <v>45343</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67921-2021</t>
        </is>
      </c>
      <c r="B993" s="1" t="n">
        <v>44525</v>
      </c>
      <c r="C993" s="1" t="n">
        <v>45343</v>
      </c>
      <c r="D993" t="inlineStr">
        <is>
          <t>STOCKHOLMS LÄN</t>
        </is>
      </c>
      <c r="E993" t="inlineStr">
        <is>
          <t>NORRTÄLJE</t>
        </is>
      </c>
      <c r="G993" t="n">
        <v>6.3</v>
      </c>
      <c r="H993" t="n">
        <v>0</v>
      </c>
      <c r="I993" t="n">
        <v>0</v>
      </c>
      <c r="J993" t="n">
        <v>0</v>
      </c>
      <c r="K993" t="n">
        <v>0</v>
      </c>
      <c r="L993" t="n">
        <v>0</v>
      </c>
      <c r="M993" t="n">
        <v>0</v>
      </c>
      <c r="N993" t="n">
        <v>0</v>
      </c>
      <c r="O993" t="n">
        <v>0</v>
      </c>
      <c r="P993" t="n">
        <v>0</v>
      </c>
      <c r="Q993" t="n">
        <v>0</v>
      </c>
      <c r="R993" s="2" t="inlineStr"/>
    </row>
    <row r="994" ht="15" customHeight="1">
      <c r="A994" t="inlineStr">
        <is>
          <t>A 67990-2021</t>
        </is>
      </c>
      <c r="B994" s="1" t="n">
        <v>44525</v>
      </c>
      <c r="C994" s="1" t="n">
        <v>45343</v>
      </c>
      <c r="D994" t="inlineStr">
        <is>
          <t>STOCKHOLMS LÄN</t>
        </is>
      </c>
      <c r="E994" t="inlineStr">
        <is>
          <t>NORRTÄLJE</t>
        </is>
      </c>
      <c r="F994" t="inlineStr">
        <is>
          <t>Sveaskog</t>
        </is>
      </c>
      <c r="G994" t="n">
        <v>7.8</v>
      </c>
      <c r="H994" t="n">
        <v>0</v>
      </c>
      <c r="I994" t="n">
        <v>0</v>
      </c>
      <c r="J994" t="n">
        <v>0</v>
      </c>
      <c r="K994" t="n">
        <v>0</v>
      </c>
      <c r="L994" t="n">
        <v>0</v>
      </c>
      <c r="M994" t="n">
        <v>0</v>
      </c>
      <c r="N994" t="n">
        <v>0</v>
      </c>
      <c r="O994" t="n">
        <v>0</v>
      </c>
      <c r="P994" t="n">
        <v>0</v>
      </c>
      <c r="Q994" t="n">
        <v>0</v>
      </c>
      <c r="R994" s="2" t="inlineStr"/>
    </row>
    <row r="995" ht="15" customHeight="1">
      <c r="A995" t="inlineStr">
        <is>
          <t>A 67992-2021</t>
        </is>
      </c>
      <c r="B995" s="1" t="n">
        <v>44525</v>
      </c>
      <c r="C995" s="1" t="n">
        <v>45343</v>
      </c>
      <c r="D995" t="inlineStr">
        <is>
          <t>STOCKHOLMS LÄN</t>
        </is>
      </c>
      <c r="E995" t="inlineStr">
        <is>
          <t>NORRTÄLJE</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67993-2021</t>
        </is>
      </c>
      <c r="B996" s="1" t="n">
        <v>44525</v>
      </c>
      <c r="C996" s="1" t="n">
        <v>45343</v>
      </c>
      <c r="D996" t="inlineStr">
        <is>
          <t>STOCKHOLMS LÄN</t>
        </is>
      </c>
      <c r="E996" t="inlineStr">
        <is>
          <t>NORRTÄLJE</t>
        </is>
      </c>
      <c r="F996" t="inlineStr">
        <is>
          <t>Sveaskog</t>
        </is>
      </c>
      <c r="G996" t="n">
        <v>3.4</v>
      </c>
      <c r="H996" t="n">
        <v>0</v>
      </c>
      <c r="I996" t="n">
        <v>0</v>
      </c>
      <c r="J996" t="n">
        <v>0</v>
      </c>
      <c r="K996" t="n">
        <v>0</v>
      </c>
      <c r="L996" t="n">
        <v>0</v>
      </c>
      <c r="M996" t="n">
        <v>0</v>
      </c>
      <c r="N996" t="n">
        <v>0</v>
      </c>
      <c r="O996" t="n">
        <v>0</v>
      </c>
      <c r="P996" t="n">
        <v>0</v>
      </c>
      <c r="Q996" t="n">
        <v>0</v>
      </c>
      <c r="R996" s="2" t="inlineStr"/>
    </row>
    <row r="997" ht="15" customHeight="1">
      <c r="A997" t="inlineStr">
        <is>
          <t>A 68273-2021</t>
        </is>
      </c>
      <c r="B997" s="1" t="n">
        <v>44526</v>
      </c>
      <c r="C997" s="1" t="n">
        <v>45343</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68361-2021</t>
        </is>
      </c>
      <c r="B998" s="1" t="n">
        <v>44528</v>
      </c>
      <c r="C998" s="1" t="n">
        <v>45343</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69034-2021</t>
        </is>
      </c>
      <c r="B999" s="1" t="n">
        <v>44529</v>
      </c>
      <c r="C999" s="1" t="n">
        <v>45343</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69539-2021</t>
        </is>
      </c>
      <c r="B1000" s="1" t="n">
        <v>44531</v>
      </c>
      <c r="C1000" s="1" t="n">
        <v>45343</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69723-2021</t>
        </is>
      </c>
      <c r="B1001" s="1" t="n">
        <v>44532</v>
      </c>
      <c r="C1001" s="1" t="n">
        <v>45343</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69816-2021</t>
        </is>
      </c>
      <c r="B1002" s="1" t="n">
        <v>44532</v>
      </c>
      <c r="C1002" s="1" t="n">
        <v>45343</v>
      </c>
      <c r="D1002" t="inlineStr">
        <is>
          <t>STOCKHOLMS LÄN</t>
        </is>
      </c>
      <c r="E1002" t="inlineStr">
        <is>
          <t>NORRTÄLJE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70170-2021</t>
        </is>
      </c>
      <c r="B1003" s="1" t="n">
        <v>44533</v>
      </c>
      <c r="C1003" s="1" t="n">
        <v>45343</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69988-2021</t>
        </is>
      </c>
      <c r="B1004" s="1" t="n">
        <v>44533</v>
      </c>
      <c r="C1004" s="1" t="n">
        <v>45343</v>
      </c>
      <c r="D1004" t="inlineStr">
        <is>
          <t>STOCKHOLMS LÄN</t>
        </is>
      </c>
      <c r="E1004" t="inlineStr">
        <is>
          <t>NORRTÄLJE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70469-2021</t>
        </is>
      </c>
      <c r="B1005" s="1" t="n">
        <v>44536</v>
      </c>
      <c r="C1005" s="1" t="n">
        <v>45343</v>
      </c>
      <c r="D1005" t="inlineStr">
        <is>
          <t>STOCKHOLMS LÄN</t>
        </is>
      </c>
      <c r="E1005" t="inlineStr">
        <is>
          <t>NORRTÄLJE</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71325-2021</t>
        </is>
      </c>
      <c r="B1006" s="1" t="n">
        <v>44539</v>
      </c>
      <c r="C1006" s="1" t="n">
        <v>45343</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71552-2021</t>
        </is>
      </c>
      <c r="B1007" s="1" t="n">
        <v>44540</v>
      </c>
      <c r="C1007" s="1" t="n">
        <v>45343</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71479-2021</t>
        </is>
      </c>
      <c r="B1008" s="1" t="n">
        <v>44540</v>
      </c>
      <c r="C1008" s="1" t="n">
        <v>45343</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71543-2021</t>
        </is>
      </c>
      <c r="B1009" s="1" t="n">
        <v>44540</v>
      </c>
      <c r="C1009" s="1" t="n">
        <v>45343</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71873-2021</t>
        </is>
      </c>
      <c r="B1010" s="1" t="n">
        <v>44543</v>
      </c>
      <c r="C1010" s="1" t="n">
        <v>45343</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71876-2021</t>
        </is>
      </c>
      <c r="B1011" s="1" t="n">
        <v>44543</v>
      </c>
      <c r="C1011" s="1" t="n">
        <v>45343</v>
      </c>
      <c r="D1011" t="inlineStr">
        <is>
          <t>STOCKHOLMS LÄN</t>
        </is>
      </c>
      <c r="E1011" t="inlineStr">
        <is>
          <t>NORRTÄLJE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71880-2021</t>
        </is>
      </c>
      <c r="B1012" s="1" t="n">
        <v>44543</v>
      </c>
      <c r="C1012" s="1" t="n">
        <v>45343</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71871-2021</t>
        </is>
      </c>
      <c r="B1013" s="1" t="n">
        <v>44543</v>
      </c>
      <c r="C1013" s="1" t="n">
        <v>45343</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71878-2021</t>
        </is>
      </c>
      <c r="B1014" s="1" t="n">
        <v>44543</v>
      </c>
      <c r="C1014" s="1" t="n">
        <v>45343</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72085-2021</t>
        </is>
      </c>
      <c r="B1015" s="1" t="n">
        <v>44544</v>
      </c>
      <c r="C1015" s="1" t="n">
        <v>45343</v>
      </c>
      <c r="D1015" t="inlineStr">
        <is>
          <t>STOCKHOLMS LÄN</t>
        </is>
      </c>
      <c r="E1015" t="inlineStr">
        <is>
          <t>NORRTÄLJE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72202-2021</t>
        </is>
      </c>
      <c r="B1016" s="1" t="n">
        <v>44544</v>
      </c>
      <c r="C1016" s="1" t="n">
        <v>45343</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72308-2021</t>
        </is>
      </c>
      <c r="B1017" s="1" t="n">
        <v>44545</v>
      </c>
      <c r="C1017" s="1" t="n">
        <v>45343</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72343-2021</t>
        </is>
      </c>
      <c r="B1018" s="1" t="n">
        <v>44545</v>
      </c>
      <c r="C1018" s="1" t="n">
        <v>45343</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72357-2021</t>
        </is>
      </c>
      <c r="B1019" s="1" t="n">
        <v>44545</v>
      </c>
      <c r="C1019" s="1" t="n">
        <v>45343</v>
      </c>
      <c r="D1019" t="inlineStr">
        <is>
          <t>STOCKHOLMS LÄN</t>
        </is>
      </c>
      <c r="E1019" t="inlineStr">
        <is>
          <t>NORRTÄLJE</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72355-2021</t>
        </is>
      </c>
      <c r="B1020" s="1" t="n">
        <v>44545</v>
      </c>
      <c r="C1020" s="1" t="n">
        <v>45343</v>
      </c>
      <c r="D1020" t="inlineStr">
        <is>
          <t>STOCKHOLMS LÄN</t>
        </is>
      </c>
      <c r="E1020" t="inlineStr">
        <is>
          <t>NORRTÄLJE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72353-2021</t>
        </is>
      </c>
      <c r="B1021" s="1" t="n">
        <v>44545</v>
      </c>
      <c r="C1021" s="1" t="n">
        <v>45343</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72747-2021</t>
        </is>
      </c>
      <c r="B1022" s="1" t="n">
        <v>44546</v>
      </c>
      <c r="C1022" s="1" t="n">
        <v>45343</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72704-2021</t>
        </is>
      </c>
      <c r="B1023" s="1" t="n">
        <v>44546</v>
      </c>
      <c r="C1023" s="1" t="n">
        <v>45343</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72890-2021</t>
        </is>
      </c>
      <c r="B1024" s="1" t="n">
        <v>44547</v>
      </c>
      <c r="C1024" s="1" t="n">
        <v>45343</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73311-2021</t>
        </is>
      </c>
      <c r="B1025" s="1" t="n">
        <v>44549</v>
      </c>
      <c r="C1025" s="1" t="n">
        <v>45343</v>
      </c>
      <c r="D1025" t="inlineStr">
        <is>
          <t>STOCKHOLMS LÄN</t>
        </is>
      </c>
      <c r="E1025" t="inlineStr">
        <is>
          <t>NORRTÄLJE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73307-2021</t>
        </is>
      </c>
      <c r="B1026" s="1" t="n">
        <v>44549</v>
      </c>
      <c r="C1026" s="1" t="n">
        <v>45343</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73271-2021</t>
        </is>
      </c>
      <c r="B1027" s="1" t="n">
        <v>44550</v>
      </c>
      <c r="C1027" s="1" t="n">
        <v>45343</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73504-2021</t>
        </is>
      </c>
      <c r="B1028" s="1" t="n">
        <v>44551</v>
      </c>
      <c r="C1028" s="1" t="n">
        <v>45343</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73855-2021</t>
        </is>
      </c>
      <c r="B1029" s="1" t="n">
        <v>44552</v>
      </c>
      <c r="C1029" s="1" t="n">
        <v>45343</v>
      </c>
      <c r="D1029" t="inlineStr">
        <is>
          <t>STOCKHOLMS LÄN</t>
        </is>
      </c>
      <c r="E1029" t="inlineStr">
        <is>
          <t>NORRTÄLJE</t>
        </is>
      </c>
      <c r="F1029" t="inlineStr">
        <is>
          <t>Övriga Aktiebolag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73992-2021</t>
        </is>
      </c>
      <c r="B1030" s="1" t="n">
        <v>44556</v>
      </c>
      <c r="C1030" s="1" t="n">
        <v>45343</v>
      </c>
      <c r="D1030" t="inlineStr">
        <is>
          <t>STOCKHOLMS LÄN</t>
        </is>
      </c>
      <c r="E1030" t="inlineStr">
        <is>
          <t>NORRTÄLJE</t>
        </is>
      </c>
      <c r="G1030" t="n">
        <v>12.5</v>
      </c>
      <c r="H1030" t="n">
        <v>0</v>
      </c>
      <c r="I1030" t="n">
        <v>0</v>
      </c>
      <c r="J1030" t="n">
        <v>0</v>
      </c>
      <c r="K1030" t="n">
        <v>0</v>
      </c>
      <c r="L1030" t="n">
        <v>0</v>
      </c>
      <c r="M1030" t="n">
        <v>0</v>
      </c>
      <c r="N1030" t="n">
        <v>0</v>
      </c>
      <c r="O1030" t="n">
        <v>0</v>
      </c>
      <c r="P1030" t="n">
        <v>0</v>
      </c>
      <c r="Q1030" t="n">
        <v>0</v>
      </c>
      <c r="R1030" s="2" t="inlineStr"/>
    </row>
    <row r="1031" ht="15" customHeight="1">
      <c r="A1031" t="inlineStr">
        <is>
          <t>A 73993-2021</t>
        </is>
      </c>
      <c r="B1031" s="1" t="n">
        <v>44556</v>
      </c>
      <c r="C1031" s="1" t="n">
        <v>45343</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74468-2021</t>
        </is>
      </c>
      <c r="B1032" s="1" t="n">
        <v>44560</v>
      </c>
      <c r="C1032" s="1" t="n">
        <v>45343</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185-2022</t>
        </is>
      </c>
      <c r="B1033" s="1" t="n">
        <v>44564</v>
      </c>
      <c r="C1033" s="1" t="n">
        <v>45343</v>
      </c>
      <c r="D1033" t="inlineStr">
        <is>
          <t>STOCKHOLMS LÄN</t>
        </is>
      </c>
      <c r="E1033" t="inlineStr">
        <is>
          <t>NORRTÄLJE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190-2022</t>
        </is>
      </c>
      <c r="B1034" s="1" t="n">
        <v>44564</v>
      </c>
      <c r="C1034" s="1" t="n">
        <v>45343</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187-2022</t>
        </is>
      </c>
      <c r="B1035" s="1" t="n">
        <v>44564</v>
      </c>
      <c r="C1035" s="1" t="n">
        <v>45343</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77-2022</t>
        </is>
      </c>
      <c r="B1036" s="1" t="n">
        <v>44564</v>
      </c>
      <c r="C1036" s="1" t="n">
        <v>45343</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459-2022</t>
        </is>
      </c>
      <c r="B1037" s="1" t="n">
        <v>44565</v>
      </c>
      <c r="C1037" s="1" t="n">
        <v>45343</v>
      </c>
      <c r="D1037" t="inlineStr">
        <is>
          <t>STOCKHOLMS LÄN</t>
        </is>
      </c>
      <c r="E1037" t="inlineStr">
        <is>
          <t>NORRTÄLJE</t>
        </is>
      </c>
      <c r="F1037" t="inlineStr">
        <is>
          <t>Övriga Aktiebolag</t>
        </is>
      </c>
      <c r="G1037" t="n">
        <v>17.3</v>
      </c>
      <c r="H1037" t="n">
        <v>0</v>
      </c>
      <c r="I1037" t="n">
        <v>0</v>
      </c>
      <c r="J1037" t="n">
        <v>0</v>
      </c>
      <c r="K1037" t="n">
        <v>0</v>
      </c>
      <c r="L1037" t="n">
        <v>0</v>
      </c>
      <c r="M1037" t="n">
        <v>0</v>
      </c>
      <c r="N1037" t="n">
        <v>0</v>
      </c>
      <c r="O1037" t="n">
        <v>0</v>
      </c>
      <c r="P1037" t="n">
        <v>0</v>
      </c>
      <c r="Q1037" t="n">
        <v>0</v>
      </c>
      <c r="R1037" s="2" t="inlineStr"/>
    </row>
    <row r="1038" ht="15" customHeight="1">
      <c r="A1038" t="inlineStr">
        <is>
          <t>A 1058-2022</t>
        </is>
      </c>
      <c r="B1038" s="1" t="n">
        <v>44571</v>
      </c>
      <c r="C1038" s="1" t="n">
        <v>45343</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1051-2022</t>
        </is>
      </c>
      <c r="B1039" s="1" t="n">
        <v>44571</v>
      </c>
      <c r="C1039" s="1" t="n">
        <v>45343</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1054-2022</t>
        </is>
      </c>
      <c r="B1040" s="1" t="n">
        <v>44571</v>
      </c>
      <c r="C1040" s="1" t="n">
        <v>45343</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1229-2022</t>
        </is>
      </c>
      <c r="B1041" s="1" t="n">
        <v>44572</v>
      </c>
      <c r="C1041" s="1" t="n">
        <v>45343</v>
      </c>
      <c r="D1041" t="inlineStr">
        <is>
          <t>STOCKHOLMS LÄN</t>
        </is>
      </c>
      <c r="E1041" t="inlineStr">
        <is>
          <t>NORRTÄLJE</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1704-2022</t>
        </is>
      </c>
      <c r="B1042" s="1" t="n">
        <v>44574</v>
      </c>
      <c r="C1042" s="1" t="n">
        <v>45343</v>
      </c>
      <c r="D1042" t="inlineStr">
        <is>
          <t>STOCKHOLMS LÄN</t>
        </is>
      </c>
      <c r="E1042" t="inlineStr">
        <is>
          <t>NORRTÄLJE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1968-2022</t>
        </is>
      </c>
      <c r="B1043" s="1" t="n">
        <v>44575</v>
      </c>
      <c r="C1043" s="1" t="n">
        <v>45343</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2182-2022</t>
        </is>
      </c>
      <c r="B1044" s="1" t="n">
        <v>44578</v>
      </c>
      <c r="C1044" s="1" t="n">
        <v>45343</v>
      </c>
      <c r="D1044" t="inlineStr">
        <is>
          <t>STOCKHOLMS LÄN</t>
        </is>
      </c>
      <c r="E1044" t="inlineStr">
        <is>
          <t>NORRTÄLJE</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2549-2022</t>
        </is>
      </c>
      <c r="B1045" s="1" t="n">
        <v>44580</v>
      </c>
      <c r="C1045" s="1" t="n">
        <v>45343</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2732-2022</t>
        </is>
      </c>
      <c r="B1046" s="1" t="n">
        <v>44580</v>
      </c>
      <c r="C1046" s="1" t="n">
        <v>45343</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2888-2022</t>
        </is>
      </c>
      <c r="B1047" s="1" t="n">
        <v>44581</v>
      </c>
      <c r="C1047" s="1" t="n">
        <v>45343</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2977-2022</t>
        </is>
      </c>
      <c r="B1048" s="1" t="n">
        <v>44581</v>
      </c>
      <c r="C1048" s="1" t="n">
        <v>45343</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3300-2022</t>
        </is>
      </c>
      <c r="B1049" s="1" t="n">
        <v>44584</v>
      </c>
      <c r="C1049" s="1" t="n">
        <v>45343</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3310-2022</t>
        </is>
      </c>
      <c r="B1050" s="1" t="n">
        <v>44584</v>
      </c>
      <c r="C1050" s="1" t="n">
        <v>45343</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3396-2022</t>
        </is>
      </c>
      <c r="B1051" s="1" t="n">
        <v>44585</v>
      </c>
      <c r="C1051" s="1" t="n">
        <v>45343</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3509-2022</t>
        </is>
      </c>
      <c r="B1052" s="1" t="n">
        <v>44585</v>
      </c>
      <c r="C1052" s="1" t="n">
        <v>45343</v>
      </c>
      <c r="D1052" t="inlineStr">
        <is>
          <t>STOCKHOLMS LÄN</t>
        </is>
      </c>
      <c r="E1052" t="inlineStr">
        <is>
          <t>NORRTÄLJE</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4860-2022</t>
        </is>
      </c>
      <c r="B1053" s="1" t="n">
        <v>44592</v>
      </c>
      <c r="C1053" s="1" t="n">
        <v>45343</v>
      </c>
      <c r="D1053" t="inlineStr">
        <is>
          <t>STOCKHOLMS LÄN</t>
        </is>
      </c>
      <c r="E1053" t="inlineStr">
        <is>
          <t>NORRTÄLJE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5351-2022</t>
        </is>
      </c>
      <c r="B1054" s="1" t="n">
        <v>44594</v>
      </c>
      <c r="C1054" s="1" t="n">
        <v>45343</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5513-2022</t>
        </is>
      </c>
      <c r="B1055" s="1" t="n">
        <v>44595</v>
      </c>
      <c r="C1055" s="1" t="n">
        <v>45343</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5611-2022</t>
        </is>
      </c>
      <c r="B1056" s="1" t="n">
        <v>44595</v>
      </c>
      <c r="C1056" s="1" t="n">
        <v>45343</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5831-2022</t>
        </is>
      </c>
      <c r="B1057" s="1" t="n">
        <v>44596</v>
      </c>
      <c r="C1057" s="1" t="n">
        <v>45343</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5867-2022</t>
        </is>
      </c>
      <c r="B1058" s="1" t="n">
        <v>44596</v>
      </c>
      <c r="C1058" s="1" t="n">
        <v>45343</v>
      </c>
      <c r="D1058" t="inlineStr">
        <is>
          <t>STOCKHOLMS LÄN</t>
        </is>
      </c>
      <c r="E1058" t="inlineStr">
        <is>
          <t>NORRTÄLJE</t>
        </is>
      </c>
      <c r="F1058" t="inlineStr">
        <is>
          <t>Naturvårdsverket</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6070-2022</t>
        </is>
      </c>
      <c r="B1059" s="1" t="n">
        <v>44599</v>
      </c>
      <c r="C1059" s="1" t="n">
        <v>45343</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6332-2022</t>
        </is>
      </c>
      <c r="B1060" s="1" t="n">
        <v>44600</v>
      </c>
      <c r="C1060" s="1" t="n">
        <v>45343</v>
      </c>
      <c r="D1060" t="inlineStr">
        <is>
          <t>STOCKHOLMS LÄN</t>
        </is>
      </c>
      <c r="E1060" t="inlineStr">
        <is>
          <t>NORRTÄLJE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7301-2022</t>
        </is>
      </c>
      <c r="B1061" s="1" t="n">
        <v>44606</v>
      </c>
      <c r="C1061" s="1" t="n">
        <v>45343</v>
      </c>
      <c r="D1061" t="inlineStr">
        <is>
          <t>STOCKHOLMS LÄN</t>
        </is>
      </c>
      <c r="E1061" t="inlineStr">
        <is>
          <t>NORRTÄLJE</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7565-2022</t>
        </is>
      </c>
      <c r="B1062" s="1" t="n">
        <v>44607</v>
      </c>
      <c r="C1062" s="1" t="n">
        <v>45343</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8024-2022</t>
        </is>
      </c>
      <c r="B1063" s="1" t="n">
        <v>44609</v>
      </c>
      <c r="C1063" s="1" t="n">
        <v>45343</v>
      </c>
      <c r="D1063" t="inlineStr">
        <is>
          <t>STOCKHOLMS LÄN</t>
        </is>
      </c>
      <c r="E1063" t="inlineStr">
        <is>
          <t>NORRTÄLJE</t>
        </is>
      </c>
      <c r="F1063" t="inlineStr">
        <is>
          <t>Kyrkan</t>
        </is>
      </c>
      <c r="G1063" t="n">
        <v>28.2</v>
      </c>
      <c r="H1063" t="n">
        <v>0</v>
      </c>
      <c r="I1063" t="n">
        <v>0</v>
      </c>
      <c r="J1063" t="n">
        <v>0</v>
      </c>
      <c r="K1063" t="n">
        <v>0</v>
      </c>
      <c r="L1063" t="n">
        <v>0</v>
      </c>
      <c r="M1063" t="n">
        <v>0</v>
      </c>
      <c r="N1063" t="n">
        <v>0</v>
      </c>
      <c r="O1063" t="n">
        <v>0</v>
      </c>
      <c r="P1063" t="n">
        <v>0</v>
      </c>
      <c r="Q1063" t="n">
        <v>0</v>
      </c>
      <c r="R1063" s="2" t="inlineStr"/>
    </row>
    <row r="1064" ht="15" customHeight="1">
      <c r="A1064" t="inlineStr">
        <is>
          <t>A 8049-2022</t>
        </is>
      </c>
      <c r="B1064" s="1" t="n">
        <v>44609</v>
      </c>
      <c r="C1064" s="1" t="n">
        <v>45343</v>
      </c>
      <c r="D1064" t="inlineStr">
        <is>
          <t>STOCKHOLMS LÄN</t>
        </is>
      </c>
      <c r="E1064" t="inlineStr">
        <is>
          <t>NORRTÄLJE</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8160-2022</t>
        </is>
      </c>
      <c r="B1065" s="1" t="n">
        <v>44609</v>
      </c>
      <c r="C1065" s="1" t="n">
        <v>45343</v>
      </c>
      <c r="D1065" t="inlineStr">
        <is>
          <t>STOCKHOLMS LÄN</t>
        </is>
      </c>
      <c r="E1065" t="inlineStr">
        <is>
          <t>NORRTÄLJE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8433-2022</t>
        </is>
      </c>
      <c r="B1066" s="1" t="n">
        <v>44611</v>
      </c>
      <c r="C1066" s="1" t="n">
        <v>45343</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9668-2022</t>
        </is>
      </c>
      <c r="B1067" s="1" t="n">
        <v>44617</v>
      </c>
      <c r="C1067" s="1" t="n">
        <v>45343</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9654-2022</t>
        </is>
      </c>
      <c r="B1068" s="1" t="n">
        <v>44617</v>
      </c>
      <c r="C1068" s="1" t="n">
        <v>45343</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9749-2022</t>
        </is>
      </c>
      <c r="B1069" s="1" t="n">
        <v>44618</v>
      </c>
      <c r="C1069" s="1" t="n">
        <v>45343</v>
      </c>
      <c r="D1069" t="inlineStr">
        <is>
          <t>STOCKHOLMS LÄN</t>
        </is>
      </c>
      <c r="E1069" t="inlineStr">
        <is>
          <t>NORRTÄLJE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9988-2022</t>
        </is>
      </c>
      <c r="B1070" s="1" t="n">
        <v>44621</v>
      </c>
      <c r="C1070" s="1" t="n">
        <v>45343</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10090-2022</t>
        </is>
      </c>
      <c r="B1071" s="1" t="n">
        <v>44621</v>
      </c>
      <c r="C1071" s="1" t="n">
        <v>45343</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10098-2022</t>
        </is>
      </c>
      <c r="B1072" s="1" t="n">
        <v>44621</v>
      </c>
      <c r="C1072" s="1" t="n">
        <v>45343</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10521-2022</t>
        </is>
      </c>
      <c r="B1073" s="1" t="n">
        <v>44623</v>
      </c>
      <c r="C1073" s="1" t="n">
        <v>45343</v>
      </c>
      <c r="D1073" t="inlineStr">
        <is>
          <t>STOCKHOLMS LÄN</t>
        </is>
      </c>
      <c r="E1073" t="inlineStr">
        <is>
          <t>NORRTÄLJE</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10653-2022</t>
        </is>
      </c>
      <c r="B1074" s="1" t="n">
        <v>44624</v>
      </c>
      <c r="C1074" s="1" t="n">
        <v>45343</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10710-2022</t>
        </is>
      </c>
      <c r="B1075" s="1" t="n">
        <v>44626</v>
      </c>
      <c r="C1075" s="1" t="n">
        <v>45343</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10711-2022</t>
        </is>
      </c>
      <c r="B1076" s="1" t="n">
        <v>44626</v>
      </c>
      <c r="C1076" s="1" t="n">
        <v>45343</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11150-2022</t>
        </is>
      </c>
      <c r="B1077" s="1" t="n">
        <v>44629</v>
      </c>
      <c r="C1077" s="1" t="n">
        <v>45343</v>
      </c>
      <c r="D1077" t="inlineStr">
        <is>
          <t>STOCKHOLMS LÄN</t>
        </is>
      </c>
      <c r="E1077" t="inlineStr">
        <is>
          <t>NORRTÄLJE</t>
        </is>
      </c>
      <c r="F1077" t="inlineStr">
        <is>
          <t>Övriga Aktiebolag</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11229-2022</t>
        </is>
      </c>
      <c r="B1078" s="1" t="n">
        <v>44629</v>
      </c>
      <c r="C1078" s="1" t="n">
        <v>45343</v>
      </c>
      <c r="D1078" t="inlineStr">
        <is>
          <t>STOCKHOLMS LÄN</t>
        </is>
      </c>
      <c r="E1078" t="inlineStr">
        <is>
          <t>NORRTÄLJE</t>
        </is>
      </c>
      <c r="F1078" t="inlineStr">
        <is>
          <t>Övriga Aktiebolag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11533-2022</t>
        </is>
      </c>
      <c r="B1079" s="1" t="n">
        <v>44631</v>
      </c>
      <c r="C1079" s="1" t="n">
        <v>45343</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11821-2022</t>
        </is>
      </c>
      <c r="B1080" s="1" t="n">
        <v>44634</v>
      </c>
      <c r="C1080" s="1" t="n">
        <v>45343</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11900-2022</t>
        </is>
      </c>
      <c r="B1081" s="1" t="n">
        <v>44635</v>
      </c>
      <c r="C1081" s="1" t="n">
        <v>45343</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12355-2022</t>
        </is>
      </c>
      <c r="B1082" s="1" t="n">
        <v>44637</v>
      </c>
      <c r="C1082" s="1" t="n">
        <v>45343</v>
      </c>
      <c r="D1082" t="inlineStr">
        <is>
          <t>STOCKHOLMS LÄN</t>
        </is>
      </c>
      <c r="E1082" t="inlineStr">
        <is>
          <t>NORRTÄLJE</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12270-2022</t>
        </is>
      </c>
      <c r="B1083" s="1" t="n">
        <v>44637</v>
      </c>
      <c r="C1083" s="1" t="n">
        <v>45343</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12314-2022</t>
        </is>
      </c>
      <c r="B1084" s="1" t="n">
        <v>44637</v>
      </c>
      <c r="C1084" s="1" t="n">
        <v>45343</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12268-2022</t>
        </is>
      </c>
      <c r="B1085" s="1" t="n">
        <v>44637</v>
      </c>
      <c r="C1085" s="1" t="n">
        <v>45343</v>
      </c>
      <c r="D1085" t="inlineStr">
        <is>
          <t>STOCKHOLMS LÄN</t>
        </is>
      </c>
      <c r="E1085" t="inlineStr">
        <is>
          <t>NORRTÄLJE</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12357-2022</t>
        </is>
      </c>
      <c r="B1086" s="1" t="n">
        <v>44637</v>
      </c>
      <c r="C1086" s="1" t="n">
        <v>45343</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62765-2022</t>
        </is>
      </c>
      <c r="B1087" s="1" t="n">
        <v>44637</v>
      </c>
      <c r="C1087" s="1" t="n">
        <v>45343</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12874-2022</t>
        </is>
      </c>
      <c r="B1088" s="1" t="n">
        <v>44642</v>
      </c>
      <c r="C1088" s="1" t="n">
        <v>45343</v>
      </c>
      <c r="D1088" t="inlineStr">
        <is>
          <t>STOCKHOLMS LÄN</t>
        </is>
      </c>
      <c r="E1088" t="inlineStr">
        <is>
          <t>NORRTÄLJE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12816-2022</t>
        </is>
      </c>
      <c r="B1089" s="1" t="n">
        <v>44642</v>
      </c>
      <c r="C1089" s="1" t="n">
        <v>45343</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12877-2022</t>
        </is>
      </c>
      <c r="B1090" s="1" t="n">
        <v>44642</v>
      </c>
      <c r="C1090" s="1" t="n">
        <v>45343</v>
      </c>
      <c r="D1090" t="inlineStr">
        <is>
          <t>STOCKHOLMS LÄN</t>
        </is>
      </c>
      <c r="E1090" t="inlineStr">
        <is>
          <t>NORRTÄLJE</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12875-2022</t>
        </is>
      </c>
      <c r="B1091" s="1" t="n">
        <v>44642</v>
      </c>
      <c r="C1091" s="1" t="n">
        <v>45343</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13077-2022</t>
        </is>
      </c>
      <c r="B1092" s="1" t="n">
        <v>44643</v>
      </c>
      <c r="C1092" s="1" t="n">
        <v>45343</v>
      </c>
      <c r="D1092" t="inlineStr">
        <is>
          <t>STOCKHOLMS LÄN</t>
        </is>
      </c>
      <c r="E1092" t="inlineStr">
        <is>
          <t>NORRTÄLJE</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13053-2022</t>
        </is>
      </c>
      <c r="B1093" s="1" t="n">
        <v>44643</v>
      </c>
      <c r="C1093" s="1" t="n">
        <v>45343</v>
      </c>
      <c r="D1093" t="inlineStr">
        <is>
          <t>STOCKHOLMS LÄN</t>
        </is>
      </c>
      <c r="E1093" t="inlineStr">
        <is>
          <t>NORRTÄLJE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13089-2022</t>
        </is>
      </c>
      <c r="B1094" s="1" t="n">
        <v>44643</v>
      </c>
      <c r="C1094" s="1" t="n">
        <v>45343</v>
      </c>
      <c r="D1094" t="inlineStr">
        <is>
          <t>STOCKHOLMS LÄN</t>
        </is>
      </c>
      <c r="E1094" t="inlineStr">
        <is>
          <t>NORRTÄLJE</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13106-2022</t>
        </is>
      </c>
      <c r="B1095" s="1" t="n">
        <v>44644</v>
      </c>
      <c r="C1095" s="1" t="n">
        <v>45343</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13278-2022</t>
        </is>
      </c>
      <c r="B1096" s="1" t="n">
        <v>44644</v>
      </c>
      <c r="C1096" s="1" t="n">
        <v>45343</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13276-2022</t>
        </is>
      </c>
      <c r="B1097" s="1" t="n">
        <v>44644</v>
      </c>
      <c r="C1097" s="1" t="n">
        <v>45343</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13395-2022</t>
        </is>
      </c>
      <c r="B1098" s="1" t="n">
        <v>44645</v>
      </c>
      <c r="C1098" s="1" t="n">
        <v>45343</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13696-2022</t>
        </is>
      </c>
      <c r="B1099" s="1" t="n">
        <v>44648</v>
      </c>
      <c r="C1099" s="1" t="n">
        <v>45343</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13701-2022</t>
        </is>
      </c>
      <c r="B1100" s="1" t="n">
        <v>44648</v>
      </c>
      <c r="C1100" s="1" t="n">
        <v>45343</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13718-2022</t>
        </is>
      </c>
      <c r="B1101" s="1" t="n">
        <v>44649</v>
      </c>
      <c r="C1101" s="1" t="n">
        <v>45343</v>
      </c>
      <c r="D1101" t="inlineStr">
        <is>
          <t>STOCKHOLMS LÄN</t>
        </is>
      </c>
      <c r="E1101" t="inlineStr">
        <is>
          <t>NORRTÄLJE</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14036-2022</t>
        </is>
      </c>
      <c r="B1102" s="1" t="n">
        <v>44650</v>
      </c>
      <c r="C1102" s="1" t="n">
        <v>45343</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14033-2022</t>
        </is>
      </c>
      <c r="B1103" s="1" t="n">
        <v>44650</v>
      </c>
      <c r="C1103" s="1" t="n">
        <v>45343</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14034-2022</t>
        </is>
      </c>
      <c r="B1104" s="1" t="n">
        <v>44650</v>
      </c>
      <c r="C1104" s="1" t="n">
        <v>45343</v>
      </c>
      <c r="D1104" t="inlineStr">
        <is>
          <t>STOCKHOLMS LÄN</t>
        </is>
      </c>
      <c r="E1104" t="inlineStr">
        <is>
          <t>NORRTÄLJE</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14051-2022</t>
        </is>
      </c>
      <c r="B1105" s="1" t="n">
        <v>44651</v>
      </c>
      <c r="C1105" s="1" t="n">
        <v>45343</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14166-2022</t>
        </is>
      </c>
      <c r="B1106" s="1" t="n">
        <v>44651</v>
      </c>
      <c r="C1106" s="1" t="n">
        <v>45343</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14543-2022</t>
        </is>
      </c>
      <c r="B1107" s="1" t="n">
        <v>44655</v>
      </c>
      <c r="C1107" s="1" t="n">
        <v>45343</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14724-2022</t>
        </is>
      </c>
      <c r="B1108" s="1" t="n">
        <v>44656</v>
      </c>
      <c r="C1108" s="1" t="n">
        <v>45343</v>
      </c>
      <c r="D1108" t="inlineStr">
        <is>
          <t>STOCKHOLMS LÄN</t>
        </is>
      </c>
      <c r="E1108" t="inlineStr">
        <is>
          <t>NORRTÄLJE</t>
        </is>
      </c>
      <c r="F1108" t="inlineStr">
        <is>
          <t>Sveaskog</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14716-2022</t>
        </is>
      </c>
      <c r="B1109" s="1" t="n">
        <v>44656</v>
      </c>
      <c r="C1109" s="1" t="n">
        <v>45343</v>
      </c>
      <c r="D1109" t="inlineStr">
        <is>
          <t>STOCKHOLMS LÄN</t>
        </is>
      </c>
      <c r="E1109" t="inlineStr">
        <is>
          <t>NORRTÄLJE</t>
        </is>
      </c>
      <c r="F1109" t="inlineStr">
        <is>
          <t>Sveaskog</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14869-2022</t>
        </is>
      </c>
      <c r="B1110" s="1" t="n">
        <v>44656</v>
      </c>
      <c r="C1110" s="1" t="n">
        <v>45343</v>
      </c>
      <c r="D1110" t="inlineStr">
        <is>
          <t>STOCKHOLMS LÄN</t>
        </is>
      </c>
      <c r="E1110" t="inlineStr">
        <is>
          <t>NORRTÄLJE</t>
        </is>
      </c>
      <c r="F1110" t="inlineStr">
        <is>
          <t>Holmen skog AB</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15225-2022</t>
        </is>
      </c>
      <c r="B1111" s="1" t="n">
        <v>44658</v>
      </c>
      <c r="C1111" s="1" t="n">
        <v>45343</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15226-2022</t>
        </is>
      </c>
      <c r="B1112" s="1" t="n">
        <v>44658</v>
      </c>
      <c r="C1112" s="1" t="n">
        <v>45343</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15861-2022</t>
        </is>
      </c>
      <c r="B1113" s="1" t="n">
        <v>44664</v>
      </c>
      <c r="C1113" s="1" t="n">
        <v>45343</v>
      </c>
      <c r="D1113" t="inlineStr">
        <is>
          <t>STOCKHOLMS LÄN</t>
        </is>
      </c>
      <c r="E1113" t="inlineStr">
        <is>
          <t>NORRTÄLJE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16117-2022</t>
        </is>
      </c>
      <c r="B1114" s="1" t="n">
        <v>44665</v>
      </c>
      <c r="C1114" s="1" t="n">
        <v>45343</v>
      </c>
      <c r="D1114" t="inlineStr">
        <is>
          <t>STOCKHOLMS LÄN</t>
        </is>
      </c>
      <c r="E1114" t="inlineStr">
        <is>
          <t>NORRTÄLJE</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16119-2022</t>
        </is>
      </c>
      <c r="B1115" s="1" t="n">
        <v>44665</v>
      </c>
      <c r="C1115" s="1" t="n">
        <v>45343</v>
      </c>
      <c r="D1115" t="inlineStr">
        <is>
          <t>STOCKHOLMS LÄN</t>
        </is>
      </c>
      <c r="E1115" t="inlineStr">
        <is>
          <t>NORRTÄLJE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16132-2022</t>
        </is>
      </c>
      <c r="B1116" s="1" t="n">
        <v>44665</v>
      </c>
      <c r="C1116" s="1" t="n">
        <v>45343</v>
      </c>
      <c r="D1116" t="inlineStr">
        <is>
          <t>STOCKHOLMS LÄN</t>
        </is>
      </c>
      <c r="E1116" t="inlineStr">
        <is>
          <t>NORRTÄLJE</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16224-2022</t>
        </is>
      </c>
      <c r="B1117" s="1" t="n">
        <v>44670</v>
      </c>
      <c r="C1117" s="1" t="n">
        <v>45343</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16202-2022</t>
        </is>
      </c>
      <c r="B1118" s="1" t="n">
        <v>44670</v>
      </c>
      <c r="C1118" s="1" t="n">
        <v>45343</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16229-2022</t>
        </is>
      </c>
      <c r="B1119" s="1" t="n">
        <v>44670</v>
      </c>
      <c r="C1119" s="1" t="n">
        <v>45343</v>
      </c>
      <c r="D1119" t="inlineStr">
        <is>
          <t>STOCKHOLMS LÄN</t>
        </is>
      </c>
      <c r="E1119" t="inlineStr">
        <is>
          <t>NORRTÄLJE</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16442-2022</t>
        </is>
      </c>
      <c r="B1120" s="1" t="n">
        <v>44671</v>
      </c>
      <c r="C1120" s="1" t="n">
        <v>45343</v>
      </c>
      <c r="D1120" t="inlineStr">
        <is>
          <t>STOCKHOLMS LÄN</t>
        </is>
      </c>
      <c r="E1120" t="inlineStr">
        <is>
          <t>NORRTÄLJE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16534-2022</t>
        </is>
      </c>
      <c r="B1121" s="1" t="n">
        <v>44672</v>
      </c>
      <c r="C1121" s="1" t="n">
        <v>45343</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16835-2022</t>
        </is>
      </c>
      <c r="B1122" s="1" t="n">
        <v>44673</v>
      </c>
      <c r="C1122" s="1" t="n">
        <v>45343</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17391-2022</t>
        </is>
      </c>
      <c r="B1123" s="1" t="n">
        <v>44678</v>
      </c>
      <c r="C1123" s="1" t="n">
        <v>45343</v>
      </c>
      <c r="D1123" t="inlineStr">
        <is>
          <t>STOCKHOLMS LÄN</t>
        </is>
      </c>
      <c r="E1123" t="inlineStr">
        <is>
          <t>NORRTÄLJE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17388-2022</t>
        </is>
      </c>
      <c r="B1124" s="1" t="n">
        <v>44678</v>
      </c>
      <c r="C1124" s="1" t="n">
        <v>45343</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17390-2022</t>
        </is>
      </c>
      <c r="B1125" s="1" t="n">
        <v>44678</v>
      </c>
      <c r="C1125" s="1" t="n">
        <v>45343</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17612-2022</t>
        </is>
      </c>
      <c r="B1126" s="1" t="n">
        <v>44680</v>
      </c>
      <c r="C1126" s="1" t="n">
        <v>45343</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17629-2022</t>
        </is>
      </c>
      <c r="B1127" s="1" t="n">
        <v>44680</v>
      </c>
      <c r="C1127" s="1" t="n">
        <v>45343</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17771-2022</t>
        </is>
      </c>
      <c r="B1128" s="1" t="n">
        <v>44682</v>
      </c>
      <c r="C1128" s="1" t="n">
        <v>45343</v>
      </c>
      <c r="D1128" t="inlineStr">
        <is>
          <t>STOCKHOLMS LÄN</t>
        </is>
      </c>
      <c r="E1128" t="inlineStr">
        <is>
          <t>NORRTÄLJE</t>
        </is>
      </c>
      <c r="G1128" t="n">
        <v>13.3</v>
      </c>
      <c r="H1128" t="n">
        <v>0</v>
      </c>
      <c r="I1128" t="n">
        <v>0</v>
      </c>
      <c r="J1128" t="n">
        <v>0</v>
      </c>
      <c r="K1128" t="n">
        <v>0</v>
      </c>
      <c r="L1128" t="n">
        <v>0</v>
      </c>
      <c r="M1128" t="n">
        <v>0</v>
      </c>
      <c r="N1128" t="n">
        <v>0</v>
      </c>
      <c r="O1128" t="n">
        <v>0</v>
      </c>
      <c r="P1128" t="n">
        <v>0</v>
      </c>
      <c r="Q1128" t="n">
        <v>0</v>
      </c>
      <c r="R1128" s="2" t="inlineStr"/>
    </row>
    <row r="1129" ht="15" customHeight="1">
      <c r="A1129" t="inlineStr">
        <is>
          <t>A 17775-2022</t>
        </is>
      </c>
      <c r="B1129" s="1" t="n">
        <v>44682</v>
      </c>
      <c r="C1129" s="1" t="n">
        <v>45343</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17773-2022</t>
        </is>
      </c>
      <c r="B1130" s="1" t="n">
        <v>44682</v>
      </c>
      <c r="C1130" s="1" t="n">
        <v>45343</v>
      </c>
      <c r="D1130" t="inlineStr">
        <is>
          <t>STOCKHOLMS LÄN</t>
        </is>
      </c>
      <c r="E1130" t="inlineStr">
        <is>
          <t>NORRTÄLJE</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17772-2022</t>
        </is>
      </c>
      <c r="B1131" s="1" t="n">
        <v>44682</v>
      </c>
      <c r="C1131" s="1" t="n">
        <v>45343</v>
      </c>
      <c r="D1131" t="inlineStr">
        <is>
          <t>STOCKHOLMS LÄN</t>
        </is>
      </c>
      <c r="E1131" t="inlineStr">
        <is>
          <t>NORRTÄLJE</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17777-2022</t>
        </is>
      </c>
      <c r="B1132" s="1" t="n">
        <v>44682</v>
      </c>
      <c r="C1132" s="1" t="n">
        <v>45343</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17803-2022</t>
        </is>
      </c>
      <c r="B1133" s="1" t="n">
        <v>44683</v>
      </c>
      <c r="C1133" s="1" t="n">
        <v>45343</v>
      </c>
      <c r="D1133" t="inlineStr">
        <is>
          <t>STOCKHOLMS LÄN</t>
        </is>
      </c>
      <c r="E1133" t="inlineStr">
        <is>
          <t>NORRTÄLJE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17952-2022</t>
        </is>
      </c>
      <c r="B1134" s="1" t="n">
        <v>44683</v>
      </c>
      <c r="C1134" s="1" t="n">
        <v>45343</v>
      </c>
      <c r="D1134" t="inlineStr">
        <is>
          <t>STOCKHOLMS LÄN</t>
        </is>
      </c>
      <c r="E1134" t="inlineStr">
        <is>
          <t>NORRTÄLJE</t>
        </is>
      </c>
      <c r="G1134" t="n">
        <v>51.1</v>
      </c>
      <c r="H1134" t="n">
        <v>0</v>
      </c>
      <c r="I1134" t="n">
        <v>0</v>
      </c>
      <c r="J1134" t="n">
        <v>0</v>
      </c>
      <c r="K1134" t="n">
        <v>0</v>
      </c>
      <c r="L1134" t="n">
        <v>0</v>
      </c>
      <c r="M1134" t="n">
        <v>0</v>
      </c>
      <c r="N1134" t="n">
        <v>0</v>
      </c>
      <c r="O1134" t="n">
        <v>0</v>
      </c>
      <c r="P1134" t="n">
        <v>0</v>
      </c>
      <c r="Q1134" t="n">
        <v>0</v>
      </c>
      <c r="R1134" s="2" t="inlineStr"/>
    </row>
    <row r="1135" ht="15" customHeight="1">
      <c r="A1135" t="inlineStr">
        <is>
          <t>A 18092-2022</t>
        </is>
      </c>
      <c r="B1135" s="1" t="n">
        <v>44684</v>
      </c>
      <c r="C1135" s="1" t="n">
        <v>45343</v>
      </c>
      <c r="D1135" t="inlineStr">
        <is>
          <t>STOCKHOLMS LÄN</t>
        </is>
      </c>
      <c r="E1135" t="inlineStr">
        <is>
          <t>NORRTÄLJE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18103-2022</t>
        </is>
      </c>
      <c r="B1136" s="1" t="n">
        <v>44684</v>
      </c>
      <c r="C1136" s="1" t="n">
        <v>45343</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18350-2022</t>
        </is>
      </c>
      <c r="B1137" s="1" t="n">
        <v>44685</v>
      </c>
      <c r="C1137" s="1" t="n">
        <v>45343</v>
      </c>
      <c r="D1137" t="inlineStr">
        <is>
          <t>STOCKHOLMS LÄN</t>
        </is>
      </c>
      <c r="E1137" t="inlineStr">
        <is>
          <t>NORRTÄLJE</t>
        </is>
      </c>
      <c r="F1137" t="inlineStr">
        <is>
          <t>Holmen skog AB</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18546-2022</t>
        </is>
      </c>
      <c r="B1138" s="1" t="n">
        <v>44686</v>
      </c>
      <c r="C1138" s="1" t="n">
        <v>45343</v>
      </c>
      <c r="D1138" t="inlineStr">
        <is>
          <t>STOCKHOLMS LÄN</t>
        </is>
      </c>
      <c r="E1138" t="inlineStr">
        <is>
          <t>NORRTÄLJE</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18665-2022</t>
        </is>
      </c>
      <c r="B1139" s="1" t="n">
        <v>44687</v>
      </c>
      <c r="C1139" s="1" t="n">
        <v>45343</v>
      </c>
      <c r="D1139" t="inlineStr">
        <is>
          <t>STOCKHOLMS LÄN</t>
        </is>
      </c>
      <c r="E1139" t="inlineStr">
        <is>
          <t>NORRTÄLJE</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18787-2022</t>
        </is>
      </c>
      <c r="B1140" s="1" t="n">
        <v>44687</v>
      </c>
      <c r="C1140" s="1" t="n">
        <v>45343</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18846-2022</t>
        </is>
      </c>
      <c r="B1141" s="1" t="n">
        <v>44690</v>
      </c>
      <c r="C1141" s="1" t="n">
        <v>45343</v>
      </c>
      <c r="D1141" t="inlineStr">
        <is>
          <t>STOCKHOLMS LÄN</t>
        </is>
      </c>
      <c r="E1141" t="inlineStr">
        <is>
          <t>NORRTÄLJE</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18905-2022</t>
        </is>
      </c>
      <c r="B1142" s="1" t="n">
        <v>44690</v>
      </c>
      <c r="C1142" s="1" t="n">
        <v>45343</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18894-2022</t>
        </is>
      </c>
      <c r="B1143" s="1" t="n">
        <v>44690</v>
      </c>
      <c r="C1143" s="1" t="n">
        <v>45343</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19116-2022</t>
        </is>
      </c>
      <c r="B1144" s="1" t="n">
        <v>44691</v>
      </c>
      <c r="C1144" s="1" t="n">
        <v>45343</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19118-2022</t>
        </is>
      </c>
      <c r="B1145" s="1" t="n">
        <v>44691</v>
      </c>
      <c r="C1145" s="1" t="n">
        <v>45343</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19580-2022</t>
        </is>
      </c>
      <c r="B1146" s="1" t="n">
        <v>44693</v>
      </c>
      <c r="C1146" s="1" t="n">
        <v>45343</v>
      </c>
      <c r="D1146" t="inlineStr">
        <is>
          <t>STOCKHOLMS LÄN</t>
        </is>
      </c>
      <c r="E1146" t="inlineStr">
        <is>
          <t>NORRTÄLJE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19729-2022</t>
        </is>
      </c>
      <c r="B1147" s="1" t="n">
        <v>44694</v>
      </c>
      <c r="C1147" s="1" t="n">
        <v>45343</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19728-2022</t>
        </is>
      </c>
      <c r="B1148" s="1" t="n">
        <v>44694</v>
      </c>
      <c r="C1148" s="1" t="n">
        <v>45343</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19982-2022</t>
        </is>
      </c>
      <c r="B1149" s="1" t="n">
        <v>44697</v>
      </c>
      <c r="C1149" s="1" t="n">
        <v>45343</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19983-2022</t>
        </is>
      </c>
      <c r="B1150" s="1" t="n">
        <v>44697</v>
      </c>
      <c r="C1150" s="1" t="n">
        <v>45343</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20121-2022</t>
        </is>
      </c>
      <c r="B1151" s="1" t="n">
        <v>44698</v>
      </c>
      <c r="C1151" s="1" t="n">
        <v>45343</v>
      </c>
      <c r="D1151" t="inlineStr">
        <is>
          <t>STOCKHOLMS LÄN</t>
        </is>
      </c>
      <c r="E1151" t="inlineStr">
        <is>
          <t>NORRTÄLJE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20129-2022</t>
        </is>
      </c>
      <c r="B1152" s="1" t="n">
        <v>44698</v>
      </c>
      <c r="C1152" s="1" t="n">
        <v>45343</v>
      </c>
      <c r="D1152" t="inlineStr">
        <is>
          <t>STOCKHOLMS LÄN</t>
        </is>
      </c>
      <c r="E1152" t="inlineStr">
        <is>
          <t>NORRTÄLJE</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20291-2022</t>
        </is>
      </c>
      <c r="B1153" s="1" t="n">
        <v>44698</v>
      </c>
      <c r="C1153" s="1" t="n">
        <v>45343</v>
      </c>
      <c r="D1153" t="inlineStr">
        <is>
          <t>STOCKHOLMS LÄN</t>
        </is>
      </c>
      <c r="E1153" t="inlineStr">
        <is>
          <t>NORRTÄLJE</t>
        </is>
      </c>
      <c r="F1153" t="inlineStr">
        <is>
          <t>Naturvårdsverket</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20294-2022</t>
        </is>
      </c>
      <c r="B1154" s="1" t="n">
        <v>44698</v>
      </c>
      <c r="C1154" s="1" t="n">
        <v>45343</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20295-2022</t>
        </is>
      </c>
      <c r="B1155" s="1" t="n">
        <v>44698</v>
      </c>
      <c r="C1155" s="1" t="n">
        <v>45343</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20618-2022</t>
        </is>
      </c>
      <c r="B1156" s="1" t="n">
        <v>44700</v>
      </c>
      <c r="C1156" s="1" t="n">
        <v>45343</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21102-2022</t>
        </is>
      </c>
      <c r="B1157" s="1" t="n">
        <v>44704</v>
      </c>
      <c r="C1157" s="1" t="n">
        <v>45343</v>
      </c>
      <c r="D1157" t="inlineStr">
        <is>
          <t>STOCKHOLMS LÄN</t>
        </is>
      </c>
      <c r="E1157" t="inlineStr">
        <is>
          <t>NORRTÄLJE</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21158-2022</t>
        </is>
      </c>
      <c r="B1158" s="1" t="n">
        <v>44704</v>
      </c>
      <c r="C1158" s="1" t="n">
        <v>45343</v>
      </c>
      <c r="D1158" t="inlineStr">
        <is>
          <t>STOCKHOLMS LÄN</t>
        </is>
      </c>
      <c r="E1158" t="inlineStr">
        <is>
          <t>NORRTÄLJE</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21174-2022</t>
        </is>
      </c>
      <c r="B1159" s="1" t="n">
        <v>44704</v>
      </c>
      <c r="C1159" s="1" t="n">
        <v>45343</v>
      </c>
      <c r="D1159" t="inlineStr">
        <is>
          <t>STOCKHOLMS LÄN</t>
        </is>
      </c>
      <c r="E1159" t="inlineStr">
        <is>
          <t>NORRTÄLJE</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21480-2022</t>
        </is>
      </c>
      <c r="B1160" s="1" t="n">
        <v>44704</v>
      </c>
      <c r="C1160" s="1" t="n">
        <v>45343</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21178-2022</t>
        </is>
      </c>
      <c r="B1161" s="1" t="n">
        <v>44704</v>
      </c>
      <c r="C1161" s="1" t="n">
        <v>45343</v>
      </c>
      <c r="D1161" t="inlineStr">
        <is>
          <t>STOCKHOLMS LÄN</t>
        </is>
      </c>
      <c r="E1161" t="inlineStr">
        <is>
          <t>NORRTÄLJE</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21329-2022</t>
        </is>
      </c>
      <c r="B1162" s="1" t="n">
        <v>44705</v>
      </c>
      <c r="C1162" s="1" t="n">
        <v>45343</v>
      </c>
      <c r="D1162" t="inlineStr">
        <is>
          <t>STOCKHOLMS LÄN</t>
        </is>
      </c>
      <c r="E1162" t="inlineStr">
        <is>
          <t>NORRTÄLJE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21739-2022</t>
        </is>
      </c>
      <c r="B1163" s="1" t="n">
        <v>44708</v>
      </c>
      <c r="C1163" s="1" t="n">
        <v>45343</v>
      </c>
      <c r="D1163" t="inlineStr">
        <is>
          <t>STOCKHOLMS LÄN</t>
        </is>
      </c>
      <c r="E1163" t="inlineStr">
        <is>
          <t>NORRTÄLJE</t>
        </is>
      </c>
      <c r="F1163" t="inlineStr">
        <is>
          <t>Holmen skog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21723-2022</t>
        </is>
      </c>
      <c r="B1164" s="1" t="n">
        <v>44708</v>
      </c>
      <c r="C1164" s="1" t="n">
        <v>45343</v>
      </c>
      <c r="D1164" t="inlineStr">
        <is>
          <t>STOCKHOLMS LÄN</t>
        </is>
      </c>
      <c r="E1164" t="inlineStr">
        <is>
          <t>NORRTÄLJE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21726-2022</t>
        </is>
      </c>
      <c r="B1165" s="1" t="n">
        <v>44708</v>
      </c>
      <c r="C1165" s="1" t="n">
        <v>45343</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21803-2022</t>
        </is>
      </c>
      <c r="B1166" s="1" t="n">
        <v>44708</v>
      </c>
      <c r="C1166" s="1" t="n">
        <v>45343</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21970-2022</t>
        </is>
      </c>
      <c r="B1167" s="1" t="n">
        <v>44711</v>
      </c>
      <c r="C1167" s="1" t="n">
        <v>45343</v>
      </c>
      <c r="D1167" t="inlineStr">
        <is>
          <t>STOCKHOLMS LÄN</t>
        </is>
      </c>
      <c r="E1167" t="inlineStr">
        <is>
          <t>NORRTÄLJE</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22072-2022</t>
        </is>
      </c>
      <c r="B1168" s="1" t="n">
        <v>44711</v>
      </c>
      <c r="C1168" s="1" t="n">
        <v>45343</v>
      </c>
      <c r="D1168" t="inlineStr">
        <is>
          <t>STOCKHOLMS LÄN</t>
        </is>
      </c>
      <c r="E1168" t="inlineStr">
        <is>
          <t>NORRTÄLJE</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22071-2022</t>
        </is>
      </c>
      <c r="B1169" s="1" t="n">
        <v>44711</v>
      </c>
      <c r="C1169" s="1" t="n">
        <v>45343</v>
      </c>
      <c r="D1169" t="inlineStr">
        <is>
          <t>STOCKHOLMS LÄN</t>
        </is>
      </c>
      <c r="E1169" t="inlineStr">
        <is>
          <t>NORRTÄLJE</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22269-2022</t>
        </is>
      </c>
      <c r="B1170" s="1" t="n">
        <v>44712</v>
      </c>
      <c r="C1170" s="1" t="n">
        <v>45343</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22316-2022</t>
        </is>
      </c>
      <c r="B1171" s="1" t="n">
        <v>44712</v>
      </c>
      <c r="C1171" s="1" t="n">
        <v>45343</v>
      </c>
      <c r="D1171" t="inlineStr">
        <is>
          <t>STOCKHOLMS LÄN</t>
        </is>
      </c>
      <c r="E1171" t="inlineStr">
        <is>
          <t>NORRTÄLJE</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22503-2022</t>
        </is>
      </c>
      <c r="B1172" s="1" t="n">
        <v>44713</v>
      </c>
      <c r="C1172" s="1" t="n">
        <v>45343</v>
      </c>
      <c r="D1172" t="inlineStr">
        <is>
          <t>STOCKHOLMS LÄN</t>
        </is>
      </c>
      <c r="E1172" t="inlineStr">
        <is>
          <t>NORRTÄLJE</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22697-2022</t>
        </is>
      </c>
      <c r="B1173" s="1" t="n">
        <v>44714</v>
      </c>
      <c r="C1173" s="1" t="n">
        <v>45343</v>
      </c>
      <c r="D1173" t="inlineStr">
        <is>
          <t>STOCKHOLMS LÄN</t>
        </is>
      </c>
      <c r="E1173" t="inlineStr">
        <is>
          <t>NORRTÄLJE</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22628-2022</t>
        </is>
      </c>
      <c r="B1174" s="1" t="n">
        <v>44714</v>
      </c>
      <c r="C1174" s="1" t="n">
        <v>45343</v>
      </c>
      <c r="D1174" t="inlineStr">
        <is>
          <t>STOCKHOLMS LÄN</t>
        </is>
      </c>
      <c r="E1174" t="inlineStr">
        <is>
          <t>NORRTÄLJE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22636-2022</t>
        </is>
      </c>
      <c r="B1175" s="1" t="n">
        <v>44714</v>
      </c>
      <c r="C1175" s="1" t="n">
        <v>45343</v>
      </c>
      <c r="D1175" t="inlineStr">
        <is>
          <t>STOCKHOLMS LÄN</t>
        </is>
      </c>
      <c r="E1175" t="inlineStr">
        <is>
          <t>NORRTÄLJE</t>
        </is>
      </c>
      <c r="G1175" t="n">
        <v>16.6</v>
      </c>
      <c r="H1175" t="n">
        <v>0</v>
      </c>
      <c r="I1175" t="n">
        <v>0</v>
      </c>
      <c r="J1175" t="n">
        <v>0</v>
      </c>
      <c r="K1175" t="n">
        <v>0</v>
      </c>
      <c r="L1175" t="n">
        <v>0</v>
      </c>
      <c r="M1175" t="n">
        <v>0</v>
      </c>
      <c r="N1175" t="n">
        <v>0</v>
      </c>
      <c r="O1175" t="n">
        <v>0</v>
      </c>
      <c r="P1175" t="n">
        <v>0</v>
      </c>
      <c r="Q1175" t="n">
        <v>0</v>
      </c>
      <c r="R1175" s="2" t="inlineStr"/>
    </row>
    <row r="1176" ht="15" customHeight="1">
      <c r="A1176" t="inlineStr">
        <is>
          <t>A 22716-2022</t>
        </is>
      </c>
      <c r="B1176" s="1" t="n">
        <v>44714</v>
      </c>
      <c r="C1176" s="1" t="n">
        <v>45343</v>
      </c>
      <c r="D1176" t="inlineStr">
        <is>
          <t>STOCKHOLMS LÄN</t>
        </is>
      </c>
      <c r="E1176" t="inlineStr">
        <is>
          <t>NORRTÄLJE</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22756-2022</t>
        </is>
      </c>
      <c r="B1177" s="1" t="n">
        <v>44715</v>
      </c>
      <c r="C1177" s="1" t="n">
        <v>45343</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23125-2022</t>
        </is>
      </c>
      <c r="B1178" s="1" t="n">
        <v>44719</v>
      </c>
      <c r="C1178" s="1" t="n">
        <v>45343</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23770-2022</t>
        </is>
      </c>
      <c r="B1179" s="1" t="n">
        <v>44722</v>
      </c>
      <c r="C1179" s="1" t="n">
        <v>45343</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23801-2022</t>
        </is>
      </c>
      <c r="B1180" s="1" t="n">
        <v>44722</v>
      </c>
      <c r="C1180" s="1" t="n">
        <v>45343</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24101-2022</t>
        </is>
      </c>
      <c r="B1181" s="1" t="n">
        <v>44725</v>
      </c>
      <c r="C1181" s="1" t="n">
        <v>45343</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24162-2022</t>
        </is>
      </c>
      <c r="B1182" s="1" t="n">
        <v>44725</v>
      </c>
      <c r="C1182" s="1" t="n">
        <v>45343</v>
      </c>
      <c r="D1182" t="inlineStr">
        <is>
          <t>STOCKHOLMS LÄN</t>
        </is>
      </c>
      <c r="E1182" t="inlineStr">
        <is>
          <t>NORRTÄLJE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24167-2022</t>
        </is>
      </c>
      <c r="B1183" s="1" t="n">
        <v>44725</v>
      </c>
      <c r="C1183" s="1" t="n">
        <v>45343</v>
      </c>
      <c r="D1183" t="inlineStr">
        <is>
          <t>STOCKHOLMS LÄN</t>
        </is>
      </c>
      <c r="E1183" t="inlineStr">
        <is>
          <t>NORRTÄLJE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24152-2022</t>
        </is>
      </c>
      <c r="B1184" s="1" t="n">
        <v>44725</v>
      </c>
      <c r="C1184" s="1" t="n">
        <v>45343</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24534-2022</t>
        </is>
      </c>
      <c r="B1185" s="1" t="n">
        <v>44727</v>
      </c>
      <c r="C1185" s="1" t="n">
        <v>45343</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24977-2022</t>
        </is>
      </c>
      <c r="B1186" s="1" t="n">
        <v>44728</v>
      </c>
      <c r="C1186" s="1" t="n">
        <v>45343</v>
      </c>
      <c r="D1186" t="inlineStr">
        <is>
          <t>STOCKHOLMS LÄN</t>
        </is>
      </c>
      <c r="E1186" t="inlineStr">
        <is>
          <t>NORRTÄLJE</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25525-2022</t>
        </is>
      </c>
      <c r="B1187" s="1" t="n">
        <v>44732</v>
      </c>
      <c r="C1187" s="1" t="n">
        <v>45343</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25621-2022</t>
        </is>
      </c>
      <c r="B1188" s="1" t="n">
        <v>44732</v>
      </c>
      <c r="C1188" s="1" t="n">
        <v>45343</v>
      </c>
      <c r="D1188" t="inlineStr">
        <is>
          <t>STOCKHOLMS LÄN</t>
        </is>
      </c>
      <c r="E1188" t="inlineStr">
        <is>
          <t>NORRTÄLJE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25619-2022</t>
        </is>
      </c>
      <c r="B1189" s="1" t="n">
        <v>44732</v>
      </c>
      <c r="C1189" s="1" t="n">
        <v>45343</v>
      </c>
      <c r="D1189" t="inlineStr">
        <is>
          <t>STOCKHOLMS LÄN</t>
        </is>
      </c>
      <c r="E1189" t="inlineStr">
        <is>
          <t>NORRTÄLJE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26328-2022</t>
        </is>
      </c>
      <c r="B1190" s="1" t="n">
        <v>44735</v>
      </c>
      <c r="C1190" s="1" t="n">
        <v>45343</v>
      </c>
      <c r="D1190" t="inlineStr">
        <is>
          <t>STOCKHOLMS LÄN</t>
        </is>
      </c>
      <c r="E1190" t="inlineStr">
        <is>
          <t>NORRTÄLJE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26335-2022</t>
        </is>
      </c>
      <c r="B1191" s="1" t="n">
        <v>44735</v>
      </c>
      <c r="C1191" s="1" t="n">
        <v>45343</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27538-2022</t>
        </is>
      </c>
      <c r="B1192" s="1" t="n">
        <v>44742</v>
      </c>
      <c r="C1192" s="1" t="n">
        <v>45343</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27715-2022</t>
        </is>
      </c>
      <c r="B1193" s="1" t="n">
        <v>44743</v>
      </c>
      <c r="C1193" s="1" t="n">
        <v>45343</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27827-2022</t>
        </is>
      </c>
      <c r="B1194" s="1" t="n">
        <v>44743</v>
      </c>
      <c r="C1194" s="1" t="n">
        <v>45343</v>
      </c>
      <c r="D1194" t="inlineStr">
        <is>
          <t>STOCKHOLMS LÄN</t>
        </is>
      </c>
      <c r="E1194" t="inlineStr">
        <is>
          <t>NORRTÄLJE</t>
        </is>
      </c>
      <c r="F1194" t="inlineStr">
        <is>
          <t>Holmen skog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27870-2022</t>
        </is>
      </c>
      <c r="B1195" s="1" t="n">
        <v>44743</v>
      </c>
      <c r="C1195" s="1" t="n">
        <v>45343</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27828-2022</t>
        </is>
      </c>
      <c r="B1196" s="1" t="n">
        <v>44743</v>
      </c>
      <c r="C1196" s="1" t="n">
        <v>45343</v>
      </c>
      <c r="D1196" t="inlineStr">
        <is>
          <t>STOCKHOLMS LÄN</t>
        </is>
      </c>
      <c r="E1196" t="inlineStr">
        <is>
          <t>NORRTÄLJE</t>
        </is>
      </c>
      <c r="F1196" t="inlineStr">
        <is>
          <t>Kommuner</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27824-2022</t>
        </is>
      </c>
      <c r="B1197" s="1" t="n">
        <v>44743</v>
      </c>
      <c r="C1197" s="1" t="n">
        <v>45343</v>
      </c>
      <c r="D1197" t="inlineStr">
        <is>
          <t>STOCKHOLMS LÄN</t>
        </is>
      </c>
      <c r="E1197" t="inlineStr">
        <is>
          <t>NORRTÄLJE</t>
        </is>
      </c>
      <c r="F1197" t="inlineStr">
        <is>
          <t>Kommuner</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27831-2022</t>
        </is>
      </c>
      <c r="B1198" s="1" t="n">
        <v>44743</v>
      </c>
      <c r="C1198" s="1" t="n">
        <v>45343</v>
      </c>
      <c r="D1198" t="inlineStr">
        <is>
          <t>STOCKHOLMS LÄN</t>
        </is>
      </c>
      <c r="E1198" t="inlineStr">
        <is>
          <t>NORRTÄLJE</t>
        </is>
      </c>
      <c r="F1198" t="inlineStr">
        <is>
          <t>Kommuner</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27885-2022</t>
        </is>
      </c>
      <c r="B1199" s="1" t="n">
        <v>44743</v>
      </c>
      <c r="C1199" s="1" t="n">
        <v>45343</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27867-2022</t>
        </is>
      </c>
      <c r="B1200" s="1" t="n">
        <v>44743</v>
      </c>
      <c r="C1200" s="1" t="n">
        <v>45343</v>
      </c>
      <c r="D1200" t="inlineStr">
        <is>
          <t>STOCKHOLMS LÄN</t>
        </is>
      </c>
      <c r="E1200" t="inlineStr">
        <is>
          <t>NORRTÄLJE</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28042-2022</t>
        </is>
      </c>
      <c r="B1201" s="1" t="n">
        <v>44744</v>
      </c>
      <c r="C1201" s="1" t="n">
        <v>45343</v>
      </c>
      <c r="D1201" t="inlineStr">
        <is>
          <t>STOCKHOLMS LÄN</t>
        </is>
      </c>
      <c r="E1201" t="inlineStr">
        <is>
          <t>NORRTÄLJE</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28100-2022</t>
        </is>
      </c>
      <c r="B1202" s="1" t="n">
        <v>44746</v>
      </c>
      <c r="C1202" s="1" t="n">
        <v>45343</v>
      </c>
      <c r="D1202" t="inlineStr">
        <is>
          <t>STOCKHOLMS LÄN</t>
        </is>
      </c>
      <c r="E1202" t="inlineStr">
        <is>
          <t>NORRTÄLJE</t>
        </is>
      </c>
      <c r="F1202" t="inlineStr">
        <is>
          <t>Holmen skog AB</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28182-2022</t>
        </is>
      </c>
      <c r="B1203" s="1" t="n">
        <v>44746</v>
      </c>
      <c r="C1203" s="1" t="n">
        <v>45343</v>
      </c>
      <c r="D1203" t="inlineStr">
        <is>
          <t>STOCKHOLMS LÄN</t>
        </is>
      </c>
      <c r="E1203" t="inlineStr">
        <is>
          <t>NORRTÄLJE</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28209-2022</t>
        </is>
      </c>
      <c r="B1204" s="1" t="n">
        <v>44746</v>
      </c>
      <c r="C1204" s="1" t="n">
        <v>45343</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28365-2022</t>
        </is>
      </c>
      <c r="B1205" s="1" t="n">
        <v>44747</v>
      </c>
      <c r="C1205" s="1" t="n">
        <v>45343</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28900-2022</t>
        </is>
      </c>
      <c r="B1206" s="1" t="n">
        <v>44749</v>
      </c>
      <c r="C1206" s="1" t="n">
        <v>45343</v>
      </c>
      <c r="D1206" t="inlineStr">
        <is>
          <t>STOCKHOLMS LÄN</t>
        </is>
      </c>
      <c r="E1206" t="inlineStr">
        <is>
          <t>NORRTÄLJE</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28959-2022</t>
        </is>
      </c>
      <c r="B1207" s="1" t="n">
        <v>44749</v>
      </c>
      <c r="C1207" s="1" t="n">
        <v>45343</v>
      </c>
      <c r="D1207" t="inlineStr">
        <is>
          <t>STOCKHOLMS LÄN</t>
        </is>
      </c>
      <c r="E1207" t="inlineStr">
        <is>
          <t>NORRTÄLJE</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29070-2022</t>
        </is>
      </c>
      <c r="B1208" s="1" t="n">
        <v>44750</v>
      </c>
      <c r="C1208" s="1" t="n">
        <v>45343</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29266-2022</t>
        </is>
      </c>
      <c r="B1209" s="1" t="n">
        <v>44750</v>
      </c>
      <c r="C1209" s="1" t="n">
        <v>45343</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29278-2022</t>
        </is>
      </c>
      <c r="B1210" s="1" t="n">
        <v>44750</v>
      </c>
      <c r="C1210" s="1" t="n">
        <v>45343</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29362-2022</t>
        </is>
      </c>
      <c r="B1211" s="1" t="n">
        <v>44753</v>
      </c>
      <c r="C1211" s="1" t="n">
        <v>45343</v>
      </c>
      <c r="D1211" t="inlineStr">
        <is>
          <t>STOCKHOLMS LÄN</t>
        </is>
      </c>
      <c r="E1211" t="inlineStr">
        <is>
          <t>NORRTÄLJE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29395-2022</t>
        </is>
      </c>
      <c r="B1212" s="1" t="n">
        <v>44753</v>
      </c>
      <c r="C1212" s="1" t="n">
        <v>45343</v>
      </c>
      <c r="D1212" t="inlineStr">
        <is>
          <t>STOCKHOLMS LÄN</t>
        </is>
      </c>
      <c r="E1212" t="inlineStr">
        <is>
          <t>NORRTÄLJE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29868-2022</t>
        </is>
      </c>
      <c r="B1213" s="1" t="n">
        <v>44756</v>
      </c>
      <c r="C1213" s="1" t="n">
        <v>45343</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30151-2022</t>
        </is>
      </c>
      <c r="B1214" s="1" t="n">
        <v>44757</v>
      </c>
      <c r="C1214" s="1" t="n">
        <v>45343</v>
      </c>
      <c r="D1214" t="inlineStr">
        <is>
          <t>STOCKHOLMS LÄN</t>
        </is>
      </c>
      <c r="E1214" t="inlineStr">
        <is>
          <t>NORRTÄLJE</t>
        </is>
      </c>
      <c r="G1214" t="n">
        <v>12.6</v>
      </c>
      <c r="H1214" t="n">
        <v>0</v>
      </c>
      <c r="I1214" t="n">
        <v>0</v>
      </c>
      <c r="J1214" t="n">
        <v>0</v>
      </c>
      <c r="K1214" t="n">
        <v>0</v>
      </c>
      <c r="L1214" t="n">
        <v>0</v>
      </c>
      <c r="M1214" t="n">
        <v>0</v>
      </c>
      <c r="N1214" t="n">
        <v>0</v>
      </c>
      <c r="O1214" t="n">
        <v>0</v>
      </c>
      <c r="P1214" t="n">
        <v>0</v>
      </c>
      <c r="Q1214" t="n">
        <v>0</v>
      </c>
      <c r="R1214" s="2" t="inlineStr"/>
    </row>
    <row r="1215" ht="15" customHeight="1">
      <c r="A1215" t="inlineStr">
        <is>
          <t>A 30164-2022</t>
        </is>
      </c>
      <c r="B1215" s="1" t="n">
        <v>44757</v>
      </c>
      <c r="C1215" s="1" t="n">
        <v>45343</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30171-2022</t>
        </is>
      </c>
      <c r="B1216" s="1" t="n">
        <v>44757</v>
      </c>
      <c r="C1216" s="1" t="n">
        <v>45343</v>
      </c>
      <c r="D1216" t="inlineStr">
        <is>
          <t>STOCKHOLMS LÄN</t>
        </is>
      </c>
      <c r="E1216" t="inlineStr">
        <is>
          <t>NORRTÄLJE</t>
        </is>
      </c>
      <c r="F1216" t="inlineStr">
        <is>
          <t>Holmen skog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30283-2022</t>
        </is>
      </c>
      <c r="B1217" s="1" t="n">
        <v>44760</v>
      </c>
      <c r="C1217" s="1" t="n">
        <v>45343</v>
      </c>
      <c r="D1217" t="inlineStr">
        <is>
          <t>STOCKHOLMS LÄN</t>
        </is>
      </c>
      <c r="E1217" t="inlineStr">
        <is>
          <t>NORRTÄLJE</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30338-2022</t>
        </is>
      </c>
      <c r="B1218" s="1" t="n">
        <v>44760</v>
      </c>
      <c r="C1218" s="1" t="n">
        <v>45343</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30286-2022</t>
        </is>
      </c>
      <c r="B1219" s="1" t="n">
        <v>44760</v>
      </c>
      <c r="C1219" s="1" t="n">
        <v>45343</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30290-2022</t>
        </is>
      </c>
      <c r="B1220" s="1" t="n">
        <v>44760</v>
      </c>
      <c r="C1220" s="1" t="n">
        <v>45343</v>
      </c>
      <c r="D1220" t="inlineStr">
        <is>
          <t>STOCKHOLMS LÄN</t>
        </is>
      </c>
      <c r="E1220" t="inlineStr">
        <is>
          <t>NORRTÄLJE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30620-2022</t>
        </is>
      </c>
      <c r="B1221" s="1" t="n">
        <v>44763</v>
      </c>
      <c r="C1221" s="1" t="n">
        <v>45343</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30624-2022</t>
        </is>
      </c>
      <c r="B1222" s="1" t="n">
        <v>44763</v>
      </c>
      <c r="C1222" s="1" t="n">
        <v>45343</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30758-2022</t>
        </is>
      </c>
      <c r="B1223" s="1" t="n">
        <v>44764</v>
      </c>
      <c r="C1223" s="1" t="n">
        <v>45343</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30740-2022</t>
        </is>
      </c>
      <c r="B1224" s="1" t="n">
        <v>44764</v>
      </c>
      <c r="C1224" s="1" t="n">
        <v>45343</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30750-2022</t>
        </is>
      </c>
      <c r="B1225" s="1" t="n">
        <v>44764</v>
      </c>
      <c r="C1225" s="1" t="n">
        <v>45343</v>
      </c>
      <c r="D1225" t="inlineStr">
        <is>
          <t>STOCKHOLMS LÄN</t>
        </is>
      </c>
      <c r="E1225" t="inlineStr">
        <is>
          <t>NORRTÄLJE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30802-2022</t>
        </is>
      </c>
      <c r="B1226" s="1" t="n">
        <v>44764</v>
      </c>
      <c r="C1226" s="1" t="n">
        <v>45343</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30886-2022</t>
        </is>
      </c>
      <c r="B1227" s="1" t="n">
        <v>44767</v>
      </c>
      <c r="C1227" s="1" t="n">
        <v>45343</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31102-2022</t>
        </is>
      </c>
      <c r="B1228" s="1" t="n">
        <v>44769</v>
      </c>
      <c r="C1228" s="1" t="n">
        <v>45343</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31092-2022</t>
        </is>
      </c>
      <c r="B1229" s="1" t="n">
        <v>44769</v>
      </c>
      <c r="C1229" s="1" t="n">
        <v>45343</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31052-2022</t>
        </is>
      </c>
      <c r="B1230" s="1" t="n">
        <v>44769</v>
      </c>
      <c r="C1230" s="1" t="n">
        <v>45343</v>
      </c>
      <c r="D1230" t="inlineStr">
        <is>
          <t>STOCKHOLMS LÄN</t>
        </is>
      </c>
      <c r="E1230" t="inlineStr">
        <is>
          <t>NORRTÄLJE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31105-2022</t>
        </is>
      </c>
      <c r="B1231" s="1" t="n">
        <v>44769</v>
      </c>
      <c r="C1231" s="1" t="n">
        <v>45343</v>
      </c>
      <c r="D1231" t="inlineStr">
        <is>
          <t>STOCKHOLMS LÄN</t>
        </is>
      </c>
      <c r="E1231" t="inlineStr">
        <is>
          <t>NORRTÄLJE</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31107-2022</t>
        </is>
      </c>
      <c r="B1232" s="1" t="n">
        <v>44769</v>
      </c>
      <c r="C1232" s="1" t="n">
        <v>45343</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31057-2022</t>
        </is>
      </c>
      <c r="B1233" s="1" t="n">
        <v>44769</v>
      </c>
      <c r="C1233" s="1" t="n">
        <v>45343</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31236-2022</t>
        </is>
      </c>
      <c r="B1234" s="1" t="n">
        <v>44771</v>
      </c>
      <c r="C1234" s="1" t="n">
        <v>45343</v>
      </c>
      <c r="D1234" t="inlineStr">
        <is>
          <t>STOCKHOLMS LÄN</t>
        </is>
      </c>
      <c r="E1234" t="inlineStr">
        <is>
          <t>NORRTÄLJE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31281-2022</t>
        </is>
      </c>
      <c r="B1235" s="1" t="n">
        <v>44771</v>
      </c>
      <c r="C1235" s="1" t="n">
        <v>45343</v>
      </c>
      <c r="D1235" t="inlineStr">
        <is>
          <t>STOCKHOLMS LÄN</t>
        </is>
      </c>
      <c r="E1235" t="inlineStr">
        <is>
          <t>NORRTÄLJE</t>
        </is>
      </c>
      <c r="F1235" t="inlineStr">
        <is>
          <t>Holmen skog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31283-2022</t>
        </is>
      </c>
      <c r="B1236" s="1" t="n">
        <v>44771</v>
      </c>
      <c r="C1236" s="1" t="n">
        <v>45343</v>
      </c>
      <c r="D1236" t="inlineStr">
        <is>
          <t>STOCKHOLMS LÄN</t>
        </is>
      </c>
      <c r="E1236" t="inlineStr">
        <is>
          <t>NORRTÄLJE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31559-2022</t>
        </is>
      </c>
      <c r="B1237" s="1" t="n">
        <v>44775</v>
      </c>
      <c r="C1237" s="1" t="n">
        <v>45343</v>
      </c>
      <c r="D1237" t="inlineStr">
        <is>
          <t>STOCKHOLMS LÄN</t>
        </is>
      </c>
      <c r="E1237" t="inlineStr">
        <is>
          <t>NORRTÄLJE</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31807-2022</t>
        </is>
      </c>
      <c r="B1238" s="1" t="n">
        <v>44776</v>
      </c>
      <c r="C1238" s="1" t="n">
        <v>45343</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31938-2022</t>
        </is>
      </c>
      <c r="B1239" s="1" t="n">
        <v>44777</v>
      </c>
      <c r="C1239" s="1" t="n">
        <v>45343</v>
      </c>
      <c r="D1239" t="inlineStr">
        <is>
          <t>STOCKHOLMS LÄN</t>
        </is>
      </c>
      <c r="E1239" t="inlineStr">
        <is>
          <t>NORRTÄLJE</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31936-2022</t>
        </is>
      </c>
      <c r="B1240" s="1" t="n">
        <v>44777</v>
      </c>
      <c r="C1240" s="1" t="n">
        <v>45343</v>
      </c>
      <c r="D1240" t="inlineStr">
        <is>
          <t>STOCKHOLMS LÄN</t>
        </is>
      </c>
      <c r="E1240" t="inlineStr">
        <is>
          <t>NORRTÄLJE</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31924-2022</t>
        </is>
      </c>
      <c r="B1241" s="1" t="n">
        <v>44777</v>
      </c>
      <c r="C1241" s="1" t="n">
        <v>45343</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31939-2022</t>
        </is>
      </c>
      <c r="B1242" s="1" t="n">
        <v>44777</v>
      </c>
      <c r="C1242" s="1" t="n">
        <v>45343</v>
      </c>
      <c r="D1242" t="inlineStr">
        <is>
          <t>STOCKHOLMS LÄN</t>
        </is>
      </c>
      <c r="E1242" t="inlineStr">
        <is>
          <t>NORRTÄLJE</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31926-2022</t>
        </is>
      </c>
      <c r="B1243" s="1" t="n">
        <v>44777</v>
      </c>
      <c r="C1243" s="1" t="n">
        <v>45343</v>
      </c>
      <c r="D1243" t="inlineStr">
        <is>
          <t>STOCKHOLMS LÄN</t>
        </is>
      </c>
      <c r="E1243" t="inlineStr">
        <is>
          <t>NORRTÄLJE</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31934-2022</t>
        </is>
      </c>
      <c r="B1244" s="1" t="n">
        <v>44777</v>
      </c>
      <c r="C1244" s="1" t="n">
        <v>45343</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32103-2022</t>
        </is>
      </c>
      <c r="B1245" s="1" t="n">
        <v>44778</v>
      </c>
      <c r="C1245" s="1" t="n">
        <v>45343</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32111-2022</t>
        </is>
      </c>
      <c r="B1246" s="1" t="n">
        <v>44779</v>
      </c>
      <c r="C1246" s="1" t="n">
        <v>45343</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32101-2022</t>
        </is>
      </c>
      <c r="B1247" s="1" t="n">
        <v>44778</v>
      </c>
      <c r="C1247" s="1" t="n">
        <v>45343</v>
      </c>
      <c r="D1247" t="inlineStr">
        <is>
          <t>STOCKHOLMS LÄN</t>
        </is>
      </c>
      <c r="E1247" t="inlineStr">
        <is>
          <t>NORRTÄLJE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32100-2022</t>
        </is>
      </c>
      <c r="B1248" s="1" t="n">
        <v>44778</v>
      </c>
      <c r="C1248" s="1" t="n">
        <v>45343</v>
      </c>
      <c r="D1248" t="inlineStr">
        <is>
          <t>STOCKHOLMS LÄN</t>
        </is>
      </c>
      <c r="E1248" t="inlineStr">
        <is>
          <t>NORRTÄLJE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32102-2022</t>
        </is>
      </c>
      <c r="B1249" s="1" t="n">
        <v>44778</v>
      </c>
      <c r="C1249" s="1" t="n">
        <v>45343</v>
      </c>
      <c r="D1249" t="inlineStr">
        <is>
          <t>STOCKHOLMS LÄN</t>
        </is>
      </c>
      <c r="E1249" t="inlineStr">
        <is>
          <t>NORRTÄLJE</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32514-2022</t>
        </is>
      </c>
      <c r="B1250" s="1" t="n">
        <v>44782</v>
      </c>
      <c r="C1250" s="1" t="n">
        <v>45343</v>
      </c>
      <c r="D1250" t="inlineStr">
        <is>
          <t>STOCKHOLMS LÄN</t>
        </is>
      </c>
      <c r="E1250" t="inlineStr">
        <is>
          <t>NORRTÄLJE</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32705-2022</t>
        </is>
      </c>
      <c r="B1251" s="1" t="n">
        <v>44783</v>
      </c>
      <c r="C1251" s="1" t="n">
        <v>45343</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33055-2022</t>
        </is>
      </c>
      <c r="B1252" s="1" t="n">
        <v>44785</v>
      </c>
      <c r="C1252" s="1" t="n">
        <v>45343</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33149-2022</t>
        </is>
      </c>
      <c r="B1253" s="1" t="n">
        <v>44785</v>
      </c>
      <c r="C1253" s="1" t="n">
        <v>45343</v>
      </c>
      <c r="D1253" t="inlineStr">
        <is>
          <t>STOCKHOLMS LÄN</t>
        </is>
      </c>
      <c r="E1253" t="inlineStr">
        <is>
          <t>NORRTÄLJE</t>
        </is>
      </c>
      <c r="F1253" t="inlineStr">
        <is>
          <t>Holmen skog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33445-2022</t>
        </is>
      </c>
      <c r="B1254" s="1" t="n">
        <v>44788</v>
      </c>
      <c r="C1254" s="1" t="n">
        <v>45343</v>
      </c>
      <c r="D1254" t="inlineStr">
        <is>
          <t>STOCKHOLMS LÄN</t>
        </is>
      </c>
      <c r="E1254" t="inlineStr">
        <is>
          <t>NORRTÄLJE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33793-2022</t>
        </is>
      </c>
      <c r="B1255" s="1" t="n">
        <v>44790</v>
      </c>
      <c r="C1255" s="1" t="n">
        <v>45343</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33895-2022</t>
        </is>
      </c>
      <c r="B1256" s="1" t="n">
        <v>44790</v>
      </c>
      <c r="C1256" s="1" t="n">
        <v>45343</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34773-2022</t>
        </is>
      </c>
      <c r="B1257" s="1" t="n">
        <v>44795</v>
      </c>
      <c r="C1257" s="1" t="n">
        <v>45343</v>
      </c>
      <c r="D1257" t="inlineStr">
        <is>
          <t>STOCKHOLMS LÄN</t>
        </is>
      </c>
      <c r="E1257" t="inlineStr">
        <is>
          <t>NORRTÄLJE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35121-2022</t>
        </is>
      </c>
      <c r="B1258" s="1" t="n">
        <v>44797</v>
      </c>
      <c r="C1258" s="1" t="n">
        <v>45343</v>
      </c>
      <c r="D1258" t="inlineStr">
        <is>
          <t>STOCKHOLMS LÄN</t>
        </is>
      </c>
      <c r="E1258" t="inlineStr">
        <is>
          <t>NORRTÄLJE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35161-2022</t>
        </is>
      </c>
      <c r="B1259" s="1" t="n">
        <v>44797</v>
      </c>
      <c r="C1259" s="1" t="n">
        <v>45343</v>
      </c>
      <c r="D1259" t="inlineStr">
        <is>
          <t>STOCKHOLMS LÄN</t>
        </is>
      </c>
      <c r="E1259" t="inlineStr">
        <is>
          <t>NORRTÄLJE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35156-2022</t>
        </is>
      </c>
      <c r="B1260" s="1" t="n">
        <v>44797</v>
      </c>
      <c r="C1260" s="1" t="n">
        <v>45343</v>
      </c>
      <c r="D1260" t="inlineStr">
        <is>
          <t>STOCKHOLMS LÄN</t>
        </is>
      </c>
      <c r="E1260" t="inlineStr">
        <is>
          <t>NORRTÄLJE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35708-2022</t>
        </is>
      </c>
      <c r="B1261" s="1" t="n">
        <v>44799</v>
      </c>
      <c r="C1261" s="1" t="n">
        <v>45343</v>
      </c>
      <c r="D1261" t="inlineStr">
        <is>
          <t>STOCKHOLMS LÄN</t>
        </is>
      </c>
      <c r="E1261" t="inlineStr">
        <is>
          <t>NORRTÄLJE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36269-2022</t>
        </is>
      </c>
      <c r="B1262" s="1" t="n">
        <v>44803</v>
      </c>
      <c r="C1262" s="1" t="n">
        <v>45343</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36308-2022</t>
        </is>
      </c>
      <c r="B1263" s="1" t="n">
        <v>44803</v>
      </c>
      <c r="C1263" s="1" t="n">
        <v>45343</v>
      </c>
      <c r="D1263" t="inlineStr">
        <is>
          <t>STOCKHOLMS LÄN</t>
        </is>
      </c>
      <c r="E1263" t="inlineStr">
        <is>
          <t>NORRTÄLJE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36975-2022</t>
        </is>
      </c>
      <c r="B1264" s="1" t="n">
        <v>44806</v>
      </c>
      <c r="C1264" s="1" t="n">
        <v>45343</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37550-2022</t>
        </is>
      </c>
      <c r="B1265" s="1" t="n">
        <v>44809</v>
      </c>
      <c r="C1265" s="1" t="n">
        <v>45343</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37679-2022</t>
        </is>
      </c>
      <c r="B1266" s="1" t="n">
        <v>44810</v>
      </c>
      <c r="C1266" s="1" t="n">
        <v>45343</v>
      </c>
      <c r="D1266" t="inlineStr">
        <is>
          <t>STOCKHOLMS LÄN</t>
        </is>
      </c>
      <c r="E1266" t="inlineStr">
        <is>
          <t>NORRTÄLJE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37815-2022</t>
        </is>
      </c>
      <c r="B1267" s="1" t="n">
        <v>44810</v>
      </c>
      <c r="C1267" s="1" t="n">
        <v>45343</v>
      </c>
      <c r="D1267" t="inlineStr">
        <is>
          <t>STOCKHOLMS LÄN</t>
        </is>
      </c>
      <c r="E1267" t="inlineStr">
        <is>
          <t>NORRTÄLJE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38449-2022</t>
        </is>
      </c>
      <c r="B1268" s="1" t="n">
        <v>44813</v>
      </c>
      <c r="C1268" s="1" t="n">
        <v>45343</v>
      </c>
      <c r="D1268" t="inlineStr">
        <is>
          <t>STOCKHOLMS LÄN</t>
        </is>
      </c>
      <c r="E1268" t="inlineStr">
        <is>
          <t>NORRTÄLJE</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38612-2022</t>
        </is>
      </c>
      <c r="B1269" s="1" t="n">
        <v>44813</v>
      </c>
      <c r="C1269" s="1" t="n">
        <v>45343</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38590-2022</t>
        </is>
      </c>
      <c r="B1270" s="1" t="n">
        <v>44813</v>
      </c>
      <c r="C1270" s="1" t="n">
        <v>45343</v>
      </c>
      <c r="D1270" t="inlineStr">
        <is>
          <t>STOCKHOLMS LÄN</t>
        </is>
      </c>
      <c r="E1270" t="inlineStr">
        <is>
          <t>NORRTÄLJE</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38610-2022</t>
        </is>
      </c>
      <c r="B1271" s="1" t="n">
        <v>44813</v>
      </c>
      <c r="C1271" s="1" t="n">
        <v>45343</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38720-2022</t>
        </is>
      </c>
      <c r="B1272" s="1" t="n">
        <v>44815</v>
      </c>
      <c r="C1272" s="1" t="n">
        <v>45343</v>
      </c>
      <c r="D1272" t="inlineStr">
        <is>
          <t>STOCKHOLMS LÄN</t>
        </is>
      </c>
      <c r="E1272" t="inlineStr">
        <is>
          <t>NORRTÄLJE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38721-2022</t>
        </is>
      </c>
      <c r="B1273" s="1" t="n">
        <v>44815</v>
      </c>
      <c r="C1273" s="1" t="n">
        <v>45343</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38927-2022</t>
        </is>
      </c>
      <c r="B1274" s="1" t="n">
        <v>44816</v>
      </c>
      <c r="C1274" s="1" t="n">
        <v>45343</v>
      </c>
      <c r="D1274" t="inlineStr">
        <is>
          <t>STOCKHOLMS LÄN</t>
        </is>
      </c>
      <c r="E1274" t="inlineStr">
        <is>
          <t>NORRTÄLJE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38759-2022</t>
        </is>
      </c>
      <c r="B1275" s="1" t="n">
        <v>44816</v>
      </c>
      <c r="C1275" s="1" t="n">
        <v>45343</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38990-2022</t>
        </is>
      </c>
      <c r="B1276" s="1" t="n">
        <v>44816</v>
      </c>
      <c r="C1276" s="1" t="n">
        <v>45343</v>
      </c>
      <c r="D1276" t="inlineStr">
        <is>
          <t>STOCKHOLMS LÄN</t>
        </is>
      </c>
      <c r="E1276" t="inlineStr">
        <is>
          <t>NORRTÄLJE</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38991-2022</t>
        </is>
      </c>
      <c r="B1277" s="1" t="n">
        <v>44816</v>
      </c>
      <c r="C1277" s="1" t="n">
        <v>45343</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38985-2022</t>
        </is>
      </c>
      <c r="B1278" s="1" t="n">
        <v>44816</v>
      </c>
      <c r="C1278" s="1" t="n">
        <v>45343</v>
      </c>
      <c r="D1278" t="inlineStr">
        <is>
          <t>STOCKHOLMS LÄN</t>
        </is>
      </c>
      <c r="E1278" t="inlineStr">
        <is>
          <t>NORRTÄLJE</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38992-2022</t>
        </is>
      </c>
      <c r="B1279" s="1" t="n">
        <v>44817</v>
      </c>
      <c r="C1279" s="1" t="n">
        <v>45343</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39213-2022</t>
        </is>
      </c>
      <c r="B1280" s="1" t="n">
        <v>44817</v>
      </c>
      <c r="C1280" s="1" t="n">
        <v>45343</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39319-2022</t>
        </is>
      </c>
      <c r="B1281" s="1" t="n">
        <v>44817</v>
      </c>
      <c r="C1281" s="1" t="n">
        <v>45343</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39318-2022</t>
        </is>
      </c>
      <c r="B1282" s="1" t="n">
        <v>44817</v>
      </c>
      <c r="C1282" s="1" t="n">
        <v>45343</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39854-2022</t>
        </is>
      </c>
      <c r="B1283" s="1" t="n">
        <v>44819</v>
      </c>
      <c r="C1283" s="1" t="n">
        <v>45343</v>
      </c>
      <c r="D1283" t="inlineStr">
        <is>
          <t>STOCKHOLMS LÄN</t>
        </is>
      </c>
      <c r="E1283" t="inlineStr">
        <is>
          <t>NORRTÄLJE</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39869-2022</t>
        </is>
      </c>
      <c r="B1284" s="1" t="n">
        <v>44819</v>
      </c>
      <c r="C1284" s="1" t="n">
        <v>45343</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39867-2022</t>
        </is>
      </c>
      <c r="B1285" s="1" t="n">
        <v>44819</v>
      </c>
      <c r="C1285" s="1" t="n">
        <v>45343</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40504-2022</t>
        </is>
      </c>
      <c r="B1286" s="1" t="n">
        <v>44823</v>
      </c>
      <c r="C1286" s="1" t="n">
        <v>45343</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40503-2022</t>
        </is>
      </c>
      <c r="B1287" s="1" t="n">
        <v>44823</v>
      </c>
      <c r="C1287" s="1" t="n">
        <v>45343</v>
      </c>
      <c r="D1287" t="inlineStr">
        <is>
          <t>STOCKHOLMS LÄN</t>
        </is>
      </c>
      <c r="E1287" t="inlineStr">
        <is>
          <t>NORRTÄLJE</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40656-2022</t>
        </is>
      </c>
      <c r="B1288" s="1" t="n">
        <v>44824</v>
      </c>
      <c r="C1288" s="1" t="n">
        <v>45343</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40751-2022</t>
        </is>
      </c>
      <c r="B1289" s="1" t="n">
        <v>44824</v>
      </c>
      <c r="C1289" s="1" t="n">
        <v>45343</v>
      </c>
      <c r="D1289" t="inlineStr">
        <is>
          <t>STOCKHOLMS LÄN</t>
        </is>
      </c>
      <c r="E1289" t="inlineStr">
        <is>
          <t>NORRTÄLJE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41398-2022</t>
        </is>
      </c>
      <c r="B1290" s="1" t="n">
        <v>44826</v>
      </c>
      <c r="C1290" s="1" t="n">
        <v>45343</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41320-2022</t>
        </is>
      </c>
      <c r="B1291" s="1" t="n">
        <v>44826</v>
      </c>
      <c r="C1291" s="1" t="n">
        <v>45343</v>
      </c>
      <c r="D1291" t="inlineStr">
        <is>
          <t>STOCKHOLMS LÄN</t>
        </is>
      </c>
      <c r="E1291" t="inlineStr">
        <is>
          <t>NORRTÄLJE</t>
        </is>
      </c>
      <c r="F1291" t="inlineStr">
        <is>
          <t>Holmen skog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42087-2022</t>
        </is>
      </c>
      <c r="B1292" s="1" t="n">
        <v>44830</v>
      </c>
      <c r="C1292" s="1" t="n">
        <v>45343</v>
      </c>
      <c r="D1292" t="inlineStr">
        <is>
          <t>STOCKHOLMS LÄN</t>
        </is>
      </c>
      <c r="E1292" t="inlineStr">
        <is>
          <t>NORRTÄLJE</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42112-2022</t>
        </is>
      </c>
      <c r="B1293" s="1" t="n">
        <v>44830</v>
      </c>
      <c r="C1293" s="1" t="n">
        <v>45343</v>
      </c>
      <c r="D1293" t="inlineStr">
        <is>
          <t>STOCKHOLMS LÄN</t>
        </is>
      </c>
      <c r="E1293" t="inlineStr">
        <is>
          <t>NORRTÄLJE</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42126-2022</t>
        </is>
      </c>
      <c r="B1294" s="1" t="n">
        <v>44830</v>
      </c>
      <c r="C1294" s="1" t="n">
        <v>45343</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42867-2022</t>
        </is>
      </c>
      <c r="B1295" s="1" t="n">
        <v>44832</v>
      </c>
      <c r="C1295" s="1" t="n">
        <v>45343</v>
      </c>
      <c r="D1295" t="inlineStr">
        <is>
          <t>STOCKHOLMS LÄN</t>
        </is>
      </c>
      <c r="E1295" t="inlineStr">
        <is>
          <t>NORRTÄLJE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42955-2022</t>
        </is>
      </c>
      <c r="B1296" s="1" t="n">
        <v>44833</v>
      </c>
      <c r="C1296" s="1" t="n">
        <v>45343</v>
      </c>
      <c r="D1296" t="inlineStr">
        <is>
          <t>STOCKHOLMS LÄN</t>
        </is>
      </c>
      <c r="E1296" t="inlineStr">
        <is>
          <t>NORRTÄLJE</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43036-2022</t>
        </is>
      </c>
      <c r="B1297" s="1" t="n">
        <v>44833</v>
      </c>
      <c r="C1297" s="1" t="n">
        <v>45343</v>
      </c>
      <c r="D1297" t="inlineStr">
        <is>
          <t>STOCKHOLMS LÄN</t>
        </is>
      </c>
      <c r="E1297" t="inlineStr">
        <is>
          <t>NORRTÄLJE</t>
        </is>
      </c>
      <c r="F1297" t="inlineStr">
        <is>
          <t>Kyrkan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43212-2022</t>
        </is>
      </c>
      <c r="B1298" s="1" t="n">
        <v>44834</v>
      </c>
      <c r="C1298" s="1" t="n">
        <v>45343</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43374-2022</t>
        </is>
      </c>
      <c r="B1299" s="1" t="n">
        <v>44834</v>
      </c>
      <c r="C1299" s="1" t="n">
        <v>45343</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43972-2022</t>
        </is>
      </c>
      <c r="B1300" s="1" t="n">
        <v>44838</v>
      </c>
      <c r="C1300" s="1" t="n">
        <v>45343</v>
      </c>
      <c r="D1300" t="inlineStr">
        <is>
          <t>STOCKHOLMS LÄN</t>
        </is>
      </c>
      <c r="E1300" t="inlineStr">
        <is>
          <t>NORRTÄLJE</t>
        </is>
      </c>
      <c r="F1300" t="inlineStr">
        <is>
          <t>Holmen skog AB</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44349-2022</t>
        </is>
      </c>
      <c r="B1301" s="1" t="n">
        <v>44839</v>
      </c>
      <c r="C1301" s="1" t="n">
        <v>45343</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45255-2022</t>
        </is>
      </c>
      <c r="B1302" s="1" t="n">
        <v>44840</v>
      </c>
      <c r="C1302" s="1" t="n">
        <v>45343</v>
      </c>
      <c r="D1302" t="inlineStr">
        <is>
          <t>STOCKHOLMS LÄN</t>
        </is>
      </c>
      <c r="E1302" t="inlineStr">
        <is>
          <t>NORRTÄLJE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44917-2022</t>
        </is>
      </c>
      <c r="B1303" s="1" t="n">
        <v>44841</v>
      </c>
      <c r="C1303" s="1" t="n">
        <v>45343</v>
      </c>
      <c r="D1303" t="inlineStr">
        <is>
          <t>STOCKHOLMS LÄN</t>
        </is>
      </c>
      <c r="E1303" t="inlineStr">
        <is>
          <t>NORRTÄLJE</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45541-2022</t>
        </is>
      </c>
      <c r="B1304" s="1" t="n">
        <v>44845</v>
      </c>
      <c r="C1304" s="1" t="n">
        <v>45343</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45539-2022</t>
        </is>
      </c>
      <c r="B1305" s="1" t="n">
        <v>44845</v>
      </c>
      <c r="C1305" s="1" t="n">
        <v>45343</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45549-2022</t>
        </is>
      </c>
      <c r="B1306" s="1" t="n">
        <v>44845</v>
      </c>
      <c r="C1306" s="1" t="n">
        <v>45343</v>
      </c>
      <c r="D1306" t="inlineStr">
        <is>
          <t>STOCKHOLMS LÄN</t>
        </is>
      </c>
      <c r="E1306" t="inlineStr">
        <is>
          <t>NORRTÄLJE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46914-2022</t>
        </is>
      </c>
      <c r="B1307" s="1" t="n">
        <v>44851</v>
      </c>
      <c r="C1307" s="1" t="n">
        <v>45343</v>
      </c>
      <c r="D1307" t="inlineStr">
        <is>
          <t>STOCKHOLMS LÄN</t>
        </is>
      </c>
      <c r="E1307" t="inlineStr">
        <is>
          <t>NORRTÄLJE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47076-2022</t>
        </is>
      </c>
      <c r="B1308" s="1" t="n">
        <v>44852</v>
      </c>
      <c r="C1308" s="1" t="n">
        <v>45343</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47079-2022</t>
        </is>
      </c>
      <c r="B1309" s="1" t="n">
        <v>44852</v>
      </c>
      <c r="C1309" s="1" t="n">
        <v>45343</v>
      </c>
      <c r="D1309" t="inlineStr">
        <is>
          <t>STOCKHOLMS LÄN</t>
        </is>
      </c>
      <c r="E1309" t="inlineStr">
        <is>
          <t>NORRTÄLJE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47626-2022</t>
        </is>
      </c>
      <c r="B1310" s="1" t="n">
        <v>44854</v>
      </c>
      <c r="C1310" s="1" t="n">
        <v>45343</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48316-2022</t>
        </is>
      </c>
      <c r="B1311" s="1" t="n">
        <v>44854</v>
      </c>
      <c r="C1311" s="1" t="n">
        <v>45343</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47929-2022</t>
        </is>
      </c>
      <c r="B1312" s="1" t="n">
        <v>44855</v>
      </c>
      <c r="C1312" s="1" t="n">
        <v>45343</v>
      </c>
      <c r="D1312" t="inlineStr">
        <is>
          <t>STOCKHOLMS LÄN</t>
        </is>
      </c>
      <c r="E1312" t="inlineStr">
        <is>
          <t>NORRTÄLJE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48490-2022</t>
        </is>
      </c>
      <c r="B1313" s="1" t="n">
        <v>44858</v>
      </c>
      <c r="C1313" s="1" t="n">
        <v>45343</v>
      </c>
      <c r="D1313" t="inlineStr">
        <is>
          <t>STOCKHOLMS LÄN</t>
        </is>
      </c>
      <c r="E1313" t="inlineStr">
        <is>
          <t>NORRTÄLJE</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48161-2022</t>
        </is>
      </c>
      <c r="B1314" s="1" t="n">
        <v>44858</v>
      </c>
      <c r="C1314" s="1" t="n">
        <v>45343</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48453-2022</t>
        </is>
      </c>
      <c r="B1315" s="1" t="n">
        <v>44858</v>
      </c>
      <c r="C1315" s="1" t="n">
        <v>45343</v>
      </c>
      <c r="D1315" t="inlineStr">
        <is>
          <t>STOCKHOLMS LÄN</t>
        </is>
      </c>
      <c r="E1315" t="inlineStr">
        <is>
          <t>NORRTÄLJE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48492-2022</t>
        </is>
      </c>
      <c r="B1316" s="1" t="n">
        <v>44858</v>
      </c>
      <c r="C1316" s="1" t="n">
        <v>45343</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50065-2022</t>
        </is>
      </c>
      <c r="B1317" s="1" t="n">
        <v>44865</v>
      </c>
      <c r="C1317" s="1" t="n">
        <v>45343</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50469-2022</t>
        </is>
      </c>
      <c r="B1318" s="1" t="n">
        <v>44866</v>
      </c>
      <c r="C1318" s="1" t="n">
        <v>45343</v>
      </c>
      <c r="D1318" t="inlineStr">
        <is>
          <t>STOCKHOLMS LÄN</t>
        </is>
      </c>
      <c r="E1318" t="inlineStr">
        <is>
          <t>NORRTÄLJE</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50481-2022</t>
        </is>
      </c>
      <c r="B1319" s="1" t="n">
        <v>44866</v>
      </c>
      <c r="C1319" s="1" t="n">
        <v>45343</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50465-2022</t>
        </is>
      </c>
      <c r="B1320" s="1" t="n">
        <v>44866</v>
      </c>
      <c r="C1320" s="1" t="n">
        <v>45343</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50488-2022</t>
        </is>
      </c>
      <c r="B1321" s="1" t="n">
        <v>44866</v>
      </c>
      <c r="C1321" s="1" t="n">
        <v>45343</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50563-2022</t>
        </is>
      </c>
      <c r="B1322" s="1" t="n">
        <v>44866</v>
      </c>
      <c r="C1322" s="1" t="n">
        <v>45343</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50569-2022</t>
        </is>
      </c>
      <c r="B1323" s="1" t="n">
        <v>44866</v>
      </c>
      <c r="C1323" s="1" t="n">
        <v>45343</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50484-2022</t>
        </is>
      </c>
      <c r="B1324" s="1" t="n">
        <v>44866</v>
      </c>
      <c r="C1324" s="1" t="n">
        <v>45343</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50970-2022</t>
        </is>
      </c>
      <c r="B1325" s="1" t="n">
        <v>44867</v>
      </c>
      <c r="C1325" s="1" t="n">
        <v>45343</v>
      </c>
      <c r="D1325" t="inlineStr">
        <is>
          <t>STOCKHOLMS LÄN</t>
        </is>
      </c>
      <c r="E1325" t="inlineStr">
        <is>
          <t>NORRTÄLJE</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50983-2022</t>
        </is>
      </c>
      <c r="B1326" s="1" t="n">
        <v>44867</v>
      </c>
      <c r="C1326" s="1" t="n">
        <v>45343</v>
      </c>
      <c r="D1326" t="inlineStr">
        <is>
          <t>STOCKHOLMS LÄN</t>
        </is>
      </c>
      <c r="E1326" t="inlineStr">
        <is>
          <t>NORRTÄLJE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50907-2022</t>
        </is>
      </c>
      <c r="B1327" s="1" t="n">
        <v>44867</v>
      </c>
      <c r="C1327" s="1" t="n">
        <v>45343</v>
      </c>
      <c r="D1327" t="inlineStr">
        <is>
          <t>STOCKHOLMS LÄN</t>
        </is>
      </c>
      <c r="E1327" t="inlineStr">
        <is>
          <t>NORRTÄLJE</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51653-2022</t>
        </is>
      </c>
      <c r="B1328" s="1" t="n">
        <v>44867</v>
      </c>
      <c r="C1328" s="1" t="n">
        <v>45343</v>
      </c>
      <c r="D1328" t="inlineStr">
        <is>
          <t>STOCKHOLMS LÄN</t>
        </is>
      </c>
      <c r="E1328" t="inlineStr">
        <is>
          <t>NORRTÄLJE</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51116-2022</t>
        </is>
      </c>
      <c r="B1329" s="1" t="n">
        <v>44868</v>
      </c>
      <c r="C1329" s="1" t="n">
        <v>45343</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51265-2022</t>
        </is>
      </c>
      <c r="B1330" s="1" t="n">
        <v>44868</v>
      </c>
      <c r="C1330" s="1" t="n">
        <v>45343</v>
      </c>
      <c r="D1330" t="inlineStr">
        <is>
          <t>STOCKHOLMS LÄN</t>
        </is>
      </c>
      <c r="E1330" t="inlineStr">
        <is>
          <t>NORRTÄLJE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52139-2022</t>
        </is>
      </c>
      <c r="B1331" s="1" t="n">
        <v>44868</v>
      </c>
      <c r="C1331" s="1" t="n">
        <v>45343</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52133-2022</t>
        </is>
      </c>
      <c r="B1332" s="1" t="n">
        <v>44868</v>
      </c>
      <c r="C1332" s="1" t="n">
        <v>45343</v>
      </c>
      <c r="D1332" t="inlineStr">
        <is>
          <t>STOCKHOLMS LÄN</t>
        </is>
      </c>
      <c r="E1332" t="inlineStr">
        <is>
          <t>NORRTÄLJE</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52260-2022</t>
        </is>
      </c>
      <c r="B1333" s="1" t="n">
        <v>44869</v>
      </c>
      <c r="C1333" s="1" t="n">
        <v>45343</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51984-2022</t>
        </is>
      </c>
      <c r="B1334" s="1" t="n">
        <v>44872</v>
      </c>
      <c r="C1334" s="1" t="n">
        <v>45343</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52322-2022</t>
        </is>
      </c>
      <c r="B1335" s="1" t="n">
        <v>44873</v>
      </c>
      <c r="C1335" s="1" t="n">
        <v>45343</v>
      </c>
      <c r="D1335" t="inlineStr">
        <is>
          <t>STOCKHOLMS LÄN</t>
        </is>
      </c>
      <c r="E1335" t="inlineStr">
        <is>
          <t>NORRTÄLJE</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53461-2022</t>
        </is>
      </c>
      <c r="B1336" s="1" t="n">
        <v>44879</v>
      </c>
      <c r="C1336" s="1" t="n">
        <v>45343</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53600-2022</t>
        </is>
      </c>
      <c r="B1337" s="1" t="n">
        <v>44879</v>
      </c>
      <c r="C1337" s="1" t="n">
        <v>45343</v>
      </c>
      <c r="D1337" t="inlineStr">
        <is>
          <t>STOCKHOLMS LÄN</t>
        </is>
      </c>
      <c r="E1337" t="inlineStr">
        <is>
          <t>NORRTÄLJE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53459-2022</t>
        </is>
      </c>
      <c r="B1338" s="1" t="n">
        <v>44879</v>
      </c>
      <c r="C1338" s="1" t="n">
        <v>45343</v>
      </c>
      <c r="D1338" t="inlineStr">
        <is>
          <t>STOCKHOLMS LÄN</t>
        </is>
      </c>
      <c r="E1338" t="inlineStr">
        <is>
          <t>NORRTÄLJE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53884-2022</t>
        </is>
      </c>
      <c r="B1339" s="1" t="n">
        <v>44880</v>
      </c>
      <c r="C1339" s="1" t="n">
        <v>45343</v>
      </c>
      <c r="D1339" t="inlineStr">
        <is>
          <t>STOCKHOLMS LÄN</t>
        </is>
      </c>
      <c r="E1339" t="inlineStr">
        <is>
          <t>NORRTÄLJE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54169-2022</t>
        </is>
      </c>
      <c r="B1340" s="1" t="n">
        <v>44881</v>
      </c>
      <c r="C1340" s="1" t="n">
        <v>45343</v>
      </c>
      <c r="D1340" t="inlineStr">
        <is>
          <t>STOCKHOLMS LÄN</t>
        </is>
      </c>
      <c r="E1340" t="inlineStr">
        <is>
          <t>NORRTÄLJE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54175-2022</t>
        </is>
      </c>
      <c r="B1341" s="1" t="n">
        <v>44881</v>
      </c>
      <c r="C1341" s="1" t="n">
        <v>45343</v>
      </c>
      <c r="D1341" t="inlineStr">
        <is>
          <t>STOCKHOLMS LÄN</t>
        </is>
      </c>
      <c r="E1341" t="inlineStr">
        <is>
          <t>NORRTÄLJE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54355-2022</t>
        </is>
      </c>
      <c r="B1342" s="1" t="n">
        <v>44882</v>
      </c>
      <c r="C1342" s="1" t="n">
        <v>45343</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54427-2022</t>
        </is>
      </c>
      <c r="B1343" s="1" t="n">
        <v>44882</v>
      </c>
      <c r="C1343" s="1" t="n">
        <v>45343</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54340-2022</t>
        </is>
      </c>
      <c r="B1344" s="1" t="n">
        <v>44882</v>
      </c>
      <c r="C1344" s="1" t="n">
        <v>45343</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54358-2022</t>
        </is>
      </c>
      <c r="B1345" s="1" t="n">
        <v>44882</v>
      </c>
      <c r="C1345" s="1" t="n">
        <v>45343</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54354-2022</t>
        </is>
      </c>
      <c r="B1346" s="1" t="n">
        <v>44882</v>
      </c>
      <c r="C1346" s="1" t="n">
        <v>45343</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55047-2022</t>
        </is>
      </c>
      <c r="B1347" s="1" t="n">
        <v>44886</v>
      </c>
      <c r="C1347" s="1" t="n">
        <v>45343</v>
      </c>
      <c r="D1347" t="inlineStr">
        <is>
          <t>STOCKHOLMS LÄN</t>
        </is>
      </c>
      <c r="E1347" t="inlineStr">
        <is>
          <t>NORRTÄLJE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55696-2022</t>
        </is>
      </c>
      <c r="B1348" s="1" t="n">
        <v>44888</v>
      </c>
      <c r="C1348" s="1" t="n">
        <v>45343</v>
      </c>
      <c r="D1348" t="inlineStr">
        <is>
          <t>STOCKHOLMS LÄN</t>
        </is>
      </c>
      <c r="E1348" t="inlineStr">
        <is>
          <t>NORRTÄLJE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57037-2022</t>
        </is>
      </c>
      <c r="B1349" s="1" t="n">
        <v>44895</v>
      </c>
      <c r="C1349" s="1" t="n">
        <v>45343</v>
      </c>
      <c r="D1349" t="inlineStr">
        <is>
          <t>STOCKHOLMS LÄN</t>
        </is>
      </c>
      <c r="E1349" t="inlineStr">
        <is>
          <t>NORRTÄLJE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59767-2022</t>
        </is>
      </c>
      <c r="B1350" s="1" t="n">
        <v>44900</v>
      </c>
      <c r="C1350" s="1" t="n">
        <v>45343</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58302-2022</t>
        </is>
      </c>
      <c r="B1351" s="1" t="n">
        <v>44901</v>
      </c>
      <c r="C1351" s="1" t="n">
        <v>45343</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58492-2022</t>
        </is>
      </c>
      <c r="B1352" s="1" t="n">
        <v>44902</v>
      </c>
      <c r="C1352" s="1" t="n">
        <v>45343</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58543-2022</t>
        </is>
      </c>
      <c r="B1353" s="1" t="n">
        <v>44902</v>
      </c>
      <c r="C1353" s="1" t="n">
        <v>45343</v>
      </c>
      <c r="D1353" t="inlineStr">
        <is>
          <t>STOCKHOLMS LÄN</t>
        </is>
      </c>
      <c r="E1353" t="inlineStr">
        <is>
          <t>NORRTÄLJE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58993-2022</t>
        </is>
      </c>
      <c r="B1354" s="1" t="n">
        <v>44903</v>
      </c>
      <c r="C1354" s="1" t="n">
        <v>45343</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60525-2022</t>
        </is>
      </c>
      <c r="B1355" s="1" t="n">
        <v>44904</v>
      </c>
      <c r="C1355" s="1" t="n">
        <v>45343</v>
      </c>
      <c r="D1355" t="inlineStr">
        <is>
          <t>STOCKHOLMS LÄN</t>
        </is>
      </c>
      <c r="E1355" t="inlineStr">
        <is>
          <t>NORRTÄLJE</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59717-2022</t>
        </is>
      </c>
      <c r="B1356" s="1" t="n">
        <v>44908</v>
      </c>
      <c r="C1356" s="1" t="n">
        <v>45343</v>
      </c>
      <c r="D1356" t="inlineStr">
        <is>
          <t>STOCKHOLMS LÄN</t>
        </is>
      </c>
      <c r="E1356" t="inlineStr">
        <is>
          <t>NORRTÄLJE</t>
        </is>
      </c>
      <c r="F1356" t="inlineStr">
        <is>
          <t>Holmen skog AB</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59893-2022</t>
        </is>
      </c>
      <c r="B1357" s="1" t="n">
        <v>44908</v>
      </c>
      <c r="C1357" s="1" t="n">
        <v>45343</v>
      </c>
      <c r="D1357" t="inlineStr">
        <is>
          <t>STOCKHOLMS LÄN</t>
        </is>
      </c>
      <c r="E1357" t="inlineStr">
        <is>
          <t>NORRTÄLJE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59892-2022</t>
        </is>
      </c>
      <c r="B1358" s="1" t="n">
        <v>44908</v>
      </c>
      <c r="C1358" s="1" t="n">
        <v>45343</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60840-2022</t>
        </is>
      </c>
      <c r="B1359" s="1" t="n">
        <v>44914</v>
      </c>
      <c r="C1359" s="1" t="n">
        <v>45343</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61016-2022</t>
        </is>
      </c>
      <c r="B1360" s="1" t="n">
        <v>44914</v>
      </c>
      <c r="C1360" s="1" t="n">
        <v>45343</v>
      </c>
      <c r="D1360" t="inlineStr">
        <is>
          <t>STOCKHOLMS LÄN</t>
        </is>
      </c>
      <c r="E1360" t="inlineStr">
        <is>
          <t>NORRTÄLJE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62206-2022</t>
        </is>
      </c>
      <c r="B1361" s="1" t="n">
        <v>44922</v>
      </c>
      <c r="C1361" s="1" t="n">
        <v>45343</v>
      </c>
      <c r="D1361" t="inlineStr">
        <is>
          <t>STOCKHOLMS LÄN</t>
        </is>
      </c>
      <c r="E1361" t="inlineStr">
        <is>
          <t>NORRTÄLJE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62398-2022</t>
        </is>
      </c>
      <c r="B1362" s="1" t="n">
        <v>44923</v>
      </c>
      <c r="C1362" s="1" t="n">
        <v>45343</v>
      </c>
      <c r="D1362" t="inlineStr">
        <is>
          <t>STOCKHOLMS LÄN</t>
        </is>
      </c>
      <c r="E1362" t="inlineStr">
        <is>
          <t>NORRTÄLJE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62593-2022</t>
        </is>
      </c>
      <c r="B1363" s="1" t="n">
        <v>44925</v>
      </c>
      <c r="C1363" s="1" t="n">
        <v>45343</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576-2023</t>
        </is>
      </c>
      <c r="B1364" s="1" t="n">
        <v>44925</v>
      </c>
      <c r="C1364" s="1" t="n">
        <v>45343</v>
      </c>
      <c r="D1364" t="inlineStr">
        <is>
          <t>STOCKHOLMS LÄN</t>
        </is>
      </c>
      <c r="E1364" t="inlineStr">
        <is>
          <t>NORRTÄLJE</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574-2023</t>
        </is>
      </c>
      <c r="B1365" s="1" t="n">
        <v>44925</v>
      </c>
      <c r="C1365" s="1" t="n">
        <v>45343</v>
      </c>
      <c r="D1365" t="inlineStr">
        <is>
          <t>STOCKHOLMS LÄN</t>
        </is>
      </c>
      <c r="E1365" t="inlineStr">
        <is>
          <t>NORRTÄLJE</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755-2023</t>
        </is>
      </c>
      <c r="B1366" s="1" t="n">
        <v>44931</v>
      </c>
      <c r="C1366" s="1" t="n">
        <v>45343</v>
      </c>
      <c r="D1366" t="inlineStr">
        <is>
          <t>STOCKHOLMS LÄN</t>
        </is>
      </c>
      <c r="E1366" t="inlineStr">
        <is>
          <t>NORRTÄLJE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875-2023</t>
        </is>
      </c>
      <c r="B1367" s="1" t="n">
        <v>44931</v>
      </c>
      <c r="C1367" s="1" t="n">
        <v>45343</v>
      </c>
      <c r="D1367" t="inlineStr">
        <is>
          <t>STOCKHOLMS LÄN</t>
        </is>
      </c>
      <c r="E1367" t="inlineStr">
        <is>
          <t>NORRTÄLJE</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951-2023</t>
        </is>
      </c>
      <c r="B1368" s="1" t="n">
        <v>44934</v>
      </c>
      <c r="C1368" s="1" t="n">
        <v>45343</v>
      </c>
      <c r="D1368" t="inlineStr">
        <is>
          <t>STOCKHOLMS LÄN</t>
        </is>
      </c>
      <c r="E1368" t="inlineStr">
        <is>
          <t>NORRTÄLJE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1183-2023</t>
        </is>
      </c>
      <c r="B1369" s="1" t="n">
        <v>44935</v>
      </c>
      <c r="C1369" s="1" t="n">
        <v>45343</v>
      </c>
      <c r="D1369" t="inlineStr">
        <is>
          <t>STOCKHOLMS LÄN</t>
        </is>
      </c>
      <c r="E1369" t="inlineStr">
        <is>
          <t>NORRTÄLJE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1335-2023</t>
        </is>
      </c>
      <c r="B1370" s="1" t="n">
        <v>44936</v>
      </c>
      <c r="C1370" s="1" t="n">
        <v>45343</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1373-2023</t>
        </is>
      </c>
      <c r="B1371" s="1" t="n">
        <v>44936</v>
      </c>
      <c r="C1371" s="1" t="n">
        <v>45343</v>
      </c>
      <c r="D1371" t="inlineStr">
        <is>
          <t>STOCKHOLMS LÄN</t>
        </is>
      </c>
      <c r="E1371" t="inlineStr">
        <is>
          <t>NORRTÄLJE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1448-2023</t>
        </is>
      </c>
      <c r="B1372" s="1" t="n">
        <v>44937</v>
      </c>
      <c r="C1372" s="1" t="n">
        <v>45343</v>
      </c>
      <c r="D1372" t="inlineStr">
        <is>
          <t>STOCKHOLMS LÄN</t>
        </is>
      </c>
      <c r="E1372" t="inlineStr">
        <is>
          <t>NORRTÄLJE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1740-2023</t>
        </is>
      </c>
      <c r="B1373" s="1" t="n">
        <v>44938</v>
      </c>
      <c r="C1373" s="1" t="n">
        <v>45343</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1847-2023</t>
        </is>
      </c>
      <c r="B1374" s="1" t="n">
        <v>44938</v>
      </c>
      <c r="C1374" s="1" t="n">
        <v>45343</v>
      </c>
      <c r="D1374" t="inlineStr">
        <is>
          <t>STOCKHOLMS LÄN</t>
        </is>
      </c>
      <c r="E1374" t="inlineStr">
        <is>
          <t>NORRTÄLJE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2103-2023</t>
        </is>
      </c>
      <c r="B1375" s="1" t="n">
        <v>44939</v>
      </c>
      <c r="C1375" s="1" t="n">
        <v>45343</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2976-2023</t>
        </is>
      </c>
      <c r="B1376" s="1" t="n">
        <v>44945</v>
      </c>
      <c r="C1376" s="1" t="n">
        <v>45343</v>
      </c>
      <c r="D1376" t="inlineStr">
        <is>
          <t>STOCKHOLMS LÄN</t>
        </is>
      </c>
      <c r="E1376" t="inlineStr">
        <is>
          <t>NORRTÄLJE</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2890-2023</t>
        </is>
      </c>
      <c r="B1377" s="1" t="n">
        <v>44945</v>
      </c>
      <c r="C1377" s="1" t="n">
        <v>45343</v>
      </c>
      <c r="D1377" t="inlineStr">
        <is>
          <t>STOCKHOLMS LÄN</t>
        </is>
      </c>
      <c r="E1377" t="inlineStr">
        <is>
          <t>NORRTÄLJE</t>
        </is>
      </c>
      <c r="F1377" t="inlineStr">
        <is>
          <t>Holmen skog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2982-2023</t>
        </is>
      </c>
      <c r="B1378" s="1" t="n">
        <v>44945</v>
      </c>
      <c r="C1378" s="1" t="n">
        <v>45343</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3383-2023</t>
        </is>
      </c>
      <c r="B1379" s="1" t="n">
        <v>44949</v>
      </c>
      <c r="C1379" s="1" t="n">
        <v>45343</v>
      </c>
      <c r="D1379" t="inlineStr">
        <is>
          <t>STOCKHOLMS LÄN</t>
        </is>
      </c>
      <c r="E1379" t="inlineStr">
        <is>
          <t>NORRTÄLJE</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3444-2023</t>
        </is>
      </c>
      <c r="B1380" s="1" t="n">
        <v>44949</v>
      </c>
      <c r="C1380" s="1" t="n">
        <v>45343</v>
      </c>
      <c r="D1380" t="inlineStr">
        <is>
          <t>STOCKHOLMS LÄN</t>
        </is>
      </c>
      <c r="E1380" t="inlineStr">
        <is>
          <t>NORRTÄLJE</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4035-2023</t>
        </is>
      </c>
      <c r="B1381" s="1" t="n">
        <v>44952</v>
      </c>
      <c r="C1381" s="1" t="n">
        <v>45343</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4058-2023</t>
        </is>
      </c>
      <c r="B1382" s="1" t="n">
        <v>44952</v>
      </c>
      <c r="C1382" s="1" t="n">
        <v>45343</v>
      </c>
      <c r="D1382" t="inlineStr">
        <is>
          <t>STOCKHOLMS LÄN</t>
        </is>
      </c>
      <c r="E1382" t="inlineStr">
        <is>
          <t>NORRTÄLJE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4194-2023</t>
        </is>
      </c>
      <c r="B1383" s="1" t="n">
        <v>44953</v>
      </c>
      <c r="C1383" s="1" t="n">
        <v>45343</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4168-2023</t>
        </is>
      </c>
      <c r="B1384" s="1" t="n">
        <v>44953</v>
      </c>
      <c r="C1384" s="1" t="n">
        <v>45343</v>
      </c>
      <c r="D1384" t="inlineStr">
        <is>
          <t>STOCKHOLMS LÄN</t>
        </is>
      </c>
      <c r="E1384" t="inlineStr">
        <is>
          <t>NORRTÄLJE</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4316-2023</t>
        </is>
      </c>
      <c r="B1385" s="1" t="n">
        <v>44953</v>
      </c>
      <c r="C1385" s="1" t="n">
        <v>45343</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4326-2023</t>
        </is>
      </c>
      <c r="B1386" s="1" t="n">
        <v>44953</v>
      </c>
      <c r="C1386" s="1" t="n">
        <v>45343</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4322-2023</t>
        </is>
      </c>
      <c r="B1387" s="1" t="n">
        <v>44953</v>
      </c>
      <c r="C1387" s="1" t="n">
        <v>45343</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4364-2023</t>
        </is>
      </c>
      <c r="B1388" s="1" t="n">
        <v>44954</v>
      </c>
      <c r="C1388" s="1" t="n">
        <v>45343</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4385-2023</t>
        </is>
      </c>
      <c r="B1389" s="1" t="n">
        <v>44955</v>
      </c>
      <c r="C1389" s="1" t="n">
        <v>45343</v>
      </c>
      <c r="D1389" t="inlineStr">
        <is>
          <t>STOCKHOLMS LÄN</t>
        </is>
      </c>
      <c r="E1389" t="inlineStr">
        <is>
          <t>NORRTÄLJE</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4395-2023</t>
        </is>
      </c>
      <c r="B1390" s="1" t="n">
        <v>44956</v>
      </c>
      <c r="C1390" s="1" t="n">
        <v>45343</v>
      </c>
      <c r="D1390" t="inlineStr">
        <is>
          <t>STOCKHOLMS LÄN</t>
        </is>
      </c>
      <c r="E1390" t="inlineStr">
        <is>
          <t>NORRTÄLJE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4438-2023</t>
        </is>
      </c>
      <c r="B1391" s="1" t="n">
        <v>44956</v>
      </c>
      <c r="C1391" s="1" t="n">
        <v>45343</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4593-2023</t>
        </is>
      </c>
      <c r="B1392" s="1" t="n">
        <v>44956</v>
      </c>
      <c r="C1392" s="1" t="n">
        <v>45343</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4596-2023</t>
        </is>
      </c>
      <c r="B1393" s="1" t="n">
        <v>44956</v>
      </c>
      <c r="C1393" s="1" t="n">
        <v>45343</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4553-2023</t>
        </is>
      </c>
      <c r="B1394" s="1" t="n">
        <v>44956</v>
      </c>
      <c r="C1394" s="1" t="n">
        <v>45343</v>
      </c>
      <c r="D1394" t="inlineStr">
        <is>
          <t>STOCKHOLMS LÄN</t>
        </is>
      </c>
      <c r="E1394" t="inlineStr">
        <is>
          <t>NORRTÄLJE</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5137-2023</t>
        </is>
      </c>
      <c r="B1395" s="1" t="n">
        <v>44958</v>
      </c>
      <c r="C1395" s="1" t="n">
        <v>45343</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5207-2023</t>
        </is>
      </c>
      <c r="B1396" s="1" t="n">
        <v>44959</v>
      </c>
      <c r="C1396" s="1" t="n">
        <v>45343</v>
      </c>
      <c r="D1396" t="inlineStr">
        <is>
          <t>STOCKHOLMS LÄN</t>
        </is>
      </c>
      <c r="E1396" t="inlineStr">
        <is>
          <t>NORRTÄLJE</t>
        </is>
      </c>
      <c r="F1396" t="inlineStr">
        <is>
          <t>Holmen skog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5422-2023</t>
        </is>
      </c>
      <c r="B1397" s="1" t="n">
        <v>44959</v>
      </c>
      <c r="C1397" s="1" t="n">
        <v>45343</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5244-2023</t>
        </is>
      </c>
      <c r="B1398" s="1" t="n">
        <v>44959</v>
      </c>
      <c r="C1398" s="1" t="n">
        <v>45343</v>
      </c>
      <c r="D1398" t="inlineStr">
        <is>
          <t>STOCKHOLMS LÄN</t>
        </is>
      </c>
      <c r="E1398" t="inlineStr">
        <is>
          <t>NORRTÄLJE</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5423-2023</t>
        </is>
      </c>
      <c r="B1399" s="1" t="n">
        <v>44959</v>
      </c>
      <c r="C1399" s="1" t="n">
        <v>45343</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6312-2023</t>
        </is>
      </c>
      <c r="B1400" s="1" t="n">
        <v>44959</v>
      </c>
      <c r="C1400" s="1" t="n">
        <v>45343</v>
      </c>
      <c r="D1400" t="inlineStr">
        <is>
          <t>STOCKHOLMS LÄN</t>
        </is>
      </c>
      <c r="E1400" t="inlineStr">
        <is>
          <t>NORRTÄLJE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5645-2023</t>
        </is>
      </c>
      <c r="B1401" s="1" t="n">
        <v>44960</v>
      </c>
      <c r="C1401" s="1" t="n">
        <v>45343</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5501-2023</t>
        </is>
      </c>
      <c r="B1402" s="1" t="n">
        <v>44960</v>
      </c>
      <c r="C1402" s="1" t="n">
        <v>45343</v>
      </c>
      <c r="D1402" t="inlineStr">
        <is>
          <t>STOCKHOLMS LÄN</t>
        </is>
      </c>
      <c r="E1402" t="inlineStr">
        <is>
          <t>NORRTÄLJE</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6496-2023</t>
        </is>
      </c>
      <c r="B1403" s="1" t="n">
        <v>44960</v>
      </c>
      <c r="C1403" s="1" t="n">
        <v>45343</v>
      </c>
      <c r="D1403" t="inlineStr">
        <is>
          <t>STOCKHOLMS LÄN</t>
        </is>
      </c>
      <c r="E1403" t="inlineStr">
        <is>
          <t>NORRTÄLJE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5732-2023</t>
        </is>
      </c>
      <c r="B1404" s="1" t="n">
        <v>44962</v>
      </c>
      <c r="C1404" s="1" t="n">
        <v>45343</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5823-2023</t>
        </is>
      </c>
      <c r="B1405" s="1" t="n">
        <v>44963</v>
      </c>
      <c r="C1405" s="1" t="n">
        <v>45343</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5839-2023</t>
        </is>
      </c>
      <c r="B1406" s="1" t="n">
        <v>44963</v>
      </c>
      <c r="C1406" s="1" t="n">
        <v>45343</v>
      </c>
      <c r="D1406" t="inlineStr">
        <is>
          <t>STOCKHOLMS LÄN</t>
        </is>
      </c>
      <c r="E1406" t="inlineStr">
        <is>
          <t>NORRTÄLJE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6433-2023</t>
        </is>
      </c>
      <c r="B1407" s="1" t="n">
        <v>44965</v>
      </c>
      <c r="C1407" s="1" t="n">
        <v>45343</v>
      </c>
      <c r="D1407" t="inlineStr">
        <is>
          <t>STOCKHOLMS LÄN</t>
        </is>
      </c>
      <c r="E1407" t="inlineStr">
        <is>
          <t>NORRTÄLJE</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7230-2023</t>
        </is>
      </c>
      <c r="B1408" s="1" t="n">
        <v>44965</v>
      </c>
      <c r="C1408" s="1" t="n">
        <v>45343</v>
      </c>
      <c r="D1408" t="inlineStr">
        <is>
          <t>STOCKHOLMS LÄN</t>
        </is>
      </c>
      <c r="E1408" t="inlineStr">
        <is>
          <t>NORRTÄLJE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6437-2023</t>
        </is>
      </c>
      <c r="B1409" s="1" t="n">
        <v>44965</v>
      </c>
      <c r="C1409" s="1" t="n">
        <v>45343</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7093-2023</t>
        </is>
      </c>
      <c r="B1410" s="1" t="n">
        <v>44970</v>
      </c>
      <c r="C1410" s="1" t="n">
        <v>45343</v>
      </c>
      <c r="D1410" t="inlineStr">
        <is>
          <t>STOCKHOLMS LÄN</t>
        </is>
      </c>
      <c r="E1410" t="inlineStr">
        <is>
          <t>NORRTÄLJE</t>
        </is>
      </c>
      <c r="F1410" t="inlineStr">
        <is>
          <t>Sveaskog</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7190-2023</t>
        </is>
      </c>
      <c r="B1411" s="1" t="n">
        <v>44970</v>
      </c>
      <c r="C1411" s="1" t="n">
        <v>45343</v>
      </c>
      <c r="D1411" t="inlineStr">
        <is>
          <t>STOCKHOLMS LÄN</t>
        </is>
      </c>
      <c r="E1411" t="inlineStr">
        <is>
          <t>NORRTÄLJE</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7120-2023</t>
        </is>
      </c>
      <c r="B1412" s="1" t="n">
        <v>44970</v>
      </c>
      <c r="C1412" s="1" t="n">
        <v>45343</v>
      </c>
      <c r="D1412" t="inlineStr">
        <is>
          <t>STOCKHOLMS LÄN</t>
        </is>
      </c>
      <c r="E1412" t="inlineStr">
        <is>
          <t>NORRTÄLJE</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7638-2023</t>
        </is>
      </c>
      <c r="B1413" s="1" t="n">
        <v>44972</v>
      </c>
      <c r="C1413" s="1" t="n">
        <v>45343</v>
      </c>
      <c r="D1413" t="inlineStr">
        <is>
          <t>STOCKHOLMS LÄN</t>
        </is>
      </c>
      <c r="E1413" t="inlineStr">
        <is>
          <t>NORRTÄLJE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7966-2023</t>
        </is>
      </c>
      <c r="B1414" s="1" t="n">
        <v>44973</v>
      </c>
      <c r="C1414" s="1" t="n">
        <v>45343</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7974-2023</t>
        </is>
      </c>
      <c r="B1415" s="1" t="n">
        <v>44973</v>
      </c>
      <c r="C1415" s="1" t="n">
        <v>45343</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8296-2023</t>
        </is>
      </c>
      <c r="B1416" s="1" t="n">
        <v>44974</v>
      </c>
      <c r="C1416" s="1" t="n">
        <v>45343</v>
      </c>
      <c r="D1416" t="inlineStr">
        <is>
          <t>STOCKHOLMS LÄN</t>
        </is>
      </c>
      <c r="E1416" t="inlineStr">
        <is>
          <t>NORRTÄLJE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8586-2023</t>
        </is>
      </c>
      <c r="B1417" s="1" t="n">
        <v>44977</v>
      </c>
      <c r="C1417" s="1" t="n">
        <v>45343</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9401-2023</t>
        </is>
      </c>
      <c r="B1418" s="1" t="n">
        <v>44977</v>
      </c>
      <c r="C1418" s="1" t="n">
        <v>45343</v>
      </c>
      <c r="D1418" t="inlineStr">
        <is>
          <t>STOCKHOLMS LÄN</t>
        </is>
      </c>
      <c r="E1418" t="inlineStr">
        <is>
          <t>NORRTÄLJE</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8730-2023</t>
        </is>
      </c>
      <c r="B1419" s="1" t="n">
        <v>44978</v>
      </c>
      <c r="C1419" s="1" t="n">
        <v>45343</v>
      </c>
      <c r="D1419" t="inlineStr">
        <is>
          <t>STOCKHOLMS LÄN</t>
        </is>
      </c>
      <c r="E1419" t="inlineStr">
        <is>
          <t>NORRTÄLJE</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8762-2023</t>
        </is>
      </c>
      <c r="B1420" s="1" t="n">
        <v>44978</v>
      </c>
      <c r="C1420" s="1" t="n">
        <v>45343</v>
      </c>
      <c r="D1420" t="inlineStr">
        <is>
          <t>STOCKHOLMS LÄN</t>
        </is>
      </c>
      <c r="E1420" t="inlineStr">
        <is>
          <t>NORRTÄLJE</t>
        </is>
      </c>
      <c r="F1420" t="inlineStr">
        <is>
          <t>Holmen skog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8899-2023</t>
        </is>
      </c>
      <c r="B1421" s="1" t="n">
        <v>44979</v>
      </c>
      <c r="C1421" s="1" t="n">
        <v>45343</v>
      </c>
      <c r="D1421" t="inlineStr">
        <is>
          <t>STOCKHOLMS LÄN</t>
        </is>
      </c>
      <c r="E1421" t="inlineStr">
        <is>
          <t>NORRTÄLJE</t>
        </is>
      </c>
      <c r="F1421" t="inlineStr">
        <is>
          <t>Naturvårdsverket</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9189-2023</t>
        </is>
      </c>
      <c r="B1422" s="1" t="n">
        <v>44980</v>
      </c>
      <c r="C1422" s="1" t="n">
        <v>45343</v>
      </c>
      <c r="D1422" t="inlineStr">
        <is>
          <t>STOCKHOLMS LÄN</t>
        </is>
      </c>
      <c r="E1422" t="inlineStr">
        <is>
          <t>NORRTÄLJE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9184-2023</t>
        </is>
      </c>
      <c r="B1423" s="1" t="n">
        <v>44980</v>
      </c>
      <c r="C1423" s="1" t="n">
        <v>45343</v>
      </c>
      <c r="D1423" t="inlineStr">
        <is>
          <t>STOCKHOLMS LÄN</t>
        </is>
      </c>
      <c r="E1423" t="inlineStr">
        <is>
          <t>NORRTÄLJE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9255-2023</t>
        </is>
      </c>
      <c r="B1424" s="1" t="n">
        <v>44980</v>
      </c>
      <c r="C1424" s="1" t="n">
        <v>45343</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9329-2023</t>
        </is>
      </c>
      <c r="B1425" s="1" t="n">
        <v>44980</v>
      </c>
      <c r="C1425" s="1" t="n">
        <v>45343</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9793-2023</t>
        </is>
      </c>
      <c r="B1426" s="1" t="n">
        <v>44984</v>
      </c>
      <c r="C1426" s="1" t="n">
        <v>45343</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9914-2023</t>
        </is>
      </c>
      <c r="B1427" s="1" t="n">
        <v>44985</v>
      </c>
      <c r="C1427" s="1" t="n">
        <v>45343</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9965-2023</t>
        </is>
      </c>
      <c r="B1428" s="1" t="n">
        <v>44985</v>
      </c>
      <c r="C1428" s="1" t="n">
        <v>45343</v>
      </c>
      <c r="D1428" t="inlineStr">
        <is>
          <t>STOCKHOLMS LÄN</t>
        </is>
      </c>
      <c r="E1428" t="inlineStr">
        <is>
          <t>NORRTÄLJE</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9995-2023</t>
        </is>
      </c>
      <c r="B1429" s="1" t="n">
        <v>44985</v>
      </c>
      <c r="C1429" s="1" t="n">
        <v>45343</v>
      </c>
      <c r="D1429" t="inlineStr">
        <is>
          <t>STOCKHOLMS LÄN</t>
        </is>
      </c>
      <c r="E1429" t="inlineStr">
        <is>
          <t>NORRTÄLJE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10036-2023</t>
        </is>
      </c>
      <c r="B1430" s="1" t="n">
        <v>44985</v>
      </c>
      <c r="C1430" s="1" t="n">
        <v>45343</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10039-2023</t>
        </is>
      </c>
      <c r="B1431" s="1" t="n">
        <v>44985</v>
      </c>
      <c r="C1431" s="1" t="n">
        <v>45343</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9945-2023</t>
        </is>
      </c>
      <c r="B1432" s="1" t="n">
        <v>44985</v>
      </c>
      <c r="C1432" s="1" t="n">
        <v>45343</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10105-2023</t>
        </is>
      </c>
      <c r="B1433" s="1" t="n">
        <v>44986</v>
      </c>
      <c r="C1433" s="1" t="n">
        <v>45343</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10215-2023</t>
        </is>
      </c>
      <c r="B1434" s="1" t="n">
        <v>44986</v>
      </c>
      <c r="C1434" s="1" t="n">
        <v>45343</v>
      </c>
      <c r="D1434" t="inlineStr">
        <is>
          <t>STOCKHOLMS LÄN</t>
        </is>
      </c>
      <c r="E1434" t="inlineStr">
        <is>
          <t>NORRTÄLJE</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11280-2023</t>
        </is>
      </c>
      <c r="B1435" s="1" t="n">
        <v>44992</v>
      </c>
      <c r="C1435" s="1" t="n">
        <v>45343</v>
      </c>
      <c r="D1435" t="inlineStr">
        <is>
          <t>STOCKHOLMS LÄN</t>
        </is>
      </c>
      <c r="E1435" t="inlineStr">
        <is>
          <t>NORRTÄLJE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11499-2023</t>
        </is>
      </c>
      <c r="B1436" s="1" t="n">
        <v>44993</v>
      </c>
      <c r="C1436" s="1" t="n">
        <v>45343</v>
      </c>
      <c r="D1436" t="inlineStr">
        <is>
          <t>STOCKHOLMS LÄN</t>
        </is>
      </c>
      <c r="E1436" t="inlineStr">
        <is>
          <t>NORRTÄLJE</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11844-2023</t>
        </is>
      </c>
      <c r="B1437" s="1" t="n">
        <v>44995</v>
      </c>
      <c r="C1437" s="1" t="n">
        <v>45343</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11940-2023</t>
        </is>
      </c>
      <c r="B1438" s="1" t="n">
        <v>44995</v>
      </c>
      <c r="C1438" s="1" t="n">
        <v>45343</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11852-2023</t>
        </is>
      </c>
      <c r="B1439" s="1" t="n">
        <v>44995</v>
      </c>
      <c r="C1439" s="1" t="n">
        <v>45343</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12609-2023</t>
        </is>
      </c>
      <c r="B1440" s="1" t="n">
        <v>45000</v>
      </c>
      <c r="C1440" s="1" t="n">
        <v>45343</v>
      </c>
      <c r="D1440" t="inlineStr">
        <is>
          <t>STOCKHOLMS LÄN</t>
        </is>
      </c>
      <c r="E1440" t="inlineStr">
        <is>
          <t>NORRTÄLJE</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12756-2023</t>
        </is>
      </c>
      <c r="B1441" s="1" t="n">
        <v>45000</v>
      </c>
      <c r="C1441" s="1" t="n">
        <v>45343</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13072-2023</t>
        </is>
      </c>
      <c r="B1442" s="1" t="n">
        <v>45002</v>
      </c>
      <c r="C1442" s="1" t="n">
        <v>45343</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13354-2023</t>
        </is>
      </c>
      <c r="B1443" s="1" t="n">
        <v>45005</v>
      </c>
      <c r="C1443" s="1" t="n">
        <v>45343</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13360-2023</t>
        </is>
      </c>
      <c r="B1444" s="1" t="n">
        <v>45005</v>
      </c>
      <c r="C1444" s="1" t="n">
        <v>45343</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13860-2023</t>
        </is>
      </c>
      <c r="B1445" s="1" t="n">
        <v>45007</v>
      </c>
      <c r="C1445" s="1" t="n">
        <v>45343</v>
      </c>
      <c r="D1445" t="inlineStr">
        <is>
          <t>STOCKHOLMS LÄN</t>
        </is>
      </c>
      <c r="E1445" t="inlineStr">
        <is>
          <t>NORRTÄLJE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13957-2023</t>
        </is>
      </c>
      <c r="B1446" s="1" t="n">
        <v>45008</v>
      </c>
      <c r="C1446" s="1" t="n">
        <v>45343</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13947-2023</t>
        </is>
      </c>
      <c r="B1447" s="1" t="n">
        <v>45008</v>
      </c>
      <c r="C1447" s="1" t="n">
        <v>45343</v>
      </c>
      <c r="D1447" t="inlineStr">
        <is>
          <t>STOCKHOLMS LÄN</t>
        </is>
      </c>
      <c r="E1447" t="inlineStr">
        <is>
          <t>NORRTÄLJE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13977-2023</t>
        </is>
      </c>
      <c r="B1448" s="1" t="n">
        <v>45008</v>
      </c>
      <c r="C1448" s="1" t="n">
        <v>45343</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14135-2023</t>
        </is>
      </c>
      <c r="B1449" s="1" t="n">
        <v>45009</v>
      </c>
      <c r="C1449" s="1" t="n">
        <v>45343</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15217-2023</t>
        </is>
      </c>
      <c r="B1450" s="1" t="n">
        <v>45019</v>
      </c>
      <c r="C1450" s="1" t="n">
        <v>45343</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15256-2023</t>
        </is>
      </c>
      <c r="B1451" s="1" t="n">
        <v>45019</v>
      </c>
      <c r="C1451" s="1" t="n">
        <v>45343</v>
      </c>
      <c r="D1451" t="inlineStr">
        <is>
          <t>STOCKHOLMS LÄN</t>
        </is>
      </c>
      <c r="E1451" t="inlineStr">
        <is>
          <t>NORRTÄLJE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15447-2023</t>
        </is>
      </c>
      <c r="B1452" s="1" t="n">
        <v>45020</v>
      </c>
      <c r="C1452" s="1" t="n">
        <v>45343</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15459-2023</t>
        </is>
      </c>
      <c r="B1453" s="1" t="n">
        <v>45020</v>
      </c>
      <c r="C1453" s="1" t="n">
        <v>45343</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15655-2023</t>
        </is>
      </c>
      <c r="B1454" s="1" t="n">
        <v>45021</v>
      </c>
      <c r="C1454" s="1" t="n">
        <v>45343</v>
      </c>
      <c r="D1454" t="inlineStr">
        <is>
          <t>STOCKHOLMS LÄN</t>
        </is>
      </c>
      <c r="E1454" t="inlineStr">
        <is>
          <t>NORRTÄLJE</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15905-2023</t>
        </is>
      </c>
      <c r="B1455" s="1" t="n">
        <v>45022</v>
      </c>
      <c r="C1455" s="1" t="n">
        <v>45343</v>
      </c>
      <c r="D1455" t="inlineStr">
        <is>
          <t>STOCKHOLMS LÄN</t>
        </is>
      </c>
      <c r="E1455" t="inlineStr">
        <is>
          <t>NORRTÄLJE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15915-2023</t>
        </is>
      </c>
      <c r="B1456" s="1" t="n">
        <v>45022</v>
      </c>
      <c r="C1456" s="1" t="n">
        <v>45343</v>
      </c>
      <c r="D1456" t="inlineStr">
        <is>
          <t>STOCKHOLMS LÄN</t>
        </is>
      </c>
      <c r="E1456" t="inlineStr">
        <is>
          <t>NORRTÄLJE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15956-2023</t>
        </is>
      </c>
      <c r="B1457" s="1" t="n">
        <v>45022</v>
      </c>
      <c r="C1457" s="1" t="n">
        <v>45343</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15954-2023</t>
        </is>
      </c>
      <c r="B1458" s="1" t="n">
        <v>45022</v>
      </c>
      <c r="C1458" s="1" t="n">
        <v>45343</v>
      </c>
      <c r="D1458" t="inlineStr">
        <is>
          <t>STOCKHOLMS LÄN</t>
        </is>
      </c>
      <c r="E1458" t="inlineStr">
        <is>
          <t>NORRTÄLJE</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16006-2023</t>
        </is>
      </c>
      <c r="B1459" s="1" t="n">
        <v>45025</v>
      </c>
      <c r="C1459" s="1" t="n">
        <v>45343</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16980-2023</t>
        </is>
      </c>
      <c r="B1460" s="1" t="n">
        <v>45033</v>
      </c>
      <c r="C1460" s="1" t="n">
        <v>45343</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16977-2023</t>
        </is>
      </c>
      <c r="B1461" s="1" t="n">
        <v>45033</v>
      </c>
      <c r="C1461" s="1" t="n">
        <v>45343</v>
      </c>
      <c r="D1461" t="inlineStr">
        <is>
          <t>STOCKHOLMS LÄN</t>
        </is>
      </c>
      <c r="E1461" t="inlineStr">
        <is>
          <t>NORRTÄLJE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17140-2023</t>
        </is>
      </c>
      <c r="B1462" s="1" t="n">
        <v>45034</v>
      </c>
      <c r="C1462" s="1" t="n">
        <v>45343</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17133-2023</t>
        </is>
      </c>
      <c r="B1463" s="1" t="n">
        <v>45034</v>
      </c>
      <c r="C1463" s="1" t="n">
        <v>45343</v>
      </c>
      <c r="D1463" t="inlineStr">
        <is>
          <t>STOCKHOLMS LÄN</t>
        </is>
      </c>
      <c r="E1463" t="inlineStr">
        <is>
          <t>NORRTÄLJE</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17919-2023</t>
        </is>
      </c>
      <c r="B1464" s="1" t="n">
        <v>45040</v>
      </c>
      <c r="C1464" s="1" t="n">
        <v>45343</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17939-2023</t>
        </is>
      </c>
      <c r="B1465" s="1" t="n">
        <v>45040</v>
      </c>
      <c r="C1465" s="1" t="n">
        <v>45343</v>
      </c>
      <c r="D1465" t="inlineStr">
        <is>
          <t>STOCKHOLMS LÄN</t>
        </is>
      </c>
      <c r="E1465" t="inlineStr">
        <is>
          <t>NORRTÄLJE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17930-2023</t>
        </is>
      </c>
      <c r="B1466" s="1" t="n">
        <v>45040</v>
      </c>
      <c r="C1466" s="1" t="n">
        <v>45343</v>
      </c>
      <c r="D1466" t="inlineStr">
        <is>
          <t>STOCKHOLMS LÄN</t>
        </is>
      </c>
      <c r="E1466" t="inlineStr">
        <is>
          <t>NORRTÄLJE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17984-2023</t>
        </is>
      </c>
      <c r="B1467" s="1" t="n">
        <v>45040</v>
      </c>
      <c r="C1467" s="1" t="n">
        <v>45343</v>
      </c>
      <c r="D1467" t="inlineStr">
        <is>
          <t>STOCKHOLMS LÄN</t>
        </is>
      </c>
      <c r="E1467" t="inlineStr">
        <is>
          <t>NORRTÄLJE</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18023-2023</t>
        </is>
      </c>
      <c r="B1468" s="1" t="n">
        <v>45040</v>
      </c>
      <c r="C1468" s="1" t="n">
        <v>45343</v>
      </c>
      <c r="D1468" t="inlineStr">
        <is>
          <t>STOCKHOLMS LÄN</t>
        </is>
      </c>
      <c r="E1468" t="inlineStr">
        <is>
          <t>NORRTÄLJE</t>
        </is>
      </c>
      <c r="F1468" t="inlineStr">
        <is>
          <t>Sveaskog</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18541-2023</t>
        </is>
      </c>
      <c r="B1469" s="1" t="n">
        <v>45042</v>
      </c>
      <c r="C1469" s="1" t="n">
        <v>45343</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18540-2023</t>
        </is>
      </c>
      <c r="B1470" s="1" t="n">
        <v>45042</v>
      </c>
      <c r="C1470" s="1" t="n">
        <v>45343</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18895-2023</t>
        </is>
      </c>
      <c r="B1471" s="1" t="n">
        <v>45044</v>
      </c>
      <c r="C1471" s="1" t="n">
        <v>45343</v>
      </c>
      <c r="D1471" t="inlineStr">
        <is>
          <t>STOCKHOLMS LÄN</t>
        </is>
      </c>
      <c r="E1471" t="inlineStr">
        <is>
          <t>NORRTÄLJE</t>
        </is>
      </c>
      <c r="F1471" t="inlineStr">
        <is>
          <t>Kommuner</t>
        </is>
      </c>
      <c r="G1471" t="n">
        <v>12.7</v>
      </c>
      <c r="H1471" t="n">
        <v>0</v>
      </c>
      <c r="I1471" t="n">
        <v>0</v>
      </c>
      <c r="J1471" t="n">
        <v>0</v>
      </c>
      <c r="K1471" t="n">
        <v>0</v>
      </c>
      <c r="L1471" t="n">
        <v>0</v>
      </c>
      <c r="M1471" t="n">
        <v>0</v>
      </c>
      <c r="N1471" t="n">
        <v>0</v>
      </c>
      <c r="O1471" t="n">
        <v>0</v>
      </c>
      <c r="P1471" t="n">
        <v>0</v>
      </c>
      <c r="Q1471" t="n">
        <v>0</v>
      </c>
      <c r="R1471" s="2" t="inlineStr"/>
    </row>
    <row r="1472" ht="15" customHeight="1">
      <c r="A1472" t="inlineStr">
        <is>
          <t>A 19074-2023</t>
        </is>
      </c>
      <c r="B1472" s="1" t="n">
        <v>45048</v>
      </c>
      <c r="C1472" s="1" t="n">
        <v>45343</v>
      </c>
      <c r="D1472" t="inlineStr">
        <is>
          <t>STOCKHOLMS LÄN</t>
        </is>
      </c>
      <c r="E1472" t="inlineStr">
        <is>
          <t>NORRTÄLJE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19058-2023</t>
        </is>
      </c>
      <c r="B1473" s="1" t="n">
        <v>45048</v>
      </c>
      <c r="C1473" s="1" t="n">
        <v>45343</v>
      </c>
      <c r="D1473" t="inlineStr">
        <is>
          <t>STOCKHOLMS LÄN</t>
        </is>
      </c>
      <c r="E1473" t="inlineStr">
        <is>
          <t>NORRTÄLJE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19702-2023</t>
        </is>
      </c>
      <c r="B1474" s="1" t="n">
        <v>45051</v>
      </c>
      <c r="C1474" s="1" t="n">
        <v>45343</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19706-2023</t>
        </is>
      </c>
      <c r="B1475" s="1" t="n">
        <v>45051</v>
      </c>
      <c r="C1475" s="1" t="n">
        <v>45343</v>
      </c>
      <c r="D1475" t="inlineStr">
        <is>
          <t>STOCKHOLMS LÄN</t>
        </is>
      </c>
      <c r="E1475" t="inlineStr">
        <is>
          <t>NORRTÄLJE</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19719-2023</t>
        </is>
      </c>
      <c r="B1476" s="1" t="n">
        <v>45051</v>
      </c>
      <c r="C1476" s="1" t="n">
        <v>45343</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19951-2023</t>
        </is>
      </c>
      <c r="B1477" s="1" t="n">
        <v>45054</v>
      </c>
      <c r="C1477" s="1" t="n">
        <v>45343</v>
      </c>
      <c r="D1477" t="inlineStr">
        <is>
          <t>STOCKHOLMS LÄN</t>
        </is>
      </c>
      <c r="E1477" t="inlineStr">
        <is>
          <t>NORRTÄLJE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19971-2023</t>
        </is>
      </c>
      <c r="B1478" s="1" t="n">
        <v>45054</v>
      </c>
      <c r="C1478" s="1" t="n">
        <v>45343</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19994-2023</t>
        </is>
      </c>
      <c r="B1479" s="1" t="n">
        <v>45054</v>
      </c>
      <c r="C1479" s="1" t="n">
        <v>45343</v>
      </c>
      <c r="D1479" t="inlineStr">
        <is>
          <t>STOCKHOLMS LÄN</t>
        </is>
      </c>
      <c r="E1479" t="inlineStr">
        <is>
          <t>NORRTÄLJE</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19952-2023</t>
        </is>
      </c>
      <c r="B1480" s="1" t="n">
        <v>45054</v>
      </c>
      <c r="C1480" s="1" t="n">
        <v>45343</v>
      </c>
      <c r="D1480" t="inlineStr">
        <is>
          <t>STOCKHOLMS LÄN</t>
        </is>
      </c>
      <c r="E1480" t="inlineStr">
        <is>
          <t>NORRTÄLJE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20004-2023</t>
        </is>
      </c>
      <c r="B1481" s="1" t="n">
        <v>45054</v>
      </c>
      <c r="C1481" s="1" t="n">
        <v>45343</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20015-2023</t>
        </is>
      </c>
      <c r="B1482" s="1" t="n">
        <v>45054</v>
      </c>
      <c r="C1482" s="1" t="n">
        <v>45343</v>
      </c>
      <c r="D1482" t="inlineStr">
        <is>
          <t>STOCKHOLMS LÄN</t>
        </is>
      </c>
      <c r="E1482" t="inlineStr">
        <is>
          <t>NORRTÄLJE</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20144-2023</t>
        </is>
      </c>
      <c r="B1483" s="1" t="n">
        <v>45055</v>
      </c>
      <c r="C1483" s="1" t="n">
        <v>45343</v>
      </c>
      <c r="D1483" t="inlineStr">
        <is>
          <t>STOCKHOLMS LÄN</t>
        </is>
      </c>
      <c r="E1483" t="inlineStr">
        <is>
          <t>NORRTÄLJE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20304-2023</t>
        </is>
      </c>
      <c r="B1484" s="1" t="n">
        <v>45056</v>
      </c>
      <c r="C1484" s="1" t="n">
        <v>45343</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20535-2023</t>
        </is>
      </c>
      <c r="B1485" s="1" t="n">
        <v>45057</v>
      </c>
      <c r="C1485" s="1" t="n">
        <v>45343</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20852-2023</t>
        </is>
      </c>
      <c r="B1486" s="1" t="n">
        <v>45058</v>
      </c>
      <c r="C1486" s="1" t="n">
        <v>45343</v>
      </c>
      <c r="D1486" t="inlineStr">
        <is>
          <t>STOCKHOLMS LÄN</t>
        </is>
      </c>
      <c r="E1486" t="inlineStr">
        <is>
          <t>NORRTÄLJE</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21237-2023</t>
        </is>
      </c>
      <c r="B1487" s="1" t="n">
        <v>45062</v>
      </c>
      <c r="C1487" s="1" t="n">
        <v>45343</v>
      </c>
      <c r="D1487" t="inlineStr">
        <is>
          <t>STOCKHOLMS LÄN</t>
        </is>
      </c>
      <c r="E1487" t="inlineStr">
        <is>
          <t>NORRTÄLJE</t>
        </is>
      </c>
      <c r="F1487" t="inlineStr">
        <is>
          <t>Övriga Aktiebolag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21386-2023</t>
        </is>
      </c>
      <c r="B1488" s="1" t="n">
        <v>45063</v>
      </c>
      <c r="C1488" s="1" t="n">
        <v>45343</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21435-2023</t>
        </is>
      </c>
      <c r="B1489" s="1" t="n">
        <v>45063</v>
      </c>
      <c r="C1489" s="1" t="n">
        <v>45343</v>
      </c>
      <c r="D1489" t="inlineStr">
        <is>
          <t>STOCKHOLMS LÄN</t>
        </is>
      </c>
      <c r="E1489" t="inlineStr">
        <is>
          <t>NORRTÄLJE</t>
        </is>
      </c>
      <c r="G1489" t="n">
        <v>19.1</v>
      </c>
      <c r="H1489" t="n">
        <v>0</v>
      </c>
      <c r="I1489" t="n">
        <v>0</v>
      </c>
      <c r="J1489" t="n">
        <v>0</v>
      </c>
      <c r="K1489" t="n">
        <v>0</v>
      </c>
      <c r="L1489" t="n">
        <v>0</v>
      </c>
      <c r="M1489" t="n">
        <v>0</v>
      </c>
      <c r="N1489" t="n">
        <v>0</v>
      </c>
      <c r="O1489" t="n">
        <v>0</v>
      </c>
      <c r="P1489" t="n">
        <v>0</v>
      </c>
      <c r="Q1489" t="n">
        <v>0</v>
      </c>
      <c r="R1489" s="2" t="inlineStr"/>
    </row>
    <row r="1490" ht="15" customHeight="1">
      <c r="A1490" t="inlineStr">
        <is>
          <t>A 21732-2023</t>
        </is>
      </c>
      <c r="B1490" s="1" t="n">
        <v>45063</v>
      </c>
      <c r="C1490" s="1" t="n">
        <v>45343</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21733-2023</t>
        </is>
      </c>
      <c r="B1491" s="1" t="n">
        <v>45063</v>
      </c>
      <c r="C1491" s="1" t="n">
        <v>45343</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21731-2023</t>
        </is>
      </c>
      <c r="B1492" s="1" t="n">
        <v>45063</v>
      </c>
      <c r="C1492" s="1" t="n">
        <v>45343</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21718-2023</t>
        </is>
      </c>
      <c r="B1493" s="1" t="n">
        <v>45065</v>
      </c>
      <c r="C1493" s="1" t="n">
        <v>45343</v>
      </c>
      <c r="D1493" t="inlineStr">
        <is>
          <t>STOCKHOLMS LÄN</t>
        </is>
      </c>
      <c r="E1493" t="inlineStr">
        <is>
          <t>NORRTÄLJE</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21719-2023</t>
        </is>
      </c>
      <c r="B1494" s="1" t="n">
        <v>45065</v>
      </c>
      <c r="C1494" s="1" t="n">
        <v>45343</v>
      </c>
      <c r="D1494" t="inlineStr">
        <is>
          <t>STOCKHOLMS LÄN</t>
        </is>
      </c>
      <c r="E1494" t="inlineStr">
        <is>
          <t>NORRTÄLJE</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21745-2023</t>
        </is>
      </c>
      <c r="B1495" s="1" t="n">
        <v>45065</v>
      </c>
      <c r="C1495" s="1" t="n">
        <v>45343</v>
      </c>
      <c r="D1495" t="inlineStr">
        <is>
          <t>STOCKHOLMS LÄN</t>
        </is>
      </c>
      <c r="E1495" t="inlineStr">
        <is>
          <t>NORRTÄLJE</t>
        </is>
      </c>
      <c r="F1495" t="inlineStr">
        <is>
          <t>Holmen skog AB</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21720-2023</t>
        </is>
      </c>
      <c r="B1496" s="1" t="n">
        <v>45065</v>
      </c>
      <c r="C1496" s="1" t="n">
        <v>45343</v>
      </c>
      <c r="D1496" t="inlineStr">
        <is>
          <t>STOCKHOLMS LÄN</t>
        </is>
      </c>
      <c r="E1496" t="inlineStr">
        <is>
          <t>NORRTÄLJE</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21716-2023</t>
        </is>
      </c>
      <c r="B1497" s="1" t="n">
        <v>45065</v>
      </c>
      <c r="C1497" s="1" t="n">
        <v>45343</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21894-2023</t>
        </is>
      </c>
      <c r="B1498" s="1" t="n">
        <v>45068</v>
      </c>
      <c r="C1498" s="1" t="n">
        <v>45343</v>
      </c>
      <c r="D1498" t="inlineStr">
        <is>
          <t>STOCKHOLMS LÄN</t>
        </is>
      </c>
      <c r="E1498" t="inlineStr">
        <is>
          <t>NORRTÄLJE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21832-2023</t>
        </is>
      </c>
      <c r="B1499" s="1" t="n">
        <v>45068</v>
      </c>
      <c r="C1499" s="1" t="n">
        <v>45343</v>
      </c>
      <c r="D1499" t="inlineStr">
        <is>
          <t>STOCKHOLMS LÄN</t>
        </is>
      </c>
      <c r="E1499" t="inlineStr">
        <is>
          <t>NORRTÄLJE</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21825-2023</t>
        </is>
      </c>
      <c r="B1500" s="1" t="n">
        <v>45068</v>
      </c>
      <c r="C1500" s="1" t="n">
        <v>45343</v>
      </c>
      <c r="D1500" t="inlineStr">
        <is>
          <t>STOCKHOLMS LÄN</t>
        </is>
      </c>
      <c r="E1500" t="inlineStr">
        <is>
          <t>NORRTÄLJE</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21897-2023</t>
        </is>
      </c>
      <c r="B1501" s="1" t="n">
        <v>45068</v>
      </c>
      <c r="C1501" s="1" t="n">
        <v>45343</v>
      </c>
      <c r="D1501" t="inlineStr">
        <is>
          <t>STOCKHOLMS LÄN</t>
        </is>
      </c>
      <c r="E1501" t="inlineStr">
        <is>
          <t>NORRTÄLJE</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21993-2023</t>
        </is>
      </c>
      <c r="B1502" s="1" t="n">
        <v>45068</v>
      </c>
      <c r="C1502" s="1" t="n">
        <v>45343</v>
      </c>
      <c r="D1502" t="inlineStr">
        <is>
          <t>STOCKHOLMS LÄN</t>
        </is>
      </c>
      <c r="E1502" t="inlineStr">
        <is>
          <t>NORRTÄLJE</t>
        </is>
      </c>
      <c r="G1502" t="n">
        <v>17.2</v>
      </c>
      <c r="H1502" t="n">
        <v>0</v>
      </c>
      <c r="I1502" t="n">
        <v>0</v>
      </c>
      <c r="J1502" t="n">
        <v>0</v>
      </c>
      <c r="K1502" t="n">
        <v>0</v>
      </c>
      <c r="L1502" t="n">
        <v>0</v>
      </c>
      <c r="M1502" t="n">
        <v>0</v>
      </c>
      <c r="N1502" t="n">
        <v>0</v>
      </c>
      <c r="O1502" t="n">
        <v>0</v>
      </c>
      <c r="P1502" t="n">
        <v>0</v>
      </c>
      <c r="Q1502" t="n">
        <v>0</v>
      </c>
      <c r="R1502" s="2" t="inlineStr"/>
    </row>
    <row r="1503" ht="15" customHeight="1">
      <c r="A1503" t="inlineStr">
        <is>
          <t>A 21961-2023</t>
        </is>
      </c>
      <c r="B1503" s="1" t="n">
        <v>45068</v>
      </c>
      <c r="C1503" s="1" t="n">
        <v>45343</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22157-2023</t>
        </is>
      </c>
      <c r="B1504" s="1" t="n">
        <v>45069</v>
      </c>
      <c r="C1504" s="1" t="n">
        <v>45343</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c r="U1504">
        <f>HYPERLINK("https://klasma.github.io/Logging_0188/knärot/A 22157-2023 karta knärot.png", "A 22157-2023")</f>
        <v/>
      </c>
      <c r="V1504">
        <f>HYPERLINK("https://klasma.github.io/Logging_0188/klagomål/A 22157-2023 FSC-klagomål.docx", "A 22157-2023")</f>
        <v/>
      </c>
      <c r="W1504">
        <f>HYPERLINK("https://klasma.github.io/Logging_0188/klagomålsmail/A 22157-2023 FSC-klagomål mail.docx", "A 22157-2023")</f>
        <v/>
      </c>
      <c r="X1504">
        <f>HYPERLINK("https://klasma.github.io/Logging_0188/tillsyn/A 22157-2023 tillsynsbegäran.docx", "A 22157-2023")</f>
        <v/>
      </c>
      <c r="Y1504">
        <f>HYPERLINK("https://klasma.github.io/Logging_0188/tillsynsmail/A 22157-2023 tillsynsbegäran mail.docx", "A 22157-2023")</f>
        <v/>
      </c>
    </row>
    <row r="1505" ht="15" customHeight="1">
      <c r="A1505" t="inlineStr">
        <is>
          <t>A 22175-2023</t>
        </is>
      </c>
      <c r="B1505" s="1" t="n">
        <v>45069</v>
      </c>
      <c r="C1505" s="1" t="n">
        <v>45343</v>
      </c>
      <c r="D1505" t="inlineStr">
        <is>
          <t>STOCKHOLMS LÄN</t>
        </is>
      </c>
      <c r="E1505" t="inlineStr">
        <is>
          <t>NORRTÄLJE</t>
        </is>
      </c>
      <c r="G1505" t="n">
        <v>32.7</v>
      </c>
      <c r="H1505" t="n">
        <v>0</v>
      </c>
      <c r="I1505" t="n">
        <v>0</v>
      </c>
      <c r="J1505" t="n">
        <v>0</v>
      </c>
      <c r="K1505" t="n">
        <v>0</v>
      </c>
      <c r="L1505" t="n">
        <v>0</v>
      </c>
      <c r="M1505" t="n">
        <v>0</v>
      </c>
      <c r="N1505" t="n">
        <v>0</v>
      </c>
      <c r="O1505" t="n">
        <v>0</v>
      </c>
      <c r="P1505" t="n">
        <v>0</v>
      </c>
      <c r="Q1505" t="n">
        <v>0</v>
      </c>
      <c r="R1505" s="2" t="inlineStr"/>
    </row>
    <row r="1506" ht="15" customHeight="1">
      <c r="A1506" t="inlineStr">
        <is>
          <t>A 22249-2023</t>
        </is>
      </c>
      <c r="B1506" s="1" t="n">
        <v>45070</v>
      </c>
      <c r="C1506" s="1" t="n">
        <v>45343</v>
      </c>
      <c r="D1506" t="inlineStr">
        <is>
          <t>STOCKHOLMS LÄN</t>
        </is>
      </c>
      <c r="E1506" t="inlineStr">
        <is>
          <t>NORRTÄLJE</t>
        </is>
      </c>
      <c r="F1506" t="inlineStr">
        <is>
          <t>Övriga Aktiebolag</t>
        </is>
      </c>
      <c r="G1506" t="n">
        <v>17.7</v>
      </c>
      <c r="H1506" t="n">
        <v>0</v>
      </c>
      <c r="I1506" t="n">
        <v>0</v>
      </c>
      <c r="J1506" t="n">
        <v>0</v>
      </c>
      <c r="K1506" t="n">
        <v>0</v>
      </c>
      <c r="L1506" t="n">
        <v>0</v>
      </c>
      <c r="M1506" t="n">
        <v>0</v>
      </c>
      <c r="N1506" t="n">
        <v>0</v>
      </c>
      <c r="O1506" t="n">
        <v>0</v>
      </c>
      <c r="P1506" t="n">
        <v>0</v>
      </c>
      <c r="Q1506" t="n">
        <v>0</v>
      </c>
      <c r="R1506" s="2" t="inlineStr"/>
    </row>
    <row r="1507" ht="15" customHeight="1">
      <c r="A1507" t="inlineStr">
        <is>
          <t>A 22398-2023</t>
        </is>
      </c>
      <c r="B1507" s="1" t="n">
        <v>45070</v>
      </c>
      <c r="C1507" s="1" t="n">
        <v>45343</v>
      </c>
      <c r="D1507" t="inlineStr">
        <is>
          <t>STOCKHOLMS LÄN</t>
        </is>
      </c>
      <c r="E1507" t="inlineStr">
        <is>
          <t>NORRTÄLJE</t>
        </is>
      </c>
      <c r="F1507" t="inlineStr">
        <is>
          <t>Övriga Aktiebolag</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22376-2023</t>
        </is>
      </c>
      <c r="B1508" s="1" t="n">
        <v>45070</v>
      </c>
      <c r="C1508" s="1" t="n">
        <v>45343</v>
      </c>
      <c r="D1508" t="inlineStr">
        <is>
          <t>STOCKHOLMS LÄN</t>
        </is>
      </c>
      <c r="E1508" t="inlineStr">
        <is>
          <t>NORRTÄLJE</t>
        </is>
      </c>
      <c r="F1508" t="inlineStr">
        <is>
          <t>Kommuner</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22456-2023</t>
        </is>
      </c>
      <c r="B1509" s="1" t="n">
        <v>45070</v>
      </c>
      <c r="C1509" s="1" t="n">
        <v>45343</v>
      </c>
      <c r="D1509" t="inlineStr">
        <is>
          <t>STOCKHOLMS LÄN</t>
        </is>
      </c>
      <c r="E1509" t="inlineStr">
        <is>
          <t>NORRTÄLJE</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22378-2023</t>
        </is>
      </c>
      <c r="B1510" s="1" t="n">
        <v>45070</v>
      </c>
      <c r="C1510" s="1" t="n">
        <v>45343</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22406-2023</t>
        </is>
      </c>
      <c r="B1511" s="1" t="n">
        <v>45070</v>
      </c>
      <c r="C1511" s="1" t="n">
        <v>45343</v>
      </c>
      <c r="D1511" t="inlineStr">
        <is>
          <t>STOCKHOLMS LÄN</t>
        </is>
      </c>
      <c r="E1511" t="inlineStr">
        <is>
          <t>NORRTÄLJE</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22553-2023</t>
        </is>
      </c>
      <c r="B1512" s="1" t="n">
        <v>45071</v>
      </c>
      <c r="C1512" s="1" t="n">
        <v>45343</v>
      </c>
      <c r="D1512" t="inlineStr">
        <is>
          <t>STOCKHOLMS LÄN</t>
        </is>
      </c>
      <c r="E1512" t="inlineStr">
        <is>
          <t>NORRTÄLJE</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22962-2023</t>
        </is>
      </c>
      <c r="B1513" s="1" t="n">
        <v>45072</v>
      </c>
      <c r="C1513" s="1" t="n">
        <v>45343</v>
      </c>
      <c r="D1513" t="inlineStr">
        <is>
          <t>STOCKHOLMS LÄN</t>
        </is>
      </c>
      <c r="E1513" t="inlineStr">
        <is>
          <t>NORRTÄLJE</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23056-2023</t>
        </is>
      </c>
      <c r="B1514" s="1" t="n">
        <v>45075</v>
      </c>
      <c r="C1514" s="1" t="n">
        <v>45343</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23060-2023</t>
        </is>
      </c>
      <c r="B1515" s="1" t="n">
        <v>45075</v>
      </c>
      <c r="C1515" s="1" t="n">
        <v>45343</v>
      </c>
      <c r="D1515" t="inlineStr">
        <is>
          <t>STOCKHOLMS LÄN</t>
        </is>
      </c>
      <c r="E1515" t="inlineStr">
        <is>
          <t>NORRTÄLJE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23070-2023</t>
        </is>
      </c>
      <c r="B1516" s="1" t="n">
        <v>45075</v>
      </c>
      <c r="C1516" s="1" t="n">
        <v>45343</v>
      </c>
      <c r="D1516" t="inlineStr">
        <is>
          <t>STOCKHOLMS LÄN</t>
        </is>
      </c>
      <c r="E1516" t="inlineStr">
        <is>
          <t>NORRTÄLJE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23130-2023</t>
        </is>
      </c>
      <c r="B1517" s="1" t="n">
        <v>45075</v>
      </c>
      <c r="C1517" s="1" t="n">
        <v>45343</v>
      </c>
      <c r="D1517" t="inlineStr">
        <is>
          <t>STOCKHOLMS LÄN</t>
        </is>
      </c>
      <c r="E1517" t="inlineStr">
        <is>
          <t>NORRTÄLJE</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23265-2023</t>
        </is>
      </c>
      <c r="B1518" s="1" t="n">
        <v>45075</v>
      </c>
      <c r="C1518" s="1" t="n">
        <v>45343</v>
      </c>
      <c r="D1518" t="inlineStr">
        <is>
          <t>STOCKHOLMS LÄN</t>
        </is>
      </c>
      <c r="E1518" t="inlineStr">
        <is>
          <t>NORRTÄLJE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23269-2023</t>
        </is>
      </c>
      <c r="B1519" s="1" t="n">
        <v>45075</v>
      </c>
      <c r="C1519" s="1" t="n">
        <v>45343</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23273-2023</t>
        </is>
      </c>
      <c r="B1520" s="1" t="n">
        <v>45076</v>
      </c>
      <c r="C1520" s="1" t="n">
        <v>45343</v>
      </c>
      <c r="D1520" t="inlineStr">
        <is>
          <t>STOCKHOLMS LÄN</t>
        </is>
      </c>
      <c r="E1520" t="inlineStr">
        <is>
          <t>NORRTÄLJE</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23134-2023</t>
        </is>
      </c>
      <c r="B1521" s="1" t="n">
        <v>45075</v>
      </c>
      <c r="C1521" s="1" t="n">
        <v>45343</v>
      </c>
      <c r="D1521" t="inlineStr">
        <is>
          <t>STOCKHOLMS LÄN</t>
        </is>
      </c>
      <c r="E1521" t="inlineStr">
        <is>
          <t>NORRTÄLJE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23263-2023</t>
        </is>
      </c>
      <c r="B1522" s="1" t="n">
        <v>45075</v>
      </c>
      <c r="C1522" s="1" t="n">
        <v>45343</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23267-2023</t>
        </is>
      </c>
      <c r="B1523" s="1" t="n">
        <v>45075</v>
      </c>
      <c r="C1523" s="1" t="n">
        <v>45343</v>
      </c>
      <c r="D1523" t="inlineStr">
        <is>
          <t>STOCKHOLMS LÄN</t>
        </is>
      </c>
      <c r="E1523" t="inlineStr">
        <is>
          <t>NORRTÄLJE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23271-2023</t>
        </is>
      </c>
      <c r="B1524" s="1" t="n">
        <v>45075</v>
      </c>
      <c r="C1524" s="1" t="n">
        <v>45343</v>
      </c>
      <c r="D1524" t="inlineStr">
        <is>
          <t>STOCKHOLMS LÄN</t>
        </is>
      </c>
      <c r="E1524" t="inlineStr">
        <is>
          <t>NORRTÄLJE</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23264-2023</t>
        </is>
      </c>
      <c r="B1525" s="1" t="n">
        <v>45075</v>
      </c>
      <c r="C1525" s="1" t="n">
        <v>45343</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23268-2023</t>
        </is>
      </c>
      <c r="B1526" s="1" t="n">
        <v>45075</v>
      </c>
      <c r="C1526" s="1" t="n">
        <v>45343</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23272-2023</t>
        </is>
      </c>
      <c r="B1527" s="1" t="n">
        <v>45075</v>
      </c>
      <c r="C1527" s="1" t="n">
        <v>45343</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23262-2023</t>
        </is>
      </c>
      <c r="B1528" s="1" t="n">
        <v>45075</v>
      </c>
      <c r="C1528" s="1" t="n">
        <v>45343</v>
      </c>
      <c r="D1528" t="inlineStr">
        <is>
          <t>STOCKHOLMS LÄN</t>
        </is>
      </c>
      <c r="E1528" t="inlineStr">
        <is>
          <t>NORRTÄLJE</t>
        </is>
      </c>
      <c r="F1528" t="inlineStr">
        <is>
          <t>Kommuner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23266-2023</t>
        </is>
      </c>
      <c r="B1529" s="1" t="n">
        <v>45075</v>
      </c>
      <c r="C1529" s="1" t="n">
        <v>45343</v>
      </c>
      <c r="D1529" t="inlineStr">
        <is>
          <t>STOCKHOLMS LÄN</t>
        </is>
      </c>
      <c r="E1529" t="inlineStr">
        <is>
          <t>NORRTÄLJE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23270-2023</t>
        </is>
      </c>
      <c r="B1530" s="1" t="n">
        <v>45075</v>
      </c>
      <c r="C1530" s="1" t="n">
        <v>45343</v>
      </c>
      <c r="D1530" t="inlineStr">
        <is>
          <t>STOCKHOLMS LÄN</t>
        </is>
      </c>
      <c r="E1530" t="inlineStr">
        <is>
          <t>NORRTÄLJE</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23274-2023</t>
        </is>
      </c>
      <c r="B1531" s="1" t="n">
        <v>45076</v>
      </c>
      <c r="C1531" s="1" t="n">
        <v>45343</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23699-2023</t>
        </is>
      </c>
      <c r="B1532" s="1" t="n">
        <v>45077</v>
      </c>
      <c r="C1532" s="1" t="n">
        <v>45343</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24129-2023</t>
        </is>
      </c>
      <c r="B1533" s="1" t="n">
        <v>45079</v>
      </c>
      <c r="C1533" s="1" t="n">
        <v>45343</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24330-2023</t>
        </is>
      </c>
      <c r="B1534" s="1" t="n">
        <v>45081</v>
      </c>
      <c r="C1534" s="1" t="n">
        <v>45343</v>
      </c>
      <c r="D1534" t="inlineStr">
        <is>
          <t>STOCKHOLMS LÄN</t>
        </is>
      </c>
      <c r="E1534" t="inlineStr">
        <is>
          <t>NORRTÄLJE</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24520-2023</t>
        </is>
      </c>
      <c r="B1535" s="1" t="n">
        <v>45082</v>
      </c>
      <c r="C1535" s="1" t="n">
        <v>45343</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24501-2023</t>
        </is>
      </c>
      <c r="B1536" s="1" t="n">
        <v>45082</v>
      </c>
      <c r="C1536" s="1" t="n">
        <v>45343</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24522-2023</t>
        </is>
      </c>
      <c r="B1537" s="1" t="n">
        <v>45082</v>
      </c>
      <c r="C1537" s="1" t="n">
        <v>45343</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24705-2023</t>
        </is>
      </c>
      <c r="B1538" s="1" t="n">
        <v>45084</v>
      </c>
      <c r="C1538" s="1" t="n">
        <v>45343</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24727-2023</t>
        </is>
      </c>
      <c r="B1539" s="1" t="n">
        <v>45084</v>
      </c>
      <c r="C1539" s="1" t="n">
        <v>45343</v>
      </c>
      <c r="D1539" t="inlineStr">
        <is>
          <t>STOCKHOLMS LÄN</t>
        </is>
      </c>
      <c r="E1539" t="inlineStr">
        <is>
          <t>NORRTÄLJE</t>
        </is>
      </c>
      <c r="F1539" t="inlineStr">
        <is>
          <t>Holmen skog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24788-2023</t>
        </is>
      </c>
      <c r="B1540" s="1" t="n">
        <v>45084</v>
      </c>
      <c r="C1540" s="1" t="n">
        <v>45343</v>
      </c>
      <c r="D1540" t="inlineStr">
        <is>
          <t>STOCKHOLMS LÄN</t>
        </is>
      </c>
      <c r="E1540" t="inlineStr">
        <is>
          <t>NORRTÄLJE</t>
        </is>
      </c>
      <c r="F1540" t="inlineStr">
        <is>
          <t>Sveaskog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24789-2023</t>
        </is>
      </c>
      <c r="B1541" s="1" t="n">
        <v>45084</v>
      </c>
      <c r="C1541" s="1" t="n">
        <v>45343</v>
      </c>
      <c r="D1541" t="inlineStr">
        <is>
          <t>STOCKHOLMS LÄN</t>
        </is>
      </c>
      <c r="E1541" t="inlineStr">
        <is>
          <t>NORRTÄLJE</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24887-2023</t>
        </is>
      </c>
      <c r="B1542" s="1" t="n">
        <v>45085</v>
      </c>
      <c r="C1542" s="1" t="n">
        <v>45343</v>
      </c>
      <c r="D1542" t="inlineStr">
        <is>
          <t>STOCKHOLMS LÄN</t>
        </is>
      </c>
      <c r="E1542" t="inlineStr">
        <is>
          <t>NORRTÄLJE</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24933-2023</t>
        </is>
      </c>
      <c r="B1543" s="1" t="n">
        <v>45085</v>
      </c>
      <c r="C1543" s="1" t="n">
        <v>45343</v>
      </c>
      <c r="D1543" t="inlineStr">
        <is>
          <t>STOCKHOLMS LÄN</t>
        </is>
      </c>
      <c r="E1543" t="inlineStr">
        <is>
          <t>NORRTÄLJE</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25174-2023</t>
        </is>
      </c>
      <c r="B1544" s="1" t="n">
        <v>45086</v>
      </c>
      <c r="C1544" s="1" t="n">
        <v>45343</v>
      </c>
      <c r="D1544" t="inlineStr">
        <is>
          <t>STOCKHOLMS LÄN</t>
        </is>
      </c>
      <c r="E1544" t="inlineStr">
        <is>
          <t>NORRTÄLJE</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25094-2023</t>
        </is>
      </c>
      <c r="B1545" s="1" t="n">
        <v>45086</v>
      </c>
      <c r="C1545" s="1" t="n">
        <v>45343</v>
      </c>
      <c r="D1545" t="inlineStr">
        <is>
          <t>STOCKHOLMS LÄN</t>
        </is>
      </c>
      <c r="E1545" t="inlineStr">
        <is>
          <t>NORRTÄLJE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25257-2023</t>
        </is>
      </c>
      <c r="B1546" s="1" t="n">
        <v>45086</v>
      </c>
      <c r="C1546" s="1" t="n">
        <v>45343</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25614-2023</t>
        </is>
      </c>
      <c r="B1547" s="1" t="n">
        <v>45089</v>
      </c>
      <c r="C1547" s="1" t="n">
        <v>45343</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25625-2023</t>
        </is>
      </c>
      <c r="B1548" s="1" t="n">
        <v>45089</v>
      </c>
      <c r="C1548" s="1" t="n">
        <v>45343</v>
      </c>
      <c r="D1548" t="inlineStr">
        <is>
          <t>STOCKHOLMS LÄN</t>
        </is>
      </c>
      <c r="E1548" t="inlineStr">
        <is>
          <t>NORRTÄLJE</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25557-2023</t>
        </is>
      </c>
      <c r="B1549" s="1" t="n">
        <v>45089</v>
      </c>
      <c r="C1549" s="1" t="n">
        <v>45343</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25609-2023</t>
        </is>
      </c>
      <c r="B1550" s="1" t="n">
        <v>45089</v>
      </c>
      <c r="C1550" s="1" t="n">
        <v>45343</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25618-2023</t>
        </is>
      </c>
      <c r="B1551" s="1" t="n">
        <v>45089</v>
      </c>
      <c r="C1551" s="1" t="n">
        <v>45343</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25656-2023</t>
        </is>
      </c>
      <c r="B1552" s="1" t="n">
        <v>45089</v>
      </c>
      <c r="C1552" s="1" t="n">
        <v>45343</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25654-2023</t>
        </is>
      </c>
      <c r="B1553" s="1" t="n">
        <v>45089</v>
      </c>
      <c r="C1553" s="1" t="n">
        <v>45343</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25831-2023</t>
        </is>
      </c>
      <c r="B1554" s="1" t="n">
        <v>45090</v>
      </c>
      <c r="C1554" s="1" t="n">
        <v>45343</v>
      </c>
      <c r="D1554" t="inlineStr">
        <is>
          <t>STOCKHOLMS LÄN</t>
        </is>
      </c>
      <c r="E1554" t="inlineStr">
        <is>
          <t>NORRTÄLJE</t>
        </is>
      </c>
      <c r="F1554" t="inlineStr">
        <is>
          <t>Övriga Aktiebolag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25915-2023</t>
        </is>
      </c>
      <c r="B1555" s="1" t="n">
        <v>45090</v>
      </c>
      <c r="C1555" s="1" t="n">
        <v>45343</v>
      </c>
      <c r="D1555" t="inlineStr">
        <is>
          <t>STOCKHOLMS LÄN</t>
        </is>
      </c>
      <c r="E1555" t="inlineStr">
        <is>
          <t>NORRTÄLJE</t>
        </is>
      </c>
      <c r="F1555" t="inlineStr">
        <is>
          <t>Naturvårdsverket</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26065-2023</t>
        </is>
      </c>
      <c r="B1556" s="1" t="n">
        <v>45091</v>
      </c>
      <c r="C1556" s="1" t="n">
        <v>45343</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26315-2023</t>
        </is>
      </c>
      <c r="B1557" s="1" t="n">
        <v>45091</v>
      </c>
      <c r="C1557" s="1" t="n">
        <v>45343</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26570-2023</t>
        </is>
      </c>
      <c r="B1558" s="1" t="n">
        <v>45092</v>
      </c>
      <c r="C1558" s="1" t="n">
        <v>45343</v>
      </c>
      <c r="D1558" t="inlineStr">
        <is>
          <t>STOCKHOLMS LÄN</t>
        </is>
      </c>
      <c r="E1558" t="inlineStr">
        <is>
          <t>NORRTÄLJE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26636-2023</t>
        </is>
      </c>
      <c r="B1559" s="1" t="n">
        <v>45092</v>
      </c>
      <c r="C1559" s="1" t="n">
        <v>45343</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26640-2023</t>
        </is>
      </c>
      <c r="B1560" s="1" t="n">
        <v>45092</v>
      </c>
      <c r="C1560" s="1" t="n">
        <v>45343</v>
      </c>
      <c r="D1560" t="inlineStr">
        <is>
          <t>STOCKHOLMS LÄN</t>
        </is>
      </c>
      <c r="E1560" t="inlineStr">
        <is>
          <t>NORRTÄLJE</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26637-2023</t>
        </is>
      </c>
      <c r="B1561" s="1" t="n">
        <v>45092</v>
      </c>
      <c r="C1561" s="1" t="n">
        <v>45343</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26639-2023</t>
        </is>
      </c>
      <c r="B1562" s="1" t="n">
        <v>45092</v>
      </c>
      <c r="C1562" s="1" t="n">
        <v>45343</v>
      </c>
      <c r="D1562" t="inlineStr">
        <is>
          <t>STOCKHOLMS LÄN</t>
        </is>
      </c>
      <c r="E1562" t="inlineStr">
        <is>
          <t>NORRTÄLJE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27651-2023</t>
        </is>
      </c>
      <c r="B1563" s="1" t="n">
        <v>45097</v>
      </c>
      <c r="C1563" s="1" t="n">
        <v>45343</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28281-2023</t>
        </is>
      </c>
      <c r="B1564" s="1" t="n">
        <v>45099</v>
      </c>
      <c r="C1564" s="1" t="n">
        <v>45343</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28820-2023</t>
        </is>
      </c>
      <c r="B1565" s="1" t="n">
        <v>45104</v>
      </c>
      <c r="C1565" s="1" t="n">
        <v>45343</v>
      </c>
      <c r="D1565" t="inlineStr">
        <is>
          <t>STOCKHOLMS LÄN</t>
        </is>
      </c>
      <c r="E1565" t="inlineStr">
        <is>
          <t>NORRTÄLJE</t>
        </is>
      </c>
      <c r="F1565" t="inlineStr">
        <is>
          <t>Kommuner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28813-2023</t>
        </is>
      </c>
      <c r="B1566" s="1" t="n">
        <v>45104</v>
      </c>
      <c r="C1566" s="1" t="n">
        <v>45343</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29003-2023</t>
        </is>
      </c>
      <c r="B1567" s="1" t="n">
        <v>45104</v>
      </c>
      <c r="C1567" s="1" t="n">
        <v>45343</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28816-2023</t>
        </is>
      </c>
      <c r="B1568" s="1" t="n">
        <v>45104</v>
      </c>
      <c r="C1568" s="1" t="n">
        <v>45343</v>
      </c>
      <c r="D1568" t="inlineStr">
        <is>
          <t>STOCKHOLMS LÄN</t>
        </is>
      </c>
      <c r="E1568" t="inlineStr">
        <is>
          <t>NORRTÄLJE</t>
        </is>
      </c>
      <c r="F1568" t="inlineStr">
        <is>
          <t>Kommuner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28809-2023</t>
        </is>
      </c>
      <c r="B1569" s="1" t="n">
        <v>45104</v>
      </c>
      <c r="C1569" s="1" t="n">
        <v>45343</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29254-2023</t>
        </is>
      </c>
      <c r="B1570" s="1" t="n">
        <v>45105</v>
      </c>
      <c r="C1570" s="1" t="n">
        <v>45343</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29433-2023</t>
        </is>
      </c>
      <c r="B1571" s="1" t="n">
        <v>45106</v>
      </c>
      <c r="C1571" s="1" t="n">
        <v>45343</v>
      </c>
      <c r="D1571" t="inlineStr">
        <is>
          <t>STOCKHOLMS LÄN</t>
        </is>
      </c>
      <c r="E1571" t="inlineStr">
        <is>
          <t>NORRTÄLJE</t>
        </is>
      </c>
      <c r="F1571" t="inlineStr">
        <is>
          <t>Övriga Aktiebolag</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29681-2023</t>
        </is>
      </c>
      <c r="B1572" s="1" t="n">
        <v>45107</v>
      </c>
      <c r="C1572" s="1" t="n">
        <v>45343</v>
      </c>
      <c r="D1572" t="inlineStr">
        <is>
          <t>STOCKHOLMS LÄN</t>
        </is>
      </c>
      <c r="E1572" t="inlineStr">
        <is>
          <t>NORRTÄLJE</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29710-2023</t>
        </is>
      </c>
      <c r="B1573" s="1" t="n">
        <v>45107</v>
      </c>
      <c r="C1573" s="1" t="n">
        <v>45343</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29714-2023</t>
        </is>
      </c>
      <c r="B1574" s="1" t="n">
        <v>45107</v>
      </c>
      <c r="C1574" s="1" t="n">
        <v>45343</v>
      </c>
      <c r="D1574" t="inlineStr">
        <is>
          <t>STOCKHOLMS LÄN</t>
        </is>
      </c>
      <c r="E1574" t="inlineStr">
        <is>
          <t>NORRTÄLJE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30116-2023</t>
        </is>
      </c>
      <c r="B1575" s="1" t="n">
        <v>45110</v>
      </c>
      <c r="C1575" s="1" t="n">
        <v>45343</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30281-2023</t>
        </is>
      </c>
      <c r="B1576" s="1" t="n">
        <v>45110</v>
      </c>
      <c r="C1576" s="1" t="n">
        <v>45343</v>
      </c>
      <c r="D1576" t="inlineStr">
        <is>
          <t>STOCKHOLMS LÄN</t>
        </is>
      </c>
      <c r="E1576" t="inlineStr">
        <is>
          <t>NORRTÄLJE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30508-2023</t>
        </is>
      </c>
      <c r="B1577" s="1" t="n">
        <v>45111</v>
      </c>
      <c r="C1577" s="1" t="n">
        <v>45343</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30496-2023</t>
        </is>
      </c>
      <c r="B1578" s="1" t="n">
        <v>45111</v>
      </c>
      <c r="C1578" s="1" t="n">
        <v>45343</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30516-2023</t>
        </is>
      </c>
      <c r="B1579" s="1" t="n">
        <v>45111</v>
      </c>
      <c r="C1579" s="1" t="n">
        <v>45343</v>
      </c>
      <c r="D1579" t="inlineStr">
        <is>
          <t>STOCKHOLMS LÄN</t>
        </is>
      </c>
      <c r="E1579" t="inlineStr">
        <is>
          <t>NORRTÄLJE</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30525-2023</t>
        </is>
      </c>
      <c r="B1580" s="1" t="n">
        <v>45111</v>
      </c>
      <c r="C1580" s="1" t="n">
        <v>45343</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30424-2023</t>
        </is>
      </c>
      <c r="B1581" s="1" t="n">
        <v>45111</v>
      </c>
      <c r="C1581" s="1" t="n">
        <v>45343</v>
      </c>
      <c r="D1581" t="inlineStr">
        <is>
          <t>STOCKHOLMS LÄN</t>
        </is>
      </c>
      <c r="E1581" t="inlineStr">
        <is>
          <t>NORRTÄLJE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30425-2023</t>
        </is>
      </c>
      <c r="B1582" s="1" t="n">
        <v>45111</v>
      </c>
      <c r="C1582" s="1" t="n">
        <v>45343</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30731-2023</t>
        </is>
      </c>
      <c r="B1583" s="1" t="n">
        <v>45112</v>
      </c>
      <c r="C1583" s="1" t="n">
        <v>45343</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30663-2023</t>
        </is>
      </c>
      <c r="B1584" s="1" t="n">
        <v>45112</v>
      </c>
      <c r="C1584" s="1" t="n">
        <v>45343</v>
      </c>
      <c r="D1584" t="inlineStr">
        <is>
          <t>STOCKHOLMS LÄN</t>
        </is>
      </c>
      <c r="E1584" t="inlineStr">
        <is>
          <t>NORRTÄLJE</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30780-2023</t>
        </is>
      </c>
      <c r="B1585" s="1" t="n">
        <v>45112</v>
      </c>
      <c r="C1585" s="1" t="n">
        <v>45343</v>
      </c>
      <c r="D1585" t="inlineStr">
        <is>
          <t>STOCKHOLMS LÄN</t>
        </is>
      </c>
      <c r="E1585" t="inlineStr">
        <is>
          <t>NORRTÄLJE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30773-2023</t>
        </is>
      </c>
      <c r="B1586" s="1" t="n">
        <v>45112</v>
      </c>
      <c r="C1586" s="1" t="n">
        <v>45343</v>
      </c>
      <c r="D1586" t="inlineStr">
        <is>
          <t>STOCKHOLMS LÄN</t>
        </is>
      </c>
      <c r="E1586" t="inlineStr">
        <is>
          <t>NORRTÄLJE</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30924-2023</t>
        </is>
      </c>
      <c r="B1587" s="1" t="n">
        <v>45113</v>
      </c>
      <c r="C1587" s="1" t="n">
        <v>45343</v>
      </c>
      <c r="D1587" t="inlineStr">
        <is>
          <t>STOCKHOLMS LÄN</t>
        </is>
      </c>
      <c r="E1587" t="inlineStr">
        <is>
          <t>NORRTÄLJE</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30923-2023</t>
        </is>
      </c>
      <c r="B1588" s="1" t="n">
        <v>45113</v>
      </c>
      <c r="C1588" s="1" t="n">
        <v>45343</v>
      </c>
      <c r="D1588" t="inlineStr">
        <is>
          <t>STOCKHOLMS LÄN</t>
        </is>
      </c>
      <c r="E1588" t="inlineStr">
        <is>
          <t>NORRTÄLJE</t>
        </is>
      </c>
      <c r="F1588" t="inlineStr">
        <is>
          <t>Sveaskog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31140-2023</t>
        </is>
      </c>
      <c r="B1589" s="1" t="n">
        <v>45113</v>
      </c>
      <c r="C1589" s="1" t="n">
        <v>45343</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30921-2023</t>
        </is>
      </c>
      <c r="B1590" s="1" t="n">
        <v>45113</v>
      </c>
      <c r="C1590" s="1" t="n">
        <v>45343</v>
      </c>
      <c r="D1590" t="inlineStr">
        <is>
          <t>STOCKHOLMS LÄN</t>
        </is>
      </c>
      <c r="E1590" t="inlineStr">
        <is>
          <t>NORRTÄLJE</t>
        </is>
      </c>
      <c r="F1590" t="inlineStr">
        <is>
          <t>Sveaskog</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31149-2023</t>
        </is>
      </c>
      <c r="B1591" s="1" t="n">
        <v>45113</v>
      </c>
      <c r="C1591" s="1" t="n">
        <v>45343</v>
      </c>
      <c r="D1591" t="inlineStr">
        <is>
          <t>STOCKHOLMS LÄN</t>
        </is>
      </c>
      <c r="E1591" t="inlineStr">
        <is>
          <t>NORRTÄLJE</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31153-2023</t>
        </is>
      </c>
      <c r="B1592" s="1" t="n">
        <v>45113</v>
      </c>
      <c r="C1592" s="1" t="n">
        <v>45343</v>
      </c>
      <c r="D1592" t="inlineStr">
        <is>
          <t>STOCKHOLMS LÄN</t>
        </is>
      </c>
      <c r="E1592" t="inlineStr">
        <is>
          <t>NORRTÄLJE</t>
        </is>
      </c>
      <c r="G1592" t="n">
        <v>17.5</v>
      </c>
      <c r="H1592" t="n">
        <v>0</v>
      </c>
      <c r="I1592" t="n">
        <v>0</v>
      </c>
      <c r="J1592" t="n">
        <v>0</v>
      </c>
      <c r="K1592" t="n">
        <v>0</v>
      </c>
      <c r="L1592" t="n">
        <v>0</v>
      </c>
      <c r="M1592" t="n">
        <v>0</v>
      </c>
      <c r="N1592" t="n">
        <v>0</v>
      </c>
      <c r="O1592" t="n">
        <v>0</v>
      </c>
      <c r="P1592" t="n">
        <v>0</v>
      </c>
      <c r="Q1592" t="n">
        <v>0</v>
      </c>
      <c r="R1592" s="2" t="inlineStr"/>
    </row>
    <row r="1593" ht="15" customHeight="1">
      <c r="A1593" t="inlineStr">
        <is>
          <t>A 31827-2023</t>
        </is>
      </c>
      <c r="B1593" s="1" t="n">
        <v>45118</v>
      </c>
      <c r="C1593" s="1" t="n">
        <v>45343</v>
      </c>
      <c r="D1593" t="inlineStr">
        <is>
          <t>STOCKHOLMS LÄN</t>
        </is>
      </c>
      <c r="E1593" t="inlineStr">
        <is>
          <t>NORRTÄLJE</t>
        </is>
      </c>
      <c r="F1593" t="inlineStr">
        <is>
          <t>Kyrkan</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31832-2023</t>
        </is>
      </c>
      <c r="B1594" s="1" t="n">
        <v>45118</v>
      </c>
      <c r="C1594" s="1" t="n">
        <v>45343</v>
      </c>
      <c r="D1594" t="inlineStr">
        <is>
          <t>STOCKHOLMS LÄN</t>
        </is>
      </c>
      <c r="E1594" t="inlineStr">
        <is>
          <t>NORRTÄLJE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32071-2023</t>
        </is>
      </c>
      <c r="B1595" s="1" t="n">
        <v>45119</v>
      </c>
      <c r="C1595" s="1" t="n">
        <v>45343</v>
      </c>
      <c r="D1595" t="inlineStr">
        <is>
          <t>STOCKHOLMS LÄN</t>
        </is>
      </c>
      <c r="E1595" t="inlineStr">
        <is>
          <t>NORRTÄLJE</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32621-2023</t>
        </is>
      </c>
      <c r="B1596" s="1" t="n">
        <v>45121</v>
      </c>
      <c r="C1596" s="1" t="n">
        <v>45343</v>
      </c>
      <c r="D1596" t="inlineStr">
        <is>
          <t>STOCKHOLMS LÄN</t>
        </is>
      </c>
      <c r="E1596" t="inlineStr">
        <is>
          <t>NORRTÄLJE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32595-2023</t>
        </is>
      </c>
      <c r="B1597" s="1" t="n">
        <v>45121</v>
      </c>
      <c r="C1597" s="1" t="n">
        <v>45343</v>
      </c>
      <c r="D1597" t="inlineStr">
        <is>
          <t>STOCKHOLMS LÄN</t>
        </is>
      </c>
      <c r="E1597" t="inlineStr">
        <is>
          <t>NORRTÄLJE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32948-2023</t>
        </is>
      </c>
      <c r="B1598" s="1" t="n">
        <v>45125</v>
      </c>
      <c r="C1598" s="1" t="n">
        <v>45343</v>
      </c>
      <c r="D1598" t="inlineStr">
        <is>
          <t>STOCKHOLMS LÄN</t>
        </is>
      </c>
      <c r="E1598" t="inlineStr">
        <is>
          <t>NORRTÄLJE</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33025-2023</t>
        </is>
      </c>
      <c r="B1599" s="1" t="n">
        <v>45125</v>
      </c>
      <c r="C1599" s="1" t="n">
        <v>45343</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33130-2023</t>
        </is>
      </c>
      <c r="B1600" s="1" t="n">
        <v>45126</v>
      </c>
      <c r="C1600" s="1" t="n">
        <v>45343</v>
      </c>
      <c r="D1600" t="inlineStr">
        <is>
          <t>STOCKHOLMS LÄN</t>
        </is>
      </c>
      <c r="E1600" t="inlineStr">
        <is>
          <t>NORRTÄLJE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33295-2023</t>
        </is>
      </c>
      <c r="B1601" s="1" t="n">
        <v>45127</v>
      </c>
      <c r="C1601" s="1" t="n">
        <v>45343</v>
      </c>
      <c r="D1601" t="inlineStr">
        <is>
          <t>STOCKHOLMS LÄN</t>
        </is>
      </c>
      <c r="E1601" t="inlineStr">
        <is>
          <t>NORRTÄLJE</t>
        </is>
      </c>
      <c r="F1601" t="inlineStr">
        <is>
          <t>Holmen skog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33270-2023</t>
        </is>
      </c>
      <c r="B1602" s="1" t="n">
        <v>45127</v>
      </c>
      <c r="C1602" s="1" t="n">
        <v>45343</v>
      </c>
      <c r="D1602" t="inlineStr">
        <is>
          <t>STOCKHOLMS LÄN</t>
        </is>
      </c>
      <c r="E1602" t="inlineStr">
        <is>
          <t>NORRTÄLJE</t>
        </is>
      </c>
      <c r="F1602" t="inlineStr">
        <is>
          <t>Holmen skog AB</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33226-2023</t>
        </is>
      </c>
      <c r="B1603" s="1" t="n">
        <v>45127</v>
      </c>
      <c r="C1603" s="1" t="n">
        <v>45343</v>
      </c>
      <c r="D1603" t="inlineStr">
        <is>
          <t>STOCKHOLMS LÄN</t>
        </is>
      </c>
      <c r="E1603" t="inlineStr">
        <is>
          <t>NORRTÄLJE</t>
        </is>
      </c>
      <c r="F1603" t="inlineStr">
        <is>
          <t>Holmen skog AB</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33243-2023</t>
        </is>
      </c>
      <c r="B1604" s="1" t="n">
        <v>45127</v>
      </c>
      <c r="C1604" s="1" t="n">
        <v>45343</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33291-2023</t>
        </is>
      </c>
      <c r="B1605" s="1" t="n">
        <v>45127</v>
      </c>
      <c r="C1605" s="1" t="n">
        <v>45343</v>
      </c>
      <c r="D1605" t="inlineStr">
        <is>
          <t>STOCKHOLMS LÄN</t>
        </is>
      </c>
      <c r="E1605" t="inlineStr">
        <is>
          <t>NORRTÄLJE</t>
        </is>
      </c>
      <c r="F1605" t="inlineStr">
        <is>
          <t>Holmen skog AB</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33353-2023</t>
        </is>
      </c>
      <c r="B1606" s="1" t="n">
        <v>45128</v>
      </c>
      <c r="C1606" s="1" t="n">
        <v>45343</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33569-2023</t>
        </is>
      </c>
      <c r="B1607" s="1" t="n">
        <v>45131</v>
      </c>
      <c r="C1607" s="1" t="n">
        <v>45343</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33646-2023</t>
        </is>
      </c>
      <c r="B1608" s="1" t="n">
        <v>45132</v>
      </c>
      <c r="C1608" s="1" t="n">
        <v>45343</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33641-2023</t>
        </is>
      </c>
      <c r="B1609" s="1" t="n">
        <v>45132</v>
      </c>
      <c r="C1609" s="1" t="n">
        <v>45343</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34085-2023</t>
        </is>
      </c>
      <c r="B1610" s="1" t="n">
        <v>45135</v>
      </c>
      <c r="C1610" s="1" t="n">
        <v>45343</v>
      </c>
      <c r="D1610" t="inlineStr">
        <is>
          <t>STOCKHOLMS LÄN</t>
        </is>
      </c>
      <c r="E1610" t="inlineStr">
        <is>
          <t>NORRTÄLJE</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34084-2023</t>
        </is>
      </c>
      <c r="B1611" s="1" t="n">
        <v>45135</v>
      </c>
      <c r="C1611" s="1" t="n">
        <v>45343</v>
      </c>
      <c r="D1611" t="inlineStr">
        <is>
          <t>STOCKHOLMS LÄN</t>
        </is>
      </c>
      <c r="E1611" t="inlineStr">
        <is>
          <t>NORRTÄLJE</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34132-2023</t>
        </is>
      </c>
      <c r="B1612" s="1" t="n">
        <v>45135</v>
      </c>
      <c r="C1612" s="1" t="n">
        <v>45343</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34391-2023</t>
        </is>
      </c>
      <c r="B1613" s="1" t="n">
        <v>45139</v>
      </c>
      <c r="C1613" s="1" t="n">
        <v>45343</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34461-2023</t>
        </is>
      </c>
      <c r="B1614" s="1" t="n">
        <v>45139</v>
      </c>
      <c r="C1614" s="1" t="n">
        <v>45343</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34462-2023</t>
        </is>
      </c>
      <c r="B1615" s="1" t="n">
        <v>45139</v>
      </c>
      <c r="C1615" s="1" t="n">
        <v>45343</v>
      </c>
      <c r="D1615" t="inlineStr">
        <is>
          <t>STOCKHOLMS LÄN</t>
        </is>
      </c>
      <c r="E1615" t="inlineStr">
        <is>
          <t>NORRTÄLJE</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34825-2023</t>
        </is>
      </c>
      <c r="B1616" s="1" t="n">
        <v>45141</v>
      </c>
      <c r="C1616" s="1" t="n">
        <v>45343</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35215-2023</t>
        </is>
      </c>
      <c r="B1617" s="1" t="n">
        <v>45145</v>
      </c>
      <c r="C1617" s="1" t="n">
        <v>45343</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35219-2023</t>
        </is>
      </c>
      <c r="B1618" s="1" t="n">
        <v>45145</v>
      </c>
      <c r="C1618" s="1" t="n">
        <v>45343</v>
      </c>
      <c r="D1618" t="inlineStr">
        <is>
          <t>STOCKHOLMS LÄN</t>
        </is>
      </c>
      <c r="E1618" t="inlineStr">
        <is>
          <t>NORRTÄLJE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35127-2023</t>
        </is>
      </c>
      <c r="B1619" s="1" t="n">
        <v>45145</v>
      </c>
      <c r="C1619" s="1" t="n">
        <v>45343</v>
      </c>
      <c r="D1619" t="inlineStr">
        <is>
          <t>STOCKHOLMS LÄN</t>
        </is>
      </c>
      <c r="E1619" t="inlineStr">
        <is>
          <t>NORRTÄLJE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35131-2023</t>
        </is>
      </c>
      <c r="B1620" s="1" t="n">
        <v>45145</v>
      </c>
      <c r="C1620" s="1" t="n">
        <v>45343</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35128-2023</t>
        </is>
      </c>
      <c r="B1621" s="1" t="n">
        <v>45145</v>
      </c>
      <c r="C1621" s="1" t="n">
        <v>45343</v>
      </c>
      <c r="D1621" t="inlineStr">
        <is>
          <t>STOCKHOLMS LÄN</t>
        </is>
      </c>
      <c r="E1621" t="inlineStr">
        <is>
          <t>NORRTÄLJE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35210-2023</t>
        </is>
      </c>
      <c r="B1622" s="1" t="n">
        <v>45145</v>
      </c>
      <c r="C1622" s="1" t="n">
        <v>45343</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35438-2023</t>
        </is>
      </c>
      <c r="B1623" s="1" t="n">
        <v>45146</v>
      </c>
      <c r="C1623" s="1" t="n">
        <v>45343</v>
      </c>
      <c r="D1623" t="inlineStr">
        <is>
          <t>STOCKHOLMS LÄN</t>
        </is>
      </c>
      <c r="E1623" t="inlineStr">
        <is>
          <t>NORRTÄLJE</t>
        </is>
      </c>
      <c r="F1623" t="inlineStr">
        <is>
          <t>Kommuner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35698-2023</t>
        </is>
      </c>
      <c r="B1624" s="1" t="n">
        <v>45147</v>
      </c>
      <c r="C1624" s="1" t="n">
        <v>45343</v>
      </c>
      <c r="D1624" t="inlineStr">
        <is>
          <t>STOCKHOLMS LÄN</t>
        </is>
      </c>
      <c r="E1624" t="inlineStr">
        <is>
          <t>NORRTÄLJE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35702-2023</t>
        </is>
      </c>
      <c r="B1625" s="1" t="n">
        <v>45147</v>
      </c>
      <c r="C1625" s="1" t="n">
        <v>45343</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35691-2023</t>
        </is>
      </c>
      <c r="B1626" s="1" t="n">
        <v>45147</v>
      </c>
      <c r="C1626" s="1" t="n">
        <v>45343</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35695-2023</t>
        </is>
      </c>
      <c r="B1627" s="1" t="n">
        <v>45147</v>
      </c>
      <c r="C1627" s="1" t="n">
        <v>45343</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35696-2023</t>
        </is>
      </c>
      <c r="B1628" s="1" t="n">
        <v>45147</v>
      </c>
      <c r="C1628" s="1" t="n">
        <v>45343</v>
      </c>
      <c r="D1628" t="inlineStr">
        <is>
          <t>STOCKHOLMS LÄN</t>
        </is>
      </c>
      <c r="E1628" t="inlineStr">
        <is>
          <t>NORRTÄLJE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35700-2023</t>
        </is>
      </c>
      <c r="B1629" s="1" t="n">
        <v>45147</v>
      </c>
      <c r="C1629" s="1" t="n">
        <v>45343</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35704-2023</t>
        </is>
      </c>
      <c r="B1630" s="1" t="n">
        <v>45147</v>
      </c>
      <c r="C1630" s="1" t="n">
        <v>45343</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35693-2023</t>
        </is>
      </c>
      <c r="B1631" s="1" t="n">
        <v>45147</v>
      </c>
      <c r="C1631" s="1" t="n">
        <v>45343</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35701-2023</t>
        </is>
      </c>
      <c r="B1632" s="1" t="n">
        <v>45147</v>
      </c>
      <c r="C1632" s="1" t="n">
        <v>45343</v>
      </c>
      <c r="D1632" t="inlineStr">
        <is>
          <t>STOCKHOLMS LÄN</t>
        </is>
      </c>
      <c r="E1632" t="inlineStr">
        <is>
          <t>NORRTÄLJE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35823-2023</t>
        </is>
      </c>
      <c r="B1633" s="1" t="n">
        <v>45148</v>
      </c>
      <c r="C1633" s="1" t="n">
        <v>45343</v>
      </c>
      <c r="D1633" t="inlineStr">
        <is>
          <t>STOCKHOLMS LÄN</t>
        </is>
      </c>
      <c r="E1633" t="inlineStr">
        <is>
          <t>NORRTÄLJE</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36253-2023</t>
        </is>
      </c>
      <c r="B1634" s="1" t="n">
        <v>45151</v>
      </c>
      <c r="C1634" s="1" t="n">
        <v>45343</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36257-2023</t>
        </is>
      </c>
      <c r="B1635" s="1" t="n">
        <v>45151</v>
      </c>
      <c r="C1635" s="1" t="n">
        <v>45343</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36259-2023</t>
        </is>
      </c>
      <c r="B1636" s="1" t="n">
        <v>45151</v>
      </c>
      <c r="C1636" s="1" t="n">
        <v>45343</v>
      </c>
      <c r="D1636" t="inlineStr">
        <is>
          <t>STOCKHOLMS LÄN</t>
        </is>
      </c>
      <c r="E1636" t="inlineStr">
        <is>
          <t>NORRTÄLJE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36254-2023</t>
        </is>
      </c>
      <c r="B1637" s="1" t="n">
        <v>45151</v>
      </c>
      <c r="C1637" s="1" t="n">
        <v>45343</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36258-2023</t>
        </is>
      </c>
      <c r="B1638" s="1" t="n">
        <v>45151</v>
      </c>
      <c r="C1638" s="1" t="n">
        <v>45343</v>
      </c>
      <c r="D1638" t="inlineStr">
        <is>
          <t>STOCKHOLMS LÄN</t>
        </is>
      </c>
      <c r="E1638" t="inlineStr">
        <is>
          <t>NORRTÄLJE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36689-2023</t>
        </is>
      </c>
      <c r="B1639" s="1" t="n">
        <v>45152</v>
      </c>
      <c r="C1639" s="1" t="n">
        <v>45343</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36865-2023</t>
        </is>
      </c>
      <c r="B1640" s="1" t="n">
        <v>45154</v>
      </c>
      <c r="C1640" s="1" t="n">
        <v>45343</v>
      </c>
      <c r="D1640" t="inlineStr">
        <is>
          <t>STOCKHOLMS LÄN</t>
        </is>
      </c>
      <c r="E1640" t="inlineStr">
        <is>
          <t>NORRTÄLJE</t>
        </is>
      </c>
      <c r="F1640" t="inlineStr">
        <is>
          <t>Kyrkan</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37139-2023</t>
        </is>
      </c>
      <c r="B1641" s="1" t="n">
        <v>45155</v>
      </c>
      <c r="C1641" s="1" t="n">
        <v>45343</v>
      </c>
      <c r="D1641" t="inlineStr">
        <is>
          <t>STOCKHOLMS LÄN</t>
        </is>
      </c>
      <c r="E1641" t="inlineStr">
        <is>
          <t>NORRTÄLJE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37136-2023</t>
        </is>
      </c>
      <c r="B1642" s="1" t="n">
        <v>45155</v>
      </c>
      <c r="C1642" s="1" t="n">
        <v>45343</v>
      </c>
      <c r="D1642" t="inlineStr">
        <is>
          <t>STOCKHOLMS LÄN</t>
        </is>
      </c>
      <c r="E1642" t="inlineStr">
        <is>
          <t>NORRTÄLJE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37147-2023</t>
        </is>
      </c>
      <c r="B1643" s="1" t="n">
        <v>45155</v>
      </c>
      <c r="C1643" s="1" t="n">
        <v>45343</v>
      </c>
      <c r="D1643" t="inlineStr">
        <is>
          <t>STOCKHOLMS LÄN</t>
        </is>
      </c>
      <c r="E1643" t="inlineStr">
        <is>
          <t>NORRTÄLJE</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37670-2023</t>
        </is>
      </c>
      <c r="B1644" s="1" t="n">
        <v>45159</v>
      </c>
      <c r="C1644" s="1" t="n">
        <v>45343</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38049-2023</t>
        </is>
      </c>
      <c r="B1645" s="1" t="n">
        <v>45159</v>
      </c>
      <c r="C1645" s="1" t="n">
        <v>45343</v>
      </c>
      <c r="D1645" t="inlineStr">
        <is>
          <t>STOCKHOLMS LÄN</t>
        </is>
      </c>
      <c r="E1645" t="inlineStr">
        <is>
          <t>NORRTÄLJE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38022-2023</t>
        </is>
      </c>
      <c r="B1646" s="1" t="n">
        <v>45160</v>
      </c>
      <c r="C1646" s="1" t="n">
        <v>45343</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38482-2023</t>
        </is>
      </c>
      <c r="B1647" s="1" t="n">
        <v>45162</v>
      </c>
      <c r="C1647" s="1" t="n">
        <v>45343</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38487-2023</t>
        </is>
      </c>
      <c r="B1648" s="1" t="n">
        <v>45162</v>
      </c>
      <c r="C1648" s="1" t="n">
        <v>45343</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38591-2023</t>
        </is>
      </c>
      <c r="B1649" s="1" t="n">
        <v>45162</v>
      </c>
      <c r="C1649" s="1" t="n">
        <v>45343</v>
      </c>
      <c r="D1649" t="inlineStr">
        <is>
          <t>STOCKHOLMS LÄN</t>
        </is>
      </c>
      <c r="E1649" t="inlineStr">
        <is>
          <t>NORRTÄLJE</t>
        </is>
      </c>
      <c r="F1649" t="inlineStr">
        <is>
          <t>Övriga Aktiebolag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39229-2023</t>
        </is>
      </c>
      <c r="B1650" s="1" t="n">
        <v>45166</v>
      </c>
      <c r="C1650" s="1" t="n">
        <v>45343</v>
      </c>
      <c r="D1650" t="inlineStr">
        <is>
          <t>STOCKHOLMS LÄN</t>
        </is>
      </c>
      <c r="E1650" t="inlineStr">
        <is>
          <t>NORRTÄLJE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39879-2023</t>
        </is>
      </c>
      <c r="B1651" s="1" t="n">
        <v>45168</v>
      </c>
      <c r="C1651" s="1" t="n">
        <v>45343</v>
      </c>
      <c r="D1651" t="inlineStr">
        <is>
          <t>STOCKHOLMS LÄN</t>
        </is>
      </c>
      <c r="E1651" t="inlineStr">
        <is>
          <t>NORRTÄLJE</t>
        </is>
      </c>
      <c r="F1651" t="inlineStr">
        <is>
          <t>Holmen skog AB</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39905-2023</t>
        </is>
      </c>
      <c r="B1652" s="1" t="n">
        <v>45168</v>
      </c>
      <c r="C1652" s="1" t="n">
        <v>45343</v>
      </c>
      <c r="D1652" t="inlineStr">
        <is>
          <t>STOCKHOLMS LÄN</t>
        </is>
      </c>
      <c r="E1652" t="inlineStr">
        <is>
          <t>NORRTÄLJE</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40139-2023</t>
        </is>
      </c>
      <c r="B1653" s="1" t="n">
        <v>45169</v>
      </c>
      <c r="C1653" s="1" t="n">
        <v>45343</v>
      </c>
      <c r="D1653" t="inlineStr">
        <is>
          <t>STOCKHOLMS LÄN</t>
        </is>
      </c>
      <c r="E1653" t="inlineStr">
        <is>
          <t>NORRTÄLJE</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40192-2023</t>
        </is>
      </c>
      <c r="B1654" s="1" t="n">
        <v>45169</v>
      </c>
      <c r="C1654" s="1" t="n">
        <v>45343</v>
      </c>
      <c r="D1654" t="inlineStr">
        <is>
          <t>STOCKHOLMS LÄN</t>
        </is>
      </c>
      <c r="E1654" t="inlineStr">
        <is>
          <t>NORRTÄLJE</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40161-2023</t>
        </is>
      </c>
      <c r="B1655" s="1" t="n">
        <v>45169</v>
      </c>
      <c r="C1655" s="1" t="n">
        <v>45343</v>
      </c>
      <c r="D1655" t="inlineStr">
        <is>
          <t>STOCKHOLMS LÄN</t>
        </is>
      </c>
      <c r="E1655" t="inlineStr">
        <is>
          <t>NORRTÄLJE</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40190-2023</t>
        </is>
      </c>
      <c r="B1656" s="1" t="n">
        <v>45169</v>
      </c>
      <c r="C1656" s="1" t="n">
        <v>45343</v>
      </c>
      <c r="D1656" t="inlineStr">
        <is>
          <t>STOCKHOLMS LÄN</t>
        </is>
      </c>
      <c r="E1656" t="inlineStr">
        <is>
          <t>NORRTÄLJE</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40379-2023</t>
        </is>
      </c>
      <c r="B1657" s="1" t="n">
        <v>45169</v>
      </c>
      <c r="C1657" s="1" t="n">
        <v>45343</v>
      </c>
      <c r="D1657" t="inlineStr">
        <is>
          <t>STOCKHOLMS LÄN</t>
        </is>
      </c>
      <c r="E1657" t="inlineStr">
        <is>
          <t>NORRTÄLJE</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41172-2023</t>
        </is>
      </c>
      <c r="B1658" s="1" t="n">
        <v>45170</v>
      </c>
      <c r="C1658" s="1" t="n">
        <v>45343</v>
      </c>
      <c r="D1658" t="inlineStr">
        <is>
          <t>STOCKHOLMS LÄN</t>
        </is>
      </c>
      <c r="E1658" t="inlineStr">
        <is>
          <t>NORRTÄLJE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40995-2023</t>
        </is>
      </c>
      <c r="B1659" s="1" t="n">
        <v>45173</v>
      </c>
      <c r="C1659" s="1" t="n">
        <v>45343</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41335-2023</t>
        </is>
      </c>
      <c r="B1660" s="1" t="n">
        <v>45174</v>
      </c>
      <c r="C1660" s="1" t="n">
        <v>45343</v>
      </c>
      <c r="D1660" t="inlineStr">
        <is>
          <t>STOCKHOLMS LÄN</t>
        </is>
      </c>
      <c r="E1660" t="inlineStr">
        <is>
          <t>NORRTÄLJE</t>
        </is>
      </c>
      <c r="F1660" t="inlineStr">
        <is>
          <t>Holmen skog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41587-2023</t>
        </is>
      </c>
      <c r="B1661" s="1" t="n">
        <v>45175</v>
      </c>
      <c r="C1661" s="1" t="n">
        <v>45343</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41716-2023</t>
        </is>
      </c>
      <c r="B1662" s="1" t="n">
        <v>45176</v>
      </c>
      <c r="C1662" s="1" t="n">
        <v>45343</v>
      </c>
      <c r="D1662" t="inlineStr">
        <is>
          <t>STOCKHOLMS LÄN</t>
        </is>
      </c>
      <c r="E1662" t="inlineStr">
        <is>
          <t>NORRTÄLJE</t>
        </is>
      </c>
      <c r="F1662" t="inlineStr">
        <is>
          <t>Kyrkan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41715-2023</t>
        </is>
      </c>
      <c r="B1663" s="1" t="n">
        <v>45176</v>
      </c>
      <c r="C1663" s="1" t="n">
        <v>45343</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41880-2023</t>
        </is>
      </c>
      <c r="B1664" s="1" t="n">
        <v>45176</v>
      </c>
      <c r="C1664" s="1" t="n">
        <v>45343</v>
      </c>
      <c r="D1664" t="inlineStr">
        <is>
          <t>STOCKHOLMS LÄN</t>
        </is>
      </c>
      <c r="E1664" t="inlineStr">
        <is>
          <t>NORRTÄLJE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42094-2023</t>
        </is>
      </c>
      <c r="B1665" s="1" t="n">
        <v>45177</v>
      </c>
      <c r="C1665" s="1" t="n">
        <v>45343</v>
      </c>
      <c r="D1665" t="inlineStr">
        <is>
          <t>STOCKHOLMS LÄN</t>
        </is>
      </c>
      <c r="E1665" t="inlineStr">
        <is>
          <t>NORRTÄLJE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42075-2023</t>
        </is>
      </c>
      <c r="B1666" s="1" t="n">
        <v>45177</v>
      </c>
      <c r="C1666" s="1" t="n">
        <v>45343</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42199-2023</t>
        </is>
      </c>
      <c r="B1667" s="1" t="n">
        <v>45179</v>
      </c>
      <c r="C1667" s="1" t="n">
        <v>45343</v>
      </c>
      <c r="D1667" t="inlineStr">
        <is>
          <t>STOCKHOLMS LÄN</t>
        </is>
      </c>
      <c r="E1667" t="inlineStr">
        <is>
          <t>NORRTÄLJE</t>
        </is>
      </c>
      <c r="F1667" t="inlineStr">
        <is>
          <t>Sveaskog</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42200-2023</t>
        </is>
      </c>
      <c r="B1668" s="1" t="n">
        <v>45179</v>
      </c>
      <c r="C1668" s="1" t="n">
        <v>45343</v>
      </c>
      <c r="D1668" t="inlineStr">
        <is>
          <t>STOCKHOLMS LÄN</t>
        </is>
      </c>
      <c r="E1668" t="inlineStr">
        <is>
          <t>NORRTÄLJE</t>
        </is>
      </c>
      <c r="F1668" t="inlineStr">
        <is>
          <t>Sveaskog</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42765-2023</t>
        </is>
      </c>
      <c r="B1669" s="1" t="n">
        <v>45181</v>
      </c>
      <c r="C1669" s="1" t="n">
        <v>45343</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42775-2023</t>
        </is>
      </c>
      <c r="B1670" s="1" t="n">
        <v>45181</v>
      </c>
      <c r="C1670" s="1" t="n">
        <v>45343</v>
      </c>
      <c r="D1670" t="inlineStr">
        <is>
          <t>STOCKHOLMS LÄN</t>
        </is>
      </c>
      <c r="E1670" t="inlineStr">
        <is>
          <t>NORRTÄLJE</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42948-2023</t>
        </is>
      </c>
      <c r="B1671" s="1" t="n">
        <v>45182</v>
      </c>
      <c r="C1671" s="1" t="n">
        <v>45343</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42977-2023</t>
        </is>
      </c>
      <c r="B1672" s="1" t="n">
        <v>45182</v>
      </c>
      <c r="C1672" s="1" t="n">
        <v>45343</v>
      </c>
      <c r="D1672" t="inlineStr">
        <is>
          <t>STOCKHOLMS LÄN</t>
        </is>
      </c>
      <c r="E1672" t="inlineStr">
        <is>
          <t>NORRTÄLJE</t>
        </is>
      </c>
      <c r="F1672" t="inlineStr">
        <is>
          <t>Sveaskog</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43140-2023</t>
        </is>
      </c>
      <c r="B1673" s="1" t="n">
        <v>45183</v>
      </c>
      <c r="C1673" s="1" t="n">
        <v>45343</v>
      </c>
      <c r="D1673" t="inlineStr">
        <is>
          <t>STOCKHOLMS LÄN</t>
        </is>
      </c>
      <c r="E1673" t="inlineStr">
        <is>
          <t>NORRTÄLJE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43207-2023</t>
        </is>
      </c>
      <c r="B1674" s="1" t="n">
        <v>45183</v>
      </c>
      <c r="C1674" s="1" t="n">
        <v>45343</v>
      </c>
      <c r="D1674" t="inlineStr">
        <is>
          <t>STOCKHOLMS LÄN</t>
        </is>
      </c>
      <c r="E1674" t="inlineStr">
        <is>
          <t>NORRTÄLJE</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43150-2023</t>
        </is>
      </c>
      <c r="B1675" s="1" t="n">
        <v>45183</v>
      </c>
      <c r="C1675" s="1" t="n">
        <v>45343</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43170-2023</t>
        </is>
      </c>
      <c r="B1676" s="1" t="n">
        <v>45183</v>
      </c>
      <c r="C1676" s="1" t="n">
        <v>45343</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43289-2023</t>
        </is>
      </c>
      <c r="B1677" s="1" t="n">
        <v>45183</v>
      </c>
      <c r="C1677" s="1" t="n">
        <v>45343</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43300-2023</t>
        </is>
      </c>
      <c r="B1678" s="1" t="n">
        <v>45183</v>
      </c>
      <c r="C1678" s="1" t="n">
        <v>45343</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43638-2023</t>
        </is>
      </c>
      <c r="B1679" s="1" t="n">
        <v>45186</v>
      </c>
      <c r="C1679" s="1" t="n">
        <v>45343</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43684-2023</t>
        </is>
      </c>
      <c r="B1680" s="1" t="n">
        <v>45187</v>
      </c>
      <c r="C1680" s="1" t="n">
        <v>45343</v>
      </c>
      <c r="D1680" t="inlineStr">
        <is>
          <t>STOCKHOLMS LÄN</t>
        </is>
      </c>
      <c r="E1680" t="inlineStr">
        <is>
          <t>NORRTÄLJE</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43836-2023</t>
        </is>
      </c>
      <c r="B1681" s="1" t="n">
        <v>45187</v>
      </c>
      <c r="C1681" s="1" t="n">
        <v>45343</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43710-2023</t>
        </is>
      </c>
      <c r="B1682" s="1" t="n">
        <v>45187</v>
      </c>
      <c r="C1682" s="1" t="n">
        <v>45343</v>
      </c>
      <c r="D1682" t="inlineStr">
        <is>
          <t>STOCKHOLMS LÄN</t>
        </is>
      </c>
      <c r="E1682" t="inlineStr">
        <is>
          <t>NORRTÄLJE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44891-2023</t>
        </is>
      </c>
      <c r="B1683" s="1" t="n">
        <v>45187</v>
      </c>
      <c r="C1683" s="1" t="n">
        <v>45343</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44885-2023</t>
        </is>
      </c>
      <c r="B1684" s="1" t="n">
        <v>45187</v>
      </c>
      <c r="C1684" s="1" t="n">
        <v>45343</v>
      </c>
      <c r="D1684" t="inlineStr">
        <is>
          <t>STOCKHOLMS LÄN</t>
        </is>
      </c>
      <c r="E1684" t="inlineStr">
        <is>
          <t>NORRTÄLJE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44075-2023</t>
        </is>
      </c>
      <c r="B1685" s="1" t="n">
        <v>45188</v>
      </c>
      <c r="C1685" s="1" t="n">
        <v>45343</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44154-2023</t>
        </is>
      </c>
      <c r="B1686" s="1" t="n">
        <v>45188</v>
      </c>
      <c r="C1686" s="1" t="n">
        <v>45343</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44571-2023</t>
        </is>
      </c>
      <c r="B1687" s="1" t="n">
        <v>45189</v>
      </c>
      <c r="C1687" s="1" t="n">
        <v>45343</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44836-2023</t>
        </is>
      </c>
      <c r="B1688" s="1" t="n">
        <v>45190</v>
      </c>
      <c r="C1688" s="1" t="n">
        <v>45343</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45173-2023</t>
        </is>
      </c>
      <c r="B1689" s="1" t="n">
        <v>45191</v>
      </c>
      <c r="C1689" s="1" t="n">
        <v>45343</v>
      </c>
      <c r="D1689" t="inlineStr">
        <is>
          <t>STOCKHOLMS LÄN</t>
        </is>
      </c>
      <c r="E1689" t="inlineStr">
        <is>
          <t>NORRTÄLJE</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45174-2023</t>
        </is>
      </c>
      <c r="B1690" s="1" t="n">
        <v>45191</v>
      </c>
      <c r="C1690" s="1" t="n">
        <v>45343</v>
      </c>
      <c r="D1690" t="inlineStr">
        <is>
          <t>STOCKHOLMS LÄN</t>
        </is>
      </c>
      <c r="E1690" t="inlineStr">
        <is>
          <t>NORRTÄLJE</t>
        </is>
      </c>
      <c r="F1690" t="inlineStr">
        <is>
          <t>Sveaskog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46161-2023</t>
        </is>
      </c>
      <c r="B1691" s="1" t="n">
        <v>45196</v>
      </c>
      <c r="C1691" s="1" t="n">
        <v>45343</v>
      </c>
      <c r="D1691" t="inlineStr">
        <is>
          <t>STOCKHOLMS LÄN</t>
        </is>
      </c>
      <c r="E1691" t="inlineStr">
        <is>
          <t>NORRTÄLJE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46155-2023</t>
        </is>
      </c>
      <c r="B1692" s="1" t="n">
        <v>45196</v>
      </c>
      <c r="C1692" s="1" t="n">
        <v>45343</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46621-2023</t>
        </is>
      </c>
      <c r="B1693" s="1" t="n">
        <v>45198</v>
      </c>
      <c r="C1693" s="1" t="n">
        <v>45343</v>
      </c>
      <c r="D1693" t="inlineStr">
        <is>
          <t>STOCKHOLMS LÄN</t>
        </is>
      </c>
      <c r="E1693" t="inlineStr">
        <is>
          <t>NORRTÄLJE</t>
        </is>
      </c>
      <c r="F1693" t="inlineStr">
        <is>
          <t>Holmen skog AB</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47419-2023</t>
        </is>
      </c>
      <c r="B1694" s="1" t="n">
        <v>45202</v>
      </c>
      <c r="C1694" s="1" t="n">
        <v>45343</v>
      </c>
      <c r="D1694" t="inlineStr">
        <is>
          <t>STOCKHOLMS LÄN</t>
        </is>
      </c>
      <c r="E1694" t="inlineStr">
        <is>
          <t>NORRTÄLJE</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47431-2023</t>
        </is>
      </c>
      <c r="B1695" s="1" t="n">
        <v>45202</v>
      </c>
      <c r="C1695" s="1" t="n">
        <v>45343</v>
      </c>
      <c r="D1695" t="inlineStr">
        <is>
          <t>STOCKHOLMS LÄN</t>
        </is>
      </c>
      <c r="E1695" t="inlineStr">
        <is>
          <t>NORRTÄLJE</t>
        </is>
      </c>
      <c r="F1695" t="inlineStr">
        <is>
          <t>Naturvårdsverket</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47325-2023</t>
        </is>
      </c>
      <c r="B1696" s="1" t="n">
        <v>45202</v>
      </c>
      <c r="C1696" s="1" t="n">
        <v>45343</v>
      </c>
      <c r="D1696" t="inlineStr">
        <is>
          <t>STOCKHOLMS LÄN</t>
        </is>
      </c>
      <c r="E1696" t="inlineStr">
        <is>
          <t>NORRTÄLJE</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47433-2023</t>
        </is>
      </c>
      <c r="B1697" s="1" t="n">
        <v>45202</v>
      </c>
      <c r="C1697" s="1" t="n">
        <v>45343</v>
      </c>
      <c r="D1697" t="inlineStr">
        <is>
          <t>STOCKHOLMS LÄN</t>
        </is>
      </c>
      <c r="E1697" t="inlineStr">
        <is>
          <t>NORRTÄLJE</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47388-2023</t>
        </is>
      </c>
      <c r="B1698" s="1" t="n">
        <v>45202</v>
      </c>
      <c r="C1698" s="1" t="n">
        <v>45343</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47430-2023</t>
        </is>
      </c>
      <c r="B1699" s="1" t="n">
        <v>45202</v>
      </c>
      <c r="C1699" s="1" t="n">
        <v>45343</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49775-2023</t>
        </is>
      </c>
      <c r="B1700" s="1" t="n">
        <v>45202</v>
      </c>
      <c r="C1700" s="1" t="n">
        <v>45343</v>
      </c>
      <c r="D1700" t="inlineStr">
        <is>
          <t>STOCKHOLMS LÄN</t>
        </is>
      </c>
      <c r="E1700" t="inlineStr">
        <is>
          <t>NORRTÄLJE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48578-2023</t>
        </is>
      </c>
      <c r="B1701" s="1" t="n">
        <v>45202</v>
      </c>
      <c r="C1701" s="1" t="n">
        <v>45343</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49774-2023</t>
        </is>
      </c>
      <c r="B1702" s="1" t="n">
        <v>45202</v>
      </c>
      <c r="C1702" s="1" t="n">
        <v>45343</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47672-2023</t>
        </is>
      </c>
      <c r="B1703" s="1" t="n">
        <v>45203</v>
      </c>
      <c r="C1703" s="1" t="n">
        <v>45343</v>
      </c>
      <c r="D1703" t="inlineStr">
        <is>
          <t>STOCKHOLMS LÄN</t>
        </is>
      </c>
      <c r="E1703" t="inlineStr">
        <is>
          <t>NORRTÄLJE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47694-2023</t>
        </is>
      </c>
      <c r="B1704" s="1" t="n">
        <v>45203</v>
      </c>
      <c r="C1704" s="1" t="n">
        <v>45343</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47708-2023</t>
        </is>
      </c>
      <c r="B1705" s="1" t="n">
        <v>45203</v>
      </c>
      <c r="C1705" s="1" t="n">
        <v>45343</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47758-2023</t>
        </is>
      </c>
      <c r="B1706" s="1" t="n">
        <v>45203</v>
      </c>
      <c r="C1706" s="1" t="n">
        <v>45343</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47699-2023</t>
        </is>
      </c>
      <c r="B1707" s="1" t="n">
        <v>45203</v>
      </c>
      <c r="C1707" s="1" t="n">
        <v>45343</v>
      </c>
      <c r="D1707" t="inlineStr">
        <is>
          <t>STOCKHOLMS LÄN</t>
        </is>
      </c>
      <c r="E1707" t="inlineStr">
        <is>
          <t>NORRTÄLJE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47735-2023</t>
        </is>
      </c>
      <c r="B1708" s="1" t="n">
        <v>45203</v>
      </c>
      <c r="C1708" s="1" t="n">
        <v>45343</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48167-2023</t>
        </is>
      </c>
      <c r="B1709" s="1" t="n">
        <v>45205</v>
      </c>
      <c r="C1709" s="1" t="n">
        <v>45343</v>
      </c>
      <c r="D1709" t="inlineStr">
        <is>
          <t>STOCKHOLMS LÄN</t>
        </is>
      </c>
      <c r="E1709" t="inlineStr">
        <is>
          <t>NORRTÄLJE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48180-2023</t>
        </is>
      </c>
      <c r="B1710" s="1" t="n">
        <v>45205</v>
      </c>
      <c r="C1710" s="1" t="n">
        <v>45343</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48185-2023</t>
        </is>
      </c>
      <c r="B1711" s="1" t="n">
        <v>45205</v>
      </c>
      <c r="C1711" s="1" t="n">
        <v>45343</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48302-2023</t>
        </is>
      </c>
      <c r="B1712" s="1" t="n">
        <v>45205</v>
      </c>
      <c r="C1712" s="1" t="n">
        <v>45343</v>
      </c>
      <c r="D1712" t="inlineStr">
        <is>
          <t>STOCKHOLMS LÄN</t>
        </is>
      </c>
      <c r="E1712" t="inlineStr">
        <is>
          <t>NORRTÄLJE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48333-2023</t>
        </is>
      </c>
      <c r="B1713" s="1" t="n">
        <v>45205</v>
      </c>
      <c r="C1713" s="1" t="n">
        <v>45343</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48541-2023</t>
        </is>
      </c>
      <c r="B1714" s="1" t="n">
        <v>45208</v>
      </c>
      <c r="C1714" s="1" t="n">
        <v>45343</v>
      </c>
      <c r="D1714" t="inlineStr">
        <is>
          <t>STOCKHOLMS LÄN</t>
        </is>
      </c>
      <c r="E1714" t="inlineStr">
        <is>
          <t>NORRTÄLJE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48552-2023</t>
        </is>
      </c>
      <c r="B1715" s="1" t="n">
        <v>45208</v>
      </c>
      <c r="C1715" s="1" t="n">
        <v>45343</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48587-2023</t>
        </is>
      </c>
      <c r="B1716" s="1" t="n">
        <v>45208</v>
      </c>
      <c r="C1716" s="1" t="n">
        <v>45343</v>
      </c>
      <c r="D1716" t="inlineStr">
        <is>
          <t>STOCKHOLMS LÄN</t>
        </is>
      </c>
      <c r="E1716" t="inlineStr">
        <is>
          <t>NORRTÄLJE</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48633-2023</t>
        </is>
      </c>
      <c r="B1717" s="1" t="n">
        <v>45208</v>
      </c>
      <c r="C1717" s="1" t="n">
        <v>45343</v>
      </c>
      <c r="D1717" t="inlineStr">
        <is>
          <t>STOCKHOLMS LÄN</t>
        </is>
      </c>
      <c r="E1717" t="inlineStr">
        <is>
          <t>NORRTÄLJE</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48641-2023</t>
        </is>
      </c>
      <c r="B1718" s="1" t="n">
        <v>45208</v>
      </c>
      <c r="C1718" s="1" t="n">
        <v>45343</v>
      </c>
      <c r="D1718" t="inlineStr">
        <is>
          <t>STOCKHOLMS LÄN</t>
        </is>
      </c>
      <c r="E1718" t="inlineStr">
        <is>
          <t>NORRTÄLJE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48686-2023</t>
        </is>
      </c>
      <c r="B1719" s="1" t="n">
        <v>45208</v>
      </c>
      <c r="C1719" s="1" t="n">
        <v>45343</v>
      </c>
      <c r="D1719" t="inlineStr">
        <is>
          <t>STOCKHOLMS LÄN</t>
        </is>
      </c>
      <c r="E1719" t="inlineStr">
        <is>
          <t>NORRTÄLJE</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48629-2023</t>
        </is>
      </c>
      <c r="B1720" s="1" t="n">
        <v>45208</v>
      </c>
      <c r="C1720" s="1" t="n">
        <v>45343</v>
      </c>
      <c r="D1720" t="inlineStr">
        <is>
          <t>STOCKHOLMS LÄN</t>
        </is>
      </c>
      <c r="E1720" t="inlineStr">
        <is>
          <t>NORRTÄLJE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48668-2023</t>
        </is>
      </c>
      <c r="B1721" s="1" t="n">
        <v>45208</v>
      </c>
      <c r="C1721" s="1" t="n">
        <v>45343</v>
      </c>
      <c r="D1721" t="inlineStr">
        <is>
          <t>STOCKHOLMS LÄN</t>
        </is>
      </c>
      <c r="E1721" t="inlineStr">
        <is>
          <t>NORRTÄLJE</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48685-2023</t>
        </is>
      </c>
      <c r="B1722" s="1" t="n">
        <v>45208</v>
      </c>
      <c r="C1722" s="1" t="n">
        <v>45343</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48691-2023</t>
        </is>
      </c>
      <c r="B1723" s="1" t="n">
        <v>45208</v>
      </c>
      <c r="C1723" s="1" t="n">
        <v>45343</v>
      </c>
      <c r="D1723" t="inlineStr">
        <is>
          <t>STOCKHOLMS LÄN</t>
        </is>
      </c>
      <c r="E1723" t="inlineStr">
        <is>
          <t>NORRTÄLJE</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48701-2023</t>
        </is>
      </c>
      <c r="B1724" s="1" t="n">
        <v>45208</v>
      </c>
      <c r="C1724" s="1" t="n">
        <v>45343</v>
      </c>
      <c r="D1724" t="inlineStr">
        <is>
          <t>STOCKHOLMS LÄN</t>
        </is>
      </c>
      <c r="E1724" t="inlineStr">
        <is>
          <t>NORRTÄLJE</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48716-2023</t>
        </is>
      </c>
      <c r="B1725" s="1" t="n">
        <v>45208</v>
      </c>
      <c r="C1725" s="1" t="n">
        <v>45343</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48709-2023</t>
        </is>
      </c>
      <c r="B1726" s="1" t="n">
        <v>45208</v>
      </c>
      <c r="C1726" s="1" t="n">
        <v>45343</v>
      </c>
      <c r="D1726" t="inlineStr">
        <is>
          <t>STOCKHOLMS LÄN</t>
        </is>
      </c>
      <c r="E1726" t="inlineStr">
        <is>
          <t>NORRTÄLJE</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48722-2023</t>
        </is>
      </c>
      <c r="B1727" s="1" t="n">
        <v>45208</v>
      </c>
      <c r="C1727" s="1" t="n">
        <v>45343</v>
      </c>
      <c r="D1727" t="inlineStr">
        <is>
          <t>STOCKHOLMS LÄN</t>
        </is>
      </c>
      <c r="E1727" t="inlineStr">
        <is>
          <t>NORRTÄLJE</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48726-2023</t>
        </is>
      </c>
      <c r="B1728" s="1" t="n">
        <v>45208</v>
      </c>
      <c r="C1728" s="1" t="n">
        <v>45343</v>
      </c>
      <c r="D1728" t="inlineStr">
        <is>
          <t>STOCKHOLMS LÄN</t>
        </is>
      </c>
      <c r="E1728" t="inlineStr">
        <is>
          <t>NORRTÄLJE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49169-2023</t>
        </is>
      </c>
      <c r="B1729" s="1" t="n">
        <v>45210</v>
      </c>
      <c r="C1729" s="1" t="n">
        <v>45343</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49176-2023</t>
        </is>
      </c>
      <c r="B1730" s="1" t="n">
        <v>45210</v>
      </c>
      <c r="C1730" s="1" t="n">
        <v>45343</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49224-2023</t>
        </is>
      </c>
      <c r="B1731" s="1" t="n">
        <v>45210</v>
      </c>
      <c r="C1731" s="1" t="n">
        <v>45343</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49696-2023</t>
        </is>
      </c>
      <c r="B1732" s="1" t="n">
        <v>45212</v>
      </c>
      <c r="C1732" s="1" t="n">
        <v>45343</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49700-2023</t>
        </is>
      </c>
      <c r="B1733" s="1" t="n">
        <v>45212</v>
      </c>
      <c r="C1733" s="1" t="n">
        <v>45343</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49694-2023</t>
        </is>
      </c>
      <c r="B1734" s="1" t="n">
        <v>45212</v>
      </c>
      <c r="C1734" s="1" t="n">
        <v>45343</v>
      </c>
      <c r="D1734" t="inlineStr">
        <is>
          <t>STOCKHOLMS LÄN</t>
        </is>
      </c>
      <c r="E1734" t="inlineStr">
        <is>
          <t>NORRTÄLJE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50143-2023</t>
        </is>
      </c>
      <c r="B1735" s="1" t="n">
        <v>45215</v>
      </c>
      <c r="C1735" s="1" t="n">
        <v>45343</v>
      </c>
      <c r="D1735" t="inlineStr">
        <is>
          <t>STOCKHOLMS LÄN</t>
        </is>
      </c>
      <c r="E1735" t="inlineStr">
        <is>
          <t>NORRTÄLJE</t>
        </is>
      </c>
      <c r="G1735" t="n">
        <v>10.3</v>
      </c>
      <c r="H1735" t="n">
        <v>0</v>
      </c>
      <c r="I1735" t="n">
        <v>0</v>
      </c>
      <c r="J1735" t="n">
        <v>0</v>
      </c>
      <c r="K1735" t="n">
        <v>0</v>
      </c>
      <c r="L1735" t="n">
        <v>0</v>
      </c>
      <c r="M1735" t="n">
        <v>0</v>
      </c>
      <c r="N1735" t="n">
        <v>0</v>
      </c>
      <c r="O1735" t="n">
        <v>0</v>
      </c>
      <c r="P1735" t="n">
        <v>0</v>
      </c>
      <c r="Q1735" t="n">
        <v>0</v>
      </c>
      <c r="R1735" s="2" t="inlineStr"/>
    </row>
    <row r="1736" ht="15" customHeight="1">
      <c r="A1736" t="inlineStr">
        <is>
          <t>A 50107-2023</t>
        </is>
      </c>
      <c r="B1736" s="1" t="n">
        <v>45215</v>
      </c>
      <c r="C1736" s="1" t="n">
        <v>45343</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50033-2023</t>
        </is>
      </c>
      <c r="B1737" s="1" t="n">
        <v>45215</v>
      </c>
      <c r="C1737" s="1" t="n">
        <v>45343</v>
      </c>
      <c r="D1737" t="inlineStr">
        <is>
          <t>STOCKHOLMS LÄN</t>
        </is>
      </c>
      <c r="E1737" t="inlineStr">
        <is>
          <t>NORRTÄLJE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50136-2023</t>
        </is>
      </c>
      <c r="B1738" s="1" t="n">
        <v>45215</v>
      </c>
      <c r="C1738" s="1" t="n">
        <v>45343</v>
      </c>
      <c r="D1738" t="inlineStr">
        <is>
          <t>STOCKHOLMS LÄN</t>
        </is>
      </c>
      <c r="E1738" t="inlineStr">
        <is>
          <t>NORRTÄLJE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50150-2023</t>
        </is>
      </c>
      <c r="B1739" s="1" t="n">
        <v>45215</v>
      </c>
      <c r="C1739" s="1" t="n">
        <v>45343</v>
      </c>
      <c r="D1739" t="inlineStr">
        <is>
          <t>STOCKHOLMS LÄN</t>
        </is>
      </c>
      <c r="E1739" t="inlineStr">
        <is>
          <t>NORRTÄLJE</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50289-2023</t>
        </is>
      </c>
      <c r="B1740" s="1" t="n">
        <v>45216</v>
      </c>
      <c r="C1740" s="1" t="n">
        <v>45343</v>
      </c>
      <c r="D1740" t="inlineStr">
        <is>
          <t>STOCKHOLMS LÄN</t>
        </is>
      </c>
      <c r="E1740" t="inlineStr">
        <is>
          <t>NORRTÄLJE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50436-2023</t>
        </is>
      </c>
      <c r="B1741" s="1" t="n">
        <v>45216</v>
      </c>
      <c r="C1741" s="1" t="n">
        <v>45343</v>
      </c>
      <c r="D1741" t="inlineStr">
        <is>
          <t>STOCKHOLMS LÄN</t>
        </is>
      </c>
      <c r="E1741" t="inlineStr">
        <is>
          <t>NORRTÄLJE</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50690-2023</t>
        </is>
      </c>
      <c r="B1742" s="1" t="n">
        <v>45217</v>
      </c>
      <c r="C1742" s="1" t="n">
        <v>45343</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51049-2023</t>
        </is>
      </c>
      <c r="B1743" s="1" t="n">
        <v>45218</v>
      </c>
      <c r="C1743" s="1" t="n">
        <v>45343</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51063-2023</t>
        </is>
      </c>
      <c r="B1744" s="1" t="n">
        <v>45218</v>
      </c>
      <c r="C1744" s="1" t="n">
        <v>45343</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50880-2023</t>
        </is>
      </c>
      <c r="B1745" s="1" t="n">
        <v>45218</v>
      </c>
      <c r="C1745" s="1" t="n">
        <v>45343</v>
      </c>
      <c r="D1745" t="inlineStr">
        <is>
          <t>STOCKHOLMS LÄN</t>
        </is>
      </c>
      <c r="E1745" t="inlineStr">
        <is>
          <t>NORRTÄLJE</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51046-2023</t>
        </is>
      </c>
      <c r="B1746" s="1" t="n">
        <v>45218</v>
      </c>
      <c r="C1746" s="1" t="n">
        <v>45343</v>
      </c>
      <c r="D1746" t="inlineStr">
        <is>
          <t>STOCKHOLMS LÄN</t>
        </is>
      </c>
      <c r="E1746" t="inlineStr">
        <is>
          <t>NORRTÄLJE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51043-2023</t>
        </is>
      </c>
      <c r="B1747" s="1" t="n">
        <v>45218</v>
      </c>
      <c r="C1747" s="1" t="n">
        <v>45343</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51061-2023</t>
        </is>
      </c>
      <c r="B1748" s="1" t="n">
        <v>45218</v>
      </c>
      <c r="C1748" s="1" t="n">
        <v>45343</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51325-2023</t>
        </is>
      </c>
      <c r="B1749" s="1" t="n">
        <v>45219</v>
      </c>
      <c r="C1749" s="1" t="n">
        <v>45343</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51312-2023</t>
        </is>
      </c>
      <c r="B1750" s="1" t="n">
        <v>45219</v>
      </c>
      <c r="C1750" s="1" t="n">
        <v>45343</v>
      </c>
      <c r="D1750" t="inlineStr">
        <is>
          <t>STOCKHOLMS LÄN</t>
        </is>
      </c>
      <c r="E1750" t="inlineStr">
        <is>
          <t>NORRTÄLJE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51597-2023</t>
        </is>
      </c>
      <c r="B1751" s="1" t="n">
        <v>45222</v>
      </c>
      <c r="C1751" s="1" t="n">
        <v>45343</v>
      </c>
      <c r="D1751" t="inlineStr">
        <is>
          <t>STOCKHOLMS LÄN</t>
        </is>
      </c>
      <c r="E1751" t="inlineStr">
        <is>
          <t>NORRTÄLJE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51657-2023</t>
        </is>
      </c>
      <c r="B1752" s="1" t="n">
        <v>45222</v>
      </c>
      <c r="C1752" s="1" t="n">
        <v>45343</v>
      </c>
      <c r="D1752" t="inlineStr">
        <is>
          <t>STOCKHOLMS LÄN</t>
        </is>
      </c>
      <c r="E1752" t="inlineStr">
        <is>
          <t>NORRTÄLJE</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51903-2023</t>
        </is>
      </c>
      <c r="B1753" s="1" t="n">
        <v>45223</v>
      </c>
      <c r="C1753" s="1" t="n">
        <v>45343</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52095-2023</t>
        </is>
      </c>
      <c r="B1754" s="1" t="n">
        <v>45223</v>
      </c>
      <c r="C1754" s="1" t="n">
        <v>45343</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51978-2023</t>
        </is>
      </c>
      <c r="B1755" s="1" t="n">
        <v>45223</v>
      </c>
      <c r="C1755" s="1" t="n">
        <v>45343</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52011-2023</t>
        </is>
      </c>
      <c r="B1756" s="1" t="n">
        <v>45223</v>
      </c>
      <c r="C1756" s="1" t="n">
        <v>45343</v>
      </c>
      <c r="D1756" t="inlineStr">
        <is>
          <t>STOCKHOLMS LÄN</t>
        </is>
      </c>
      <c r="E1756" t="inlineStr">
        <is>
          <t>NORRTÄLJE</t>
        </is>
      </c>
      <c r="F1756" t="inlineStr">
        <is>
          <t>Övriga Aktiebolag</t>
        </is>
      </c>
      <c r="G1756" t="n">
        <v>16.6</v>
      </c>
      <c r="H1756" t="n">
        <v>0</v>
      </c>
      <c r="I1756" t="n">
        <v>0</v>
      </c>
      <c r="J1756" t="n">
        <v>0</v>
      </c>
      <c r="K1756" t="n">
        <v>0</v>
      </c>
      <c r="L1756" t="n">
        <v>0</v>
      </c>
      <c r="M1756" t="n">
        <v>0</v>
      </c>
      <c r="N1756" t="n">
        <v>0</v>
      </c>
      <c r="O1756" t="n">
        <v>0</v>
      </c>
      <c r="P1756" t="n">
        <v>0</v>
      </c>
      <c r="Q1756" t="n">
        <v>0</v>
      </c>
      <c r="R1756" s="2" t="inlineStr"/>
    </row>
    <row r="1757" ht="15" customHeight="1">
      <c r="A1757" t="inlineStr">
        <is>
          <t>A 51997-2023</t>
        </is>
      </c>
      <c r="B1757" s="1" t="n">
        <v>45223</v>
      </c>
      <c r="C1757" s="1" t="n">
        <v>45343</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52001-2023</t>
        </is>
      </c>
      <c r="B1758" s="1" t="n">
        <v>45223</v>
      </c>
      <c r="C1758" s="1" t="n">
        <v>45343</v>
      </c>
      <c r="D1758" t="inlineStr">
        <is>
          <t>STOCKHOLMS LÄN</t>
        </is>
      </c>
      <c r="E1758" t="inlineStr">
        <is>
          <t>NORRTÄLJE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52096-2023</t>
        </is>
      </c>
      <c r="B1759" s="1" t="n">
        <v>45223</v>
      </c>
      <c r="C1759" s="1" t="n">
        <v>45343</v>
      </c>
      <c r="D1759" t="inlineStr">
        <is>
          <t>STOCKHOLMS LÄN</t>
        </is>
      </c>
      <c r="E1759" t="inlineStr">
        <is>
          <t>NORRTÄLJE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53362-2023</t>
        </is>
      </c>
      <c r="B1760" s="1" t="n">
        <v>45223</v>
      </c>
      <c r="C1760" s="1" t="n">
        <v>45343</v>
      </c>
      <c r="D1760" t="inlineStr">
        <is>
          <t>STOCKHOLMS LÄN</t>
        </is>
      </c>
      <c r="E1760" t="inlineStr">
        <is>
          <t>NORRTÄLJE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53372-2023</t>
        </is>
      </c>
      <c r="B1761" s="1" t="n">
        <v>45223</v>
      </c>
      <c r="C1761" s="1" t="n">
        <v>45343</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52221-2023</t>
        </is>
      </c>
      <c r="B1762" s="1" t="n">
        <v>45224</v>
      </c>
      <c r="C1762" s="1" t="n">
        <v>45343</v>
      </c>
      <c r="D1762" t="inlineStr">
        <is>
          <t>STOCKHOLMS LÄN</t>
        </is>
      </c>
      <c r="E1762" t="inlineStr">
        <is>
          <t>NORRTÄLJE</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53561-2023</t>
        </is>
      </c>
      <c r="B1763" s="1" t="n">
        <v>45224</v>
      </c>
      <c r="C1763" s="1" t="n">
        <v>45343</v>
      </c>
      <c r="D1763" t="inlineStr">
        <is>
          <t>STOCKHOLMS LÄN</t>
        </is>
      </c>
      <c r="E1763" t="inlineStr">
        <is>
          <t>NORRTÄLJE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53556-2023</t>
        </is>
      </c>
      <c r="B1764" s="1" t="n">
        <v>45224</v>
      </c>
      <c r="C1764" s="1" t="n">
        <v>45343</v>
      </c>
      <c r="D1764" t="inlineStr">
        <is>
          <t>STOCKHOLMS LÄN</t>
        </is>
      </c>
      <c r="E1764" t="inlineStr">
        <is>
          <t>NORRTÄLJE</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52570-2023</t>
        </is>
      </c>
      <c r="B1765" s="1" t="n">
        <v>45225</v>
      </c>
      <c r="C1765" s="1" t="n">
        <v>45343</v>
      </c>
      <c r="D1765" t="inlineStr">
        <is>
          <t>STOCKHOLMS LÄN</t>
        </is>
      </c>
      <c r="E1765" t="inlineStr">
        <is>
          <t>NORRTÄLJE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52619-2023</t>
        </is>
      </c>
      <c r="B1766" s="1" t="n">
        <v>45225</v>
      </c>
      <c r="C1766" s="1" t="n">
        <v>45343</v>
      </c>
      <c r="D1766" t="inlineStr">
        <is>
          <t>STOCKHOLMS LÄN</t>
        </is>
      </c>
      <c r="E1766" t="inlineStr">
        <is>
          <t>NORRTÄLJE</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52875-2023</t>
        </is>
      </c>
      <c r="B1767" s="1" t="n">
        <v>45226</v>
      </c>
      <c r="C1767" s="1" t="n">
        <v>45343</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52899-2023</t>
        </is>
      </c>
      <c r="B1768" s="1" t="n">
        <v>45226</v>
      </c>
      <c r="C1768" s="1" t="n">
        <v>45343</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53563-2023</t>
        </is>
      </c>
      <c r="B1769" s="1" t="n">
        <v>45230</v>
      </c>
      <c r="C1769" s="1" t="n">
        <v>45343</v>
      </c>
      <c r="D1769" t="inlineStr">
        <is>
          <t>STOCKHOLMS LÄN</t>
        </is>
      </c>
      <c r="E1769" t="inlineStr">
        <is>
          <t>NORRTÄLJE</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53718-2023</t>
        </is>
      </c>
      <c r="B1770" s="1" t="n">
        <v>45230</v>
      </c>
      <c r="C1770" s="1" t="n">
        <v>45343</v>
      </c>
      <c r="D1770" t="inlineStr">
        <is>
          <t>STOCKHOLMS LÄN</t>
        </is>
      </c>
      <c r="E1770" t="inlineStr">
        <is>
          <t>NORRTÄLJE</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53787-2023</t>
        </is>
      </c>
      <c r="B1771" s="1" t="n">
        <v>45231</v>
      </c>
      <c r="C1771" s="1" t="n">
        <v>45343</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53792-2023</t>
        </is>
      </c>
      <c r="B1772" s="1" t="n">
        <v>45231</v>
      </c>
      <c r="C1772" s="1" t="n">
        <v>45343</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55518-2023</t>
        </is>
      </c>
      <c r="B1773" s="1" t="n">
        <v>45231</v>
      </c>
      <c r="C1773" s="1" t="n">
        <v>45343</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55533-2023</t>
        </is>
      </c>
      <c r="B1774" s="1" t="n">
        <v>45231</v>
      </c>
      <c r="C1774" s="1" t="n">
        <v>45343</v>
      </c>
      <c r="D1774" t="inlineStr">
        <is>
          <t>STOCKHOLMS LÄN</t>
        </is>
      </c>
      <c r="E1774" t="inlineStr">
        <is>
          <t>NORRTÄLJE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54259-2023</t>
        </is>
      </c>
      <c r="B1775" s="1" t="n">
        <v>45232</v>
      </c>
      <c r="C1775" s="1" t="n">
        <v>45343</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54546-2023</t>
        </is>
      </c>
      <c r="B1776" s="1" t="n">
        <v>45233</v>
      </c>
      <c r="C1776" s="1" t="n">
        <v>45343</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54776-2023</t>
        </is>
      </c>
      <c r="B1777" s="1" t="n">
        <v>45236</v>
      </c>
      <c r="C1777" s="1" t="n">
        <v>45343</v>
      </c>
      <c r="D1777" t="inlineStr">
        <is>
          <t>STOCKHOLMS LÄN</t>
        </is>
      </c>
      <c r="E1777" t="inlineStr">
        <is>
          <t>NORRTÄLJE</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55038-2023</t>
        </is>
      </c>
      <c r="B1778" s="1" t="n">
        <v>45237</v>
      </c>
      <c r="C1778" s="1" t="n">
        <v>45343</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55243-2023</t>
        </is>
      </c>
      <c r="B1779" s="1" t="n">
        <v>45237</v>
      </c>
      <c r="C1779" s="1" t="n">
        <v>45343</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55369-2023</t>
        </is>
      </c>
      <c r="B1780" s="1" t="n">
        <v>45238</v>
      </c>
      <c r="C1780" s="1" t="n">
        <v>45343</v>
      </c>
      <c r="D1780" t="inlineStr">
        <is>
          <t>STOCKHOLMS LÄN</t>
        </is>
      </c>
      <c r="E1780" t="inlineStr">
        <is>
          <t>NORRTÄLJE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55755-2023</t>
        </is>
      </c>
      <c r="B1781" s="1" t="n">
        <v>45239</v>
      </c>
      <c r="C1781" s="1" t="n">
        <v>45343</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56428-2023</t>
        </is>
      </c>
      <c r="B1782" s="1" t="n">
        <v>45243</v>
      </c>
      <c r="C1782" s="1" t="n">
        <v>45343</v>
      </c>
      <c r="D1782" t="inlineStr">
        <is>
          <t>STOCKHOLMS LÄN</t>
        </is>
      </c>
      <c r="E1782" t="inlineStr">
        <is>
          <t>NORRTÄLJE</t>
        </is>
      </c>
      <c r="F1782" t="inlineStr">
        <is>
          <t>Kyrkan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56439-2023</t>
        </is>
      </c>
      <c r="B1783" s="1" t="n">
        <v>45243</v>
      </c>
      <c r="C1783" s="1" t="n">
        <v>45343</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56445-2023</t>
        </is>
      </c>
      <c r="B1784" s="1" t="n">
        <v>45243</v>
      </c>
      <c r="C1784" s="1" t="n">
        <v>45343</v>
      </c>
      <c r="D1784" t="inlineStr">
        <is>
          <t>STOCKHOLMS LÄN</t>
        </is>
      </c>
      <c r="E1784" t="inlineStr">
        <is>
          <t>NORRTÄLJE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56577-2023</t>
        </is>
      </c>
      <c r="B1785" s="1" t="n">
        <v>45243</v>
      </c>
      <c r="C1785" s="1" t="n">
        <v>45343</v>
      </c>
      <c r="D1785" t="inlineStr">
        <is>
          <t>STOCKHOLMS LÄN</t>
        </is>
      </c>
      <c r="E1785" t="inlineStr">
        <is>
          <t>NORRTÄLJE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56593-2023</t>
        </is>
      </c>
      <c r="B1786" s="1" t="n">
        <v>45243</v>
      </c>
      <c r="C1786" s="1" t="n">
        <v>45343</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56819-2023</t>
        </is>
      </c>
      <c r="B1787" s="1" t="n">
        <v>45244</v>
      </c>
      <c r="C1787" s="1" t="n">
        <v>45343</v>
      </c>
      <c r="D1787" t="inlineStr">
        <is>
          <t>STOCKHOLMS LÄN</t>
        </is>
      </c>
      <c r="E1787" t="inlineStr">
        <is>
          <t>NORRTÄLJE</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58261-2023</t>
        </is>
      </c>
      <c r="B1788" s="1" t="n">
        <v>45245</v>
      </c>
      <c r="C1788" s="1" t="n">
        <v>45343</v>
      </c>
      <c r="D1788" t="inlineStr">
        <is>
          <t>STOCKHOLMS LÄN</t>
        </is>
      </c>
      <c r="E1788" t="inlineStr">
        <is>
          <t>NORRTÄLJE</t>
        </is>
      </c>
      <c r="G1788" t="n">
        <v>53.5</v>
      </c>
      <c r="H1788" t="n">
        <v>0</v>
      </c>
      <c r="I1788" t="n">
        <v>0</v>
      </c>
      <c r="J1788" t="n">
        <v>0</v>
      </c>
      <c r="K1788" t="n">
        <v>0</v>
      </c>
      <c r="L1788" t="n">
        <v>0</v>
      </c>
      <c r="M1788" t="n">
        <v>0</v>
      </c>
      <c r="N1788" t="n">
        <v>0</v>
      </c>
      <c r="O1788" t="n">
        <v>0</v>
      </c>
      <c r="P1788" t="n">
        <v>0</v>
      </c>
      <c r="Q1788" t="n">
        <v>0</v>
      </c>
      <c r="R1788" s="2" t="inlineStr"/>
    </row>
    <row r="1789" ht="15" customHeight="1">
      <c r="A1789" t="inlineStr">
        <is>
          <t>A 58209-2023</t>
        </is>
      </c>
      <c r="B1789" s="1" t="n">
        <v>45245</v>
      </c>
      <c r="C1789" s="1" t="n">
        <v>45343</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58227-2023</t>
        </is>
      </c>
      <c r="B1790" s="1" t="n">
        <v>45245</v>
      </c>
      <c r="C1790" s="1" t="n">
        <v>45343</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58291-2023</t>
        </is>
      </c>
      <c r="B1791" s="1" t="n">
        <v>45245</v>
      </c>
      <c r="C1791" s="1" t="n">
        <v>45343</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58277-2023</t>
        </is>
      </c>
      <c r="B1792" s="1" t="n">
        <v>45245</v>
      </c>
      <c r="C1792" s="1" t="n">
        <v>45343</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58213-2023</t>
        </is>
      </c>
      <c r="B1793" s="1" t="n">
        <v>45245</v>
      </c>
      <c r="C1793" s="1" t="n">
        <v>45343</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58311-2023</t>
        </is>
      </c>
      <c r="B1794" s="1" t="n">
        <v>45245</v>
      </c>
      <c r="C1794" s="1" t="n">
        <v>45343</v>
      </c>
      <c r="D1794" t="inlineStr">
        <is>
          <t>STOCKHOLMS LÄN</t>
        </is>
      </c>
      <c r="E1794" t="inlineStr">
        <is>
          <t>NORRTÄLJE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58300-2023</t>
        </is>
      </c>
      <c r="B1795" s="1" t="n">
        <v>45245</v>
      </c>
      <c r="C1795" s="1" t="n">
        <v>45343</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58260-2023</t>
        </is>
      </c>
      <c r="B1796" s="1" t="n">
        <v>45245</v>
      </c>
      <c r="C1796" s="1" t="n">
        <v>45343</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58297-2023</t>
        </is>
      </c>
      <c r="B1797" s="1" t="n">
        <v>45245</v>
      </c>
      <c r="C1797" s="1" t="n">
        <v>45343</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58306-2023</t>
        </is>
      </c>
      <c r="B1798" s="1" t="n">
        <v>45245</v>
      </c>
      <c r="C1798" s="1" t="n">
        <v>45343</v>
      </c>
      <c r="D1798" t="inlineStr">
        <is>
          <t>STOCKHOLMS LÄN</t>
        </is>
      </c>
      <c r="E1798" t="inlineStr">
        <is>
          <t>NORRTÄLJE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58404-2023</t>
        </is>
      </c>
      <c r="B1799" s="1" t="n">
        <v>45245</v>
      </c>
      <c r="C1799" s="1" t="n">
        <v>45343</v>
      </c>
      <c r="D1799" t="inlineStr">
        <is>
          <t>STOCKHOLMS LÄN</t>
        </is>
      </c>
      <c r="E1799" t="inlineStr">
        <is>
          <t>NORRTÄLJE</t>
        </is>
      </c>
      <c r="G1799" t="n">
        <v>53.5</v>
      </c>
      <c r="H1799" t="n">
        <v>0</v>
      </c>
      <c r="I1799" t="n">
        <v>0</v>
      </c>
      <c r="J1799" t="n">
        <v>0</v>
      </c>
      <c r="K1799" t="n">
        <v>0</v>
      </c>
      <c r="L1799" t="n">
        <v>0</v>
      </c>
      <c r="M1799" t="n">
        <v>0</v>
      </c>
      <c r="N1799" t="n">
        <v>0</v>
      </c>
      <c r="O1799" t="n">
        <v>0</v>
      </c>
      <c r="P1799" t="n">
        <v>0</v>
      </c>
      <c r="Q1799" t="n">
        <v>0</v>
      </c>
      <c r="R1799" s="2" t="inlineStr"/>
    </row>
    <row r="1800" ht="15" customHeight="1">
      <c r="A1800" t="inlineStr">
        <is>
          <t>A 58191-2023</t>
        </is>
      </c>
      <c r="B1800" s="1" t="n">
        <v>45250</v>
      </c>
      <c r="C1800" s="1" t="n">
        <v>45343</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58186-2023</t>
        </is>
      </c>
      <c r="B1801" s="1" t="n">
        <v>45250</v>
      </c>
      <c r="C1801" s="1" t="n">
        <v>45343</v>
      </c>
      <c r="D1801" t="inlineStr">
        <is>
          <t>STOCKHOLMS LÄN</t>
        </is>
      </c>
      <c r="E1801" t="inlineStr">
        <is>
          <t>NORRTÄLJE</t>
        </is>
      </c>
      <c r="F1801" t="inlineStr">
        <is>
          <t>Kyrkan</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58981-2023</t>
        </is>
      </c>
      <c r="B1802" s="1" t="n">
        <v>45250</v>
      </c>
      <c r="C1802" s="1" t="n">
        <v>45343</v>
      </c>
      <c r="D1802" t="inlineStr">
        <is>
          <t>STOCKHOLMS LÄN</t>
        </is>
      </c>
      <c r="E1802" t="inlineStr">
        <is>
          <t>NORRTÄLJE</t>
        </is>
      </c>
      <c r="F1802" t="inlineStr">
        <is>
          <t>Övriga statliga verk och myndigheter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58601-2023</t>
        </is>
      </c>
      <c r="B1803" s="1" t="n">
        <v>45251</v>
      </c>
      <c r="C1803" s="1" t="n">
        <v>45343</v>
      </c>
      <c r="D1803" t="inlineStr">
        <is>
          <t>STOCKHOLMS LÄN</t>
        </is>
      </c>
      <c r="E1803" t="inlineStr">
        <is>
          <t>NORRTÄLJE</t>
        </is>
      </c>
      <c r="F1803" t="inlineStr">
        <is>
          <t>Holmen skog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59310-2023</t>
        </is>
      </c>
      <c r="B1804" s="1" t="n">
        <v>45253</v>
      </c>
      <c r="C1804" s="1" t="n">
        <v>45343</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59326-2023</t>
        </is>
      </c>
      <c r="B1805" s="1" t="n">
        <v>45253</v>
      </c>
      <c r="C1805" s="1" t="n">
        <v>45343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59212-2023</t>
        </is>
      </c>
      <c r="B1806" s="1" t="n">
        <v>45253</v>
      </c>
      <c r="C1806" s="1" t="n">
        <v>45343</v>
      </c>
      <c r="D1806" t="inlineStr">
        <is>
          <t>STOCKHOLMS LÄN</t>
        </is>
      </c>
      <c r="E1806" t="inlineStr">
        <is>
          <t>NORRTÄLJE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59276-2023</t>
        </is>
      </c>
      <c r="B1807" s="1" t="n">
        <v>45253</v>
      </c>
      <c r="C1807" s="1" t="n">
        <v>45343</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59468-2023</t>
        </is>
      </c>
      <c r="B1808" s="1" t="n">
        <v>45254</v>
      </c>
      <c r="C1808" s="1" t="n">
        <v>45343</v>
      </c>
      <c r="D1808" t="inlineStr">
        <is>
          <t>STOCKHOLMS LÄN</t>
        </is>
      </c>
      <c r="E1808" t="inlineStr">
        <is>
          <t>NORRTÄLJE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59499-2023</t>
        </is>
      </c>
      <c r="B1809" s="1" t="n">
        <v>45254</v>
      </c>
      <c r="C1809" s="1" t="n">
        <v>45343</v>
      </c>
      <c r="D1809" t="inlineStr">
        <is>
          <t>STOCKHOLMS LÄN</t>
        </is>
      </c>
      <c r="E1809" t="inlineStr">
        <is>
          <t>NORRTÄLJE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59504-2023</t>
        </is>
      </c>
      <c r="B1810" s="1" t="n">
        <v>45254</v>
      </c>
      <c r="C1810" s="1" t="n">
        <v>45343</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59676-2023</t>
        </is>
      </c>
      <c r="B1811" s="1" t="n">
        <v>45255</v>
      </c>
      <c r="C1811" s="1" t="n">
        <v>45343</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59906-2023</t>
        </is>
      </c>
      <c r="B1812" s="1" t="n">
        <v>45257</v>
      </c>
      <c r="C1812" s="1" t="n">
        <v>45343</v>
      </c>
      <c r="D1812" t="inlineStr">
        <is>
          <t>STOCKHOLMS LÄN</t>
        </is>
      </c>
      <c r="E1812" t="inlineStr">
        <is>
          <t>NORRTÄLJE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59992-2023</t>
        </is>
      </c>
      <c r="B1813" s="1" t="n">
        <v>45257</v>
      </c>
      <c r="C1813" s="1" t="n">
        <v>45343</v>
      </c>
      <c r="D1813" t="inlineStr">
        <is>
          <t>STOCKHOLMS LÄN</t>
        </is>
      </c>
      <c r="E1813" t="inlineStr">
        <is>
          <t>NORRTÄLJE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60224-2023</t>
        </is>
      </c>
      <c r="B1814" s="1" t="n">
        <v>45257</v>
      </c>
      <c r="C1814" s="1" t="n">
        <v>45343</v>
      </c>
      <c r="D1814" t="inlineStr">
        <is>
          <t>STOCKHOLMS LÄN</t>
        </is>
      </c>
      <c r="E1814" t="inlineStr">
        <is>
          <t>NORRTÄLJE</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59904-2023</t>
        </is>
      </c>
      <c r="B1815" s="1" t="n">
        <v>45257</v>
      </c>
      <c r="C1815" s="1" t="n">
        <v>45343</v>
      </c>
      <c r="D1815" t="inlineStr">
        <is>
          <t>STOCKHOLMS LÄN</t>
        </is>
      </c>
      <c r="E1815" t="inlineStr">
        <is>
          <t>NORRTÄLJE</t>
        </is>
      </c>
      <c r="G1815" t="n">
        <v>17.4</v>
      </c>
      <c r="H1815" t="n">
        <v>0</v>
      </c>
      <c r="I1815" t="n">
        <v>0</v>
      </c>
      <c r="J1815" t="n">
        <v>0</v>
      </c>
      <c r="K1815" t="n">
        <v>0</v>
      </c>
      <c r="L1815" t="n">
        <v>0</v>
      </c>
      <c r="M1815" t="n">
        <v>0</v>
      </c>
      <c r="N1815" t="n">
        <v>0</v>
      </c>
      <c r="O1815" t="n">
        <v>0</v>
      </c>
      <c r="P1815" t="n">
        <v>0</v>
      </c>
      <c r="Q1815" t="n">
        <v>0</v>
      </c>
      <c r="R1815" s="2" t="inlineStr"/>
    </row>
    <row r="1816" ht="15" customHeight="1">
      <c r="A1816" t="inlineStr">
        <is>
          <t>A 60073-2023</t>
        </is>
      </c>
      <c r="B1816" s="1" t="n">
        <v>45258</v>
      </c>
      <c r="C1816" s="1" t="n">
        <v>45343</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60822-2023</t>
        </is>
      </c>
      <c r="B1817" s="1" t="n">
        <v>45259</v>
      </c>
      <c r="C1817" s="1" t="n">
        <v>45343</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60492-2023</t>
        </is>
      </c>
      <c r="B1818" s="1" t="n">
        <v>45259</v>
      </c>
      <c r="C1818" s="1" t="n">
        <v>45343</v>
      </c>
      <c r="D1818" t="inlineStr">
        <is>
          <t>STOCKHOLMS LÄN</t>
        </is>
      </c>
      <c r="E1818" t="inlineStr">
        <is>
          <t>NORRTÄLJE</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60529-2023</t>
        </is>
      </c>
      <c r="B1819" s="1" t="n">
        <v>45259</v>
      </c>
      <c r="C1819" s="1" t="n">
        <v>45343</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60765-2023</t>
        </is>
      </c>
      <c r="B1820" s="1" t="n">
        <v>45260</v>
      </c>
      <c r="C1820" s="1" t="n">
        <v>45343</v>
      </c>
      <c r="D1820" t="inlineStr">
        <is>
          <t>STOCKHOLMS LÄN</t>
        </is>
      </c>
      <c r="E1820" t="inlineStr">
        <is>
          <t>NORRTÄLJE</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60656-2023</t>
        </is>
      </c>
      <c r="B1821" s="1" t="n">
        <v>45260</v>
      </c>
      <c r="C1821" s="1" t="n">
        <v>45343</v>
      </c>
      <c r="D1821" t="inlineStr">
        <is>
          <t>STOCKHOLMS LÄN</t>
        </is>
      </c>
      <c r="E1821" t="inlineStr">
        <is>
          <t>NORRTÄLJE</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60672-2023</t>
        </is>
      </c>
      <c r="B1822" s="1" t="n">
        <v>45260</v>
      </c>
      <c r="C1822" s="1" t="n">
        <v>45343</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60640-2023</t>
        </is>
      </c>
      <c r="B1823" s="1" t="n">
        <v>45260</v>
      </c>
      <c r="C1823" s="1" t="n">
        <v>45343</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60654-2023</t>
        </is>
      </c>
      <c r="B1824" s="1" t="n">
        <v>45260</v>
      </c>
      <c r="C1824" s="1" t="n">
        <v>45343</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60823-2023</t>
        </is>
      </c>
      <c r="B1825" s="1" t="n">
        <v>45260</v>
      </c>
      <c r="C1825" s="1" t="n">
        <v>45343</v>
      </c>
      <c r="D1825" t="inlineStr">
        <is>
          <t>STOCKHOLMS LÄN</t>
        </is>
      </c>
      <c r="E1825" t="inlineStr">
        <is>
          <t>NORRTÄLJE</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61113-2023</t>
        </is>
      </c>
      <c r="B1826" s="1" t="n">
        <v>45261</v>
      </c>
      <c r="C1826" s="1" t="n">
        <v>45343</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62644-2023</t>
        </is>
      </c>
      <c r="B1827" s="1" t="n">
        <v>45271</v>
      </c>
      <c r="C1827" s="1" t="n">
        <v>45343</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63015-2023</t>
        </is>
      </c>
      <c r="B1828" s="1" t="n">
        <v>45272</v>
      </c>
      <c r="C1828" s="1" t="n">
        <v>45343</v>
      </c>
      <c r="D1828" t="inlineStr">
        <is>
          <t>STOCKHOLMS LÄN</t>
        </is>
      </c>
      <c r="E1828" t="inlineStr">
        <is>
          <t>NORRTÄLJE</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62971-2023</t>
        </is>
      </c>
      <c r="B1829" s="1" t="n">
        <v>45272</v>
      </c>
      <c r="C1829" s="1" t="n">
        <v>45343</v>
      </c>
      <c r="D1829" t="inlineStr">
        <is>
          <t>STOCKHOLMS LÄN</t>
        </is>
      </c>
      <c r="E1829" t="inlineStr">
        <is>
          <t>NORRTÄLJE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63013-2023</t>
        </is>
      </c>
      <c r="B1830" s="1" t="n">
        <v>45272</v>
      </c>
      <c r="C1830" s="1" t="n">
        <v>45343</v>
      </c>
      <c r="D1830" t="inlineStr">
        <is>
          <t>STOCKHOLMS LÄN</t>
        </is>
      </c>
      <c r="E1830" t="inlineStr">
        <is>
          <t>NORRTÄLJE</t>
        </is>
      </c>
      <c r="G1830" t="n">
        <v>14.9</v>
      </c>
      <c r="H1830" t="n">
        <v>0</v>
      </c>
      <c r="I1830" t="n">
        <v>0</v>
      </c>
      <c r="J1830" t="n">
        <v>0</v>
      </c>
      <c r="K1830" t="n">
        <v>0</v>
      </c>
      <c r="L1830" t="n">
        <v>0</v>
      </c>
      <c r="M1830" t="n">
        <v>0</v>
      </c>
      <c r="N1830" t="n">
        <v>0</v>
      </c>
      <c r="O1830" t="n">
        <v>0</v>
      </c>
      <c r="P1830" t="n">
        <v>0</v>
      </c>
      <c r="Q1830" t="n">
        <v>0</v>
      </c>
      <c r="R1830" s="2" t="inlineStr"/>
    </row>
    <row r="1831" ht="15" customHeight="1">
      <c r="A1831" t="inlineStr">
        <is>
          <t>A 62998-2023</t>
        </is>
      </c>
      <c r="B1831" s="1" t="n">
        <v>45272</v>
      </c>
      <c r="C1831" s="1" t="n">
        <v>45343</v>
      </c>
      <c r="D1831" t="inlineStr">
        <is>
          <t>STOCKHOLMS LÄN</t>
        </is>
      </c>
      <c r="E1831" t="inlineStr">
        <is>
          <t>NORRTÄLJE</t>
        </is>
      </c>
      <c r="G1831" t="n">
        <v>16.3</v>
      </c>
      <c r="H1831" t="n">
        <v>0</v>
      </c>
      <c r="I1831" t="n">
        <v>0</v>
      </c>
      <c r="J1831" t="n">
        <v>0</v>
      </c>
      <c r="K1831" t="n">
        <v>0</v>
      </c>
      <c r="L1831" t="n">
        <v>0</v>
      </c>
      <c r="M1831" t="n">
        <v>0</v>
      </c>
      <c r="N1831" t="n">
        <v>0</v>
      </c>
      <c r="O1831" t="n">
        <v>0</v>
      </c>
      <c r="P1831" t="n">
        <v>0</v>
      </c>
      <c r="Q1831" t="n">
        <v>0</v>
      </c>
      <c r="R1831" s="2" t="inlineStr"/>
    </row>
    <row r="1832" ht="15" customHeight="1">
      <c r="A1832" t="inlineStr">
        <is>
          <t>A 63161-2023</t>
        </is>
      </c>
      <c r="B1832" s="1" t="n">
        <v>45273</v>
      </c>
      <c r="C1832" s="1" t="n">
        <v>45343</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63655-2023</t>
        </is>
      </c>
      <c r="B1833" s="1" t="n">
        <v>45275</v>
      </c>
      <c r="C1833" s="1" t="n">
        <v>45343</v>
      </c>
      <c r="D1833" t="inlineStr">
        <is>
          <t>STOCKHOLMS LÄN</t>
        </is>
      </c>
      <c r="E1833" t="inlineStr">
        <is>
          <t>NORRTÄLJE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63851-2023</t>
        </is>
      </c>
      <c r="B1834" s="1" t="n">
        <v>45278</v>
      </c>
      <c r="C1834" s="1" t="n">
        <v>45343</v>
      </c>
      <c r="D1834" t="inlineStr">
        <is>
          <t>STOCKHOLMS LÄN</t>
        </is>
      </c>
      <c r="E1834" t="inlineStr">
        <is>
          <t>NORRTÄLJE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64902-2023</t>
        </is>
      </c>
      <c r="B1835" s="1" t="n">
        <v>45282</v>
      </c>
      <c r="C1835" s="1" t="n">
        <v>45343</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64899-2023</t>
        </is>
      </c>
      <c r="B1836" s="1" t="n">
        <v>45282</v>
      </c>
      <c r="C1836" s="1" t="n">
        <v>45343</v>
      </c>
      <c r="D1836" t="inlineStr">
        <is>
          <t>STOCKHOLMS LÄN</t>
        </is>
      </c>
      <c r="E1836" t="inlineStr">
        <is>
          <t>NORRTÄLJE</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11-2024</t>
        </is>
      </c>
      <c r="B1837" s="1" t="n">
        <v>45293</v>
      </c>
      <c r="C1837" s="1" t="n">
        <v>45343</v>
      </c>
      <c r="D1837" t="inlineStr">
        <is>
          <t>STOCKHOLMS LÄN</t>
        </is>
      </c>
      <c r="E1837" t="inlineStr">
        <is>
          <t>NORRTÄLJE</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19-2024</t>
        </is>
      </c>
      <c r="B1838" s="1" t="n">
        <v>45293</v>
      </c>
      <c r="C1838" s="1" t="n">
        <v>45343</v>
      </c>
      <c r="D1838" t="inlineStr">
        <is>
          <t>STOCKHOLMS LÄN</t>
        </is>
      </c>
      <c r="E1838" t="inlineStr">
        <is>
          <t>NORRTÄLJE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9-2024</t>
        </is>
      </c>
      <c r="B1839" s="1" t="n">
        <v>45293</v>
      </c>
      <c r="C1839" s="1" t="n">
        <v>45343</v>
      </c>
      <c r="D1839" t="inlineStr">
        <is>
          <t>STOCKHOLMS LÄN</t>
        </is>
      </c>
      <c r="E1839" t="inlineStr">
        <is>
          <t>NORRTÄLJE</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13-2024</t>
        </is>
      </c>
      <c r="B1840" s="1" t="n">
        <v>45293</v>
      </c>
      <c r="C1840" s="1" t="n">
        <v>45343</v>
      </c>
      <c r="D1840" t="inlineStr">
        <is>
          <t>STOCKHOLMS LÄN</t>
        </is>
      </c>
      <c r="E1840" t="inlineStr">
        <is>
          <t>NORRTÄLJE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329-2024</t>
        </is>
      </c>
      <c r="B1841" s="1" t="n">
        <v>45295</v>
      </c>
      <c r="C1841" s="1" t="n">
        <v>45343</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577-2024</t>
        </is>
      </c>
      <c r="B1842" s="1" t="n">
        <v>45299</v>
      </c>
      <c r="C1842" s="1" t="n">
        <v>45343</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498-2024</t>
        </is>
      </c>
      <c r="B1843" s="1" t="n">
        <v>45299</v>
      </c>
      <c r="C1843" s="1" t="n">
        <v>45343</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1372-2024</t>
        </is>
      </c>
      <c r="B1844" s="1" t="n">
        <v>45303</v>
      </c>
      <c r="C1844" s="1" t="n">
        <v>45343</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1996-2024</t>
        </is>
      </c>
      <c r="B1845" s="1" t="n">
        <v>45308</v>
      </c>
      <c r="C1845" s="1" t="n">
        <v>45343</v>
      </c>
      <c r="D1845" t="inlineStr">
        <is>
          <t>STOCKHOLMS LÄN</t>
        </is>
      </c>
      <c r="E1845" t="inlineStr">
        <is>
          <t>NORRTÄLJE</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2287-2024</t>
        </is>
      </c>
      <c r="B1846" s="1" t="n">
        <v>45310</v>
      </c>
      <c r="C1846" s="1" t="n">
        <v>45343</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2281-2024</t>
        </is>
      </c>
      <c r="B1847" s="1" t="n">
        <v>45310</v>
      </c>
      <c r="C1847" s="1" t="n">
        <v>45343</v>
      </c>
      <c r="D1847" t="inlineStr">
        <is>
          <t>STOCKHOLMS LÄN</t>
        </is>
      </c>
      <c r="E1847" t="inlineStr">
        <is>
          <t>NORRTÄLJE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2611-2024</t>
        </is>
      </c>
      <c r="B1848" s="1" t="n">
        <v>45313</v>
      </c>
      <c r="C1848" s="1" t="n">
        <v>45343</v>
      </c>
      <c r="D1848" t="inlineStr">
        <is>
          <t>STOCKHOLMS LÄN</t>
        </is>
      </c>
      <c r="E1848" t="inlineStr">
        <is>
          <t>NORRTÄLJE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2613-2024</t>
        </is>
      </c>
      <c r="B1849" s="1" t="n">
        <v>45313</v>
      </c>
      <c r="C1849" s="1" t="n">
        <v>45343</v>
      </c>
      <c r="D1849" t="inlineStr">
        <is>
          <t>STOCKHOLMS LÄN</t>
        </is>
      </c>
      <c r="E1849" t="inlineStr">
        <is>
          <t>NORRTÄLJE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3084-2024</t>
        </is>
      </c>
      <c r="B1850" s="1" t="n">
        <v>45316</v>
      </c>
      <c r="C1850" s="1" t="n">
        <v>45343</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3152-2024</t>
        </is>
      </c>
      <c r="B1851" s="1" t="n">
        <v>45316</v>
      </c>
      <c r="C1851" s="1" t="n">
        <v>45343</v>
      </c>
      <c r="D1851" t="inlineStr">
        <is>
          <t>STOCKHOLMS LÄN</t>
        </is>
      </c>
      <c r="E1851" t="inlineStr">
        <is>
          <t>NORRTÄLJE</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3381-2024</t>
        </is>
      </c>
      <c r="B1852" s="1" t="n">
        <v>45317</v>
      </c>
      <c r="C1852" s="1" t="n">
        <v>45343</v>
      </c>
      <c r="D1852" t="inlineStr">
        <is>
          <t>STOCKHOLMS LÄN</t>
        </is>
      </c>
      <c r="E1852" t="inlineStr">
        <is>
          <t>NORRTÄLJE</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3942-2024</t>
        </is>
      </c>
      <c r="B1853" s="1" t="n">
        <v>45322</v>
      </c>
      <c r="C1853" s="1" t="n">
        <v>45343</v>
      </c>
      <c r="D1853" t="inlineStr">
        <is>
          <t>STOCKHOLMS LÄN</t>
        </is>
      </c>
      <c r="E1853" t="inlineStr">
        <is>
          <t>NORRTÄLJE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3966-2024</t>
        </is>
      </c>
      <c r="B1854" s="1" t="n">
        <v>45322</v>
      </c>
      <c r="C1854" s="1" t="n">
        <v>45343</v>
      </c>
      <c r="D1854" t="inlineStr">
        <is>
          <t>STOCKHOLMS LÄN</t>
        </is>
      </c>
      <c r="E1854" t="inlineStr">
        <is>
          <t>NORRTÄLJE</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4051-2024</t>
        </is>
      </c>
      <c r="B1855" s="1" t="n">
        <v>45323</v>
      </c>
      <c r="C1855" s="1" t="n">
        <v>45343</v>
      </c>
      <c r="D1855" t="inlineStr">
        <is>
          <t>STOCKHOLMS LÄN</t>
        </is>
      </c>
      <c r="E1855" t="inlineStr">
        <is>
          <t>NORRTÄLJE</t>
        </is>
      </c>
      <c r="F1855" t="inlineStr">
        <is>
          <t>Kyrkan</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4542-2024</t>
        </is>
      </c>
      <c r="B1856" s="1" t="n">
        <v>45327</v>
      </c>
      <c r="C1856" s="1" t="n">
        <v>45343</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4658-2024</t>
        </is>
      </c>
      <c r="B1857" s="1" t="n">
        <v>45328</v>
      </c>
      <c r="C1857" s="1" t="n">
        <v>45343</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45343</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5158-2024</t>
        </is>
      </c>
      <c r="B1859" s="1" t="n">
        <v>45330</v>
      </c>
      <c r="C1859" s="1" t="n">
        <v>45343</v>
      </c>
      <c r="D1859" t="inlineStr">
        <is>
          <t>STOCKHOLMS LÄN</t>
        </is>
      </c>
      <c r="E1859" t="inlineStr">
        <is>
          <t>NORRTÄLJE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5625-2024</t>
        </is>
      </c>
      <c r="B1860" s="1" t="n">
        <v>45334</v>
      </c>
      <c r="C1860" s="1" t="n">
        <v>45343</v>
      </c>
      <c r="D1860" t="inlineStr">
        <is>
          <t>STOCKHOLMS LÄN</t>
        </is>
      </c>
      <c r="E1860" t="inlineStr">
        <is>
          <t>NORRTÄLJE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5664-2024</t>
        </is>
      </c>
      <c r="B1861" s="1" t="n">
        <v>45334</v>
      </c>
      <c r="C1861" s="1" t="n">
        <v>45343</v>
      </c>
      <c r="D1861" t="inlineStr">
        <is>
          <t>STOCKHOLMS LÄN</t>
        </is>
      </c>
      <c r="E1861" t="inlineStr">
        <is>
          <t>NORRTÄLJE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45343</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45343</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5831-2024</t>
        </is>
      </c>
      <c r="B1864" s="1" t="n">
        <v>45335</v>
      </c>
      <c r="C1864" s="1" t="n">
        <v>45343</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45343</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45343</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6401-2024</t>
        </is>
      </c>
      <c r="B1867" s="1" t="n">
        <v>45338</v>
      </c>
      <c r="C1867" s="1" t="n">
        <v>45343</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c r="A1868" t="inlineStr">
        <is>
          <t>A 6537-2024</t>
        </is>
      </c>
      <c r="B1868" s="1" t="n">
        <v>45341</v>
      </c>
      <c r="C1868" s="1" t="n">
        <v>45343</v>
      </c>
      <c r="D1868" t="inlineStr">
        <is>
          <t>STOCKHOLMS LÄN</t>
        </is>
      </c>
      <c r="E1868" t="inlineStr">
        <is>
          <t>NORRTÄLJE</t>
        </is>
      </c>
      <c r="G1868" t="n">
        <v>1.2</v>
      </c>
      <c r="H1868" t="n">
        <v>0</v>
      </c>
      <c r="I1868" t="n">
        <v>0</v>
      </c>
      <c r="J1868" t="n">
        <v>0</v>
      </c>
      <c r="K1868" t="n">
        <v>0</v>
      </c>
      <c r="L1868" t="n">
        <v>0</v>
      </c>
      <c r="M1868" t="n">
        <v>0</v>
      </c>
      <c r="N1868" t="n">
        <v>0</v>
      </c>
      <c r="O1868" t="n">
        <v>0</v>
      </c>
      <c r="P1868" t="n">
        <v>0</v>
      </c>
      <c r="Q1868" t="n">
        <v>0</v>
      </c>
      <c r="R18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2024-02-21T06:58:39Z</dcterms:created>
  <dcterms:modified xmlns:dcterms="http://purl.org/dc/terms/" xmlns:xsi="http://www.w3.org/2001/XMLSchema-instance" xsi:type="dcterms:W3CDTF">2024-02-21T06:58:41Z</dcterms:modified>
</cp:coreProperties>
</file>