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45940</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45940</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45940</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45940</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45940</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45940</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21837-2025</t>
        </is>
      </c>
      <c r="B8" s="1" t="n">
        <v>45784.32179398148</v>
      </c>
      <c r="C8" s="1" t="n">
        <v>45940</v>
      </c>
      <c r="D8" t="inlineStr">
        <is>
          <t>STOCKHOLMS LÄN</t>
        </is>
      </c>
      <c r="E8" t="inlineStr">
        <is>
          <t>NORRTÄLJE</t>
        </is>
      </c>
      <c r="G8" t="n">
        <v>6.4</v>
      </c>
      <c r="H8" t="n">
        <v>4</v>
      </c>
      <c r="I8" t="n">
        <v>10</v>
      </c>
      <c r="J8" t="n">
        <v>4</v>
      </c>
      <c r="K8" t="n">
        <v>4</v>
      </c>
      <c r="L8" t="n">
        <v>0</v>
      </c>
      <c r="M8" t="n">
        <v>0</v>
      </c>
      <c r="N8" t="n">
        <v>0</v>
      </c>
      <c r="O8" t="n">
        <v>8</v>
      </c>
      <c r="P8" t="n">
        <v>4</v>
      </c>
      <c r="Q8" t="n">
        <v>21</v>
      </c>
      <c r="R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8">
        <f>HYPERLINK("https://klasma.github.io/Logging_0188/artfynd/A 21837-2025 artfynd.xlsx", "A 21837-2025")</f>
        <v/>
      </c>
      <c r="T8">
        <f>HYPERLINK("https://klasma.github.io/Logging_0188/kartor/A 21837-2025 karta.png", "A 21837-2025")</f>
        <v/>
      </c>
      <c r="V8">
        <f>HYPERLINK("https://klasma.github.io/Logging_0188/klagomål/A 21837-2025 FSC-klagomål.docx", "A 21837-2025")</f>
        <v/>
      </c>
      <c r="W8">
        <f>HYPERLINK("https://klasma.github.io/Logging_0188/klagomålsmail/A 21837-2025 FSC-klagomål mail.docx", "A 21837-2025")</f>
        <v/>
      </c>
      <c r="X8">
        <f>HYPERLINK("https://klasma.github.io/Logging_0188/tillsyn/A 21837-2025 tillsynsbegäran.docx", "A 21837-2025")</f>
        <v/>
      </c>
      <c r="Y8">
        <f>HYPERLINK("https://klasma.github.io/Logging_0188/tillsynsmail/A 21837-2025 tillsynsbegäran mail.docx", "A 21837-2025")</f>
        <v/>
      </c>
    </row>
    <row r="9" ht="15" customHeight="1">
      <c r="A9" t="inlineStr">
        <is>
          <t>A 52797-2023</t>
        </is>
      </c>
      <c r="B9" s="1" t="n">
        <v>45226</v>
      </c>
      <c r="C9" s="1" t="n">
        <v>45940</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24218-2024</t>
        </is>
      </c>
      <c r="B10" s="1" t="n">
        <v>45457</v>
      </c>
      <c r="C10" s="1" t="n">
        <v>45940</v>
      </c>
      <c r="D10" t="inlineStr">
        <is>
          <t>STOCKHOLMS LÄN</t>
        </is>
      </c>
      <c r="E10" t="inlineStr">
        <is>
          <t>NORRTÄLJE</t>
        </is>
      </c>
      <c r="G10" t="n">
        <v>3.4</v>
      </c>
      <c r="H10" t="n">
        <v>4</v>
      </c>
      <c r="I10" t="n">
        <v>12</v>
      </c>
      <c r="J10" t="n">
        <v>2</v>
      </c>
      <c r="K10" t="n">
        <v>4</v>
      </c>
      <c r="L10" t="n">
        <v>1</v>
      </c>
      <c r="M10" t="n">
        <v>0</v>
      </c>
      <c r="N10" t="n">
        <v>0</v>
      </c>
      <c r="O10" t="n">
        <v>7</v>
      </c>
      <c r="P10" t="n">
        <v>5</v>
      </c>
      <c r="Q10" t="n">
        <v>21</v>
      </c>
      <c r="R1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0">
        <f>HYPERLINK("https://klasma.github.io/Logging_0188/artfynd/A 24218-2024 artfynd.xlsx", "A 24218-2024")</f>
        <v/>
      </c>
      <c r="T10">
        <f>HYPERLINK("https://klasma.github.io/Logging_0188/kartor/A 24218-2024 karta.png", "A 24218-2024")</f>
        <v/>
      </c>
      <c r="V10">
        <f>HYPERLINK("https://klasma.github.io/Logging_0188/klagomål/A 24218-2024 FSC-klagomål.docx", "A 24218-2024")</f>
        <v/>
      </c>
      <c r="W10">
        <f>HYPERLINK("https://klasma.github.io/Logging_0188/klagomålsmail/A 24218-2024 FSC-klagomål mail.docx", "A 24218-2024")</f>
        <v/>
      </c>
      <c r="X10">
        <f>HYPERLINK("https://klasma.github.io/Logging_0188/tillsyn/A 24218-2024 tillsynsbegäran.docx", "A 24218-2024")</f>
        <v/>
      </c>
      <c r="Y10">
        <f>HYPERLINK("https://klasma.github.io/Logging_0188/tillsynsmail/A 24218-2024 tillsynsbegäran mail.docx", "A 24218-2024")</f>
        <v/>
      </c>
      <c r="Z10">
        <f>HYPERLINK("https://klasma.github.io/Logging_0188/fåglar/A 24218-2024 prioriterade fågelarter.docx", "A 24218-2024")</f>
        <v/>
      </c>
    </row>
    <row r="11" ht="15" customHeight="1">
      <c r="A11" t="inlineStr">
        <is>
          <t>A 10646-2024</t>
        </is>
      </c>
      <c r="B11" s="1" t="n">
        <v>45367</v>
      </c>
      <c r="C11" s="1" t="n">
        <v>45940</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24692-2025</t>
        </is>
      </c>
      <c r="B12" s="1" t="n">
        <v>45798</v>
      </c>
      <c r="C12" s="1" t="n">
        <v>45940</v>
      </c>
      <c r="D12" t="inlineStr">
        <is>
          <t>STOCKHOLMS LÄN</t>
        </is>
      </c>
      <c r="E12" t="inlineStr">
        <is>
          <t>NORRTÄLJE</t>
        </is>
      </c>
      <c r="G12" t="n">
        <v>26.3</v>
      </c>
      <c r="H12" t="n">
        <v>3</v>
      </c>
      <c r="I12" t="n">
        <v>10</v>
      </c>
      <c r="J12" t="n">
        <v>5</v>
      </c>
      <c r="K12" t="n">
        <v>0</v>
      </c>
      <c r="L12" t="n">
        <v>2</v>
      </c>
      <c r="M12" t="n">
        <v>0</v>
      </c>
      <c r="N12" t="n">
        <v>0</v>
      </c>
      <c r="O12" t="n">
        <v>7</v>
      </c>
      <c r="P12" t="n">
        <v>2</v>
      </c>
      <c r="Q12" t="n">
        <v>18</v>
      </c>
      <c r="R12" s="2" t="inlineStr">
        <is>
          <t>Ask
Asknätfjäril
Dofttaggsvamp
Granticka
Motaggsvamp
Skrovlig taggsvamp
Vedtrappmossa
Blodticka
Bronshjon
Fjällig taggsvamp s.str.
Granbarkgnagare
Nästrot
Svavelriska
Tibast
Trådticka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30799-2025</t>
        </is>
      </c>
      <c r="B13" s="1" t="n">
        <v>45831.65079861111</v>
      </c>
      <c r="C13" s="1" t="n">
        <v>45940</v>
      </c>
      <c r="D13" t="inlineStr">
        <is>
          <t>STOCKHOLMS LÄN</t>
        </is>
      </c>
      <c r="E13" t="inlineStr">
        <is>
          <t>NORRTÄLJE</t>
        </is>
      </c>
      <c r="F13" t="inlineStr">
        <is>
          <t>Holmen skog AB</t>
        </is>
      </c>
      <c r="G13" t="n">
        <v>7.9</v>
      </c>
      <c r="H13" t="n">
        <v>1</v>
      </c>
      <c r="I13" t="n">
        <v>7</v>
      </c>
      <c r="J13" t="n">
        <v>6</v>
      </c>
      <c r="K13" t="n">
        <v>2</v>
      </c>
      <c r="L13" t="n">
        <v>0</v>
      </c>
      <c r="M13" t="n">
        <v>0</v>
      </c>
      <c r="N13" t="n">
        <v>0</v>
      </c>
      <c r="O13" t="n">
        <v>8</v>
      </c>
      <c r="P13" t="n">
        <v>2</v>
      </c>
      <c r="Q13" t="n">
        <v>16</v>
      </c>
      <c r="R1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51334-2022</t>
        </is>
      </c>
      <c r="B14" s="1" t="n">
        <v>44869</v>
      </c>
      <c r="C14" s="1" t="n">
        <v>45940</v>
      </c>
      <c r="D14" t="inlineStr">
        <is>
          <t>STOCKHOLMS LÄN</t>
        </is>
      </c>
      <c r="E14" t="inlineStr">
        <is>
          <t>NORRTÄLJE</t>
        </is>
      </c>
      <c r="F14" t="inlineStr">
        <is>
          <t>Holmen skog AB</t>
        </is>
      </c>
      <c r="G14" t="n">
        <v>8.699999999999999</v>
      </c>
      <c r="H14" t="n">
        <v>1</v>
      </c>
      <c r="I14" t="n">
        <v>7</v>
      </c>
      <c r="J14" t="n">
        <v>6</v>
      </c>
      <c r="K14" t="n">
        <v>1</v>
      </c>
      <c r="L14" t="n">
        <v>0</v>
      </c>
      <c r="M14" t="n">
        <v>0</v>
      </c>
      <c r="N14" t="n">
        <v>0</v>
      </c>
      <c r="O14" t="n">
        <v>7</v>
      </c>
      <c r="P14" t="n">
        <v>1</v>
      </c>
      <c r="Q14" t="n">
        <v>14</v>
      </c>
      <c r="R14" s="2" t="inlineStr">
        <is>
          <t>Västlig njurlav
Gränsticka
Kortskaftad ärgspik
Rödbrun blekspik
Större flatbagge
Ullticka
Vedtrappmossa
Brandticka
Bronshjon
Grön sköldmossa
Myskmadra
Skogshakmossa
Stubbspretmossa
Vedticka</t>
        </is>
      </c>
      <c r="S14">
        <f>HYPERLINK("https://klasma.github.io/Logging_0188/artfynd/A 51334-2022 artfynd.xlsx", "A 51334-2022")</f>
        <v/>
      </c>
      <c r="T14">
        <f>HYPERLINK("https://klasma.github.io/Logging_0188/kartor/A 51334-2022 karta.png", "A 51334-2022")</f>
        <v/>
      </c>
      <c r="V14">
        <f>HYPERLINK("https://klasma.github.io/Logging_0188/klagomål/A 51334-2022 FSC-klagomål.docx", "A 51334-2022")</f>
        <v/>
      </c>
      <c r="W14">
        <f>HYPERLINK("https://klasma.github.io/Logging_0188/klagomålsmail/A 51334-2022 FSC-klagomål mail.docx", "A 51334-2022")</f>
        <v/>
      </c>
      <c r="X14">
        <f>HYPERLINK("https://klasma.github.io/Logging_0188/tillsyn/A 51334-2022 tillsynsbegäran.docx", "A 51334-2022")</f>
        <v/>
      </c>
      <c r="Y14">
        <f>HYPERLINK("https://klasma.github.io/Logging_0188/tillsynsmail/A 51334-2022 tillsynsbegäran mail.docx", "A 51334-2022")</f>
        <v/>
      </c>
    </row>
    <row r="15" ht="15" customHeight="1">
      <c r="A15" t="inlineStr">
        <is>
          <t>A 21927-2025</t>
        </is>
      </c>
      <c r="B15" s="1" t="n">
        <v>45784.54878472222</v>
      </c>
      <c r="C15" s="1" t="n">
        <v>45940</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3472-2023</t>
        </is>
      </c>
      <c r="B16" s="1" t="n">
        <v>44949</v>
      </c>
      <c r="C16" s="1" t="n">
        <v>45940</v>
      </c>
      <c r="D16" t="inlineStr">
        <is>
          <t>STOCKHOLMS LÄN</t>
        </is>
      </c>
      <c r="E16" t="inlineStr">
        <is>
          <t>NORRTÄLJE</t>
        </is>
      </c>
      <c r="G16" t="n">
        <v>26.3</v>
      </c>
      <c r="H16" t="n">
        <v>1</v>
      </c>
      <c r="I16" t="n">
        <v>7</v>
      </c>
      <c r="J16" t="n">
        <v>2</v>
      </c>
      <c r="K16" t="n">
        <v>1</v>
      </c>
      <c r="L16" t="n">
        <v>0</v>
      </c>
      <c r="M16" t="n">
        <v>0</v>
      </c>
      <c r="N16" t="n">
        <v>0</v>
      </c>
      <c r="O16" t="n">
        <v>3</v>
      </c>
      <c r="P16" t="n">
        <v>1</v>
      </c>
      <c r="Q16" t="n">
        <v>11</v>
      </c>
      <c r="R16" s="2" t="inlineStr">
        <is>
          <t>Blackticka
Tallticka
Ullticka
Aspvedgnagare
Platt fjädermossa
Rävticka
Rökmusseron
Stor aspticka
Svavelriska
Vårärt
Blåsippa</t>
        </is>
      </c>
      <c r="S16">
        <f>HYPERLINK("https://klasma.github.io/Logging_0188/artfynd/A 3472-2023 artfynd.xlsx", "A 3472-2023")</f>
        <v/>
      </c>
      <c r="T16">
        <f>HYPERLINK("https://klasma.github.io/Logging_0188/kartor/A 3472-2023 karta.png", "A 3472-2023")</f>
        <v/>
      </c>
      <c r="V16">
        <f>HYPERLINK("https://klasma.github.io/Logging_0188/klagomål/A 3472-2023 FSC-klagomål.docx", "A 3472-2023")</f>
        <v/>
      </c>
      <c r="W16">
        <f>HYPERLINK("https://klasma.github.io/Logging_0188/klagomålsmail/A 3472-2023 FSC-klagomål mail.docx", "A 3472-2023")</f>
        <v/>
      </c>
      <c r="X16">
        <f>HYPERLINK("https://klasma.github.io/Logging_0188/tillsyn/A 3472-2023 tillsynsbegäran.docx", "A 3472-2023")</f>
        <v/>
      </c>
      <c r="Y16">
        <f>HYPERLINK("https://klasma.github.io/Logging_0188/tillsynsmail/A 3472-2023 tillsynsbegäran mail.docx", "A 3472-2023")</f>
        <v/>
      </c>
    </row>
    <row r="17" ht="15" customHeight="1">
      <c r="A17" t="inlineStr">
        <is>
          <t>A 20722-2024</t>
        </is>
      </c>
      <c r="B17" s="1" t="n">
        <v>45436</v>
      </c>
      <c r="C17" s="1" t="n">
        <v>45940</v>
      </c>
      <c r="D17" t="inlineStr">
        <is>
          <t>STOCKHOLMS LÄN</t>
        </is>
      </c>
      <c r="E17" t="inlineStr">
        <is>
          <t>NORRTÄLJE</t>
        </is>
      </c>
      <c r="G17" t="n">
        <v>5.2</v>
      </c>
      <c r="H17" t="n">
        <v>4</v>
      </c>
      <c r="I17" t="n">
        <v>2</v>
      </c>
      <c r="J17" t="n">
        <v>6</v>
      </c>
      <c r="K17" t="n">
        <v>1</v>
      </c>
      <c r="L17" t="n">
        <v>0</v>
      </c>
      <c r="M17" t="n">
        <v>0</v>
      </c>
      <c r="N17" t="n">
        <v>0</v>
      </c>
      <c r="O17" t="n">
        <v>7</v>
      </c>
      <c r="P17" t="n">
        <v>1</v>
      </c>
      <c r="Q17" t="n">
        <v>10</v>
      </c>
      <c r="R17" s="2" t="inlineStr">
        <is>
          <t>Knärot
Garnlav
Granticka
Gränsticka
Spillkråka
Svartvit flugsnappare
Ullticka
Bronshjon
Vågbandad barkbock
Blåsippa</t>
        </is>
      </c>
      <c r="S17">
        <f>HYPERLINK("https://klasma.github.io/Logging_0188/artfynd/A 20722-2024 artfynd.xlsx", "A 20722-2024")</f>
        <v/>
      </c>
      <c r="T17">
        <f>HYPERLINK("https://klasma.github.io/Logging_0188/kartor/A 20722-2024 karta.png", "A 20722-2024")</f>
        <v/>
      </c>
      <c r="U17">
        <f>HYPERLINK("https://klasma.github.io/Logging_0188/knärot/A 20722-2024 karta knärot.png", "A 20722-2024")</f>
        <v/>
      </c>
      <c r="V17">
        <f>HYPERLINK("https://klasma.github.io/Logging_0188/klagomål/A 20722-2024 FSC-klagomål.docx", "A 20722-2024")</f>
        <v/>
      </c>
      <c r="W17">
        <f>HYPERLINK("https://klasma.github.io/Logging_0188/klagomålsmail/A 20722-2024 FSC-klagomål mail.docx", "A 20722-2024")</f>
        <v/>
      </c>
      <c r="X17">
        <f>HYPERLINK("https://klasma.github.io/Logging_0188/tillsyn/A 20722-2024 tillsynsbegäran.docx", "A 20722-2024")</f>
        <v/>
      </c>
      <c r="Y17">
        <f>HYPERLINK("https://klasma.github.io/Logging_0188/tillsynsmail/A 20722-2024 tillsynsbegäran mail.docx", "A 20722-2024")</f>
        <v/>
      </c>
      <c r="Z17">
        <f>HYPERLINK("https://klasma.github.io/Logging_0188/fåglar/A 20722-2024 prioriterade fågelarter.docx", "A 20722-2024")</f>
        <v/>
      </c>
    </row>
    <row r="18" ht="15" customHeight="1">
      <c r="A18" t="inlineStr">
        <is>
          <t>A 11231-2021</t>
        </is>
      </c>
      <c r="B18" s="1" t="n">
        <v>44263</v>
      </c>
      <c r="C18" s="1" t="n">
        <v>45940</v>
      </c>
      <c r="D18" t="inlineStr">
        <is>
          <t>STOCKHOLMS LÄN</t>
        </is>
      </c>
      <c r="E18" t="inlineStr">
        <is>
          <t>NORRTÄLJE</t>
        </is>
      </c>
      <c r="F18" t="inlineStr">
        <is>
          <t>Holmen skog AB</t>
        </is>
      </c>
      <c r="G18" t="n">
        <v>12</v>
      </c>
      <c r="H18" t="n">
        <v>6</v>
      </c>
      <c r="I18" t="n">
        <v>2</v>
      </c>
      <c r="J18" t="n">
        <v>5</v>
      </c>
      <c r="K18" t="n">
        <v>0</v>
      </c>
      <c r="L18" t="n">
        <v>2</v>
      </c>
      <c r="M18" t="n">
        <v>0</v>
      </c>
      <c r="N18" t="n">
        <v>0</v>
      </c>
      <c r="O18" t="n">
        <v>7</v>
      </c>
      <c r="P18" t="n">
        <v>2</v>
      </c>
      <c r="Q18" t="n">
        <v>10</v>
      </c>
      <c r="R18" s="2" t="inlineStr">
        <is>
          <t>Grönfink
Tornseglare
Fiskmås
Havsörn
Motaggsvamp
Talltita
Vedskivlav
Björksplintborre
Dropptaggsvamp
Tjäder</t>
        </is>
      </c>
      <c r="S18">
        <f>HYPERLINK("https://klasma.github.io/Logging_0188/artfynd/A 11231-2021 artfynd.xlsx", "A 11231-2021")</f>
        <v/>
      </c>
      <c r="T18">
        <f>HYPERLINK("https://klasma.github.io/Logging_0188/kartor/A 11231-2021 karta.png", "A 11231-2021")</f>
        <v/>
      </c>
      <c r="V18">
        <f>HYPERLINK("https://klasma.github.io/Logging_0188/klagomål/A 11231-2021 FSC-klagomål.docx", "A 11231-2021")</f>
        <v/>
      </c>
      <c r="W18">
        <f>HYPERLINK("https://klasma.github.io/Logging_0188/klagomålsmail/A 11231-2021 FSC-klagomål mail.docx", "A 11231-2021")</f>
        <v/>
      </c>
      <c r="X18">
        <f>HYPERLINK("https://klasma.github.io/Logging_0188/tillsyn/A 11231-2021 tillsynsbegäran.docx", "A 11231-2021")</f>
        <v/>
      </c>
      <c r="Y18">
        <f>HYPERLINK("https://klasma.github.io/Logging_0188/tillsynsmail/A 11231-2021 tillsynsbegäran mail.docx", "A 11231-2021")</f>
        <v/>
      </c>
      <c r="Z18">
        <f>HYPERLINK("https://klasma.github.io/Logging_0188/fåglar/A 11231-2021 prioriterade fågelarter.docx", "A 11231-2021")</f>
        <v/>
      </c>
    </row>
    <row r="19" ht="15" customHeight="1">
      <c r="A19" t="inlineStr">
        <is>
          <t>A 44847-2023</t>
        </is>
      </c>
      <c r="B19" s="1" t="n">
        <v>45190</v>
      </c>
      <c r="C19" s="1" t="n">
        <v>45940</v>
      </c>
      <c r="D19" t="inlineStr">
        <is>
          <t>STOCKHOLMS LÄN</t>
        </is>
      </c>
      <c r="E19" t="inlineStr">
        <is>
          <t>NORRTÄLJE</t>
        </is>
      </c>
      <c r="G19" t="n">
        <v>8.5</v>
      </c>
      <c r="H19" t="n">
        <v>10</v>
      </c>
      <c r="I19" t="n">
        <v>0</v>
      </c>
      <c r="J19" t="n">
        <v>4</v>
      </c>
      <c r="K19" t="n">
        <v>4</v>
      </c>
      <c r="L19" t="n">
        <v>1</v>
      </c>
      <c r="M19" t="n">
        <v>0</v>
      </c>
      <c r="N19" t="n">
        <v>0</v>
      </c>
      <c r="O19" t="n">
        <v>9</v>
      </c>
      <c r="P19" t="n">
        <v>5</v>
      </c>
      <c r="Q19" t="n">
        <v>10</v>
      </c>
      <c r="R19" s="2" t="inlineStr">
        <is>
          <t>Ejder
Gråtrut
Havstrut
Knärot
Stare
Fiskmås
Havsörn
Skrattmås
Strandskata
Gråkråka</t>
        </is>
      </c>
      <c r="S19">
        <f>HYPERLINK("https://klasma.github.io/Logging_0188/artfynd/A 44847-2023 artfynd.xlsx", "A 44847-2023")</f>
        <v/>
      </c>
      <c r="T19">
        <f>HYPERLINK("https://klasma.github.io/Logging_0188/kartor/A 44847-2023 karta.png", "A 44847-2023")</f>
        <v/>
      </c>
      <c r="U19">
        <f>HYPERLINK("https://klasma.github.io/Logging_0188/knärot/A 44847-2023 karta knärot.png", "A 44847-2023")</f>
        <v/>
      </c>
      <c r="V19">
        <f>HYPERLINK("https://klasma.github.io/Logging_0188/klagomål/A 44847-2023 FSC-klagomål.docx", "A 44847-2023")</f>
        <v/>
      </c>
      <c r="W19">
        <f>HYPERLINK("https://klasma.github.io/Logging_0188/klagomålsmail/A 44847-2023 FSC-klagomål mail.docx", "A 44847-2023")</f>
        <v/>
      </c>
      <c r="X19">
        <f>HYPERLINK("https://klasma.github.io/Logging_0188/tillsyn/A 44847-2023 tillsynsbegäran.docx", "A 44847-2023")</f>
        <v/>
      </c>
      <c r="Y19">
        <f>HYPERLINK("https://klasma.github.io/Logging_0188/tillsynsmail/A 44847-2023 tillsynsbegäran mail.docx", "A 44847-2023")</f>
        <v/>
      </c>
      <c r="Z19">
        <f>HYPERLINK("https://klasma.github.io/Logging_0188/fåglar/A 44847-2023 prioriterade fågelarter.docx", "A 44847-2023")</f>
        <v/>
      </c>
    </row>
    <row r="20" ht="15" customHeight="1">
      <c r="A20" t="inlineStr">
        <is>
          <t>A 52815-2021</t>
        </is>
      </c>
      <c r="B20" s="1" t="n">
        <v>44467</v>
      </c>
      <c r="C20" s="1" t="n">
        <v>45940</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50326-2024</t>
        </is>
      </c>
      <c r="B21" s="1" t="n">
        <v>45600</v>
      </c>
      <c r="C21" s="1" t="n">
        <v>45940</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73093-2021</t>
        </is>
      </c>
      <c r="B22" s="1" t="n">
        <v>44550</v>
      </c>
      <c r="C22" s="1" t="n">
        <v>45940</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47274-2024</t>
        </is>
      </c>
      <c r="B23" s="1" t="n">
        <v>45586.88145833334</v>
      </c>
      <c r="C23" s="1" t="n">
        <v>45940</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4705-2025</t>
        </is>
      </c>
      <c r="B24" s="1" t="n">
        <v>45688.38224537037</v>
      </c>
      <c r="C24" s="1" t="n">
        <v>45940</v>
      </c>
      <c r="D24" t="inlineStr">
        <is>
          <t>STOCKHOLMS LÄN</t>
        </is>
      </c>
      <c r="E24" t="inlineStr">
        <is>
          <t>NORRTÄLJE</t>
        </is>
      </c>
      <c r="G24" t="n">
        <v>5.7</v>
      </c>
      <c r="H24" t="n">
        <v>0</v>
      </c>
      <c r="I24" t="n">
        <v>5</v>
      </c>
      <c r="J24" t="n">
        <v>3</v>
      </c>
      <c r="K24" t="n">
        <v>0</v>
      </c>
      <c r="L24" t="n">
        <v>0</v>
      </c>
      <c r="M24" t="n">
        <v>0</v>
      </c>
      <c r="N24" t="n">
        <v>0</v>
      </c>
      <c r="O24" t="n">
        <v>3</v>
      </c>
      <c r="P24" t="n">
        <v>0</v>
      </c>
      <c r="Q24" t="n">
        <v>8</v>
      </c>
      <c r="R24" s="2" t="inlineStr">
        <is>
          <t>Dofttaggsvamp
Granticka
Ullticka
Fjällig taggsvamp s.str.
Skarp dropptaggsvamp
Sårläka
Thomsons trägnagare
Tibast</t>
        </is>
      </c>
      <c r="S24">
        <f>HYPERLINK("https://klasma.github.io/Logging_0188/artfynd/A 4705-2025 artfynd.xlsx", "A 4705-2025")</f>
        <v/>
      </c>
      <c r="T24">
        <f>HYPERLINK("https://klasma.github.io/Logging_0188/kartor/A 4705-2025 karta.png", "A 4705-2025")</f>
        <v/>
      </c>
      <c r="V24">
        <f>HYPERLINK("https://klasma.github.io/Logging_0188/klagomål/A 4705-2025 FSC-klagomål.docx", "A 4705-2025")</f>
        <v/>
      </c>
      <c r="W24">
        <f>HYPERLINK("https://klasma.github.io/Logging_0188/klagomålsmail/A 4705-2025 FSC-klagomål mail.docx", "A 4705-2025")</f>
        <v/>
      </c>
      <c r="X24">
        <f>HYPERLINK("https://klasma.github.io/Logging_0188/tillsyn/A 4705-2025 tillsynsbegäran.docx", "A 4705-2025")</f>
        <v/>
      </c>
      <c r="Y24">
        <f>HYPERLINK("https://klasma.github.io/Logging_0188/tillsynsmail/A 4705-2025 tillsynsbegäran mail.docx", "A 4705-2025")</f>
        <v/>
      </c>
    </row>
    <row r="25" ht="15" customHeight="1">
      <c r="A25" t="inlineStr">
        <is>
          <t>A 59582-2024</t>
        </is>
      </c>
      <c r="B25" s="1" t="n">
        <v>45638</v>
      </c>
      <c r="C25" s="1" t="n">
        <v>45940</v>
      </c>
      <c r="D25" t="inlineStr">
        <is>
          <t>STOCKHOLMS LÄN</t>
        </is>
      </c>
      <c r="E25" t="inlineStr">
        <is>
          <t>NORRTÄLJE</t>
        </is>
      </c>
      <c r="F25" t="inlineStr">
        <is>
          <t>Holmen skog AB</t>
        </is>
      </c>
      <c r="G25" t="n">
        <v>2.7</v>
      </c>
      <c r="H25" t="n">
        <v>3</v>
      </c>
      <c r="I25" t="n">
        <v>4</v>
      </c>
      <c r="J25" t="n">
        <v>3</v>
      </c>
      <c r="K25" t="n">
        <v>0</v>
      </c>
      <c r="L25" t="n">
        <v>0</v>
      </c>
      <c r="M25" t="n">
        <v>0</v>
      </c>
      <c r="N25" t="n">
        <v>0</v>
      </c>
      <c r="O25" t="n">
        <v>3</v>
      </c>
      <c r="P25" t="n">
        <v>0</v>
      </c>
      <c r="Q25" t="n">
        <v>8</v>
      </c>
      <c r="R25" s="2" t="inlineStr">
        <is>
          <t>Duvhök
Skogshare
Spillkråka
Bronshjon
Granbräken
Spädstarr
Vågbandad barkbock
Revlummer</t>
        </is>
      </c>
      <c r="S25">
        <f>HYPERLINK("https://klasma.github.io/Logging_0188/artfynd/A 59582-2024 artfynd.xlsx", "A 59582-2024")</f>
        <v/>
      </c>
      <c r="T25">
        <f>HYPERLINK("https://klasma.github.io/Logging_0188/kartor/A 59582-2024 karta.png", "A 59582-2024")</f>
        <v/>
      </c>
      <c r="V25">
        <f>HYPERLINK("https://klasma.github.io/Logging_0188/klagomål/A 59582-2024 FSC-klagomål.docx", "A 59582-2024")</f>
        <v/>
      </c>
      <c r="W25">
        <f>HYPERLINK("https://klasma.github.io/Logging_0188/klagomålsmail/A 59582-2024 FSC-klagomål mail.docx", "A 59582-2024")</f>
        <v/>
      </c>
      <c r="X25">
        <f>HYPERLINK("https://klasma.github.io/Logging_0188/tillsyn/A 59582-2024 tillsynsbegäran.docx", "A 59582-2024")</f>
        <v/>
      </c>
      <c r="Y25">
        <f>HYPERLINK("https://klasma.github.io/Logging_0188/tillsynsmail/A 59582-2024 tillsynsbegäran mail.docx", "A 59582-2024")</f>
        <v/>
      </c>
      <c r="Z25">
        <f>HYPERLINK("https://klasma.github.io/Logging_0188/fåglar/A 59582-2024 prioriterade fågelarter.docx", "A 59582-2024")</f>
        <v/>
      </c>
    </row>
    <row r="26" ht="15" customHeight="1">
      <c r="A26" t="inlineStr">
        <is>
          <t>A 45811-2022</t>
        </is>
      </c>
      <c r="B26" s="1" t="n">
        <v>44846</v>
      </c>
      <c r="C26" s="1" t="n">
        <v>45940</v>
      </c>
      <c r="D26" t="inlineStr">
        <is>
          <t>STOCKHOLMS LÄN</t>
        </is>
      </c>
      <c r="E26" t="inlineStr">
        <is>
          <t>NORRTÄLJE</t>
        </is>
      </c>
      <c r="G26" t="n">
        <v>0.8</v>
      </c>
      <c r="H26" t="n">
        <v>0</v>
      </c>
      <c r="I26" t="n">
        <v>5</v>
      </c>
      <c r="J26" t="n">
        <v>0</v>
      </c>
      <c r="K26" t="n">
        <v>0</v>
      </c>
      <c r="L26" t="n">
        <v>1</v>
      </c>
      <c r="M26" t="n">
        <v>1</v>
      </c>
      <c r="N26" t="n">
        <v>0</v>
      </c>
      <c r="O26" t="n">
        <v>2</v>
      </c>
      <c r="P26" t="n">
        <v>2</v>
      </c>
      <c r="Q26" t="n">
        <v>7</v>
      </c>
      <c r="R26" s="2" t="inlineStr">
        <is>
          <t>Skogsalm
Ask
Hässleklocka
Myskmadra
Strävlosta
Tibast
Underviol</t>
        </is>
      </c>
      <c r="S26">
        <f>HYPERLINK("https://klasma.github.io/Logging_0188/artfynd/A 45811-2022 artfynd.xlsx", "A 45811-2022")</f>
        <v/>
      </c>
      <c r="T26">
        <f>HYPERLINK("https://klasma.github.io/Logging_0188/kartor/A 45811-2022 karta.png", "A 45811-2022")</f>
        <v/>
      </c>
      <c r="V26">
        <f>HYPERLINK("https://klasma.github.io/Logging_0188/klagomål/A 45811-2022 FSC-klagomål.docx", "A 45811-2022")</f>
        <v/>
      </c>
      <c r="W26">
        <f>HYPERLINK("https://klasma.github.io/Logging_0188/klagomålsmail/A 45811-2022 FSC-klagomål mail.docx", "A 45811-2022")</f>
        <v/>
      </c>
      <c r="X26">
        <f>HYPERLINK("https://klasma.github.io/Logging_0188/tillsyn/A 45811-2022 tillsynsbegäran.docx", "A 45811-2022")</f>
        <v/>
      </c>
      <c r="Y26">
        <f>HYPERLINK("https://klasma.github.io/Logging_0188/tillsynsmail/A 45811-2022 tillsynsbegäran mail.docx", "A 45811-2022")</f>
        <v/>
      </c>
    </row>
    <row r="27" ht="15" customHeight="1">
      <c r="A27" t="inlineStr">
        <is>
          <t>A 48490-2022</t>
        </is>
      </c>
      <c r="B27" s="1" t="n">
        <v>44858</v>
      </c>
      <c r="C27" s="1" t="n">
        <v>45940</v>
      </c>
      <c r="D27" t="inlineStr">
        <is>
          <t>STOCKHOLMS LÄN</t>
        </is>
      </c>
      <c r="E27" t="inlineStr">
        <is>
          <t>NORRTÄLJE</t>
        </is>
      </c>
      <c r="G27" t="n">
        <v>15.8</v>
      </c>
      <c r="H27" t="n">
        <v>2</v>
      </c>
      <c r="I27" t="n">
        <v>6</v>
      </c>
      <c r="J27" t="n">
        <v>0</v>
      </c>
      <c r="K27" t="n">
        <v>0</v>
      </c>
      <c r="L27" t="n">
        <v>0</v>
      </c>
      <c r="M27" t="n">
        <v>0</v>
      </c>
      <c r="N27" t="n">
        <v>0</v>
      </c>
      <c r="O27" t="n">
        <v>0</v>
      </c>
      <c r="P27" t="n">
        <v>0</v>
      </c>
      <c r="Q27" t="n">
        <v>7</v>
      </c>
      <c r="R27" s="2" t="inlineStr">
        <is>
          <t>Kragjordstjärna
Skogsknipprot
Svart trolldruva
Svavelriska
Tibast
Vårärt
Blåsippa</t>
        </is>
      </c>
      <c r="S27">
        <f>HYPERLINK("https://klasma.github.io/Logging_0188/artfynd/A 48490-2022 artfynd.xlsx", "A 48490-2022")</f>
        <v/>
      </c>
      <c r="T27">
        <f>HYPERLINK("https://klasma.github.io/Logging_0188/kartor/A 48490-2022 karta.png", "A 48490-2022")</f>
        <v/>
      </c>
      <c r="V27">
        <f>HYPERLINK("https://klasma.github.io/Logging_0188/klagomål/A 48490-2022 FSC-klagomål.docx", "A 48490-2022")</f>
        <v/>
      </c>
      <c r="W27">
        <f>HYPERLINK("https://klasma.github.io/Logging_0188/klagomålsmail/A 48490-2022 FSC-klagomål mail.docx", "A 48490-2022")</f>
        <v/>
      </c>
      <c r="X27">
        <f>HYPERLINK("https://klasma.github.io/Logging_0188/tillsyn/A 48490-2022 tillsynsbegäran.docx", "A 48490-2022")</f>
        <v/>
      </c>
      <c r="Y27">
        <f>HYPERLINK("https://klasma.github.io/Logging_0188/tillsynsmail/A 48490-2022 tillsynsbegäran mail.docx", "A 48490-2022")</f>
        <v/>
      </c>
    </row>
    <row r="28" ht="15" customHeight="1">
      <c r="A28" t="inlineStr">
        <is>
          <t>A 13933-2022</t>
        </is>
      </c>
      <c r="B28" s="1" t="n">
        <v>44650</v>
      </c>
      <c r="C28" s="1" t="n">
        <v>45940</v>
      </c>
      <c r="D28" t="inlineStr">
        <is>
          <t>STOCKHOLMS LÄN</t>
        </is>
      </c>
      <c r="E28" t="inlineStr">
        <is>
          <t>NORRTÄLJE</t>
        </is>
      </c>
      <c r="G28" t="n">
        <v>4.4</v>
      </c>
      <c r="H28" t="n">
        <v>3</v>
      </c>
      <c r="I28" t="n">
        <v>5</v>
      </c>
      <c r="J28" t="n">
        <v>1</v>
      </c>
      <c r="K28" t="n">
        <v>0</v>
      </c>
      <c r="L28" t="n">
        <v>0</v>
      </c>
      <c r="M28" t="n">
        <v>0</v>
      </c>
      <c r="N28" t="n">
        <v>0</v>
      </c>
      <c r="O28" t="n">
        <v>1</v>
      </c>
      <c r="P28" t="n">
        <v>0</v>
      </c>
      <c r="Q28" t="n">
        <v>7</v>
      </c>
      <c r="R28" s="2" t="inlineStr">
        <is>
          <t>Ullticka
Grön sköldmossa
Nästrot
Skogshakmossa
Tibast
Ögonpyrola
Blåsippa</t>
        </is>
      </c>
      <c r="S28">
        <f>HYPERLINK("https://klasma.github.io/Logging_0188/artfynd/A 13933-2022 artfynd.xlsx", "A 13933-2022")</f>
        <v/>
      </c>
      <c r="T28">
        <f>HYPERLINK("https://klasma.github.io/Logging_0188/kartor/A 13933-2022 karta.png", "A 13933-2022")</f>
        <v/>
      </c>
      <c r="V28">
        <f>HYPERLINK("https://klasma.github.io/Logging_0188/klagomål/A 13933-2022 FSC-klagomål.docx", "A 13933-2022")</f>
        <v/>
      </c>
      <c r="W28">
        <f>HYPERLINK("https://klasma.github.io/Logging_0188/klagomålsmail/A 13933-2022 FSC-klagomål mail.docx", "A 13933-2022")</f>
        <v/>
      </c>
      <c r="X28">
        <f>HYPERLINK("https://klasma.github.io/Logging_0188/tillsyn/A 13933-2022 tillsynsbegäran.docx", "A 13933-2022")</f>
        <v/>
      </c>
      <c r="Y28">
        <f>HYPERLINK("https://klasma.github.io/Logging_0188/tillsynsmail/A 13933-2022 tillsynsbegäran mail.docx", "A 13933-2022")</f>
        <v/>
      </c>
    </row>
    <row r="29" ht="15" customHeight="1">
      <c r="A29" t="inlineStr">
        <is>
          <t>A 47346-2021</t>
        </is>
      </c>
      <c r="B29" s="1" t="n">
        <v>44447</v>
      </c>
      <c r="C29" s="1" t="n">
        <v>45940</v>
      </c>
      <c r="D29" t="inlineStr">
        <is>
          <t>STOCKHOLMS LÄN</t>
        </is>
      </c>
      <c r="E29" t="inlineStr">
        <is>
          <t>NORRTÄLJE</t>
        </is>
      </c>
      <c r="G29" t="n">
        <v>5.5</v>
      </c>
      <c r="H29" t="n">
        <v>1</v>
      </c>
      <c r="I29" t="n">
        <v>4</v>
      </c>
      <c r="J29" t="n">
        <v>0</v>
      </c>
      <c r="K29" t="n">
        <v>2</v>
      </c>
      <c r="L29" t="n">
        <v>0</v>
      </c>
      <c r="M29" t="n">
        <v>0</v>
      </c>
      <c r="N29" t="n">
        <v>0</v>
      </c>
      <c r="O29" t="n">
        <v>2</v>
      </c>
      <c r="P29" t="n">
        <v>2</v>
      </c>
      <c r="Q29" t="n">
        <v>7</v>
      </c>
      <c r="R29" s="2" t="inlineStr">
        <is>
          <t>Grangråticka
Violgubbe
Anisspindling
Fjällig taggsvamp s.str.
Skarp dropptaggsvamp
Toppvaxing
Revlummer</t>
        </is>
      </c>
      <c r="S29">
        <f>HYPERLINK("https://klasma.github.io/Logging_0188/artfynd/A 47346-2021 artfynd.xlsx", "A 47346-2021")</f>
        <v/>
      </c>
      <c r="T29">
        <f>HYPERLINK("https://klasma.github.io/Logging_0188/kartor/A 47346-2021 karta.png", "A 47346-2021")</f>
        <v/>
      </c>
      <c r="V29">
        <f>HYPERLINK("https://klasma.github.io/Logging_0188/klagomål/A 47346-2021 FSC-klagomål.docx", "A 47346-2021")</f>
        <v/>
      </c>
      <c r="W29">
        <f>HYPERLINK("https://klasma.github.io/Logging_0188/klagomålsmail/A 47346-2021 FSC-klagomål mail.docx", "A 47346-2021")</f>
        <v/>
      </c>
      <c r="X29">
        <f>HYPERLINK("https://klasma.github.io/Logging_0188/tillsyn/A 47346-2021 tillsynsbegäran.docx", "A 47346-2021")</f>
        <v/>
      </c>
      <c r="Y29">
        <f>HYPERLINK("https://klasma.github.io/Logging_0188/tillsynsmail/A 47346-2021 tillsynsbegäran mail.docx", "A 47346-2021")</f>
        <v/>
      </c>
    </row>
    <row r="30" ht="15" customHeight="1">
      <c r="A30" t="inlineStr">
        <is>
          <t>A 25732-2025</t>
        </is>
      </c>
      <c r="B30" s="1" t="n">
        <v>45800</v>
      </c>
      <c r="C30" s="1" t="n">
        <v>45940</v>
      </c>
      <c r="D30" t="inlineStr">
        <is>
          <t>STOCKHOLMS LÄN</t>
        </is>
      </c>
      <c r="E30" t="inlineStr">
        <is>
          <t>NORRTÄLJE</t>
        </is>
      </c>
      <c r="G30" t="n">
        <v>7.4</v>
      </c>
      <c r="H30" t="n">
        <v>3</v>
      </c>
      <c r="I30" t="n">
        <v>3</v>
      </c>
      <c r="J30" t="n">
        <v>2</v>
      </c>
      <c r="K30" t="n">
        <v>1</v>
      </c>
      <c r="L30" t="n">
        <v>0</v>
      </c>
      <c r="M30" t="n">
        <v>0</v>
      </c>
      <c r="N30" t="n">
        <v>0</v>
      </c>
      <c r="O30" t="n">
        <v>3</v>
      </c>
      <c r="P30" t="n">
        <v>1</v>
      </c>
      <c r="Q30" t="n">
        <v>7</v>
      </c>
      <c r="R30" s="2" t="inlineStr">
        <is>
          <t>Knärot
Blå taggsvamp
Skrovlig taggsvamp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15278-2024</t>
        </is>
      </c>
      <c r="B31" s="1" t="n">
        <v>45400.5958912037</v>
      </c>
      <c r="C31" s="1" t="n">
        <v>45940</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34528-2025</t>
        </is>
      </c>
      <c r="B32" s="1" t="n">
        <v>45847.48436342592</v>
      </c>
      <c r="C32" s="1" t="n">
        <v>45940</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45940</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72111-2021</t>
        </is>
      </c>
      <c r="B34" s="1" t="n">
        <v>44544</v>
      </c>
      <c r="C34" s="1" t="n">
        <v>45940</v>
      </c>
      <c r="D34" t="inlineStr">
        <is>
          <t>STOCKHOLMS LÄN</t>
        </is>
      </c>
      <c r="E34" t="inlineStr">
        <is>
          <t>NORRTÄLJE</t>
        </is>
      </c>
      <c r="G34" t="n">
        <v>5.1</v>
      </c>
      <c r="H34" t="n">
        <v>1</v>
      </c>
      <c r="I34" t="n">
        <v>3</v>
      </c>
      <c r="J34" t="n">
        <v>1</v>
      </c>
      <c r="K34" t="n">
        <v>0</v>
      </c>
      <c r="L34" t="n">
        <v>0</v>
      </c>
      <c r="M34" t="n">
        <v>0</v>
      </c>
      <c r="N34" t="n">
        <v>0</v>
      </c>
      <c r="O34" t="n">
        <v>1</v>
      </c>
      <c r="P34" t="n">
        <v>0</v>
      </c>
      <c r="Q34" t="n">
        <v>5</v>
      </c>
      <c r="R34" s="2" t="inlineStr">
        <is>
          <t>Lunglav
Scharlakansvårskål agg.
Sårläka
Vårärt
Blåsippa</t>
        </is>
      </c>
      <c r="S34">
        <f>HYPERLINK("https://klasma.github.io/Logging_0188/artfynd/A 72111-2021 artfynd.xlsx", "A 72111-2021")</f>
        <v/>
      </c>
      <c r="T34">
        <f>HYPERLINK("https://klasma.github.io/Logging_0188/kartor/A 72111-2021 karta.png", "A 72111-2021")</f>
        <v/>
      </c>
      <c r="V34">
        <f>HYPERLINK("https://klasma.github.io/Logging_0188/klagomål/A 72111-2021 FSC-klagomål.docx", "A 72111-2021")</f>
        <v/>
      </c>
      <c r="W34">
        <f>HYPERLINK("https://klasma.github.io/Logging_0188/klagomålsmail/A 72111-2021 FSC-klagomål mail.docx", "A 72111-2021")</f>
        <v/>
      </c>
      <c r="X34">
        <f>HYPERLINK("https://klasma.github.io/Logging_0188/tillsyn/A 72111-2021 tillsynsbegäran.docx", "A 72111-2021")</f>
        <v/>
      </c>
      <c r="Y34">
        <f>HYPERLINK("https://klasma.github.io/Logging_0188/tillsynsmail/A 72111-2021 tillsynsbegäran mail.docx", "A 72111-2021")</f>
        <v/>
      </c>
    </row>
    <row r="35" ht="15" customHeight="1">
      <c r="A35" t="inlineStr">
        <is>
          <t>A 21922-2023</t>
        </is>
      </c>
      <c r="B35" s="1" t="n">
        <v>45068</v>
      </c>
      <c r="C35" s="1" t="n">
        <v>45940</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30687-2025</t>
        </is>
      </c>
      <c r="B36" s="1" t="n">
        <v>45831.53390046296</v>
      </c>
      <c r="C36" s="1" t="n">
        <v>45940</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15804-2025</t>
        </is>
      </c>
      <c r="B37" s="1" t="n">
        <v>45748.6521875</v>
      </c>
      <c r="C37" s="1" t="n">
        <v>45940</v>
      </c>
      <c r="D37" t="inlineStr">
        <is>
          <t>STOCKHOLMS LÄN</t>
        </is>
      </c>
      <c r="E37" t="inlineStr">
        <is>
          <t>NORRTÄLJE</t>
        </is>
      </c>
      <c r="F37" t="inlineStr">
        <is>
          <t>Holmen skog AB</t>
        </is>
      </c>
      <c r="G37" t="n">
        <v>1.7</v>
      </c>
      <c r="H37" t="n">
        <v>1</v>
      </c>
      <c r="I37" t="n">
        <v>1</v>
      </c>
      <c r="J37" t="n">
        <v>3</v>
      </c>
      <c r="K37" t="n">
        <v>0</v>
      </c>
      <c r="L37" t="n">
        <v>1</v>
      </c>
      <c r="M37" t="n">
        <v>0</v>
      </c>
      <c r="N37" t="n">
        <v>0</v>
      </c>
      <c r="O37" t="n">
        <v>4</v>
      </c>
      <c r="P37" t="n">
        <v>1</v>
      </c>
      <c r="Q37" t="n">
        <v>5</v>
      </c>
      <c r="R37" s="2" t="inlineStr">
        <is>
          <t>Asknätfjäril
Gullklöver
Skogsklocka
Slåtterfibbla
Spetsvaxing</t>
        </is>
      </c>
      <c r="S37">
        <f>HYPERLINK("https://klasma.github.io/Logging_0188/artfynd/A 15804-2025 artfynd.xlsx", "A 15804-2025")</f>
        <v/>
      </c>
      <c r="T37">
        <f>HYPERLINK("https://klasma.github.io/Logging_0188/kartor/A 15804-2025 karta.png", "A 15804-2025")</f>
        <v/>
      </c>
      <c r="V37">
        <f>HYPERLINK("https://klasma.github.io/Logging_0188/klagomål/A 15804-2025 FSC-klagomål.docx", "A 15804-2025")</f>
        <v/>
      </c>
      <c r="W37">
        <f>HYPERLINK("https://klasma.github.io/Logging_0188/klagomålsmail/A 15804-2025 FSC-klagomål mail.docx", "A 15804-2025")</f>
        <v/>
      </c>
      <c r="X37">
        <f>HYPERLINK("https://klasma.github.io/Logging_0188/tillsyn/A 15804-2025 tillsynsbegäran.docx", "A 15804-2025")</f>
        <v/>
      </c>
      <c r="Y37">
        <f>HYPERLINK("https://klasma.github.io/Logging_0188/tillsynsmail/A 15804-2025 tillsynsbegäran mail.docx", "A 15804-2025")</f>
        <v/>
      </c>
    </row>
    <row r="38" ht="15" customHeight="1">
      <c r="A38" t="inlineStr">
        <is>
          <t>A 22071-2022</t>
        </is>
      </c>
      <c r="B38" s="1" t="n">
        <v>44711</v>
      </c>
      <c r="C38" s="1" t="n">
        <v>45940</v>
      </c>
      <c r="D38" t="inlineStr">
        <is>
          <t>STOCKHOLMS LÄN</t>
        </is>
      </c>
      <c r="E38" t="inlineStr">
        <is>
          <t>NORRTÄLJE</t>
        </is>
      </c>
      <c r="G38" t="n">
        <v>7</v>
      </c>
      <c r="H38" t="n">
        <v>1</v>
      </c>
      <c r="I38" t="n">
        <v>2</v>
      </c>
      <c r="J38" t="n">
        <v>2</v>
      </c>
      <c r="K38" t="n">
        <v>0</v>
      </c>
      <c r="L38" t="n">
        <v>0</v>
      </c>
      <c r="M38" t="n">
        <v>0</v>
      </c>
      <c r="N38" t="n">
        <v>0</v>
      </c>
      <c r="O38" t="n">
        <v>2</v>
      </c>
      <c r="P38" t="n">
        <v>0</v>
      </c>
      <c r="Q38" t="n">
        <v>4</v>
      </c>
      <c r="R38" s="2" t="inlineStr">
        <is>
          <t>Spillkråka
Vedskivlav
Björksplintborre
Kattfotslav</t>
        </is>
      </c>
      <c r="S38">
        <f>HYPERLINK("https://klasma.github.io/Logging_0188/artfynd/A 22071-2022 artfynd.xlsx", "A 22071-2022")</f>
        <v/>
      </c>
      <c r="T38">
        <f>HYPERLINK("https://klasma.github.io/Logging_0188/kartor/A 22071-2022 karta.png", "A 22071-2022")</f>
        <v/>
      </c>
      <c r="V38">
        <f>HYPERLINK("https://klasma.github.io/Logging_0188/klagomål/A 22071-2022 FSC-klagomål.docx", "A 22071-2022")</f>
        <v/>
      </c>
      <c r="W38">
        <f>HYPERLINK("https://klasma.github.io/Logging_0188/klagomålsmail/A 22071-2022 FSC-klagomål mail.docx", "A 22071-2022")</f>
        <v/>
      </c>
      <c r="X38">
        <f>HYPERLINK("https://klasma.github.io/Logging_0188/tillsyn/A 22071-2022 tillsynsbegäran.docx", "A 22071-2022")</f>
        <v/>
      </c>
      <c r="Y38">
        <f>HYPERLINK("https://klasma.github.io/Logging_0188/tillsynsmail/A 22071-2022 tillsynsbegäran mail.docx", "A 22071-2022")</f>
        <v/>
      </c>
      <c r="Z38">
        <f>HYPERLINK("https://klasma.github.io/Logging_0188/fåglar/A 22071-2022 prioriterade fågelarter.docx", "A 22071-2022")</f>
        <v/>
      </c>
    </row>
    <row r="39" ht="15" customHeight="1">
      <c r="A39" t="inlineStr">
        <is>
          <t>A 21730-2025</t>
        </is>
      </c>
      <c r="B39" s="1" t="n">
        <v>45783.58123842593</v>
      </c>
      <c r="C39" s="1" t="n">
        <v>45940</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24052-2021</t>
        </is>
      </c>
      <c r="B40" s="1" t="n">
        <v>44336</v>
      </c>
      <c r="C40" s="1" t="n">
        <v>45940</v>
      </c>
      <c r="D40" t="inlineStr">
        <is>
          <t>STOCKHOLMS LÄN</t>
        </is>
      </c>
      <c r="E40" t="inlineStr">
        <is>
          <t>NORRTÄLJE</t>
        </is>
      </c>
      <c r="G40" t="n">
        <v>8.6</v>
      </c>
      <c r="H40" t="n">
        <v>4</v>
      </c>
      <c r="I40" t="n">
        <v>0</v>
      </c>
      <c r="J40" t="n">
        <v>2</v>
      </c>
      <c r="K40" t="n">
        <v>0</v>
      </c>
      <c r="L40" t="n">
        <v>0</v>
      </c>
      <c r="M40" t="n">
        <v>0</v>
      </c>
      <c r="N40" t="n">
        <v>0</v>
      </c>
      <c r="O40" t="n">
        <v>2</v>
      </c>
      <c r="P40" t="n">
        <v>0</v>
      </c>
      <c r="Q40" t="n">
        <v>4</v>
      </c>
      <c r="R40" s="2" t="inlineStr">
        <is>
          <t>Brunlångöra
Nordfladdermus
Dvärgpipistrell
Större brunfladdermus</t>
        </is>
      </c>
      <c r="S40">
        <f>HYPERLINK("https://klasma.github.io/Logging_0188/artfynd/A 24052-2021 artfynd.xlsx", "A 24052-2021")</f>
        <v/>
      </c>
      <c r="T40">
        <f>HYPERLINK("https://klasma.github.io/Logging_0188/kartor/A 24052-2021 karta.png", "A 24052-2021")</f>
        <v/>
      </c>
      <c r="V40">
        <f>HYPERLINK("https://klasma.github.io/Logging_0188/klagomål/A 24052-2021 FSC-klagomål.docx", "A 24052-2021")</f>
        <v/>
      </c>
      <c r="W40">
        <f>HYPERLINK("https://klasma.github.io/Logging_0188/klagomålsmail/A 24052-2021 FSC-klagomål mail.docx", "A 24052-2021")</f>
        <v/>
      </c>
      <c r="X40">
        <f>HYPERLINK("https://klasma.github.io/Logging_0188/tillsyn/A 24052-2021 tillsynsbegäran.docx", "A 24052-2021")</f>
        <v/>
      </c>
      <c r="Y40">
        <f>HYPERLINK("https://klasma.github.io/Logging_0188/tillsynsmail/A 24052-2021 tillsynsbegäran mail.docx", "A 24052-2021")</f>
        <v/>
      </c>
    </row>
    <row r="41" ht="15" customHeight="1">
      <c r="A41" t="inlineStr">
        <is>
          <t>A 72305-2021</t>
        </is>
      </c>
      <c r="B41" s="1" t="n">
        <v>44545</v>
      </c>
      <c r="C41" s="1" t="n">
        <v>45940</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44709-2022</t>
        </is>
      </c>
      <c r="B42" s="1" t="n">
        <v>44839</v>
      </c>
      <c r="C42" s="1" t="n">
        <v>45940</v>
      </c>
      <c r="D42" t="inlineStr">
        <is>
          <t>STOCKHOLMS LÄN</t>
        </is>
      </c>
      <c r="E42" t="inlineStr">
        <is>
          <t>NORRTÄLJE</t>
        </is>
      </c>
      <c r="G42" t="n">
        <v>16.3</v>
      </c>
      <c r="H42" t="n">
        <v>3</v>
      </c>
      <c r="I42" t="n">
        <v>0</v>
      </c>
      <c r="J42" t="n">
        <v>2</v>
      </c>
      <c r="K42" t="n">
        <v>0</v>
      </c>
      <c r="L42" t="n">
        <v>0</v>
      </c>
      <c r="M42" t="n">
        <v>0</v>
      </c>
      <c r="N42" t="n">
        <v>0</v>
      </c>
      <c r="O42" t="n">
        <v>2</v>
      </c>
      <c r="P42" t="n">
        <v>0</v>
      </c>
      <c r="Q42" t="n">
        <v>4</v>
      </c>
      <c r="R42" s="2" t="inlineStr">
        <is>
          <t>Asppraktbagge
Spillkråka
Enkelbeckasin
Orre</t>
        </is>
      </c>
      <c r="S42">
        <f>HYPERLINK("https://klasma.github.io/Logging_0188/artfynd/A 44709-2022 artfynd.xlsx", "A 44709-2022")</f>
        <v/>
      </c>
      <c r="T42">
        <f>HYPERLINK("https://klasma.github.io/Logging_0188/kartor/A 44709-2022 karta.png", "A 44709-2022")</f>
        <v/>
      </c>
      <c r="V42">
        <f>HYPERLINK("https://klasma.github.io/Logging_0188/klagomål/A 44709-2022 FSC-klagomål.docx", "A 44709-2022")</f>
        <v/>
      </c>
      <c r="W42">
        <f>HYPERLINK("https://klasma.github.io/Logging_0188/klagomålsmail/A 44709-2022 FSC-klagomål mail.docx", "A 44709-2022")</f>
        <v/>
      </c>
      <c r="X42">
        <f>HYPERLINK("https://klasma.github.io/Logging_0188/tillsyn/A 44709-2022 tillsynsbegäran.docx", "A 44709-2022")</f>
        <v/>
      </c>
      <c r="Y42">
        <f>HYPERLINK("https://klasma.github.io/Logging_0188/tillsynsmail/A 44709-2022 tillsynsbegäran mail.docx", "A 44709-2022")</f>
        <v/>
      </c>
      <c r="Z42">
        <f>HYPERLINK("https://klasma.github.io/Logging_0188/fåglar/A 44709-2022 prioriterade fågelarter.docx", "A 44709-2022")</f>
        <v/>
      </c>
    </row>
    <row r="43" ht="15" customHeight="1">
      <c r="A43" t="inlineStr">
        <is>
          <t>A 34521-2025</t>
        </is>
      </c>
      <c r="B43" s="1" t="n">
        <v>45847.47052083333</v>
      </c>
      <c r="C43" s="1" t="n">
        <v>45940</v>
      </c>
      <c r="D43" t="inlineStr">
        <is>
          <t>STOCKHOLMS LÄN</t>
        </is>
      </c>
      <c r="E43" t="inlineStr">
        <is>
          <t>NORRTÄLJE</t>
        </is>
      </c>
      <c r="G43" t="n">
        <v>4.3</v>
      </c>
      <c r="H43" t="n">
        <v>0</v>
      </c>
      <c r="I43" t="n">
        <v>2</v>
      </c>
      <c r="J43" t="n">
        <v>2</v>
      </c>
      <c r="K43" t="n">
        <v>0</v>
      </c>
      <c r="L43" t="n">
        <v>0</v>
      </c>
      <c r="M43" t="n">
        <v>0</v>
      </c>
      <c r="N43" t="n">
        <v>0</v>
      </c>
      <c r="O43" t="n">
        <v>2</v>
      </c>
      <c r="P43" t="n">
        <v>0</v>
      </c>
      <c r="Q43" t="n">
        <v>4</v>
      </c>
      <c r="R43" s="2" t="inlineStr">
        <is>
          <t>Kandelabersvamp
Vedtrappmossa
Anisspindling
Stor aspticka</t>
        </is>
      </c>
      <c r="S43">
        <f>HYPERLINK("https://klasma.github.io/Logging_0188/artfynd/A 34521-2025 artfynd.xlsx", "A 34521-2025")</f>
        <v/>
      </c>
      <c r="T43">
        <f>HYPERLINK("https://klasma.github.io/Logging_0188/kartor/A 34521-2025 karta.png", "A 34521-2025")</f>
        <v/>
      </c>
      <c r="V43">
        <f>HYPERLINK("https://klasma.github.io/Logging_0188/klagomål/A 34521-2025 FSC-klagomål.docx", "A 34521-2025")</f>
        <v/>
      </c>
      <c r="W43">
        <f>HYPERLINK("https://klasma.github.io/Logging_0188/klagomålsmail/A 34521-2025 FSC-klagomål mail.docx", "A 34521-2025")</f>
        <v/>
      </c>
      <c r="X43">
        <f>HYPERLINK("https://klasma.github.io/Logging_0188/tillsyn/A 34521-2025 tillsynsbegäran.docx", "A 34521-2025")</f>
        <v/>
      </c>
      <c r="Y43">
        <f>HYPERLINK("https://klasma.github.io/Logging_0188/tillsynsmail/A 34521-2025 tillsynsbegäran mail.docx", "A 34521-2025")</f>
        <v/>
      </c>
    </row>
    <row r="44" ht="15" customHeight="1">
      <c r="A44" t="inlineStr">
        <is>
          <t>A 41276-2025</t>
        </is>
      </c>
      <c r="B44" s="1" t="n">
        <v>45898.62723379629</v>
      </c>
      <c r="C44" s="1" t="n">
        <v>45940</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10876-2025</t>
        </is>
      </c>
      <c r="B45" s="1" t="n">
        <v>45722</v>
      </c>
      <c r="C45" s="1" t="n">
        <v>45940</v>
      </c>
      <c r="D45" t="inlineStr">
        <is>
          <t>STOCKHOLMS LÄN</t>
        </is>
      </c>
      <c r="E45" t="inlineStr">
        <is>
          <t>NORRTÄLJE</t>
        </is>
      </c>
      <c r="F45" t="inlineStr">
        <is>
          <t>Holmen skog AB</t>
        </is>
      </c>
      <c r="G45" t="n">
        <v>9.300000000000001</v>
      </c>
      <c r="H45" t="n">
        <v>4</v>
      </c>
      <c r="I45" t="n">
        <v>0</v>
      </c>
      <c r="J45" t="n">
        <v>1</v>
      </c>
      <c r="K45" t="n">
        <v>1</v>
      </c>
      <c r="L45" t="n">
        <v>1</v>
      </c>
      <c r="M45" t="n">
        <v>0</v>
      </c>
      <c r="N45" t="n">
        <v>0</v>
      </c>
      <c r="O45" t="n">
        <v>3</v>
      </c>
      <c r="P45" t="n">
        <v>2</v>
      </c>
      <c r="Q45" t="n">
        <v>4</v>
      </c>
      <c r="R45" s="2" t="inlineStr">
        <is>
          <t>Asknätfjäril
Hällebräcka
Utter
Gullviva</t>
        </is>
      </c>
      <c r="S45">
        <f>HYPERLINK("https://klasma.github.io/Logging_0188/artfynd/A 10876-2025 artfynd.xlsx", "A 10876-2025")</f>
        <v/>
      </c>
      <c r="T45">
        <f>HYPERLINK("https://klasma.github.io/Logging_0188/kartor/A 10876-2025 karta.png", "A 10876-2025")</f>
        <v/>
      </c>
      <c r="V45">
        <f>HYPERLINK("https://klasma.github.io/Logging_0188/klagomål/A 10876-2025 FSC-klagomål.docx", "A 10876-2025")</f>
        <v/>
      </c>
      <c r="W45">
        <f>HYPERLINK("https://klasma.github.io/Logging_0188/klagomålsmail/A 10876-2025 FSC-klagomål mail.docx", "A 10876-2025")</f>
        <v/>
      </c>
      <c r="X45">
        <f>HYPERLINK("https://klasma.github.io/Logging_0188/tillsyn/A 10876-2025 tillsynsbegäran.docx", "A 10876-2025")</f>
        <v/>
      </c>
      <c r="Y45">
        <f>HYPERLINK("https://klasma.github.io/Logging_0188/tillsynsmail/A 10876-2025 tillsynsbegäran mail.docx", "A 10876-2025")</f>
        <v/>
      </c>
    </row>
    <row r="46" ht="15" customHeight="1">
      <c r="A46" t="inlineStr">
        <is>
          <t>A 17673-2021</t>
        </is>
      </c>
      <c r="B46" s="1" t="n">
        <v>44300</v>
      </c>
      <c r="C46" s="1" t="n">
        <v>45940</v>
      </c>
      <c r="D46" t="inlineStr">
        <is>
          <t>STOCKHOLMS LÄN</t>
        </is>
      </c>
      <c r="E46" t="inlineStr">
        <is>
          <t>NORRTÄLJE</t>
        </is>
      </c>
      <c r="G46" t="n">
        <v>9.199999999999999</v>
      </c>
      <c r="H46" t="n">
        <v>3</v>
      </c>
      <c r="I46" t="n">
        <v>0</v>
      </c>
      <c r="J46" t="n">
        <v>2</v>
      </c>
      <c r="K46" t="n">
        <v>0</v>
      </c>
      <c r="L46" t="n">
        <v>0</v>
      </c>
      <c r="M46" t="n">
        <v>0</v>
      </c>
      <c r="N46" t="n">
        <v>0</v>
      </c>
      <c r="O46" t="n">
        <v>2</v>
      </c>
      <c r="P46" t="n">
        <v>0</v>
      </c>
      <c r="Q46" t="n">
        <v>3</v>
      </c>
      <c r="R46" s="2" t="inlineStr">
        <is>
          <t>Grönsångare
Havsörn
Blåsippa</t>
        </is>
      </c>
      <c r="S46">
        <f>HYPERLINK("https://klasma.github.io/Logging_0188/artfynd/A 17673-2021 artfynd.xlsx", "A 17673-2021")</f>
        <v/>
      </c>
      <c r="T46">
        <f>HYPERLINK("https://klasma.github.io/Logging_0188/kartor/A 17673-2021 karta.png", "A 17673-2021")</f>
        <v/>
      </c>
      <c r="V46">
        <f>HYPERLINK("https://klasma.github.io/Logging_0188/klagomål/A 17673-2021 FSC-klagomål.docx", "A 17673-2021")</f>
        <v/>
      </c>
      <c r="W46">
        <f>HYPERLINK("https://klasma.github.io/Logging_0188/klagomålsmail/A 17673-2021 FSC-klagomål mail.docx", "A 17673-2021")</f>
        <v/>
      </c>
      <c r="X46">
        <f>HYPERLINK("https://klasma.github.io/Logging_0188/tillsyn/A 17673-2021 tillsynsbegäran.docx", "A 17673-2021")</f>
        <v/>
      </c>
      <c r="Y46">
        <f>HYPERLINK("https://klasma.github.io/Logging_0188/tillsynsmail/A 17673-2021 tillsynsbegäran mail.docx", "A 17673-2021")</f>
        <v/>
      </c>
      <c r="Z46">
        <f>HYPERLINK("https://klasma.github.io/Logging_0188/fåglar/A 17673-2021 prioriterade fågelarter.docx", "A 17673-2021")</f>
        <v/>
      </c>
    </row>
    <row r="47" ht="15" customHeight="1">
      <c r="A47" t="inlineStr">
        <is>
          <t>A 45113-2022</t>
        </is>
      </c>
      <c r="B47" s="1" t="n">
        <v>44843</v>
      </c>
      <c r="C47" s="1" t="n">
        <v>45940</v>
      </c>
      <c r="D47" t="inlineStr">
        <is>
          <t>STOCKHOLMS LÄN</t>
        </is>
      </c>
      <c r="E47" t="inlineStr">
        <is>
          <t>NORRTÄLJE</t>
        </is>
      </c>
      <c r="G47" t="n">
        <v>1.7</v>
      </c>
      <c r="H47" t="n">
        <v>0</v>
      </c>
      <c r="I47" t="n">
        <v>1</v>
      </c>
      <c r="J47" t="n">
        <v>1</v>
      </c>
      <c r="K47" t="n">
        <v>1</v>
      </c>
      <c r="L47" t="n">
        <v>0</v>
      </c>
      <c r="M47" t="n">
        <v>0</v>
      </c>
      <c r="N47" t="n">
        <v>0</v>
      </c>
      <c r="O47" t="n">
        <v>2</v>
      </c>
      <c r="P47" t="n">
        <v>1</v>
      </c>
      <c r="Q47" t="n">
        <v>3</v>
      </c>
      <c r="R47" s="2" t="inlineStr">
        <is>
          <t>Violett fingersvamp
Kandelabersvamp
Slät lönnlav</t>
        </is>
      </c>
      <c r="S47">
        <f>HYPERLINK("https://klasma.github.io/Logging_0188/artfynd/A 45113-2022 artfynd.xlsx", "A 45113-2022")</f>
        <v/>
      </c>
      <c r="T47">
        <f>HYPERLINK("https://klasma.github.io/Logging_0188/kartor/A 45113-2022 karta.png", "A 45113-2022")</f>
        <v/>
      </c>
      <c r="V47">
        <f>HYPERLINK("https://klasma.github.io/Logging_0188/klagomål/A 45113-2022 FSC-klagomål.docx", "A 45113-2022")</f>
        <v/>
      </c>
      <c r="W47">
        <f>HYPERLINK("https://klasma.github.io/Logging_0188/klagomålsmail/A 45113-2022 FSC-klagomål mail.docx", "A 45113-2022")</f>
        <v/>
      </c>
      <c r="X47">
        <f>HYPERLINK("https://klasma.github.io/Logging_0188/tillsyn/A 45113-2022 tillsynsbegäran.docx", "A 45113-2022")</f>
        <v/>
      </c>
      <c r="Y47">
        <f>HYPERLINK("https://klasma.github.io/Logging_0188/tillsynsmail/A 45113-2022 tillsynsbegäran mail.docx", "A 45113-2022")</f>
        <v/>
      </c>
    </row>
    <row r="48" ht="15" customHeight="1">
      <c r="A48" t="inlineStr">
        <is>
          <t>A 28836-2022</t>
        </is>
      </c>
      <c r="B48" s="1" t="n">
        <v>44749</v>
      </c>
      <c r="C48" s="1" t="n">
        <v>45940</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14560-2021</t>
        </is>
      </c>
      <c r="B49" s="1" t="n">
        <v>44279</v>
      </c>
      <c r="C49" s="1" t="n">
        <v>45940</v>
      </c>
      <c r="D49" t="inlineStr">
        <is>
          <t>STOCKHOLMS LÄN</t>
        </is>
      </c>
      <c r="E49" t="inlineStr">
        <is>
          <t>NORRTÄLJE</t>
        </is>
      </c>
      <c r="G49" t="n">
        <v>1.8</v>
      </c>
      <c r="H49" t="n">
        <v>0</v>
      </c>
      <c r="I49" t="n">
        <v>2</v>
      </c>
      <c r="J49" t="n">
        <v>1</v>
      </c>
      <c r="K49" t="n">
        <v>0</v>
      </c>
      <c r="L49" t="n">
        <v>0</v>
      </c>
      <c r="M49" t="n">
        <v>0</v>
      </c>
      <c r="N49" t="n">
        <v>0</v>
      </c>
      <c r="O49" t="n">
        <v>1</v>
      </c>
      <c r="P49" t="n">
        <v>0</v>
      </c>
      <c r="Q49" t="n">
        <v>3</v>
      </c>
      <c r="R49" s="2" t="inlineStr">
        <is>
          <t>Vit vedfingersvamp
Stor aspticka
Vedticka</t>
        </is>
      </c>
      <c r="S49">
        <f>HYPERLINK("https://klasma.github.io/Logging_0188/artfynd/A 14560-2021 artfynd.xlsx", "A 14560-2021")</f>
        <v/>
      </c>
      <c r="T49">
        <f>HYPERLINK("https://klasma.github.io/Logging_0188/kartor/A 14560-2021 karta.png", "A 14560-2021")</f>
        <v/>
      </c>
      <c r="V49">
        <f>HYPERLINK("https://klasma.github.io/Logging_0188/klagomål/A 14560-2021 FSC-klagomål.docx", "A 14560-2021")</f>
        <v/>
      </c>
      <c r="W49">
        <f>HYPERLINK("https://klasma.github.io/Logging_0188/klagomålsmail/A 14560-2021 FSC-klagomål mail.docx", "A 14560-2021")</f>
        <v/>
      </c>
      <c r="X49">
        <f>HYPERLINK("https://klasma.github.io/Logging_0188/tillsyn/A 14560-2021 tillsynsbegäran.docx", "A 14560-2021")</f>
        <v/>
      </c>
      <c r="Y49">
        <f>HYPERLINK("https://klasma.github.io/Logging_0188/tillsynsmail/A 14560-2021 tillsynsbegäran mail.docx", "A 14560-2021")</f>
        <v/>
      </c>
    </row>
    <row r="50" ht="15" customHeight="1">
      <c r="A50" t="inlineStr">
        <is>
          <t>A 53065-2024</t>
        </is>
      </c>
      <c r="B50" s="1" t="n">
        <v>45611.47233796296</v>
      </c>
      <c r="C50" s="1" t="n">
        <v>45940</v>
      </c>
      <c r="D50" t="inlineStr">
        <is>
          <t>STOCKHOLMS LÄN</t>
        </is>
      </c>
      <c r="E50" t="inlineStr">
        <is>
          <t>NORRTÄLJE</t>
        </is>
      </c>
      <c r="G50" t="n">
        <v>12.3</v>
      </c>
      <c r="H50" t="n">
        <v>0</v>
      </c>
      <c r="I50" t="n">
        <v>1</v>
      </c>
      <c r="J50" t="n">
        <v>1</v>
      </c>
      <c r="K50" t="n">
        <v>1</v>
      </c>
      <c r="L50" t="n">
        <v>0</v>
      </c>
      <c r="M50" t="n">
        <v>0</v>
      </c>
      <c r="N50" t="n">
        <v>0</v>
      </c>
      <c r="O50" t="n">
        <v>2</v>
      </c>
      <c r="P50" t="n">
        <v>1</v>
      </c>
      <c r="Q50" t="n">
        <v>3</v>
      </c>
      <c r="R50" s="2" t="inlineStr">
        <is>
          <t>Aspsplintbock
Grön aspvedbock
Gulröd blankbock</t>
        </is>
      </c>
      <c r="S50">
        <f>HYPERLINK("https://klasma.github.io/Logging_0188/artfynd/A 53065-2024 artfynd.xlsx", "A 53065-2024")</f>
        <v/>
      </c>
      <c r="T50">
        <f>HYPERLINK("https://klasma.github.io/Logging_0188/kartor/A 53065-2024 karta.png", "A 53065-2024")</f>
        <v/>
      </c>
      <c r="V50">
        <f>HYPERLINK("https://klasma.github.io/Logging_0188/klagomål/A 53065-2024 FSC-klagomål.docx", "A 53065-2024")</f>
        <v/>
      </c>
      <c r="W50">
        <f>HYPERLINK("https://klasma.github.io/Logging_0188/klagomålsmail/A 53065-2024 FSC-klagomål mail.docx", "A 53065-2024")</f>
        <v/>
      </c>
      <c r="X50">
        <f>HYPERLINK("https://klasma.github.io/Logging_0188/tillsyn/A 53065-2024 tillsynsbegäran.docx", "A 53065-2024")</f>
        <v/>
      </c>
      <c r="Y50">
        <f>HYPERLINK("https://klasma.github.io/Logging_0188/tillsynsmail/A 53065-2024 tillsynsbegäran mail.docx", "A 53065-2024")</f>
        <v/>
      </c>
    </row>
    <row r="51" ht="15" customHeight="1">
      <c r="A51" t="inlineStr">
        <is>
          <t>A 54110-2024</t>
        </is>
      </c>
      <c r="B51" s="1" t="n">
        <v>45616.54866898148</v>
      </c>
      <c r="C51" s="1" t="n">
        <v>45940</v>
      </c>
      <c r="D51" t="inlineStr">
        <is>
          <t>STOCKHOLMS LÄN</t>
        </is>
      </c>
      <c r="E51" t="inlineStr">
        <is>
          <t>NORRTÄLJE</t>
        </is>
      </c>
      <c r="G51" t="n">
        <v>6.7</v>
      </c>
      <c r="H51" t="n">
        <v>2</v>
      </c>
      <c r="I51" t="n">
        <v>0</v>
      </c>
      <c r="J51" t="n">
        <v>1</v>
      </c>
      <c r="K51" t="n">
        <v>0</v>
      </c>
      <c r="L51" t="n">
        <v>0</v>
      </c>
      <c r="M51" t="n">
        <v>0</v>
      </c>
      <c r="N51" t="n">
        <v>0</v>
      </c>
      <c r="O51" t="n">
        <v>1</v>
      </c>
      <c r="P51" t="n">
        <v>0</v>
      </c>
      <c r="Q51" t="n">
        <v>3</v>
      </c>
      <c r="R51" s="2" t="inlineStr">
        <is>
          <t>Klasefibbla
Nattviol
Gullviva</t>
        </is>
      </c>
      <c r="S51">
        <f>HYPERLINK("https://klasma.github.io/Logging_0188/artfynd/A 54110-2024 artfynd.xlsx", "A 54110-2024")</f>
        <v/>
      </c>
      <c r="T51">
        <f>HYPERLINK("https://klasma.github.io/Logging_0188/kartor/A 54110-2024 karta.png", "A 54110-2024")</f>
        <v/>
      </c>
      <c r="V51">
        <f>HYPERLINK("https://klasma.github.io/Logging_0188/klagomål/A 54110-2024 FSC-klagomål.docx", "A 54110-2024")</f>
        <v/>
      </c>
      <c r="W51">
        <f>HYPERLINK("https://klasma.github.io/Logging_0188/klagomålsmail/A 54110-2024 FSC-klagomål mail.docx", "A 54110-2024")</f>
        <v/>
      </c>
      <c r="X51">
        <f>HYPERLINK("https://klasma.github.io/Logging_0188/tillsyn/A 54110-2024 tillsynsbegäran.docx", "A 54110-2024")</f>
        <v/>
      </c>
      <c r="Y51">
        <f>HYPERLINK("https://klasma.github.io/Logging_0188/tillsynsmail/A 54110-2024 tillsynsbegäran mail.docx", "A 54110-2024")</f>
        <v/>
      </c>
    </row>
    <row r="52" ht="15" customHeight="1">
      <c r="A52" t="inlineStr">
        <is>
          <t>A 2851-2023</t>
        </is>
      </c>
      <c r="B52" s="1" t="n">
        <v>44945</v>
      </c>
      <c r="C52" s="1" t="n">
        <v>45940</v>
      </c>
      <c r="D52" t="inlineStr">
        <is>
          <t>STOCKHOLMS LÄN</t>
        </is>
      </c>
      <c r="E52" t="inlineStr">
        <is>
          <t>NORRTÄLJE</t>
        </is>
      </c>
      <c r="G52" t="n">
        <v>5.8</v>
      </c>
      <c r="H52" t="n">
        <v>1</v>
      </c>
      <c r="I52" t="n">
        <v>1</v>
      </c>
      <c r="J52" t="n">
        <v>2</v>
      </c>
      <c r="K52" t="n">
        <v>0</v>
      </c>
      <c r="L52" t="n">
        <v>0</v>
      </c>
      <c r="M52" t="n">
        <v>0</v>
      </c>
      <c r="N52" t="n">
        <v>0</v>
      </c>
      <c r="O52" t="n">
        <v>2</v>
      </c>
      <c r="P52" t="n">
        <v>0</v>
      </c>
      <c r="Q52" t="n">
        <v>3</v>
      </c>
      <c r="R52" s="2" t="inlineStr">
        <is>
          <t>Gulsparv
Vedflikmossa
Terpentinmossa</t>
        </is>
      </c>
      <c r="S52">
        <f>HYPERLINK("https://klasma.github.io/Logging_0188/artfynd/A 2851-2023 artfynd.xlsx", "A 2851-2023")</f>
        <v/>
      </c>
      <c r="T52">
        <f>HYPERLINK("https://klasma.github.io/Logging_0188/kartor/A 2851-2023 karta.png", "A 2851-2023")</f>
        <v/>
      </c>
      <c r="V52">
        <f>HYPERLINK("https://klasma.github.io/Logging_0188/klagomål/A 2851-2023 FSC-klagomål.docx", "A 2851-2023")</f>
        <v/>
      </c>
      <c r="W52">
        <f>HYPERLINK("https://klasma.github.io/Logging_0188/klagomålsmail/A 2851-2023 FSC-klagomål mail.docx", "A 2851-2023")</f>
        <v/>
      </c>
      <c r="X52">
        <f>HYPERLINK("https://klasma.github.io/Logging_0188/tillsyn/A 2851-2023 tillsynsbegäran.docx", "A 2851-2023")</f>
        <v/>
      </c>
      <c r="Y52">
        <f>HYPERLINK("https://klasma.github.io/Logging_0188/tillsynsmail/A 2851-2023 tillsynsbegäran mail.docx", "A 2851-2023")</f>
        <v/>
      </c>
      <c r="Z52">
        <f>HYPERLINK("https://klasma.github.io/Logging_0188/fåglar/A 2851-2023 prioriterade fågelarter.docx", "A 2851-2023")</f>
        <v/>
      </c>
    </row>
    <row r="53" ht="15" customHeight="1">
      <c r="A53" t="inlineStr">
        <is>
          <t>A 29185-2025</t>
        </is>
      </c>
      <c r="B53" s="1" t="n">
        <v>45821</v>
      </c>
      <c r="C53" s="1" t="n">
        <v>45940</v>
      </c>
      <c r="D53" t="inlineStr">
        <is>
          <t>STOCKHOLMS LÄN</t>
        </is>
      </c>
      <c r="E53" t="inlineStr">
        <is>
          <t>NORRTÄLJE</t>
        </is>
      </c>
      <c r="F53" t="inlineStr">
        <is>
          <t>Övriga Aktiebolag</t>
        </is>
      </c>
      <c r="G53" t="n">
        <v>8.5</v>
      </c>
      <c r="H53" t="n">
        <v>2</v>
      </c>
      <c r="I53" t="n">
        <v>1</v>
      </c>
      <c r="J53" t="n">
        <v>0</v>
      </c>
      <c r="K53" t="n">
        <v>0</v>
      </c>
      <c r="L53" t="n">
        <v>0</v>
      </c>
      <c r="M53" t="n">
        <v>0</v>
      </c>
      <c r="N53" t="n">
        <v>0</v>
      </c>
      <c r="O53" t="n">
        <v>0</v>
      </c>
      <c r="P53" t="n">
        <v>0</v>
      </c>
      <c r="Q53" t="n">
        <v>3</v>
      </c>
      <c r="R53" s="2" t="inlineStr">
        <is>
          <t>Vårärt
Fläcknycklar
Blåsippa</t>
        </is>
      </c>
      <c r="S53">
        <f>HYPERLINK("https://klasma.github.io/Logging_0188/artfynd/A 29185-2025 artfynd.xlsx", "A 29185-2025")</f>
        <v/>
      </c>
      <c r="T53">
        <f>HYPERLINK("https://klasma.github.io/Logging_0188/kartor/A 29185-2025 karta.png", "A 29185-2025")</f>
        <v/>
      </c>
      <c r="V53">
        <f>HYPERLINK("https://klasma.github.io/Logging_0188/klagomål/A 29185-2025 FSC-klagomål.docx", "A 29185-2025")</f>
        <v/>
      </c>
      <c r="W53">
        <f>HYPERLINK("https://klasma.github.io/Logging_0188/klagomålsmail/A 29185-2025 FSC-klagomål mail.docx", "A 29185-2025")</f>
        <v/>
      </c>
      <c r="X53">
        <f>HYPERLINK("https://klasma.github.io/Logging_0188/tillsyn/A 29185-2025 tillsynsbegäran.docx", "A 29185-2025")</f>
        <v/>
      </c>
      <c r="Y53">
        <f>HYPERLINK("https://klasma.github.io/Logging_0188/tillsynsmail/A 29185-2025 tillsynsbegäran mail.docx", "A 29185-2025")</f>
        <v/>
      </c>
    </row>
    <row r="54" ht="15" customHeight="1">
      <c r="A54" t="inlineStr">
        <is>
          <t>A 20185-2022</t>
        </is>
      </c>
      <c r="B54" s="1" t="n">
        <v>44698</v>
      </c>
      <c r="C54" s="1" t="n">
        <v>45940</v>
      </c>
      <c r="D54" t="inlineStr">
        <is>
          <t>STOCKHOLMS LÄN</t>
        </is>
      </c>
      <c r="E54" t="inlineStr">
        <is>
          <t>NORRTÄLJE</t>
        </is>
      </c>
      <c r="G54" t="n">
        <v>8.4</v>
      </c>
      <c r="H54" t="n">
        <v>1</v>
      </c>
      <c r="I54" t="n">
        <v>2</v>
      </c>
      <c r="J54" t="n">
        <v>0</v>
      </c>
      <c r="K54" t="n">
        <v>1</v>
      </c>
      <c r="L54" t="n">
        <v>0</v>
      </c>
      <c r="M54" t="n">
        <v>0</v>
      </c>
      <c r="N54" t="n">
        <v>0</v>
      </c>
      <c r="O54" t="n">
        <v>1</v>
      </c>
      <c r="P54" t="n">
        <v>1</v>
      </c>
      <c r="Q54" t="n">
        <v>3</v>
      </c>
      <c r="R54" s="2" t="inlineStr">
        <is>
          <t>Tallbit
Gullgröppa
Vedticka</t>
        </is>
      </c>
      <c r="S54">
        <f>HYPERLINK("https://klasma.github.io/Logging_0188/artfynd/A 20185-2022 artfynd.xlsx", "A 20185-2022")</f>
        <v/>
      </c>
      <c r="T54">
        <f>HYPERLINK("https://klasma.github.io/Logging_0188/kartor/A 20185-2022 karta.png", "A 20185-2022")</f>
        <v/>
      </c>
      <c r="V54">
        <f>HYPERLINK("https://klasma.github.io/Logging_0188/klagomål/A 20185-2022 FSC-klagomål.docx", "A 20185-2022")</f>
        <v/>
      </c>
      <c r="W54">
        <f>HYPERLINK("https://klasma.github.io/Logging_0188/klagomålsmail/A 20185-2022 FSC-klagomål mail.docx", "A 20185-2022")</f>
        <v/>
      </c>
      <c r="X54">
        <f>HYPERLINK("https://klasma.github.io/Logging_0188/tillsyn/A 20185-2022 tillsynsbegäran.docx", "A 20185-2022")</f>
        <v/>
      </c>
      <c r="Y54">
        <f>HYPERLINK("https://klasma.github.io/Logging_0188/tillsynsmail/A 20185-2022 tillsynsbegäran mail.docx", "A 20185-2022")</f>
        <v/>
      </c>
      <c r="Z54">
        <f>HYPERLINK("https://klasma.github.io/Logging_0188/fåglar/A 20185-2022 prioriterade fågelarter.docx", "A 20185-2022")</f>
        <v/>
      </c>
    </row>
    <row r="55" ht="15" customHeight="1">
      <c r="A55" t="inlineStr">
        <is>
          <t>A 27870-2022</t>
        </is>
      </c>
      <c r="B55" s="1" t="n">
        <v>44743.64592592593</v>
      </c>
      <c r="C55" s="1" t="n">
        <v>45940</v>
      </c>
      <c r="D55" t="inlineStr">
        <is>
          <t>STOCKHOLMS LÄN</t>
        </is>
      </c>
      <c r="E55" t="inlineStr">
        <is>
          <t>NORRTÄLJE</t>
        </is>
      </c>
      <c r="F55" t="inlineStr">
        <is>
          <t>Holmen skog AB</t>
        </is>
      </c>
      <c r="G55" t="n">
        <v>1.8</v>
      </c>
      <c r="H55" t="n">
        <v>3</v>
      </c>
      <c r="I55" t="n">
        <v>0</v>
      </c>
      <c r="J55" t="n">
        <v>1</v>
      </c>
      <c r="K55" t="n">
        <v>0</v>
      </c>
      <c r="L55" t="n">
        <v>0</v>
      </c>
      <c r="M55" t="n">
        <v>0</v>
      </c>
      <c r="N55" t="n">
        <v>0</v>
      </c>
      <c r="O55" t="n">
        <v>1</v>
      </c>
      <c r="P55" t="n">
        <v>0</v>
      </c>
      <c r="Q55" t="n">
        <v>3</v>
      </c>
      <c r="R55" s="2" t="inlineStr">
        <is>
          <t>Nordfladdermus
Dvärgpipistrell
Större brunfladdermus</t>
        </is>
      </c>
      <c r="S55">
        <f>HYPERLINK("https://klasma.github.io/Logging_0188/artfynd/A 27870-2022 artfynd.xlsx", "A 27870-2022")</f>
        <v/>
      </c>
      <c r="T55">
        <f>HYPERLINK("https://klasma.github.io/Logging_0188/kartor/A 27870-2022 karta.png", "A 27870-2022")</f>
        <v/>
      </c>
      <c r="V55">
        <f>HYPERLINK("https://klasma.github.io/Logging_0188/klagomål/A 27870-2022 FSC-klagomål.docx", "A 27870-2022")</f>
        <v/>
      </c>
      <c r="W55">
        <f>HYPERLINK("https://klasma.github.io/Logging_0188/klagomålsmail/A 27870-2022 FSC-klagomål mail.docx", "A 27870-2022")</f>
        <v/>
      </c>
      <c r="X55">
        <f>HYPERLINK("https://klasma.github.io/Logging_0188/tillsyn/A 27870-2022 tillsynsbegäran.docx", "A 27870-2022")</f>
        <v/>
      </c>
      <c r="Y55">
        <f>HYPERLINK("https://klasma.github.io/Logging_0188/tillsynsmail/A 27870-2022 tillsynsbegäran mail.docx", "A 27870-2022")</f>
        <v/>
      </c>
    </row>
    <row r="56" ht="15" customHeight="1">
      <c r="A56" t="inlineStr">
        <is>
          <t>A 34524-2025</t>
        </is>
      </c>
      <c r="B56" s="1" t="n">
        <v>45847.47685185185</v>
      </c>
      <c r="C56" s="1" t="n">
        <v>45940</v>
      </c>
      <c r="D56" t="inlineStr">
        <is>
          <t>STOCKHOLMS LÄN</t>
        </is>
      </c>
      <c r="E56" t="inlineStr">
        <is>
          <t>NORRTÄLJE</t>
        </is>
      </c>
      <c r="G56" t="n">
        <v>3.3</v>
      </c>
      <c r="H56" t="n">
        <v>0</v>
      </c>
      <c r="I56" t="n">
        <v>1</v>
      </c>
      <c r="J56" t="n">
        <v>2</v>
      </c>
      <c r="K56" t="n">
        <v>0</v>
      </c>
      <c r="L56" t="n">
        <v>0</v>
      </c>
      <c r="M56" t="n">
        <v>0</v>
      </c>
      <c r="N56" t="n">
        <v>0</v>
      </c>
      <c r="O56" t="n">
        <v>2</v>
      </c>
      <c r="P56" t="n">
        <v>0</v>
      </c>
      <c r="Q56" t="n">
        <v>3</v>
      </c>
      <c r="R56" s="2" t="inlineStr">
        <is>
          <t>Tallticka
Vedtrappmossa
Kornknutmossa</t>
        </is>
      </c>
      <c r="S56">
        <f>HYPERLINK("https://klasma.github.io/Logging_0188/artfynd/A 34524-2025 artfynd.xlsx", "A 34524-2025")</f>
        <v/>
      </c>
      <c r="T56">
        <f>HYPERLINK("https://klasma.github.io/Logging_0188/kartor/A 34524-2025 karta.png", "A 34524-2025")</f>
        <v/>
      </c>
      <c r="V56">
        <f>HYPERLINK("https://klasma.github.io/Logging_0188/klagomål/A 34524-2025 FSC-klagomål.docx", "A 34524-2025")</f>
        <v/>
      </c>
      <c r="W56">
        <f>HYPERLINK("https://klasma.github.io/Logging_0188/klagomålsmail/A 34524-2025 FSC-klagomål mail.docx", "A 34524-2025")</f>
        <v/>
      </c>
      <c r="X56">
        <f>HYPERLINK("https://klasma.github.io/Logging_0188/tillsyn/A 34524-2025 tillsynsbegäran.docx", "A 34524-2025")</f>
        <v/>
      </c>
      <c r="Y56">
        <f>HYPERLINK("https://klasma.github.io/Logging_0188/tillsynsmail/A 34524-2025 tillsynsbegäran mail.docx", "A 34524-2025")</f>
        <v/>
      </c>
    </row>
    <row r="57" ht="15" customHeight="1">
      <c r="A57" t="inlineStr">
        <is>
          <t>A 50618-2022</t>
        </is>
      </c>
      <c r="B57" s="1" t="n">
        <v>44866</v>
      </c>
      <c r="C57" s="1" t="n">
        <v>45940</v>
      </c>
      <c r="D57" t="inlineStr">
        <is>
          <t>STOCKHOLMS LÄN</t>
        </is>
      </c>
      <c r="E57" t="inlineStr">
        <is>
          <t>NORRTÄLJE</t>
        </is>
      </c>
      <c r="G57" t="n">
        <v>7.8</v>
      </c>
      <c r="H57" t="n">
        <v>2</v>
      </c>
      <c r="I57" t="n">
        <v>2</v>
      </c>
      <c r="J57" t="n">
        <v>0</v>
      </c>
      <c r="K57" t="n">
        <v>0</v>
      </c>
      <c r="L57" t="n">
        <v>0</v>
      </c>
      <c r="M57" t="n">
        <v>0</v>
      </c>
      <c r="N57" t="n">
        <v>0</v>
      </c>
      <c r="O57" t="n">
        <v>0</v>
      </c>
      <c r="P57" t="n">
        <v>0</v>
      </c>
      <c r="Q57" t="n">
        <v>3</v>
      </c>
      <c r="R57" s="2" t="inlineStr">
        <is>
          <t>Skogsknipprot
Vårärt
Blåsippa</t>
        </is>
      </c>
      <c r="S57">
        <f>HYPERLINK("https://klasma.github.io/Logging_0188/artfynd/A 50618-2022 artfynd.xlsx", "A 50618-2022")</f>
        <v/>
      </c>
      <c r="T57">
        <f>HYPERLINK("https://klasma.github.io/Logging_0188/kartor/A 50618-2022 karta.png", "A 50618-2022")</f>
        <v/>
      </c>
      <c r="V57">
        <f>HYPERLINK("https://klasma.github.io/Logging_0188/klagomål/A 50618-2022 FSC-klagomål.docx", "A 50618-2022")</f>
        <v/>
      </c>
      <c r="W57">
        <f>HYPERLINK("https://klasma.github.io/Logging_0188/klagomålsmail/A 50618-2022 FSC-klagomål mail.docx", "A 50618-2022")</f>
        <v/>
      </c>
      <c r="X57">
        <f>HYPERLINK("https://klasma.github.io/Logging_0188/tillsyn/A 50618-2022 tillsynsbegäran.docx", "A 50618-2022")</f>
        <v/>
      </c>
      <c r="Y57">
        <f>HYPERLINK("https://klasma.github.io/Logging_0188/tillsynsmail/A 50618-2022 tillsynsbegäran mail.docx", "A 50618-2022")</f>
        <v/>
      </c>
    </row>
    <row r="58" ht="15" customHeight="1">
      <c r="A58" t="inlineStr">
        <is>
          <t>A 31803-2021</t>
        </is>
      </c>
      <c r="B58" s="1" t="n">
        <v>44370</v>
      </c>
      <c r="C58" s="1" t="n">
        <v>45940</v>
      </c>
      <c r="D58" t="inlineStr">
        <is>
          <t>STOCKHOLMS LÄN</t>
        </is>
      </c>
      <c r="E58" t="inlineStr">
        <is>
          <t>NORRTÄLJE</t>
        </is>
      </c>
      <c r="G58" t="n">
        <v>4.6</v>
      </c>
      <c r="H58" t="n">
        <v>0</v>
      </c>
      <c r="I58" t="n">
        <v>1</v>
      </c>
      <c r="J58" t="n">
        <v>1</v>
      </c>
      <c r="K58" t="n">
        <v>0</v>
      </c>
      <c r="L58" t="n">
        <v>0</v>
      </c>
      <c r="M58" t="n">
        <v>0</v>
      </c>
      <c r="N58" t="n">
        <v>0</v>
      </c>
      <c r="O58" t="n">
        <v>1</v>
      </c>
      <c r="P58" t="n">
        <v>0</v>
      </c>
      <c r="Q58" t="n">
        <v>2</v>
      </c>
      <c r="R58" s="2" t="inlineStr">
        <is>
          <t>Slåtterfibbla
Vårärt</t>
        </is>
      </c>
      <c r="S58">
        <f>HYPERLINK("https://klasma.github.io/Logging_0188/artfynd/A 31803-2021 artfynd.xlsx", "A 31803-2021")</f>
        <v/>
      </c>
      <c r="T58">
        <f>HYPERLINK("https://klasma.github.io/Logging_0188/kartor/A 31803-2021 karta.png", "A 31803-2021")</f>
        <v/>
      </c>
      <c r="V58">
        <f>HYPERLINK("https://klasma.github.io/Logging_0188/klagomål/A 31803-2021 FSC-klagomål.docx", "A 31803-2021")</f>
        <v/>
      </c>
      <c r="W58">
        <f>HYPERLINK("https://klasma.github.io/Logging_0188/klagomålsmail/A 31803-2021 FSC-klagomål mail.docx", "A 31803-2021")</f>
        <v/>
      </c>
      <c r="X58">
        <f>HYPERLINK("https://klasma.github.io/Logging_0188/tillsyn/A 31803-2021 tillsynsbegäran.docx", "A 31803-2021")</f>
        <v/>
      </c>
      <c r="Y58">
        <f>HYPERLINK("https://klasma.github.io/Logging_0188/tillsynsmail/A 31803-2021 tillsynsbegäran mail.docx", "A 31803-2021")</f>
        <v/>
      </c>
    </row>
    <row r="59" ht="15" customHeight="1">
      <c r="A59" t="inlineStr">
        <is>
          <t>A 58676-2021</t>
        </is>
      </c>
      <c r="B59" s="1" t="n">
        <v>44489</v>
      </c>
      <c r="C59" s="1" t="n">
        <v>45940</v>
      </c>
      <c r="D59" t="inlineStr">
        <is>
          <t>STOCKHOLMS LÄN</t>
        </is>
      </c>
      <c r="E59" t="inlineStr">
        <is>
          <t>NORRTÄLJE</t>
        </is>
      </c>
      <c r="G59" t="n">
        <v>0.6</v>
      </c>
      <c r="H59" t="n">
        <v>2</v>
      </c>
      <c r="I59" t="n">
        <v>0</v>
      </c>
      <c r="J59" t="n">
        <v>0</v>
      </c>
      <c r="K59" t="n">
        <v>0</v>
      </c>
      <c r="L59" t="n">
        <v>0</v>
      </c>
      <c r="M59" t="n">
        <v>0</v>
      </c>
      <c r="N59" t="n">
        <v>0</v>
      </c>
      <c r="O59" t="n">
        <v>0</v>
      </c>
      <c r="P59" t="n">
        <v>0</v>
      </c>
      <c r="Q59" t="n">
        <v>2</v>
      </c>
      <c r="R59" s="2" t="inlineStr">
        <is>
          <t>Nattviol
Blåsippa</t>
        </is>
      </c>
      <c r="S59">
        <f>HYPERLINK("https://klasma.github.io/Logging_0188/artfynd/A 58676-2021 artfynd.xlsx", "A 58676-2021")</f>
        <v/>
      </c>
      <c r="T59">
        <f>HYPERLINK("https://klasma.github.io/Logging_0188/kartor/A 58676-2021 karta.png", "A 58676-2021")</f>
        <v/>
      </c>
      <c r="V59">
        <f>HYPERLINK("https://klasma.github.io/Logging_0188/klagomål/A 58676-2021 FSC-klagomål.docx", "A 58676-2021")</f>
        <v/>
      </c>
      <c r="W59">
        <f>HYPERLINK("https://klasma.github.io/Logging_0188/klagomålsmail/A 58676-2021 FSC-klagomål mail.docx", "A 58676-2021")</f>
        <v/>
      </c>
      <c r="X59">
        <f>HYPERLINK("https://klasma.github.io/Logging_0188/tillsyn/A 58676-2021 tillsynsbegäran.docx", "A 58676-2021")</f>
        <v/>
      </c>
      <c r="Y59">
        <f>HYPERLINK("https://klasma.github.io/Logging_0188/tillsynsmail/A 58676-2021 tillsynsbegäran mail.docx", "A 58676-2021")</f>
        <v/>
      </c>
    </row>
    <row r="60" ht="15" customHeight="1">
      <c r="A60" t="inlineStr">
        <is>
          <t>A 30693-2022</t>
        </is>
      </c>
      <c r="B60" s="1" t="n">
        <v>44763</v>
      </c>
      <c r="C60" s="1" t="n">
        <v>45940</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51220-2023</t>
        </is>
      </c>
      <c r="B61" s="1" t="n">
        <v>45219</v>
      </c>
      <c r="C61" s="1" t="n">
        <v>45940</v>
      </c>
      <c r="D61" t="inlineStr">
        <is>
          <t>STOCKHOLMS LÄN</t>
        </is>
      </c>
      <c r="E61" t="inlineStr">
        <is>
          <t>NORRTÄLJE</t>
        </is>
      </c>
      <c r="G61" t="n">
        <v>7.7</v>
      </c>
      <c r="H61" t="n">
        <v>1</v>
      </c>
      <c r="I61" t="n">
        <v>0</v>
      </c>
      <c r="J61" t="n">
        <v>1</v>
      </c>
      <c r="K61" t="n">
        <v>0</v>
      </c>
      <c r="L61" t="n">
        <v>0</v>
      </c>
      <c r="M61" t="n">
        <v>0</v>
      </c>
      <c r="N61" t="n">
        <v>0</v>
      </c>
      <c r="O61" t="n">
        <v>1</v>
      </c>
      <c r="P61" t="n">
        <v>0</v>
      </c>
      <c r="Q61" t="n">
        <v>2</v>
      </c>
      <c r="R61" s="2" t="inlineStr">
        <is>
          <t>Ullticka
Blåsippa</t>
        </is>
      </c>
      <c r="S61">
        <f>HYPERLINK("https://klasma.github.io/Logging_0188/artfynd/A 51220-2023 artfynd.xlsx", "A 51220-2023")</f>
        <v/>
      </c>
      <c r="T61">
        <f>HYPERLINK("https://klasma.github.io/Logging_0188/kartor/A 51220-2023 karta.png", "A 51220-2023")</f>
        <v/>
      </c>
      <c r="V61">
        <f>HYPERLINK("https://klasma.github.io/Logging_0188/klagomål/A 51220-2023 FSC-klagomål.docx", "A 51220-2023")</f>
        <v/>
      </c>
      <c r="W61">
        <f>HYPERLINK("https://klasma.github.io/Logging_0188/klagomålsmail/A 51220-2023 FSC-klagomål mail.docx", "A 51220-2023")</f>
        <v/>
      </c>
      <c r="X61">
        <f>HYPERLINK("https://klasma.github.io/Logging_0188/tillsyn/A 51220-2023 tillsynsbegäran.docx", "A 51220-2023")</f>
        <v/>
      </c>
      <c r="Y61">
        <f>HYPERLINK("https://klasma.github.io/Logging_0188/tillsynsmail/A 51220-2023 tillsynsbegäran mail.docx", "A 51220-2023")</f>
        <v/>
      </c>
    </row>
    <row r="62" ht="15" customHeight="1">
      <c r="A62" t="inlineStr">
        <is>
          <t>A 52124-2022</t>
        </is>
      </c>
      <c r="B62" s="1" t="n">
        <v>44868</v>
      </c>
      <c r="C62" s="1" t="n">
        <v>45940</v>
      </c>
      <c r="D62" t="inlineStr">
        <is>
          <t>STOCKHOLMS LÄN</t>
        </is>
      </c>
      <c r="E62" t="inlineStr">
        <is>
          <t>NORRTÄLJE</t>
        </is>
      </c>
      <c r="G62" t="n">
        <v>4.8</v>
      </c>
      <c r="H62" t="n">
        <v>1</v>
      </c>
      <c r="I62" t="n">
        <v>0</v>
      </c>
      <c r="J62" t="n">
        <v>1</v>
      </c>
      <c r="K62" t="n">
        <v>0</v>
      </c>
      <c r="L62" t="n">
        <v>0</v>
      </c>
      <c r="M62" t="n">
        <v>0</v>
      </c>
      <c r="N62" t="n">
        <v>0</v>
      </c>
      <c r="O62" t="n">
        <v>1</v>
      </c>
      <c r="P62" t="n">
        <v>0</v>
      </c>
      <c r="Q62" t="n">
        <v>2</v>
      </c>
      <c r="R62" s="2" t="inlineStr">
        <is>
          <t>Kandelabersvamp
Blåsippa</t>
        </is>
      </c>
      <c r="S62">
        <f>HYPERLINK("https://klasma.github.io/Logging_0188/artfynd/A 52124-2022 artfynd.xlsx", "A 52124-2022")</f>
        <v/>
      </c>
      <c r="T62">
        <f>HYPERLINK("https://klasma.github.io/Logging_0188/kartor/A 52124-2022 karta.png", "A 52124-2022")</f>
        <v/>
      </c>
      <c r="V62">
        <f>HYPERLINK("https://klasma.github.io/Logging_0188/klagomål/A 52124-2022 FSC-klagomål.docx", "A 52124-2022")</f>
        <v/>
      </c>
      <c r="W62">
        <f>HYPERLINK("https://klasma.github.io/Logging_0188/klagomålsmail/A 52124-2022 FSC-klagomål mail.docx", "A 52124-2022")</f>
        <v/>
      </c>
      <c r="X62">
        <f>HYPERLINK("https://klasma.github.io/Logging_0188/tillsyn/A 52124-2022 tillsynsbegäran.docx", "A 52124-2022")</f>
        <v/>
      </c>
      <c r="Y62">
        <f>HYPERLINK("https://klasma.github.io/Logging_0188/tillsynsmail/A 52124-2022 tillsynsbegäran mail.docx", "A 52124-2022")</f>
        <v/>
      </c>
    </row>
    <row r="63" ht="15" customHeight="1">
      <c r="A63" t="inlineStr">
        <is>
          <t>A 52825-2023</t>
        </is>
      </c>
      <c r="B63" s="1" t="n">
        <v>45226</v>
      </c>
      <c r="C63" s="1" t="n">
        <v>45940</v>
      </c>
      <c r="D63" t="inlineStr">
        <is>
          <t>STOCKHOLMS LÄN</t>
        </is>
      </c>
      <c r="E63" t="inlineStr">
        <is>
          <t>NORRTÄLJE</t>
        </is>
      </c>
      <c r="G63" t="n">
        <v>1</v>
      </c>
      <c r="H63" t="n">
        <v>0</v>
      </c>
      <c r="I63" t="n">
        <v>2</v>
      </c>
      <c r="J63" t="n">
        <v>0</v>
      </c>
      <c r="K63" t="n">
        <v>0</v>
      </c>
      <c r="L63" t="n">
        <v>0</v>
      </c>
      <c r="M63" t="n">
        <v>0</v>
      </c>
      <c r="N63" t="n">
        <v>0</v>
      </c>
      <c r="O63" t="n">
        <v>0</v>
      </c>
      <c r="P63" t="n">
        <v>0</v>
      </c>
      <c r="Q63" t="n">
        <v>2</v>
      </c>
      <c r="R63" s="2" t="inlineStr">
        <is>
          <t>Fjällig taggsvamp s.str.
Strimspindling</t>
        </is>
      </c>
      <c r="S63">
        <f>HYPERLINK("https://klasma.github.io/Logging_0188/artfynd/A 52825-2023 artfynd.xlsx", "A 52825-2023")</f>
        <v/>
      </c>
      <c r="T63">
        <f>HYPERLINK("https://klasma.github.io/Logging_0188/kartor/A 52825-2023 karta.png", "A 52825-2023")</f>
        <v/>
      </c>
      <c r="V63">
        <f>HYPERLINK("https://klasma.github.io/Logging_0188/klagomål/A 52825-2023 FSC-klagomål.docx", "A 52825-2023")</f>
        <v/>
      </c>
      <c r="W63">
        <f>HYPERLINK("https://klasma.github.io/Logging_0188/klagomålsmail/A 52825-2023 FSC-klagomål mail.docx", "A 52825-2023")</f>
        <v/>
      </c>
      <c r="X63">
        <f>HYPERLINK("https://klasma.github.io/Logging_0188/tillsyn/A 52825-2023 tillsynsbegäran.docx", "A 52825-2023")</f>
        <v/>
      </c>
      <c r="Y63">
        <f>HYPERLINK("https://klasma.github.io/Logging_0188/tillsynsmail/A 52825-2023 tillsynsbegäran mail.docx", "A 52825-2023")</f>
        <v/>
      </c>
    </row>
    <row r="64" ht="15" customHeight="1">
      <c r="A64" t="inlineStr">
        <is>
          <t>A 11031-2025</t>
        </is>
      </c>
      <c r="B64" s="1" t="n">
        <v>45723</v>
      </c>
      <c r="C64" s="1" t="n">
        <v>45940</v>
      </c>
      <c r="D64" t="inlineStr">
        <is>
          <t>STOCKHOLMS LÄN</t>
        </is>
      </c>
      <c r="E64" t="inlineStr">
        <is>
          <t>NORRTÄLJE</t>
        </is>
      </c>
      <c r="F64" t="inlineStr">
        <is>
          <t>Övriga Aktiebolag</t>
        </is>
      </c>
      <c r="G64" t="n">
        <v>13.2</v>
      </c>
      <c r="H64" t="n">
        <v>1</v>
      </c>
      <c r="I64" t="n">
        <v>0</v>
      </c>
      <c r="J64" t="n">
        <v>2</v>
      </c>
      <c r="K64" t="n">
        <v>0</v>
      </c>
      <c r="L64" t="n">
        <v>0</v>
      </c>
      <c r="M64" t="n">
        <v>0</v>
      </c>
      <c r="N64" t="n">
        <v>0</v>
      </c>
      <c r="O64" t="n">
        <v>2</v>
      </c>
      <c r="P64" t="n">
        <v>0</v>
      </c>
      <c r="Q64" t="n">
        <v>2</v>
      </c>
      <c r="R64" s="2" t="inlineStr">
        <is>
          <t>Järpe
Ullticka</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16260-2022</t>
        </is>
      </c>
      <c r="B65" s="1" t="n">
        <v>44670</v>
      </c>
      <c r="C65" s="1" t="n">
        <v>45940</v>
      </c>
      <c r="D65" t="inlineStr">
        <is>
          <t>STOCKHOLMS LÄN</t>
        </is>
      </c>
      <c r="E65" t="inlineStr">
        <is>
          <t>NORRTÄLJE</t>
        </is>
      </c>
      <c r="G65" t="n">
        <v>6.6</v>
      </c>
      <c r="H65" t="n">
        <v>1</v>
      </c>
      <c r="I65" t="n">
        <v>2</v>
      </c>
      <c r="J65" t="n">
        <v>0</v>
      </c>
      <c r="K65" t="n">
        <v>0</v>
      </c>
      <c r="L65" t="n">
        <v>0</v>
      </c>
      <c r="M65" t="n">
        <v>0</v>
      </c>
      <c r="N65" t="n">
        <v>0</v>
      </c>
      <c r="O65" t="n">
        <v>0</v>
      </c>
      <c r="P65" t="n">
        <v>0</v>
      </c>
      <c r="Q65" t="n">
        <v>2</v>
      </c>
      <c r="R65" s="2" t="inlineStr">
        <is>
          <t>Nästrot
Vårärt</t>
        </is>
      </c>
      <c r="S65">
        <f>HYPERLINK("https://klasma.github.io/Logging_0188/artfynd/A 16260-2022 artfynd.xlsx", "A 16260-2022")</f>
        <v/>
      </c>
      <c r="T65">
        <f>HYPERLINK("https://klasma.github.io/Logging_0188/kartor/A 16260-2022 karta.png", "A 16260-2022")</f>
        <v/>
      </c>
      <c r="V65">
        <f>HYPERLINK("https://klasma.github.io/Logging_0188/klagomål/A 16260-2022 FSC-klagomål.docx", "A 16260-2022")</f>
        <v/>
      </c>
      <c r="W65">
        <f>HYPERLINK("https://klasma.github.io/Logging_0188/klagomålsmail/A 16260-2022 FSC-klagomål mail.docx", "A 16260-2022")</f>
        <v/>
      </c>
      <c r="X65">
        <f>HYPERLINK("https://klasma.github.io/Logging_0188/tillsyn/A 16260-2022 tillsynsbegäran.docx", "A 16260-2022")</f>
        <v/>
      </c>
      <c r="Y65">
        <f>HYPERLINK("https://klasma.github.io/Logging_0188/tillsynsmail/A 16260-2022 tillsynsbegäran mail.docx", "A 16260-2022")</f>
        <v/>
      </c>
    </row>
    <row r="66" ht="15" customHeight="1">
      <c r="A66" t="inlineStr">
        <is>
          <t>A 22190-2024</t>
        </is>
      </c>
      <c r="B66" s="1" t="n">
        <v>45446.35888888889</v>
      </c>
      <c r="C66" s="1" t="n">
        <v>45940</v>
      </c>
      <c r="D66" t="inlineStr">
        <is>
          <t>STOCKHOLMS LÄN</t>
        </is>
      </c>
      <c r="E66" t="inlineStr">
        <is>
          <t>NORRTÄLJE</t>
        </is>
      </c>
      <c r="G66" t="n">
        <v>2.8</v>
      </c>
      <c r="H66" t="n">
        <v>2</v>
      </c>
      <c r="I66" t="n">
        <v>1</v>
      </c>
      <c r="J66" t="n">
        <v>0</v>
      </c>
      <c r="K66" t="n">
        <v>0</v>
      </c>
      <c r="L66" t="n">
        <v>0</v>
      </c>
      <c r="M66" t="n">
        <v>0</v>
      </c>
      <c r="N66" t="n">
        <v>0</v>
      </c>
      <c r="O66" t="n">
        <v>0</v>
      </c>
      <c r="P66" t="n">
        <v>0</v>
      </c>
      <c r="Q66" t="n">
        <v>2</v>
      </c>
      <c r="R66" s="2" t="inlineStr">
        <is>
          <t>Skogsknipprot
Vanlig groda</t>
        </is>
      </c>
      <c r="S66">
        <f>HYPERLINK("https://klasma.github.io/Logging_0188/artfynd/A 22190-2024 artfynd.xlsx", "A 22190-2024")</f>
        <v/>
      </c>
      <c r="T66">
        <f>HYPERLINK("https://klasma.github.io/Logging_0188/kartor/A 22190-2024 karta.png", "A 22190-2024")</f>
        <v/>
      </c>
      <c r="V66">
        <f>HYPERLINK("https://klasma.github.io/Logging_0188/klagomål/A 22190-2024 FSC-klagomål.docx", "A 22190-2024")</f>
        <v/>
      </c>
      <c r="W66">
        <f>HYPERLINK("https://klasma.github.io/Logging_0188/klagomålsmail/A 22190-2024 FSC-klagomål mail.docx", "A 22190-2024")</f>
        <v/>
      </c>
      <c r="X66">
        <f>HYPERLINK("https://klasma.github.io/Logging_0188/tillsyn/A 22190-2024 tillsynsbegäran.docx", "A 22190-2024")</f>
        <v/>
      </c>
      <c r="Y66">
        <f>HYPERLINK("https://klasma.github.io/Logging_0188/tillsynsmail/A 22190-2024 tillsynsbegäran mail.docx", "A 22190-2024")</f>
        <v/>
      </c>
    </row>
    <row r="67" ht="15" customHeight="1">
      <c r="A67" t="inlineStr">
        <is>
          <t>A 52360-2024</t>
        </is>
      </c>
      <c r="B67" s="1" t="n">
        <v>45609.37094907407</v>
      </c>
      <c r="C67" s="1" t="n">
        <v>45940</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20012-2025</t>
        </is>
      </c>
      <c r="B68" s="1" t="n">
        <v>45772.30234953704</v>
      </c>
      <c r="C68" s="1" t="n">
        <v>45940</v>
      </c>
      <c r="D68" t="inlineStr">
        <is>
          <t>STOCKHOLMS LÄN</t>
        </is>
      </c>
      <c r="E68" t="inlineStr">
        <is>
          <t>NORRTÄLJE</t>
        </is>
      </c>
      <c r="G68" t="n">
        <v>3.8</v>
      </c>
      <c r="H68" t="n">
        <v>0</v>
      </c>
      <c r="I68" t="n">
        <v>2</v>
      </c>
      <c r="J68" t="n">
        <v>0</v>
      </c>
      <c r="K68" t="n">
        <v>0</v>
      </c>
      <c r="L68" t="n">
        <v>0</v>
      </c>
      <c r="M68" t="n">
        <v>0</v>
      </c>
      <c r="N68" t="n">
        <v>0</v>
      </c>
      <c r="O68" t="n">
        <v>0</v>
      </c>
      <c r="P68" t="n">
        <v>0</v>
      </c>
      <c r="Q68" t="n">
        <v>2</v>
      </c>
      <c r="R68" s="2" t="inlineStr">
        <is>
          <t>Barkticka
Stor aspticka</t>
        </is>
      </c>
      <c r="S68">
        <f>HYPERLINK("https://klasma.github.io/Logging_0188/artfynd/A 20012-2025 artfynd.xlsx", "A 20012-2025")</f>
        <v/>
      </c>
      <c r="T68">
        <f>HYPERLINK("https://klasma.github.io/Logging_0188/kartor/A 20012-2025 karta.png", "A 20012-2025")</f>
        <v/>
      </c>
      <c r="V68">
        <f>HYPERLINK("https://klasma.github.io/Logging_0188/klagomål/A 20012-2025 FSC-klagomål.docx", "A 20012-2025")</f>
        <v/>
      </c>
      <c r="W68">
        <f>HYPERLINK("https://klasma.github.io/Logging_0188/klagomålsmail/A 20012-2025 FSC-klagomål mail.docx", "A 20012-2025")</f>
        <v/>
      </c>
      <c r="X68">
        <f>HYPERLINK("https://klasma.github.io/Logging_0188/tillsyn/A 20012-2025 tillsynsbegäran.docx", "A 20012-2025")</f>
        <v/>
      </c>
      <c r="Y68">
        <f>HYPERLINK("https://klasma.github.io/Logging_0188/tillsynsmail/A 20012-2025 tillsynsbegäran mail.docx", "A 20012-2025")</f>
        <v/>
      </c>
    </row>
    <row r="69" ht="15" customHeight="1">
      <c r="A69" t="inlineStr">
        <is>
          <t>A 51980-2022</t>
        </is>
      </c>
      <c r="B69" s="1" t="n">
        <v>44872</v>
      </c>
      <c r="C69" s="1" t="n">
        <v>45940</v>
      </c>
      <c r="D69" t="inlineStr">
        <is>
          <t>STOCKHOLMS LÄN</t>
        </is>
      </c>
      <c r="E69" t="inlineStr">
        <is>
          <t>NORRTÄLJE</t>
        </is>
      </c>
      <c r="G69" t="n">
        <v>7.9</v>
      </c>
      <c r="H69" t="n">
        <v>1</v>
      </c>
      <c r="I69" t="n">
        <v>2</v>
      </c>
      <c r="J69" t="n">
        <v>0</v>
      </c>
      <c r="K69" t="n">
        <v>0</v>
      </c>
      <c r="L69" t="n">
        <v>0</v>
      </c>
      <c r="M69" t="n">
        <v>0</v>
      </c>
      <c r="N69" t="n">
        <v>0</v>
      </c>
      <c r="O69" t="n">
        <v>0</v>
      </c>
      <c r="P69" t="n">
        <v>0</v>
      </c>
      <c r="Q69" t="n">
        <v>2</v>
      </c>
      <c r="R69" s="2" t="inlineStr">
        <is>
          <t>Rödgul trumpetsvamp
Skogsknipprot</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25731-2025</t>
        </is>
      </c>
      <c r="B70" s="1" t="n">
        <v>45800</v>
      </c>
      <c r="C70" s="1" t="n">
        <v>45940</v>
      </c>
      <c r="D70" t="inlineStr">
        <is>
          <t>STOCKHOLMS LÄN</t>
        </is>
      </c>
      <c r="E70" t="inlineStr">
        <is>
          <t>NORRTÄLJE</t>
        </is>
      </c>
      <c r="G70" t="n">
        <v>11.9</v>
      </c>
      <c r="H70" t="n">
        <v>2</v>
      </c>
      <c r="I70" t="n">
        <v>0</v>
      </c>
      <c r="J70" t="n">
        <v>0</v>
      </c>
      <c r="K70" t="n">
        <v>1</v>
      </c>
      <c r="L70" t="n">
        <v>0</v>
      </c>
      <c r="M70" t="n">
        <v>0</v>
      </c>
      <c r="N70" t="n">
        <v>0</v>
      </c>
      <c r="O70" t="n">
        <v>1</v>
      </c>
      <c r="P70" t="n">
        <v>1</v>
      </c>
      <c r="Q70" t="n">
        <v>2</v>
      </c>
      <c r="R70" s="2" t="inlineStr">
        <is>
          <t>Knärot
Tjäder</t>
        </is>
      </c>
      <c r="S70">
        <f>HYPERLINK("https://klasma.github.io/Logging_0188/artfynd/A 25731-2025 artfynd.xlsx", "A 25731-2025")</f>
        <v/>
      </c>
      <c r="T70">
        <f>HYPERLINK("https://klasma.github.io/Logging_0188/kartor/A 25731-2025 karta.png", "A 25731-2025")</f>
        <v/>
      </c>
      <c r="U70">
        <f>HYPERLINK("https://klasma.github.io/Logging_0188/knärot/A 25731-2025 karta knärot.png", "A 25731-2025")</f>
        <v/>
      </c>
      <c r="V70">
        <f>HYPERLINK("https://klasma.github.io/Logging_0188/klagomål/A 25731-2025 FSC-klagomål.docx", "A 25731-2025")</f>
        <v/>
      </c>
      <c r="W70">
        <f>HYPERLINK("https://klasma.github.io/Logging_0188/klagomålsmail/A 25731-2025 FSC-klagomål mail.docx", "A 25731-2025")</f>
        <v/>
      </c>
      <c r="X70">
        <f>HYPERLINK("https://klasma.github.io/Logging_0188/tillsyn/A 25731-2025 tillsynsbegäran.docx", "A 25731-2025")</f>
        <v/>
      </c>
      <c r="Y70">
        <f>HYPERLINK("https://klasma.github.io/Logging_0188/tillsynsmail/A 25731-2025 tillsynsbegäran mail.docx", "A 25731-2025")</f>
        <v/>
      </c>
      <c r="Z70">
        <f>HYPERLINK("https://klasma.github.io/Logging_0188/fåglar/A 25731-2025 prioriterade fågelarter.docx", "A 25731-2025")</f>
        <v/>
      </c>
    </row>
    <row r="71" ht="15" customHeight="1">
      <c r="A71" t="inlineStr">
        <is>
          <t>A 1547-2022</t>
        </is>
      </c>
      <c r="B71" s="1" t="n">
        <v>44573</v>
      </c>
      <c r="C71" s="1" t="n">
        <v>45940</v>
      </c>
      <c r="D71" t="inlineStr">
        <is>
          <t>STOCKHOLMS LÄN</t>
        </is>
      </c>
      <c r="E71" t="inlineStr">
        <is>
          <t>NORRTÄLJE</t>
        </is>
      </c>
      <c r="G71" t="n">
        <v>1.8</v>
      </c>
      <c r="H71" t="n">
        <v>1</v>
      </c>
      <c r="I71" t="n">
        <v>0</v>
      </c>
      <c r="J71" t="n">
        <v>0</v>
      </c>
      <c r="K71" t="n">
        <v>1</v>
      </c>
      <c r="L71" t="n">
        <v>0</v>
      </c>
      <c r="M71" t="n">
        <v>0</v>
      </c>
      <c r="N71" t="n">
        <v>0</v>
      </c>
      <c r="O71" t="n">
        <v>1</v>
      </c>
      <c r="P71" t="n">
        <v>1</v>
      </c>
      <c r="Q71" t="n">
        <v>1</v>
      </c>
      <c r="R71" s="2" t="inlineStr">
        <is>
          <t>Hällebräcka</t>
        </is>
      </c>
      <c r="S71">
        <f>HYPERLINK("https://klasma.github.io/Logging_0188/artfynd/A 1547-2022 artfynd.xlsx", "A 1547-2022")</f>
        <v/>
      </c>
      <c r="T71">
        <f>HYPERLINK("https://klasma.github.io/Logging_0188/kartor/A 1547-2022 karta.png", "A 1547-2022")</f>
        <v/>
      </c>
      <c r="V71">
        <f>HYPERLINK("https://klasma.github.io/Logging_0188/klagomål/A 1547-2022 FSC-klagomål.docx", "A 1547-2022")</f>
        <v/>
      </c>
      <c r="W71">
        <f>HYPERLINK("https://klasma.github.io/Logging_0188/klagomålsmail/A 1547-2022 FSC-klagomål mail.docx", "A 1547-2022")</f>
        <v/>
      </c>
      <c r="X71">
        <f>HYPERLINK("https://klasma.github.io/Logging_0188/tillsyn/A 1547-2022 tillsynsbegäran.docx", "A 1547-2022")</f>
        <v/>
      </c>
      <c r="Y71">
        <f>HYPERLINK("https://klasma.github.io/Logging_0188/tillsynsmail/A 1547-2022 tillsynsbegäran mail.docx", "A 1547-2022")</f>
        <v/>
      </c>
    </row>
    <row r="72" ht="15" customHeight="1">
      <c r="A72" t="inlineStr">
        <is>
          <t>A 188-2022</t>
        </is>
      </c>
      <c r="B72" s="1" t="n">
        <v>44564.66387731482</v>
      </c>
      <c r="C72" s="1" t="n">
        <v>45940</v>
      </c>
      <c r="D72" t="inlineStr">
        <is>
          <t>STOCKHOLMS LÄN</t>
        </is>
      </c>
      <c r="E72" t="inlineStr">
        <is>
          <t>NORRTÄLJE</t>
        </is>
      </c>
      <c r="G72" t="n">
        <v>4.1</v>
      </c>
      <c r="H72" t="n">
        <v>0</v>
      </c>
      <c r="I72" t="n">
        <v>1</v>
      </c>
      <c r="J72" t="n">
        <v>0</v>
      </c>
      <c r="K72" t="n">
        <v>0</v>
      </c>
      <c r="L72" t="n">
        <v>0</v>
      </c>
      <c r="M72" t="n">
        <v>0</v>
      </c>
      <c r="N72" t="n">
        <v>0</v>
      </c>
      <c r="O72" t="n">
        <v>0</v>
      </c>
      <c r="P72" t="n">
        <v>0</v>
      </c>
      <c r="Q72" t="n">
        <v>1</v>
      </c>
      <c r="R72" s="2" t="inlineStr">
        <is>
          <t>Svart trolldruva</t>
        </is>
      </c>
      <c r="S72">
        <f>HYPERLINK("https://klasma.github.io/Logging_0188/artfynd/A 188-2022 artfynd.xlsx", "A 188-2022")</f>
        <v/>
      </c>
      <c r="T72">
        <f>HYPERLINK("https://klasma.github.io/Logging_0188/kartor/A 188-2022 karta.png", "A 188-2022")</f>
        <v/>
      </c>
      <c r="V72">
        <f>HYPERLINK("https://klasma.github.io/Logging_0188/klagomål/A 188-2022 FSC-klagomål.docx", "A 188-2022")</f>
        <v/>
      </c>
      <c r="W72">
        <f>HYPERLINK("https://klasma.github.io/Logging_0188/klagomålsmail/A 188-2022 FSC-klagomål mail.docx", "A 188-2022")</f>
        <v/>
      </c>
      <c r="X72">
        <f>HYPERLINK("https://klasma.github.io/Logging_0188/tillsyn/A 188-2022 tillsynsbegäran.docx", "A 188-2022")</f>
        <v/>
      </c>
      <c r="Y72">
        <f>HYPERLINK("https://klasma.github.io/Logging_0188/tillsynsmail/A 188-2022 tillsynsbegäran mail.docx", "A 188-2022")</f>
        <v/>
      </c>
    </row>
    <row r="73" ht="15" customHeight="1">
      <c r="A73" t="inlineStr">
        <is>
          <t>A 62846-2020</t>
        </is>
      </c>
      <c r="B73" s="1" t="n">
        <v>44161</v>
      </c>
      <c r="C73" s="1" t="n">
        <v>45940</v>
      </c>
      <c r="D73" t="inlineStr">
        <is>
          <t>STOCKHOLMS LÄN</t>
        </is>
      </c>
      <c r="E73" t="inlineStr">
        <is>
          <t>NORRTÄLJE</t>
        </is>
      </c>
      <c r="G73" t="n">
        <v>1.4</v>
      </c>
      <c r="H73" t="n">
        <v>1</v>
      </c>
      <c r="I73" t="n">
        <v>0</v>
      </c>
      <c r="J73" t="n">
        <v>0</v>
      </c>
      <c r="K73" t="n">
        <v>0</v>
      </c>
      <c r="L73" t="n">
        <v>0</v>
      </c>
      <c r="M73" t="n">
        <v>0</v>
      </c>
      <c r="N73" t="n">
        <v>0</v>
      </c>
      <c r="O73" t="n">
        <v>0</v>
      </c>
      <c r="P73" t="n">
        <v>0</v>
      </c>
      <c r="Q73" t="n">
        <v>1</v>
      </c>
      <c r="R73" s="2" t="inlineStr">
        <is>
          <t>Fläcknycklar</t>
        </is>
      </c>
      <c r="S73">
        <f>HYPERLINK("https://klasma.github.io/Logging_0188/artfynd/A 62846-2020 artfynd.xlsx", "A 62846-2020")</f>
        <v/>
      </c>
      <c r="T73">
        <f>HYPERLINK("https://klasma.github.io/Logging_0188/kartor/A 62846-2020 karta.png", "A 62846-2020")</f>
        <v/>
      </c>
      <c r="V73">
        <f>HYPERLINK("https://klasma.github.io/Logging_0188/klagomål/A 62846-2020 FSC-klagomål.docx", "A 62846-2020")</f>
        <v/>
      </c>
      <c r="W73">
        <f>HYPERLINK("https://klasma.github.io/Logging_0188/klagomålsmail/A 62846-2020 FSC-klagomål mail.docx", "A 62846-2020")</f>
        <v/>
      </c>
      <c r="X73">
        <f>HYPERLINK("https://klasma.github.io/Logging_0188/tillsyn/A 62846-2020 tillsynsbegäran.docx", "A 62846-2020")</f>
        <v/>
      </c>
      <c r="Y73">
        <f>HYPERLINK("https://klasma.github.io/Logging_0188/tillsynsmail/A 62846-2020 tillsynsbegäran mail.docx", "A 62846-2020")</f>
        <v/>
      </c>
    </row>
    <row r="74" ht="15" customHeight="1">
      <c r="A74" t="inlineStr">
        <is>
          <t>A 30138-2021</t>
        </is>
      </c>
      <c r="B74" s="1" t="n">
        <v>44363</v>
      </c>
      <c r="C74" s="1" t="n">
        <v>45940</v>
      </c>
      <c r="D74" t="inlineStr">
        <is>
          <t>STOCKHOLMS LÄN</t>
        </is>
      </c>
      <c r="E74" t="inlineStr">
        <is>
          <t>NORRTÄLJE</t>
        </is>
      </c>
      <c r="G74" t="n">
        <v>4.5</v>
      </c>
      <c r="H74" t="n">
        <v>0</v>
      </c>
      <c r="I74" t="n">
        <v>1</v>
      </c>
      <c r="J74" t="n">
        <v>0</v>
      </c>
      <c r="K74" t="n">
        <v>0</v>
      </c>
      <c r="L74" t="n">
        <v>0</v>
      </c>
      <c r="M74" t="n">
        <v>0</v>
      </c>
      <c r="N74" t="n">
        <v>0</v>
      </c>
      <c r="O74" t="n">
        <v>0</v>
      </c>
      <c r="P74" t="n">
        <v>0</v>
      </c>
      <c r="Q74" t="n">
        <v>1</v>
      </c>
      <c r="R74" s="2" t="inlineStr">
        <is>
          <t>Vårärt</t>
        </is>
      </c>
      <c r="S74">
        <f>HYPERLINK("https://klasma.github.io/Logging_0188/artfynd/A 30138-2021 artfynd.xlsx", "A 30138-2021")</f>
        <v/>
      </c>
      <c r="T74">
        <f>HYPERLINK("https://klasma.github.io/Logging_0188/kartor/A 30138-2021 karta.png", "A 30138-2021")</f>
        <v/>
      </c>
      <c r="V74">
        <f>HYPERLINK("https://klasma.github.io/Logging_0188/klagomål/A 30138-2021 FSC-klagomål.docx", "A 30138-2021")</f>
        <v/>
      </c>
      <c r="W74">
        <f>HYPERLINK("https://klasma.github.io/Logging_0188/klagomålsmail/A 30138-2021 FSC-klagomål mail.docx", "A 30138-2021")</f>
        <v/>
      </c>
      <c r="X74">
        <f>HYPERLINK("https://klasma.github.io/Logging_0188/tillsyn/A 30138-2021 tillsynsbegäran.docx", "A 30138-2021")</f>
        <v/>
      </c>
      <c r="Y74">
        <f>HYPERLINK("https://klasma.github.io/Logging_0188/tillsynsmail/A 30138-2021 tillsynsbegäran mail.docx", "A 30138-2021")</f>
        <v/>
      </c>
    </row>
    <row r="75" ht="15" customHeight="1">
      <c r="A75" t="inlineStr">
        <is>
          <t>A 17629-2022</t>
        </is>
      </c>
      <c r="B75" s="1" t="n">
        <v>44680</v>
      </c>
      <c r="C75" s="1" t="n">
        <v>45940</v>
      </c>
      <c r="D75" t="inlineStr">
        <is>
          <t>STOCKHOLMS LÄN</t>
        </is>
      </c>
      <c r="E75" t="inlineStr">
        <is>
          <t>NORRTÄLJE</t>
        </is>
      </c>
      <c r="G75" t="n">
        <v>0.6</v>
      </c>
      <c r="H75" t="n">
        <v>1</v>
      </c>
      <c r="I75" t="n">
        <v>0</v>
      </c>
      <c r="J75" t="n">
        <v>1</v>
      </c>
      <c r="K75" t="n">
        <v>0</v>
      </c>
      <c r="L75" t="n">
        <v>0</v>
      </c>
      <c r="M75" t="n">
        <v>0</v>
      </c>
      <c r="N75" t="n">
        <v>0</v>
      </c>
      <c r="O75" t="n">
        <v>1</v>
      </c>
      <c r="P75" t="n">
        <v>0</v>
      </c>
      <c r="Q75" t="n">
        <v>1</v>
      </c>
      <c r="R75" s="2" t="inlineStr">
        <is>
          <t>Hornuggla</t>
        </is>
      </c>
      <c r="S75">
        <f>HYPERLINK("https://klasma.github.io/Logging_0188/artfynd/A 17629-2022 artfynd.xlsx", "A 17629-2022")</f>
        <v/>
      </c>
      <c r="T75">
        <f>HYPERLINK("https://klasma.github.io/Logging_0188/kartor/A 17629-2022 karta.png", "A 17629-2022")</f>
        <v/>
      </c>
      <c r="V75">
        <f>HYPERLINK("https://klasma.github.io/Logging_0188/klagomål/A 17629-2022 FSC-klagomål.docx", "A 17629-2022")</f>
        <v/>
      </c>
      <c r="W75">
        <f>HYPERLINK("https://klasma.github.io/Logging_0188/klagomålsmail/A 17629-2022 FSC-klagomål mail.docx", "A 17629-2022")</f>
        <v/>
      </c>
      <c r="X75">
        <f>HYPERLINK("https://klasma.github.io/Logging_0188/tillsyn/A 17629-2022 tillsynsbegäran.docx", "A 17629-2022")</f>
        <v/>
      </c>
      <c r="Y75">
        <f>HYPERLINK("https://klasma.github.io/Logging_0188/tillsynsmail/A 17629-2022 tillsynsbegäran mail.docx", "A 17629-2022")</f>
        <v/>
      </c>
      <c r="Z75">
        <f>HYPERLINK("https://klasma.github.io/Logging_0188/fåglar/A 17629-2022 prioriterade fågelarter.docx", "A 17629-2022")</f>
        <v/>
      </c>
    </row>
    <row r="76" ht="15" customHeight="1">
      <c r="A76" t="inlineStr">
        <is>
          <t>A 33477-2022</t>
        </is>
      </c>
      <c r="B76" s="1" t="n">
        <v>44788.70217592592</v>
      </c>
      <c r="C76" s="1" t="n">
        <v>45940</v>
      </c>
      <c r="D76" t="inlineStr">
        <is>
          <t>STOCKHOLMS LÄN</t>
        </is>
      </c>
      <c r="E76" t="inlineStr">
        <is>
          <t>NORRTÄLJE</t>
        </is>
      </c>
      <c r="G76" t="n">
        <v>5.7</v>
      </c>
      <c r="H76" t="n">
        <v>1</v>
      </c>
      <c r="I76" t="n">
        <v>1</v>
      </c>
      <c r="J76" t="n">
        <v>0</v>
      </c>
      <c r="K76" t="n">
        <v>0</v>
      </c>
      <c r="L76" t="n">
        <v>0</v>
      </c>
      <c r="M76" t="n">
        <v>0</v>
      </c>
      <c r="N76" t="n">
        <v>0</v>
      </c>
      <c r="O76" t="n">
        <v>0</v>
      </c>
      <c r="P76" t="n">
        <v>0</v>
      </c>
      <c r="Q76" t="n">
        <v>1</v>
      </c>
      <c r="R76" s="2" t="inlineStr">
        <is>
          <t>Nästrot</t>
        </is>
      </c>
      <c r="S76">
        <f>HYPERLINK("https://klasma.github.io/Logging_0188/artfynd/A 33477-2022 artfynd.xlsx", "A 33477-2022")</f>
        <v/>
      </c>
      <c r="T76">
        <f>HYPERLINK("https://klasma.github.io/Logging_0188/kartor/A 33477-2022 karta.png", "A 33477-2022")</f>
        <v/>
      </c>
      <c r="V76">
        <f>HYPERLINK("https://klasma.github.io/Logging_0188/klagomål/A 33477-2022 FSC-klagomål.docx", "A 33477-2022")</f>
        <v/>
      </c>
      <c r="W76">
        <f>HYPERLINK("https://klasma.github.io/Logging_0188/klagomålsmail/A 33477-2022 FSC-klagomål mail.docx", "A 33477-2022")</f>
        <v/>
      </c>
      <c r="X76">
        <f>HYPERLINK("https://klasma.github.io/Logging_0188/tillsyn/A 33477-2022 tillsynsbegäran.docx", "A 33477-2022")</f>
        <v/>
      </c>
      <c r="Y76">
        <f>HYPERLINK("https://klasma.github.io/Logging_0188/tillsynsmail/A 33477-2022 tillsynsbegäran mail.docx", "A 33477-2022")</f>
        <v/>
      </c>
    </row>
    <row r="77" ht="15" customHeight="1">
      <c r="A77" t="inlineStr">
        <is>
          <t>A 16870-2025</t>
        </is>
      </c>
      <c r="B77" s="1" t="n">
        <v>45754</v>
      </c>
      <c r="C77" s="1" t="n">
        <v>45940</v>
      </c>
      <c r="D77" t="inlineStr">
        <is>
          <t>STOCKHOLMS LÄN</t>
        </is>
      </c>
      <c r="E77" t="inlineStr">
        <is>
          <t>NORRTÄLJE</t>
        </is>
      </c>
      <c r="G77" t="n">
        <v>24.6</v>
      </c>
      <c r="H77" t="n">
        <v>1</v>
      </c>
      <c r="I77" t="n">
        <v>0</v>
      </c>
      <c r="J77" t="n">
        <v>0</v>
      </c>
      <c r="K77" t="n">
        <v>0</v>
      </c>
      <c r="L77" t="n">
        <v>0</v>
      </c>
      <c r="M77" t="n">
        <v>0</v>
      </c>
      <c r="N77" t="n">
        <v>0</v>
      </c>
      <c r="O77" t="n">
        <v>0</v>
      </c>
      <c r="P77" t="n">
        <v>0</v>
      </c>
      <c r="Q77" t="n">
        <v>1</v>
      </c>
      <c r="R77" s="2" t="inlineStr">
        <is>
          <t>Vanlig groda</t>
        </is>
      </c>
      <c r="S77">
        <f>HYPERLINK("https://klasma.github.io/Logging_0188/artfynd/A 16870-2025 artfynd.xlsx", "A 16870-2025")</f>
        <v/>
      </c>
      <c r="T77">
        <f>HYPERLINK("https://klasma.github.io/Logging_0188/kartor/A 16870-2025 karta.png", "A 16870-2025")</f>
        <v/>
      </c>
      <c r="V77">
        <f>HYPERLINK("https://klasma.github.io/Logging_0188/klagomål/A 16870-2025 FSC-klagomål.docx", "A 16870-2025")</f>
        <v/>
      </c>
      <c r="W77">
        <f>HYPERLINK("https://klasma.github.io/Logging_0188/klagomålsmail/A 16870-2025 FSC-klagomål mail.docx", "A 16870-2025")</f>
        <v/>
      </c>
      <c r="X77">
        <f>HYPERLINK("https://klasma.github.io/Logging_0188/tillsyn/A 16870-2025 tillsynsbegäran.docx", "A 16870-2025")</f>
        <v/>
      </c>
      <c r="Y77">
        <f>HYPERLINK("https://klasma.github.io/Logging_0188/tillsynsmail/A 16870-2025 tillsynsbegäran mail.docx", "A 16870-2025")</f>
        <v/>
      </c>
    </row>
    <row r="78" ht="15" customHeight="1">
      <c r="A78" t="inlineStr">
        <is>
          <t>A 24535-2023</t>
        </is>
      </c>
      <c r="B78" s="1" t="n">
        <v>45082</v>
      </c>
      <c r="C78" s="1" t="n">
        <v>45940</v>
      </c>
      <c r="D78" t="inlineStr">
        <is>
          <t>STOCKHOLMS LÄN</t>
        </is>
      </c>
      <c r="E78" t="inlineStr">
        <is>
          <t>NORRTÄLJE</t>
        </is>
      </c>
      <c r="F78" t="inlineStr">
        <is>
          <t>Kommuner</t>
        </is>
      </c>
      <c r="G78" t="n">
        <v>2</v>
      </c>
      <c r="H78" t="n">
        <v>1</v>
      </c>
      <c r="I78" t="n">
        <v>0</v>
      </c>
      <c r="J78" t="n">
        <v>0</v>
      </c>
      <c r="K78" t="n">
        <v>0</v>
      </c>
      <c r="L78" t="n">
        <v>0</v>
      </c>
      <c r="M78" t="n">
        <v>0</v>
      </c>
      <c r="N78" t="n">
        <v>0</v>
      </c>
      <c r="O78" t="n">
        <v>0</v>
      </c>
      <c r="P78" t="n">
        <v>0</v>
      </c>
      <c r="Q78" t="n">
        <v>1</v>
      </c>
      <c r="R78" s="2" t="inlineStr">
        <is>
          <t>Blåsippa</t>
        </is>
      </c>
      <c r="S78">
        <f>HYPERLINK("https://klasma.github.io/Logging_0188/artfynd/A 24535-2023 artfynd.xlsx", "A 24535-2023")</f>
        <v/>
      </c>
      <c r="T78">
        <f>HYPERLINK("https://klasma.github.io/Logging_0188/kartor/A 24535-2023 karta.png", "A 24535-2023")</f>
        <v/>
      </c>
      <c r="V78">
        <f>HYPERLINK("https://klasma.github.io/Logging_0188/klagomål/A 24535-2023 FSC-klagomål.docx", "A 24535-2023")</f>
        <v/>
      </c>
      <c r="W78">
        <f>HYPERLINK("https://klasma.github.io/Logging_0188/klagomålsmail/A 24535-2023 FSC-klagomål mail.docx", "A 24535-2023")</f>
        <v/>
      </c>
      <c r="X78">
        <f>HYPERLINK("https://klasma.github.io/Logging_0188/tillsyn/A 24535-2023 tillsynsbegäran.docx", "A 24535-2023")</f>
        <v/>
      </c>
      <c r="Y78">
        <f>HYPERLINK("https://klasma.github.io/Logging_0188/tillsynsmail/A 24535-2023 tillsynsbegäran mail.docx", "A 24535-2023")</f>
        <v/>
      </c>
    </row>
    <row r="79" ht="15" customHeight="1">
      <c r="A79" t="inlineStr">
        <is>
          <t>A 58888-2021</t>
        </is>
      </c>
      <c r="B79" s="1" t="n">
        <v>44489</v>
      </c>
      <c r="C79" s="1" t="n">
        <v>45940</v>
      </c>
      <c r="D79" t="inlineStr">
        <is>
          <t>STOCKHOLMS LÄN</t>
        </is>
      </c>
      <c r="E79" t="inlineStr">
        <is>
          <t>NORRTÄLJE</t>
        </is>
      </c>
      <c r="F79" t="inlineStr">
        <is>
          <t>Holmen skog AB</t>
        </is>
      </c>
      <c r="G79" t="n">
        <v>2.5</v>
      </c>
      <c r="H79" t="n">
        <v>1</v>
      </c>
      <c r="I79" t="n">
        <v>0</v>
      </c>
      <c r="J79" t="n">
        <v>0</v>
      </c>
      <c r="K79" t="n">
        <v>0</v>
      </c>
      <c r="L79" t="n">
        <v>1</v>
      </c>
      <c r="M79" t="n">
        <v>0</v>
      </c>
      <c r="N79" t="n">
        <v>0</v>
      </c>
      <c r="O79" t="n">
        <v>1</v>
      </c>
      <c r="P79" t="n">
        <v>1</v>
      </c>
      <c r="Q79" t="n">
        <v>1</v>
      </c>
      <c r="R79" s="2" t="inlineStr">
        <is>
          <t>Asknätfjäril</t>
        </is>
      </c>
      <c r="S79">
        <f>HYPERLINK("https://klasma.github.io/Logging_0188/artfynd/A 58888-2021 artfynd.xlsx", "A 58888-2021")</f>
        <v/>
      </c>
      <c r="T79">
        <f>HYPERLINK("https://klasma.github.io/Logging_0188/kartor/A 58888-2021 karta.png", "A 58888-2021")</f>
        <v/>
      </c>
      <c r="V79">
        <f>HYPERLINK("https://klasma.github.io/Logging_0188/klagomål/A 58888-2021 FSC-klagomål.docx", "A 58888-2021")</f>
        <v/>
      </c>
      <c r="W79">
        <f>HYPERLINK("https://klasma.github.io/Logging_0188/klagomålsmail/A 58888-2021 FSC-klagomål mail.docx", "A 58888-2021")</f>
        <v/>
      </c>
      <c r="X79">
        <f>HYPERLINK("https://klasma.github.io/Logging_0188/tillsyn/A 58888-2021 tillsynsbegäran.docx", "A 58888-2021")</f>
        <v/>
      </c>
      <c r="Y79">
        <f>HYPERLINK("https://klasma.github.io/Logging_0188/tillsynsmail/A 58888-2021 tillsynsbegäran mail.docx", "A 58888-2021")</f>
        <v/>
      </c>
    </row>
    <row r="80" ht="15" customHeight="1">
      <c r="A80" t="inlineStr">
        <is>
          <t>A 4532-2025</t>
        </is>
      </c>
      <c r="B80" s="1" t="n">
        <v>45687.34177083334</v>
      </c>
      <c r="C80" s="1" t="n">
        <v>45940</v>
      </c>
      <c r="D80" t="inlineStr">
        <is>
          <t>STOCKHOLMS LÄN</t>
        </is>
      </c>
      <c r="E80" t="inlineStr">
        <is>
          <t>NORRTÄLJE</t>
        </is>
      </c>
      <c r="F80" t="inlineStr">
        <is>
          <t>Holmen skog AB</t>
        </is>
      </c>
      <c r="G80" t="n">
        <v>6.4</v>
      </c>
      <c r="H80" t="n">
        <v>1</v>
      </c>
      <c r="I80" t="n">
        <v>0</v>
      </c>
      <c r="J80" t="n">
        <v>0</v>
      </c>
      <c r="K80" t="n">
        <v>0</v>
      </c>
      <c r="L80" t="n">
        <v>1</v>
      </c>
      <c r="M80" t="n">
        <v>0</v>
      </c>
      <c r="N80" t="n">
        <v>0</v>
      </c>
      <c r="O80" t="n">
        <v>1</v>
      </c>
      <c r="P80" t="n">
        <v>1</v>
      </c>
      <c r="Q80" t="n">
        <v>1</v>
      </c>
      <c r="R80" s="2" t="inlineStr">
        <is>
          <t>Asknätfjäril</t>
        </is>
      </c>
      <c r="S80">
        <f>HYPERLINK("https://klasma.github.io/Logging_0188/artfynd/A 4532-2025 artfynd.xlsx", "A 4532-2025")</f>
        <v/>
      </c>
      <c r="T80">
        <f>HYPERLINK("https://klasma.github.io/Logging_0188/kartor/A 4532-2025 karta.png", "A 4532-2025")</f>
        <v/>
      </c>
      <c r="V80">
        <f>HYPERLINK("https://klasma.github.io/Logging_0188/klagomål/A 4532-2025 FSC-klagomål.docx", "A 4532-2025")</f>
        <v/>
      </c>
      <c r="W80">
        <f>HYPERLINK("https://klasma.github.io/Logging_0188/klagomålsmail/A 4532-2025 FSC-klagomål mail.docx", "A 4532-2025")</f>
        <v/>
      </c>
      <c r="X80">
        <f>HYPERLINK("https://klasma.github.io/Logging_0188/tillsyn/A 4532-2025 tillsynsbegäran.docx", "A 4532-2025")</f>
        <v/>
      </c>
      <c r="Y80">
        <f>HYPERLINK("https://klasma.github.io/Logging_0188/tillsynsmail/A 4532-2025 tillsynsbegäran mail.docx", "A 4532-2025")</f>
        <v/>
      </c>
    </row>
    <row r="81" ht="15" customHeight="1">
      <c r="A81" t="inlineStr">
        <is>
          <t>A 14365-2025</t>
        </is>
      </c>
      <c r="B81" s="1" t="n">
        <v>45741.38688657407</v>
      </c>
      <c r="C81" s="1" t="n">
        <v>45940</v>
      </c>
      <c r="D81" t="inlineStr">
        <is>
          <t>STOCKHOLMS LÄN</t>
        </is>
      </c>
      <c r="E81" t="inlineStr">
        <is>
          <t>NORRTÄLJE</t>
        </is>
      </c>
      <c r="G81" t="n">
        <v>2.4</v>
      </c>
      <c r="H81" t="n">
        <v>0</v>
      </c>
      <c r="I81" t="n">
        <v>0</v>
      </c>
      <c r="J81" t="n">
        <v>1</v>
      </c>
      <c r="K81" t="n">
        <v>0</v>
      </c>
      <c r="L81" t="n">
        <v>0</v>
      </c>
      <c r="M81" t="n">
        <v>0</v>
      </c>
      <c r="N81" t="n">
        <v>0</v>
      </c>
      <c r="O81" t="n">
        <v>1</v>
      </c>
      <c r="P81" t="n">
        <v>0</v>
      </c>
      <c r="Q81" t="n">
        <v>1</v>
      </c>
      <c r="R81" s="2" t="inlineStr">
        <is>
          <t>Granticka</t>
        </is>
      </c>
      <c r="S81">
        <f>HYPERLINK("https://klasma.github.io/Logging_0188/artfynd/A 14365-2025 artfynd.xlsx", "A 14365-2025")</f>
        <v/>
      </c>
      <c r="T81">
        <f>HYPERLINK("https://klasma.github.io/Logging_0188/kartor/A 14365-2025 karta.png", "A 14365-2025")</f>
        <v/>
      </c>
      <c r="V81">
        <f>HYPERLINK("https://klasma.github.io/Logging_0188/klagomål/A 14365-2025 FSC-klagomål.docx", "A 14365-2025")</f>
        <v/>
      </c>
      <c r="W81">
        <f>HYPERLINK("https://klasma.github.io/Logging_0188/klagomålsmail/A 14365-2025 FSC-klagomål mail.docx", "A 14365-2025")</f>
        <v/>
      </c>
      <c r="X81">
        <f>HYPERLINK("https://klasma.github.io/Logging_0188/tillsyn/A 14365-2025 tillsynsbegäran.docx", "A 14365-2025")</f>
        <v/>
      </c>
      <c r="Y81">
        <f>HYPERLINK("https://klasma.github.io/Logging_0188/tillsynsmail/A 14365-2025 tillsynsbegäran mail.docx", "A 14365-2025")</f>
        <v/>
      </c>
    </row>
    <row r="82" ht="15" customHeight="1">
      <c r="A82" t="inlineStr">
        <is>
          <t>A 32111-2022</t>
        </is>
      </c>
      <c r="B82" s="1" t="n">
        <v>44778.92797453704</v>
      </c>
      <c r="C82" s="1" t="n">
        <v>45940</v>
      </c>
      <c r="D82" t="inlineStr">
        <is>
          <t>STOCKHOLMS LÄN</t>
        </is>
      </c>
      <c r="E82" t="inlineStr">
        <is>
          <t>NORRTÄLJE</t>
        </is>
      </c>
      <c r="G82" t="n">
        <v>3.1</v>
      </c>
      <c r="H82" t="n">
        <v>0</v>
      </c>
      <c r="I82" t="n">
        <v>0</v>
      </c>
      <c r="J82" t="n">
        <v>1</v>
      </c>
      <c r="K82" t="n">
        <v>0</v>
      </c>
      <c r="L82" t="n">
        <v>0</v>
      </c>
      <c r="M82" t="n">
        <v>0</v>
      </c>
      <c r="N82" t="n">
        <v>0</v>
      </c>
      <c r="O82" t="n">
        <v>1</v>
      </c>
      <c r="P82" t="n">
        <v>0</v>
      </c>
      <c r="Q82" t="n">
        <v>1</v>
      </c>
      <c r="R82" s="2" t="inlineStr">
        <is>
          <t>Orange taggsvamp</t>
        </is>
      </c>
      <c r="S82">
        <f>HYPERLINK("https://klasma.github.io/Logging_0188/artfynd/A 32111-2022 artfynd.xlsx", "A 32111-2022")</f>
        <v/>
      </c>
      <c r="T82">
        <f>HYPERLINK("https://klasma.github.io/Logging_0188/kartor/A 32111-2022 karta.png", "A 32111-2022")</f>
        <v/>
      </c>
      <c r="V82">
        <f>HYPERLINK("https://klasma.github.io/Logging_0188/klagomål/A 32111-2022 FSC-klagomål.docx", "A 32111-2022")</f>
        <v/>
      </c>
      <c r="W82">
        <f>HYPERLINK("https://klasma.github.io/Logging_0188/klagomålsmail/A 32111-2022 FSC-klagomål mail.docx", "A 32111-2022")</f>
        <v/>
      </c>
      <c r="X82">
        <f>HYPERLINK("https://klasma.github.io/Logging_0188/tillsyn/A 32111-2022 tillsynsbegäran.docx", "A 32111-2022")</f>
        <v/>
      </c>
      <c r="Y82">
        <f>HYPERLINK("https://klasma.github.io/Logging_0188/tillsynsmail/A 32111-2022 tillsynsbegäran mail.docx", "A 32111-2022")</f>
        <v/>
      </c>
    </row>
    <row r="83" ht="15" customHeight="1">
      <c r="A83" t="inlineStr">
        <is>
          <t>A 4385-2023</t>
        </is>
      </c>
      <c r="B83" s="1" t="n">
        <v>44955.71322916666</v>
      </c>
      <c r="C83" s="1" t="n">
        <v>45940</v>
      </c>
      <c r="D83" t="inlineStr">
        <is>
          <t>STOCKHOLMS LÄN</t>
        </is>
      </c>
      <c r="E83" t="inlineStr">
        <is>
          <t>NORRTÄLJE</t>
        </is>
      </c>
      <c r="G83" t="n">
        <v>7.8</v>
      </c>
      <c r="H83" t="n">
        <v>1</v>
      </c>
      <c r="I83" t="n">
        <v>1</v>
      </c>
      <c r="J83" t="n">
        <v>0</v>
      </c>
      <c r="K83" t="n">
        <v>0</v>
      </c>
      <c r="L83" t="n">
        <v>0</v>
      </c>
      <c r="M83" t="n">
        <v>0</v>
      </c>
      <c r="N83" t="n">
        <v>0</v>
      </c>
      <c r="O83" t="n">
        <v>0</v>
      </c>
      <c r="P83" t="n">
        <v>0</v>
      </c>
      <c r="Q83" t="n">
        <v>1</v>
      </c>
      <c r="R83" s="2" t="inlineStr">
        <is>
          <t>Skogsknipprot</t>
        </is>
      </c>
      <c r="S83">
        <f>HYPERLINK("https://klasma.github.io/Logging_0188/artfynd/A 4385-2023 artfynd.xlsx", "A 4385-2023")</f>
        <v/>
      </c>
      <c r="T83">
        <f>HYPERLINK("https://klasma.github.io/Logging_0188/kartor/A 4385-2023 karta.png", "A 4385-2023")</f>
        <v/>
      </c>
      <c r="V83">
        <f>HYPERLINK("https://klasma.github.io/Logging_0188/klagomål/A 4385-2023 FSC-klagomål.docx", "A 4385-2023")</f>
        <v/>
      </c>
      <c r="W83">
        <f>HYPERLINK("https://klasma.github.io/Logging_0188/klagomålsmail/A 4385-2023 FSC-klagomål mail.docx", "A 4385-2023")</f>
        <v/>
      </c>
      <c r="X83">
        <f>HYPERLINK("https://klasma.github.io/Logging_0188/tillsyn/A 4385-2023 tillsynsbegäran.docx", "A 4385-2023")</f>
        <v/>
      </c>
      <c r="Y83">
        <f>HYPERLINK("https://klasma.github.io/Logging_0188/tillsynsmail/A 4385-2023 tillsynsbegäran mail.docx", "A 4385-2023")</f>
        <v/>
      </c>
    </row>
    <row r="84" ht="15" customHeight="1">
      <c r="A84" t="inlineStr">
        <is>
          <t>A 9955-2022</t>
        </is>
      </c>
      <c r="B84" s="1" t="n">
        <v>44620</v>
      </c>
      <c r="C84" s="1" t="n">
        <v>45940</v>
      </c>
      <c r="D84" t="inlineStr">
        <is>
          <t>STOCKHOLMS LÄN</t>
        </is>
      </c>
      <c r="E84" t="inlineStr">
        <is>
          <t>NORRTÄLJE</t>
        </is>
      </c>
      <c r="G84" t="n">
        <v>7.8</v>
      </c>
      <c r="H84" t="n">
        <v>1</v>
      </c>
      <c r="I84" t="n">
        <v>0</v>
      </c>
      <c r="J84" t="n">
        <v>0</v>
      </c>
      <c r="K84" t="n">
        <v>0</v>
      </c>
      <c r="L84" t="n">
        <v>0</v>
      </c>
      <c r="M84" t="n">
        <v>0</v>
      </c>
      <c r="N84" t="n">
        <v>0</v>
      </c>
      <c r="O84" t="n">
        <v>0</v>
      </c>
      <c r="P84" t="n">
        <v>0</v>
      </c>
      <c r="Q84" t="n">
        <v>1</v>
      </c>
      <c r="R84" s="2" t="inlineStr">
        <is>
          <t>Åkergroda</t>
        </is>
      </c>
      <c r="S84">
        <f>HYPERLINK("https://klasma.github.io/Logging_0188/artfynd/A 9955-2022 artfynd.xlsx", "A 9955-2022")</f>
        <v/>
      </c>
      <c r="T84">
        <f>HYPERLINK("https://klasma.github.io/Logging_0188/kartor/A 9955-2022 karta.png", "A 9955-2022")</f>
        <v/>
      </c>
      <c r="V84">
        <f>HYPERLINK("https://klasma.github.io/Logging_0188/klagomål/A 9955-2022 FSC-klagomål.docx", "A 9955-2022")</f>
        <v/>
      </c>
      <c r="W84">
        <f>HYPERLINK("https://klasma.github.io/Logging_0188/klagomålsmail/A 9955-2022 FSC-klagomål mail.docx", "A 9955-2022")</f>
        <v/>
      </c>
      <c r="X84">
        <f>HYPERLINK("https://klasma.github.io/Logging_0188/tillsyn/A 9955-2022 tillsynsbegäran.docx", "A 9955-2022")</f>
        <v/>
      </c>
      <c r="Y84">
        <f>HYPERLINK("https://klasma.github.io/Logging_0188/tillsynsmail/A 9955-2022 tillsynsbegäran mail.docx", "A 9955-2022")</f>
        <v/>
      </c>
    </row>
    <row r="85" ht="15" customHeight="1">
      <c r="A85" t="inlineStr">
        <is>
          <t>A 4860-2022</t>
        </is>
      </c>
      <c r="B85" s="1" t="n">
        <v>44592</v>
      </c>
      <c r="C85" s="1" t="n">
        <v>45940</v>
      </c>
      <c r="D85" t="inlineStr">
        <is>
          <t>STOCKHOLMS LÄN</t>
        </is>
      </c>
      <c r="E85" t="inlineStr">
        <is>
          <t>NORRTÄLJE</t>
        </is>
      </c>
      <c r="G85" t="n">
        <v>22.3</v>
      </c>
      <c r="H85" t="n">
        <v>0</v>
      </c>
      <c r="I85" t="n">
        <v>0</v>
      </c>
      <c r="J85" t="n">
        <v>1</v>
      </c>
      <c r="K85" t="n">
        <v>0</v>
      </c>
      <c r="L85" t="n">
        <v>0</v>
      </c>
      <c r="M85" t="n">
        <v>0</v>
      </c>
      <c r="N85" t="n">
        <v>0</v>
      </c>
      <c r="O85" t="n">
        <v>1</v>
      </c>
      <c r="P85" t="n">
        <v>0</v>
      </c>
      <c r="Q85" t="n">
        <v>1</v>
      </c>
      <c r="R85" s="2" t="inlineStr">
        <is>
          <t>Igelkott</t>
        </is>
      </c>
      <c r="S85">
        <f>HYPERLINK("https://klasma.github.io/Logging_0188/artfynd/A 4860-2022 artfynd.xlsx", "A 4860-2022")</f>
        <v/>
      </c>
      <c r="T85">
        <f>HYPERLINK("https://klasma.github.io/Logging_0188/kartor/A 4860-2022 karta.png", "A 4860-2022")</f>
        <v/>
      </c>
      <c r="V85">
        <f>HYPERLINK("https://klasma.github.io/Logging_0188/klagomål/A 4860-2022 FSC-klagomål.docx", "A 4860-2022")</f>
        <v/>
      </c>
      <c r="W85">
        <f>HYPERLINK("https://klasma.github.io/Logging_0188/klagomålsmail/A 4860-2022 FSC-klagomål mail.docx", "A 4860-2022")</f>
        <v/>
      </c>
      <c r="X85">
        <f>HYPERLINK("https://klasma.github.io/Logging_0188/tillsyn/A 4860-2022 tillsynsbegäran.docx", "A 4860-2022")</f>
        <v/>
      </c>
      <c r="Y85">
        <f>HYPERLINK("https://klasma.github.io/Logging_0188/tillsynsmail/A 4860-2022 tillsynsbegäran mail.docx", "A 4860-2022")</f>
        <v/>
      </c>
    </row>
    <row r="86" ht="15" customHeight="1">
      <c r="A86" t="inlineStr">
        <is>
          <t>A 11429-2023</t>
        </is>
      </c>
      <c r="B86" s="1" t="n">
        <v>44993</v>
      </c>
      <c r="C86" s="1" t="n">
        <v>45940</v>
      </c>
      <c r="D86" t="inlineStr">
        <is>
          <t>STOCKHOLMS LÄN</t>
        </is>
      </c>
      <c r="E86" t="inlineStr">
        <is>
          <t>NORRTÄLJE</t>
        </is>
      </c>
      <c r="G86" t="n">
        <v>2</v>
      </c>
      <c r="H86" t="n">
        <v>0</v>
      </c>
      <c r="I86" t="n">
        <v>0</v>
      </c>
      <c r="J86" t="n">
        <v>1</v>
      </c>
      <c r="K86" t="n">
        <v>0</v>
      </c>
      <c r="L86" t="n">
        <v>0</v>
      </c>
      <c r="M86" t="n">
        <v>0</v>
      </c>
      <c r="N86" t="n">
        <v>0</v>
      </c>
      <c r="O86" t="n">
        <v>1</v>
      </c>
      <c r="P86" t="n">
        <v>0</v>
      </c>
      <c r="Q86" t="n">
        <v>1</v>
      </c>
      <c r="R86" s="2" t="inlineStr">
        <is>
          <t>Skogsklocka</t>
        </is>
      </c>
      <c r="S86">
        <f>HYPERLINK("https://klasma.github.io/Logging_0188/artfynd/A 11429-2023 artfynd.xlsx", "A 11429-2023")</f>
        <v/>
      </c>
      <c r="T86">
        <f>HYPERLINK("https://klasma.github.io/Logging_0188/kartor/A 11429-2023 karta.png", "A 11429-2023")</f>
        <v/>
      </c>
      <c r="V86">
        <f>HYPERLINK("https://klasma.github.io/Logging_0188/klagomål/A 11429-2023 FSC-klagomål.docx", "A 11429-2023")</f>
        <v/>
      </c>
      <c r="W86">
        <f>HYPERLINK("https://klasma.github.io/Logging_0188/klagomålsmail/A 11429-2023 FSC-klagomål mail.docx", "A 11429-2023")</f>
        <v/>
      </c>
      <c r="X86">
        <f>HYPERLINK("https://klasma.github.io/Logging_0188/tillsyn/A 11429-2023 tillsynsbegäran.docx", "A 11429-2023")</f>
        <v/>
      </c>
      <c r="Y86">
        <f>HYPERLINK("https://klasma.github.io/Logging_0188/tillsynsmail/A 11429-2023 tillsynsbegäran mail.docx", "A 11429-2023")</f>
        <v/>
      </c>
    </row>
    <row r="87" ht="15" customHeight="1">
      <c r="A87" t="inlineStr">
        <is>
          <t>A 50854-2022</t>
        </is>
      </c>
      <c r="B87" s="1" t="n">
        <v>44863</v>
      </c>
      <c r="C87" s="1" t="n">
        <v>45940</v>
      </c>
      <c r="D87" t="inlineStr">
        <is>
          <t>STOCKHOLMS LÄN</t>
        </is>
      </c>
      <c r="E87" t="inlineStr">
        <is>
          <t>NORRTÄLJE</t>
        </is>
      </c>
      <c r="G87" t="n">
        <v>2.9</v>
      </c>
      <c r="H87" t="n">
        <v>0</v>
      </c>
      <c r="I87" t="n">
        <v>1</v>
      </c>
      <c r="J87" t="n">
        <v>0</v>
      </c>
      <c r="K87" t="n">
        <v>0</v>
      </c>
      <c r="L87" t="n">
        <v>0</v>
      </c>
      <c r="M87" t="n">
        <v>0</v>
      </c>
      <c r="N87" t="n">
        <v>0</v>
      </c>
      <c r="O87" t="n">
        <v>0</v>
      </c>
      <c r="P87" t="n">
        <v>0</v>
      </c>
      <c r="Q87" t="n">
        <v>1</v>
      </c>
      <c r="R87" s="2" t="inlineStr">
        <is>
          <t>Tibast</t>
        </is>
      </c>
      <c r="S87">
        <f>HYPERLINK("https://klasma.github.io/Logging_0188/artfynd/A 50854-2022 artfynd.xlsx", "A 50854-2022")</f>
        <v/>
      </c>
      <c r="T87">
        <f>HYPERLINK("https://klasma.github.io/Logging_0188/kartor/A 50854-2022 karta.png", "A 50854-2022")</f>
        <v/>
      </c>
      <c r="V87">
        <f>HYPERLINK("https://klasma.github.io/Logging_0188/klagomål/A 50854-2022 FSC-klagomål.docx", "A 50854-2022")</f>
        <v/>
      </c>
      <c r="W87">
        <f>HYPERLINK("https://klasma.github.io/Logging_0188/klagomålsmail/A 50854-2022 FSC-klagomål mail.docx", "A 50854-2022")</f>
        <v/>
      </c>
      <c r="X87">
        <f>HYPERLINK("https://klasma.github.io/Logging_0188/tillsyn/A 50854-2022 tillsynsbegäran.docx", "A 50854-2022")</f>
        <v/>
      </c>
      <c r="Y87">
        <f>HYPERLINK("https://klasma.github.io/Logging_0188/tillsynsmail/A 50854-2022 tillsynsbegäran mail.docx", "A 50854-2022")</f>
        <v/>
      </c>
    </row>
    <row r="88" ht="15" customHeight="1">
      <c r="A88" t="inlineStr">
        <is>
          <t>A 19829-2022</t>
        </is>
      </c>
      <c r="B88" s="1" t="n">
        <v>44695.43527777777</v>
      </c>
      <c r="C88" s="1" t="n">
        <v>45940</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23905-2025</t>
        </is>
      </c>
      <c r="B89" s="1" t="n">
        <v>45794.63298611111</v>
      </c>
      <c r="C89" s="1" t="n">
        <v>45940</v>
      </c>
      <c r="D89" t="inlineStr">
        <is>
          <t>STOCKHOLMS LÄN</t>
        </is>
      </c>
      <c r="E89" t="inlineStr">
        <is>
          <t>NORRTÄLJE</t>
        </is>
      </c>
      <c r="G89" t="n">
        <v>8.4</v>
      </c>
      <c r="H89" t="n">
        <v>1</v>
      </c>
      <c r="I89" t="n">
        <v>0</v>
      </c>
      <c r="J89" t="n">
        <v>0</v>
      </c>
      <c r="K89" t="n">
        <v>0</v>
      </c>
      <c r="L89" t="n">
        <v>0</v>
      </c>
      <c r="M89" t="n">
        <v>0</v>
      </c>
      <c r="N89" t="n">
        <v>0</v>
      </c>
      <c r="O89" t="n">
        <v>0</v>
      </c>
      <c r="P89" t="n">
        <v>0</v>
      </c>
      <c r="Q89" t="n">
        <v>1</v>
      </c>
      <c r="R89" s="2" t="inlineStr">
        <is>
          <t>Blåsippa</t>
        </is>
      </c>
      <c r="S89">
        <f>HYPERLINK("https://klasma.github.io/Logging_0188/artfynd/A 23905-2025 artfynd.xlsx", "A 23905-2025")</f>
        <v/>
      </c>
      <c r="T89">
        <f>HYPERLINK("https://klasma.github.io/Logging_0188/kartor/A 23905-2025 karta.png", "A 23905-2025")</f>
        <v/>
      </c>
      <c r="V89">
        <f>HYPERLINK("https://klasma.github.io/Logging_0188/klagomål/A 23905-2025 FSC-klagomål.docx", "A 23905-2025")</f>
        <v/>
      </c>
      <c r="W89">
        <f>HYPERLINK("https://klasma.github.io/Logging_0188/klagomålsmail/A 23905-2025 FSC-klagomål mail.docx", "A 23905-2025")</f>
        <v/>
      </c>
      <c r="X89">
        <f>HYPERLINK("https://klasma.github.io/Logging_0188/tillsyn/A 23905-2025 tillsynsbegäran.docx", "A 23905-2025")</f>
        <v/>
      </c>
      <c r="Y89">
        <f>HYPERLINK("https://klasma.github.io/Logging_0188/tillsynsmail/A 23905-2025 tillsynsbegäran mail.docx", "A 23905-2025")</f>
        <v/>
      </c>
    </row>
    <row r="90" ht="15" customHeight="1">
      <c r="A90" t="inlineStr">
        <is>
          <t>A 25669-2025</t>
        </is>
      </c>
      <c r="B90" s="1" t="n">
        <v>45803.62766203703</v>
      </c>
      <c r="C90" s="1" t="n">
        <v>45940</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45940</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45940</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4595-2023</t>
        </is>
      </c>
      <c r="B93" s="1" t="n">
        <v>44956</v>
      </c>
      <c r="C93" s="1" t="n">
        <v>45940</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26120-2024</t>
        </is>
      </c>
      <c r="B94" s="1" t="n">
        <v>45468.45995370371</v>
      </c>
      <c r="C94" s="1" t="n">
        <v>45940</v>
      </c>
      <c r="D94" t="inlineStr">
        <is>
          <t>STOCKHOLMS LÄN</t>
        </is>
      </c>
      <c r="E94" t="inlineStr">
        <is>
          <t>NORRTÄLJE</t>
        </is>
      </c>
      <c r="G94" t="n">
        <v>1.8</v>
      </c>
      <c r="H94" t="n">
        <v>0</v>
      </c>
      <c r="I94" t="n">
        <v>0</v>
      </c>
      <c r="J94" t="n">
        <v>1</v>
      </c>
      <c r="K94" t="n">
        <v>0</v>
      </c>
      <c r="L94" t="n">
        <v>0</v>
      </c>
      <c r="M94" t="n">
        <v>0</v>
      </c>
      <c r="N94" t="n">
        <v>0</v>
      </c>
      <c r="O94" t="n">
        <v>1</v>
      </c>
      <c r="P94" t="n">
        <v>0</v>
      </c>
      <c r="Q94" t="n">
        <v>1</v>
      </c>
      <c r="R94" s="2" t="inlineStr">
        <is>
          <t>Majviva</t>
        </is>
      </c>
      <c r="S94">
        <f>HYPERLINK("https://klasma.github.io/Logging_0188/artfynd/A 26120-2024 artfynd.xlsx", "A 26120-2024")</f>
        <v/>
      </c>
      <c r="T94">
        <f>HYPERLINK("https://klasma.github.io/Logging_0188/kartor/A 26120-2024 karta.png", "A 26120-2024")</f>
        <v/>
      </c>
      <c r="V94">
        <f>HYPERLINK("https://klasma.github.io/Logging_0188/klagomål/A 26120-2024 FSC-klagomål.docx", "A 26120-2024")</f>
        <v/>
      </c>
      <c r="W94">
        <f>HYPERLINK("https://klasma.github.io/Logging_0188/klagomålsmail/A 26120-2024 FSC-klagomål mail.docx", "A 26120-2024")</f>
        <v/>
      </c>
      <c r="X94">
        <f>HYPERLINK("https://klasma.github.io/Logging_0188/tillsyn/A 26120-2024 tillsynsbegäran.docx", "A 26120-2024")</f>
        <v/>
      </c>
      <c r="Y94">
        <f>HYPERLINK("https://klasma.github.io/Logging_0188/tillsynsmail/A 26120-2024 tillsynsbegäran mail.docx", "A 26120-2024")</f>
        <v/>
      </c>
    </row>
    <row r="95" ht="15" customHeight="1">
      <c r="A95" t="inlineStr">
        <is>
          <t>A 35649-2023</t>
        </is>
      </c>
      <c r="B95" s="1" t="n">
        <v>45146</v>
      </c>
      <c r="C95" s="1" t="n">
        <v>45940</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64456-2023</t>
        </is>
      </c>
      <c r="B96" s="1" t="n">
        <v>45280</v>
      </c>
      <c r="C96" s="1" t="n">
        <v>45940</v>
      </c>
      <c r="D96" t="inlineStr">
        <is>
          <t>STOCKHOLMS LÄN</t>
        </is>
      </c>
      <c r="E96" t="inlineStr">
        <is>
          <t>NORRTÄLJE</t>
        </is>
      </c>
      <c r="G96" t="n">
        <v>2.5</v>
      </c>
      <c r="H96" t="n">
        <v>0</v>
      </c>
      <c r="I96" t="n">
        <v>1</v>
      </c>
      <c r="J96" t="n">
        <v>0</v>
      </c>
      <c r="K96" t="n">
        <v>0</v>
      </c>
      <c r="L96" t="n">
        <v>0</v>
      </c>
      <c r="M96" t="n">
        <v>0</v>
      </c>
      <c r="N96" t="n">
        <v>0</v>
      </c>
      <c r="O96" t="n">
        <v>0</v>
      </c>
      <c r="P96" t="n">
        <v>0</v>
      </c>
      <c r="Q96" t="n">
        <v>1</v>
      </c>
      <c r="R96" s="2" t="inlineStr">
        <is>
          <t>Rödgul trumpetsvamp</t>
        </is>
      </c>
      <c r="S96">
        <f>HYPERLINK("https://klasma.github.io/Logging_0188/artfynd/A 64456-2023 artfynd.xlsx", "A 64456-2023")</f>
        <v/>
      </c>
      <c r="T96">
        <f>HYPERLINK("https://klasma.github.io/Logging_0188/kartor/A 64456-2023 karta.png", "A 64456-2023")</f>
        <v/>
      </c>
      <c r="V96">
        <f>HYPERLINK("https://klasma.github.io/Logging_0188/klagomål/A 64456-2023 FSC-klagomål.docx", "A 64456-2023")</f>
        <v/>
      </c>
      <c r="W96">
        <f>HYPERLINK("https://klasma.github.io/Logging_0188/klagomålsmail/A 64456-2023 FSC-klagomål mail.docx", "A 64456-2023")</f>
        <v/>
      </c>
      <c r="X96">
        <f>HYPERLINK("https://klasma.github.io/Logging_0188/tillsyn/A 64456-2023 tillsynsbegäran.docx", "A 64456-2023")</f>
        <v/>
      </c>
      <c r="Y96">
        <f>HYPERLINK("https://klasma.github.io/Logging_0188/tillsynsmail/A 64456-2023 tillsynsbegäran mail.docx", "A 64456-2023")</f>
        <v/>
      </c>
    </row>
    <row r="97" ht="15" customHeight="1">
      <c r="A97" t="inlineStr">
        <is>
          <t>A 6381-2023</t>
        </is>
      </c>
      <c r="B97" s="1" t="n">
        <v>44965</v>
      </c>
      <c r="C97" s="1" t="n">
        <v>45940</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29946-2025</t>
        </is>
      </c>
      <c r="B98" s="1" t="n">
        <v>45826.46392361111</v>
      </c>
      <c r="C98" s="1" t="n">
        <v>45940</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52508-2023</t>
        </is>
      </c>
      <c r="B99" s="1" t="n">
        <v>45225</v>
      </c>
      <c r="C99" s="1" t="n">
        <v>45940</v>
      </c>
      <c r="D99" t="inlineStr">
        <is>
          <t>STOCKHOLMS LÄN</t>
        </is>
      </c>
      <c r="E99" t="inlineStr">
        <is>
          <t>NORRTÄLJE</t>
        </is>
      </c>
      <c r="G99" t="n">
        <v>19.7</v>
      </c>
      <c r="H99" t="n">
        <v>1</v>
      </c>
      <c r="I99" t="n">
        <v>0</v>
      </c>
      <c r="J99" t="n">
        <v>0</v>
      </c>
      <c r="K99" t="n">
        <v>1</v>
      </c>
      <c r="L99" t="n">
        <v>0</v>
      </c>
      <c r="M99" t="n">
        <v>0</v>
      </c>
      <c r="N99" t="n">
        <v>0</v>
      </c>
      <c r="O99" t="n">
        <v>1</v>
      </c>
      <c r="P99" t="n">
        <v>1</v>
      </c>
      <c r="Q99" t="n">
        <v>1</v>
      </c>
      <c r="R99" s="2" t="inlineStr">
        <is>
          <t>Svärta</t>
        </is>
      </c>
      <c r="S99">
        <f>HYPERLINK("https://klasma.github.io/Logging_0188/artfynd/A 52508-2023 artfynd.xlsx", "A 52508-2023")</f>
        <v/>
      </c>
      <c r="T99">
        <f>HYPERLINK("https://klasma.github.io/Logging_0188/kartor/A 52508-2023 karta.png", "A 52508-2023")</f>
        <v/>
      </c>
      <c r="V99">
        <f>HYPERLINK("https://klasma.github.io/Logging_0188/klagomål/A 52508-2023 FSC-klagomål.docx", "A 52508-2023")</f>
        <v/>
      </c>
      <c r="W99">
        <f>HYPERLINK("https://klasma.github.io/Logging_0188/klagomålsmail/A 52508-2023 FSC-klagomål mail.docx", "A 52508-2023")</f>
        <v/>
      </c>
      <c r="X99">
        <f>HYPERLINK("https://klasma.github.io/Logging_0188/tillsyn/A 52508-2023 tillsynsbegäran.docx", "A 52508-2023")</f>
        <v/>
      </c>
      <c r="Y99">
        <f>HYPERLINK("https://klasma.github.io/Logging_0188/tillsynsmail/A 52508-2023 tillsynsbegäran mail.docx", "A 52508-2023")</f>
        <v/>
      </c>
    </row>
    <row r="100" ht="15" customHeight="1">
      <c r="A100" t="inlineStr">
        <is>
          <t>A 24330-2023</t>
        </is>
      </c>
      <c r="B100" s="1" t="n">
        <v>45081</v>
      </c>
      <c r="C100" s="1" t="n">
        <v>45940</v>
      </c>
      <c r="D100" t="inlineStr">
        <is>
          <t>STOCKHOLMS LÄN</t>
        </is>
      </c>
      <c r="E100" t="inlineStr">
        <is>
          <t>NORRTÄLJE</t>
        </is>
      </c>
      <c r="G100" t="n">
        <v>5</v>
      </c>
      <c r="H100" t="n">
        <v>1</v>
      </c>
      <c r="I100" t="n">
        <v>0</v>
      </c>
      <c r="J100" t="n">
        <v>1</v>
      </c>
      <c r="K100" t="n">
        <v>0</v>
      </c>
      <c r="L100" t="n">
        <v>0</v>
      </c>
      <c r="M100" t="n">
        <v>0</v>
      </c>
      <c r="N100" t="n">
        <v>0</v>
      </c>
      <c r="O100" t="n">
        <v>1</v>
      </c>
      <c r="P100" t="n">
        <v>0</v>
      </c>
      <c r="Q100" t="n">
        <v>1</v>
      </c>
      <c r="R100" s="2" t="inlineStr">
        <is>
          <t>Mindre hackspett</t>
        </is>
      </c>
      <c r="S100">
        <f>HYPERLINK("https://klasma.github.io/Logging_0188/artfynd/A 24330-2023 artfynd.xlsx", "A 24330-2023")</f>
        <v/>
      </c>
      <c r="T100">
        <f>HYPERLINK("https://klasma.github.io/Logging_0188/kartor/A 24330-2023 karta.png", "A 24330-2023")</f>
        <v/>
      </c>
      <c r="V100">
        <f>HYPERLINK("https://klasma.github.io/Logging_0188/klagomål/A 24330-2023 FSC-klagomål.docx", "A 24330-2023")</f>
        <v/>
      </c>
      <c r="W100">
        <f>HYPERLINK("https://klasma.github.io/Logging_0188/klagomålsmail/A 24330-2023 FSC-klagomål mail.docx", "A 24330-2023")</f>
        <v/>
      </c>
      <c r="X100">
        <f>HYPERLINK("https://klasma.github.io/Logging_0188/tillsyn/A 24330-2023 tillsynsbegäran.docx", "A 24330-2023")</f>
        <v/>
      </c>
      <c r="Y100">
        <f>HYPERLINK("https://klasma.github.io/Logging_0188/tillsynsmail/A 24330-2023 tillsynsbegäran mail.docx", "A 24330-2023")</f>
        <v/>
      </c>
      <c r="Z100">
        <f>HYPERLINK("https://klasma.github.io/Logging_0188/fåglar/A 24330-2023 prioriterade fågelarter.docx", "A 24330-2023")</f>
        <v/>
      </c>
    </row>
    <row r="101" ht="15" customHeight="1">
      <c r="A101" t="inlineStr">
        <is>
          <t>A 21744-2023</t>
        </is>
      </c>
      <c r="B101" s="1" t="n">
        <v>45065</v>
      </c>
      <c r="C101" s="1" t="n">
        <v>45940</v>
      </c>
      <c r="D101" t="inlineStr">
        <is>
          <t>STOCKHOLMS LÄN</t>
        </is>
      </c>
      <c r="E101" t="inlineStr">
        <is>
          <t>NORRTÄLJE</t>
        </is>
      </c>
      <c r="F101" t="inlineStr">
        <is>
          <t>Holmen skog AB</t>
        </is>
      </c>
      <c r="G101" t="n">
        <v>4.2</v>
      </c>
      <c r="H101" t="n">
        <v>0</v>
      </c>
      <c r="I101" t="n">
        <v>1</v>
      </c>
      <c r="J101" t="n">
        <v>0</v>
      </c>
      <c r="K101" t="n">
        <v>0</v>
      </c>
      <c r="L101" t="n">
        <v>0</v>
      </c>
      <c r="M101" t="n">
        <v>0</v>
      </c>
      <c r="N101" t="n">
        <v>0</v>
      </c>
      <c r="O101" t="n">
        <v>0</v>
      </c>
      <c r="P101" t="n">
        <v>0</v>
      </c>
      <c r="Q101" t="n">
        <v>1</v>
      </c>
      <c r="R101" s="2" t="inlineStr">
        <is>
          <t>Korallblylav</t>
        </is>
      </c>
      <c r="S101">
        <f>HYPERLINK("https://klasma.github.io/Logging_0188/artfynd/A 21744-2023 artfynd.xlsx", "A 21744-2023")</f>
        <v/>
      </c>
      <c r="T101">
        <f>HYPERLINK("https://klasma.github.io/Logging_0188/kartor/A 21744-2023 karta.png", "A 21744-2023")</f>
        <v/>
      </c>
      <c r="V101">
        <f>HYPERLINK("https://klasma.github.io/Logging_0188/klagomål/A 21744-2023 FSC-klagomål.docx", "A 21744-2023")</f>
        <v/>
      </c>
      <c r="W101">
        <f>HYPERLINK("https://klasma.github.io/Logging_0188/klagomålsmail/A 21744-2023 FSC-klagomål mail.docx", "A 21744-2023")</f>
        <v/>
      </c>
      <c r="X101">
        <f>HYPERLINK("https://klasma.github.io/Logging_0188/tillsyn/A 21744-2023 tillsynsbegäran.docx", "A 21744-2023")</f>
        <v/>
      </c>
      <c r="Y101">
        <f>HYPERLINK("https://klasma.github.io/Logging_0188/tillsynsmail/A 21744-2023 tillsynsbegäran mail.docx", "A 21744-2023")</f>
        <v/>
      </c>
    </row>
    <row r="102" ht="15" customHeight="1">
      <c r="A102" t="inlineStr">
        <is>
          <t>A 1162-2021</t>
        </is>
      </c>
      <c r="B102" s="1" t="n">
        <v>44207</v>
      </c>
      <c r="C102" s="1" t="n">
        <v>45940</v>
      </c>
      <c r="D102" t="inlineStr">
        <is>
          <t>STOCKHOLMS LÄN</t>
        </is>
      </c>
      <c r="E102" t="inlineStr">
        <is>
          <t>NORRTÄLJE</t>
        </is>
      </c>
      <c r="G102" t="n">
        <v>2.2</v>
      </c>
      <c r="H102" t="n">
        <v>1</v>
      </c>
      <c r="I102" t="n">
        <v>0</v>
      </c>
      <c r="J102" t="n">
        <v>0</v>
      </c>
      <c r="K102" t="n">
        <v>1</v>
      </c>
      <c r="L102" t="n">
        <v>0</v>
      </c>
      <c r="M102" t="n">
        <v>0</v>
      </c>
      <c r="N102" t="n">
        <v>0</v>
      </c>
      <c r="O102" t="n">
        <v>1</v>
      </c>
      <c r="P102" t="n">
        <v>1</v>
      </c>
      <c r="Q102" t="n">
        <v>1</v>
      </c>
      <c r="R102" s="2" t="inlineStr">
        <is>
          <t>Hällebräcka</t>
        </is>
      </c>
      <c r="S102">
        <f>HYPERLINK("https://klasma.github.io/Logging_0188/artfynd/A 1162-2021 artfynd.xlsx", "A 1162-2021")</f>
        <v/>
      </c>
      <c r="T102">
        <f>HYPERLINK("https://klasma.github.io/Logging_0188/kartor/A 1162-2021 karta.png", "A 1162-2021")</f>
        <v/>
      </c>
      <c r="V102">
        <f>HYPERLINK("https://klasma.github.io/Logging_0188/klagomål/A 1162-2021 FSC-klagomål.docx", "A 1162-2021")</f>
        <v/>
      </c>
      <c r="W102">
        <f>HYPERLINK("https://klasma.github.io/Logging_0188/klagomålsmail/A 1162-2021 FSC-klagomål mail.docx", "A 1162-2021")</f>
        <v/>
      </c>
      <c r="X102">
        <f>HYPERLINK("https://klasma.github.io/Logging_0188/tillsyn/A 1162-2021 tillsynsbegäran.docx", "A 1162-2021")</f>
        <v/>
      </c>
      <c r="Y102">
        <f>HYPERLINK("https://klasma.github.io/Logging_0188/tillsynsmail/A 1162-2021 tillsynsbegäran mail.docx", "A 1162-2021")</f>
        <v/>
      </c>
    </row>
    <row r="103" ht="15" customHeight="1">
      <c r="A103" t="inlineStr">
        <is>
          <t>A 52611-2024</t>
        </is>
      </c>
      <c r="B103" s="1" t="n">
        <v>45609.83747685186</v>
      </c>
      <c r="C103" s="1" t="n">
        <v>45940</v>
      </c>
      <c r="D103" t="inlineStr">
        <is>
          <t>STOCKHOLMS LÄN</t>
        </is>
      </c>
      <c r="E103" t="inlineStr">
        <is>
          <t>NORRTÄLJE</t>
        </is>
      </c>
      <c r="G103" t="n">
        <v>10.6</v>
      </c>
      <c r="H103" t="n">
        <v>1</v>
      </c>
      <c r="I103" t="n">
        <v>0</v>
      </c>
      <c r="J103" t="n">
        <v>0</v>
      </c>
      <c r="K103" t="n">
        <v>0</v>
      </c>
      <c r="L103" t="n">
        <v>0</v>
      </c>
      <c r="M103" t="n">
        <v>0</v>
      </c>
      <c r="N103" t="n">
        <v>0</v>
      </c>
      <c r="O103" t="n">
        <v>0</v>
      </c>
      <c r="P103" t="n">
        <v>0</v>
      </c>
      <c r="Q103" t="n">
        <v>1</v>
      </c>
      <c r="R103" s="2" t="inlineStr">
        <is>
          <t>Blåsippa</t>
        </is>
      </c>
      <c r="S103">
        <f>HYPERLINK("https://klasma.github.io/Logging_0188/artfynd/A 52611-2024 artfynd.xlsx", "A 52611-2024")</f>
        <v/>
      </c>
      <c r="T103">
        <f>HYPERLINK("https://klasma.github.io/Logging_0188/kartor/A 52611-2024 karta.png", "A 52611-2024")</f>
        <v/>
      </c>
      <c r="V103">
        <f>HYPERLINK("https://klasma.github.io/Logging_0188/klagomål/A 52611-2024 FSC-klagomål.docx", "A 52611-2024")</f>
        <v/>
      </c>
      <c r="W103">
        <f>HYPERLINK("https://klasma.github.io/Logging_0188/klagomålsmail/A 52611-2024 FSC-klagomål mail.docx", "A 52611-2024")</f>
        <v/>
      </c>
      <c r="X103">
        <f>HYPERLINK("https://klasma.github.io/Logging_0188/tillsyn/A 52611-2024 tillsynsbegäran.docx", "A 52611-2024")</f>
        <v/>
      </c>
      <c r="Y103">
        <f>HYPERLINK("https://klasma.github.io/Logging_0188/tillsynsmail/A 52611-2024 tillsynsbegäran mail.docx", "A 52611-2024")</f>
        <v/>
      </c>
    </row>
    <row r="104" ht="15" customHeight="1">
      <c r="A104" t="inlineStr">
        <is>
          <t>A 17952-2022</t>
        </is>
      </c>
      <c r="B104" s="1" t="n">
        <v>44683</v>
      </c>
      <c r="C104" s="1" t="n">
        <v>45940</v>
      </c>
      <c r="D104" t="inlineStr">
        <is>
          <t>STOCKHOLMS LÄN</t>
        </is>
      </c>
      <c r="E104" t="inlineStr">
        <is>
          <t>NORRTÄLJE</t>
        </is>
      </c>
      <c r="G104" t="n">
        <v>51.1</v>
      </c>
      <c r="H104" t="n">
        <v>0</v>
      </c>
      <c r="I104" t="n">
        <v>0</v>
      </c>
      <c r="J104" t="n">
        <v>0</v>
      </c>
      <c r="K104" t="n">
        <v>1</v>
      </c>
      <c r="L104" t="n">
        <v>0</v>
      </c>
      <c r="M104" t="n">
        <v>0</v>
      </c>
      <c r="N104" t="n">
        <v>0</v>
      </c>
      <c r="O104" t="n">
        <v>1</v>
      </c>
      <c r="P104" t="n">
        <v>1</v>
      </c>
      <c r="Q104" t="n">
        <v>1</v>
      </c>
      <c r="R104" s="2" t="inlineStr">
        <is>
          <t>Kattunvisslare</t>
        </is>
      </c>
      <c r="S104">
        <f>HYPERLINK("https://klasma.github.io/Logging_0188/artfynd/A 17952-2022 artfynd.xlsx", "A 17952-2022")</f>
        <v/>
      </c>
      <c r="T104">
        <f>HYPERLINK("https://klasma.github.io/Logging_0188/kartor/A 17952-2022 karta.png", "A 17952-2022")</f>
        <v/>
      </c>
      <c r="V104">
        <f>HYPERLINK("https://klasma.github.io/Logging_0188/klagomål/A 17952-2022 FSC-klagomål.docx", "A 17952-2022")</f>
        <v/>
      </c>
      <c r="W104">
        <f>HYPERLINK("https://klasma.github.io/Logging_0188/klagomålsmail/A 17952-2022 FSC-klagomål mail.docx", "A 17952-2022")</f>
        <v/>
      </c>
      <c r="X104">
        <f>HYPERLINK("https://klasma.github.io/Logging_0188/tillsyn/A 17952-2022 tillsynsbegäran.docx", "A 17952-2022")</f>
        <v/>
      </c>
      <c r="Y104">
        <f>HYPERLINK("https://klasma.github.io/Logging_0188/tillsynsmail/A 17952-2022 tillsynsbegäran mail.docx", "A 17952-2022")</f>
        <v/>
      </c>
    </row>
    <row r="105" ht="15" customHeight="1">
      <c r="A105" t="inlineStr">
        <is>
          <t>A 33548-2025</t>
        </is>
      </c>
      <c r="B105" s="1" t="n">
        <v>45841.5721875</v>
      </c>
      <c r="C105" s="1" t="n">
        <v>45940</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45940</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13271-2025</t>
        </is>
      </c>
      <c r="B107" s="1" t="n">
        <v>45735.54510416667</v>
      </c>
      <c r="C107" s="1" t="n">
        <v>45940</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39158-2025</t>
        </is>
      </c>
      <c r="B108" s="1" t="n">
        <v>45888.62712962963</v>
      </c>
      <c r="C108" s="1" t="n">
        <v>45940</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27827-2022</t>
        </is>
      </c>
      <c r="B109" s="1" t="n">
        <v>44743.59504629629</v>
      </c>
      <c r="C109" s="1" t="n">
        <v>45940</v>
      </c>
      <c r="D109" t="inlineStr">
        <is>
          <t>STOCKHOLMS LÄN</t>
        </is>
      </c>
      <c r="E109" t="inlineStr">
        <is>
          <t>NORRTÄLJE</t>
        </is>
      </c>
      <c r="F109" t="inlineStr">
        <is>
          <t>Holmen skog AB</t>
        </is>
      </c>
      <c r="G109" t="n">
        <v>4.7</v>
      </c>
      <c r="H109" t="n">
        <v>1</v>
      </c>
      <c r="I109" t="n">
        <v>0</v>
      </c>
      <c r="J109" t="n">
        <v>1</v>
      </c>
      <c r="K109" t="n">
        <v>0</v>
      </c>
      <c r="L109" t="n">
        <v>0</v>
      </c>
      <c r="M109" t="n">
        <v>0</v>
      </c>
      <c r="N109" t="n">
        <v>0</v>
      </c>
      <c r="O109" t="n">
        <v>1</v>
      </c>
      <c r="P109" t="n">
        <v>0</v>
      </c>
      <c r="Q109" t="n">
        <v>1</v>
      </c>
      <c r="R109" s="2" t="inlineStr">
        <is>
          <t>Nordfladdermus</t>
        </is>
      </c>
      <c r="S109">
        <f>HYPERLINK("https://klasma.github.io/Logging_0188/artfynd/A 27827-2022 artfynd.xlsx", "A 27827-2022")</f>
        <v/>
      </c>
      <c r="T109">
        <f>HYPERLINK("https://klasma.github.io/Logging_0188/kartor/A 27827-2022 karta.png", "A 27827-2022")</f>
        <v/>
      </c>
      <c r="V109">
        <f>HYPERLINK("https://klasma.github.io/Logging_0188/klagomål/A 27827-2022 FSC-klagomål.docx", "A 27827-2022")</f>
        <v/>
      </c>
      <c r="W109">
        <f>HYPERLINK("https://klasma.github.io/Logging_0188/klagomålsmail/A 27827-2022 FSC-klagomål mail.docx", "A 27827-2022")</f>
        <v/>
      </c>
      <c r="X109">
        <f>HYPERLINK("https://klasma.github.io/Logging_0188/tillsyn/A 27827-2022 tillsynsbegäran.docx", "A 27827-2022")</f>
        <v/>
      </c>
      <c r="Y109">
        <f>HYPERLINK("https://klasma.github.io/Logging_0188/tillsynsmail/A 27827-2022 tillsynsbegäran mail.docx", "A 27827-2022")</f>
        <v/>
      </c>
    </row>
    <row r="110" ht="15" customHeight="1">
      <c r="A110" t="inlineStr">
        <is>
          <t>A 23146-2024</t>
        </is>
      </c>
      <c r="B110" s="1" t="n">
        <v>45450.63958333333</v>
      </c>
      <c r="C110" s="1" t="n">
        <v>45940</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42313-2025</t>
        </is>
      </c>
      <c r="B111" s="1" t="n">
        <v>45904.6575</v>
      </c>
      <c r="C111" s="1" t="n">
        <v>45940</v>
      </c>
      <c r="D111" t="inlineStr">
        <is>
          <t>STOCKHOLMS LÄN</t>
        </is>
      </c>
      <c r="E111" t="inlineStr">
        <is>
          <t>NORRTÄLJE</t>
        </is>
      </c>
      <c r="G111" t="n">
        <v>1.7</v>
      </c>
      <c r="H111" t="n">
        <v>1</v>
      </c>
      <c r="I111" t="n">
        <v>0</v>
      </c>
      <c r="J111" t="n">
        <v>0</v>
      </c>
      <c r="K111" t="n">
        <v>0</v>
      </c>
      <c r="L111" t="n">
        <v>0</v>
      </c>
      <c r="M111" t="n">
        <v>0</v>
      </c>
      <c r="N111" t="n">
        <v>0</v>
      </c>
      <c r="O111" t="n">
        <v>0</v>
      </c>
      <c r="P111" t="n">
        <v>0</v>
      </c>
      <c r="Q111" t="n">
        <v>1</v>
      </c>
      <c r="R111" s="2" t="inlineStr">
        <is>
          <t>Vanlig padda</t>
        </is>
      </c>
      <c r="S111">
        <f>HYPERLINK("https://klasma.github.io/Logging_0188/artfynd/A 42313-2025 artfynd.xlsx", "A 42313-2025")</f>
        <v/>
      </c>
      <c r="T111">
        <f>HYPERLINK("https://klasma.github.io/Logging_0188/kartor/A 42313-2025 karta.png", "A 42313-2025")</f>
        <v/>
      </c>
      <c r="V111">
        <f>HYPERLINK("https://klasma.github.io/Logging_0188/klagomål/A 42313-2025 FSC-klagomål.docx", "A 42313-2025")</f>
        <v/>
      </c>
      <c r="W111">
        <f>HYPERLINK("https://klasma.github.io/Logging_0188/klagomålsmail/A 42313-2025 FSC-klagomål mail.docx", "A 42313-2025")</f>
        <v/>
      </c>
      <c r="X111">
        <f>HYPERLINK("https://klasma.github.io/Logging_0188/tillsyn/A 42313-2025 tillsynsbegäran.docx", "A 42313-2025")</f>
        <v/>
      </c>
      <c r="Y111">
        <f>HYPERLINK("https://klasma.github.io/Logging_0188/tillsynsmail/A 42313-2025 tillsynsbegäran mail.docx", "A 42313-2025")</f>
        <v/>
      </c>
    </row>
    <row r="112" ht="15" customHeight="1">
      <c r="A112" t="inlineStr">
        <is>
          <t>A 27538-2024</t>
        </is>
      </c>
      <c r="B112" s="1" t="n">
        <v>45474</v>
      </c>
      <c r="C112" s="1" t="n">
        <v>45940</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48131-2023</t>
        </is>
      </c>
      <c r="B113" s="1" t="n">
        <v>45205</v>
      </c>
      <c r="C113" s="1" t="n">
        <v>45940</v>
      </c>
      <c r="D113" t="inlineStr">
        <is>
          <t>STOCKHOLMS LÄN</t>
        </is>
      </c>
      <c r="E113" t="inlineStr">
        <is>
          <t>NORRTÄLJE</t>
        </is>
      </c>
      <c r="G113" t="n">
        <v>2.3</v>
      </c>
      <c r="H113" t="n">
        <v>0</v>
      </c>
      <c r="I113" t="n">
        <v>0</v>
      </c>
      <c r="J113" t="n">
        <v>1</v>
      </c>
      <c r="K113" t="n">
        <v>0</v>
      </c>
      <c r="L113" t="n">
        <v>0</v>
      </c>
      <c r="M113" t="n">
        <v>0</v>
      </c>
      <c r="N113" t="n">
        <v>0</v>
      </c>
      <c r="O113" t="n">
        <v>1</v>
      </c>
      <c r="P113" t="n">
        <v>0</v>
      </c>
      <c r="Q113" t="n">
        <v>1</v>
      </c>
      <c r="R113" s="2" t="inlineStr">
        <is>
          <t>Slåtterfibbla</t>
        </is>
      </c>
      <c r="S113">
        <f>HYPERLINK("https://klasma.github.io/Logging_0188/artfynd/A 48131-2023 artfynd.xlsx", "A 48131-2023")</f>
        <v/>
      </c>
      <c r="T113">
        <f>HYPERLINK("https://klasma.github.io/Logging_0188/kartor/A 48131-2023 karta.png", "A 48131-2023")</f>
        <v/>
      </c>
      <c r="V113">
        <f>HYPERLINK("https://klasma.github.io/Logging_0188/klagomål/A 48131-2023 FSC-klagomål.docx", "A 48131-2023")</f>
        <v/>
      </c>
      <c r="W113">
        <f>HYPERLINK("https://klasma.github.io/Logging_0188/klagomålsmail/A 48131-2023 FSC-klagomål mail.docx", "A 48131-2023")</f>
        <v/>
      </c>
      <c r="X113">
        <f>HYPERLINK("https://klasma.github.io/Logging_0188/tillsyn/A 48131-2023 tillsynsbegäran.docx", "A 48131-2023")</f>
        <v/>
      </c>
      <c r="Y113">
        <f>HYPERLINK("https://klasma.github.io/Logging_0188/tillsynsmail/A 48131-2023 tillsynsbegäran mail.docx", "A 48131-2023")</f>
        <v/>
      </c>
    </row>
    <row r="114" ht="15" customHeight="1">
      <c r="A114" t="inlineStr">
        <is>
          <t>A 40861-2025</t>
        </is>
      </c>
      <c r="B114" s="1" t="n">
        <v>45897.56356481482</v>
      </c>
      <c r="C114" s="1" t="n">
        <v>45940</v>
      </c>
      <c r="D114" t="inlineStr">
        <is>
          <t>STOCKHOLMS LÄN</t>
        </is>
      </c>
      <c r="E114" t="inlineStr">
        <is>
          <t>NORRTÄLJE</t>
        </is>
      </c>
      <c r="G114" t="n">
        <v>4</v>
      </c>
      <c r="H114" t="n">
        <v>0</v>
      </c>
      <c r="I114" t="n">
        <v>0</v>
      </c>
      <c r="J114" t="n">
        <v>1</v>
      </c>
      <c r="K114" t="n">
        <v>0</v>
      </c>
      <c r="L114" t="n">
        <v>0</v>
      </c>
      <c r="M114" t="n">
        <v>0</v>
      </c>
      <c r="N114" t="n">
        <v>0</v>
      </c>
      <c r="O114" t="n">
        <v>1</v>
      </c>
      <c r="P114" t="n">
        <v>0</v>
      </c>
      <c r="Q114" t="n">
        <v>1</v>
      </c>
      <c r="R114" s="2" t="inlineStr">
        <is>
          <t>Skogsklocka</t>
        </is>
      </c>
      <c r="S114">
        <f>HYPERLINK("https://klasma.github.io/Logging_0188/artfynd/A 40861-2025 artfynd.xlsx", "A 40861-2025")</f>
        <v/>
      </c>
      <c r="T114">
        <f>HYPERLINK("https://klasma.github.io/Logging_0188/kartor/A 40861-2025 karta.png", "A 40861-2025")</f>
        <v/>
      </c>
      <c r="V114">
        <f>HYPERLINK("https://klasma.github.io/Logging_0188/klagomål/A 40861-2025 FSC-klagomål.docx", "A 40861-2025")</f>
        <v/>
      </c>
      <c r="W114">
        <f>HYPERLINK("https://klasma.github.io/Logging_0188/klagomålsmail/A 40861-2025 FSC-klagomål mail.docx", "A 40861-2025")</f>
        <v/>
      </c>
      <c r="X114">
        <f>HYPERLINK("https://klasma.github.io/Logging_0188/tillsyn/A 40861-2025 tillsynsbegäran.docx", "A 40861-2025")</f>
        <v/>
      </c>
      <c r="Y114">
        <f>HYPERLINK("https://klasma.github.io/Logging_0188/tillsynsmail/A 40861-2025 tillsynsbegäran mail.docx", "A 40861-2025")</f>
        <v/>
      </c>
    </row>
    <row r="115" ht="15" customHeight="1">
      <c r="A115" t="inlineStr">
        <is>
          <t>A 26635-2023</t>
        </is>
      </c>
      <c r="B115" s="1" t="n">
        <v>45092</v>
      </c>
      <c r="C115" s="1" t="n">
        <v>45940</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8371-2025</t>
        </is>
      </c>
      <c r="B116" s="1" t="n">
        <v>45708</v>
      </c>
      <c r="C116" s="1" t="n">
        <v>45940</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47898-2022</t>
        </is>
      </c>
      <c r="B117" s="1" t="n">
        <v>44855</v>
      </c>
      <c r="C117" s="1" t="n">
        <v>45940</v>
      </c>
      <c r="D117" t="inlineStr">
        <is>
          <t>STOCKHOLMS LÄN</t>
        </is>
      </c>
      <c r="E117" t="inlineStr">
        <is>
          <t>NORRTÄLJE</t>
        </is>
      </c>
      <c r="G117" t="n">
        <v>6.7</v>
      </c>
      <c r="H117" t="n">
        <v>1</v>
      </c>
      <c r="I117" t="n">
        <v>1</v>
      </c>
      <c r="J117" t="n">
        <v>0</v>
      </c>
      <c r="K117" t="n">
        <v>0</v>
      </c>
      <c r="L117" t="n">
        <v>0</v>
      </c>
      <c r="M117" t="n">
        <v>0</v>
      </c>
      <c r="N117" t="n">
        <v>0</v>
      </c>
      <c r="O117" t="n">
        <v>0</v>
      </c>
      <c r="P117" t="n">
        <v>0</v>
      </c>
      <c r="Q117" t="n">
        <v>1</v>
      </c>
      <c r="R117" s="2" t="inlineStr">
        <is>
          <t>Guckusko</t>
        </is>
      </c>
      <c r="S117">
        <f>HYPERLINK("https://klasma.github.io/Logging_0188/artfynd/A 47898-2022 artfynd.xlsx", "A 47898-2022")</f>
        <v/>
      </c>
      <c r="T117">
        <f>HYPERLINK("https://klasma.github.io/Logging_0188/kartor/A 47898-2022 karta.png", "A 47898-2022")</f>
        <v/>
      </c>
      <c r="V117">
        <f>HYPERLINK("https://klasma.github.io/Logging_0188/klagomål/A 47898-2022 FSC-klagomål.docx", "A 47898-2022")</f>
        <v/>
      </c>
      <c r="W117">
        <f>HYPERLINK("https://klasma.github.io/Logging_0188/klagomålsmail/A 47898-2022 FSC-klagomål mail.docx", "A 47898-2022")</f>
        <v/>
      </c>
      <c r="X117">
        <f>HYPERLINK("https://klasma.github.io/Logging_0188/tillsyn/A 47898-2022 tillsynsbegäran.docx", "A 47898-2022")</f>
        <v/>
      </c>
      <c r="Y117">
        <f>HYPERLINK("https://klasma.github.io/Logging_0188/tillsynsmail/A 47898-2022 tillsynsbegäran mail.docx", "A 47898-2022")</f>
        <v/>
      </c>
    </row>
    <row r="118" ht="15" customHeight="1">
      <c r="A118" t="inlineStr">
        <is>
          <t>A 21150-2022</t>
        </is>
      </c>
      <c r="B118" s="1" t="n">
        <v>44704</v>
      </c>
      <c r="C118" s="1" t="n">
        <v>45940</v>
      </c>
      <c r="D118" t="inlineStr">
        <is>
          <t>STOCKHOLMS LÄN</t>
        </is>
      </c>
      <c r="E118" t="inlineStr">
        <is>
          <t>NORRTÄLJE</t>
        </is>
      </c>
      <c r="G118" t="n">
        <v>12.5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21150-2022 artfynd.xlsx", "A 21150-2022")</f>
        <v/>
      </c>
      <c r="T118">
        <f>HYPERLINK("https://klasma.github.io/Logging_0188/kartor/A 21150-2022 karta.png", "A 21150-2022")</f>
        <v/>
      </c>
      <c r="V118">
        <f>HYPERLINK("https://klasma.github.io/Logging_0188/klagomål/A 21150-2022 FSC-klagomål.docx", "A 21150-2022")</f>
        <v/>
      </c>
      <c r="W118">
        <f>HYPERLINK("https://klasma.github.io/Logging_0188/klagomålsmail/A 21150-2022 FSC-klagomål mail.docx", "A 21150-2022")</f>
        <v/>
      </c>
      <c r="X118">
        <f>HYPERLINK("https://klasma.github.io/Logging_0188/tillsyn/A 21150-2022 tillsynsbegäran.docx", "A 21150-2022")</f>
        <v/>
      </c>
      <c r="Y118">
        <f>HYPERLINK("https://klasma.github.io/Logging_0188/tillsynsmail/A 21150-2022 tillsynsbegäran mail.docx", "A 21150-2022")</f>
        <v/>
      </c>
    </row>
    <row r="119" ht="15" customHeight="1">
      <c r="A119" t="inlineStr">
        <is>
          <t>A 1970-2021</t>
        </is>
      </c>
      <c r="B119" s="1" t="n">
        <v>44210</v>
      </c>
      <c r="C119" s="1" t="n">
        <v>45940</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45940</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45940</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45940</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45940</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45940</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45940</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45940</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45940</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45940</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45940</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45940</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45940</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45940</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45940</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45940</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74468-2021</t>
        </is>
      </c>
      <c r="B135" s="1" t="n">
        <v>44560</v>
      </c>
      <c r="C135" s="1" t="n">
        <v>45940</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45940</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45940</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45940</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45940</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45940</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45940</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45940</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45940</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45940</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52133-2022</t>
        </is>
      </c>
      <c r="B145" s="1" t="n">
        <v>44868</v>
      </c>
      <c r="C145" s="1" t="n">
        <v>45940</v>
      </c>
      <c r="D145" t="inlineStr">
        <is>
          <t>STOCKHOLMS LÄN</t>
        </is>
      </c>
      <c r="E145" t="inlineStr">
        <is>
          <t>NORRTÄLJE</t>
        </is>
      </c>
      <c r="G145" t="n">
        <v>11.5</v>
      </c>
      <c r="H145" t="n">
        <v>0</v>
      </c>
      <c r="I145" t="n">
        <v>0</v>
      </c>
      <c r="J145" t="n">
        <v>0</v>
      </c>
      <c r="K145" t="n">
        <v>0</v>
      </c>
      <c r="L145" t="n">
        <v>0</v>
      </c>
      <c r="M145" t="n">
        <v>0</v>
      </c>
      <c r="N145" t="n">
        <v>0</v>
      </c>
      <c r="O145" t="n">
        <v>0</v>
      </c>
      <c r="P145" t="n">
        <v>0</v>
      </c>
      <c r="Q145" t="n">
        <v>0</v>
      </c>
      <c r="R145" s="2" t="inlineStr"/>
    </row>
    <row r="146" ht="15" customHeight="1">
      <c r="A146" t="inlineStr">
        <is>
          <t>A 19283-2021</t>
        </is>
      </c>
      <c r="B146" s="1" t="n">
        <v>44309.47061342592</v>
      </c>
      <c r="C146" s="1" t="n">
        <v>45940</v>
      </c>
      <c r="D146" t="inlineStr">
        <is>
          <t>STOCKHOLMS LÄN</t>
        </is>
      </c>
      <c r="E146" t="inlineStr">
        <is>
          <t>NORRTÄLJE</t>
        </is>
      </c>
      <c r="F146" t="inlineStr">
        <is>
          <t>Holmen skog AB</t>
        </is>
      </c>
      <c r="G146" t="n">
        <v>0.6</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45940</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45940</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45940</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45940</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48384-2021</t>
        </is>
      </c>
      <c r="B151" s="1" t="n">
        <v>44451</v>
      </c>
      <c r="C151" s="1" t="n">
        <v>45940</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48492-2022</t>
        </is>
      </c>
      <c r="B152" s="1" t="n">
        <v>44858</v>
      </c>
      <c r="C152" s="1" t="n">
        <v>45940</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8338-2021</t>
        </is>
      </c>
      <c r="B153" s="1" t="n">
        <v>44244</v>
      </c>
      <c r="C153" s="1" t="n">
        <v>45940</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18905-2022</t>
        </is>
      </c>
      <c r="B154" s="1" t="n">
        <v>44690</v>
      </c>
      <c r="C154" s="1" t="n">
        <v>45940</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45940</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45940</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45940</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12816-2022</t>
        </is>
      </c>
      <c r="B158" s="1" t="n">
        <v>44642</v>
      </c>
      <c r="C158" s="1" t="n">
        <v>45940</v>
      </c>
      <c r="D158" t="inlineStr">
        <is>
          <t>STOCKHOLMS LÄN</t>
        </is>
      </c>
      <c r="E158" t="inlineStr">
        <is>
          <t>NORRTÄLJE</t>
        </is>
      </c>
      <c r="G158" t="n">
        <v>4.4</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45940</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45940</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28209-2022</t>
        </is>
      </c>
      <c r="B161" s="1" t="n">
        <v>44746</v>
      </c>
      <c r="C161" s="1" t="n">
        <v>45940</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66907-2020</t>
        </is>
      </c>
      <c r="B162" s="1" t="n">
        <v>44176</v>
      </c>
      <c r="C162" s="1" t="n">
        <v>45940</v>
      </c>
      <c r="D162" t="inlineStr">
        <is>
          <t>STOCKHOLMS LÄN</t>
        </is>
      </c>
      <c r="E162" t="inlineStr">
        <is>
          <t>NORRTÄLJE</t>
        </is>
      </c>
      <c r="G162" t="n">
        <v>1.7</v>
      </c>
      <c r="H162" t="n">
        <v>0</v>
      </c>
      <c r="I162" t="n">
        <v>0</v>
      </c>
      <c r="J162" t="n">
        <v>0</v>
      </c>
      <c r="K162" t="n">
        <v>0</v>
      </c>
      <c r="L162" t="n">
        <v>0</v>
      </c>
      <c r="M162" t="n">
        <v>0</v>
      </c>
      <c r="N162" t="n">
        <v>0</v>
      </c>
      <c r="O162" t="n">
        <v>0</v>
      </c>
      <c r="P162" t="n">
        <v>0</v>
      </c>
      <c r="Q162" t="n">
        <v>0</v>
      </c>
      <c r="R162" s="2" t="inlineStr"/>
    </row>
    <row r="163" ht="15" customHeight="1">
      <c r="A163" t="inlineStr">
        <is>
          <t>A 2447-2021</t>
        </is>
      </c>
      <c r="B163" s="1" t="n">
        <v>44214</v>
      </c>
      <c r="C163" s="1" t="n">
        <v>45940</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18609-2021</t>
        </is>
      </c>
      <c r="B164" s="1" t="n">
        <v>44306</v>
      </c>
      <c r="C164" s="1" t="n">
        <v>45940</v>
      </c>
      <c r="D164" t="inlineStr">
        <is>
          <t>STOCKHOLMS LÄN</t>
        </is>
      </c>
      <c r="E164" t="inlineStr">
        <is>
          <t>NORRTÄLJE</t>
        </is>
      </c>
      <c r="G164" t="n">
        <v>9.5</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45940</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71876-2021</t>
        </is>
      </c>
      <c r="B166" s="1" t="n">
        <v>44543</v>
      </c>
      <c r="C166" s="1" t="n">
        <v>45940</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71878-2021</t>
        </is>
      </c>
      <c r="B167" s="1" t="n">
        <v>44543</v>
      </c>
      <c r="C167" s="1" t="n">
        <v>45940</v>
      </c>
      <c r="D167" t="inlineStr">
        <is>
          <t>STOCKHOLMS LÄN</t>
        </is>
      </c>
      <c r="E167" t="inlineStr">
        <is>
          <t>NORRTÄLJE</t>
        </is>
      </c>
      <c r="G167" t="n">
        <v>1.2</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45940</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45940</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45940</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54340-2022</t>
        </is>
      </c>
      <c r="B171" s="1" t="n">
        <v>44882.44732638889</v>
      </c>
      <c r="C171" s="1" t="n">
        <v>45940</v>
      </c>
      <c r="D171" t="inlineStr">
        <is>
          <t>STOCKHOLMS LÄN</t>
        </is>
      </c>
      <c r="E171" t="inlineStr">
        <is>
          <t>NORRTÄLJE</t>
        </is>
      </c>
      <c r="G171" t="n">
        <v>6.7</v>
      </c>
      <c r="H171" t="n">
        <v>0</v>
      </c>
      <c r="I171" t="n">
        <v>0</v>
      </c>
      <c r="J171" t="n">
        <v>0</v>
      </c>
      <c r="K171" t="n">
        <v>0</v>
      </c>
      <c r="L171" t="n">
        <v>0</v>
      </c>
      <c r="M171" t="n">
        <v>0</v>
      </c>
      <c r="N171" t="n">
        <v>0</v>
      </c>
      <c r="O171" t="n">
        <v>0</v>
      </c>
      <c r="P171" t="n">
        <v>0</v>
      </c>
      <c r="Q171" t="n">
        <v>0</v>
      </c>
      <c r="R171" s="2" t="inlineStr"/>
    </row>
    <row r="172" ht="15" customHeight="1">
      <c r="A172" t="inlineStr">
        <is>
          <t>A 54355-2022</t>
        </is>
      </c>
      <c r="B172" s="1" t="n">
        <v>44882</v>
      </c>
      <c r="C172" s="1" t="n">
        <v>45940</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4634-2021</t>
        </is>
      </c>
      <c r="B173" s="1" t="n">
        <v>44224</v>
      </c>
      <c r="C173" s="1" t="n">
        <v>45940</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72308-2021</t>
        </is>
      </c>
      <c r="B174" s="1" t="n">
        <v>44545.4189699074</v>
      </c>
      <c r="C174" s="1" t="n">
        <v>45940</v>
      </c>
      <c r="D174" t="inlineStr">
        <is>
          <t>STOCKHOLMS LÄN</t>
        </is>
      </c>
      <c r="E174" t="inlineStr">
        <is>
          <t>NORRTÄLJE</t>
        </is>
      </c>
      <c r="G174" t="n">
        <v>1.1</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45940</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20073-2021</t>
        </is>
      </c>
      <c r="B176" s="1" t="n">
        <v>44314</v>
      </c>
      <c r="C176" s="1" t="n">
        <v>45940</v>
      </c>
      <c r="D176" t="inlineStr">
        <is>
          <t>STOCKHOLMS LÄN</t>
        </is>
      </c>
      <c r="E176" t="inlineStr">
        <is>
          <t>NORRTÄLJE</t>
        </is>
      </c>
      <c r="G176" t="n">
        <v>4.6</v>
      </c>
      <c r="H176" t="n">
        <v>0</v>
      </c>
      <c r="I176" t="n">
        <v>0</v>
      </c>
      <c r="J176" t="n">
        <v>0</v>
      </c>
      <c r="K176" t="n">
        <v>0</v>
      </c>
      <c r="L176" t="n">
        <v>0</v>
      </c>
      <c r="M176" t="n">
        <v>0</v>
      </c>
      <c r="N176" t="n">
        <v>0</v>
      </c>
      <c r="O176" t="n">
        <v>0</v>
      </c>
      <c r="P176" t="n">
        <v>0</v>
      </c>
      <c r="Q176" t="n">
        <v>0</v>
      </c>
      <c r="R176" s="2" t="inlineStr"/>
    </row>
    <row r="177" ht="15" customHeight="1">
      <c r="A177" t="inlineStr">
        <is>
          <t>A 17703-2021</t>
        </is>
      </c>
      <c r="B177" s="1" t="n">
        <v>44300</v>
      </c>
      <c r="C177" s="1" t="n">
        <v>45940</v>
      </c>
      <c r="D177" t="inlineStr">
        <is>
          <t>STOCKHOLMS LÄN</t>
        </is>
      </c>
      <c r="E177" t="inlineStr">
        <is>
          <t>NORRTÄLJE</t>
        </is>
      </c>
      <c r="F177" t="inlineStr">
        <is>
          <t>Holmen skog AB</t>
        </is>
      </c>
      <c r="G177" t="n">
        <v>1.1</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45940</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27538-2022</t>
        </is>
      </c>
      <c r="B179" s="1" t="n">
        <v>44742</v>
      </c>
      <c r="C179" s="1" t="n">
        <v>45940</v>
      </c>
      <c r="D179" t="inlineStr">
        <is>
          <t>STOCKHOLMS LÄN</t>
        </is>
      </c>
      <c r="E179" t="inlineStr">
        <is>
          <t>NORRTÄLJE</t>
        </is>
      </c>
      <c r="G179" t="n">
        <v>2.2</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45940</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45940</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45940</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53690-2020</t>
        </is>
      </c>
      <c r="B183" s="1" t="n">
        <v>44124</v>
      </c>
      <c r="C183" s="1" t="n">
        <v>45940</v>
      </c>
      <c r="D183" t="inlineStr">
        <is>
          <t>STOCKHOLMS LÄN</t>
        </is>
      </c>
      <c r="E183" t="inlineStr">
        <is>
          <t>NORRTÄLJE</t>
        </is>
      </c>
      <c r="G183" t="n">
        <v>0.5</v>
      </c>
      <c r="H183" t="n">
        <v>0</v>
      </c>
      <c r="I183" t="n">
        <v>0</v>
      </c>
      <c r="J183" t="n">
        <v>0</v>
      </c>
      <c r="K183" t="n">
        <v>0</v>
      </c>
      <c r="L183" t="n">
        <v>0</v>
      </c>
      <c r="M183" t="n">
        <v>0</v>
      </c>
      <c r="N183" t="n">
        <v>0</v>
      </c>
      <c r="O183" t="n">
        <v>0</v>
      </c>
      <c r="P183" t="n">
        <v>0</v>
      </c>
      <c r="Q183" t="n">
        <v>0</v>
      </c>
      <c r="R183" s="2" t="inlineStr"/>
    </row>
    <row r="184" ht="15" customHeight="1">
      <c r="A184" t="inlineStr">
        <is>
          <t>A 23122-2021</t>
        </is>
      </c>
      <c r="B184" s="1" t="n">
        <v>44330</v>
      </c>
      <c r="C184" s="1" t="n">
        <v>45940</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23123-2021</t>
        </is>
      </c>
      <c r="B185" s="1" t="n">
        <v>44330</v>
      </c>
      <c r="C185" s="1" t="n">
        <v>45940</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64599-2021</t>
        </is>
      </c>
      <c r="B186" s="1" t="n">
        <v>44511.69885416667</v>
      </c>
      <c r="C186" s="1" t="n">
        <v>45940</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64212-2021</t>
        </is>
      </c>
      <c r="B187" s="1" t="n">
        <v>44510</v>
      </c>
      <c r="C187" s="1" t="n">
        <v>45940</v>
      </c>
      <c r="D187" t="inlineStr">
        <is>
          <t>STOCKHOLMS LÄN</t>
        </is>
      </c>
      <c r="E187" t="inlineStr">
        <is>
          <t>NORRTÄLJE</t>
        </is>
      </c>
      <c r="G187" t="n">
        <v>28.7</v>
      </c>
      <c r="H187" t="n">
        <v>0</v>
      </c>
      <c r="I187" t="n">
        <v>0</v>
      </c>
      <c r="J187" t="n">
        <v>0</v>
      </c>
      <c r="K187" t="n">
        <v>0</v>
      </c>
      <c r="L187" t="n">
        <v>0</v>
      </c>
      <c r="M187" t="n">
        <v>0</v>
      </c>
      <c r="N187" t="n">
        <v>0</v>
      </c>
      <c r="O187" t="n">
        <v>0</v>
      </c>
      <c r="P187" t="n">
        <v>0</v>
      </c>
      <c r="Q187" t="n">
        <v>0</v>
      </c>
      <c r="R187" s="2" t="inlineStr"/>
    </row>
    <row r="188" ht="15" customHeight="1">
      <c r="A188" t="inlineStr">
        <is>
          <t>A 47349-2021</t>
        </is>
      </c>
      <c r="B188" s="1" t="n">
        <v>44447</v>
      </c>
      <c r="C188" s="1" t="n">
        <v>45940</v>
      </c>
      <c r="D188" t="inlineStr">
        <is>
          <t>STOCKHOLMS LÄN</t>
        </is>
      </c>
      <c r="E188" t="inlineStr">
        <is>
          <t>NORRTÄLJE</t>
        </is>
      </c>
      <c r="G188" t="n">
        <v>3.3</v>
      </c>
      <c r="H188" t="n">
        <v>0</v>
      </c>
      <c r="I188" t="n">
        <v>0</v>
      </c>
      <c r="J188" t="n">
        <v>0</v>
      </c>
      <c r="K188" t="n">
        <v>0</v>
      </c>
      <c r="L188" t="n">
        <v>0</v>
      </c>
      <c r="M188" t="n">
        <v>0</v>
      </c>
      <c r="N188" t="n">
        <v>0</v>
      </c>
      <c r="O188" t="n">
        <v>0</v>
      </c>
      <c r="P188" t="n">
        <v>0</v>
      </c>
      <c r="Q188" t="n">
        <v>0</v>
      </c>
      <c r="R188" s="2" t="inlineStr"/>
    </row>
    <row r="189" ht="15" customHeight="1">
      <c r="A189" t="inlineStr">
        <is>
          <t>A 36565-2021</t>
        </is>
      </c>
      <c r="B189" s="1" t="n">
        <v>44391.5580787037</v>
      </c>
      <c r="C189" s="1" t="n">
        <v>45940</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44274-2021</t>
        </is>
      </c>
      <c r="B190" s="1" t="n">
        <v>44435</v>
      </c>
      <c r="C190" s="1" t="n">
        <v>45940</v>
      </c>
      <c r="D190" t="inlineStr">
        <is>
          <t>STOCKHOLMS LÄN</t>
        </is>
      </c>
      <c r="E190" t="inlineStr">
        <is>
          <t>NORRTÄLJE</t>
        </is>
      </c>
      <c r="G190" t="n">
        <v>1</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45940</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45940</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45940</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45940</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45940</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45940</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45940</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45940</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45940</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52449-2021</t>
        </is>
      </c>
      <c r="B200" s="1" t="n">
        <v>44466.37496527778</v>
      </c>
      <c r="C200" s="1" t="n">
        <v>45940</v>
      </c>
      <c r="D200" t="inlineStr">
        <is>
          <t>STOCKHOLMS LÄN</t>
        </is>
      </c>
      <c r="E200" t="inlineStr">
        <is>
          <t>NORRTÄLJE</t>
        </is>
      </c>
      <c r="F200" t="inlineStr">
        <is>
          <t>Holmen skog AB</t>
        </is>
      </c>
      <c r="G200" t="n">
        <v>1.8</v>
      </c>
      <c r="H200" t="n">
        <v>0</v>
      </c>
      <c r="I200" t="n">
        <v>0</v>
      </c>
      <c r="J200" t="n">
        <v>0</v>
      </c>
      <c r="K200" t="n">
        <v>0</v>
      </c>
      <c r="L200" t="n">
        <v>0</v>
      </c>
      <c r="M200" t="n">
        <v>0</v>
      </c>
      <c r="N200" t="n">
        <v>0</v>
      </c>
      <c r="O200" t="n">
        <v>0</v>
      </c>
      <c r="P200" t="n">
        <v>0</v>
      </c>
      <c r="Q200" t="n">
        <v>0</v>
      </c>
      <c r="R200" s="2" t="inlineStr"/>
    </row>
    <row r="201" ht="15" customHeight="1">
      <c r="A201" t="inlineStr">
        <is>
          <t>A 14543-2022</t>
        </is>
      </c>
      <c r="B201" s="1" t="n">
        <v>44655.45373842592</v>
      </c>
      <c r="C201" s="1" t="n">
        <v>45940</v>
      </c>
      <c r="D201" t="inlineStr">
        <is>
          <t>STOCKHOLMS LÄN</t>
        </is>
      </c>
      <c r="E201" t="inlineStr">
        <is>
          <t>NORRTÄLJE</t>
        </is>
      </c>
      <c r="G201" t="n">
        <v>0.9</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45940</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60813-2021</t>
        </is>
      </c>
      <c r="B203" s="1" t="n">
        <v>44496</v>
      </c>
      <c r="C203" s="1" t="n">
        <v>45940</v>
      </c>
      <c r="D203" t="inlineStr">
        <is>
          <t>STOCKHOLMS LÄN</t>
        </is>
      </c>
      <c r="E203" t="inlineStr">
        <is>
          <t>NORRTÄLJE</t>
        </is>
      </c>
      <c r="G203" t="n">
        <v>1.6</v>
      </c>
      <c r="H203" t="n">
        <v>0</v>
      </c>
      <c r="I203" t="n">
        <v>0</v>
      </c>
      <c r="J203" t="n">
        <v>0</v>
      </c>
      <c r="K203" t="n">
        <v>0</v>
      </c>
      <c r="L203" t="n">
        <v>0</v>
      </c>
      <c r="M203" t="n">
        <v>0</v>
      </c>
      <c r="N203" t="n">
        <v>0</v>
      </c>
      <c r="O203" t="n">
        <v>0</v>
      </c>
      <c r="P203" t="n">
        <v>0</v>
      </c>
      <c r="Q203" t="n">
        <v>0</v>
      </c>
      <c r="R203" s="2" t="inlineStr"/>
    </row>
    <row r="204" ht="15" customHeight="1">
      <c r="A204" t="inlineStr">
        <is>
          <t>A 33046-2021</t>
        </is>
      </c>
      <c r="B204" s="1" t="n">
        <v>44376</v>
      </c>
      <c r="C204" s="1" t="n">
        <v>45940</v>
      </c>
      <c r="D204" t="inlineStr">
        <is>
          <t>STOCKHOLMS LÄN</t>
        </is>
      </c>
      <c r="E204" t="inlineStr">
        <is>
          <t>NORRTÄLJE</t>
        </is>
      </c>
      <c r="G204" t="n">
        <v>2.1</v>
      </c>
      <c r="H204" t="n">
        <v>0</v>
      </c>
      <c r="I204" t="n">
        <v>0</v>
      </c>
      <c r="J204" t="n">
        <v>0</v>
      </c>
      <c r="K204" t="n">
        <v>0</v>
      </c>
      <c r="L204" t="n">
        <v>0</v>
      </c>
      <c r="M204" t="n">
        <v>0</v>
      </c>
      <c r="N204" t="n">
        <v>0</v>
      </c>
      <c r="O204" t="n">
        <v>0</v>
      </c>
      <c r="P204" t="n">
        <v>0</v>
      </c>
      <c r="Q204" t="n">
        <v>0</v>
      </c>
      <c r="R204" s="2" t="inlineStr"/>
    </row>
    <row r="205" ht="15" customHeight="1">
      <c r="A205" t="inlineStr">
        <is>
          <t>A 17673-2021</t>
        </is>
      </c>
      <c r="B205" s="1" t="n">
        <v>44300</v>
      </c>
      <c r="C205" s="1" t="n">
        <v>45940</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c r="T205">
        <f>HYPERLINK("https://klasma.github.io/Logging_0188/kartor/A 17673-2021 karta.png", "A 17673-2021")</f>
        <v/>
      </c>
      <c r="V205">
        <f>HYPERLINK("https://klasma.github.io/Logging_0188/klagomål/A 17673-2021 FSC-klagomål.docx", "A 17673-2021")</f>
        <v/>
      </c>
      <c r="W205">
        <f>HYPERLINK("https://klasma.github.io/Logging_0188/klagomålsmail/A 17673-2021 FSC-klagomål mail.docx", "A 17673-2021")</f>
        <v/>
      </c>
      <c r="X205">
        <f>HYPERLINK("https://klasma.github.io/Logging_0188/tillsyn/A 17673-2021 tillsynsbegäran.docx", "A 17673-2021")</f>
        <v/>
      </c>
      <c r="Y205">
        <f>HYPERLINK("https://klasma.github.io/Logging_0188/tillsynsmail/A 17673-2021 tillsynsbegäran mail.docx", "A 17673-2021")</f>
        <v/>
      </c>
      <c r="Z205">
        <f>HYPERLINK("https://klasma.github.io/Logging_0188/fåglar/A 17673-2021 prioriterade fågelarter.docx", "A 17673-2021")</f>
        <v/>
      </c>
    </row>
    <row r="206" ht="15" customHeight="1">
      <c r="A206" t="inlineStr">
        <is>
          <t>A 26328-2022</t>
        </is>
      </c>
      <c r="B206" s="1" t="n">
        <v>44735</v>
      </c>
      <c r="C206" s="1" t="n">
        <v>45940</v>
      </c>
      <c r="D206" t="inlineStr">
        <is>
          <t>STOCKHOLMS LÄN</t>
        </is>
      </c>
      <c r="E206" t="inlineStr">
        <is>
          <t>NORRTÄLJE</t>
        </is>
      </c>
      <c r="G206" t="n">
        <v>2.8</v>
      </c>
      <c r="H206" t="n">
        <v>0</v>
      </c>
      <c r="I206" t="n">
        <v>0</v>
      </c>
      <c r="J206" t="n">
        <v>0</v>
      </c>
      <c r="K206" t="n">
        <v>0</v>
      </c>
      <c r="L206" t="n">
        <v>0</v>
      </c>
      <c r="M206" t="n">
        <v>0</v>
      </c>
      <c r="N206" t="n">
        <v>0</v>
      </c>
      <c r="O206" t="n">
        <v>0</v>
      </c>
      <c r="P206" t="n">
        <v>0</v>
      </c>
      <c r="Q206" t="n">
        <v>0</v>
      </c>
      <c r="R206" s="2" t="inlineStr"/>
    </row>
    <row r="207" ht="15" customHeight="1">
      <c r="A207" t="inlineStr">
        <is>
          <t>A 66372-2020</t>
        </is>
      </c>
      <c r="B207" s="1" t="n">
        <v>44176</v>
      </c>
      <c r="C207" s="1" t="n">
        <v>45940</v>
      </c>
      <c r="D207" t="inlineStr">
        <is>
          <t>STOCKHOLMS LÄN</t>
        </is>
      </c>
      <c r="E207" t="inlineStr">
        <is>
          <t>NORRTÄLJE</t>
        </is>
      </c>
      <c r="G207" t="n">
        <v>1.3</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45940</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17460-2021</t>
        </is>
      </c>
      <c r="B209" s="1" t="n">
        <v>44299</v>
      </c>
      <c r="C209" s="1" t="n">
        <v>45940</v>
      </c>
      <c r="D209" t="inlineStr">
        <is>
          <t>STOCKHOLMS LÄN</t>
        </is>
      </c>
      <c r="E209" t="inlineStr">
        <is>
          <t>NORRTÄLJE</t>
        </is>
      </c>
      <c r="G209" t="n">
        <v>3.2</v>
      </c>
      <c r="H209" t="n">
        <v>0</v>
      </c>
      <c r="I209" t="n">
        <v>0</v>
      </c>
      <c r="J209" t="n">
        <v>0</v>
      </c>
      <c r="K209" t="n">
        <v>0</v>
      </c>
      <c r="L209" t="n">
        <v>0</v>
      </c>
      <c r="M209" t="n">
        <v>0</v>
      </c>
      <c r="N209" t="n">
        <v>0</v>
      </c>
      <c r="O209" t="n">
        <v>0</v>
      </c>
      <c r="P209" t="n">
        <v>0</v>
      </c>
      <c r="Q209" t="n">
        <v>0</v>
      </c>
      <c r="R209" s="2" t="inlineStr"/>
    </row>
    <row r="210" ht="15" customHeight="1">
      <c r="A210" t="inlineStr">
        <is>
          <t>A 5513-2022</t>
        </is>
      </c>
      <c r="B210" s="1" t="n">
        <v>44595</v>
      </c>
      <c r="C210" s="1" t="n">
        <v>45940</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27217-2021</t>
        </is>
      </c>
      <c r="B211" s="1" t="n">
        <v>44350</v>
      </c>
      <c r="C211" s="1" t="n">
        <v>45940</v>
      </c>
      <c r="D211" t="inlineStr">
        <is>
          <t>STOCKHOLMS LÄN</t>
        </is>
      </c>
      <c r="E211" t="inlineStr">
        <is>
          <t>NORRTÄLJE</t>
        </is>
      </c>
      <c r="G211" t="n">
        <v>5.5</v>
      </c>
      <c r="H211" t="n">
        <v>0</v>
      </c>
      <c r="I211" t="n">
        <v>0</v>
      </c>
      <c r="J211" t="n">
        <v>0</v>
      </c>
      <c r="K211" t="n">
        <v>0</v>
      </c>
      <c r="L211" t="n">
        <v>0</v>
      </c>
      <c r="M211" t="n">
        <v>0</v>
      </c>
      <c r="N211" t="n">
        <v>0</v>
      </c>
      <c r="O211" t="n">
        <v>0</v>
      </c>
      <c r="P211" t="n">
        <v>0</v>
      </c>
      <c r="Q211" t="n">
        <v>0</v>
      </c>
      <c r="R211" s="2" t="inlineStr"/>
    </row>
    <row r="212" ht="15" customHeight="1">
      <c r="A212" t="inlineStr">
        <is>
          <t>A 57957-2020</t>
        </is>
      </c>
      <c r="B212" s="1" t="n">
        <v>44143</v>
      </c>
      <c r="C212" s="1" t="n">
        <v>45940</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62030-2021</t>
        </is>
      </c>
      <c r="B213" s="1" t="n">
        <v>44502</v>
      </c>
      <c r="C213" s="1" t="n">
        <v>45940</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15441-2021</t>
        </is>
      </c>
      <c r="B214" s="1" t="n">
        <v>44284</v>
      </c>
      <c r="C214" s="1" t="n">
        <v>45940</v>
      </c>
      <c r="D214" t="inlineStr">
        <is>
          <t>STOCKHOLMS LÄN</t>
        </is>
      </c>
      <c r="E214" t="inlineStr">
        <is>
          <t>NORRTÄLJE</t>
        </is>
      </c>
      <c r="G214" t="n">
        <v>27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45940</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12875-2022</t>
        </is>
      </c>
      <c r="B216" s="1" t="n">
        <v>44642.55565972222</v>
      </c>
      <c r="C216" s="1" t="n">
        <v>45940</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28042-2022</t>
        </is>
      </c>
      <c r="B217" s="1" t="n">
        <v>44744</v>
      </c>
      <c r="C217" s="1" t="n">
        <v>45940</v>
      </c>
      <c r="D217" t="inlineStr">
        <is>
          <t>STOCKHOLMS LÄN</t>
        </is>
      </c>
      <c r="E217" t="inlineStr">
        <is>
          <t>NORRTÄLJE</t>
        </is>
      </c>
      <c r="G217" t="n">
        <v>0.2</v>
      </c>
      <c r="H217" t="n">
        <v>0</v>
      </c>
      <c r="I217" t="n">
        <v>0</v>
      </c>
      <c r="J217" t="n">
        <v>0</v>
      </c>
      <c r="K217" t="n">
        <v>0</v>
      </c>
      <c r="L217" t="n">
        <v>0</v>
      </c>
      <c r="M217" t="n">
        <v>0</v>
      </c>
      <c r="N217" t="n">
        <v>0</v>
      </c>
      <c r="O217" t="n">
        <v>0</v>
      </c>
      <c r="P217" t="n">
        <v>0</v>
      </c>
      <c r="Q217" t="n">
        <v>0</v>
      </c>
      <c r="R217" s="2" t="inlineStr"/>
    </row>
    <row r="218" ht="15" customHeight="1">
      <c r="A218" t="inlineStr">
        <is>
          <t>A 60542-2020</t>
        </is>
      </c>
      <c r="B218" s="1" t="n">
        <v>44153</v>
      </c>
      <c r="C218" s="1" t="n">
        <v>45940</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45940</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67598-2021</t>
        </is>
      </c>
      <c r="B220" s="1" t="n">
        <v>44524</v>
      </c>
      <c r="C220" s="1" t="n">
        <v>45940</v>
      </c>
      <c r="D220" t="inlineStr">
        <is>
          <t>STOCKHOLMS LÄN</t>
        </is>
      </c>
      <c r="E220" t="inlineStr">
        <is>
          <t>NORRTÄLJE</t>
        </is>
      </c>
      <c r="G220" t="n">
        <v>1.2</v>
      </c>
      <c r="H220" t="n">
        <v>0</v>
      </c>
      <c r="I220" t="n">
        <v>0</v>
      </c>
      <c r="J220" t="n">
        <v>0</v>
      </c>
      <c r="K220" t="n">
        <v>0</v>
      </c>
      <c r="L220" t="n">
        <v>0</v>
      </c>
      <c r="M220" t="n">
        <v>0</v>
      </c>
      <c r="N220" t="n">
        <v>0</v>
      </c>
      <c r="O220" t="n">
        <v>0</v>
      </c>
      <c r="P220" t="n">
        <v>0</v>
      </c>
      <c r="Q220" t="n">
        <v>0</v>
      </c>
      <c r="R220" s="2" t="inlineStr"/>
    </row>
    <row r="221" ht="15" customHeight="1">
      <c r="A221" t="inlineStr">
        <is>
          <t>A 34520-2021</t>
        </is>
      </c>
      <c r="B221" s="1" t="n">
        <v>44379</v>
      </c>
      <c r="C221" s="1" t="n">
        <v>45940</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41398-2022</t>
        </is>
      </c>
      <c r="B222" s="1" t="n">
        <v>44826</v>
      </c>
      <c r="C222" s="1" t="n">
        <v>45940</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22369-2021</t>
        </is>
      </c>
      <c r="B223" s="1" t="n">
        <v>44326</v>
      </c>
      <c r="C223" s="1" t="n">
        <v>45940</v>
      </c>
      <c r="D223" t="inlineStr">
        <is>
          <t>STOCKHOLMS LÄN</t>
        </is>
      </c>
      <c r="E223" t="inlineStr">
        <is>
          <t>NORRTÄLJE</t>
        </is>
      </c>
      <c r="F223" t="inlineStr">
        <is>
          <t>Holmen skog AB</t>
        </is>
      </c>
      <c r="G223" t="n">
        <v>3.4</v>
      </c>
      <c r="H223" t="n">
        <v>0</v>
      </c>
      <c r="I223" t="n">
        <v>0</v>
      </c>
      <c r="J223" t="n">
        <v>0</v>
      </c>
      <c r="K223" t="n">
        <v>0</v>
      </c>
      <c r="L223" t="n">
        <v>0</v>
      </c>
      <c r="M223" t="n">
        <v>0</v>
      </c>
      <c r="N223" t="n">
        <v>0</v>
      </c>
      <c r="O223" t="n">
        <v>0</v>
      </c>
      <c r="P223" t="n">
        <v>0</v>
      </c>
      <c r="Q223" t="n">
        <v>0</v>
      </c>
      <c r="R223" s="2" t="inlineStr"/>
    </row>
    <row r="224" ht="15" customHeight="1">
      <c r="A224" t="inlineStr">
        <is>
          <t>A 23453-2021</t>
        </is>
      </c>
      <c r="B224" s="1" t="n">
        <v>44333</v>
      </c>
      <c r="C224" s="1" t="n">
        <v>45940</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45940</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45940</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45940</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27214-2021</t>
        </is>
      </c>
      <c r="B228" s="1" t="n">
        <v>44350</v>
      </c>
      <c r="C228" s="1" t="n">
        <v>45940</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1968-2022</t>
        </is>
      </c>
      <c r="B229" s="1" t="n">
        <v>44575.52831018518</v>
      </c>
      <c r="C229" s="1" t="n">
        <v>45940</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12355-2022</t>
        </is>
      </c>
      <c r="B230" s="1" t="n">
        <v>44637</v>
      </c>
      <c r="C230" s="1" t="n">
        <v>45940</v>
      </c>
      <c r="D230" t="inlineStr">
        <is>
          <t>STOCKHOLMS LÄN</t>
        </is>
      </c>
      <c r="E230" t="inlineStr">
        <is>
          <t>NORRTÄLJE</t>
        </is>
      </c>
      <c r="G230" t="n">
        <v>10.4</v>
      </c>
      <c r="H230" t="n">
        <v>0</v>
      </c>
      <c r="I230" t="n">
        <v>0</v>
      </c>
      <c r="J230" t="n">
        <v>0</v>
      </c>
      <c r="K230" t="n">
        <v>0</v>
      </c>
      <c r="L230" t="n">
        <v>0</v>
      </c>
      <c r="M230" t="n">
        <v>0</v>
      </c>
      <c r="N230" t="n">
        <v>0</v>
      </c>
      <c r="O230" t="n">
        <v>0</v>
      </c>
      <c r="P230" t="n">
        <v>0</v>
      </c>
      <c r="Q230" t="n">
        <v>0</v>
      </c>
      <c r="R230" s="2" t="inlineStr"/>
    </row>
    <row r="231" ht="15" customHeight="1">
      <c r="A231" t="inlineStr">
        <is>
          <t>A 19398-2021</t>
        </is>
      </c>
      <c r="B231" s="1" t="n">
        <v>44309</v>
      </c>
      <c r="C231" s="1" t="n">
        <v>45940</v>
      </c>
      <c r="D231" t="inlineStr">
        <is>
          <t>STOCKHOLMS LÄN</t>
        </is>
      </c>
      <c r="E231" t="inlineStr">
        <is>
          <t>NORRTÄLJE</t>
        </is>
      </c>
      <c r="F231" t="inlineStr">
        <is>
          <t>Kommuner</t>
        </is>
      </c>
      <c r="G231" t="n">
        <v>2.1</v>
      </c>
      <c r="H231" t="n">
        <v>0</v>
      </c>
      <c r="I231" t="n">
        <v>0</v>
      </c>
      <c r="J231" t="n">
        <v>0</v>
      </c>
      <c r="K231" t="n">
        <v>0</v>
      </c>
      <c r="L231" t="n">
        <v>0</v>
      </c>
      <c r="M231" t="n">
        <v>0</v>
      </c>
      <c r="N231" t="n">
        <v>0</v>
      </c>
      <c r="O231" t="n">
        <v>0</v>
      </c>
      <c r="P231" t="n">
        <v>0</v>
      </c>
      <c r="Q231" t="n">
        <v>0</v>
      </c>
      <c r="R231" s="2" t="inlineStr"/>
    </row>
    <row r="232" ht="15" customHeight="1">
      <c r="A232" t="inlineStr">
        <is>
          <t>A 7565-2022</t>
        </is>
      </c>
      <c r="B232" s="1" t="n">
        <v>44607</v>
      </c>
      <c r="C232" s="1" t="n">
        <v>45940</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41822-2021</t>
        </is>
      </c>
      <c r="B233" s="1" t="n">
        <v>44425</v>
      </c>
      <c r="C233" s="1" t="n">
        <v>45940</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41823-2021</t>
        </is>
      </c>
      <c r="B234" s="1" t="n">
        <v>44425</v>
      </c>
      <c r="C234" s="1" t="n">
        <v>45940</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9467-2021</t>
        </is>
      </c>
      <c r="B235" s="1" t="n">
        <v>44251.43971064815</v>
      </c>
      <c r="C235" s="1" t="n">
        <v>45940</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45541-2022</t>
        </is>
      </c>
      <c r="B236" s="1" t="n">
        <v>44845.47672453704</v>
      </c>
      <c r="C236" s="1" t="n">
        <v>45940</v>
      </c>
      <c r="D236" t="inlineStr">
        <is>
          <t>STOCKHOLMS LÄN</t>
        </is>
      </c>
      <c r="E236" t="inlineStr">
        <is>
          <t>NORRTÄLJE</t>
        </is>
      </c>
      <c r="G236" t="n">
        <v>0.4</v>
      </c>
      <c r="H236" t="n">
        <v>0</v>
      </c>
      <c r="I236" t="n">
        <v>0</v>
      </c>
      <c r="J236" t="n">
        <v>0</v>
      </c>
      <c r="K236" t="n">
        <v>0</v>
      </c>
      <c r="L236" t="n">
        <v>0</v>
      </c>
      <c r="M236" t="n">
        <v>0</v>
      </c>
      <c r="N236" t="n">
        <v>0</v>
      </c>
      <c r="O236" t="n">
        <v>0</v>
      </c>
      <c r="P236" t="n">
        <v>0</v>
      </c>
      <c r="Q236" t="n">
        <v>0</v>
      </c>
      <c r="R236" s="2" t="inlineStr"/>
    </row>
    <row r="237" ht="15" customHeight="1">
      <c r="A237" t="inlineStr">
        <is>
          <t>A 71871-2021</t>
        </is>
      </c>
      <c r="B237" s="1" t="n">
        <v>44543</v>
      </c>
      <c r="C237" s="1" t="n">
        <v>45940</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71873-2021</t>
        </is>
      </c>
      <c r="B238" s="1" t="n">
        <v>44543</v>
      </c>
      <c r="C238" s="1" t="n">
        <v>45940</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12779-2021</t>
        </is>
      </c>
      <c r="B239" s="1" t="n">
        <v>44270</v>
      </c>
      <c r="C239" s="1" t="n">
        <v>45940</v>
      </c>
      <c r="D239" t="inlineStr">
        <is>
          <t>STOCKHOLMS LÄN</t>
        </is>
      </c>
      <c r="E239" t="inlineStr">
        <is>
          <t>NORRTÄLJE</t>
        </is>
      </c>
      <c r="G239" t="n">
        <v>10.8</v>
      </c>
      <c r="H239" t="n">
        <v>0</v>
      </c>
      <c r="I239" t="n">
        <v>0</v>
      </c>
      <c r="J239" t="n">
        <v>0</v>
      </c>
      <c r="K239" t="n">
        <v>0</v>
      </c>
      <c r="L239" t="n">
        <v>0</v>
      </c>
      <c r="M239" t="n">
        <v>0</v>
      </c>
      <c r="N239" t="n">
        <v>0</v>
      </c>
      <c r="O239" t="n">
        <v>0</v>
      </c>
      <c r="P239" t="n">
        <v>0</v>
      </c>
      <c r="Q239" t="n">
        <v>0</v>
      </c>
      <c r="R239" s="2" t="inlineStr"/>
    </row>
    <row r="240" ht="15" customHeight="1">
      <c r="A240" t="inlineStr">
        <is>
          <t>A 12782-2021</t>
        </is>
      </c>
      <c r="B240" s="1" t="n">
        <v>44270</v>
      </c>
      <c r="C240" s="1" t="n">
        <v>45940</v>
      </c>
      <c r="D240" t="inlineStr">
        <is>
          <t>STOCKHOLMS LÄN</t>
        </is>
      </c>
      <c r="E240" t="inlineStr">
        <is>
          <t>NORRTÄLJE</t>
        </is>
      </c>
      <c r="G240" t="n">
        <v>3.8</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45940</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72355-2021</t>
        </is>
      </c>
      <c r="B242" s="1" t="n">
        <v>44545</v>
      </c>
      <c r="C242" s="1" t="n">
        <v>45940</v>
      </c>
      <c r="D242" t="inlineStr">
        <is>
          <t>STOCKHOLMS LÄN</t>
        </is>
      </c>
      <c r="E242" t="inlineStr">
        <is>
          <t>NORRTÄLJE</t>
        </is>
      </c>
      <c r="G242" t="n">
        <v>3.6</v>
      </c>
      <c r="H242" t="n">
        <v>0</v>
      </c>
      <c r="I242" t="n">
        <v>0</v>
      </c>
      <c r="J242" t="n">
        <v>0</v>
      </c>
      <c r="K242" t="n">
        <v>0</v>
      </c>
      <c r="L242" t="n">
        <v>0</v>
      </c>
      <c r="M242" t="n">
        <v>0</v>
      </c>
      <c r="N242" t="n">
        <v>0</v>
      </c>
      <c r="O242" t="n">
        <v>0</v>
      </c>
      <c r="P242" t="n">
        <v>0</v>
      </c>
      <c r="Q242" t="n">
        <v>0</v>
      </c>
      <c r="R242" s="2" t="inlineStr"/>
    </row>
    <row r="243" ht="15" customHeight="1">
      <c r="A243" t="inlineStr">
        <is>
          <t>A 72357-2021</t>
        </is>
      </c>
      <c r="B243" s="1" t="n">
        <v>44545</v>
      </c>
      <c r="C243" s="1" t="n">
        <v>45940</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45940</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45940</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20295-2022</t>
        </is>
      </c>
      <c r="B246" s="1" t="n">
        <v>44698</v>
      </c>
      <c r="C246" s="1" t="n">
        <v>45940</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37415-2021</t>
        </is>
      </c>
      <c r="B247" s="1" t="n">
        <v>44397</v>
      </c>
      <c r="C247" s="1" t="n">
        <v>45940</v>
      </c>
      <c r="D247" t="inlineStr">
        <is>
          <t>STOCKHOLMS LÄN</t>
        </is>
      </c>
      <c r="E247" t="inlineStr">
        <is>
          <t>NORRTÄLJE</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5562-2021</t>
        </is>
      </c>
      <c r="B248" s="1" t="n">
        <v>44230</v>
      </c>
      <c r="C248" s="1" t="n">
        <v>45940</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5566-2021</t>
        </is>
      </c>
      <c r="B249" s="1" t="n">
        <v>44230</v>
      </c>
      <c r="C249" s="1" t="n">
        <v>45940</v>
      </c>
      <c r="D249" t="inlineStr">
        <is>
          <t>STOCKHOLMS LÄN</t>
        </is>
      </c>
      <c r="E249" t="inlineStr">
        <is>
          <t>NORRTÄLJE</t>
        </is>
      </c>
      <c r="G249" t="n">
        <v>3.1</v>
      </c>
      <c r="H249" t="n">
        <v>0</v>
      </c>
      <c r="I249" t="n">
        <v>0</v>
      </c>
      <c r="J249" t="n">
        <v>0</v>
      </c>
      <c r="K249" t="n">
        <v>0</v>
      </c>
      <c r="L249" t="n">
        <v>0</v>
      </c>
      <c r="M249" t="n">
        <v>0</v>
      </c>
      <c r="N249" t="n">
        <v>0</v>
      </c>
      <c r="O249" t="n">
        <v>0</v>
      </c>
      <c r="P249" t="n">
        <v>0</v>
      </c>
      <c r="Q249" t="n">
        <v>0</v>
      </c>
      <c r="R249" s="2" t="inlineStr"/>
    </row>
    <row r="250" ht="15" customHeight="1">
      <c r="A250" t="inlineStr">
        <is>
          <t>A 24167-2022</t>
        </is>
      </c>
      <c r="B250" s="1" t="n">
        <v>44725.49491898148</v>
      </c>
      <c r="C250" s="1" t="n">
        <v>45940</v>
      </c>
      <c r="D250" t="inlineStr">
        <is>
          <t>STOCKHOLMS LÄN</t>
        </is>
      </c>
      <c r="E250" t="inlineStr">
        <is>
          <t>NORRTÄLJE</t>
        </is>
      </c>
      <c r="G250" t="n">
        <v>3.4</v>
      </c>
      <c r="H250" t="n">
        <v>0</v>
      </c>
      <c r="I250" t="n">
        <v>0</v>
      </c>
      <c r="J250" t="n">
        <v>0</v>
      </c>
      <c r="K250" t="n">
        <v>0</v>
      </c>
      <c r="L250" t="n">
        <v>0</v>
      </c>
      <c r="M250" t="n">
        <v>0</v>
      </c>
      <c r="N250" t="n">
        <v>0</v>
      </c>
      <c r="O250" t="n">
        <v>0</v>
      </c>
      <c r="P250" t="n">
        <v>0</v>
      </c>
      <c r="Q250" t="n">
        <v>0</v>
      </c>
      <c r="R250" s="2" t="inlineStr"/>
    </row>
    <row r="251" ht="15" customHeight="1">
      <c r="A251" t="inlineStr">
        <is>
          <t>A 42396-2021</t>
        </is>
      </c>
      <c r="B251" s="1" t="n">
        <v>44427</v>
      </c>
      <c r="C251" s="1" t="n">
        <v>45940</v>
      </c>
      <c r="D251" t="inlineStr">
        <is>
          <t>STOCKHOLMS LÄN</t>
        </is>
      </c>
      <c r="E251" t="inlineStr">
        <is>
          <t>NORRTÄLJE</t>
        </is>
      </c>
      <c r="G251" t="n">
        <v>2</v>
      </c>
      <c r="H251" t="n">
        <v>0</v>
      </c>
      <c r="I251" t="n">
        <v>0</v>
      </c>
      <c r="J251" t="n">
        <v>0</v>
      </c>
      <c r="K251" t="n">
        <v>0</v>
      </c>
      <c r="L251" t="n">
        <v>0</v>
      </c>
      <c r="M251" t="n">
        <v>0</v>
      </c>
      <c r="N251" t="n">
        <v>0</v>
      </c>
      <c r="O251" t="n">
        <v>0</v>
      </c>
      <c r="P251" t="n">
        <v>0</v>
      </c>
      <c r="Q251" t="n">
        <v>0</v>
      </c>
      <c r="R251" s="2" t="inlineStr"/>
    </row>
    <row r="252" ht="15" customHeight="1">
      <c r="A252" t="inlineStr">
        <is>
          <t>A 30286-2022</t>
        </is>
      </c>
      <c r="B252" s="1" t="n">
        <v>44760</v>
      </c>
      <c r="C252" s="1" t="n">
        <v>45940</v>
      </c>
      <c r="D252" t="inlineStr">
        <is>
          <t>STOCKHOLMS LÄN</t>
        </is>
      </c>
      <c r="E252" t="inlineStr">
        <is>
          <t>NORRTÄLJE</t>
        </is>
      </c>
      <c r="G252" t="n">
        <v>0.3</v>
      </c>
      <c r="H252" t="n">
        <v>0</v>
      </c>
      <c r="I252" t="n">
        <v>0</v>
      </c>
      <c r="J252" t="n">
        <v>0</v>
      </c>
      <c r="K252" t="n">
        <v>0</v>
      </c>
      <c r="L252" t="n">
        <v>0</v>
      </c>
      <c r="M252" t="n">
        <v>0</v>
      </c>
      <c r="N252" t="n">
        <v>0</v>
      </c>
      <c r="O252" t="n">
        <v>0</v>
      </c>
      <c r="P252" t="n">
        <v>0</v>
      </c>
      <c r="Q252" t="n">
        <v>0</v>
      </c>
      <c r="R252" s="2" t="inlineStr"/>
    </row>
    <row r="253" ht="15" customHeight="1">
      <c r="A253" t="inlineStr">
        <is>
          <t>A 8160-2022</t>
        </is>
      </c>
      <c r="B253" s="1" t="n">
        <v>44609</v>
      </c>
      <c r="C253" s="1" t="n">
        <v>45940</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45940</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row>
    <row r="255" ht="15" customHeight="1">
      <c r="A255" t="inlineStr">
        <is>
          <t>A 39319-2022</t>
        </is>
      </c>
      <c r="B255" s="1" t="n">
        <v>44817.70516203704</v>
      </c>
      <c r="C255" s="1" t="n">
        <v>45940</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9446-2021</t>
        </is>
      </c>
      <c r="B256" s="1" t="n">
        <v>44251</v>
      </c>
      <c r="C256" s="1" t="n">
        <v>45940</v>
      </c>
      <c r="D256" t="inlineStr">
        <is>
          <t>STOCKHOLMS LÄN</t>
        </is>
      </c>
      <c r="E256" t="inlineStr">
        <is>
          <t>NORRTÄLJE</t>
        </is>
      </c>
      <c r="F256" t="inlineStr">
        <is>
          <t>Holmen skog AB</t>
        </is>
      </c>
      <c r="G256" t="n">
        <v>0.7</v>
      </c>
      <c r="H256" t="n">
        <v>0</v>
      </c>
      <c r="I256" t="n">
        <v>0</v>
      </c>
      <c r="J256" t="n">
        <v>0</v>
      </c>
      <c r="K256" t="n">
        <v>0</v>
      </c>
      <c r="L256" t="n">
        <v>0</v>
      </c>
      <c r="M256" t="n">
        <v>0</v>
      </c>
      <c r="N256" t="n">
        <v>0</v>
      </c>
      <c r="O256" t="n">
        <v>0</v>
      </c>
      <c r="P256" t="n">
        <v>0</v>
      </c>
      <c r="Q256" t="n">
        <v>0</v>
      </c>
      <c r="R256" s="2" t="inlineStr"/>
    </row>
    <row r="257" ht="15" customHeight="1">
      <c r="A257" t="inlineStr">
        <is>
          <t>A 56219-2021</t>
        </is>
      </c>
      <c r="B257" s="1" t="n">
        <v>44477</v>
      </c>
      <c r="C257" s="1" t="n">
        <v>45940</v>
      </c>
      <c r="D257" t="inlineStr">
        <is>
          <t>STOCKHOLMS LÄN</t>
        </is>
      </c>
      <c r="E257" t="inlineStr">
        <is>
          <t>NORRTÄLJE</t>
        </is>
      </c>
      <c r="F257" t="inlineStr">
        <is>
          <t>Kommuner</t>
        </is>
      </c>
      <c r="G257" t="n">
        <v>2.3</v>
      </c>
      <c r="H257" t="n">
        <v>0</v>
      </c>
      <c r="I257" t="n">
        <v>0</v>
      </c>
      <c r="J257" t="n">
        <v>0</v>
      </c>
      <c r="K257" t="n">
        <v>0</v>
      </c>
      <c r="L257" t="n">
        <v>0</v>
      </c>
      <c r="M257" t="n">
        <v>0</v>
      </c>
      <c r="N257" t="n">
        <v>0</v>
      </c>
      <c r="O257" t="n">
        <v>0</v>
      </c>
      <c r="P257" t="n">
        <v>0</v>
      </c>
      <c r="Q257" t="n">
        <v>0</v>
      </c>
      <c r="R257" s="2" t="inlineStr"/>
    </row>
    <row r="258" ht="15" customHeight="1">
      <c r="A258" t="inlineStr">
        <is>
          <t>A 2732-2022</t>
        </is>
      </c>
      <c r="B258" s="1" t="n">
        <v>44580</v>
      </c>
      <c r="C258" s="1" t="n">
        <v>45940</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51325-2023</t>
        </is>
      </c>
      <c r="B259" s="1" t="n">
        <v>45219</v>
      </c>
      <c r="C259" s="1" t="n">
        <v>45940</v>
      </c>
      <c r="D259" t="inlineStr">
        <is>
          <t>STOCKHOLMS LÄN</t>
        </is>
      </c>
      <c r="E259" t="inlineStr">
        <is>
          <t>NORRTÄLJE</t>
        </is>
      </c>
      <c r="G259" t="n">
        <v>2.2</v>
      </c>
      <c r="H259" t="n">
        <v>0</v>
      </c>
      <c r="I259" t="n">
        <v>0</v>
      </c>
      <c r="J259" t="n">
        <v>0</v>
      </c>
      <c r="K259" t="n">
        <v>0</v>
      </c>
      <c r="L259" t="n">
        <v>0</v>
      </c>
      <c r="M259" t="n">
        <v>0</v>
      </c>
      <c r="N259" t="n">
        <v>0</v>
      </c>
      <c r="O259" t="n">
        <v>0</v>
      </c>
      <c r="P259" t="n">
        <v>0</v>
      </c>
      <c r="Q259" t="n">
        <v>0</v>
      </c>
      <c r="R259" s="2" t="inlineStr"/>
    </row>
    <row r="260" ht="15" customHeight="1">
      <c r="A260" t="inlineStr">
        <is>
          <t>A 59534-2024</t>
        </is>
      </c>
      <c r="B260" s="1" t="n">
        <v>45638.5987037037</v>
      </c>
      <c r="C260" s="1" t="n">
        <v>45940</v>
      </c>
      <c r="D260" t="inlineStr">
        <is>
          <t>STOCKHOLMS LÄN</t>
        </is>
      </c>
      <c r="E260" t="inlineStr">
        <is>
          <t>NORRTÄLJE</t>
        </is>
      </c>
      <c r="F260" t="inlineStr">
        <is>
          <t>Holmen skog AB</t>
        </is>
      </c>
      <c r="G260" t="n">
        <v>1.3</v>
      </c>
      <c r="H260" t="n">
        <v>0</v>
      </c>
      <c r="I260" t="n">
        <v>0</v>
      </c>
      <c r="J260" t="n">
        <v>0</v>
      </c>
      <c r="K260" t="n">
        <v>0</v>
      </c>
      <c r="L260" t="n">
        <v>0</v>
      </c>
      <c r="M260" t="n">
        <v>0</v>
      </c>
      <c r="N260" t="n">
        <v>0</v>
      </c>
      <c r="O260" t="n">
        <v>0</v>
      </c>
      <c r="P260" t="n">
        <v>0</v>
      </c>
      <c r="Q260" t="n">
        <v>0</v>
      </c>
      <c r="R260" s="2" t="inlineStr"/>
    </row>
    <row r="261" ht="15" customHeight="1">
      <c r="A261" t="inlineStr">
        <is>
          <t>A 31107-2022</t>
        </is>
      </c>
      <c r="B261" s="1" t="n">
        <v>44769.66864583334</v>
      </c>
      <c r="C261" s="1" t="n">
        <v>45940</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16119-2022</t>
        </is>
      </c>
      <c r="B262" s="1" t="n">
        <v>44665.66407407408</v>
      </c>
      <c r="C262" s="1" t="n">
        <v>45940</v>
      </c>
      <c r="D262" t="inlineStr">
        <is>
          <t>STOCKHOLMS LÄN</t>
        </is>
      </c>
      <c r="E262" t="inlineStr">
        <is>
          <t>NORRTÄLJE</t>
        </is>
      </c>
      <c r="G262" t="n">
        <v>3.9</v>
      </c>
      <c r="H262" t="n">
        <v>0</v>
      </c>
      <c r="I262" t="n">
        <v>0</v>
      </c>
      <c r="J262" t="n">
        <v>0</v>
      </c>
      <c r="K262" t="n">
        <v>0</v>
      </c>
      <c r="L262" t="n">
        <v>0</v>
      </c>
      <c r="M262" t="n">
        <v>0</v>
      </c>
      <c r="N262" t="n">
        <v>0</v>
      </c>
      <c r="O262" t="n">
        <v>0</v>
      </c>
      <c r="P262" t="n">
        <v>0</v>
      </c>
      <c r="Q262" t="n">
        <v>0</v>
      </c>
      <c r="R262" s="2" t="inlineStr"/>
    </row>
    <row r="263" ht="15" customHeight="1">
      <c r="A263" t="inlineStr">
        <is>
          <t>A 13860-2023</t>
        </is>
      </c>
      <c r="B263" s="1" t="n">
        <v>45007</v>
      </c>
      <c r="C263" s="1" t="n">
        <v>45940</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6855-2025</t>
        </is>
      </c>
      <c r="B264" s="1" t="n">
        <v>45700</v>
      </c>
      <c r="C264" s="1" t="n">
        <v>45940</v>
      </c>
      <c r="D264" t="inlineStr">
        <is>
          <t>STOCKHOLMS LÄN</t>
        </is>
      </c>
      <c r="E264" t="inlineStr">
        <is>
          <t>NORRTÄLJE</t>
        </is>
      </c>
      <c r="G264" t="n">
        <v>1.2</v>
      </c>
      <c r="H264" t="n">
        <v>0</v>
      </c>
      <c r="I264" t="n">
        <v>0</v>
      </c>
      <c r="J264" t="n">
        <v>0</v>
      </c>
      <c r="K264" t="n">
        <v>0</v>
      </c>
      <c r="L264" t="n">
        <v>0</v>
      </c>
      <c r="M264" t="n">
        <v>0</v>
      </c>
      <c r="N264" t="n">
        <v>0</v>
      </c>
      <c r="O264" t="n">
        <v>0</v>
      </c>
      <c r="P264" t="n">
        <v>0</v>
      </c>
      <c r="Q264" t="n">
        <v>0</v>
      </c>
      <c r="R264" s="2" t="inlineStr"/>
    </row>
    <row r="265" ht="15" customHeight="1">
      <c r="A265" t="inlineStr">
        <is>
          <t>A 31924-2022</t>
        </is>
      </c>
      <c r="B265" s="1" t="n">
        <v>44777</v>
      </c>
      <c r="C265" s="1" t="n">
        <v>45940</v>
      </c>
      <c r="D265" t="inlineStr">
        <is>
          <t>STOCKHOLMS LÄN</t>
        </is>
      </c>
      <c r="E265" t="inlineStr">
        <is>
          <t>NORRTÄLJE</t>
        </is>
      </c>
      <c r="G265" t="n">
        <v>0.7</v>
      </c>
      <c r="H265" t="n">
        <v>0</v>
      </c>
      <c r="I265" t="n">
        <v>0</v>
      </c>
      <c r="J265" t="n">
        <v>0</v>
      </c>
      <c r="K265" t="n">
        <v>0</v>
      </c>
      <c r="L265" t="n">
        <v>0</v>
      </c>
      <c r="M265" t="n">
        <v>0</v>
      </c>
      <c r="N265" t="n">
        <v>0</v>
      </c>
      <c r="O265" t="n">
        <v>0</v>
      </c>
      <c r="P265" t="n">
        <v>0</v>
      </c>
      <c r="Q265" t="n">
        <v>0</v>
      </c>
      <c r="R265" s="2" t="inlineStr"/>
    </row>
    <row r="266" ht="15" customHeight="1">
      <c r="A266" t="inlineStr">
        <is>
          <t>A 13314-2025</t>
        </is>
      </c>
      <c r="B266" s="1" t="n">
        <v>45735.59287037037</v>
      </c>
      <c r="C266" s="1" t="n">
        <v>45940</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12270-2022</t>
        </is>
      </c>
      <c r="B267" s="1" t="n">
        <v>44637</v>
      </c>
      <c r="C267" s="1" t="n">
        <v>45940</v>
      </c>
      <c r="D267" t="inlineStr">
        <is>
          <t>STOCKHOLMS LÄN</t>
        </is>
      </c>
      <c r="E267" t="inlineStr">
        <is>
          <t>NORRTÄLJE</t>
        </is>
      </c>
      <c r="G267" t="n">
        <v>2.3</v>
      </c>
      <c r="H267" t="n">
        <v>0</v>
      </c>
      <c r="I267" t="n">
        <v>0</v>
      </c>
      <c r="J267" t="n">
        <v>0</v>
      </c>
      <c r="K267" t="n">
        <v>0</v>
      </c>
      <c r="L267" t="n">
        <v>0</v>
      </c>
      <c r="M267" t="n">
        <v>0</v>
      </c>
      <c r="N267" t="n">
        <v>0</v>
      </c>
      <c r="O267" t="n">
        <v>0</v>
      </c>
      <c r="P267" t="n">
        <v>0</v>
      </c>
      <c r="Q267" t="n">
        <v>0</v>
      </c>
      <c r="R267" s="2" t="inlineStr"/>
    </row>
    <row r="268" ht="15" customHeight="1">
      <c r="A268" t="inlineStr">
        <is>
          <t>A 34432-2021</t>
        </is>
      </c>
      <c r="B268" s="1" t="n">
        <v>44380.77346064815</v>
      </c>
      <c r="C268" s="1" t="n">
        <v>45940</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72704-2021</t>
        </is>
      </c>
      <c r="B269" s="1" t="n">
        <v>44546</v>
      </c>
      <c r="C269" s="1" t="n">
        <v>45940</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52743-2024</t>
        </is>
      </c>
      <c r="B270" s="1" t="n">
        <v>45610.47414351852</v>
      </c>
      <c r="C270" s="1" t="n">
        <v>45940</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16852-2024</t>
        </is>
      </c>
      <c r="B271" s="1" t="n">
        <v>45411.54768518519</v>
      </c>
      <c r="C271" s="1" t="n">
        <v>45940</v>
      </c>
      <c r="D271" t="inlineStr">
        <is>
          <t>STOCKHOLMS LÄN</t>
        </is>
      </c>
      <c r="E271" t="inlineStr">
        <is>
          <t>NORRTÄLJE</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9988-2022</t>
        </is>
      </c>
      <c r="B272" s="1" t="n">
        <v>44621</v>
      </c>
      <c r="C272" s="1" t="n">
        <v>45940</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45940</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60733-2021</t>
        </is>
      </c>
      <c r="B274" s="1" t="n">
        <v>44496.77542824074</v>
      </c>
      <c r="C274" s="1" t="n">
        <v>45940</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3300-2022</t>
        </is>
      </c>
      <c r="B275" s="1" t="n">
        <v>44584.91538194445</v>
      </c>
      <c r="C275" s="1" t="n">
        <v>45940</v>
      </c>
      <c r="D275" t="inlineStr">
        <is>
          <t>STOCKHOLMS LÄN</t>
        </is>
      </c>
      <c r="E275" t="inlineStr">
        <is>
          <t>NORRTÄLJE</t>
        </is>
      </c>
      <c r="G275" t="n">
        <v>0.4</v>
      </c>
      <c r="H275" t="n">
        <v>0</v>
      </c>
      <c r="I275" t="n">
        <v>0</v>
      </c>
      <c r="J275" t="n">
        <v>0</v>
      </c>
      <c r="K275" t="n">
        <v>0</v>
      </c>
      <c r="L275" t="n">
        <v>0</v>
      </c>
      <c r="M275" t="n">
        <v>0</v>
      </c>
      <c r="N275" t="n">
        <v>0</v>
      </c>
      <c r="O275" t="n">
        <v>0</v>
      </c>
      <c r="P275" t="n">
        <v>0</v>
      </c>
      <c r="Q275" t="n">
        <v>0</v>
      </c>
      <c r="R275" s="2" t="inlineStr"/>
    </row>
    <row r="276" ht="15" customHeight="1">
      <c r="A276" t="inlineStr">
        <is>
          <t>A 17388-2022</t>
        </is>
      </c>
      <c r="B276" s="1" t="n">
        <v>44678</v>
      </c>
      <c r="C276" s="1" t="n">
        <v>45940</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38991-2022</t>
        </is>
      </c>
      <c r="B277" s="1" t="n">
        <v>44816.89569444444</v>
      </c>
      <c r="C277" s="1" t="n">
        <v>45940</v>
      </c>
      <c r="D277" t="inlineStr">
        <is>
          <t>STOCKHOLMS LÄN</t>
        </is>
      </c>
      <c r="E277" t="inlineStr">
        <is>
          <t>NORRTÄLJE</t>
        </is>
      </c>
      <c r="G277" t="n">
        <v>1.9</v>
      </c>
      <c r="H277" t="n">
        <v>0</v>
      </c>
      <c r="I277" t="n">
        <v>0</v>
      </c>
      <c r="J277" t="n">
        <v>0</v>
      </c>
      <c r="K277" t="n">
        <v>0</v>
      </c>
      <c r="L277" t="n">
        <v>0</v>
      </c>
      <c r="M277" t="n">
        <v>0</v>
      </c>
      <c r="N277" t="n">
        <v>0</v>
      </c>
      <c r="O277" t="n">
        <v>0</v>
      </c>
      <c r="P277" t="n">
        <v>0</v>
      </c>
      <c r="Q277" t="n">
        <v>0</v>
      </c>
      <c r="R277" s="2" t="inlineStr"/>
    </row>
    <row r="278" ht="15" customHeight="1">
      <c r="A278" t="inlineStr">
        <is>
          <t>A 17771-2022</t>
        </is>
      </c>
      <c r="B278" s="1" t="n">
        <v>44682.75924768519</v>
      </c>
      <c r="C278" s="1" t="n">
        <v>45940</v>
      </c>
      <c r="D278" t="inlineStr">
        <is>
          <t>STOCKHOLMS LÄN</t>
        </is>
      </c>
      <c r="E278" t="inlineStr">
        <is>
          <t>NORRTÄLJE</t>
        </is>
      </c>
      <c r="G278" t="n">
        <v>13.3</v>
      </c>
      <c r="H278" t="n">
        <v>0</v>
      </c>
      <c r="I278" t="n">
        <v>0</v>
      </c>
      <c r="J278" t="n">
        <v>0</v>
      </c>
      <c r="K278" t="n">
        <v>0</v>
      </c>
      <c r="L278" t="n">
        <v>0</v>
      </c>
      <c r="M278" t="n">
        <v>0</v>
      </c>
      <c r="N278" t="n">
        <v>0</v>
      </c>
      <c r="O278" t="n">
        <v>0</v>
      </c>
      <c r="P278" t="n">
        <v>0</v>
      </c>
      <c r="Q278" t="n">
        <v>0</v>
      </c>
      <c r="R278" s="2" t="inlineStr"/>
    </row>
    <row r="279" ht="15" customHeight="1">
      <c r="A279" t="inlineStr">
        <is>
          <t>A 17773-2022</t>
        </is>
      </c>
      <c r="B279" s="1" t="n">
        <v>44682.77616898148</v>
      </c>
      <c r="C279" s="1" t="n">
        <v>45940</v>
      </c>
      <c r="D279" t="inlineStr">
        <is>
          <t>STOCKHOLMS LÄN</t>
        </is>
      </c>
      <c r="E279" t="inlineStr">
        <is>
          <t>NORRTÄLJE</t>
        </is>
      </c>
      <c r="G279" t="n">
        <v>10.8</v>
      </c>
      <c r="H279" t="n">
        <v>0</v>
      </c>
      <c r="I279" t="n">
        <v>0</v>
      </c>
      <c r="J279" t="n">
        <v>0</v>
      </c>
      <c r="K279" t="n">
        <v>0</v>
      </c>
      <c r="L279" t="n">
        <v>0</v>
      </c>
      <c r="M279" t="n">
        <v>0</v>
      </c>
      <c r="N279" t="n">
        <v>0</v>
      </c>
      <c r="O279" t="n">
        <v>0</v>
      </c>
      <c r="P279" t="n">
        <v>0</v>
      </c>
      <c r="Q279" t="n">
        <v>0</v>
      </c>
      <c r="R279" s="2" t="inlineStr"/>
    </row>
    <row r="280" ht="15" customHeight="1">
      <c r="A280" t="inlineStr">
        <is>
          <t>A 23149-2024</t>
        </is>
      </c>
      <c r="B280" s="1" t="n">
        <v>45450.64208333333</v>
      </c>
      <c r="C280" s="1" t="n">
        <v>45940</v>
      </c>
      <c r="D280" t="inlineStr">
        <is>
          <t>STOCKHOLMS LÄN</t>
        </is>
      </c>
      <c r="E280" t="inlineStr">
        <is>
          <t>NORRTÄLJE</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23151-2024</t>
        </is>
      </c>
      <c r="B281" s="1" t="n">
        <v>45450</v>
      </c>
      <c r="C281" s="1" t="n">
        <v>45940</v>
      </c>
      <c r="D281" t="inlineStr">
        <is>
          <t>STOCKHOLMS LÄN</t>
        </is>
      </c>
      <c r="E281" t="inlineStr">
        <is>
          <t>NORRTÄLJE</t>
        </is>
      </c>
      <c r="F281" t="inlineStr">
        <is>
          <t>Kommuner</t>
        </is>
      </c>
      <c r="G281" t="n">
        <v>1.2</v>
      </c>
      <c r="H281" t="n">
        <v>0</v>
      </c>
      <c r="I281" t="n">
        <v>0</v>
      </c>
      <c r="J281" t="n">
        <v>0</v>
      </c>
      <c r="K281" t="n">
        <v>0</v>
      </c>
      <c r="L281" t="n">
        <v>0</v>
      </c>
      <c r="M281" t="n">
        <v>0</v>
      </c>
      <c r="N281" t="n">
        <v>0</v>
      </c>
      <c r="O281" t="n">
        <v>0</v>
      </c>
      <c r="P281" t="n">
        <v>0</v>
      </c>
      <c r="Q281" t="n">
        <v>0</v>
      </c>
      <c r="R281" s="2" t="inlineStr"/>
    </row>
    <row r="282" ht="15" customHeight="1">
      <c r="A282" t="inlineStr">
        <is>
          <t>A 10521-2022</t>
        </is>
      </c>
      <c r="B282" s="1" t="n">
        <v>44623</v>
      </c>
      <c r="C282" s="1" t="n">
        <v>45940</v>
      </c>
      <c r="D282" t="inlineStr">
        <is>
          <t>STOCKHOLMS LÄN</t>
        </is>
      </c>
      <c r="E282" t="inlineStr">
        <is>
          <t>NORRTÄLJE</t>
        </is>
      </c>
      <c r="G282" t="n">
        <v>2.9</v>
      </c>
      <c r="H282" t="n">
        <v>0</v>
      </c>
      <c r="I282" t="n">
        <v>0</v>
      </c>
      <c r="J282" t="n">
        <v>0</v>
      </c>
      <c r="K282" t="n">
        <v>0</v>
      </c>
      <c r="L282" t="n">
        <v>0</v>
      </c>
      <c r="M282" t="n">
        <v>0</v>
      </c>
      <c r="N282" t="n">
        <v>0</v>
      </c>
      <c r="O282" t="n">
        <v>0</v>
      </c>
      <c r="P282" t="n">
        <v>0</v>
      </c>
      <c r="Q282" t="n">
        <v>0</v>
      </c>
      <c r="R282" s="2" t="inlineStr"/>
    </row>
    <row r="283" ht="15" customHeight="1">
      <c r="A283" t="inlineStr">
        <is>
          <t>A 52001-2023</t>
        </is>
      </c>
      <c r="B283" s="1" t="n">
        <v>45223</v>
      </c>
      <c r="C283" s="1" t="n">
        <v>45940</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60185-2024</t>
        </is>
      </c>
      <c r="B284" s="1" t="n">
        <v>45642.64634259259</v>
      </c>
      <c r="C284" s="1" t="n">
        <v>45940</v>
      </c>
      <c r="D284" t="inlineStr">
        <is>
          <t>STOCKHOLMS LÄN</t>
        </is>
      </c>
      <c r="E284" t="inlineStr">
        <is>
          <t>NORRTÄLJE</t>
        </is>
      </c>
      <c r="G284" t="n">
        <v>0.3</v>
      </c>
      <c r="H284" t="n">
        <v>0</v>
      </c>
      <c r="I284" t="n">
        <v>0</v>
      </c>
      <c r="J284" t="n">
        <v>0</v>
      </c>
      <c r="K284" t="n">
        <v>0</v>
      </c>
      <c r="L284" t="n">
        <v>0</v>
      </c>
      <c r="M284" t="n">
        <v>0</v>
      </c>
      <c r="N284" t="n">
        <v>0</v>
      </c>
      <c r="O284" t="n">
        <v>0</v>
      </c>
      <c r="P284" t="n">
        <v>0</v>
      </c>
      <c r="Q284" t="n">
        <v>0</v>
      </c>
      <c r="R284" s="2" t="inlineStr"/>
    </row>
    <row r="285" ht="15" customHeight="1">
      <c r="A285" t="inlineStr">
        <is>
          <t>A 48686-2023</t>
        </is>
      </c>
      <c r="B285" s="1" t="n">
        <v>45208</v>
      </c>
      <c r="C285" s="1" t="n">
        <v>45940</v>
      </c>
      <c r="D285" t="inlineStr">
        <is>
          <t>STOCKHOLMS LÄN</t>
        </is>
      </c>
      <c r="E285" t="inlineStr">
        <is>
          <t>NORRTÄLJE</t>
        </is>
      </c>
      <c r="G285" t="n">
        <v>6</v>
      </c>
      <c r="H285" t="n">
        <v>0</v>
      </c>
      <c r="I285" t="n">
        <v>0</v>
      </c>
      <c r="J285" t="n">
        <v>0</v>
      </c>
      <c r="K285" t="n">
        <v>0</v>
      </c>
      <c r="L285" t="n">
        <v>0</v>
      </c>
      <c r="M285" t="n">
        <v>0</v>
      </c>
      <c r="N285" t="n">
        <v>0</v>
      </c>
      <c r="O285" t="n">
        <v>0</v>
      </c>
      <c r="P285" t="n">
        <v>0</v>
      </c>
      <c r="Q285" t="n">
        <v>0</v>
      </c>
      <c r="R285" s="2" t="inlineStr"/>
    </row>
    <row r="286" ht="15" customHeight="1">
      <c r="A286" t="inlineStr">
        <is>
          <t>A 48691-2023</t>
        </is>
      </c>
      <c r="B286" s="1" t="n">
        <v>45208</v>
      </c>
      <c r="C286" s="1" t="n">
        <v>45940</v>
      </c>
      <c r="D286" t="inlineStr">
        <is>
          <t>STOCKHOLMS LÄN</t>
        </is>
      </c>
      <c r="E286" t="inlineStr">
        <is>
          <t>NORRTÄLJE</t>
        </is>
      </c>
      <c r="G286" t="n">
        <v>5.8</v>
      </c>
      <c r="H286" t="n">
        <v>0</v>
      </c>
      <c r="I286" t="n">
        <v>0</v>
      </c>
      <c r="J286" t="n">
        <v>0</v>
      </c>
      <c r="K286" t="n">
        <v>0</v>
      </c>
      <c r="L286" t="n">
        <v>0</v>
      </c>
      <c r="M286" t="n">
        <v>0</v>
      </c>
      <c r="N286" t="n">
        <v>0</v>
      </c>
      <c r="O286" t="n">
        <v>0</v>
      </c>
      <c r="P286" t="n">
        <v>0</v>
      </c>
      <c r="Q286" t="n">
        <v>0</v>
      </c>
      <c r="R286" s="2" t="inlineStr"/>
    </row>
    <row r="287" ht="15" customHeight="1">
      <c r="A287" t="inlineStr">
        <is>
          <t>A 55755-2023</t>
        </is>
      </c>
      <c r="B287" s="1" t="n">
        <v>45239</v>
      </c>
      <c r="C287" s="1" t="n">
        <v>45940</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53884-2022</t>
        </is>
      </c>
      <c r="B288" s="1" t="n">
        <v>44880.68423611111</v>
      </c>
      <c r="C288" s="1" t="n">
        <v>45940</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12357-2022</t>
        </is>
      </c>
      <c r="B289" s="1" t="n">
        <v>44637</v>
      </c>
      <c r="C289" s="1" t="n">
        <v>45940</v>
      </c>
      <c r="D289" t="inlineStr">
        <is>
          <t>STOCKHOLMS LÄN</t>
        </is>
      </c>
      <c r="E289" t="inlineStr">
        <is>
          <t>NORRTÄLJE</t>
        </is>
      </c>
      <c r="G289" t="n">
        <v>1</v>
      </c>
      <c r="H289" t="n">
        <v>0</v>
      </c>
      <c r="I289" t="n">
        <v>0</v>
      </c>
      <c r="J289" t="n">
        <v>0</v>
      </c>
      <c r="K289" t="n">
        <v>0</v>
      </c>
      <c r="L289" t="n">
        <v>0</v>
      </c>
      <c r="M289" t="n">
        <v>0</v>
      </c>
      <c r="N289" t="n">
        <v>0</v>
      </c>
      <c r="O289" t="n">
        <v>0</v>
      </c>
      <c r="P289" t="n">
        <v>0</v>
      </c>
      <c r="Q289" t="n">
        <v>0</v>
      </c>
      <c r="R289" s="2" t="inlineStr"/>
    </row>
    <row r="290" ht="15" customHeight="1">
      <c r="A290" t="inlineStr">
        <is>
          <t>A 26335-2022</t>
        </is>
      </c>
      <c r="B290" s="1" t="n">
        <v>44735</v>
      </c>
      <c r="C290" s="1" t="n">
        <v>45940</v>
      </c>
      <c r="D290" t="inlineStr">
        <is>
          <t>STOCKHOLMS LÄN</t>
        </is>
      </c>
      <c r="E290" t="inlineStr">
        <is>
          <t>NORRTÄLJE</t>
        </is>
      </c>
      <c r="G290" t="n">
        <v>3.3</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45940</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45940</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21726-2022</t>
        </is>
      </c>
      <c r="B293" s="1" t="n">
        <v>44708</v>
      </c>
      <c r="C293" s="1" t="n">
        <v>45940</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21739-2022</t>
        </is>
      </c>
      <c r="B294" s="1" t="n">
        <v>44708.36708333333</v>
      </c>
      <c r="C294" s="1" t="n">
        <v>45940</v>
      </c>
      <c r="D294" t="inlineStr">
        <is>
          <t>STOCKHOLMS LÄN</t>
        </is>
      </c>
      <c r="E294" t="inlineStr">
        <is>
          <t>NORRTÄLJE</t>
        </is>
      </c>
      <c r="F294" t="inlineStr">
        <is>
          <t>Holmen skog AB</t>
        </is>
      </c>
      <c r="G294" t="n">
        <v>1.1</v>
      </c>
      <c r="H294" t="n">
        <v>0</v>
      </c>
      <c r="I294" t="n">
        <v>0</v>
      </c>
      <c r="J294" t="n">
        <v>0</v>
      </c>
      <c r="K294" t="n">
        <v>0</v>
      </c>
      <c r="L294" t="n">
        <v>0</v>
      </c>
      <c r="M294" t="n">
        <v>0</v>
      </c>
      <c r="N294" t="n">
        <v>0</v>
      </c>
      <c r="O294" t="n">
        <v>0</v>
      </c>
      <c r="P294" t="n">
        <v>0</v>
      </c>
      <c r="Q294" t="n">
        <v>0</v>
      </c>
      <c r="R294" s="2" t="inlineStr"/>
    </row>
    <row r="295" ht="15" customHeight="1">
      <c r="A295" t="inlineStr">
        <is>
          <t>A 35210-2023</t>
        </is>
      </c>
      <c r="B295" s="1" t="n">
        <v>45145.63584490741</v>
      </c>
      <c r="C295" s="1" t="n">
        <v>45940</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17348-2024</t>
        </is>
      </c>
      <c r="B296" s="1" t="n">
        <v>45414.58650462963</v>
      </c>
      <c r="C296" s="1" t="n">
        <v>45940</v>
      </c>
      <c r="D296" t="inlineStr">
        <is>
          <t>STOCKHOLMS LÄN</t>
        </is>
      </c>
      <c r="E296" t="inlineStr">
        <is>
          <t>NORRTÄLJE</t>
        </is>
      </c>
      <c r="G296" t="n">
        <v>2.3</v>
      </c>
      <c r="H296" t="n">
        <v>0</v>
      </c>
      <c r="I296" t="n">
        <v>0</v>
      </c>
      <c r="J296" t="n">
        <v>0</v>
      </c>
      <c r="K296" t="n">
        <v>0</v>
      </c>
      <c r="L296" t="n">
        <v>0</v>
      </c>
      <c r="M296" t="n">
        <v>0</v>
      </c>
      <c r="N296" t="n">
        <v>0</v>
      </c>
      <c r="O296" t="n">
        <v>0</v>
      </c>
      <c r="P296" t="n">
        <v>0</v>
      </c>
      <c r="Q296" t="n">
        <v>0</v>
      </c>
      <c r="R296" s="2" t="inlineStr"/>
    </row>
    <row r="297" ht="15" customHeight="1">
      <c r="A297" t="inlineStr">
        <is>
          <t>A 59767-2022</t>
        </is>
      </c>
      <c r="B297" s="1" t="n">
        <v>44900</v>
      </c>
      <c r="C297" s="1" t="n">
        <v>45940</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70170-2021</t>
        </is>
      </c>
      <c r="B298" s="1" t="n">
        <v>44533</v>
      </c>
      <c r="C298" s="1" t="n">
        <v>45940</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5823-2023</t>
        </is>
      </c>
      <c r="B299" s="1" t="n">
        <v>44963</v>
      </c>
      <c r="C299" s="1" t="n">
        <v>45940</v>
      </c>
      <c r="D299" t="inlineStr">
        <is>
          <t>STOCKHOLMS LÄN</t>
        </is>
      </c>
      <c r="E299" t="inlineStr">
        <is>
          <t>NORRTÄLJE</t>
        </is>
      </c>
      <c r="G299" t="n">
        <v>0.7</v>
      </c>
      <c r="H299" t="n">
        <v>0</v>
      </c>
      <c r="I299" t="n">
        <v>0</v>
      </c>
      <c r="J299" t="n">
        <v>0</v>
      </c>
      <c r="K299" t="n">
        <v>0</v>
      </c>
      <c r="L299" t="n">
        <v>0</v>
      </c>
      <c r="M299" t="n">
        <v>0</v>
      </c>
      <c r="N299" t="n">
        <v>0</v>
      </c>
      <c r="O299" t="n">
        <v>0</v>
      </c>
      <c r="P299" t="n">
        <v>0</v>
      </c>
      <c r="Q299" t="n">
        <v>0</v>
      </c>
      <c r="R299" s="2" t="inlineStr"/>
    </row>
    <row r="300" ht="15" customHeight="1">
      <c r="A300" t="inlineStr">
        <is>
          <t>A 19915-2024</t>
        </is>
      </c>
      <c r="B300" s="1" t="n">
        <v>45433.58431712963</v>
      </c>
      <c r="C300" s="1" t="n">
        <v>45940</v>
      </c>
      <c r="D300" t="inlineStr">
        <is>
          <t>STOCKHOLMS LÄN</t>
        </is>
      </c>
      <c r="E300" t="inlineStr">
        <is>
          <t>NORRTÄLJE</t>
        </is>
      </c>
      <c r="G300" t="n">
        <v>2</v>
      </c>
      <c r="H300" t="n">
        <v>0</v>
      </c>
      <c r="I300" t="n">
        <v>0</v>
      </c>
      <c r="J300" t="n">
        <v>0</v>
      </c>
      <c r="K300" t="n">
        <v>0</v>
      </c>
      <c r="L300" t="n">
        <v>0</v>
      </c>
      <c r="M300" t="n">
        <v>0</v>
      </c>
      <c r="N300" t="n">
        <v>0</v>
      </c>
      <c r="O300" t="n">
        <v>0</v>
      </c>
      <c r="P300" t="n">
        <v>0</v>
      </c>
      <c r="Q300" t="n">
        <v>0</v>
      </c>
      <c r="R300" s="2" t="inlineStr"/>
    </row>
    <row r="301" ht="15" customHeight="1">
      <c r="A301" t="inlineStr">
        <is>
          <t>A 15217-2023</t>
        </is>
      </c>
      <c r="B301" s="1" t="n">
        <v>45019.28847222222</v>
      </c>
      <c r="C301" s="1" t="n">
        <v>45940</v>
      </c>
      <c r="D301" t="inlineStr">
        <is>
          <t>STOCKHOLMS LÄN</t>
        </is>
      </c>
      <c r="E301" t="inlineStr">
        <is>
          <t>NORRTÄLJE</t>
        </is>
      </c>
      <c r="G301" t="n">
        <v>3.6</v>
      </c>
      <c r="H301" t="n">
        <v>0</v>
      </c>
      <c r="I301" t="n">
        <v>0</v>
      </c>
      <c r="J301" t="n">
        <v>0</v>
      </c>
      <c r="K301" t="n">
        <v>0</v>
      </c>
      <c r="L301" t="n">
        <v>0</v>
      </c>
      <c r="M301" t="n">
        <v>0</v>
      </c>
      <c r="N301" t="n">
        <v>0</v>
      </c>
      <c r="O301" t="n">
        <v>0</v>
      </c>
      <c r="P301" t="n">
        <v>0</v>
      </c>
      <c r="Q301" t="n">
        <v>0</v>
      </c>
      <c r="R301" s="2" t="inlineStr"/>
    </row>
    <row r="302" ht="15" customHeight="1">
      <c r="A302" t="inlineStr">
        <is>
          <t>A 30624-2022</t>
        </is>
      </c>
      <c r="B302" s="1" t="n">
        <v>44763.4182175926</v>
      </c>
      <c r="C302" s="1" t="n">
        <v>45940</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25463-2021</t>
        </is>
      </c>
      <c r="B303" s="1" t="n">
        <v>44342</v>
      </c>
      <c r="C303" s="1" t="n">
        <v>45940</v>
      </c>
      <c r="D303" t="inlineStr">
        <is>
          <t>STOCKHOLMS LÄN</t>
        </is>
      </c>
      <c r="E303" t="inlineStr">
        <is>
          <t>NORRTÄLJE</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50143-2023</t>
        </is>
      </c>
      <c r="B304" s="1" t="n">
        <v>45215</v>
      </c>
      <c r="C304" s="1" t="n">
        <v>45940</v>
      </c>
      <c r="D304" t="inlineStr">
        <is>
          <t>STOCKHOLMS LÄN</t>
        </is>
      </c>
      <c r="E304" t="inlineStr">
        <is>
          <t>NORRTÄLJE</t>
        </is>
      </c>
      <c r="G304" t="n">
        <v>10.3</v>
      </c>
      <c r="H304" t="n">
        <v>0</v>
      </c>
      <c r="I304" t="n">
        <v>0</v>
      </c>
      <c r="J304" t="n">
        <v>0</v>
      </c>
      <c r="K304" t="n">
        <v>0</v>
      </c>
      <c r="L304" t="n">
        <v>0</v>
      </c>
      <c r="M304" t="n">
        <v>0</v>
      </c>
      <c r="N304" t="n">
        <v>0</v>
      </c>
      <c r="O304" t="n">
        <v>0</v>
      </c>
      <c r="P304" t="n">
        <v>0</v>
      </c>
      <c r="Q304" t="n">
        <v>0</v>
      </c>
      <c r="R304" s="2" t="inlineStr"/>
    </row>
    <row r="305" ht="15" customHeight="1">
      <c r="A305" t="inlineStr">
        <is>
          <t>A 21102-2022</t>
        </is>
      </c>
      <c r="B305" s="1" t="n">
        <v>44704</v>
      </c>
      <c r="C305" s="1" t="n">
        <v>45940</v>
      </c>
      <c r="D305" t="inlineStr">
        <is>
          <t>STOCKHOLMS LÄN</t>
        </is>
      </c>
      <c r="E305" t="inlineStr">
        <is>
          <t>NORRTÄLJE</t>
        </is>
      </c>
      <c r="G305" t="n">
        <v>0.2</v>
      </c>
      <c r="H305" t="n">
        <v>0</v>
      </c>
      <c r="I305" t="n">
        <v>0</v>
      </c>
      <c r="J305" t="n">
        <v>0</v>
      </c>
      <c r="K305" t="n">
        <v>0</v>
      </c>
      <c r="L305" t="n">
        <v>0</v>
      </c>
      <c r="M305" t="n">
        <v>0</v>
      </c>
      <c r="N305" t="n">
        <v>0</v>
      </c>
      <c r="O305" t="n">
        <v>0</v>
      </c>
      <c r="P305" t="n">
        <v>0</v>
      </c>
      <c r="Q305" t="n">
        <v>0</v>
      </c>
      <c r="R305" s="2" t="inlineStr"/>
    </row>
    <row r="306" ht="15" customHeight="1">
      <c r="A306" t="inlineStr">
        <is>
          <t>A 29176-2024</t>
        </is>
      </c>
      <c r="B306" s="1" t="n">
        <v>45482.53388888889</v>
      </c>
      <c r="C306" s="1" t="n">
        <v>45940</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55982-2020</t>
        </is>
      </c>
      <c r="B307" s="1" t="n">
        <v>44132</v>
      </c>
      <c r="C307" s="1" t="n">
        <v>45940</v>
      </c>
      <c r="D307" t="inlineStr">
        <is>
          <t>STOCKHOLMS LÄN</t>
        </is>
      </c>
      <c r="E307" t="inlineStr">
        <is>
          <t>NORRTÄLJE</t>
        </is>
      </c>
      <c r="G307" t="n">
        <v>11.3</v>
      </c>
      <c r="H307" t="n">
        <v>0</v>
      </c>
      <c r="I307" t="n">
        <v>0</v>
      </c>
      <c r="J307" t="n">
        <v>0</v>
      </c>
      <c r="K307" t="n">
        <v>0</v>
      </c>
      <c r="L307" t="n">
        <v>0</v>
      </c>
      <c r="M307" t="n">
        <v>0</v>
      </c>
      <c r="N307" t="n">
        <v>0</v>
      </c>
      <c r="O307" t="n">
        <v>0</v>
      </c>
      <c r="P307" t="n">
        <v>0</v>
      </c>
      <c r="Q307" t="n">
        <v>0</v>
      </c>
      <c r="R307" s="2" t="inlineStr"/>
    </row>
    <row r="308" ht="15" customHeight="1">
      <c r="A308" t="inlineStr">
        <is>
          <t>A 71880-2021</t>
        </is>
      </c>
      <c r="B308" s="1" t="n">
        <v>44543</v>
      </c>
      <c r="C308" s="1" t="n">
        <v>45940</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36430-2024</t>
        </is>
      </c>
      <c r="B309" s="1" t="n">
        <v>45536</v>
      </c>
      <c r="C309" s="1" t="n">
        <v>45940</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51312-2023</t>
        </is>
      </c>
      <c r="B310" s="1" t="n">
        <v>45219.56697916667</v>
      </c>
      <c r="C310" s="1" t="n">
        <v>45940</v>
      </c>
      <c r="D310" t="inlineStr">
        <is>
          <t>STOCKHOLMS LÄN</t>
        </is>
      </c>
      <c r="E310" t="inlineStr">
        <is>
          <t>NORRTÄLJE</t>
        </is>
      </c>
      <c r="G310" t="n">
        <v>1.9</v>
      </c>
      <c r="H310" t="n">
        <v>0</v>
      </c>
      <c r="I310" t="n">
        <v>0</v>
      </c>
      <c r="J310" t="n">
        <v>0</v>
      </c>
      <c r="K310" t="n">
        <v>0</v>
      </c>
      <c r="L310" t="n">
        <v>0</v>
      </c>
      <c r="M310" t="n">
        <v>0</v>
      </c>
      <c r="N310" t="n">
        <v>0</v>
      </c>
      <c r="O310" t="n">
        <v>0</v>
      </c>
      <c r="P310" t="n">
        <v>0</v>
      </c>
      <c r="Q310" t="n">
        <v>0</v>
      </c>
      <c r="R310" s="2" t="inlineStr"/>
    </row>
    <row r="311" ht="15" customHeight="1">
      <c r="A311" t="inlineStr">
        <is>
          <t>A 17772-2022</t>
        </is>
      </c>
      <c r="B311" s="1" t="n">
        <v>44682.76528935185</v>
      </c>
      <c r="C311" s="1" t="n">
        <v>45940</v>
      </c>
      <c r="D311" t="inlineStr">
        <is>
          <t>STOCKHOLMS LÄN</t>
        </is>
      </c>
      <c r="E311" t="inlineStr">
        <is>
          <t>NORRTÄLJE</t>
        </is>
      </c>
      <c r="G311" t="n">
        <v>4</v>
      </c>
      <c r="H311" t="n">
        <v>0</v>
      </c>
      <c r="I311" t="n">
        <v>0</v>
      </c>
      <c r="J311" t="n">
        <v>0</v>
      </c>
      <c r="K311" t="n">
        <v>0</v>
      </c>
      <c r="L311" t="n">
        <v>0</v>
      </c>
      <c r="M311" t="n">
        <v>0</v>
      </c>
      <c r="N311" t="n">
        <v>0</v>
      </c>
      <c r="O311" t="n">
        <v>0</v>
      </c>
      <c r="P311" t="n">
        <v>0</v>
      </c>
      <c r="Q311" t="n">
        <v>0</v>
      </c>
      <c r="R311" s="2" t="inlineStr"/>
    </row>
    <row r="312" ht="15" customHeight="1">
      <c r="A312" t="inlineStr">
        <is>
          <t>A 35640-2024</t>
        </is>
      </c>
      <c r="B312" s="1" t="n">
        <v>45531</v>
      </c>
      <c r="C312" s="1" t="n">
        <v>45940</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67285-2021</t>
        </is>
      </c>
      <c r="B313" s="1" t="n">
        <v>44523.61635416667</v>
      </c>
      <c r="C313" s="1" t="n">
        <v>45940</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5611-2022</t>
        </is>
      </c>
      <c r="B314" s="1" t="n">
        <v>44595</v>
      </c>
      <c r="C314" s="1" t="n">
        <v>45940</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32055-2021</t>
        </is>
      </c>
      <c r="B315" s="1" t="n">
        <v>44370.72197916666</v>
      </c>
      <c r="C315" s="1" t="n">
        <v>45940</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24101-2022</t>
        </is>
      </c>
      <c r="B316" s="1" t="n">
        <v>44725</v>
      </c>
      <c r="C316" s="1" t="n">
        <v>45940</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43212-2022</t>
        </is>
      </c>
      <c r="B317" s="1" t="n">
        <v>44834.38636574074</v>
      </c>
      <c r="C317" s="1" t="n">
        <v>45940</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51653-2022</t>
        </is>
      </c>
      <c r="B318" s="1" t="n">
        <v>44867</v>
      </c>
      <c r="C318" s="1" t="n">
        <v>45940</v>
      </c>
      <c r="D318" t="inlineStr">
        <is>
          <t>STOCKHOLMS LÄN</t>
        </is>
      </c>
      <c r="E318" t="inlineStr">
        <is>
          <t>NORRTÄLJE</t>
        </is>
      </c>
      <c r="G318" t="n">
        <v>6.6</v>
      </c>
      <c r="H318" t="n">
        <v>0</v>
      </c>
      <c r="I318" t="n">
        <v>0</v>
      </c>
      <c r="J318" t="n">
        <v>0</v>
      </c>
      <c r="K318" t="n">
        <v>0</v>
      </c>
      <c r="L318" t="n">
        <v>0</v>
      </c>
      <c r="M318" t="n">
        <v>0</v>
      </c>
      <c r="N318" t="n">
        <v>0</v>
      </c>
      <c r="O318" t="n">
        <v>0</v>
      </c>
      <c r="P318" t="n">
        <v>0</v>
      </c>
      <c r="Q318" t="n">
        <v>0</v>
      </c>
      <c r="R318" s="2" t="inlineStr"/>
    </row>
    <row r="319" ht="15" customHeight="1">
      <c r="A319" t="inlineStr">
        <is>
          <t>A 7571-2024</t>
        </is>
      </c>
      <c r="B319" s="1" t="n">
        <v>45348.46300925926</v>
      </c>
      <c r="C319" s="1" t="n">
        <v>45940</v>
      </c>
      <c r="D319" t="inlineStr">
        <is>
          <t>STOCKHOLMS LÄN</t>
        </is>
      </c>
      <c r="E319" t="inlineStr">
        <is>
          <t>NORRTÄLJE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10511-2025</t>
        </is>
      </c>
      <c r="B320" s="1" t="n">
        <v>45721.40780092592</v>
      </c>
      <c r="C320" s="1" t="n">
        <v>45940</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13089-2022</t>
        </is>
      </c>
      <c r="B321" s="1" t="n">
        <v>44643</v>
      </c>
      <c r="C321" s="1" t="n">
        <v>45940</v>
      </c>
      <c r="D321" t="inlineStr">
        <is>
          <t>STOCKHOLMS LÄN</t>
        </is>
      </c>
      <c r="E321" t="inlineStr">
        <is>
          <t>NORRTÄLJE</t>
        </is>
      </c>
      <c r="G321" t="n">
        <v>4.5</v>
      </c>
      <c r="H321" t="n">
        <v>0</v>
      </c>
      <c r="I321" t="n">
        <v>0</v>
      </c>
      <c r="J321" t="n">
        <v>0</v>
      </c>
      <c r="K321" t="n">
        <v>0</v>
      </c>
      <c r="L321" t="n">
        <v>0</v>
      </c>
      <c r="M321" t="n">
        <v>0</v>
      </c>
      <c r="N321" t="n">
        <v>0</v>
      </c>
      <c r="O321" t="n">
        <v>0</v>
      </c>
      <c r="P321" t="n">
        <v>0</v>
      </c>
      <c r="Q321" t="n">
        <v>0</v>
      </c>
      <c r="R321" s="2" t="inlineStr"/>
    </row>
    <row r="322" ht="15" customHeight="1">
      <c r="A322" t="inlineStr">
        <is>
          <t>A 11849-2025</t>
        </is>
      </c>
      <c r="B322" s="1" t="n">
        <v>45728.38409722222</v>
      </c>
      <c r="C322" s="1" t="n">
        <v>45940</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4322-2023</t>
        </is>
      </c>
      <c r="B323" s="1" t="n">
        <v>44953.69298611111</v>
      </c>
      <c r="C323" s="1" t="n">
        <v>45940</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48145-2024</t>
        </is>
      </c>
      <c r="B324" s="1" t="n">
        <v>45589.6756712963</v>
      </c>
      <c r="C324" s="1" t="n">
        <v>45940</v>
      </c>
      <c r="D324" t="inlineStr">
        <is>
          <t>STOCKHOLMS LÄN</t>
        </is>
      </c>
      <c r="E324" t="inlineStr">
        <is>
          <t>NORRTÄLJE</t>
        </is>
      </c>
      <c r="G324" t="n">
        <v>3.4</v>
      </c>
      <c r="H324" t="n">
        <v>0</v>
      </c>
      <c r="I324" t="n">
        <v>0</v>
      </c>
      <c r="J324" t="n">
        <v>0</v>
      </c>
      <c r="K324" t="n">
        <v>0</v>
      </c>
      <c r="L324" t="n">
        <v>0</v>
      </c>
      <c r="M324" t="n">
        <v>0</v>
      </c>
      <c r="N324" t="n">
        <v>0</v>
      </c>
      <c r="O324" t="n">
        <v>0</v>
      </c>
      <c r="P324" t="n">
        <v>0</v>
      </c>
      <c r="Q324" t="n">
        <v>0</v>
      </c>
      <c r="R324" s="2" t="inlineStr"/>
    </row>
    <row r="325" ht="15" customHeight="1">
      <c r="A325" t="inlineStr">
        <is>
          <t>A 40425-2021</t>
        </is>
      </c>
      <c r="B325" s="1" t="n">
        <v>44419</v>
      </c>
      <c r="C325" s="1" t="n">
        <v>45940</v>
      </c>
      <c r="D325" t="inlineStr">
        <is>
          <t>STOCKHOLMS LÄN</t>
        </is>
      </c>
      <c r="E325" t="inlineStr">
        <is>
          <t>NORRTÄLJE</t>
        </is>
      </c>
      <c r="G325" t="n">
        <v>5</v>
      </c>
      <c r="H325" t="n">
        <v>0</v>
      </c>
      <c r="I325" t="n">
        <v>0</v>
      </c>
      <c r="J325" t="n">
        <v>0</v>
      </c>
      <c r="K325" t="n">
        <v>0</v>
      </c>
      <c r="L325" t="n">
        <v>0</v>
      </c>
      <c r="M325" t="n">
        <v>0</v>
      </c>
      <c r="N325" t="n">
        <v>0</v>
      </c>
      <c r="O325" t="n">
        <v>0</v>
      </c>
      <c r="P325" t="n">
        <v>0</v>
      </c>
      <c r="Q325" t="n">
        <v>0</v>
      </c>
      <c r="R325" s="2" t="inlineStr"/>
    </row>
    <row r="326" ht="15" customHeight="1">
      <c r="A326" t="inlineStr">
        <is>
          <t>A 58990-2021</t>
        </is>
      </c>
      <c r="B326" s="1" t="n">
        <v>44490.03621527777</v>
      </c>
      <c r="C326" s="1" t="n">
        <v>45940</v>
      </c>
      <c r="D326" t="inlineStr">
        <is>
          <t>STOCKHOLMS LÄN</t>
        </is>
      </c>
      <c r="E326" t="inlineStr">
        <is>
          <t>NORRTÄLJE</t>
        </is>
      </c>
      <c r="G326" t="n">
        <v>4.2</v>
      </c>
      <c r="H326" t="n">
        <v>0</v>
      </c>
      <c r="I326" t="n">
        <v>0</v>
      </c>
      <c r="J326" t="n">
        <v>0</v>
      </c>
      <c r="K326" t="n">
        <v>0</v>
      </c>
      <c r="L326" t="n">
        <v>0</v>
      </c>
      <c r="M326" t="n">
        <v>0</v>
      </c>
      <c r="N326" t="n">
        <v>0</v>
      </c>
      <c r="O326" t="n">
        <v>0</v>
      </c>
      <c r="P326" t="n">
        <v>0</v>
      </c>
      <c r="Q326" t="n">
        <v>0</v>
      </c>
      <c r="R326" s="2" t="inlineStr"/>
    </row>
    <row r="327" ht="15" customHeight="1">
      <c r="A327" t="inlineStr">
        <is>
          <t>A 23998-2024</t>
        </is>
      </c>
      <c r="B327" s="1" t="n">
        <v>45456</v>
      </c>
      <c r="C327" s="1" t="n">
        <v>45940</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38721-2022</t>
        </is>
      </c>
      <c r="B328" s="1" t="n">
        <v>44815</v>
      </c>
      <c r="C328" s="1" t="n">
        <v>45940</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15447-2023</t>
        </is>
      </c>
      <c r="B329" s="1" t="n">
        <v>45020</v>
      </c>
      <c r="C329" s="1" t="n">
        <v>45940</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60184-2021</t>
        </is>
      </c>
      <c r="B330" s="1" t="n">
        <v>44495</v>
      </c>
      <c r="C330" s="1" t="n">
        <v>45940</v>
      </c>
      <c r="D330" t="inlineStr">
        <is>
          <t>STOCKHOLMS LÄN</t>
        </is>
      </c>
      <c r="E330" t="inlineStr">
        <is>
          <t>NORRTÄLJE</t>
        </is>
      </c>
      <c r="G330" t="n">
        <v>1.8</v>
      </c>
      <c r="H330" t="n">
        <v>0</v>
      </c>
      <c r="I330" t="n">
        <v>0</v>
      </c>
      <c r="J330" t="n">
        <v>0</v>
      </c>
      <c r="K330" t="n">
        <v>0</v>
      </c>
      <c r="L330" t="n">
        <v>0</v>
      </c>
      <c r="M330" t="n">
        <v>0</v>
      </c>
      <c r="N330" t="n">
        <v>0</v>
      </c>
      <c r="O330" t="n">
        <v>0</v>
      </c>
      <c r="P330" t="n">
        <v>0</v>
      </c>
      <c r="Q330" t="n">
        <v>0</v>
      </c>
      <c r="R330" s="2" t="inlineStr"/>
    </row>
    <row r="331" ht="15" customHeight="1">
      <c r="A331" t="inlineStr">
        <is>
          <t>A 38990-2022</t>
        </is>
      </c>
      <c r="B331" s="1" t="n">
        <v>44816</v>
      </c>
      <c r="C331" s="1" t="n">
        <v>45940</v>
      </c>
      <c r="D331" t="inlineStr">
        <is>
          <t>STOCKHOLMS LÄN</t>
        </is>
      </c>
      <c r="E331" t="inlineStr">
        <is>
          <t>NORRTÄLJE</t>
        </is>
      </c>
      <c r="G331" t="n">
        <v>5.7</v>
      </c>
      <c r="H331" t="n">
        <v>0</v>
      </c>
      <c r="I331" t="n">
        <v>0</v>
      </c>
      <c r="J331" t="n">
        <v>0</v>
      </c>
      <c r="K331" t="n">
        <v>0</v>
      </c>
      <c r="L331" t="n">
        <v>0</v>
      </c>
      <c r="M331" t="n">
        <v>0</v>
      </c>
      <c r="N331" t="n">
        <v>0</v>
      </c>
      <c r="O331" t="n">
        <v>0</v>
      </c>
      <c r="P331" t="n">
        <v>0</v>
      </c>
      <c r="Q331" t="n">
        <v>0</v>
      </c>
      <c r="R331" s="2" t="inlineStr"/>
    </row>
    <row r="332" ht="15" customHeight="1">
      <c r="A332" t="inlineStr">
        <is>
          <t>A 20790-2025</t>
        </is>
      </c>
      <c r="B332" s="1" t="n">
        <v>45776.62563657408</v>
      </c>
      <c r="C332" s="1" t="n">
        <v>45940</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17956-2025</t>
        </is>
      </c>
      <c r="B333" s="1" t="n">
        <v>45760.91174768518</v>
      </c>
      <c r="C333" s="1" t="n">
        <v>45940</v>
      </c>
      <c r="D333" t="inlineStr">
        <is>
          <t>STOCKHOLMS LÄN</t>
        </is>
      </c>
      <c r="E333" t="inlineStr">
        <is>
          <t>NORRTÄLJE</t>
        </is>
      </c>
      <c r="G333" t="n">
        <v>4.3</v>
      </c>
      <c r="H333" t="n">
        <v>0</v>
      </c>
      <c r="I333" t="n">
        <v>0</v>
      </c>
      <c r="J333" t="n">
        <v>0</v>
      </c>
      <c r="K333" t="n">
        <v>0</v>
      </c>
      <c r="L333" t="n">
        <v>0</v>
      </c>
      <c r="M333" t="n">
        <v>0</v>
      </c>
      <c r="N333" t="n">
        <v>0</v>
      </c>
      <c r="O333" t="n">
        <v>0</v>
      </c>
      <c r="P333" t="n">
        <v>0</v>
      </c>
      <c r="Q333" t="n">
        <v>0</v>
      </c>
      <c r="R333" s="2" t="inlineStr"/>
    </row>
    <row r="334" ht="15" customHeight="1">
      <c r="A334" t="inlineStr">
        <is>
          <t>A 20699-2025</t>
        </is>
      </c>
      <c r="B334" s="1" t="n">
        <v>45776.47346064815</v>
      </c>
      <c r="C334" s="1" t="n">
        <v>45940</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875-2023</t>
        </is>
      </c>
      <c r="B335" s="1" t="n">
        <v>44931.65626157408</v>
      </c>
      <c r="C335" s="1" t="n">
        <v>45940</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3152-2024</t>
        </is>
      </c>
      <c r="B336" s="1" t="n">
        <v>45316.60306712963</v>
      </c>
      <c r="C336" s="1" t="n">
        <v>45940</v>
      </c>
      <c r="D336" t="inlineStr">
        <is>
          <t>STOCKHOLMS LÄN</t>
        </is>
      </c>
      <c r="E336" t="inlineStr">
        <is>
          <t>NORRTÄLJE</t>
        </is>
      </c>
      <c r="G336" t="n">
        <v>7.9</v>
      </c>
      <c r="H336" t="n">
        <v>0</v>
      </c>
      <c r="I336" t="n">
        <v>0</v>
      </c>
      <c r="J336" t="n">
        <v>0</v>
      </c>
      <c r="K336" t="n">
        <v>0</v>
      </c>
      <c r="L336" t="n">
        <v>0</v>
      </c>
      <c r="M336" t="n">
        <v>0</v>
      </c>
      <c r="N336" t="n">
        <v>0</v>
      </c>
      <c r="O336" t="n">
        <v>0</v>
      </c>
      <c r="P336" t="n">
        <v>0</v>
      </c>
      <c r="Q336" t="n">
        <v>0</v>
      </c>
      <c r="R336" s="2" t="inlineStr"/>
    </row>
    <row r="337" ht="15" customHeight="1">
      <c r="A337" t="inlineStr">
        <is>
          <t>A 31236-2022</t>
        </is>
      </c>
      <c r="B337" s="1" t="n">
        <v>44771</v>
      </c>
      <c r="C337" s="1" t="n">
        <v>45940</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8315-2025</t>
        </is>
      </c>
      <c r="B338" s="1" t="n">
        <v>45708.61761574074</v>
      </c>
      <c r="C338" s="1" t="n">
        <v>45940</v>
      </c>
      <c r="D338" t="inlineStr">
        <is>
          <t>STOCKHOLMS LÄN</t>
        </is>
      </c>
      <c r="E338" t="inlineStr">
        <is>
          <t>NORRTÄLJE</t>
        </is>
      </c>
      <c r="G338" t="n">
        <v>3.9</v>
      </c>
      <c r="H338" t="n">
        <v>0</v>
      </c>
      <c r="I338" t="n">
        <v>0</v>
      </c>
      <c r="J338" t="n">
        <v>0</v>
      </c>
      <c r="K338" t="n">
        <v>0</v>
      </c>
      <c r="L338" t="n">
        <v>0</v>
      </c>
      <c r="M338" t="n">
        <v>0</v>
      </c>
      <c r="N338" t="n">
        <v>0</v>
      </c>
      <c r="O338" t="n">
        <v>0</v>
      </c>
      <c r="P338" t="n">
        <v>0</v>
      </c>
      <c r="Q338" t="n">
        <v>0</v>
      </c>
      <c r="R338" s="2" t="inlineStr"/>
    </row>
    <row r="339" ht="15" customHeight="1">
      <c r="A339" t="inlineStr">
        <is>
          <t>A 31281-2022</t>
        </is>
      </c>
      <c r="B339" s="1" t="n">
        <v>44771</v>
      </c>
      <c r="C339" s="1" t="n">
        <v>45940</v>
      </c>
      <c r="D339" t="inlineStr">
        <is>
          <t>STOCKHOLMS LÄN</t>
        </is>
      </c>
      <c r="E339" t="inlineStr">
        <is>
          <t>NORRTÄLJE</t>
        </is>
      </c>
      <c r="F339" t="inlineStr">
        <is>
          <t>Holmen skog AB</t>
        </is>
      </c>
      <c r="G339" t="n">
        <v>5.2</v>
      </c>
      <c r="H339" t="n">
        <v>0</v>
      </c>
      <c r="I339" t="n">
        <v>0</v>
      </c>
      <c r="J339" t="n">
        <v>0</v>
      </c>
      <c r="K339" t="n">
        <v>0</v>
      </c>
      <c r="L339" t="n">
        <v>0</v>
      </c>
      <c r="M339" t="n">
        <v>0</v>
      </c>
      <c r="N339" t="n">
        <v>0</v>
      </c>
      <c r="O339" t="n">
        <v>0</v>
      </c>
      <c r="P339" t="n">
        <v>0</v>
      </c>
      <c r="Q339" t="n">
        <v>0</v>
      </c>
      <c r="R339" s="2" t="inlineStr"/>
    </row>
    <row r="340" ht="15" customHeight="1">
      <c r="A340" t="inlineStr">
        <is>
          <t>A 59326-2023</t>
        </is>
      </c>
      <c r="B340" s="1" t="n">
        <v>45253.63089120371</v>
      </c>
      <c r="C340" s="1" t="n">
        <v>45940</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44836-2023</t>
        </is>
      </c>
      <c r="B341" s="1" t="n">
        <v>45190.55609953704</v>
      </c>
      <c r="C341" s="1" t="n">
        <v>45940</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20779-2025</t>
        </is>
      </c>
      <c r="B342" s="1" t="n">
        <v>45776.59871527777</v>
      </c>
      <c r="C342" s="1" t="n">
        <v>45940</v>
      </c>
      <c r="D342" t="inlineStr">
        <is>
          <t>STOCKHOLMS LÄN</t>
        </is>
      </c>
      <c r="E342" t="inlineStr">
        <is>
          <t>NORRTÄLJE</t>
        </is>
      </c>
      <c r="G342" t="n">
        <v>6.9</v>
      </c>
      <c r="H342" t="n">
        <v>0</v>
      </c>
      <c r="I342" t="n">
        <v>0</v>
      </c>
      <c r="J342" t="n">
        <v>0</v>
      </c>
      <c r="K342" t="n">
        <v>0</v>
      </c>
      <c r="L342" t="n">
        <v>0</v>
      </c>
      <c r="M342" t="n">
        <v>0</v>
      </c>
      <c r="N342" t="n">
        <v>0</v>
      </c>
      <c r="O342" t="n">
        <v>0</v>
      </c>
      <c r="P342" t="n">
        <v>0</v>
      </c>
      <c r="Q342" t="n">
        <v>0</v>
      </c>
      <c r="R342" s="2" t="inlineStr"/>
    </row>
    <row r="343" ht="15" customHeight="1">
      <c r="A343" t="inlineStr">
        <is>
          <t>A 27828-2022</t>
        </is>
      </c>
      <c r="B343" s="1" t="n">
        <v>44743.59765046297</v>
      </c>
      <c r="C343" s="1" t="n">
        <v>45940</v>
      </c>
      <c r="D343" t="inlineStr">
        <is>
          <t>STOCKHOLMS LÄN</t>
        </is>
      </c>
      <c r="E343" t="inlineStr">
        <is>
          <t>NORRTÄLJE</t>
        </is>
      </c>
      <c r="F343" t="inlineStr">
        <is>
          <t>Kommuner</t>
        </is>
      </c>
      <c r="G343" t="n">
        <v>1.6</v>
      </c>
      <c r="H343" t="n">
        <v>0</v>
      </c>
      <c r="I343" t="n">
        <v>0</v>
      </c>
      <c r="J343" t="n">
        <v>0</v>
      </c>
      <c r="K343" t="n">
        <v>0</v>
      </c>
      <c r="L343" t="n">
        <v>0</v>
      </c>
      <c r="M343" t="n">
        <v>0</v>
      </c>
      <c r="N343" t="n">
        <v>0</v>
      </c>
      <c r="O343" t="n">
        <v>0</v>
      </c>
      <c r="P343" t="n">
        <v>0</v>
      </c>
      <c r="Q343" t="n">
        <v>0</v>
      </c>
      <c r="R343" s="2" t="inlineStr"/>
    </row>
    <row r="344" ht="15" customHeight="1">
      <c r="A344" t="inlineStr">
        <is>
          <t>A 54358-2022</t>
        </is>
      </c>
      <c r="B344" s="1" t="n">
        <v>44882</v>
      </c>
      <c r="C344" s="1" t="n">
        <v>45940</v>
      </c>
      <c r="D344" t="inlineStr">
        <is>
          <t>STOCKHOLMS LÄN</t>
        </is>
      </c>
      <c r="E344" t="inlineStr">
        <is>
          <t>NORRTÄLJE</t>
        </is>
      </c>
      <c r="G344" t="n">
        <v>3.3</v>
      </c>
      <c r="H344" t="n">
        <v>0</v>
      </c>
      <c r="I344" t="n">
        <v>0</v>
      </c>
      <c r="J344" t="n">
        <v>0</v>
      </c>
      <c r="K344" t="n">
        <v>0</v>
      </c>
      <c r="L344" t="n">
        <v>0</v>
      </c>
      <c r="M344" t="n">
        <v>0</v>
      </c>
      <c r="N344" t="n">
        <v>0</v>
      </c>
      <c r="O344" t="n">
        <v>0</v>
      </c>
      <c r="P344" t="n">
        <v>0</v>
      </c>
      <c r="Q344" t="n">
        <v>0</v>
      </c>
      <c r="R344" s="2" t="inlineStr"/>
    </row>
    <row r="345" ht="15" customHeight="1">
      <c r="A345" t="inlineStr">
        <is>
          <t>A 16229-2022</t>
        </is>
      </c>
      <c r="B345" s="1" t="n">
        <v>44670.4190162037</v>
      </c>
      <c r="C345" s="1" t="n">
        <v>45940</v>
      </c>
      <c r="D345" t="inlineStr">
        <is>
          <t>STOCKHOLMS LÄN</t>
        </is>
      </c>
      <c r="E345" t="inlineStr">
        <is>
          <t>NORRTÄLJE</t>
        </is>
      </c>
      <c r="G345" t="n">
        <v>7.4</v>
      </c>
      <c r="H345" t="n">
        <v>0</v>
      </c>
      <c r="I345" t="n">
        <v>0</v>
      </c>
      <c r="J345" t="n">
        <v>0</v>
      </c>
      <c r="K345" t="n">
        <v>0</v>
      </c>
      <c r="L345" t="n">
        <v>0</v>
      </c>
      <c r="M345" t="n">
        <v>0</v>
      </c>
      <c r="N345" t="n">
        <v>0</v>
      </c>
      <c r="O345" t="n">
        <v>0</v>
      </c>
      <c r="P345" t="n">
        <v>0</v>
      </c>
      <c r="Q345" t="n">
        <v>0</v>
      </c>
      <c r="R345" s="2" t="inlineStr"/>
    </row>
    <row r="346" ht="15" customHeight="1">
      <c r="A346" t="inlineStr">
        <is>
          <t>A 18665-2022</t>
        </is>
      </c>
      <c r="B346" s="1" t="n">
        <v>44687</v>
      </c>
      <c r="C346" s="1" t="n">
        <v>45940</v>
      </c>
      <c r="D346" t="inlineStr">
        <is>
          <t>STOCKHOLMS LÄN</t>
        </is>
      </c>
      <c r="E346" t="inlineStr">
        <is>
          <t>NORRTÄLJE</t>
        </is>
      </c>
      <c r="F346" t="inlineStr">
        <is>
          <t>Kyrkan</t>
        </is>
      </c>
      <c r="G346" t="n">
        <v>1.1</v>
      </c>
      <c r="H346" t="n">
        <v>0</v>
      </c>
      <c r="I346" t="n">
        <v>0</v>
      </c>
      <c r="J346" t="n">
        <v>0</v>
      </c>
      <c r="K346" t="n">
        <v>0</v>
      </c>
      <c r="L346" t="n">
        <v>0</v>
      </c>
      <c r="M346" t="n">
        <v>0</v>
      </c>
      <c r="N346" t="n">
        <v>0</v>
      </c>
      <c r="O346" t="n">
        <v>0</v>
      </c>
      <c r="P346" t="n">
        <v>0</v>
      </c>
      <c r="Q346" t="n">
        <v>0</v>
      </c>
      <c r="R346" s="2" t="inlineStr"/>
    </row>
    <row r="347" ht="15" customHeight="1">
      <c r="A347" t="inlineStr">
        <is>
          <t>A 33226-2024</t>
        </is>
      </c>
      <c r="B347" s="1" t="n">
        <v>45518</v>
      </c>
      <c r="C347" s="1" t="n">
        <v>45940</v>
      </c>
      <c r="D347" t="inlineStr">
        <is>
          <t>STOCKHOLMS LÄN</t>
        </is>
      </c>
      <c r="E347" t="inlineStr">
        <is>
          <t>NORRTÄLJE</t>
        </is>
      </c>
      <c r="G347" t="n">
        <v>13.8</v>
      </c>
      <c r="H347" t="n">
        <v>0</v>
      </c>
      <c r="I347" t="n">
        <v>0</v>
      </c>
      <c r="J347" t="n">
        <v>0</v>
      </c>
      <c r="K347" t="n">
        <v>0</v>
      </c>
      <c r="L347" t="n">
        <v>0</v>
      </c>
      <c r="M347" t="n">
        <v>0</v>
      </c>
      <c r="N347" t="n">
        <v>0</v>
      </c>
      <c r="O347" t="n">
        <v>0</v>
      </c>
      <c r="P347" t="n">
        <v>0</v>
      </c>
      <c r="Q347" t="n">
        <v>0</v>
      </c>
      <c r="R347" s="2" t="inlineStr"/>
    </row>
    <row r="348" ht="15" customHeight="1">
      <c r="A348" t="inlineStr">
        <is>
          <t>A 22008-2024</t>
        </is>
      </c>
      <c r="B348" s="1" t="n">
        <v>45443</v>
      </c>
      <c r="C348" s="1" t="n">
        <v>45940</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23263-2023</t>
        </is>
      </c>
      <c r="B349" s="1" t="n">
        <v>45075</v>
      </c>
      <c r="C349" s="1" t="n">
        <v>45940</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23264-2023</t>
        </is>
      </c>
      <c r="B350" s="1" t="n">
        <v>45075</v>
      </c>
      <c r="C350" s="1" t="n">
        <v>45940</v>
      </c>
      <c r="D350" t="inlineStr">
        <is>
          <t>STOCKHOLMS LÄN</t>
        </is>
      </c>
      <c r="E350" t="inlineStr">
        <is>
          <t>NORRTÄLJE</t>
        </is>
      </c>
      <c r="G350" t="n">
        <v>2.9</v>
      </c>
      <c r="H350" t="n">
        <v>0</v>
      </c>
      <c r="I350" t="n">
        <v>0</v>
      </c>
      <c r="J350" t="n">
        <v>0</v>
      </c>
      <c r="K350" t="n">
        <v>0</v>
      </c>
      <c r="L350" t="n">
        <v>0</v>
      </c>
      <c r="M350" t="n">
        <v>0</v>
      </c>
      <c r="N350" t="n">
        <v>0</v>
      </c>
      <c r="O350" t="n">
        <v>0</v>
      </c>
      <c r="P350" t="n">
        <v>0</v>
      </c>
      <c r="Q350" t="n">
        <v>0</v>
      </c>
      <c r="R350" s="2" t="inlineStr"/>
    </row>
    <row r="351" ht="15" customHeight="1">
      <c r="A351" t="inlineStr">
        <is>
          <t>A 23267-2023</t>
        </is>
      </c>
      <c r="B351" s="1" t="n">
        <v>45075.90934027778</v>
      </c>
      <c r="C351" s="1" t="n">
        <v>45940</v>
      </c>
      <c r="D351" t="inlineStr">
        <is>
          <t>STOCKHOLMS LÄN</t>
        </is>
      </c>
      <c r="E351" t="inlineStr">
        <is>
          <t>NORRTÄLJE</t>
        </is>
      </c>
      <c r="G351" t="n">
        <v>0.5</v>
      </c>
      <c r="H351" t="n">
        <v>0</v>
      </c>
      <c r="I351" t="n">
        <v>0</v>
      </c>
      <c r="J351" t="n">
        <v>0</v>
      </c>
      <c r="K351" t="n">
        <v>0</v>
      </c>
      <c r="L351" t="n">
        <v>0</v>
      </c>
      <c r="M351" t="n">
        <v>0</v>
      </c>
      <c r="N351" t="n">
        <v>0</v>
      </c>
      <c r="O351" t="n">
        <v>0</v>
      </c>
      <c r="P351" t="n">
        <v>0</v>
      </c>
      <c r="Q351" t="n">
        <v>0</v>
      </c>
      <c r="R351" s="2" t="inlineStr"/>
    </row>
    <row r="352" ht="15" customHeight="1">
      <c r="A352" t="inlineStr">
        <is>
          <t>A 23269-2023</t>
        </is>
      </c>
      <c r="B352" s="1" t="n">
        <v>45075.91148148148</v>
      </c>
      <c r="C352" s="1" t="n">
        <v>45940</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19911-2025</t>
        </is>
      </c>
      <c r="B353" s="1" t="n">
        <v>45771</v>
      </c>
      <c r="C353" s="1" t="n">
        <v>45940</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5831-2022</t>
        </is>
      </c>
      <c r="B354" s="1" t="n">
        <v>44596</v>
      </c>
      <c r="C354" s="1" t="n">
        <v>45940</v>
      </c>
      <c r="D354" t="inlineStr">
        <is>
          <t>STOCKHOLMS LÄN</t>
        </is>
      </c>
      <c r="E354" t="inlineStr">
        <is>
          <t>NORRTÄLJE</t>
        </is>
      </c>
      <c r="G354" t="n">
        <v>4.8</v>
      </c>
      <c r="H354" t="n">
        <v>0</v>
      </c>
      <c r="I354" t="n">
        <v>0</v>
      </c>
      <c r="J354" t="n">
        <v>0</v>
      </c>
      <c r="K354" t="n">
        <v>0</v>
      </c>
      <c r="L354" t="n">
        <v>0</v>
      </c>
      <c r="M354" t="n">
        <v>0</v>
      </c>
      <c r="N354" t="n">
        <v>0</v>
      </c>
      <c r="O354" t="n">
        <v>0</v>
      </c>
      <c r="P354" t="n">
        <v>0</v>
      </c>
      <c r="Q354" t="n">
        <v>0</v>
      </c>
      <c r="R354" s="2" t="inlineStr"/>
    </row>
    <row r="355" ht="15" customHeight="1">
      <c r="A355" t="inlineStr">
        <is>
          <t>A 5867-2022</t>
        </is>
      </c>
      <c r="B355" s="1" t="n">
        <v>44596.66335648148</v>
      </c>
      <c r="C355" s="1" t="n">
        <v>45940</v>
      </c>
      <c r="D355" t="inlineStr">
        <is>
          <t>STOCKHOLMS LÄN</t>
        </is>
      </c>
      <c r="E355" t="inlineStr">
        <is>
          <t>NORRTÄLJE</t>
        </is>
      </c>
      <c r="F355" t="inlineStr">
        <is>
          <t>Naturvårdsverket</t>
        </is>
      </c>
      <c r="G355" t="n">
        <v>1.6</v>
      </c>
      <c r="H355" t="n">
        <v>0</v>
      </c>
      <c r="I355" t="n">
        <v>0</v>
      </c>
      <c r="J355" t="n">
        <v>0</v>
      </c>
      <c r="K355" t="n">
        <v>0</v>
      </c>
      <c r="L355" t="n">
        <v>0</v>
      </c>
      <c r="M355" t="n">
        <v>0</v>
      </c>
      <c r="N355" t="n">
        <v>0</v>
      </c>
      <c r="O355" t="n">
        <v>0</v>
      </c>
      <c r="P355" t="n">
        <v>0</v>
      </c>
      <c r="Q355" t="n">
        <v>0</v>
      </c>
      <c r="R355" s="2" t="inlineStr"/>
    </row>
    <row r="356" ht="15" customHeight="1">
      <c r="A356" t="inlineStr">
        <is>
          <t>A 55243-2023</t>
        </is>
      </c>
      <c r="B356" s="1" t="n">
        <v>45237</v>
      </c>
      <c r="C356" s="1" t="n">
        <v>45940</v>
      </c>
      <c r="D356" t="inlineStr">
        <is>
          <t>STOCKHOLMS LÄN</t>
        </is>
      </c>
      <c r="E356" t="inlineStr">
        <is>
          <t>NORRTÄLJE</t>
        </is>
      </c>
      <c r="G356" t="n">
        <v>6.5</v>
      </c>
      <c r="H356" t="n">
        <v>0</v>
      </c>
      <c r="I356" t="n">
        <v>0</v>
      </c>
      <c r="J356" t="n">
        <v>0</v>
      </c>
      <c r="K356" t="n">
        <v>0</v>
      </c>
      <c r="L356" t="n">
        <v>0</v>
      </c>
      <c r="M356" t="n">
        <v>0</v>
      </c>
      <c r="N356" t="n">
        <v>0</v>
      </c>
      <c r="O356" t="n">
        <v>0</v>
      </c>
      <c r="P356" t="n">
        <v>0</v>
      </c>
      <c r="Q356" t="n">
        <v>0</v>
      </c>
      <c r="R356" s="2" t="inlineStr"/>
    </row>
    <row r="357" ht="15" customHeight="1">
      <c r="A357" t="inlineStr">
        <is>
          <t>A 21771-2025</t>
        </is>
      </c>
      <c r="B357" s="1" t="n">
        <v>45783</v>
      </c>
      <c r="C357" s="1" t="n">
        <v>45940</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52260-2022</t>
        </is>
      </c>
      <c r="B358" s="1" t="n">
        <v>44869</v>
      </c>
      <c r="C358" s="1" t="n">
        <v>45940</v>
      </c>
      <c r="D358" t="inlineStr">
        <is>
          <t>STOCKHOLMS LÄN</t>
        </is>
      </c>
      <c r="E358" t="inlineStr">
        <is>
          <t>NORRTÄLJE</t>
        </is>
      </c>
      <c r="G358" t="n">
        <v>3.1</v>
      </c>
      <c r="H358" t="n">
        <v>0</v>
      </c>
      <c r="I358" t="n">
        <v>0</v>
      </c>
      <c r="J358" t="n">
        <v>0</v>
      </c>
      <c r="K358" t="n">
        <v>0</v>
      </c>
      <c r="L358" t="n">
        <v>0</v>
      </c>
      <c r="M358" t="n">
        <v>0</v>
      </c>
      <c r="N358" t="n">
        <v>0</v>
      </c>
      <c r="O358" t="n">
        <v>0</v>
      </c>
      <c r="P358" t="n">
        <v>0</v>
      </c>
      <c r="Q358" t="n">
        <v>0</v>
      </c>
      <c r="R358" s="2" t="inlineStr"/>
    </row>
    <row r="359" ht="15" customHeight="1">
      <c r="A359" t="inlineStr">
        <is>
          <t>A 58302-2022</t>
        </is>
      </c>
      <c r="B359" s="1" t="n">
        <v>44901</v>
      </c>
      <c r="C359" s="1" t="n">
        <v>45940</v>
      </c>
      <c r="D359" t="inlineStr">
        <is>
          <t>STOCKHOLMS LÄN</t>
        </is>
      </c>
      <c r="E359" t="inlineStr">
        <is>
          <t>NORRTÄLJE</t>
        </is>
      </c>
      <c r="G359" t="n">
        <v>3.9</v>
      </c>
      <c r="H359" t="n">
        <v>0</v>
      </c>
      <c r="I359" t="n">
        <v>0</v>
      </c>
      <c r="J359" t="n">
        <v>0</v>
      </c>
      <c r="K359" t="n">
        <v>0</v>
      </c>
      <c r="L359" t="n">
        <v>0</v>
      </c>
      <c r="M359" t="n">
        <v>0</v>
      </c>
      <c r="N359" t="n">
        <v>0</v>
      </c>
      <c r="O359" t="n">
        <v>0</v>
      </c>
      <c r="P359" t="n">
        <v>0</v>
      </c>
      <c r="Q359" t="n">
        <v>0</v>
      </c>
      <c r="R359" s="2" t="inlineStr"/>
    </row>
    <row r="360" ht="15" customHeight="1">
      <c r="A360" t="inlineStr">
        <is>
          <t>A 25557-2023</t>
        </is>
      </c>
      <c r="B360" s="1" t="n">
        <v>45089</v>
      </c>
      <c r="C360" s="1" t="n">
        <v>45940</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27715-2022</t>
        </is>
      </c>
      <c r="B361" s="1" t="n">
        <v>44743.47407407407</v>
      </c>
      <c r="C361" s="1" t="n">
        <v>45940</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21778-2025</t>
        </is>
      </c>
      <c r="B362" s="1" t="n">
        <v>45783.66429398148</v>
      </c>
      <c r="C362" s="1" t="n">
        <v>45940</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38591-2023</t>
        </is>
      </c>
      <c r="B363" s="1" t="n">
        <v>45162</v>
      </c>
      <c r="C363" s="1" t="n">
        <v>45940</v>
      </c>
      <c r="D363" t="inlineStr">
        <is>
          <t>STOCKHOLMS LÄN</t>
        </is>
      </c>
      <c r="E363" t="inlineStr">
        <is>
          <t>NORRTÄLJE</t>
        </is>
      </c>
      <c r="F363" t="inlineStr">
        <is>
          <t>Övriga Aktiebolag</t>
        </is>
      </c>
      <c r="G363" t="n">
        <v>3.1</v>
      </c>
      <c r="H363" t="n">
        <v>0</v>
      </c>
      <c r="I363" t="n">
        <v>0</v>
      </c>
      <c r="J363" t="n">
        <v>0</v>
      </c>
      <c r="K363" t="n">
        <v>0</v>
      </c>
      <c r="L363" t="n">
        <v>0</v>
      </c>
      <c r="M363" t="n">
        <v>0</v>
      </c>
      <c r="N363" t="n">
        <v>0</v>
      </c>
      <c r="O363" t="n">
        <v>0</v>
      </c>
      <c r="P363" t="n">
        <v>0</v>
      </c>
      <c r="Q363" t="n">
        <v>0</v>
      </c>
      <c r="R363" s="2" t="inlineStr"/>
    </row>
    <row r="364" ht="15" customHeight="1">
      <c r="A364" t="inlineStr">
        <is>
          <t>A 20244-2025</t>
        </is>
      </c>
      <c r="B364" s="1" t="n">
        <v>45772.71221064815</v>
      </c>
      <c r="C364" s="1" t="n">
        <v>45940</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30338-2022</t>
        </is>
      </c>
      <c r="B365" s="1" t="n">
        <v>44760</v>
      </c>
      <c r="C365" s="1" t="n">
        <v>45940</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48633-2023</t>
        </is>
      </c>
      <c r="B366" s="1" t="n">
        <v>45208.58004629629</v>
      </c>
      <c r="C366" s="1" t="n">
        <v>45940</v>
      </c>
      <c r="D366" t="inlineStr">
        <is>
          <t>STOCKHOLMS LÄN</t>
        </is>
      </c>
      <c r="E366" t="inlineStr">
        <is>
          <t>NORRTÄLJE</t>
        </is>
      </c>
      <c r="G366" t="n">
        <v>3.3</v>
      </c>
      <c r="H366" t="n">
        <v>0</v>
      </c>
      <c r="I366" t="n">
        <v>0</v>
      </c>
      <c r="J366" t="n">
        <v>0</v>
      </c>
      <c r="K366" t="n">
        <v>0</v>
      </c>
      <c r="L366" t="n">
        <v>0</v>
      </c>
      <c r="M366" t="n">
        <v>0</v>
      </c>
      <c r="N366" t="n">
        <v>0</v>
      </c>
      <c r="O366" t="n">
        <v>0</v>
      </c>
      <c r="P366" t="n">
        <v>0</v>
      </c>
      <c r="Q366" t="n">
        <v>0</v>
      </c>
      <c r="R366" s="2" t="inlineStr"/>
    </row>
    <row r="367" ht="15" customHeight="1">
      <c r="A367" t="inlineStr">
        <is>
          <t>A 55890-2020</t>
        </is>
      </c>
      <c r="B367" s="1" t="n">
        <v>44132</v>
      </c>
      <c r="C367" s="1" t="n">
        <v>45940</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2888-2022</t>
        </is>
      </c>
      <c r="B368" s="1" t="n">
        <v>44581</v>
      </c>
      <c r="C368" s="1" t="n">
        <v>45940</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52686-2024</t>
        </is>
      </c>
      <c r="B369" s="1" t="n">
        <v>45610.39271990741</v>
      </c>
      <c r="C369" s="1" t="n">
        <v>45940</v>
      </c>
      <c r="D369" t="inlineStr">
        <is>
          <t>STOCKHOLMS LÄN</t>
        </is>
      </c>
      <c r="E369" t="inlineStr">
        <is>
          <t>NORRTÄLJE</t>
        </is>
      </c>
      <c r="G369" t="n">
        <v>5.7</v>
      </c>
      <c r="H369" t="n">
        <v>0</v>
      </c>
      <c r="I369" t="n">
        <v>0</v>
      </c>
      <c r="J369" t="n">
        <v>0</v>
      </c>
      <c r="K369" t="n">
        <v>0</v>
      </c>
      <c r="L369" t="n">
        <v>0</v>
      </c>
      <c r="M369" t="n">
        <v>0</v>
      </c>
      <c r="N369" t="n">
        <v>0</v>
      </c>
      <c r="O369" t="n">
        <v>0</v>
      </c>
      <c r="P369" t="n">
        <v>0</v>
      </c>
      <c r="Q369" t="n">
        <v>0</v>
      </c>
      <c r="R369" s="2" t="inlineStr"/>
    </row>
    <row r="370" ht="15" customHeight="1">
      <c r="A370" t="inlineStr">
        <is>
          <t>A 39669-2024</t>
        </is>
      </c>
      <c r="B370" s="1" t="n">
        <v>45552.52827546297</v>
      </c>
      <c r="C370" s="1" t="n">
        <v>45940</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20343-2024</t>
        </is>
      </c>
      <c r="B371" s="1" t="n">
        <v>45435.43466435185</v>
      </c>
      <c r="C371" s="1" t="n">
        <v>45940</v>
      </c>
      <c r="D371" t="inlineStr">
        <is>
          <t>STOCKHOLMS LÄN</t>
        </is>
      </c>
      <c r="E371" t="inlineStr">
        <is>
          <t>NORRTÄLJE</t>
        </is>
      </c>
      <c r="G371" t="n">
        <v>2.8</v>
      </c>
      <c r="H371" t="n">
        <v>0</v>
      </c>
      <c r="I371" t="n">
        <v>0</v>
      </c>
      <c r="J371" t="n">
        <v>0</v>
      </c>
      <c r="K371" t="n">
        <v>0</v>
      </c>
      <c r="L371" t="n">
        <v>0</v>
      </c>
      <c r="M371" t="n">
        <v>0</v>
      </c>
      <c r="N371" t="n">
        <v>0</v>
      </c>
      <c r="O371" t="n">
        <v>0</v>
      </c>
      <c r="P371" t="n">
        <v>0</v>
      </c>
      <c r="Q371" t="n">
        <v>0</v>
      </c>
      <c r="R371" s="2" t="inlineStr"/>
    </row>
    <row r="372" ht="15" customHeight="1">
      <c r="A372" t="inlineStr">
        <is>
          <t>A 20345-2024</t>
        </is>
      </c>
      <c r="B372" s="1" t="n">
        <v>45435.43820601852</v>
      </c>
      <c r="C372" s="1" t="n">
        <v>45940</v>
      </c>
      <c r="D372" t="inlineStr">
        <is>
          <t>STOCKHOLMS LÄN</t>
        </is>
      </c>
      <c r="E372" t="inlineStr">
        <is>
          <t>NORRTÄLJE</t>
        </is>
      </c>
      <c r="G372" t="n">
        <v>3.8</v>
      </c>
      <c r="H372" t="n">
        <v>0</v>
      </c>
      <c r="I372" t="n">
        <v>0</v>
      </c>
      <c r="J372" t="n">
        <v>0</v>
      </c>
      <c r="K372" t="n">
        <v>0</v>
      </c>
      <c r="L372" t="n">
        <v>0</v>
      </c>
      <c r="M372" t="n">
        <v>0</v>
      </c>
      <c r="N372" t="n">
        <v>0</v>
      </c>
      <c r="O372" t="n">
        <v>0</v>
      </c>
      <c r="P372" t="n">
        <v>0</v>
      </c>
      <c r="Q372" t="n">
        <v>0</v>
      </c>
      <c r="R372" s="2" t="inlineStr"/>
    </row>
    <row r="373" ht="15" customHeight="1">
      <c r="A373" t="inlineStr">
        <is>
          <t>A 55696-2022</t>
        </is>
      </c>
      <c r="B373" s="1" t="n">
        <v>44888</v>
      </c>
      <c r="C373" s="1" t="n">
        <v>45940</v>
      </c>
      <c r="D373" t="inlineStr">
        <is>
          <t>STOCKHOLMS LÄN</t>
        </is>
      </c>
      <c r="E373" t="inlineStr">
        <is>
          <t>NORRTÄLJE</t>
        </is>
      </c>
      <c r="G373" t="n">
        <v>2.2</v>
      </c>
      <c r="H373" t="n">
        <v>0</v>
      </c>
      <c r="I373" t="n">
        <v>0</v>
      </c>
      <c r="J373" t="n">
        <v>0</v>
      </c>
      <c r="K373" t="n">
        <v>0</v>
      </c>
      <c r="L373" t="n">
        <v>0</v>
      </c>
      <c r="M373" t="n">
        <v>0</v>
      </c>
      <c r="N373" t="n">
        <v>0</v>
      </c>
      <c r="O373" t="n">
        <v>0</v>
      </c>
      <c r="P373" t="n">
        <v>0</v>
      </c>
      <c r="Q373" t="n">
        <v>0</v>
      </c>
      <c r="R373" s="2" t="inlineStr"/>
    </row>
    <row r="374" ht="15" customHeight="1">
      <c r="A374" t="inlineStr">
        <is>
          <t>A 22412-2021</t>
        </is>
      </c>
      <c r="B374" s="1" t="n">
        <v>44326.61967592593</v>
      </c>
      <c r="C374" s="1" t="n">
        <v>45940</v>
      </c>
      <c r="D374" t="inlineStr">
        <is>
          <t>STOCKHOLMS LÄN</t>
        </is>
      </c>
      <c r="E374" t="inlineStr">
        <is>
          <t>NORRTÄLJE</t>
        </is>
      </c>
      <c r="G374" t="n">
        <v>1.7</v>
      </c>
      <c r="H374" t="n">
        <v>0</v>
      </c>
      <c r="I374" t="n">
        <v>0</v>
      </c>
      <c r="J374" t="n">
        <v>0</v>
      </c>
      <c r="K374" t="n">
        <v>0</v>
      </c>
      <c r="L374" t="n">
        <v>0</v>
      </c>
      <c r="M374" t="n">
        <v>0</v>
      </c>
      <c r="N374" t="n">
        <v>0</v>
      </c>
      <c r="O374" t="n">
        <v>0</v>
      </c>
      <c r="P374" t="n">
        <v>0</v>
      </c>
      <c r="Q374" t="n">
        <v>0</v>
      </c>
      <c r="R374" s="2" t="inlineStr"/>
    </row>
    <row r="375" ht="15" customHeight="1">
      <c r="A375" t="inlineStr">
        <is>
          <t>A 9765-2024</t>
        </is>
      </c>
      <c r="B375" s="1" t="n">
        <v>45362.62811342593</v>
      </c>
      <c r="C375" s="1" t="n">
        <v>45940</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35691-2023</t>
        </is>
      </c>
      <c r="B376" s="1" t="n">
        <v>45147.65222222222</v>
      </c>
      <c r="C376" s="1" t="n">
        <v>45940</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35693-2023</t>
        </is>
      </c>
      <c r="B377" s="1" t="n">
        <v>45147.65311342593</v>
      </c>
      <c r="C377" s="1" t="n">
        <v>45940</v>
      </c>
      <c r="D377" t="inlineStr">
        <is>
          <t>STOCKHOLMS LÄN</t>
        </is>
      </c>
      <c r="E377" t="inlineStr">
        <is>
          <t>NORRTÄLJE</t>
        </is>
      </c>
      <c r="G377" t="n">
        <v>2.2</v>
      </c>
      <c r="H377" t="n">
        <v>0</v>
      </c>
      <c r="I377" t="n">
        <v>0</v>
      </c>
      <c r="J377" t="n">
        <v>0</v>
      </c>
      <c r="K377" t="n">
        <v>0</v>
      </c>
      <c r="L377" t="n">
        <v>0</v>
      </c>
      <c r="M377" t="n">
        <v>0</v>
      </c>
      <c r="N377" t="n">
        <v>0</v>
      </c>
      <c r="O377" t="n">
        <v>0</v>
      </c>
      <c r="P377" t="n">
        <v>0</v>
      </c>
      <c r="Q377" t="n">
        <v>0</v>
      </c>
      <c r="R377" s="2" t="inlineStr"/>
    </row>
    <row r="378" ht="15" customHeight="1">
      <c r="A378" t="inlineStr">
        <is>
          <t>A 59875-2024</t>
        </is>
      </c>
      <c r="B378" s="1" t="n">
        <v>45640.58716435185</v>
      </c>
      <c r="C378" s="1" t="n">
        <v>45940</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57216-2020</t>
        </is>
      </c>
      <c r="B379" s="1" t="n">
        <v>44139.54078703704</v>
      </c>
      <c r="C379" s="1" t="n">
        <v>45940</v>
      </c>
      <c r="D379" t="inlineStr">
        <is>
          <t>STOCKHOLMS LÄN</t>
        </is>
      </c>
      <c r="E379" t="inlineStr">
        <is>
          <t>NORRTÄLJE</t>
        </is>
      </c>
      <c r="G379" t="n">
        <v>0.8</v>
      </c>
      <c r="H379" t="n">
        <v>0</v>
      </c>
      <c r="I379" t="n">
        <v>0</v>
      </c>
      <c r="J379" t="n">
        <v>0</v>
      </c>
      <c r="K379" t="n">
        <v>0</v>
      </c>
      <c r="L379" t="n">
        <v>0</v>
      </c>
      <c r="M379" t="n">
        <v>0</v>
      </c>
      <c r="N379" t="n">
        <v>0</v>
      </c>
      <c r="O379" t="n">
        <v>0</v>
      </c>
      <c r="P379" t="n">
        <v>0</v>
      </c>
      <c r="Q379" t="n">
        <v>0</v>
      </c>
      <c r="R379" s="2" t="inlineStr"/>
    </row>
    <row r="380" ht="15" customHeight="1">
      <c r="A380" t="inlineStr">
        <is>
          <t>A 11-2024</t>
        </is>
      </c>
      <c r="B380" s="1" t="n">
        <v>45293</v>
      </c>
      <c r="C380" s="1" t="n">
        <v>45940</v>
      </c>
      <c r="D380" t="inlineStr">
        <is>
          <t>STOCKHOLMS LÄN</t>
        </is>
      </c>
      <c r="E380" t="inlineStr">
        <is>
          <t>NORRTÄLJE</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14559-2024</t>
        </is>
      </c>
      <c r="B381" s="1" t="n">
        <v>45394.72869212963</v>
      </c>
      <c r="C381" s="1" t="n">
        <v>45940</v>
      </c>
      <c r="D381" t="inlineStr">
        <is>
          <t>STOCKHOLMS LÄN</t>
        </is>
      </c>
      <c r="E381" t="inlineStr">
        <is>
          <t>NORRTÄLJE</t>
        </is>
      </c>
      <c r="G381" t="n">
        <v>4.2</v>
      </c>
      <c r="H381" t="n">
        <v>0</v>
      </c>
      <c r="I381" t="n">
        <v>0</v>
      </c>
      <c r="J381" t="n">
        <v>0</v>
      </c>
      <c r="K381" t="n">
        <v>0</v>
      </c>
      <c r="L381" t="n">
        <v>0</v>
      </c>
      <c r="M381" t="n">
        <v>0</v>
      </c>
      <c r="N381" t="n">
        <v>0</v>
      </c>
      <c r="O381" t="n">
        <v>0</v>
      </c>
      <c r="P381" t="n">
        <v>0</v>
      </c>
      <c r="Q381" t="n">
        <v>0</v>
      </c>
      <c r="R381" s="2" t="inlineStr"/>
    </row>
    <row r="382" ht="15" customHeight="1">
      <c r="A382" t="inlineStr">
        <is>
          <t>A 13053-2022</t>
        </is>
      </c>
      <c r="B382" s="1" t="n">
        <v>44643</v>
      </c>
      <c r="C382" s="1" t="n">
        <v>45940</v>
      </c>
      <c r="D382" t="inlineStr">
        <is>
          <t>STOCKHOLMS LÄN</t>
        </is>
      </c>
      <c r="E382" t="inlineStr">
        <is>
          <t>NORRTÄLJE</t>
        </is>
      </c>
      <c r="G382" t="n">
        <v>2.8</v>
      </c>
      <c r="H382" t="n">
        <v>0</v>
      </c>
      <c r="I382" t="n">
        <v>0</v>
      </c>
      <c r="J382" t="n">
        <v>0</v>
      </c>
      <c r="K382" t="n">
        <v>0</v>
      </c>
      <c r="L382" t="n">
        <v>0</v>
      </c>
      <c r="M382" t="n">
        <v>0</v>
      </c>
      <c r="N382" t="n">
        <v>0</v>
      </c>
      <c r="O382" t="n">
        <v>0</v>
      </c>
      <c r="P382" t="n">
        <v>0</v>
      </c>
      <c r="Q382" t="n">
        <v>0</v>
      </c>
      <c r="R382" s="2" t="inlineStr"/>
    </row>
    <row r="383" ht="15" customHeight="1">
      <c r="A383" t="inlineStr">
        <is>
          <t>A 15915-2023</t>
        </is>
      </c>
      <c r="B383" s="1" t="n">
        <v>45022</v>
      </c>
      <c r="C383" s="1" t="n">
        <v>45940</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8433-2022</t>
        </is>
      </c>
      <c r="B384" s="1" t="n">
        <v>44611</v>
      </c>
      <c r="C384" s="1" t="n">
        <v>45940</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43170-2023</t>
        </is>
      </c>
      <c r="B385" s="1" t="n">
        <v>45183</v>
      </c>
      <c r="C385" s="1" t="n">
        <v>45940</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25525-2022</t>
        </is>
      </c>
      <c r="B386" s="1" t="n">
        <v>44732</v>
      </c>
      <c r="C386" s="1" t="n">
        <v>45940</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9-2024</t>
        </is>
      </c>
      <c r="B387" s="1" t="n">
        <v>45293</v>
      </c>
      <c r="C387" s="1" t="n">
        <v>45940</v>
      </c>
      <c r="D387" t="inlineStr">
        <is>
          <t>STOCKHOLMS LÄN</t>
        </is>
      </c>
      <c r="E387" t="inlineStr">
        <is>
          <t>NORRTÄLJE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22832-2021</t>
        </is>
      </c>
      <c r="B388" s="1" t="n">
        <v>44325</v>
      </c>
      <c r="C388" s="1" t="n">
        <v>45940</v>
      </c>
      <c r="D388" t="inlineStr">
        <is>
          <t>STOCKHOLMS LÄN</t>
        </is>
      </c>
      <c r="E388" t="inlineStr">
        <is>
          <t>NORRTÄLJE</t>
        </is>
      </c>
      <c r="G388" t="n">
        <v>6.8</v>
      </c>
      <c r="H388" t="n">
        <v>0</v>
      </c>
      <c r="I388" t="n">
        <v>0</v>
      </c>
      <c r="J388" t="n">
        <v>0</v>
      </c>
      <c r="K388" t="n">
        <v>0</v>
      </c>
      <c r="L388" t="n">
        <v>0</v>
      </c>
      <c r="M388" t="n">
        <v>0</v>
      </c>
      <c r="N388" t="n">
        <v>0</v>
      </c>
      <c r="O388" t="n">
        <v>0</v>
      </c>
      <c r="P388" t="n">
        <v>0</v>
      </c>
      <c r="Q388" t="n">
        <v>0</v>
      </c>
      <c r="R388" s="2" t="inlineStr"/>
    </row>
    <row r="389" ht="15" customHeight="1">
      <c r="A389" t="inlineStr">
        <is>
          <t>A 16913-2025</t>
        </is>
      </c>
      <c r="B389" s="1" t="n">
        <v>45755.36583333334</v>
      </c>
      <c r="C389" s="1" t="n">
        <v>45940</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12302-2025</t>
        </is>
      </c>
      <c r="B390" s="1" t="n">
        <v>45729.72851851852</v>
      </c>
      <c r="C390" s="1" t="n">
        <v>45940</v>
      </c>
      <c r="D390" t="inlineStr">
        <is>
          <t>STOCKHOLMS LÄN</t>
        </is>
      </c>
      <c r="E390" t="inlineStr">
        <is>
          <t>NORRTÄLJE</t>
        </is>
      </c>
      <c r="F390" t="inlineStr">
        <is>
          <t>Holmen skog AB</t>
        </is>
      </c>
      <c r="G390" t="n">
        <v>0.8</v>
      </c>
      <c r="H390" t="n">
        <v>0</v>
      </c>
      <c r="I390" t="n">
        <v>0</v>
      </c>
      <c r="J390" t="n">
        <v>0</v>
      </c>
      <c r="K390" t="n">
        <v>0</v>
      </c>
      <c r="L390" t="n">
        <v>0</v>
      </c>
      <c r="M390" t="n">
        <v>0</v>
      </c>
      <c r="N390" t="n">
        <v>0</v>
      </c>
      <c r="O390" t="n">
        <v>0</v>
      </c>
      <c r="P390" t="n">
        <v>0</v>
      </c>
      <c r="Q390" t="n">
        <v>0</v>
      </c>
      <c r="R390" s="2" t="inlineStr"/>
    </row>
    <row r="391" ht="15" customHeight="1">
      <c r="A391" t="inlineStr">
        <is>
          <t>A 4035-2023</t>
        </is>
      </c>
      <c r="B391" s="1" t="n">
        <v>44952.57989583333</v>
      </c>
      <c r="C391" s="1" t="n">
        <v>45940</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22202-2025</t>
        </is>
      </c>
      <c r="B392" s="1" t="n">
        <v>45785.65300925926</v>
      </c>
      <c r="C392" s="1" t="n">
        <v>45940</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38889-2024</t>
        </is>
      </c>
      <c r="B393" s="1" t="n">
        <v>45547</v>
      </c>
      <c r="C393" s="1" t="n">
        <v>45940</v>
      </c>
      <c r="D393" t="inlineStr">
        <is>
          <t>STOCKHOLMS LÄN</t>
        </is>
      </c>
      <c r="E393" t="inlineStr">
        <is>
          <t>NORRTÄLJE</t>
        </is>
      </c>
      <c r="G393" t="n">
        <v>1.1</v>
      </c>
      <c r="H393" t="n">
        <v>0</v>
      </c>
      <c r="I393" t="n">
        <v>0</v>
      </c>
      <c r="J393" t="n">
        <v>0</v>
      </c>
      <c r="K393" t="n">
        <v>0</v>
      </c>
      <c r="L393" t="n">
        <v>0</v>
      </c>
      <c r="M393" t="n">
        <v>0</v>
      </c>
      <c r="N393" t="n">
        <v>0</v>
      </c>
      <c r="O393" t="n">
        <v>0</v>
      </c>
      <c r="P393" t="n">
        <v>0</v>
      </c>
      <c r="Q393" t="n">
        <v>0</v>
      </c>
      <c r="R393" s="2" t="inlineStr"/>
    </row>
    <row r="394" ht="15" customHeight="1">
      <c r="A394" t="inlineStr">
        <is>
          <t>A 45451-2024</t>
        </is>
      </c>
      <c r="B394" s="1" t="n">
        <v>45576</v>
      </c>
      <c r="C394" s="1" t="n">
        <v>45940</v>
      </c>
      <c r="D394" t="inlineStr">
        <is>
          <t>STOCKHOLMS LÄN</t>
        </is>
      </c>
      <c r="E394" t="inlineStr">
        <is>
          <t>NORRTÄLJE</t>
        </is>
      </c>
      <c r="G394" t="n">
        <v>1.3</v>
      </c>
      <c r="H394" t="n">
        <v>0</v>
      </c>
      <c r="I394" t="n">
        <v>0</v>
      </c>
      <c r="J394" t="n">
        <v>0</v>
      </c>
      <c r="K394" t="n">
        <v>0</v>
      </c>
      <c r="L394" t="n">
        <v>0</v>
      </c>
      <c r="M394" t="n">
        <v>0</v>
      </c>
      <c r="N394" t="n">
        <v>0</v>
      </c>
      <c r="O394" t="n">
        <v>0</v>
      </c>
      <c r="P394" t="n">
        <v>0</v>
      </c>
      <c r="Q394" t="n">
        <v>0</v>
      </c>
      <c r="R394" s="2" t="inlineStr"/>
    </row>
    <row r="395" ht="15" customHeight="1">
      <c r="A395" t="inlineStr">
        <is>
          <t>A 29972-2024</t>
        </is>
      </c>
      <c r="B395" s="1" t="n">
        <v>45485</v>
      </c>
      <c r="C395" s="1" t="n">
        <v>45940</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48716-2023</t>
        </is>
      </c>
      <c r="B396" s="1" t="n">
        <v>45208.69671296296</v>
      </c>
      <c r="C396" s="1" t="n">
        <v>45940</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5027-2025</t>
        </is>
      </c>
      <c r="B397" s="1" t="n">
        <v>45691.41101851852</v>
      </c>
      <c r="C397" s="1" t="n">
        <v>45940</v>
      </c>
      <c r="D397" t="inlineStr">
        <is>
          <t>STOCKHOLMS LÄN</t>
        </is>
      </c>
      <c r="E397" t="inlineStr">
        <is>
          <t>NORRTÄLJE</t>
        </is>
      </c>
      <c r="G397" t="n">
        <v>0.8</v>
      </c>
      <c r="H397" t="n">
        <v>0</v>
      </c>
      <c r="I397" t="n">
        <v>0</v>
      </c>
      <c r="J397" t="n">
        <v>0</v>
      </c>
      <c r="K397" t="n">
        <v>0</v>
      </c>
      <c r="L397" t="n">
        <v>0</v>
      </c>
      <c r="M397" t="n">
        <v>0</v>
      </c>
      <c r="N397" t="n">
        <v>0</v>
      </c>
      <c r="O397" t="n">
        <v>0</v>
      </c>
      <c r="P397" t="n">
        <v>0</v>
      </c>
      <c r="Q397" t="n">
        <v>0</v>
      </c>
      <c r="R397" s="2" t="inlineStr"/>
    </row>
    <row r="398" ht="15" customHeight="1">
      <c r="A398" t="inlineStr">
        <is>
          <t>A 16620-2024</t>
        </is>
      </c>
      <c r="B398" s="1" t="n">
        <v>45408.57707175926</v>
      </c>
      <c r="C398" s="1" t="n">
        <v>45940</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33793-2022</t>
        </is>
      </c>
      <c r="B399" s="1" t="n">
        <v>44790</v>
      </c>
      <c r="C399" s="1" t="n">
        <v>45940</v>
      </c>
      <c r="D399" t="inlineStr">
        <is>
          <t>STOCKHOLMS LÄN</t>
        </is>
      </c>
      <c r="E399" t="inlineStr">
        <is>
          <t>NORRTÄLJE</t>
        </is>
      </c>
      <c r="G399" t="n">
        <v>1.5</v>
      </c>
      <c r="H399" t="n">
        <v>0</v>
      </c>
      <c r="I399" t="n">
        <v>0</v>
      </c>
      <c r="J399" t="n">
        <v>0</v>
      </c>
      <c r="K399" t="n">
        <v>0</v>
      </c>
      <c r="L399" t="n">
        <v>0</v>
      </c>
      <c r="M399" t="n">
        <v>0</v>
      </c>
      <c r="N399" t="n">
        <v>0</v>
      </c>
      <c r="O399" t="n">
        <v>0</v>
      </c>
      <c r="P399" t="n">
        <v>0</v>
      </c>
      <c r="Q399" t="n">
        <v>0</v>
      </c>
      <c r="R399" s="2" t="inlineStr"/>
    </row>
    <row r="400" ht="15" customHeight="1">
      <c r="A400" t="inlineStr">
        <is>
          <t>A 53600-2022</t>
        </is>
      </c>
      <c r="B400" s="1" t="n">
        <v>44879.70518518519</v>
      </c>
      <c r="C400" s="1" t="n">
        <v>45940</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7697-2025</t>
        </is>
      </c>
      <c r="B401" s="1" t="n">
        <v>45706.40086805556</v>
      </c>
      <c r="C401" s="1" t="n">
        <v>45940</v>
      </c>
      <c r="D401" t="inlineStr">
        <is>
          <t>STOCKHOLMS LÄN</t>
        </is>
      </c>
      <c r="E401" t="inlineStr">
        <is>
          <t>NORRTÄLJE</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30719-2025</t>
        </is>
      </c>
      <c r="B402" s="1" t="n">
        <v>45831.56521990741</v>
      </c>
      <c r="C402" s="1" t="n">
        <v>45940</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64137-2021</t>
        </is>
      </c>
      <c r="B403" s="1" t="n">
        <v>44510.51422453704</v>
      </c>
      <c r="C403" s="1" t="n">
        <v>45940</v>
      </c>
      <c r="D403" t="inlineStr">
        <is>
          <t>STOCKHOLMS LÄN</t>
        </is>
      </c>
      <c r="E403" t="inlineStr">
        <is>
          <t>NORRTÄLJE</t>
        </is>
      </c>
      <c r="F403" t="inlineStr">
        <is>
          <t>Holmen skog AB</t>
        </is>
      </c>
      <c r="G403" t="n">
        <v>1.5</v>
      </c>
      <c r="H403" t="n">
        <v>0</v>
      </c>
      <c r="I403" t="n">
        <v>0</v>
      </c>
      <c r="J403" t="n">
        <v>0</v>
      </c>
      <c r="K403" t="n">
        <v>0</v>
      </c>
      <c r="L403" t="n">
        <v>0</v>
      </c>
      <c r="M403" t="n">
        <v>0</v>
      </c>
      <c r="N403" t="n">
        <v>0</v>
      </c>
      <c r="O403" t="n">
        <v>0</v>
      </c>
      <c r="P403" t="n">
        <v>0</v>
      </c>
      <c r="Q403" t="n">
        <v>0</v>
      </c>
      <c r="R403" s="2" t="inlineStr"/>
    </row>
    <row r="404" ht="15" customHeight="1">
      <c r="A404" t="inlineStr">
        <is>
          <t>A 30221-2024</t>
        </is>
      </c>
      <c r="B404" s="1" t="n">
        <v>45490.45342592592</v>
      </c>
      <c r="C404" s="1" t="n">
        <v>45940</v>
      </c>
      <c r="D404" t="inlineStr">
        <is>
          <t>STOCKHOLMS LÄN</t>
        </is>
      </c>
      <c r="E404" t="inlineStr">
        <is>
          <t>NORRTÄLJE</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22416-2025</t>
        </is>
      </c>
      <c r="B405" s="1" t="n">
        <v>45786.55645833333</v>
      </c>
      <c r="C405" s="1" t="n">
        <v>45940</v>
      </c>
      <c r="D405" t="inlineStr">
        <is>
          <t>STOCKHOLMS LÄN</t>
        </is>
      </c>
      <c r="E405" t="inlineStr">
        <is>
          <t>NORRTÄLJE</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13-2024</t>
        </is>
      </c>
      <c r="B406" s="1" t="n">
        <v>45293.37263888889</v>
      </c>
      <c r="C406" s="1" t="n">
        <v>45940</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19-2024</t>
        </is>
      </c>
      <c r="B407" s="1" t="n">
        <v>45293</v>
      </c>
      <c r="C407" s="1" t="n">
        <v>45940</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31559-2022</t>
        </is>
      </c>
      <c r="B408" s="1" t="n">
        <v>44775</v>
      </c>
      <c r="C408" s="1" t="n">
        <v>45940</v>
      </c>
      <c r="D408" t="inlineStr">
        <is>
          <t>STOCKHOLMS LÄN</t>
        </is>
      </c>
      <c r="E408" t="inlineStr">
        <is>
          <t>NORRTÄLJE</t>
        </is>
      </c>
      <c r="G408" t="n">
        <v>5.6</v>
      </c>
      <c r="H408" t="n">
        <v>0</v>
      </c>
      <c r="I408" t="n">
        <v>0</v>
      </c>
      <c r="J408" t="n">
        <v>0</v>
      </c>
      <c r="K408" t="n">
        <v>0</v>
      </c>
      <c r="L408" t="n">
        <v>0</v>
      </c>
      <c r="M408" t="n">
        <v>0</v>
      </c>
      <c r="N408" t="n">
        <v>0</v>
      </c>
      <c r="O408" t="n">
        <v>0</v>
      </c>
      <c r="P408" t="n">
        <v>0</v>
      </c>
      <c r="Q408" t="n">
        <v>0</v>
      </c>
      <c r="R408" s="2" t="inlineStr"/>
    </row>
    <row r="409" ht="15" customHeight="1">
      <c r="A409" t="inlineStr">
        <is>
          <t>A 8419-2025</t>
        </is>
      </c>
      <c r="B409" s="1" t="n">
        <v>45709.40231481481</v>
      </c>
      <c r="C409" s="1" t="n">
        <v>45940</v>
      </c>
      <c r="D409" t="inlineStr">
        <is>
          <t>STOCKHOLMS LÄN</t>
        </is>
      </c>
      <c r="E409" t="inlineStr">
        <is>
          <t>NORRTÄLJE</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11122-2021</t>
        </is>
      </c>
      <c r="B410" s="1" t="n">
        <v>44260</v>
      </c>
      <c r="C410" s="1" t="n">
        <v>45940</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58785-2024</t>
        </is>
      </c>
      <c r="B411" s="1" t="n">
        <v>45635.88849537037</v>
      </c>
      <c r="C411" s="1" t="n">
        <v>45940</v>
      </c>
      <c r="D411" t="inlineStr">
        <is>
          <t>STOCKHOLMS LÄN</t>
        </is>
      </c>
      <c r="E411" t="inlineStr">
        <is>
          <t>NORRTÄLJE</t>
        </is>
      </c>
      <c r="G411" t="n">
        <v>3.3</v>
      </c>
      <c r="H411" t="n">
        <v>0</v>
      </c>
      <c r="I411" t="n">
        <v>0</v>
      </c>
      <c r="J411" t="n">
        <v>0</v>
      </c>
      <c r="K411" t="n">
        <v>0</v>
      </c>
      <c r="L411" t="n">
        <v>0</v>
      </c>
      <c r="M411" t="n">
        <v>0</v>
      </c>
      <c r="N411" t="n">
        <v>0</v>
      </c>
      <c r="O411" t="n">
        <v>0</v>
      </c>
      <c r="P411" t="n">
        <v>0</v>
      </c>
      <c r="Q411" t="n">
        <v>0</v>
      </c>
      <c r="R411" s="2" t="inlineStr"/>
    </row>
    <row r="412" ht="15" customHeight="1">
      <c r="A412" t="inlineStr">
        <is>
          <t>A 66662-2020</t>
        </is>
      </c>
      <c r="B412" s="1" t="n">
        <v>44179</v>
      </c>
      <c r="C412" s="1" t="n">
        <v>45940</v>
      </c>
      <c r="D412" t="inlineStr">
        <is>
          <t>STOCKHOLMS LÄN</t>
        </is>
      </c>
      <c r="E412" t="inlineStr">
        <is>
          <t>NORRTÄLJE</t>
        </is>
      </c>
      <c r="G412" t="n">
        <v>1.9</v>
      </c>
      <c r="H412" t="n">
        <v>0</v>
      </c>
      <c r="I412" t="n">
        <v>0</v>
      </c>
      <c r="J412" t="n">
        <v>0</v>
      </c>
      <c r="K412" t="n">
        <v>0</v>
      </c>
      <c r="L412" t="n">
        <v>0</v>
      </c>
      <c r="M412" t="n">
        <v>0</v>
      </c>
      <c r="N412" t="n">
        <v>0</v>
      </c>
      <c r="O412" t="n">
        <v>0</v>
      </c>
      <c r="P412" t="n">
        <v>0</v>
      </c>
      <c r="Q412" t="n">
        <v>0</v>
      </c>
      <c r="R412" s="2" t="inlineStr"/>
    </row>
    <row r="413" ht="15" customHeight="1">
      <c r="A413" t="inlineStr">
        <is>
          <t>A 35161-2022</t>
        </is>
      </c>
      <c r="B413" s="1" t="n">
        <v>44797</v>
      </c>
      <c r="C413" s="1" t="n">
        <v>45940</v>
      </c>
      <c r="D413" t="inlineStr">
        <is>
          <t>STOCKHOLMS LÄN</t>
        </is>
      </c>
      <c r="E413" t="inlineStr">
        <is>
          <t>NORRTÄLJE</t>
        </is>
      </c>
      <c r="G413" t="n">
        <v>6</v>
      </c>
      <c r="H413" t="n">
        <v>0</v>
      </c>
      <c r="I413" t="n">
        <v>0</v>
      </c>
      <c r="J413" t="n">
        <v>0</v>
      </c>
      <c r="K413" t="n">
        <v>0</v>
      </c>
      <c r="L413" t="n">
        <v>0</v>
      </c>
      <c r="M413" t="n">
        <v>0</v>
      </c>
      <c r="N413" t="n">
        <v>0</v>
      </c>
      <c r="O413" t="n">
        <v>0</v>
      </c>
      <c r="P413" t="n">
        <v>0</v>
      </c>
      <c r="Q413" t="n">
        <v>0</v>
      </c>
      <c r="R413" s="2" t="inlineStr"/>
    </row>
    <row r="414" ht="15" customHeight="1">
      <c r="A414" t="inlineStr">
        <is>
          <t>A 58989-2021</t>
        </is>
      </c>
      <c r="B414" s="1" t="n">
        <v>44490.02482638889</v>
      </c>
      <c r="C414" s="1" t="n">
        <v>45940</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2182-2022</t>
        </is>
      </c>
      <c r="B415" s="1" t="n">
        <v>44578</v>
      </c>
      <c r="C415" s="1" t="n">
        <v>45940</v>
      </c>
      <c r="D415" t="inlineStr">
        <is>
          <t>STOCKHOLMS LÄN</t>
        </is>
      </c>
      <c r="E415" t="inlineStr">
        <is>
          <t>NORRTÄLJE</t>
        </is>
      </c>
      <c r="G415" t="n">
        <v>7.2</v>
      </c>
      <c r="H415" t="n">
        <v>0</v>
      </c>
      <c r="I415" t="n">
        <v>0</v>
      </c>
      <c r="J415" t="n">
        <v>0</v>
      </c>
      <c r="K415" t="n">
        <v>0</v>
      </c>
      <c r="L415" t="n">
        <v>0</v>
      </c>
      <c r="M415" t="n">
        <v>0</v>
      </c>
      <c r="N415" t="n">
        <v>0</v>
      </c>
      <c r="O415" t="n">
        <v>0</v>
      </c>
      <c r="P415" t="n">
        <v>0</v>
      </c>
      <c r="Q415" t="n">
        <v>0</v>
      </c>
      <c r="R415" s="2" t="inlineStr"/>
    </row>
    <row r="416" ht="15" customHeight="1">
      <c r="A416" t="inlineStr">
        <is>
          <t>A 46988-2024</t>
        </is>
      </c>
      <c r="B416" s="1" t="n">
        <v>45586</v>
      </c>
      <c r="C416" s="1" t="n">
        <v>45940</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21529-2021</t>
        </is>
      </c>
      <c r="B417" s="1" t="n">
        <v>44321</v>
      </c>
      <c r="C417" s="1" t="n">
        <v>45940</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13268-2025</t>
        </is>
      </c>
      <c r="B418" s="1" t="n">
        <v>45735</v>
      </c>
      <c r="C418" s="1" t="n">
        <v>45940</v>
      </c>
      <c r="D418" t="inlineStr">
        <is>
          <t>STOCKHOLMS LÄN</t>
        </is>
      </c>
      <c r="E418" t="inlineStr">
        <is>
          <t>NORRTÄLJE</t>
        </is>
      </c>
      <c r="G418" t="n">
        <v>11.4</v>
      </c>
      <c r="H418" t="n">
        <v>0</v>
      </c>
      <c r="I418" t="n">
        <v>0</v>
      </c>
      <c r="J418" t="n">
        <v>0</v>
      </c>
      <c r="K418" t="n">
        <v>0</v>
      </c>
      <c r="L418" t="n">
        <v>0</v>
      </c>
      <c r="M418" t="n">
        <v>0</v>
      </c>
      <c r="N418" t="n">
        <v>0</v>
      </c>
      <c r="O418" t="n">
        <v>0</v>
      </c>
      <c r="P418" t="n">
        <v>0</v>
      </c>
      <c r="Q418" t="n">
        <v>0</v>
      </c>
      <c r="R418" s="2" t="inlineStr"/>
    </row>
    <row r="419" ht="15" customHeight="1">
      <c r="A419" t="inlineStr">
        <is>
          <t>A 13701-2022</t>
        </is>
      </c>
      <c r="B419" s="1" t="n">
        <v>44648</v>
      </c>
      <c r="C419" s="1" t="n">
        <v>45940</v>
      </c>
      <c r="D419" t="inlineStr">
        <is>
          <t>STOCKHOLMS LÄN</t>
        </is>
      </c>
      <c r="E419" t="inlineStr">
        <is>
          <t>NORRTÄLJE</t>
        </is>
      </c>
      <c r="G419" t="n">
        <v>1.6</v>
      </c>
      <c r="H419" t="n">
        <v>0</v>
      </c>
      <c r="I419" t="n">
        <v>0</v>
      </c>
      <c r="J419" t="n">
        <v>0</v>
      </c>
      <c r="K419" t="n">
        <v>0</v>
      </c>
      <c r="L419" t="n">
        <v>0</v>
      </c>
      <c r="M419" t="n">
        <v>0</v>
      </c>
      <c r="N419" t="n">
        <v>0</v>
      </c>
      <c r="O419" t="n">
        <v>0</v>
      </c>
      <c r="P419" t="n">
        <v>0</v>
      </c>
      <c r="Q419" t="n">
        <v>0</v>
      </c>
      <c r="R419" s="2" t="inlineStr"/>
    </row>
    <row r="420" ht="15" customHeight="1">
      <c r="A420" t="inlineStr">
        <is>
          <t>A 8414-2025</t>
        </is>
      </c>
      <c r="B420" s="1" t="n">
        <v>45709.39361111111</v>
      </c>
      <c r="C420" s="1" t="n">
        <v>45940</v>
      </c>
      <c r="D420" t="inlineStr">
        <is>
          <t>STOCKHOLMS LÄN</t>
        </is>
      </c>
      <c r="E420" t="inlineStr">
        <is>
          <t>NORRTÄLJE</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26644-2024</t>
        </is>
      </c>
      <c r="B421" s="1" t="n">
        <v>45469</v>
      </c>
      <c r="C421" s="1" t="n">
        <v>45940</v>
      </c>
      <c r="D421" t="inlineStr">
        <is>
          <t>STOCKHOLMS LÄN</t>
        </is>
      </c>
      <c r="E421" t="inlineStr">
        <is>
          <t>NORRTÄLJE</t>
        </is>
      </c>
      <c r="G421" t="n">
        <v>4.3</v>
      </c>
      <c r="H421" t="n">
        <v>0</v>
      </c>
      <c r="I421" t="n">
        <v>0</v>
      </c>
      <c r="J421" t="n">
        <v>0</v>
      </c>
      <c r="K421" t="n">
        <v>0</v>
      </c>
      <c r="L421" t="n">
        <v>0</v>
      </c>
      <c r="M421" t="n">
        <v>0</v>
      </c>
      <c r="N421" t="n">
        <v>0</v>
      </c>
      <c r="O421" t="n">
        <v>0</v>
      </c>
      <c r="P421" t="n">
        <v>0</v>
      </c>
      <c r="Q421" t="n">
        <v>0</v>
      </c>
      <c r="R421" s="2" t="inlineStr"/>
    </row>
    <row r="422" ht="15" customHeight="1">
      <c r="A422" t="inlineStr">
        <is>
          <t>A 12268-2022</t>
        </is>
      </c>
      <c r="B422" s="1" t="n">
        <v>44637</v>
      </c>
      <c r="C422" s="1" t="n">
        <v>45940</v>
      </c>
      <c r="D422" t="inlineStr">
        <is>
          <t>STOCKHOLMS LÄN</t>
        </is>
      </c>
      <c r="E422" t="inlineStr">
        <is>
          <t>NORRTÄLJE</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36625-2024</t>
        </is>
      </c>
      <c r="B423" s="1" t="n">
        <v>45537</v>
      </c>
      <c r="C423" s="1" t="n">
        <v>45940</v>
      </c>
      <c r="D423" t="inlineStr">
        <is>
          <t>STOCKHOLMS LÄN</t>
        </is>
      </c>
      <c r="E423" t="inlineStr">
        <is>
          <t>NORRTÄLJE</t>
        </is>
      </c>
      <c r="G423" t="n">
        <v>3.8</v>
      </c>
      <c r="H423" t="n">
        <v>0</v>
      </c>
      <c r="I423" t="n">
        <v>0</v>
      </c>
      <c r="J423" t="n">
        <v>0</v>
      </c>
      <c r="K423" t="n">
        <v>0</v>
      </c>
      <c r="L423" t="n">
        <v>0</v>
      </c>
      <c r="M423" t="n">
        <v>0</v>
      </c>
      <c r="N423" t="n">
        <v>0</v>
      </c>
      <c r="O423" t="n">
        <v>0</v>
      </c>
      <c r="P423" t="n">
        <v>0</v>
      </c>
      <c r="Q423" t="n">
        <v>0</v>
      </c>
      <c r="R423" s="2" t="inlineStr"/>
    </row>
    <row r="424" ht="15" customHeight="1">
      <c r="A424" t="inlineStr">
        <is>
          <t>A 44891-2023</t>
        </is>
      </c>
      <c r="B424" s="1" t="n">
        <v>45187</v>
      </c>
      <c r="C424" s="1" t="n">
        <v>45940</v>
      </c>
      <c r="D424" t="inlineStr">
        <is>
          <t>STOCKHOLMS LÄN</t>
        </is>
      </c>
      <c r="E424" t="inlineStr">
        <is>
          <t>NORRTÄLJE</t>
        </is>
      </c>
      <c r="G424" t="n">
        <v>15</v>
      </c>
      <c r="H424" t="n">
        <v>0</v>
      </c>
      <c r="I424" t="n">
        <v>0</v>
      </c>
      <c r="J424" t="n">
        <v>0</v>
      </c>
      <c r="K424" t="n">
        <v>0</v>
      </c>
      <c r="L424" t="n">
        <v>0</v>
      </c>
      <c r="M424" t="n">
        <v>0</v>
      </c>
      <c r="N424" t="n">
        <v>0</v>
      </c>
      <c r="O424" t="n">
        <v>0</v>
      </c>
      <c r="P424" t="n">
        <v>0</v>
      </c>
      <c r="Q424" t="n">
        <v>0</v>
      </c>
      <c r="R424" s="2" t="inlineStr"/>
    </row>
    <row r="425" ht="15" customHeight="1">
      <c r="A425" t="inlineStr">
        <is>
          <t>A 12902-2024</t>
        </is>
      </c>
      <c r="B425" s="1" t="n">
        <v>45385.38146990741</v>
      </c>
      <c r="C425" s="1" t="n">
        <v>45940</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44032-2024</t>
        </is>
      </c>
      <c r="B426" s="1" t="n">
        <v>45572.57828703704</v>
      </c>
      <c r="C426" s="1" t="n">
        <v>45940</v>
      </c>
      <c r="D426" t="inlineStr">
        <is>
          <t>STOCKHOLMS LÄN</t>
        </is>
      </c>
      <c r="E426" t="inlineStr">
        <is>
          <t>NORRTÄLJE</t>
        </is>
      </c>
      <c r="G426" t="n">
        <v>8.6</v>
      </c>
      <c r="H426" t="n">
        <v>0</v>
      </c>
      <c r="I426" t="n">
        <v>0</v>
      </c>
      <c r="J426" t="n">
        <v>0</v>
      </c>
      <c r="K426" t="n">
        <v>0</v>
      </c>
      <c r="L426" t="n">
        <v>0</v>
      </c>
      <c r="M426" t="n">
        <v>0</v>
      </c>
      <c r="N426" t="n">
        <v>0</v>
      </c>
      <c r="O426" t="n">
        <v>0</v>
      </c>
      <c r="P426" t="n">
        <v>0</v>
      </c>
      <c r="Q426" t="n">
        <v>0</v>
      </c>
      <c r="R426" s="2" t="inlineStr"/>
    </row>
    <row r="427" ht="15" customHeight="1">
      <c r="A427" t="inlineStr">
        <is>
          <t>A 2982-2023</t>
        </is>
      </c>
      <c r="B427" s="1" t="n">
        <v>44945.67409722223</v>
      </c>
      <c r="C427" s="1" t="n">
        <v>45940</v>
      </c>
      <c r="D427" t="inlineStr">
        <is>
          <t>STOCKHOLMS LÄN</t>
        </is>
      </c>
      <c r="E427" t="inlineStr">
        <is>
          <t>NORRTÄLJE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24563-2024</t>
        </is>
      </c>
      <c r="B428" s="1" t="n">
        <v>45460.44347222222</v>
      </c>
      <c r="C428" s="1" t="n">
        <v>45940</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20015-2023</t>
        </is>
      </c>
      <c r="B429" s="1" t="n">
        <v>45054</v>
      </c>
      <c r="C429" s="1" t="n">
        <v>45940</v>
      </c>
      <c r="D429" t="inlineStr">
        <is>
          <t>STOCKHOLMS LÄN</t>
        </is>
      </c>
      <c r="E429" t="inlineStr">
        <is>
          <t>NORRTÄLJE</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3273-2025</t>
        </is>
      </c>
      <c r="B430" s="1" t="n">
        <v>45679</v>
      </c>
      <c r="C430" s="1" t="n">
        <v>45940</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39237-2024</t>
        </is>
      </c>
      <c r="B431" s="1" t="n">
        <v>45549</v>
      </c>
      <c r="C431" s="1" t="n">
        <v>45940</v>
      </c>
      <c r="D431" t="inlineStr">
        <is>
          <t>STOCKHOLMS LÄN</t>
        </is>
      </c>
      <c r="E431" t="inlineStr">
        <is>
          <t>NORRTÄLJE</t>
        </is>
      </c>
      <c r="G431" t="n">
        <v>13.3</v>
      </c>
      <c r="H431" t="n">
        <v>0</v>
      </c>
      <c r="I431" t="n">
        <v>0</v>
      </c>
      <c r="J431" t="n">
        <v>0</v>
      </c>
      <c r="K431" t="n">
        <v>0</v>
      </c>
      <c r="L431" t="n">
        <v>0</v>
      </c>
      <c r="M431" t="n">
        <v>0</v>
      </c>
      <c r="N431" t="n">
        <v>0</v>
      </c>
      <c r="O431" t="n">
        <v>0</v>
      </c>
      <c r="P431" t="n">
        <v>0</v>
      </c>
      <c r="Q431" t="n">
        <v>0</v>
      </c>
      <c r="R431" s="2" t="inlineStr"/>
    </row>
    <row r="432" ht="15" customHeight="1">
      <c r="A432" t="inlineStr">
        <is>
          <t>A 24245-2024</t>
        </is>
      </c>
      <c r="B432" s="1" t="n">
        <v>45457</v>
      </c>
      <c r="C432" s="1" t="n">
        <v>45940</v>
      </c>
      <c r="D432" t="inlineStr">
        <is>
          <t>STOCKHOLMS LÄN</t>
        </is>
      </c>
      <c r="E432" t="inlineStr">
        <is>
          <t>NORRTÄLJE</t>
        </is>
      </c>
      <c r="F432" t="inlineStr">
        <is>
          <t>Holmen skog AB</t>
        </is>
      </c>
      <c r="G432" t="n">
        <v>3.4</v>
      </c>
      <c r="H432" t="n">
        <v>0</v>
      </c>
      <c r="I432" t="n">
        <v>0</v>
      </c>
      <c r="J432" t="n">
        <v>0</v>
      </c>
      <c r="K432" t="n">
        <v>0</v>
      </c>
      <c r="L432" t="n">
        <v>0</v>
      </c>
      <c r="M432" t="n">
        <v>0</v>
      </c>
      <c r="N432" t="n">
        <v>0</v>
      </c>
      <c r="O432" t="n">
        <v>0</v>
      </c>
      <c r="P432" t="n">
        <v>0</v>
      </c>
      <c r="Q432" t="n">
        <v>0</v>
      </c>
      <c r="R432" s="2" t="inlineStr"/>
    </row>
    <row r="433" ht="15" customHeight="1">
      <c r="A433" t="inlineStr">
        <is>
          <t>A 21291-2021</t>
        </is>
      </c>
      <c r="B433" s="1" t="n">
        <v>44319</v>
      </c>
      <c r="C433" s="1" t="n">
        <v>45940</v>
      </c>
      <c r="D433" t="inlineStr">
        <is>
          <t>STOCKHOLMS LÄN</t>
        </is>
      </c>
      <c r="E433" t="inlineStr">
        <is>
          <t>NORRTÄLJE</t>
        </is>
      </c>
      <c r="G433" t="n">
        <v>12.7</v>
      </c>
      <c r="H433" t="n">
        <v>0</v>
      </c>
      <c r="I433" t="n">
        <v>0</v>
      </c>
      <c r="J433" t="n">
        <v>0</v>
      </c>
      <c r="K433" t="n">
        <v>0</v>
      </c>
      <c r="L433" t="n">
        <v>0</v>
      </c>
      <c r="M433" t="n">
        <v>0</v>
      </c>
      <c r="N433" t="n">
        <v>0</v>
      </c>
      <c r="O433" t="n">
        <v>0</v>
      </c>
      <c r="P433" t="n">
        <v>0</v>
      </c>
      <c r="Q433" t="n">
        <v>0</v>
      </c>
      <c r="R433" s="2" t="inlineStr"/>
    </row>
    <row r="434" ht="15" customHeight="1">
      <c r="A434" t="inlineStr">
        <is>
          <t>A 12535-2025</t>
        </is>
      </c>
      <c r="B434" s="1" t="n">
        <v>45730.69502314815</v>
      </c>
      <c r="C434" s="1" t="n">
        <v>45940</v>
      </c>
      <c r="D434" t="inlineStr">
        <is>
          <t>STOCKHOLMS LÄN</t>
        </is>
      </c>
      <c r="E434" t="inlineStr">
        <is>
          <t>NORRTÄLJE</t>
        </is>
      </c>
      <c r="G434" t="n">
        <v>7.1</v>
      </c>
      <c r="H434" t="n">
        <v>0</v>
      </c>
      <c r="I434" t="n">
        <v>0</v>
      </c>
      <c r="J434" t="n">
        <v>0</v>
      </c>
      <c r="K434" t="n">
        <v>0</v>
      </c>
      <c r="L434" t="n">
        <v>0</v>
      </c>
      <c r="M434" t="n">
        <v>0</v>
      </c>
      <c r="N434" t="n">
        <v>0</v>
      </c>
      <c r="O434" t="n">
        <v>0</v>
      </c>
      <c r="P434" t="n">
        <v>0</v>
      </c>
      <c r="Q434" t="n">
        <v>0</v>
      </c>
      <c r="R434" s="2" t="inlineStr"/>
    </row>
    <row r="435" ht="15" customHeight="1">
      <c r="A435" t="inlineStr">
        <is>
          <t>A 45746-2024</t>
        </is>
      </c>
      <c r="B435" s="1" t="n">
        <v>45579</v>
      </c>
      <c r="C435" s="1" t="n">
        <v>45940</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8400-2024</t>
        </is>
      </c>
      <c r="B436" s="1" t="n">
        <v>45352.74090277778</v>
      </c>
      <c r="C436" s="1" t="n">
        <v>45940</v>
      </c>
      <c r="D436" t="inlineStr">
        <is>
          <t>STOCKHOLMS LÄN</t>
        </is>
      </c>
      <c r="E436" t="inlineStr">
        <is>
          <t>NORRTÄLJE</t>
        </is>
      </c>
      <c r="G436" t="n">
        <v>4.7</v>
      </c>
      <c r="H436" t="n">
        <v>0</v>
      </c>
      <c r="I436" t="n">
        <v>0</v>
      </c>
      <c r="J436" t="n">
        <v>0</v>
      </c>
      <c r="K436" t="n">
        <v>0</v>
      </c>
      <c r="L436" t="n">
        <v>0</v>
      </c>
      <c r="M436" t="n">
        <v>0</v>
      </c>
      <c r="N436" t="n">
        <v>0</v>
      </c>
      <c r="O436" t="n">
        <v>0</v>
      </c>
      <c r="P436" t="n">
        <v>0</v>
      </c>
      <c r="Q436" t="n">
        <v>0</v>
      </c>
      <c r="R436" s="2" t="inlineStr"/>
    </row>
    <row r="437" ht="15" customHeight="1">
      <c r="A437" t="inlineStr">
        <is>
          <t>A 15256-2023</t>
        </is>
      </c>
      <c r="B437" s="1" t="n">
        <v>45019.3959837963</v>
      </c>
      <c r="C437" s="1" t="n">
        <v>45940</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20428-2024</t>
        </is>
      </c>
      <c r="B438" s="1" t="n">
        <v>45435</v>
      </c>
      <c r="C438" s="1" t="n">
        <v>45940</v>
      </c>
      <c r="D438" t="inlineStr">
        <is>
          <t>STOCKHOLMS LÄN</t>
        </is>
      </c>
      <c r="E438" t="inlineStr">
        <is>
          <t>NORRTÄLJE</t>
        </is>
      </c>
      <c r="G438" t="n">
        <v>3.7</v>
      </c>
      <c r="H438" t="n">
        <v>0</v>
      </c>
      <c r="I438" t="n">
        <v>0</v>
      </c>
      <c r="J438" t="n">
        <v>0</v>
      </c>
      <c r="K438" t="n">
        <v>0</v>
      </c>
      <c r="L438" t="n">
        <v>0</v>
      </c>
      <c r="M438" t="n">
        <v>0</v>
      </c>
      <c r="N438" t="n">
        <v>0</v>
      </c>
      <c r="O438" t="n">
        <v>0</v>
      </c>
      <c r="P438" t="n">
        <v>0</v>
      </c>
      <c r="Q438" t="n">
        <v>0</v>
      </c>
      <c r="R438" s="2" t="inlineStr"/>
    </row>
    <row r="439" ht="15" customHeight="1">
      <c r="A439" t="inlineStr">
        <is>
          <t>A 37136-2023</t>
        </is>
      </c>
      <c r="B439" s="1" t="n">
        <v>45155</v>
      </c>
      <c r="C439" s="1" t="n">
        <v>45940</v>
      </c>
      <c r="D439" t="inlineStr">
        <is>
          <t>STOCKHOLMS LÄN</t>
        </is>
      </c>
      <c r="E439" t="inlineStr">
        <is>
          <t>NORRTÄLJE</t>
        </is>
      </c>
      <c r="G439" t="n">
        <v>2.5</v>
      </c>
      <c r="H439" t="n">
        <v>0</v>
      </c>
      <c r="I439" t="n">
        <v>0</v>
      </c>
      <c r="J439" t="n">
        <v>0</v>
      </c>
      <c r="K439" t="n">
        <v>0</v>
      </c>
      <c r="L439" t="n">
        <v>0</v>
      </c>
      <c r="M439" t="n">
        <v>0</v>
      </c>
      <c r="N439" t="n">
        <v>0</v>
      </c>
      <c r="O439" t="n">
        <v>0</v>
      </c>
      <c r="P439" t="n">
        <v>0</v>
      </c>
      <c r="Q439" t="n">
        <v>0</v>
      </c>
      <c r="R439" s="2" t="inlineStr"/>
    </row>
    <row r="440" ht="15" customHeight="1">
      <c r="A440" t="inlineStr">
        <is>
          <t>A 18787-2022</t>
        </is>
      </c>
      <c r="B440" s="1" t="n">
        <v>44687</v>
      </c>
      <c r="C440" s="1" t="n">
        <v>45940</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13718-2022</t>
        </is>
      </c>
      <c r="B441" s="1" t="n">
        <v>44649</v>
      </c>
      <c r="C441" s="1" t="n">
        <v>45940</v>
      </c>
      <c r="D441" t="inlineStr">
        <is>
          <t>STOCKHOLMS LÄN</t>
        </is>
      </c>
      <c r="E441" t="inlineStr">
        <is>
          <t>NORRTÄLJE</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25621-2022</t>
        </is>
      </c>
      <c r="B442" s="1" t="n">
        <v>44732</v>
      </c>
      <c r="C442" s="1" t="n">
        <v>45940</v>
      </c>
      <c r="D442" t="inlineStr">
        <is>
          <t>STOCKHOLMS LÄN</t>
        </is>
      </c>
      <c r="E442" t="inlineStr">
        <is>
          <t>NORRTÄLJE</t>
        </is>
      </c>
      <c r="G442" t="n">
        <v>3.1</v>
      </c>
      <c r="H442" t="n">
        <v>0</v>
      </c>
      <c r="I442" t="n">
        <v>0</v>
      </c>
      <c r="J442" t="n">
        <v>0</v>
      </c>
      <c r="K442" t="n">
        <v>0</v>
      </c>
      <c r="L442" t="n">
        <v>0</v>
      </c>
      <c r="M442" t="n">
        <v>0</v>
      </c>
      <c r="N442" t="n">
        <v>0</v>
      </c>
      <c r="O442" t="n">
        <v>0</v>
      </c>
      <c r="P442" t="n">
        <v>0</v>
      </c>
      <c r="Q442" t="n">
        <v>0</v>
      </c>
      <c r="R442" s="2" t="inlineStr"/>
    </row>
    <row r="443" ht="15" customHeight="1">
      <c r="A443" t="inlineStr">
        <is>
          <t>A 14132-2025</t>
        </is>
      </c>
      <c r="B443" s="1" t="n">
        <v>45740.47550925926</v>
      </c>
      <c r="C443" s="1" t="n">
        <v>45940</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14133-2025</t>
        </is>
      </c>
      <c r="B444" s="1" t="n">
        <v>45740.47724537037</v>
      </c>
      <c r="C444" s="1" t="n">
        <v>45940</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8792-2025</t>
        </is>
      </c>
      <c r="B445" s="1" t="n">
        <v>45712</v>
      </c>
      <c r="C445" s="1" t="n">
        <v>45940</v>
      </c>
      <c r="D445" t="inlineStr">
        <is>
          <t>STOCKHOLMS LÄN</t>
        </is>
      </c>
      <c r="E445" t="inlineStr">
        <is>
          <t>NORRTÄLJE</t>
        </is>
      </c>
      <c r="F445" t="inlineStr">
        <is>
          <t>Övriga Aktiebolag</t>
        </is>
      </c>
      <c r="G445" t="n">
        <v>6.6</v>
      </c>
      <c r="H445" t="n">
        <v>0</v>
      </c>
      <c r="I445" t="n">
        <v>0</v>
      </c>
      <c r="J445" t="n">
        <v>0</v>
      </c>
      <c r="K445" t="n">
        <v>0</v>
      </c>
      <c r="L445" t="n">
        <v>0</v>
      </c>
      <c r="M445" t="n">
        <v>0</v>
      </c>
      <c r="N445" t="n">
        <v>0</v>
      </c>
      <c r="O445" t="n">
        <v>0</v>
      </c>
      <c r="P445" t="n">
        <v>0</v>
      </c>
      <c r="Q445" t="n">
        <v>0</v>
      </c>
      <c r="R445" s="2" t="inlineStr"/>
    </row>
    <row r="446" ht="15" customHeight="1">
      <c r="A446" t="inlineStr">
        <is>
          <t>A 36269-2022</t>
        </is>
      </c>
      <c r="B446" s="1" t="n">
        <v>44803</v>
      </c>
      <c r="C446" s="1" t="n">
        <v>45940</v>
      </c>
      <c r="D446" t="inlineStr">
        <is>
          <t>STOCKHOLMS LÄN</t>
        </is>
      </c>
      <c r="E446" t="inlineStr">
        <is>
          <t>NORRTÄLJE</t>
        </is>
      </c>
      <c r="G446" t="n">
        <v>2.3</v>
      </c>
      <c r="H446" t="n">
        <v>0</v>
      </c>
      <c r="I446" t="n">
        <v>0</v>
      </c>
      <c r="J446" t="n">
        <v>0</v>
      </c>
      <c r="K446" t="n">
        <v>0</v>
      </c>
      <c r="L446" t="n">
        <v>0</v>
      </c>
      <c r="M446" t="n">
        <v>0</v>
      </c>
      <c r="N446" t="n">
        <v>0</v>
      </c>
      <c r="O446" t="n">
        <v>0</v>
      </c>
      <c r="P446" t="n">
        <v>0</v>
      </c>
      <c r="Q446" t="n">
        <v>0</v>
      </c>
      <c r="R446" s="2" t="inlineStr"/>
    </row>
    <row r="447" ht="15" customHeight="1">
      <c r="A447" t="inlineStr">
        <is>
          <t>A 36308-2022</t>
        </is>
      </c>
      <c r="B447" s="1" t="n">
        <v>44803</v>
      </c>
      <c r="C447" s="1" t="n">
        <v>45940</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13172-2025</t>
        </is>
      </c>
      <c r="B448" s="1" t="n">
        <v>45735.36873842592</v>
      </c>
      <c r="C448" s="1" t="n">
        <v>45940</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24887-2023</t>
        </is>
      </c>
      <c r="B449" s="1" t="n">
        <v>45085</v>
      </c>
      <c r="C449" s="1" t="n">
        <v>45940</v>
      </c>
      <c r="D449" t="inlineStr">
        <is>
          <t>STOCKHOLMS LÄN</t>
        </is>
      </c>
      <c r="E449" t="inlineStr">
        <is>
          <t>NORRTÄLJE</t>
        </is>
      </c>
      <c r="G449" t="n">
        <v>13.9</v>
      </c>
      <c r="H449" t="n">
        <v>0</v>
      </c>
      <c r="I449" t="n">
        <v>0</v>
      </c>
      <c r="J449" t="n">
        <v>0</v>
      </c>
      <c r="K449" t="n">
        <v>0</v>
      </c>
      <c r="L449" t="n">
        <v>0</v>
      </c>
      <c r="M449" t="n">
        <v>0</v>
      </c>
      <c r="N449" t="n">
        <v>0</v>
      </c>
      <c r="O449" t="n">
        <v>0</v>
      </c>
      <c r="P449" t="n">
        <v>0</v>
      </c>
      <c r="Q449" t="n">
        <v>0</v>
      </c>
      <c r="R449" s="2" t="inlineStr"/>
    </row>
    <row r="450" ht="15" customHeight="1">
      <c r="A450" t="inlineStr">
        <is>
          <t>A 6919-2025</t>
        </is>
      </c>
      <c r="B450" s="1" t="n">
        <v>45701.44372685185</v>
      </c>
      <c r="C450" s="1" t="n">
        <v>45940</v>
      </c>
      <c r="D450" t="inlineStr">
        <is>
          <t>STOCKHOLMS LÄN</t>
        </is>
      </c>
      <c r="E450" t="inlineStr">
        <is>
          <t>NORRTÄLJE</t>
        </is>
      </c>
      <c r="G450" t="n">
        <v>3.5</v>
      </c>
      <c r="H450" t="n">
        <v>0</v>
      </c>
      <c r="I450" t="n">
        <v>0</v>
      </c>
      <c r="J450" t="n">
        <v>0</v>
      </c>
      <c r="K450" t="n">
        <v>0</v>
      </c>
      <c r="L450" t="n">
        <v>0</v>
      </c>
      <c r="M450" t="n">
        <v>0</v>
      </c>
      <c r="N450" t="n">
        <v>0</v>
      </c>
      <c r="O450" t="n">
        <v>0</v>
      </c>
      <c r="P450" t="n">
        <v>0</v>
      </c>
      <c r="Q450" t="n">
        <v>0</v>
      </c>
      <c r="R450" s="2" t="inlineStr"/>
    </row>
    <row r="451" ht="15" customHeight="1">
      <c r="A451" t="inlineStr">
        <is>
          <t>A 32100-2022</t>
        </is>
      </c>
      <c r="B451" s="1" t="n">
        <v>44778</v>
      </c>
      <c r="C451" s="1" t="n">
        <v>45940</v>
      </c>
      <c r="D451" t="inlineStr">
        <is>
          <t>STOCKHOLMS LÄN</t>
        </is>
      </c>
      <c r="E451" t="inlineStr">
        <is>
          <t>NORRTÄLJE</t>
        </is>
      </c>
      <c r="G451" t="n">
        <v>3.3</v>
      </c>
      <c r="H451" t="n">
        <v>0</v>
      </c>
      <c r="I451" t="n">
        <v>0</v>
      </c>
      <c r="J451" t="n">
        <v>0</v>
      </c>
      <c r="K451" t="n">
        <v>0</v>
      </c>
      <c r="L451" t="n">
        <v>0</v>
      </c>
      <c r="M451" t="n">
        <v>0</v>
      </c>
      <c r="N451" t="n">
        <v>0</v>
      </c>
      <c r="O451" t="n">
        <v>0</v>
      </c>
      <c r="P451" t="n">
        <v>0</v>
      </c>
      <c r="Q451" t="n">
        <v>0</v>
      </c>
      <c r="R451" s="2" t="inlineStr"/>
    </row>
    <row r="452" ht="15" customHeight="1">
      <c r="A452" t="inlineStr">
        <is>
          <t>A 11332-2025</t>
        </is>
      </c>
      <c r="B452" s="1" t="n">
        <v>45726.48152777777</v>
      </c>
      <c r="C452" s="1" t="n">
        <v>45940</v>
      </c>
      <c r="D452" t="inlineStr">
        <is>
          <t>STOCKHOLMS LÄN</t>
        </is>
      </c>
      <c r="E452" t="inlineStr">
        <is>
          <t>NORRTÄLJE</t>
        </is>
      </c>
      <c r="G452" t="n">
        <v>4.6</v>
      </c>
      <c r="H452" t="n">
        <v>0</v>
      </c>
      <c r="I452" t="n">
        <v>0</v>
      </c>
      <c r="J452" t="n">
        <v>0</v>
      </c>
      <c r="K452" t="n">
        <v>0</v>
      </c>
      <c r="L452" t="n">
        <v>0</v>
      </c>
      <c r="M452" t="n">
        <v>0</v>
      </c>
      <c r="N452" t="n">
        <v>0</v>
      </c>
      <c r="O452" t="n">
        <v>0</v>
      </c>
      <c r="P452" t="n">
        <v>0</v>
      </c>
      <c r="Q452" t="n">
        <v>0</v>
      </c>
      <c r="R452" s="2" t="inlineStr"/>
    </row>
    <row r="453" ht="15" customHeight="1">
      <c r="A453" t="inlineStr">
        <is>
          <t>A 37444-2021</t>
        </is>
      </c>
      <c r="B453" s="1" t="n">
        <v>44398</v>
      </c>
      <c r="C453" s="1" t="n">
        <v>45940</v>
      </c>
      <c r="D453" t="inlineStr">
        <is>
          <t>STOCKHOLMS LÄN</t>
        </is>
      </c>
      <c r="E453" t="inlineStr">
        <is>
          <t>NORRTÄLJE</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30886-2022</t>
        </is>
      </c>
      <c r="B454" s="1" t="n">
        <v>44767.60601851852</v>
      </c>
      <c r="C454" s="1" t="n">
        <v>45940</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9654-2022</t>
        </is>
      </c>
      <c r="B455" s="1" t="n">
        <v>44617</v>
      </c>
      <c r="C455" s="1" t="n">
        <v>45940</v>
      </c>
      <c r="D455" t="inlineStr">
        <is>
          <t>STOCKHOLMS LÄN</t>
        </is>
      </c>
      <c r="E455" t="inlineStr">
        <is>
          <t>NORRTÄLJE</t>
        </is>
      </c>
      <c r="G455" t="n">
        <v>6.4</v>
      </c>
      <c r="H455" t="n">
        <v>0</v>
      </c>
      <c r="I455" t="n">
        <v>0</v>
      </c>
      <c r="J455" t="n">
        <v>0</v>
      </c>
      <c r="K455" t="n">
        <v>0</v>
      </c>
      <c r="L455" t="n">
        <v>0</v>
      </c>
      <c r="M455" t="n">
        <v>0</v>
      </c>
      <c r="N455" t="n">
        <v>0</v>
      </c>
      <c r="O455" t="n">
        <v>0</v>
      </c>
      <c r="P455" t="n">
        <v>0</v>
      </c>
      <c r="Q455" t="n">
        <v>0</v>
      </c>
      <c r="R455" s="2" t="inlineStr"/>
    </row>
    <row r="456" ht="15" customHeight="1">
      <c r="A456" t="inlineStr">
        <is>
          <t>A 38612-2022</t>
        </is>
      </c>
      <c r="B456" s="1" t="n">
        <v>44813</v>
      </c>
      <c r="C456" s="1" t="n">
        <v>45940</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58661-2020</t>
        </is>
      </c>
      <c r="B457" s="1" t="n">
        <v>44145</v>
      </c>
      <c r="C457" s="1" t="n">
        <v>45940</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4326-2023</t>
        </is>
      </c>
      <c r="B458" s="1" t="n">
        <v>44953.70481481482</v>
      </c>
      <c r="C458" s="1" t="n">
        <v>45940</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54504-2024</t>
        </is>
      </c>
      <c r="B459" s="1" t="n">
        <v>45617.58453703704</v>
      </c>
      <c r="C459" s="1" t="n">
        <v>45940</v>
      </c>
      <c r="D459" t="inlineStr">
        <is>
          <t>STOCKHOLMS LÄN</t>
        </is>
      </c>
      <c r="E459" t="inlineStr">
        <is>
          <t>NORRTÄLJE</t>
        </is>
      </c>
      <c r="G459" t="n">
        <v>3.4</v>
      </c>
      <c r="H459" t="n">
        <v>0</v>
      </c>
      <c r="I459" t="n">
        <v>0</v>
      </c>
      <c r="J459" t="n">
        <v>0</v>
      </c>
      <c r="K459" t="n">
        <v>0</v>
      </c>
      <c r="L459" t="n">
        <v>0</v>
      </c>
      <c r="M459" t="n">
        <v>0</v>
      </c>
      <c r="N459" t="n">
        <v>0</v>
      </c>
      <c r="O459" t="n">
        <v>0</v>
      </c>
      <c r="P459" t="n">
        <v>0</v>
      </c>
      <c r="Q459" t="n">
        <v>0</v>
      </c>
      <c r="R459" s="2" t="inlineStr"/>
    </row>
    <row r="460" ht="15" customHeight="1">
      <c r="A460" t="inlineStr">
        <is>
          <t>A 64145-2021</t>
        </is>
      </c>
      <c r="B460" s="1" t="n">
        <v>44510</v>
      </c>
      <c r="C460" s="1" t="n">
        <v>45940</v>
      </c>
      <c r="D460" t="inlineStr">
        <is>
          <t>STOCKHOLMS LÄN</t>
        </is>
      </c>
      <c r="E460" t="inlineStr">
        <is>
          <t>NORRTÄLJE</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1740-2023</t>
        </is>
      </c>
      <c r="B461" s="1" t="n">
        <v>44938</v>
      </c>
      <c r="C461" s="1" t="n">
        <v>45940</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4596-2023</t>
        </is>
      </c>
      <c r="B462" s="1" t="n">
        <v>44956</v>
      </c>
      <c r="C462" s="1" t="n">
        <v>45940</v>
      </c>
      <c r="D462" t="inlineStr">
        <is>
          <t>STOCKHOLMS LÄN</t>
        </is>
      </c>
      <c r="E462" t="inlineStr">
        <is>
          <t>NORRTÄLJE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1453-2025</t>
        </is>
      </c>
      <c r="B463" s="1" t="n">
        <v>45670.3079050926</v>
      </c>
      <c r="C463" s="1" t="n">
        <v>45940</v>
      </c>
      <c r="D463" t="inlineStr">
        <is>
          <t>STOCKHOLMS LÄN</t>
        </is>
      </c>
      <c r="E463" t="inlineStr">
        <is>
          <t>NORRTÄLJE</t>
        </is>
      </c>
      <c r="G463" t="n">
        <v>2.6</v>
      </c>
      <c r="H463" t="n">
        <v>0</v>
      </c>
      <c r="I463" t="n">
        <v>0</v>
      </c>
      <c r="J463" t="n">
        <v>0</v>
      </c>
      <c r="K463" t="n">
        <v>0</v>
      </c>
      <c r="L463" t="n">
        <v>0</v>
      </c>
      <c r="M463" t="n">
        <v>0</v>
      </c>
      <c r="N463" t="n">
        <v>0</v>
      </c>
      <c r="O463" t="n">
        <v>0</v>
      </c>
      <c r="P463" t="n">
        <v>0</v>
      </c>
      <c r="Q463" t="n">
        <v>0</v>
      </c>
      <c r="R463" s="2" t="inlineStr"/>
    </row>
    <row r="464" ht="15" customHeight="1">
      <c r="A464" t="inlineStr">
        <is>
          <t>A 10676-2025</t>
        </is>
      </c>
      <c r="B464" s="1" t="n">
        <v>45721.88684027778</v>
      </c>
      <c r="C464" s="1" t="n">
        <v>45940</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5804-2025</t>
        </is>
      </c>
      <c r="B465" s="1" t="n">
        <v>45694.68207175926</v>
      </c>
      <c r="C465" s="1" t="n">
        <v>45940</v>
      </c>
      <c r="D465" t="inlineStr">
        <is>
          <t>STOCKHOLMS LÄN</t>
        </is>
      </c>
      <c r="E465" t="inlineStr">
        <is>
          <t>NORRTÄLJE</t>
        </is>
      </c>
      <c r="F465" t="inlineStr">
        <is>
          <t>Holmen skog AB</t>
        </is>
      </c>
      <c r="G465" t="n">
        <v>2.6</v>
      </c>
      <c r="H465" t="n">
        <v>0</v>
      </c>
      <c r="I465" t="n">
        <v>0</v>
      </c>
      <c r="J465" t="n">
        <v>0</v>
      </c>
      <c r="K465" t="n">
        <v>0</v>
      </c>
      <c r="L465" t="n">
        <v>0</v>
      </c>
      <c r="M465" t="n">
        <v>0</v>
      </c>
      <c r="N465" t="n">
        <v>0</v>
      </c>
      <c r="O465" t="n">
        <v>0</v>
      </c>
      <c r="P465" t="n">
        <v>0</v>
      </c>
      <c r="Q465" t="n">
        <v>0</v>
      </c>
      <c r="R465" s="2" t="inlineStr"/>
    </row>
    <row r="466" ht="15" customHeight="1">
      <c r="A466" t="inlineStr">
        <is>
          <t>A 20852-2023</t>
        </is>
      </c>
      <c r="B466" s="1" t="n">
        <v>45058.78607638889</v>
      </c>
      <c r="C466" s="1" t="n">
        <v>45940</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50907-2022</t>
        </is>
      </c>
      <c r="B467" s="1" t="n">
        <v>44867.62090277778</v>
      </c>
      <c r="C467" s="1" t="n">
        <v>45940</v>
      </c>
      <c r="D467" t="inlineStr">
        <is>
          <t>STOCKHOLMS LÄN</t>
        </is>
      </c>
      <c r="E467" t="inlineStr">
        <is>
          <t>NORRTÄLJE</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29003-2023</t>
        </is>
      </c>
      <c r="B468" s="1" t="n">
        <v>45104</v>
      </c>
      <c r="C468" s="1" t="n">
        <v>45940</v>
      </c>
      <c r="D468" t="inlineStr">
        <is>
          <t>STOCKHOLMS LÄN</t>
        </is>
      </c>
      <c r="E468" t="inlineStr">
        <is>
          <t>NORRTÄLJE</t>
        </is>
      </c>
      <c r="G468" t="n">
        <v>1.3</v>
      </c>
      <c r="H468" t="n">
        <v>0</v>
      </c>
      <c r="I468" t="n">
        <v>0</v>
      </c>
      <c r="J468" t="n">
        <v>0</v>
      </c>
      <c r="K468" t="n">
        <v>0</v>
      </c>
      <c r="L468" t="n">
        <v>0</v>
      </c>
      <c r="M468" t="n">
        <v>0</v>
      </c>
      <c r="N468" t="n">
        <v>0</v>
      </c>
      <c r="O468" t="n">
        <v>0</v>
      </c>
      <c r="P468" t="n">
        <v>0</v>
      </c>
      <c r="Q468" t="n">
        <v>0</v>
      </c>
      <c r="R468" s="2" t="inlineStr"/>
    </row>
    <row r="469" ht="15" customHeight="1">
      <c r="A469" t="inlineStr">
        <is>
          <t>A 33295-2023</t>
        </is>
      </c>
      <c r="B469" s="1" t="n">
        <v>45127.69371527778</v>
      </c>
      <c r="C469" s="1" t="n">
        <v>45940</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14127-2025</t>
        </is>
      </c>
      <c r="B470" s="1" t="n">
        <v>45740.47055555556</v>
      </c>
      <c r="C470" s="1" t="n">
        <v>45940</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16980-2023</t>
        </is>
      </c>
      <c r="B471" s="1" t="n">
        <v>45033</v>
      </c>
      <c r="C471" s="1" t="n">
        <v>45940</v>
      </c>
      <c r="D471" t="inlineStr">
        <is>
          <t>STOCKHOLMS LÄN</t>
        </is>
      </c>
      <c r="E471" t="inlineStr">
        <is>
          <t>NORRTÄLJE</t>
        </is>
      </c>
      <c r="G471" t="n">
        <v>2.3</v>
      </c>
      <c r="H471" t="n">
        <v>0</v>
      </c>
      <c r="I471" t="n">
        <v>0</v>
      </c>
      <c r="J471" t="n">
        <v>0</v>
      </c>
      <c r="K471" t="n">
        <v>0</v>
      </c>
      <c r="L471" t="n">
        <v>0</v>
      </c>
      <c r="M471" t="n">
        <v>0</v>
      </c>
      <c r="N471" t="n">
        <v>0</v>
      </c>
      <c r="O471" t="n">
        <v>0</v>
      </c>
      <c r="P471" t="n">
        <v>0</v>
      </c>
      <c r="Q471" t="n">
        <v>0</v>
      </c>
      <c r="R471" s="2" t="inlineStr"/>
    </row>
    <row r="472" ht="15" customHeight="1">
      <c r="A472" t="inlineStr">
        <is>
          <t>A 21745-2023</t>
        </is>
      </c>
      <c r="B472" s="1" t="n">
        <v>45065.55917824074</v>
      </c>
      <c r="C472" s="1" t="n">
        <v>45940</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22456-2023</t>
        </is>
      </c>
      <c r="B473" s="1" t="n">
        <v>45070</v>
      </c>
      <c r="C473" s="1" t="n">
        <v>45940</v>
      </c>
      <c r="D473" t="inlineStr">
        <is>
          <t>STOCKHOLMS LÄN</t>
        </is>
      </c>
      <c r="E473" t="inlineStr">
        <is>
          <t>NORRTÄLJE</t>
        </is>
      </c>
      <c r="G473" t="n">
        <v>3.1</v>
      </c>
      <c r="H473" t="n">
        <v>0</v>
      </c>
      <c r="I473" t="n">
        <v>0</v>
      </c>
      <c r="J473" t="n">
        <v>0</v>
      </c>
      <c r="K473" t="n">
        <v>0</v>
      </c>
      <c r="L473" t="n">
        <v>0</v>
      </c>
      <c r="M473" t="n">
        <v>0</v>
      </c>
      <c r="N473" t="n">
        <v>0</v>
      </c>
      <c r="O473" t="n">
        <v>0</v>
      </c>
      <c r="P473" t="n">
        <v>0</v>
      </c>
      <c r="Q473" t="n">
        <v>0</v>
      </c>
      <c r="R473" s="2" t="inlineStr"/>
    </row>
    <row r="474" ht="15" customHeight="1">
      <c r="A474" t="inlineStr">
        <is>
          <t>A 17785-2024</t>
        </is>
      </c>
      <c r="B474" s="1" t="n">
        <v>45418.6968287037</v>
      </c>
      <c r="C474" s="1" t="n">
        <v>45940</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21894-2023</t>
        </is>
      </c>
      <c r="B475" s="1" t="n">
        <v>45068.51783564815</v>
      </c>
      <c r="C475" s="1" t="n">
        <v>45940</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13276-2022</t>
        </is>
      </c>
      <c r="B476" s="1" t="n">
        <v>44644</v>
      </c>
      <c r="C476" s="1" t="n">
        <v>45940</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32595-2023</t>
        </is>
      </c>
      <c r="B477" s="1" t="n">
        <v>45121</v>
      </c>
      <c r="C477" s="1" t="n">
        <v>45940</v>
      </c>
      <c r="D477" t="inlineStr">
        <is>
          <t>STOCKHOLMS LÄN</t>
        </is>
      </c>
      <c r="E477" t="inlineStr">
        <is>
          <t>NORRTÄLJE</t>
        </is>
      </c>
      <c r="G477" t="n">
        <v>2.4</v>
      </c>
      <c r="H477" t="n">
        <v>0</v>
      </c>
      <c r="I477" t="n">
        <v>0</v>
      </c>
      <c r="J477" t="n">
        <v>0</v>
      </c>
      <c r="K477" t="n">
        <v>0</v>
      </c>
      <c r="L477" t="n">
        <v>0</v>
      </c>
      <c r="M477" t="n">
        <v>0</v>
      </c>
      <c r="N477" t="n">
        <v>0</v>
      </c>
      <c r="O477" t="n">
        <v>0</v>
      </c>
      <c r="P477" t="n">
        <v>0</v>
      </c>
      <c r="Q477" t="n">
        <v>0</v>
      </c>
      <c r="R477" s="2" t="inlineStr"/>
    </row>
    <row r="478" ht="15" customHeight="1">
      <c r="A478" t="inlineStr">
        <is>
          <t>A 6678-2025</t>
        </is>
      </c>
      <c r="B478" s="1" t="n">
        <v>45700</v>
      </c>
      <c r="C478" s="1" t="n">
        <v>45940</v>
      </c>
      <c r="D478" t="inlineStr">
        <is>
          <t>STOCKHOLMS LÄN</t>
        </is>
      </c>
      <c r="E478" t="inlineStr">
        <is>
          <t>NORRTÄLJE</t>
        </is>
      </c>
      <c r="F478" t="inlineStr">
        <is>
          <t>Övriga Aktiebolag</t>
        </is>
      </c>
      <c r="G478" t="n">
        <v>6.6</v>
      </c>
      <c r="H478" t="n">
        <v>0</v>
      </c>
      <c r="I478" t="n">
        <v>0</v>
      </c>
      <c r="J478" t="n">
        <v>0</v>
      </c>
      <c r="K478" t="n">
        <v>0</v>
      </c>
      <c r="L478" t="n">
        <v>0</v>
      </c>
      <c r="M478" t="n">
        <v>0</v>
      </c>
      <c r="N478" t="n">
        <v>0</v>
      </c>
      <c r="O478" t="n">
        <v>0</v>
      </c>
      <c r="P478" t="n">
        <v>0</v>
      </c>
      <c r="Q478" t="n">
        <v>0</v>
      </c>
      <c r="R478" s="2" t="inlineStr"/>
    </row>
    <row r="479" ht="15" customHeight="1">
      <c r="A479" t="inlineStr">
        <is>
          <t>A 37550-2022</t>
        </is>
      </c>
      <c r="B479" s="1" t="n">
        <v>44809</v>
      </c>
      <c r="C479" s="1" t="n">
        <v>45940</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62998-2023</t>
        </is>
      </c>
      <c r="B480" s="1" t="n">
        <v>45272.64479166667</v>
      </c>
      <c r="C480" s="1" t="n">
        <v>45940</v>
      </c>
      <c r="D480" t="inlineStr">
        <is>
          <t>STOCKHOLMS LÄN</t>
        </is>
      </c>
      <c r="E480" t="inlineStr">
        <is>
          <t>NORRTÄLJE</t>
        </is>
      </c>
      <c r="G480" t="n">
        <v>16.3</v>
      </c>
      <c r="H480" t="n">
        <v>0</v>
      </c>
      <c r="I480" t="n">
        <v>0</v>
      </c>
      <c r="J480" t="n">
        <v>0</v>
      </c>
      <c r="K480" t="n">
        <v>0</v>
      </c>
      <c r="L480" t="n">
        <v>0</v>
      </c>
      <c r="M480" t="n">
        <v>0</v>
      </c>
      <c r="N480" t="n">
        <v>0</v>
      </c>
      <c r="O480" t="n">
        <v>0</v>
      </c>
      <c r="P480" t="n">
        <v>0</v>
      </c>
      <c r="Q480" t="n">
        <v>0</v>
      </c>
      <c r="R480" s="2" t="inlineStr"/>
    </row>
    <row r="481" ht="15" customHeight="1">
      <c r="A481" t="inlineStr">
        <is>
          <t>A 63015-2023</t>
        </is>
      </c>
      <c r="B481" s="1" t="n">
        <v>45272</v>
      </c>
      <c r="C481" s="1" t="n">
        <v>45940</v>
      </c>
      <c r="D481" t="inlineStr">
        <is>
          <t>STOCKHOLMS LÄN</t>
        </is>
      </c>
      <c r="E481" t="inlineStr">
        <is>
          <t>NORRTÄLJE</t>
        </is>
      </c>
      <c r="G481" t="n">
        <v>13.1</v>
      </c>
      <c r="H481" t="n">
        <v>0</v>
      </c>
      <c r="I481" t="n">
        <v>0</v>
      </c>
      <c r="J481" t="n">
        <v>0</v>
      </c>
      <c r="K481" t="n">
        <v>0</v>
      </c>
      <c r="L481" t="n">
        <v>0</v>
      </c>
      <c r="M481" t="n">
        <v>0</v>
      </c>
      <c r="N481" t="n">
        <v>0</v>
      </c>
      <c r="O481" t="n">
        <v>0</v>
      </c>
      <c r="P481" t="n">
        <v>0</v>
      </c>
      <c r="Q481" t="n">
        <v>0</v>
      </c>
      <c r="R481" s="2" t="inlineStr"/>
    </row>
    <row r="482" ht="15" customHeight="1">
      <c r="A482" t="inlineStr">
        <is>
          <t>A 28182-2022</t>
        </is>
      </c>
      <c r="B482" s="1" t="n">
        <v>44746.58530092592</v>
      </c>
      <c r="C482" s="1" t="n">
        <v>45940</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34461-2023</t>
        </is>
      </c>
      <c r="B483" s="1" t="n">
        <v>45139</v>
      </c>
      <c r="C483" s="1" t="n">
        <v>45940</v>
      </c>
      <c r="D483" t="inlineStr">
        <is>
          <t>STOCKHOLMS LÄN</t>
        </is>
      </c>
      <c r="E483" t="inlineStr">
        <is>
          <t>NORRTÄLJE</t>
        </is>
      </c>
      <c r="G483" t="n">
        <v>1.4</v>
      </c>
      <c r="H483" t="n">
        <v>0</v>
      </c>
      <c r="I483" t="n">
        <v>0</v>
      </c>
      <c r="J483" t="n">
        <v>0</v>
      </c>
      <c r="K483" t="n">
        <v>0</v>
      </c>
      <c r="L483" t="n">
        <v>0</v>
      </c>
      <c r="M483" t="n">
        <v>0</v>
      </c>
      <c r="N483" t="n">
        <v>0</v>
      </c>
      <c r="O483" t="n">
        <v>0</v>
      </c>
      <c r="P483" t="n">
        <v>0</v>
      </c>
      <c r="Q483" t="n">
        <v>0</v>
      </c>
      <c r="R483" s="2" t="inlineStr"/>
    </row>
    <row r="484" ht="15" customHeight="1">
      <c r="A484" t="inlineStr">
        <is>
          <t>A 27831-2024</t>
        </is>
      </c>
      <c r="B484" s="1" t="n">
        <v>45475.61896990741</v>
      </c>
      <c r="C484" s="1" t="n">
        <v>45940</v>
      </c>
      <c r="D484" t="inlineStr">
        <is>
          <t>STOCKHOLMS LÄN</t>
        </is>
      </c>
      <c r="E484" t="inlineStr">
        <is>
          <t>NORRTÄLJE</t>
        </is>
      </c>
      <c r="G484" t="n">
        <v>3.8</v>
      </c>
      <c r="H484" t="n">
        <v>0</v>
      </c>
      <c r="I484" t="n">
        <v>0</v>
      </c>
      <c r="J484" t="n">
        <v>0</v>
      </c>
      <c r="K484" t="n">
        <v>0</v>
      </c>
      <c r="L484" t="n">
        <v>0</v>
      </c>
      <c r="M484" t="n">
        <v>0</v>
      </c>
      <c r="N484" t="n">
        <v>0</v>
      </c>
      <c r="O484" t="n">
        <v>0</v>
      </c>
      <c r="P484" t="n">
        <v>0</v>
      </c>
      <c r="Q484" t="n">
        <v>0</v>
      </c>
      <c r="R484" s="2" t="inlineStr"/>
    </row>
    <row r="485" ht="15" customHeight="1">
      <c r="A485" t="inlineStr">
        <is>
          <t>A 51046-2023</t>
        </is>
      </c>
      <c r="B485" s="1" t="n">
        <v>45218</v>
      </c>
      <c r="C485" s="1" t="n">
        <v>45940</v>
      </c>
      <c r="D485" t="inlineStr">
        <is>
          <t>STOCKHOLMS LÄN</t>
        </is>
      </c>
      <c r="E485" t="inlineStr">
        <is>
          <t>NORRTÄLJE</t>
        </is>
      </c>
      <c r="G485" t="n">
        <v>2.5</v>
      </c>
      <c r="H485" t="n">
        <v>0</v>
      </c>
      <c r="I485" t="n">
        <v>0</v>
      </c>
      <c r="J485" t="n">
        <v>0</v>
      </c>
      <c r="K485" t="n">
        <v>0</v>
      </c>
      <c r="L485" t="n">
        <v>0</v>
      </c>
      <c r="M485" t="n">
        <v>0</v>
      </c>
      <c r="N485" t="n">
        <v>0</v>
      </c>
      <c r="O485" t="n">
        <v>0</v>
      </c>
      <c r="P485" t="n">
        <v>0</v>
      </c>
      <c r="Q485" t="n">
        <v>0</v>
      </c>
      <c r="R485" s="2" t="inlineStr"/>
    </row>
    <row r="486" ht="15" customHeight="1">
      <c r="A486" t="inlineStr">
        <is>
          <t>A 19982-2022</t>
        </is>
      </c>
      <c r="B486" s="1" t="n">
        <v>44697</v>
      </c>
      <c r="C486" s="1" t="n">
        <v>45940</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48161-2022</t>
        </is>
      </c>
      <c r="B487" s="1" t="n">
        <v>44858</v>
      </c>
      <c r="C487" s="1" t="n">
        <v>45940</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48798-2021</t>
        </is>
      </c>
      <c r="B488" s="1" t="n">
        <v>44452</v>
      </c>
      <c r="C488" s="1" t="n">
        <v>45940</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33175-2024</t>
        </is>
      </c>
      <c r="B489" s="1" t="n">
        <v>45518</v>
      </c>
      <c r="C489" s="1" t="n">
        <v>45940</v>
      </c>
      <c r="D489" t="inlineStr">
        <is>
          <t>STOCKHOLMS LÄN</t>
        </is>
      </c>
      <c r="E489" t="inlineStr">
        <is>
          <t>NORRTÄLJE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12111-2021</t>
        </is>
      </c>
      <c r="B490" s="1" t="n">
        <v>44266</v>
      </c>
      <c r="C490" s="1" t="n">
        <v>45940</v>
      </c>
      <c r="D490" t="inlineStr">
        <is>
          <t>STOCKHOLMS LÄN</t>
        </is>
      </c>
      <c r="E490" t="inlineStr">
        <is>
          <t>NORRTÄLJE</t>
        </is>
      </c>
      <c r="G490" t="n">
        <v>5.5</v>
      </c>
      <c r="H490" t="n">
        <v>0</v>
      </c>
      <c r="I490" t="n">
        <v>0</v>
      </c>
      <c r="J490" t="n">
        <v>0</v>
      </c>
      <c r="K490" t="n">
        <v>0</v>
      </c>
      <c r="L490" t="n">
        <v>0</v>
      </c>
      <c r="M490" t="n">
        <v>0</v>
      </c>
      <c r="N490" t="n">
        <v>0</v>
      </c>
      <c r="O490" t="n">
        <v>0</v>
      </c>
      <c r="P490" t="n">
        <v>0</v>
      </c>
      <c r="Q490" t="n">
        <v>0</v>
      </c>
      <c r="R490" s="2" t="inlineStr"/>
    </row>
    <row r="491" ht="15" customHeight="1">
      <c r="A491" t="inlineStr">
        <is>
          <t>A 42075-2023</t>
        </is>
      </c>
      <c r="B491" s="1" t="n">
        <v>45177</v>
      </c>
      <c r="C491" s="1" t="n">
        <v>45940</v>
      </c>
      <c r="D491" t="inlineStr">
        <is>
          <t>STOCKHOLMS LÄN</t>
        </is>
      </c>
      <c r="E491" t="inlineStr">
        <is>
          <t>NORRTÄLJE</t>
        </is>
      </c>
      <c r="G491" t="n">
        <v>2.5</v>
      </c>
      <c r="H491" t="n">
        <v>0</v>
      </c>
      <c r="I491" t="n">
        <v>0</v>
      </c>
      <c r="J491" t="n">
        <v>0</v>
      </c>
      <c r="K491" t="n">
        <v>0</v>
      </c>
      <c r="L491" t="n">
        <v>0</v>
      </c>
      <c r="M491" t="n">
        <v>0</v>
      </c>
      <c r="N491" t="n">
        <v>0</v>
      </c>
      <c r="O491" t="n">
        <v>0</v>
      </c>
      <c r="P491" t="n">
        <v>0</v>
      </c>
      <c r="Q491" t="n">
        <v>0</v>
      </c>
      <c r="R491" s="2" t="inlineStr"/>
    </row>
    <row r="492" ht="15" customHeight="1">
      <c r="A492" t="inlineStr">
        <is>
          <t>A 54776-2023</t>
        </is>
      </c>
      <c r="B492" s="1" t="n">
        <v>45236.46369212963</v>
      </c>
      <c r="C492" s="1" t="n">
        <v>45940</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21803-2022</t>
        </is>
      </c>
      <c r="B493" s="1" t="n">
        <v>44708.67822916667</v>
      </c>
      <c r="C493" s="1" t="n">
        <v>45940</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20730-2024</t>
        </is>
      </c>
      <c r="B494" s="1" t="n">
        <v>45436</v>
      </c>
      <c r="C494" s="1" t="n">
        <v>45940</v>
      </c>
      <c r="D494" t="inlineStr">
        <is>
          <t>STOCKHOLMS LÄN</t>
        </is>
      </c>
      <c r="E494" t="inlineStr">
        <is>
          <t>NORRTÄLJE</t>
        </is>
      </c>
      <c r="G494" t="n">
        <v>7.3</v>
      </c>
      <c r="H494" t="n">
        <v>0</v>
      </c>
      <c r="I494" t="n">
        <v>0</v>
      </c>
      <c r="J494" t="n">
        <v>0</v>
      </c>
      <c r="K494" t="n">
        <v>0</v>
      </c>
      <c r="L494" t="n">
        <v>0</v>
      </c>
      <c r="M494" t="n">
        <v>0</v>
      </c>
      <c r="N494" t="n">
        <v>0</v>
      </c>
      <c r="O494" t="n">
        <v>0</v>
      </c>
      <c r="P494" t="n">
        <v>0</v>
      </c>
      <c r="Q494" t="n">
        <v>0</v>
      </c>
      <c r="R494" s="2" t="inlineStr"/>
    </row>
    <row r="495" ht="15" customHeight="1">
      <c r="A495" t="inlineStr">
        <is>
          <t>A 50108-2021</t>
        </is>
      </c>
      <c r="B495" s="1" t="n">
        <v>44456</v>
      </c>
      <c r="C495" s="1" t="n">
        <v>45940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57442-2021</t>
        </is>
      </c>
      <c r="B496" s="1" t="n">
        <v>44483</v>
      </c>
      <c r="C496" s="1" t="n">
        <v>45940</v>
      </c>
      <c r="D496" t="inlineStr">
        <is>
          <t>STOCKHOLMS LÄN</t>
        </is>
      </c>
      <c r="E496" t="inlineStr">
        <is>
          <t>NORRTÄLJE</t>
        </is>
      </c>
      <c r="G496" t="n">
        <v>3.3</v>
      </c>
      <c r="H496" t="n">
        <v>0</v>
      </c>
      <c r="I496" t="n">
        <v>0</v>
      </c>
      <c r="J496" t="n">
        <v>0</v>
      </c>
      <c r="K496" t="n">
        <v>0</v>
      </c>
      <c r="L496" t="n">
        <v>0</v>
      </c>
      <c r="M496" t="n">
        <v>0</v>
      </c>
      <c r="N496" t="n">
        <v>0</v>
      </c>
      <c r="O496" t="n">
        <v>0</v>
      </c>
      <c r="P496" t="n">
        <v>0</v>
      </c>
      <c r="Q496" t="n">
        <v>0</v>
      </c>
      <c r="R496" s="2" t="inlineStr"/>
    </row>
    <row r="497" ht="15" customHeight="1">
      <c r="A497" t="inlineStr">
        <is>
          <t>A 55952-2024</t>
        </is>
      </c>
      <c r="B497" s="1" t="n">
        <v>45623.62563657408</v>
      </c>
      <c r="C497" s="1" t="n">
        <v>45940</v>
      </c>
      <c r="D497" t="inlineStr">
        <is>
          <t>STOCKHOLMS LÄN</t>
        </is>
      </c>
      <c r="E497" t="inlineStr">
        <is>
          <t>NORRTÄLJE</t>
        </is>
      </c>
      <c r="F497" t="inlineStr">
        <is>
          <t>Holmen skog AB</t>
        </is>
      </c>
      <c r="G497" t="n">
        <v>2.8</v>
      </c>
      <c r="H497" t="n">
        <v>0</v>
      </c>
      <c r="I497" t="n">
        <v>0</v>
      </c>
      <c r="J497" t="n">
        <v>0</v>
      </c>
      <c r="K497" t="n">
        <v>0</v>
      </c>
      <c r="L497" t="n">
        <v>0</v>
      </c>
      <c r="M497" t="n">
        <v>0</v>
      </c>
      <c r="N497" t="n">
        <v>0</v>
      </c>
      <c r="O497" t="n">
        <v>0</v>
      </c>
      <c r="P497" t="n">
        <v>0</v>
      </c>
      <c r="Q497" t="n">
        <v>0</v>
      </c>
      <c r="R497" s="2" t="inlineStr"/>
    </row>
    <row r="498" ht="15" customHeight="1">
      <c r="A498" t="inlineStr">
        <is>
          <t>A 8135-2025</t>
        </is>
      </c>
      <c r="B498" s="1" t="n">
        <v>45707.84997685185</v>
      </c>
      <c r="C498" s="1" t="n">
        <v>45940</v>
      </c>
      <c r="D498" t="inlineStr">
        <is>
          <t>STOCKHOLMS LÄN</t>
        </is>
      </c>
      <c r="E498" t="inlineStr">
        <is>
          <t>NORRTÄLJE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3383-2023</t>
        </is>
      </c>
      <c r="B499" s="1" t="n">
        <v>44949</v>
      </c>
      <c r="C499" s="1" t="n">
        <v>45940</v>
      </c>
      <c r="D499" t="inlineStr">
        <is>
          <t>STOCKHOLMS LÄN</t>
        </is>
      </c>
      <c r="E499" t="inlineStr">
        <is>
          <t>NORRTÄLJE</t>
        </is>
      </c>
      <c r="G499" t="n">
        <v>14.6</v>
      </c>
      <c r="H499" t="n">
        <v>0</v>
      </c>
      <c r="I499" t="n">
        <v>0</v>
      </c>
      <c r="J499" t="n">
        <v>0</v>
      </c>
      <c r="K499" t="n">
        <v>0</v>
      </c>
      <c r="L499" t="n">
        <v>0</v>
      </c>
      <c r="M499" t="n">
        <v>0</v>
      </c>
      <c r="N499" t="n">
        <v>0</v>
      </c>
      <c r="O499" t="n">
        <v>0</v>
      </c>
      <c r="P499" t="n">
        <v>0</v>
      </c>
      <c r="Q499" t="n">
        <v>0</v>
      </c>
      <c r="R499" s="2" t="inlineStr"/>
    </row>
    <row r="500" ht="15" customHeight="1">
      <c r="A500" t="inlineStr">
        <is>
          <t>A 12901-2024</t>
        </is>
      </c>
      <c r="B500" s="1" t="n">
        <v>45385.37922453704</v>
      </c>
      <c r="C500" s="1" t="n">
        <v>45940</v>
      </c>
      <c r="D500" t="inlineStr">
        <is>
          <t>STOCKHOLMS LÄN</t>
        </is>
      </c>
      <c r="E500" t="inlineStr">
        <is>
          <t>NORRTÄLJE</t>
        </is>
      </c>
      <c r="G500" t="n">
        <v>2.7</v>
      </c>
      <c r="H500" t="n">
        <v>0</v>
      </c>
      <c r="I500" t="n">
        <v>0</v>
      </c>
      <c r="J500" t="n">
        <v>0</v>
      </c>
      <c r="K500" t="n">
        <v>0</v>
      </c>
      <c r="L500" t="n">
        <v>0</v>
      </c>
      <c r="M500" t="n">
        <v>0</v>
      </c>
      <c r="N500" t="n">
        <v>0</v>
      </c>
      <c r="O500" t="n">
        <v>0</v>
      </c>
      <c r="P500" t="n">
        <v>0</v>
      </c>
      <c r="Q500" t="n">
        <v>0</v>
      </c>
      <c r="R500" s="2" t="inlineStr"/>
    </row>
    <row r="501" ht="15" customHeight="1">
      <c r="A501" t="inlineStr">
        <is>
          <t>A 3444-2023</t>
        </is>
      </c>
      <c r="B501" s="1" t="n">
        <v>44949</v>
      </c>
      <c r="C501" s="1" t="n">
        <v>45940</v>
      </c>
      <c r="D501" t="inlineStr">
        <is>
          <t>STOCKHOLMS LÄN</t>
        </is>
      </c>
      <c r="E501" t="inlineStr">
        <is>
          <t>NORRTÄLJE</t>
        </is>
      </c>
      <c r="G501" t="n">
        <v>5.1</v>
      </c>
      <c r="H501" t="n">
        <v>0</v>
      </c>
      <c r="I501" t="n">
        <v>0</v>
      </c>
      <c r="J501" t="n">
        <v>0</v>
      </c>
      <c r="K501" t="n">
        <v>0</v>
      </c>
      <c r="L501" t="n">
        <v>0</v>
      </c>
      <c r="M501" t="n">
        <v>0</v>
      </c>
      <c r="N501" t="n">
        <v>0</v>
      </c>
      <c r="O501" t="n">
        <v>0</v>
      </c>
      <c r="P501" t="n">
        <v>0</v>
      </c>
      <c r="Q501" t="n">
        <v>0</v>
      </c>
      <c r="R501" s="2" t="inlineStr"/>
    </row>
    <row r="502" ht="15" customHeight="1">
      <c r="A502" t="inlineStr">
        <is>
          <t>A 8950-2025</t>
        </is>
      </c>
      <c r="B502" s="1" t="n">
        <v>45713</v>
      </c>
      <c r="C502" s="1" t="n">
        <v>45940</v>
      </c>
      <c r="D502" t="inlineStr">
        <is>
          <t>STOCKHOLMS LÄN</t>
        </is>
      </c>
      <c r="E502" t="inlineStr">
        <is>
          <t>NORRTÄLJE</t>
        </is>
      </c>
      <c r="F502" t="inlineStr">
        <is>
          <t>Övriga Aktiebolag</t>
        </is>
      </c>
      <c r="G502" t="n">
        <v>3.6</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45940</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12301-2025</t>
        </is>
      </c>
      <c r="B504" s="1" t="n">
        <v>45729.7271875</v>
      </c>
      <c r="C504" s="1" t="n">
        <v>45940</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17382-2024</t>
        </is>
      </c>
      <c r="B505" s="1" t="n">
        <v>45414.65855324074</v>
      </c>
      <c r="C505" s="1" t="n">
        <v>45940</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50355-2024</t>
        </is>
      </c>
      <c r="B506" s="1" t="n">
        <v>45600.86128472222</v>
      </c>
      <c r="C506" s="1" t="n">
        <v>45940</v>
      </c>
      <c r="D506" t="inlineStr">
        <is>
          <t>STOCKHOLMS LÄN</t>
        </is>
      </c>
      <c r="E506" t="inlineStr">
        <is>
          <t>NORRTÄLJE</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6070-2022</t>
        </is>
      </c>
      <c r="B507" s="1" t="n">
        <v>44599.58428240741</v>
      </c>
      <c r="C507" s="1" t="n">
        <v>45940</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17039-2024</t>
        </is>
      </c>
      <c r="B508" s="1" t="n">
        <v>45412.4104050926</v>
      </c>
      <c r="C508" s="1" t="n">
        <v>45940</v>
      </c>
      <c r="D508" t="inlineStr">
        <is>
          <t>STOCKHOLMS LÄN</t>
        </is>
      </c>
      <c r="E508" t="inlineStr">
        <is>
          <t>NORRTÄLJE</t>
        </is>
      </c>
      <c r="G508" t="n">
        <v>5.9</v>
      </c>
      <c r="H508" t="n">
        <v>0</v>
      </c>
      <c r="I508" t="n">
        <v>0</v>
      </c>
      <c r="J508" t="n">
        <v>0</v>
      </c>
      <c r="K508" t="n">
        <v>0</v>
      </c>
      <c r="L508" t="n">
        <v>0</v>
      </c>
      <c r="M508" t="n">
        <v>0</v>
      </c>
      <c r="N508" t="n">
        <v>0</v>
      </c>
      <c r="O508" t="n">
        <v>0</v>
      </c>
      <c r="P508" t="n">
        <v>0</v>
      </c>
      <c r="Q508" t="n">
        <v>0</v>
      </c>
      <c r="R508" s="2" t="inlineStr"/>
    </row>
    <row r="509" ht="15" customHeight="1">
      <c r="A509" t="inlineStr">
        <is>
          <t>A 68081-2020</t>
        </is>
      </c>
      <c r="B509" s="1" t="n">
        <v>44183</v>
      </c>
      <c r="C509" s="1" t="n">
        <v>45940</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13148-2021</t>
        </is>
      </c>
      <c r="B510" s="1" t="n">
        <v>44272</v>
      </c>
      <c r="C510" s="1" t="n">
        <v>45940</v>
      </c>
      <c r="D510" t="inlineStr">
        <is>
          <t>STOCKHOLMS LÄN</t>
        </is>
      </c>
      <c r="E510" t="inlineStr">
        <is>
          <t>NORRTÄLJE</t>
        </is>
      </c>
      <c r="G510" t="n">
        <v>12.4</v>
      </c>
      <c r="H510" t="n">
        <v>0</v>
      </c>
      <c r="I510" t="n">
        <v>0</v>
      </c>
      <c r="J510" t="n">
        <v>0</v>
      </c>
      <c r="K510" t="n">
        <v>0</v>
      </c>
      <c r="L510" t="n">
        <v>0</v>
      </c>
      <c r="M510" t="n">
        <v>0</v>
      </c>
      <c r="N510" t="n">
        <v>0</v>
      </c>
      <c r="O510" t="n">
        <v>0</v>
      </c>
      <c r="P510" t="n">
        <v>0</v>
      </c>
      <c r="Q510" t="n">
        <v>0</v>
      </c>
      <c r="R510" s="2" t="inlineStr"/>
    </row>
    <row r="511" ht="15" customHeight="1">
      <c r="A511" t="inlineStr">
        <is>
          <t>A 24351-2025</t>
        </is>
      </c>
      <c r="B511" s="1" t="n">
        <v>45797.58399305555</v>
      </c>
      <c r="C511" s="1" t="n">
        <v>45940</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44917-2022</t>
        </is>
      </c>
      <c r="B512" s="1" t="n">
        <v>44841.52804398148</v>
      </c>
      <c r="C512" s="1" t="n">
        <v>45940</v>
      </c>
      <c r="D512" t="inlineStr">
        <is>
          <t>STOCKHOLMS LÄN</t>
        </is>
      </c>
      <c r="E512" t="inlineStr">
        <is>
          <t>NORRTÄLJE</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13283-2025</t>
        </is>
      </c>
      <c r="B513" s="1" t="n">
        <v>45735</v>
      </c>
      <c r="C513" s="1" t="n">
        <v>45940</v>
      </c>
      <c r="D513" t="inlineStr">
        <is>
          <t>STOCKHOLMS LÄN</t>
        </is>
      </c>
      <c r="E513" t="inlineStr">
        <is>
          <t>NORRTÄLJE</t>
        </is>
      </c>
      <c r="G513" t="n">
        <v>4.9</v>
      </c>
      <c r="H513" t="n">
        <v>0</v>
      </c>
      <c r="I513" t="n">
        <v>0</v>
      </c>
      <c r="J513" t="n">
        <v>0</v>
      </c>
      <c r="K513" t="n">
        <v>0</v>
      </c>
      <c r="L513" t="n">
        <v>0</v>
      </c>
      <c r="M513" t="n">
        <v>0</v>
      </c>
      <c r="N513" t="n">
        <v>0</v>
      </c>
      <c r="O513" t="n">
        <v>0</v>
      </c>
      <c r="P513" t="n">
        <v>0</v>
      </c>
      <c r="Q513" t="n">
        <v>0</v>
      </c>
      <c r="R513" s="2" t="inlineStr"/>
    </row>
    <row r="514" ht="15" customHeight="1">
      <c r="A514" t="inlineStr">
        <is>
          <t>A 48180-2023</t>
        </is>
      </c>
      <c r="B514" s="1" t="n">
        <v>45205</v>
      </c>
      <c r="C514" s="1" t="n">
        <v>45940</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21732-2023</t>
        </is>
      </c>
      <c r="B515" s="1" t="n">
        <v>45063</v>
      </c>
      <c r="C515" s="1" t="n">
        <v>45940</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23307-2024</t>
        </is>
      </c>
      <c r="B516" s="1" t="n">
        <v>45453</v>
      </c>
      <c r="C516" s="1" t="n">
        <v>45940</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35695-2023</t>
        </is>
      </c>
      <c r="B517" s="1" t="n">
        <v>45147.65407407407</v>
      </c>
      <c r="C517" s="1" t="n">
        <v>45940</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45173-2023</t>
        </is>
      </c>
      <c r="B518" s="1" t="n">
        <v>45191</v>
      </c>
      <c r="C518" s="1" t="n">
        <v>45940</v>
      </c>
      <c r="D518" t="inlineStr">
        <is>
          <t>STOCKHOLMS LÄN</t>
        </is>
      </c>
      <c r="E518" t="inlineStr">
        <is>
          <t>NORRTÄLJE</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55058-2021</t>
        </is>
      </c>
      <c r="B519" s="1" t="n">
        <v>44474.62141203704</v>
      </c>
      <c r="C519" s="1" t="n">
        <v>45940</v>
      </c>
      <c r="D519" t="inlineStr">
        <is>
          <t>STOCKHOLMS LÄN</t>
        </is>
      </c>
      <c r="E519" t="inlineStr">
        <is>
          <t>NORRTÄLJE</t>
        </is>
      </c>
      <c r="G519" t="n">
        <v>1.9</v>
      </c>
      <c r="H519" t="n">
        <v>0</v>
      </c>
      <c r="I519" t="n">
        <v>0</v>
      </c>
      <c r="J519" t="n">
        <v>0</v>
      </c>
      <c r="K519" t="n">
        <v>0</v>
      </c>
      <c r="L519" t="n">
        <v>0</v>
      </c>
      <c r="M519" t="n">
        <v>0</v>
      </c>
      <c r="N519" t="n">
        <v>0</v>
      </c>
      <c r="O519" t="n">
        <v>0</v>
      </c>
      <c r="P519" t="n">
        <v>0</v>
      </c>
      <c r="Q519" t="n">
        <v>0</v>
      </c>
      <c r="R519" s="2" t="inlineStr"/>
    </row>
    <row r="520" ht="15" customHeight="1">
      <c r="A520" t="inlineStr">
        <is>
          <t>A 55012-2024</t>
        </is>
      </c>
      <c r="B520" s="1" t="n">
        <v>45621.34813657407</v>
      </c>
      <c r="C520" s="1" t="n">
        <v>45940</v>
      </c>
      <c r="D520" t="inlineStr">
        <is>
          <t>STOCKHOLMS LÄN</t>
        </is>
      </c>
      <c r="E520" t="inlineStr">
        <is>
          <t>NORRTÄLJE</t>
        </is>
      </c>
      <c r="F520" t="inlineStr">
        <is>
          <t>Sveaskog</t>
        </is>
      </c>
      <c r="G520" t="n">
        <v>5.2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45940</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24687-2025</t>
        </is>
      </c>
      <c r="B522" s="1" t="n">
        <v>45798.66767361111</v>
      </c>
      <c r="C522" s="1" t="n">
        <v>45940</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37085-2021</t>
        </is>
      </c>
      <c r="B523" s="1" t="n">
        <v>44395</v>
      </c>
      <c r="C523" s="1" t="n">
        <v>45940</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56428-2023</t>
        </is>
      </c>
      <c r="B524" s="1" t="n">
        <v>45243.45289351852</v>
      </c>
      <c r="C524" s="1" t="n">
        <v>45940</v>
      </c>
      <c r="D524" t="inlineStr">
        <is>
          <t>STOCKHOLMS LÄN</t>
        </is>
      </c>
      <c r="E524" t="inlineStr">
        <is>
          <t>NORRTÄLJE</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58493-2020</t>
        </is>
      </c>
      <c r="B525" s="1" t="n">
        <v>44145</v>
      </c>
      <c r="C525" s="1" t="n">
        <v>45940</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24638-2025</t>
        </is>
      </c>
      <c r="B526" s="1" t="n">
        <v>45798</v>
      </c>
      <c r="C526" s="1" t="n">
        <v>45940</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24705-2023</t>
        </is>
      </c>
      <c r="B527" s="1" t="n">
        <v>45084.54459490741</v>
      </c>
      <c r="C527" s="1" t="n">
        <v>45940</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17556-2025</t>
        </is>
      </c>
      <c r="B528" s="1" t="n">
        <v>45757.62482638889</v>
      </c>
      <c r="C528" s="1" t="n">
        <v>45940</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21696-2024</t>
        </is>
      </c>
      <c r="B529" s="1" t="n">
        <v>45442.45686342593</v>
      </c>
      <c r="C529" s="1" t="n">
        <v>45940</v>
      </c>
      <c r="D529" t="inlineStr">
        <is>
          <t>STOCKHOLMS LÄN</t>
        </is>
      </c>
      <c r="E529" t="inlineStr">
        <is>
          <t>NORRTÄLJE</t>
        </is>
      </c>
      <c r="G529" t="n">
        <v>2.9</v>
      </c>
      <c r="H529" t="n">
        <v>0</v>
      </c>
      <c r="I529" t="n">
        <v>0</v>
      </c>
      <c r="J529" t="n">
        <v>0</v>
      </c>
      <c r="K529" t="n">
        <v>0</v>
      </c>
      <c r="L529" t="n">
        <v>0</v>
      </c>
      <c r="M529" t="n">
        <v>0</v>
      </c>
      <c r="N529" t="n">
        <v>0</v>
      </c>
      <c r="O529" t="n">
        <v>0</v>
      </c>
      <c r="P529" t="n">
        <v>0</v>
      </c>
      <c r="Q529" t="n">
        <v>0</v>
      </c>
      <c r="R529" s="2" t="inlineStr"/>
    </row>
    <row r="530" ht="15" customHeight="1">
      <c r="A530" t="inlineStr">
        <is>
          <t>A 7413-2024</t>
        </is>
      </c>
      <c r="B530" s="1" t="n">
        <v>45345.6059837963</v>
      </c>
      <c r="C530" s="1" t="n">
        <v>45940</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12251-2025</t>
        </is>
      </c>
      <c r="B531" s="1" t="n">
        <v>45729.60859953704</v>
      </c>
      <c r="C531" s="1" t="n">
        <v>45940</v>
      </c>
      <c r="D531" t="inlineStr">
        <is>
          <t>STOCKHOLMS LÄN</t>
        </is>
      </c>
      <c r="E531" t="inlineStr">
        <is>
          <t>NORRTÄLJE</t>
        </is>
      </c>
      <c r="F531" t="inlineStr">
        <is>
          <t>Holmen skog AB</t>
        </is>
      </c>
      <c r="G531" t="n">
        <v>5.9</v>
      </c>
      <c r="H531" t="n">
        <v>0</v>
      </c>
      <c r="I531" t="n">
        <v>0</v>
      </c>
      <c r="J531" t="n">
        <v>0</v>
      </c>
      <c r="K531" t="n">
        <v>0</v>
      </c>
      <c r="L531" t="n">
        <v>0</v>
      </c>
      <c r="M531" t="n">
        <v>0</v>
      </c>
      <c r="N531" t="n">
        <v>0</v>
      </c>
      <c r="O531" t="n">
        <v>0</v>
      </c>
      <c r="P531" t="n">
        <v>0</v>
      </c>
      <c r="Q531" t="n">
        <v>0</v>
      </c>
      <c r="R531" s="2" t="inlineStr"/>
    </row>
    <row r="532" ht="15" customHeight="1">
      <c r="A532" t="inlineStr">
        <is>
          <t>A 58863-2024</t>
        </is>
      </c>
      <c r="B532" s="1" t="n">
        <v>45636.41572916666</v>
      </c>
      <c r="C532" s="1" t="n">
        <v>45940</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28603-2024</t>
        </is>
      </c>
      <c r="B533" s="1" t="n">
        <v>45478.42887731481</v>
      </c>
      <c r="C533" s="1" t="n">
        <v>45940</v>
      </c>
      <c r="D533" t="inlineStr">
        <is>
          <t>STOCKHOLMS LÄN</t>
        </is>
      </c>
      <c r="E533" t="inlineStr">
        <is>
          <t>NORRTÄLJE</t>
        </is>
      </c>
      <c r="G533" t="n">
        <v>5.6</v>
      </c>
      <c r="H533" t="n">
        <v>0</v>
      </c>
      <c r="I533" t="n">
        <v>0</v>
      </c>
      <c r="J533" t="n">
        <v>0</v>
      </c>
      <c r="K533" t="n">
        <v>0</v>
      </c>
      <c r="L533" t="n">
        <v>0</v>
      </c>
      <c r="M533" t="n">
        <v>0</v>
      </c>
      <c r="N533" t="n">
        <v>0</v>
      </c>
      <c r="O533" t="n">
        <v>0</v>
      </c>
      <c r="P533" t="n">
        <v>0</v>
      </c>
      <c r="Q533" t="n">
        <v>0</v>
      </c>
      <c r="R533" s="2" t="inlineStr"/>
    </row>
    <row r="534" ht="15" customHeight="1">
      <c r="A534" t="inlineStr">
        <is>
          <t>A 56166-2020</t>
        </is>
      </c>
      <c r="B534" s="1" t="n">
        <v>44133</v>
      </c>
      <c r="C534" s="1" t="n">
        <v>45940</v>
      </c>
      <c r="D534" t="inlineStr">
        <is>
          <t>STOCKHOLMS LÄN</t>
        </is>
      </c>
      <c r="E534" t="inlineStr">
        <is>
          <t>NORRTÄLJE</t>
        </is>
      </c>
      <c r="G534" t="n">
        <v>4.4</v>
      </c>
      <c r="H534" t="n">
        <v>0</v>
      </c>
      <c r="I534" t="n">
        <v>0</v>
      </c>
      <c r="J534" t="n">
        <v>0</v>
      </c>
      <c r="K534" t="n">
        <v>0</v>
      </c>
      <c r="L534" t="n">
        <v>0</v>
      </c>
      <c r="M534" t="n">
        <v>0</v>
      </c>
      <c r="N534" t="n">
        <v>0</v>
      </c>
      <c r="O534" t="n">
        <v>0</v>
      </c>
      <c r="P534" t="n">
        <v>0</v>
      </c>
      <c r="Q534" t="n">
        <v>0</v>
      </c>
      <c r="R534" s="2" t="inlineStr"/>
    </row>
    <row r="535" ht="15" customHeight="1">
      <c r="A535" t="inlineStr">
        <is>
          <t>A 42094-2023</t>
        </is>
      </c>
      <c r="B535" s="1" t="n">
        <v>45177.61498842593</v>
      </c>
      <c r="C535" s="1" t="n">
        <v>45940</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50154-2024</t>
        </is>
      </c>
      <c r="B536" s="1" t="n">
        <v>45600.4558912037</v>
      </c>
      <c r="C536" s="1" t="n">
        <v>45940</v>
      </c>
      <c r="D536" t="inlineStr">
        <is>
          <t>STOCKHOLMS LÄN</t>
        </is>
      </c>
      <c r="E536" t="inlineStr">
        <is>
          <t>NORRTÄLJE</t>
        </is>
      </c>
      <c r="G536" t="n">
        <v>2.5</v>
      </c>
      <c r="H536" t="n">
        <v>0</v>
      </c>
      <c r="I536" t="n">
        <v>0</v>
      </c>
      <c r="J536" t="n">
        <v>0</v>
      </c>
      <c r="K536" t="n">
        <v>0</v>
      </c>
      <c r="L536" t="n">
        <v>0</v>
      </c>
      <c r="M536" t="n">
        <v>0</v>
      </c>
      <c r="N536" t="n">
        <v>0</v>
      </c>
      <c r="O536" t="n">
        <v>0</v>
      </c>
      <c r="P536" t="n">
        <v>0</v>
      </c>
      <c r="Q536" t="n">
        <v>0</v>
      </c>
      <c r="R536" s="2" t="inlineStr"/>
    </row>
    <row r="537" ht="15" customHeight="1">
      <c r="A537" t="inlineStr">
        <is>
          <t>A 67990-2021</t>
        </is>
      </c>
      <c r="B537" s="1" t="n">
        <v>44525</v>
      </c>
      <c r="C537" s="1" t="n">
        <v>45940</v>
      </c>
      <c r="D537" t="inlineStr">
        <is>
          <t>STOCKHOLMS LÄN</t>
        </is>
      </c>
      <c r="E537" t="inlineStr">
        <is>
          <t>NORRTÄLJE</t>
        </is>
      </c>
      <c r="F537" t="inlineStr">
        <is>
          <t>Sveaskog</t>
        </is>
      </c>
      <c r="G537" t="n">
        <v>7.8</v>
      </c>
      <c r="H537" t="n">
        <v>0</v>
      </c>
      <c r="I537" t="n">
        <v>0</v>
      </c>
      <c r="J537" t="n">
        <v>0</v>
      </c>
      <c r="K537" t="n">
        <v>0</v>
      </c>
      <c r="L537" t="n">
        <v>0</v>
      </c>
      <c r="M537" t="n">
        <v>0</v>
      </c>
      <c r="N537" t="n">
        <v>0</v>
      </c>
      <c r="O537" t="n">
        <v>0</v>
      </c>
      <c r="P537" t="n">
        <v>0</v>
      </c>
      <c r="Q537" t="n">
        <v>0</v>
      </c>
      <c r="R537" s="2" t="inlineStr"/>
    </row>
    <row r="538" ht="15" customHeight="1">
      <c r="A538" t="inlineStr">
        <is>
          <t>A 24690-2025</t>
        </is>
      </c>
      <c r="B538" s="1" t="n">
        <v>45798.67082175926</v>
      </c>
      <c r="C538" s="1" t="n">
        <v>45940</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33279-2025</t>
        </is>
      </c>
      <c r="B539" s="1" t="n">
        <v>45840.70885416667</v>
      </c>
      <c r="C539" s="1" t="n">
        <v>45940</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71552-2021</t>
        </is>
      </c>
      <c r="B540" s="1" t="n">
        <v>44540</v>
      </c>
      <c r="C540" s="1" t="n">
        <v>45940</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11900-2024</t>
        </is>
      </c>
      <c r="B541" s="1" t="n">
        <v>45376.55484953704</v>
      </c>
      <c r="C541" s="1" t="n">
        <v>45940</v>
      </c>
      <c r="D541" t="inlineStr">
        <is>
          <t>STOCKHOLMS LÄN</t>
        </is>
      </c>
      <c r="E541" t="inlineStr">
        <is>
          <t>NORRTÄLJE</t>
        </is>
      </c>
      <c r="G541" t="n">
        <v>4.2</v>
      </c>
      <c r="H541" t="n">
        <v>0</v>
      </c>
      <c r="I541" t="n">
        <v>0</v>
      </c>
      <c r="J541" t="n">
        <v>0</v>
      </c>
      <c r="K541" t="n">
        <v>0</v>
      </c>
      <c r="L541" t="n">
        <v>0</v>
      </c>
      <c r="M541" t="n">
        <v>0</v>
      </c>
      <c r="N541" t="n">
        <v>0</v>
      </c>
      <c r="O541" t="n">
        <v>0</v>
      </c>
      <c r="P541" t="n">
        <v>0</v>
      </c>
      <c r="Q541" t="n">
        <v>0</v>
      </c>
      <c r="R541" s="2" t="inlineStr"/>
    </row>
    <row r="542" ht="15" customHeight="1">
      <c r="A542" t="inlineStr">
        <is>
          <t>A 47259-2024</t>
        </is>
      </c>
      <c r="B542" s="1" t="n">
        <v>45586</v>
      </c>
      <c r="C542" s="1" t="n">
        <v>45940</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73992-2021</t>
        </is>
      </c>
      <c r="B543" s="1" t="n">
        <v>44556</v>
      </c>
      <c r="C543" s="1" t="n">
        <v>45940</v>
      </c>
      <c r="D543" t="inlineStr">
        <is>
          <t>STOCKHOLMS LÄN</t>
        </is>
      </c>
      <c r="E543" t="inlineStr">
        <is>
          <t>NORRTÄLJE</t>
        </is>
      </c>
      <c r="G543" t="n">
        <v>12.5</v>
      </c>
      <c r="H543" t="n">
        <v>0</v>
      </c>
      <c r="I543" t="n">
        <v>0</v>
      </c>
      <c r="J543" t="n">
        <v>0</v>
      </c>
      <c r="K543" t="n">
        <v>0</v>
      </c>
      <c r="L543" t="n">
        <v>0</v>
      </c>
      <c r="M543" t="n">
        <v>0</v>
      </c>
      <c r="N543" t="n">
        <v>0</v>
      </c>
      <c r="O543" t="n">
        <v>0</v>
      </c>
      <c r="P543" t="n">
        <v>0</v>
      </c>
      <c r="Q543" t="n">
        <v>0</v>
      </c>
      <c r="R543" s="2" t="inlineStr"/>
    </row>
    <row r="544" ht="15" customHeight="1">
      <c r="A544" t="inlineStr">
        <is>
          <t>A 25702-2025</t>
        </is>
      </c>
      <c r="B544" s="1" t="n">
        <v>45800</v>
      </c>
      <c r="C544" s="1" t="n">
        <v>45940</v>
      </c>
      <c r="D544" t="inlineStr">
        <is>
          <t>STOCKHOLMS LÄN</t>
        </is>
      </c>
      <c r="E544" t="inlineStr">
        <is>
          <t>NORRTÄLJE</t>
        </is>
      </c>
      <c r="G544" t="n">
        <v>5.3</v>
      </c>
      <c r="H544" t="n">
        <v>0</v>
      </c>
      <c r="I544" t="n">
        <v>0</v>
      </c>
      <c r="J544" t="n">
        <v>0</v>
      </c>
      <c r="K544" t="n">
        <v>0</v>
      </c>
      <c r="L544" t="n">
        <v>0</v>
      </c>
      <c r="M544" t="n">
        <v>0</v>
      </c>
      <c r="N544" t="n">
        <v>0</v>
      </c>
      <c r="O544" t="n">
        <v>0</v>
      </c>
      <c r="P544" t="n">
        <v>0</v>
      </c>
      <c r="Q544" t="n">
        <v>0</v>
      </c>
      <c r="R544" s="2" t="inlineStr"/>
    </row>
    <row r="545" ht="15" customHeight="1">
      <c r="A545" t="inlineStr">
        <is>
          <t>A 8370-2025</t>
        </is>
      </c>
      <c r="B545" s="1" t="n">
        <v>45708</v>
      </c>
      <c r="C545" s="1" t="n">
        <v>45940</v>
      </c>
      <c r="D545" t="inlineStr">
        <is>
          <t>STOCKHOLMS LÄN</t>
        </is>
      </c>
      <c r="E545" t="inlineStr">
        <is>
          <t>NORRTÄLJE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25712-2025</t>
        </is>
      </c>
      <c r="B546" s="1" t="n">
        <v>45803.69228009259</v>
      </c>
      <c r="C546" s="1" t="n">
        <v>45940</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3299-2022</t>
        </is>
      </c>
      <c r="B547" s="1" t="n">
        <v>44584.91001157407</v>
      </c>
      <c r="C547" s="1" t="n">
        <v>45940</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25725-2025</t>
        </is>
      </c>
      <c r="B548" s="1" t="n">
        <v>45800</v>
      </c>
      <c r="C548" s="1" t="n">
        <v>45940</v>
      </c>
      <c r="D548" t="inlineStr">
        <is>
          <t>STOCKHOLMS LÄN</t>
        </is>
      </c>
      <c r="E548" t="inlineStr">
        <is>
          <t>NORRTÄLJE</t>
        </is>
      </c>
      <c r="G548" t="n">
        <v>5.2</v>
      </c>
      <c r="H548" t="n">
        <v>0</v>
      </c>
      <c r="I548" t="n">
        <v>0</v>
      </c>
      <c r="J548" t="n">
        <v>0</v>
      </c>
      <c r="K548" t="n">
        <v>0</v>
      </c>
      <c r="L548" t="n">
        <v>0</v>
      </c>
      <c r="M548" t="n">
        <v>0</v>
      </c>
      <c r="N548" t="n">
        <v>0</v>
      </c>
      <c r="O548" t="n">
        <v>0</v>
      </c>
      <c r="P548" t="n">
        <v>0</v>
      </c>
      <c r="Q548" t="n">
        <v>0</v>
      </c>
      <c r="R548" s="2" t="inlineStr"/>
    </row>
    <row r="549" ht="15" customHeight="1">
      <c r="A549" t="inlineStr">
        <is>
          <t>A 42867-2022</t>
        </is>
      </c>
      <c r="B549" s="1" t="n">
        <v>44832</v>
      </c>
      <c r="C549" s="1" t="n">
        <v>45940</v>
      </c>
      <c r="D549" t="inlineStr">
        <is>
          <t>STOCKHOLMS LÄN</t>
        </is>
      </c>
      <c r="E549" t="inlineStr">
        <is>
          <t>NORRTÄLJE</t>
        </is>
      </c>
      <c r="G549" t="n">
        <v>6.4</v>
      </c>
      <c r="H549" t="n">
        <v>0</v>
      </c>
      <c r="I549" t="n">
        <v>0</v>
      </c>
      <c r="J549" t="n">
        <v>0</v>
      </c>
      <c r="K549" t="n">
        <v>0</v>
      </c>
      <c r="L549" t="n">
        <v>0</v>
      </c>
      <c r="M549" t="n">
        <v>0</v>
      </c>
      <c r="N549" t="n">
        <v>0</v>
      </c>
      <c r="O549" t="n">
        <v>0</v>
      </c>
      <c r="P549" t="n">
        <v>0</v>
      </c>
      <c r="Q549" t="n">
        <v>0</v>
      </c>
      <c r="R549" s="2" t="inlineStr"/>
    </row>
    <row r="550" ht="15" customHeight="1">
      <c r="A550" t="inlineStr">
        <is>
          <t>A 25733-2025</t>
        </is>
      </c>
      <c r="B550" s="1" t="n">
        <v>45800</v>
      </c>
      <c r="C550" s="1" t="n">
        <v>45940</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39238-2024</t>
        </is>
      </c>
      <c r="B551" s="1" t="n">
        <v>45549</v>
      </c>
      <c r="C551" s="1" t="n">
        <v>45940</v>
      </c>
      <c r="D551" t="inlineStr">
        <is>
          <t>STOCKHOLMS LÄN</t>
        </is>
      </c>
      <c r="E551" t="inlineStr">
        <is>
          <t>NORRTÄLJE</t>
        </is>
      </c>
      <c r="G551" t="n">
        <v>3.6</v>
      </c>
      <c r="H551" t="n">
        <v>0</v>
      </c>
      <c r="I551" t="n">
        <v>0</v>
      </c>
      <c r="J551" t="n">
        <v>0</v>
      </c>
      <c r="K551" t="n">
        <v>0</v>
      </c>
      <c r="L551" t="n">
        <v>0</v>
      </c>
      <c r="M551" t="n">
        <v>0</v>
      </c>
      <c r="N551" t="n">
        <v>0</v>
      </c>
      <c r="O551" t="n">
        <v>0</v>
      </c>
      <c r="P551" t="n">
        <v>0</v>
      </c>
      <c r="Q551" t="n">
        <v>0</v>
      </c>
      <c r="R551" s="2" t="inlineStr"/>
    </row>
    <row r="552" ht="15" customHeight="1">
      <c r="A552" t="inlineStr">
        <is>
          <t>A 25571-2025</t>
        </is>
      </c>
      <c r="B552" s="1" t="n">
        <v>45803.4675</v>
      </c>
      <c r="C552" s="1" t="n">
        <v>45940</v>
      </c>
      <c r="D552" t="inlineStr">
        <is>
          <t>STOCKHOLMS LÄN</t>
        </is>
      </c>
      <c r="E552" t="inlineStr">
        <is>
          <t>NORRTÄLJE</t>
        </is>
      </c>
      <c r="G552" t="n">
        <v>5.4</v>
      </c>
      <c r="H552" t="n">
        <v>0</v>
      </c>
      <c r="I552" t="n">
        <v>0</v>
      </c>
      <c r="J552" t="n">
        <v>0</v>
      </c>
      <c r="K552" t="n">
        <v>0</v>
      </c>
      <c r="L552" t="n">
        <v>0</v>
      </c>
      <c r="M552" t="n">
        <v>0</v>
      </c>
      <c r="N552" t="n">
        <v>0</v>
      </c>
      <c r="O552" t="n">
        <v>0</v>
      </c>
      <c r="P552" t="n">
        <v>0</v>
      </c>
      <c r="Q552" t="n">
        <v>0</v>
      </c>
      <c r="R552" s="2" t="inlineStr"/>
    </row>
    <row r="553" ht="15" customHeight="1">
      <c r="A553" t="inlineStr">
        <is>
          <t>A 12348-2025</t>
        </is>
      </c>
      <c r="B553" s="1" t="n">
        <v>45730.35026620371</v>
      </c>
      <c r="C553" s="1" t="n">
        <v>45940</v>
      </c>
      <c r="D553" t="inlineStr">
        <is>
          <t>STOCKHOLMS LÄN</t>
        </is>
      </c>
      <c r="E553" t="inlineStr">
        <is>
          <t>NORRTÄLJE</t>
        </is>
      </c>
      <c r="G553" t="n">
        <v>1.5</v>
      </c>
      <c r="H553" t="n">
        <v>0</v>
      </c>
      <c r="I553" t="n">
        <v>0</v>
      </c>
      <c r="J553" t="n">
        <v>0</v>
      </c>
      <c r="K553" t="n">
        <v>0</v>
      </c>
      <c r="L553" t="n">
        <v>0</v>
      </c>
      <c r="M553" t="n">
        <v>0</v>
      </c>
      <c r="N553" t="n">
        <v>0</v>
      </c>
      <c r="O553" t="n">
        <v>0</v>
      </c>
      <c r="P553" t="n">
        <v>0</v>
      </c>
      <c r="Q553" t="n">
        <v>0</v>
      </c>
      <c r="R553" s="2" t="inlineStr"/>
    </row>
    <row r="554" ht="15" customHeight="1">
      <c r="A554" t="inlineStr">
        <is>
          <t>A 25721-2025</t>
        </is>
      </c>
      <c r="B554" s="1" t="n">
        <v>45800</v>
      </c>
      <c r="C554" s="1" t="n">
        <v>45940</v>
      </c>
      <c r="D554" t="inlineStr">
        <is>
          <t>STOCKHOLMS LÄN</t>
        </is>
      </c>
      <c r="E554" t="inlineStr">
        <is>
          <t>NORRTÄLJE</t>
        </is>
      </c>
      <c r="G554" t="n">
        <v>6</v>
      </c>
      <c r="H554" t="n">
        <v>0</v>
      </c>
      <c r="I554" t="n">
        <v>0</v>
      </c>
      <c r="J554" t="n">
        <v>0</v>
      </c>
      <c r="K554" t="n">
        <v>0</v>
      </c>
      <c r="L554" t="n">
        <v>0</v>
      </c>
      <c r="M554" t="n">
        <v>0</v>
      </c>
      <c r="N554" t="n">
        <v>0</v>
      </c>
      <c r="O554" t="n">
        <v>0</v>
      </c>
      <c r="P554" t="n">
        <v>0</v>
      </c>
      <c r="Q554" t="n">
        <v>0</v>
      </c>
      <c r="R554" s="2" t="inlineStr"/>
    </row>
    <row r="555" ht="15" customHeight="1">
      <c r="A555" t="inlineStr">
        <is>
          <t>A 25697-2025</t>
        </is>
      </c>
      <c r="B555" s="1" t="n">
        <v>45803.66587962963</v>
      </c>
      <c r="C555" s="1" t="n">
        <v>45940</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26113-2024</t>
        </is>
      </c>
      <c r="B556" s="1" t="n">
        <v>45468.45541666666</v>
      </c>
      <c r="C556" s="1" t="n">
        <v>45940</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26116-2024</t>
        </is>
      </c>
      <c r="B557" s="1" t="n">
        <v>45468.45747685185</v>
      </c>
      <c r="C557" s="1" t="n">
        <v>45940</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41218-2024</t>
        </is>
      </c>
      <c r="B558" s="1" t="n">
        <v>45559.54706018518</v>
      </c>
      <c r="C558" s="1" t="n">
        <v>45940</v>
      </c>
      <c r="D558" t="inlineStr">
        <is>
          <t>STOCKHOLMS LÄN</t>
        </is>
      </c>
      <c r="E558" t="inlineStr">
        <is>
          <t>NORRTÄLJE</t>
        </is>
      </c>
      <c r="G558" t="n">
        <v>6</v>
      </c>
      <c r="H558" t="n">
        <v>0</v>
      </c>
      <c r="I558" t="n">
        <v>0</v>
      </c>
      <c r="J558" t="n">
        <v>0</v>
      </c>
      <c r="K558" t="n">
        <v>0</v>
      </c>
      <c r="L558" t="n">
        <v>0</v>
      </c>
      <c r="M558" t="n">
        <v>0</v>
      </c>
      <c r="N558" t="n">
        <v>0</v>
      </c>
      <c r="O558" t="n">
        <v>0</v>
      </c>
      <c r="P558" t="n">
        <v>0</v>
      </c>
      <c r="Q558" t="n">
        <v>0</v>
      </c>
      <c r="R558" s="2" t="inlineStr"/>
    </row>
    <row r="559" ht="15" customHeight="1">
      <c r="A559" t="inlineStr">
        <is>
          <t>A 25709-2025</t>
        </is>
      </c>
      <c r="B559" s="1" t="n">
        <v>45800</v>
      </c>
      <c r="C559" s="1" t="n">
        <v>45940</v>
      </c>
      <c r="D559" t="inlineStr">
        <is>
          <t>STOCKHOLMS LÄN</t>
        </is>
      </c>
      <c r="E559" t="inlineStr">
        <is>
          <t>NORRTÄLJE</t>
        </is>
      </c>
      <c r="G559" t="n">
        <v>4.6</v>
      </c>
      <c r="H559" t="n">
        <v>0</v>
      </c>
      <c r="I559" t="n">
        <v>0</v>
      </c>
      <c r="J559" t="n">
        <v>0</v>
      </c>
      <c r="K559" t="n">
        <v>0</v>
      </c>
      <c r="L559" t="n">
        <v>0</v>
      </c>
      <c r="M559" t="n">
        <v>0</v>
      </c>
      <c r="N559" t="n">
        <v>0</v>
      </c>
      <c r="O559" t="n">
        <v>0</v>
      </c>
      <c r="P559" t="n">
        <v>0</v>
      </c>
      <c r="Q559" t="n">
        <v>0</v>
      </c>
      <c r="R559" s="2" t="inlineStr"/>
    </row>
    <row r="560" ht="15" customHeight="1">
      <c r="A560" t="inlineStr">
        <is>
          <t>A 25270-2025</t>
        </is>
      </c>
      <c r="B560" s="1" t="n">
        <v>45800</v>
      </c>
      <c r="C560" s="1" t="n">
        <v>45940</v>
      </c>
      <c r="D560" t="inlineStr">
        <is>
          <t>STOCKHOLMS LÄN</t>
        </is>
      </c>
      <c r="E560" t="inlineStr">
        <is>
          <t>NORRTÄLJE</t>
        </is>
      </c>
      <c r="F560" t="inlineStr">
        <is>
          <t>Övriga Aktiebolag</t>
        </is>
      </c>
      <c r="G560" t="n">
        <v>30</v>
      </c>
      <c r="H560" t="n">
        <v>0</v>
      </c>
      <c r="I560" t="n">
        <v>0</v>
      </c>
      <c r="J560" t="n">
        <v>0</v>
      </c>
      <c r="K560" t="n">
        <v>0</v>
      </c>
      <c r="L560" t="n">
        <v>0</v>
      </c>
      <c r="M560" t="n">
        <v>0</v>
      </c>
      <c r="N560" t="n">
        <v>0</v>
      </c>
      <c r="O560" t="n">
        <v>0</v>
      </c>
      <c r="P560" t="n">
        <v>0</v>
      </c>
      <c r="Q560" t="n">
        <v>0</v>
      </c>
      <c r="R560" s="2" t="inlineStr"/>
    </row>
    <row r="561" ht="15" customHeight="1">
      <c r="A561" t="inlineStr">
        <is>
          <t>A 15978-2024</t>
        </is>
      </c>
      <c r="B561" s="1" t="n">
        <v>45405.57927083333</v>
      </c>
      <c r="C561" s="1" t="n">
        <v>45940</v>
      </c>
      <c r="D561" t="inlineStr">
        <is>
          <t>STOCKHOLMS LÄN</t>
        </is>
      </c>
      <c r="E561" t="inlineStr">
        <is>
          <t>NORRTÄLJE</t>
        </is>
      </c>
      <c r="G561" t="n">
        <v>1.5</v>
      </c>
      <c r="H561" t="n">
        <v>0</v>
      </c>
      <c r="I561" t="n">
        <v>0</v>
      </c>
      <c r="J561" t="n">
        <v>0</v>
      </c>
      <c r="K561" t="n">
        <v>0</v>
      </c>
      <c r="L561" t="n">
        <v>0</v>
      </c>
      <c r="M561" t="n">
        <v>0</v>
      </c>
      <c r="N561" t="n">
        <v>0</v>
      </c>
      <c r="O561" t="n">
        <v>0</v>
      </c>
      <c r="P561" t="n">
        <v>0</v>
      </c>
      <c r="Q561" t="n">
        <v>0</v>
      </c>
      <c r="R561" s="2" t="inlineStr"/>
    </row>
    <row r="562" ht="15" customHeight="1">
      <c r="A562" t="inlineStr">
        <is>
          <t>A 17545-2025</t>
        </is>
      </c>
      <c r="B562" s="1" t="n">
        <v>45757.60658564815</v>
      </c>
      <c r="C562" s="1" t="n">
        <v>45940</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38449-2022</t>
        </is>
      </c>
      <c r="B563" s="1" t="n">
        <v>44813</v>
      </c>
      <c r="C563" s="1" t="n">
        <v>45940</v>
      </c>
      <c r="D563" t="inlineStr">
        <is>
          <t>STOCKHOLMS LÄN</t>
        </is>
      </c>
      <c r="E563" t="inlineStr">
        <is>
          <t>NORRTÄLJE</t>
        </is>
      </c>
      <c r="G563" t="n">
        <v>4.2</v>
      </c>
      <c r="H563" t="n">
        <v>0</v>
      </c>
      <c r="I563" t="n">
        <v>0</v>
      </c>
      <c r="J563" t="n">
        <v>0</v>
      </c>
      <c r="K563" t="n">
        <v>0</v>
      </c>
      <c r="L563" t="n">
        <v>0</v>
      </c>
      <c r="M563" t="n">
        <v>0</v>
      </c>
      <c r="N563" t="n">
        <v>0</v>
      </c>
      <c r="O563" t="n">
        <v>0</v>
      </c>
      <c r="P563" t="n">
        <v>0</v>
      </c>
      <c r="Q563" t="n">
        <v>0</v>
      </c>
      <c r="R563" s="2" t="inlineStr"/>
    </row>
    <row r="564" ht="15" customHeight="1">
      <c r="A564" t="inlineStr">
        <is>
          <t>A 11333-2025</t>
        </is>
      </c>
      <c r="B564" s="1" t="n">
        <v>45726.48377314815</v>
      </c>
      <c r="C564" s="1" t="n">
        <v>45940</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23749-2024</t>
        </is>
      </c>
      <c r="B565" s="1" t="n">
        <v>45455.33037037037</v>
      </c>
      <c r="C565" s="1" t="n">
        <v>45940</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25094-2023</t>
        </is>
      </c>
      <c r="B566" s="1" t="n">
        <v>45086.3629050926</v>
      </c>
      <c r="C566" s="1" t="n">
        <v>45940</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36157-2024</t>
        </is>
      </c>
      <c r="B567" s="1" t="n">
        <v>45534.38240740741</v>
      </c>
      <c r="C567" s="1" t="n">
        <v>45940</v>
      </c>
      <c r="D567" t="inlineStr">
        <is>
          <t>STOCKHOLMS LÄN</t>
        </is>
      </c>
      <c r="E567" t="inlineStr">
        <is>
          <t>NORRTÄLJE</t>
        </is>
      </c>
      <c r="F567" t="inlineStr">
        <is>
          <t>Övriga Aktiebolag</t>
        </is>
      </c>
      <c r="G567" t="n">
        <v>1.1</v>
      </c>
      <c r="H567" t="n">
        <v>0</v>
      </c>
      <c r="I567" t="n">
        <v>0</v>
      </c>
      <c r="J567" t="n">
        <v>0</v>
      </c>
      <c r="K567" t="n">
        <v>0</v>
      </c>
      <c r="L567" t="n">
        <v>0</v>
      </c>
      <c r="M567" t="n">
        <v>0</v>
      </c>
      <c r="N567" t="n">
        <v>0</v>
      </c>
      <c r="O567" t="n">
        <v>0</v>
      </c>
      <c r="P567" t="n">
        <v>0</v>
      </c>
      <c r="Q567" t="n">
        <v>0</v>
      </c>
      <c r="R567" s="2" t="inlineStr"/>
    </row>
    <row r="568" ht="15" customHeight="1">
      <c r="A568" t="inlineStr">
        <is>
          <t>A 34478-2025</t>
        </is>
      </c>
      <c r="B568" s="1" t="n">
        <v>45847.37414351852</v>
      </c>
      <c r="C568" s="1" t="n">
        <v>45940</v>
      </c>
      <c r="D568" t="inlineStr">
        <is>
          <t>STOCKHOLMS LÄN</t>
        </is>
      </c>
      <c r="E568" t="inlineStr">
        <is>
          <t>NORRTÄLJE</t>
        </is>
      </c>
      <c r="F568" t="inlineStr">
        <is>
          <t>Övriga Aktiebolag</t>
        </is>
      </c>
      <c r="G568" t="n">
        <v>10.8</v>
      </c>
      <c r="H568" t="n">
        <v>0</v>
      </c>
      <c r="I568" t="n">
        <v>0</v>
      </c>
      <c r="J568" t="n">
        <v>0</v>
      </c>
      <c r="K568" t="n">
        <v>0</v>
      </c>
      <c r="L568" t="n">
        <v>0</v>
      </c>
      <c r="M568" t="n">
        <v>0</v>
      </c>
      <c r="N568" t="n">
        <v>0</v>
      </c>
      <c r="O568" t="n">
        <v>0</v>
      </c>
      <c r="P568" t="n">
        <v>0</v>
      </c>
      <c r="Q568" t="n">
        <v>0</v>
      </c>
      <c r="R568" s="2" t="inlineStr"/>
    </row>
    <row r="569" ht="15" customHeight="1">
      <c r="A569" t="inlineStr">
        <is>
          <t>A 58277-2023</t>
        </is>
      </c>
      <c r="B569" s="1" t="n">
        <v>45245</v>
      </c>
      <c r="C569" s="1" t="n">
        <v>45940</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32705-2022</t>
        </is>
      </c>
      <c r="B570" s="1" t="n">
        <v>44783</v>
      </c>
      <c r="C570" s="1" t="n">
        <v>45940</v>
      </c>
      <c r="D570" t="inlineStr">
        <is>
          <t>STOCKHOLMS LÄN</t>
        </is>
      </c>
      <c r="E570" t="inlineStr">
        <is>
          <t>NORRTÄLJE</t>
        </is>
      </c>
      <c r="G570" t="n">
        <v>0.6</v>
      </c>
      <c r="H570" t="n">
        <v>0</v>
      </c>
      <c r="I570" t="n">
        <v>0</v>
      </c>
      <c r="J570" t="n">
        <v>0</v>
      </c>
      <c r="K570" t="n">
        <v>0</v>
      </c>
      <c r="L570" t="n">
        <v>0</v>
      </c>
      <c r="M570" t="n">
        <v>0</v>
      </c>
      <c r="N570" t="n">
        <v>0</v>
      </c>
      <c r="O570" t="n">
        <v>0</v>
      </c>
      <c r="P570" t="n">
        <v>0</v>
      </c>
      <c r="Q570" t="n">
        <v>0</v>
      </c>
      <c r="R570" s="2" t="inlineStr"/>
    </row>
    <row r="571" ht="15" customHeight="1">
      <c r="A571" t="inlineStr">
        <is>
          <t>A 47481-2024</t>
        </is>
      </c>
      <c r="B571" s="1" t="n">
        <v>45587</v>
      </c>
      <c r="C571" s="1" t="n">
        <v>45940</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57037-2022</t>
        </is>
      </c>
      <c r="B572" s="1" t="n">
        <v>44895</v>
      </c>
      <c r="C572" s="1" t="n">
        <v>45940</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47694-2023</t>
        </is>
      </c>
      <c r="B573" s="1" t="n">
        <v>45203.63303240741</v>
      </c>
      <c r="C573" s="1" t="n">
        <v>45940</v>
      </c>
      <c r="D573" t="inlineStr">
        <is>
          <t>STOCKHOLMS LÄN</t>
        </is>
      </c>
      <c r="E573" t="inlineStr">
        <is>
          <t>NORRTÄLJE</t>
        </is>
      </c>
      <c r="G573" t="n">
        <v>5.2</v>
      </c>
      <c r="H573" t="n">
        <v>0</v>
      </c>
      <c r="I573" t="n">
        <v>0</v>
      </c>
      <c r="J573" t="n">
        <v>0</v>
      </c>
      <c r="K573" t="n">
        <v>0</v>
      </c>
      <c r="L573" t="n">
        <v>0</v>
      </c>
      <c r="M573" t="n">
        <v>0</v>
      </c>
      <c r="N573" t="n">
        <v>0</v>
      </c>
      <c r="O573" t="n">
        <v>0</v>
      </c>
      <c r="P573" t="n">
        <v>0</v>
      </c>
      <c r="Q573" t="n">
        <v>0</v>
      </c>
      <c r="R573" s="2" t="inlineStr"/>
    </row>
    <row r="574" ht="15" customHeight="1">
      <c r="A574" t="inlineStr">
        <is>
          <t>A 11940-2023</t>
        </is>
      </c>
      <c r="B574" s="1" t="n">
        <v>44995</v>
      </c>
      <c r="C574" s="1" t="n">
        <v>45940</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34391-2023</t>
        </is>
      </c>
      <c r="B575" s="1" t="n">
        <v>45139.51457175926</v>
      </c>
      <c r="C575" s="1" t="n">
        <v>45940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53561-2023</t>
        </is>
      </c>
      <c r="B576" s="1" t="n">
        <v>45224</v>
      </c>
      <c r="C576" s="1" t="n">
        <v>45940</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35532-2024</t>
        </is>
      </c>
      <c r="B577" s="1" t="n">
        <v>45531</v>
      </c>
      <c r="C577" s="1" t="n">
        <v>45940</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2281-2024</t>
        </is>
      </c>
      <c r="B578" s="1" t="n">
        <v>45310.40628472222</v>
      </c>
      <c r="C578" s="1" t="n">
        <v>45940</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1654-2025</t>
        </is>
      </c>
      <c r="B579" s="1" t="n">
        <v>45670.65921296296</v>
      </c>
      <c r="C579" s="1" t="n">
        <v>45940</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62644-2023</t>
        </is>
      </c>
      <c r="B580" s="1" t="n">
        <v>45271</v>
      </c>
      <c r="C580" s="1" t="n">
        <v>45940</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60525-2022</t>
        </is>
      </c>
      <c r="B581" s="1" t="n">
        <v>44904</v>
      </c>
      <c r="C581" s="1" t="n">
        <v>45940</v>
      </c>
      <c r="D581" t="inlineStr">
        <is>
          <t>STOCKHOLMS LÄN</t>
        </is>
      </c>
      <c r="E581" t="inlineStr">
        <is>
          <t>NORRTÄLJE</t>
        </is>
      </c>
      <c r="G581" t="n">
        <v>13.4</v>
      </c>
      <c r="H581" t="n">
        <v>0</v>
      </c>
      <c r="I581" t="n">
        <v>0</v>
      </c>
      <c r="J581" t="n">
        <v>0</v>
      </c>
      <c r="K581" t="n">
        <v>0</v>
      </c>
      <c r="L581" t="n">
        <v>0</v>
      </c>
      <c r="M581" t="n">
        <v>0</v>
      </c>
      <c r="N581" t="n">
        <v>0</v>
      </c>
      <c r="O581" t="n">
        <v>0</v>
      </c>
      <c r="P581" t="n">
        <v>0</v>
      </c>
      <c r="Q581" t="n">
        <v>0</v>
      </c>
      <c r="R581" s="2" t="inlineStr"/>
    </row>
    <row r="582" ht="15" customHeight="1">
      <c r="A582" t="inlineStr">
        <is>
          <t>A 7903-2021</t>
        </is>
      </c>
      <c r="B582" s="1" t="n">
        <v>44243.33587962963</v>
      </c>
      <c r="C582" s="1" t="n">
        <v>45940</v>
      </c>
      <c r="D582" t="inlineStr">
        <is>
          <t>STOCKHOLMS LÄN</t>
        </is>
      </c>
      <c r="E582" t="inlineStr">
        <is>
          <t>NORRTÄLJE</t>
        </is>
      </c>
      <c r="G582" t="n">
        <v>3.5</v>
      </c>
      <c r="H582" t="n">
        <v>0</v>
      </c>
      <c r="I582" t="n">
        <v>0</v>
      </c>
      <c r="J582" t="n">
        <v>0</v>
      </c>
      <c r="K582" t="n">
        <v>0</v>
      </c>
      <c r="L582" t="n">
        <v>0</v>
      </c>
      <c r="M582" t="n">
        <v>0</v>
      </c>
      <c r="N582" t="n">
        <v>0</v>
      </c>
      <c r="O582" t="n">
        <v>0</v>
      </c>
      <c r="P582" t="n">
        <v>0</v>
      </c>
      <c r="Q582" t="n">
        <v>0</v>
      </c>
      <c r="R582" s="2" t="inlineStr"/>
    </row>
    <row r="583" ht="15" customHeight="1">
      <c r="A583" t="inlineStr">
        <is>
          <t>A 39213-2022</t>
        </is>
      </c>
      <c r="B583" s="1" t="n">
        <v>44817.56120370371</v>
      </c>
      <c r="C583" s="1" t="n">
        <v>45940</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11229-2022</t>
        </is>
      </c>
      <c r="B584" s="1" t="n">
        <v>44629</v>
      </c>
      <c r="C584" s="1" t="n">
        <v>45940</v>
      </c>
      <c r="D584" t="inlineStr">
        <is>
          <t>STOCKHOLMS LÄN</t>
        </is>
      </c>
      <c r="E584" t="inlineStr">
        <is>
          <t>NORRTÄLJE</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67921-2021</t>
        </is>
      </c>
      <c r="B585" s="1" t="n">
        <v>44525</v>
      </c>
      <c r="C585" s="1" t="n">
        <v>45940</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41976-2024</t>
        </is>
      </c>
      <c r="B586" s="1" t="n">
        <v>45561.62141203704</v>
      </c>
      <c r="C586" s="1" t="n">
        <v>45940</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25681-2024</t>
        </is>
      </c>
      <c r="B587" s="1" t="n">
        <v>45463.80486111111</v>
      </c>
      <c r="C587" s="1" t="n">
        <v>45940</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57353-2024</t>
        </is>
      </c>
      <c r="B588" s="1" t="n">
        <v>45629.65143518519</v>
      </c>
      <c r="C588" s="1" t="n">
        <v>45940</v>
      </c>
      <c r="D588" t="inlineStr">
        <is>
          <t>STOCKHOLMS LÄN</t>
        </is>
      </c>
      <c r="E588" t="inlineStr">
        <is>
          <t>NORRTÄLJE</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48587-2023</t>
        </is>
      </c>
      <c r="B589" s="1" t="n">
        <v>45208</v>
      </c>
      <c r="C589" s="1" t="n">
        <v>45940</v>
      </c>
      <c r="D589" t="inlineStr">
        <is>
          <t>STOCKHOLMS LÄN</t>
        </is>
      </c>
      <c r="E589" t="inlineStr">
        <is>
          <t>NORRTÄLJE</t>
        </is>
      </c>
      <c r="G589" t="n">
        <v>7</v>
      </c>
      <c r="H589" t="n">
        <v>0</v>
      </c>
      <c r="I589" t="n">
        <v>0</v>
      </c>
      <c r="J589" t="n">
        <v>0</v>
      </c>
      <c r="K589" t="n">
        <v>0</v>
      </c>
      <c r="L589" t="n">
        <v>0</v>
      </c>
      <c r="M589" t="n">
        <v>0</v>
      </c>
      <c r="N589" t="n">
        <v>0</v>
      </c>
      <c r="O589" t="n">
        <v>0</v>
      </c>
      <c r="P589" t="n">
        <v>0</v>
      </c>
      <c r="Q589" t="n">
        <v>0</v>
      </c>
      <c r="R589" s="2" t="inlineStr"/>
    </row>
    <row r="590" ht="15" customHeight="1">
      <c r="A590" t="inlineStr">
        <is>
          <t>A 57987-2020</t>
        </is>
      </c>
      <c r="B590" s="1" t="n">
        <v>44143</v>
      </c>
      <c r="C590" s="1" t="n">
        <v>45940</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13291-2025</t>
        </is>
      </c>
      <c r="B591" s="1" t="n">
        <v>45735</v>
      </c>
      <c r="C591" s="1" t="n">
        <v>45940</v>
      </c>
      <c r="D591" t="inlineStr">
        <is>
          <t>STOCKHOLMS LÄN</t>
        </is>
      </c>
      <c r="E591" t="inlineStr">
        <is>
          <t>NORRTÄLJE</t>
        </is>
      </c>
      <c r="G591" t="n">
        <v>3.8</v>
      </c>
      <c r="H591" t="n">
        <v>0</v>
      </c>
      <c r="I591" t="n">
        <v>0</v>
      </c>
      <c r="J591" t="n">
        <v>0</v>
      </c>
      <c r="K591" t="n">
        <v>0</v>
      </c>
      <c r="L591" t="n">
        <v>0</v>
      </c>
      <c r="M591" t="n">
        <v>0</v>
      </c>
      <c r="N591" t="n">
        <v>0</v>
      </c>
      <c r="O591" t="n">
        <v>0</v>
      </c>
      <c r="P591" t="n">
        <v>0</v>
      </c>
      <c r="Q591" t="n">
        <v>0</v>
      </c>
      <c r="R591" s="2" t="inlineStr"/>
    </row>
    <row r="592" ht="15" customHeight="1">
      <c r="A592" t="inlineStr">
        <is>
          <t>A 58853-2024</t>
        </is>
      </c>
      <c r="B592" s="1" t="n">
        <v>45636.38974537037</v>
      </c>
      <c r="C592" s="1" t="n">
        <v>45940</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2549-2022</t>
        </is>
      </c>
      <c r="B593" s="1" t="n">
        <v>44580</v>
      </c>
      <c r="C593" s="1" t="n">
        <v>45940</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4438-2023</t>
        </is>
      </c>
      <c r="B594" s="1" t="n">
        <v>44956</v>
      </c>
      <c r="C594" s="1" t="n">
        <v>45940</v>
      </c>
      <c r="D594" t="inlineStr">
        <is>
          <t>STOCKHOLMS LÄN</t>
        </is>
      </c>
      <c r="E594" t="inlineStr">
        <is>
          <t>NORRTÄLJE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35438-2023</t>
        </is>
      </c>
      <c r="B595" s="1" t="n">
        <v>45146</v>
      </c>
      <c r="C595" s="1" t="n">
        <v>45940</v>
      </c>
      <c r="D595" t="inlineStr">
        <is>
          <t>STOCKHOLMS LÄN</t>
        </is>
      </c>
      <c r="E595" t="inlineStr">
        <is>
          <t>NORRTÄLJE</t>
        </is>
      </c>
      <c r="F595" t="inlineStr">
        <is>
          <t>Kommuner</t>
        </is>
      </c>
      <c r="G595" t="n">
        <v>1.9</v>
      </c>
      <c r="H595" t="n">
        <v>0</v>
      </c>
      <c r="I595" t="n">
        <v>0</v>
      </c>
      <c r="J595" t="n">
        <v>0</v>
      </c>
      <c r="K595" t="n">
        <v>0</v>
      </c>
      <c r="L595" t="n">
        <v>0</v>
      </c>
      <c r="M595" t="n">
        <v>0</v>
      </c>
      <c r="N595" t="n">
        <v>0</v>
      </c>
      <c r="O595" t="n">
        <v>0</v>
      </c>
      <c r="P595" t="n">
        <v>0</v>
      </c>
      <c r="Q595" t="n">
        <v>0</v>
      </c>
      <c r="R595" s="2" t="inlineStr"/>
    </row>
    <row r="596" ht="15" customHeight="1">
      <c r="A596" t="inlineStr">
        <is>
          <t>A 47758-2023</t>
        </is>
      </c>
      <c r="B596" s="1" t="n">
        <v>45203.83891203703</v>
      </c>
      <c r="C596" s="1" t="n">
        <v>45940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26051-2025</t>
        </is>
      </c>
      <c r="B597" s="1" t="n">
        <v>45804.74479166666</v>
      </c>
      <c r="C597" s="1" t="n">
        <v>45940</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20291-2022</t>
        </is>
      </c>
      <c r="B598" s="1" t="n">
        <v>44698</v>
      </c>
      <c r="C598" s="1" t="n">
        <v>45940</v>
      </c>
      <c r="D598" t="inlineStr">
        <is>
          <t>STOCKHOLMS LÄN</t>
        </is>
      </c>
      <c r="E598" t="inlineStr">
        <is>
          <t>NORRTÄLJE</t>
        </is>
      </c>
      <c r="F598" t="inlineStr">
        <is>
          <t>Naturvårdsverket</t>
        </is>
      </c>
      <c r="G598" t="n">
        <v>2</v>
      </c>
      <c r="H598" t="n">
        <v>0</v>
      </c>
      <c r="I598" t="n">
        <v>0</v>
      </c>
      <c r="J598" t="n">
        <v>0</v>
      </c>
      <c r="K598" t="n">
        <v>0</v>
      </c>
      <c r="L598" t="n">
        <v>0</v>
      </c>
      <c r="M598" t="n">
        <v>0</v>
      </c>
      <c r="N598" t="n">
        <v>0</v>
      </c>
      <c r="O598" t="n">
        <v>0</v>
      </c>
      <c r="P598" t="n">
        <v>0</v>
      </c>
      <c r="Q598" t="n">
        <v>0</v>
      </c>
      <c r="R598" s="2" t="inlineStr"/>
    </row>
    <row r="599" ht="15" customHeight="1">
      <c r="A599" t="inlineStr">
        <is>
          <t>A 26115-2024</t>
        </is>
      </c>
      <c r="B599" s="1" t="n">
        <v>45468.45628472222</v>
      </c>
      <c r="C599" s="1" t="n">
        <v>45940</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51061-2023</t>
        </is>
      </c>
      <c r="B600" s="1" t="n">
        <v>45218.65849537037</v>
      </c>
      <c r="C600" s="1" t="n">
        <v>45940</v>
      </c>
      <c r="D600" t="inlineStr">
        <is>
          <t>STOCKHOLMS LÄN</t>
        </is>
      </c>
      <c r="E600" t="inlineStr">
        <is>
          <t>NORRTÄLJE</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22697-2022</t>
        </is>
      </c>
      <c r="B601" s="1" t="n">
        <v>44714.56040509259</v>
      </c>
      <c r="C601" s="1" t="n">
        <v>45940</v>
      </c>
      <c r="D601" t="inlineStr">
        <is>
          <t>STOCKHOLMS LÄN</t>
        </is>
      </c>
      <c r="E601" t="inlineStr">
        <is>
          <t>NORRTÄLJE</t>
        </is>
      </c>
      <c r="G601" t="n">
        <v>5.6</v>
      </c>
      <c r="H601" t="n">
        <v>0</v>
      </c>
      <c r="I601" t="n">
        <v>0</v>
      </c>
      <c r="J601" t="n">
        <v>0</v>
      </c>
      <c r="K601" t="n">
        <v>0</v>
      </c>
      <c r="L601" t="n">
        <v>0</v>
      </c>
      <c r="M601" t="n">
        <v>0</v>
      </c>
      <c r="N601" t="n">
        <v>0</v>
      </c>
      <c r="O601" t="n">
        <v>0</v>
      </c>
      <c r="P601" t="n">
        <v>0</v>
      </c>
      <c r="Q601" t="n">
        <v>0</v>
      </c>
      <c r="R601" s="2" t="inlineStr"/>
    </row>
    <row r="602" ht="15" customHeight="1">
      <c r="A602" t="inlineStr">
        <is>
          <t>A 45549-2022</t>
        </is>
      </c>
      <c r="B602" s="1" t="n">
        <v>44845.48064814815</v>
      </c>
      <c r="C602" s="1" t="n">
        <v>45940</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54396-2021</t>
        </is>
      </c>
      <c r="B603" s="1" t="n">
        <v>44472</v>
      </c>
      <c r="C603" s="1" t="n">
        <v>45940</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28816-2023</t>
        </is>
      </c>
      <c r="B604" s="1" t="n">
        <v>45104</v>
      </c>
      <c r="C604" s="1" t="n">
        <v>45940</v>
      </c>
      <c r="D604" t="inlineStr">
        <is>
          <t>STOCKHOLMS LÄN</t>
        </is>
      </c>
      <c r="E604" t="inlineStr">
        <is>
          <t>NORRTÄLJE</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24727-2023</t>
        </is>
      </c>
      <c r="B605" s="1" t="n">
        <v>45084.57695601852</v>
      </c>
      <c r="C605" s="1" t="n">
        <v>45940</v>
      </c>
      <c r="D605" t="inlineStr">
        <is>
          <t>STOCKHOLMS LÄN</t>
        </is>
      </c>
      <c r="E605" t="inlineStr">
        <is>
          <t>NORRTÄLJE</t>
        </is>
      </c>
      <c r="F605" t="inlineStr">
        <is>
          <t>Holmen skog AB</t>
        </is>
      </c>
      <c r="G605" t="n">
        <v>2.2</v>
      </c>
      <c r="H605" t="n">
        <v>0</v>
      </c>
      <c r="I605" t="n">
        <v>0</v>
      </c>
      <c r="J605" t="n">
        <v>0</v>
      </c>
      <c r="K605" t="n">
        <v>0</v>
      </c>
      <c r="L605" t="n">
        <v>0</v>
      </c>
      <c r="M605" t="n">
        <v>0</v>
      </c>
      <c r="N605" t="n">
        <v>0</v>
      </c>
      <c r="O605" t="n">
        <v>0</v>
      </c>
      <c r="P605" t="n">
        <v>0</v>
      </c>
      <c r="Q605" t="n">
        <v>0</v>
      </c>
      <c r="R605" s="2" t="inlineStr"/>
    </row>
    <row r="606" ht="15" customHeight="1">
      <c r="A606" t="inlineStr">
        <is>
          <t>A 48722-2023</t>
        </is>
      </c>
      <c r="B606" s="1" t="n">
        <v>45208.70996527778</v>
      </c>
      <c r="C606" s="1" t="n">
        <v>45940</v>
      </c>
      <c r="D606" t="inlineStr">
        <is>
          <t>STOCKHOLMS LÄN</t>
        </is>
      </c>
      <c r="E606" t="inlineStr">
        <is>
          <t>NORRTÄLJE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26708-2025</t>
        </is>
      </c>
      <c r="B607" s="1" t="n">
        <v>45810.45633101852</v>
      </c>
      <c r="C607" s="1" t="n">
        <v>45940</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35235-2024</t>
        </is>
      </c>
      <c r="B608" s="1" t="n">
        <v>45530</v>
      </c>
      <c r="C608" s="1" t="n">
        <v>45940</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19118-2022</t>
        </is>
      </c>
      <c r="B609" s="1" t="n">
        <v>44691.5652662037</v>
      </c>
      <c r="C609" s="1" t="n">
        <v>45940</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1448-2023</t>
        </is>
      </c>
      <c r="B610" s="1" t="n">
        <v>44937</v>
      </c>
      <c r="C610" s="1" t="n">
        <v>45940</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26702-2025</t>
        </is>
      </c>
      <c r="B611" s="1" t="n">
        <v>45810.45236111111</v>
      </c>
      <c r="C611" s="1" t="n">
        <v>45940</v>
      </c>
      <c r="D611" t="inlineStr">
        <is>
          <t>STOCKHOLMS LÄN</t>
        </is>
      </c>
      <c r="E611" t="inlineStr">
        <is>
          <t>NORRTÄLJE</t>
        </is>
      </c>
      <c r="G611" t="n">
        <v>7.3</v>
      </c>
      <c r="H611" t="n">
        <v>0</v>
      </c>
      <c r="I611" t="n">
        <v>0</v>
      </c>
      <c r="J611" t="n">
        <v>0</v>
      </c>
      <c r="K611" t="n">
        <v>0</v>
      </c>
      <c r="L611" t="n">
        <v>0</v>
      </c>
      <c r="M611" t="n">
        <v>0</v>
      </c>
      <c r="N611" t="n">
        <v>0</v>
      </c>
      <c r="O611" t="n">
        <v>0</v>
      </c>
      <c r="P611" t="n">
        <v>0</v>
      </c>
      <c r="Q611" t="n">
        <v>0</v>
      </c>
      <c r="R611" s="2" t="inlineStr"/>
    </row>
    <row r="612" ht="15" customHeight="1">
      <c r="A612" t="inlineStr">
        <is>
          <t>A 58888-2020</t>
        </is>
      </c>
      <c r="B612" s="1" t="n">
        <v>44146</v>
      </c>
      <c r="C612" s="1" t="n">
        <v>45940</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23061-2025</t>
        </is>
      </c>
      <c r="B613" s="1" t="n">
        <v>45790.81410879629</v>
      </c>
      <c r="C613" s="1" t="n">
        <v>45940</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8736-2024</t>
        </is>
      </c>
      <c r="B614" s="1" t="n">
        <v>45356.4722800926</v>
      </c>
      <c r="C614" s="1" t="n">
        <v>45940</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8739-2024</t>
        </is>
      </c>
      <c r="B615" s="1" t="n">
        <v>45356.47784722222</v>
      </c>
      <c r="C615" s="1" t="n">
        <v>45940</v>
      </c>
      <c r="D615" t="inlineStr">
        <is>
          <t>STOCKHOLMS LÄN</t>
        </is>
      </c>
      <c r="E615" t="inlineStr">
        <is>
          <t>NORRTÄLJE</t>
        </is>
      </c>
      <c r="G615" t="n">
        <v>1.2</v>
      </c>
      <c r="H615" t="n">
        <v>0</v>
      </c>
      <c r="I615" t="n">
        <v>0</v>
      </c>
      <c r="J615" t="n">
        <v>0</v>
      </c>
      <c r="K615" t="n">
        <v>0</v>
      </c>
      <c r="L615" t="n">
        <v>0</v>
      </c>
      <c r="M615" t="n">
        <v>0</v>
      </c>
      <c r="N615" t="n">
        <v>0</v>
      </c>
      <c r="O615" t="n">
        <v>0</v>
      </c>
      <c r="P615" t="n">
        <v>0</v>
      </c>
      <c r="Q615" t="n">
        <v>0</v>
      </c>
      <c r="R615" s="2" t="inlineStr"/>
    </row>
    <row r="616" ht="15" customHeight="1">
      <c r="A616" t="inlineStr">
        <is>
          <t>A 27040-2025</t>
        </is>
      </c>
      <c r="B616" s="1" t="n">
        <v>45811.60451388889</v>
      </c>
      <c r="C616" s="1" t="n">
        <v>45940</v>
      </c>
      <c r="D616" t="inlineStr">
        <is>
          <t>STOCKHOLMS LÄN</t>
        </is>
      </c>
      <c r="E616" t="inlineStr">
        <is>
          <t>NORRTÄLJE</t>
        </is>
      </c>
      <c r="G616" t="n">
        <v>4.3</v>
      </c>
      <c r="H616" t="n">
        <v>0</v>
      </c>
      <c r="I616" t="n">
        <v>0</v>
      </c>
      <c r="J616" t="n">
        <v>0</v>
      </c>
      <c r="K616" t="n">
        <v>0</v>
      </c>
      <c r="L616" t="n">
        <v>0</v>
      </c>
      <c r="M616" t="n">
        <v>0</v>
      </c>
      <c r="N616" t="n">
        <v>0</v>
      </c>
      <c r="O616" t="n">
        <v>0</v>
      </c>
      <c r="P616" t="n">
        <v>0</v>
      </c>
      <c r="Q616" t="n">
        <v>0</v>
      </c>
      <c r="R616" s="2" t="inlineStr"/>
    </row>
    <row r="617" ht="15" customHeight="1">
      <c r="A617" t="inlineStr">
        <is>
          <t>A 38759-2022</t>
        </is>
      </c>
      <c r="B617" s="1" t="n">
        <v>44816</v>
      </c>
      <c r="C617" s="1" t="n">
        <v>45940</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26747-2025</t>
        </is>
      </c>
      <c r="B618" s="1" t="n">
        <v>45810.5333912037</v>
      </c>
      <c r="C618" s="1" t="n">
        <v>45940</v>
      </c>
      <c r="D618" t="inlineStr">
        <is>
          <t>STOCKHOLMS LÄN</t>
        </is>
      </c>
      <c r="E618" t="inlineStr">
        <is>
          <t>NORRTÄLJE</t>
        </is>
      </c>
      <c r="G618" t="n">
        <v>1.9</v>
      </c>
      <c r="H618" t="n">
        <v>0</v>
      </c>
      <c r="I618" t="n">
        <v>0</v>
      </c>
      <c r="J618" t="n">
        <v>0</v>
      </c>
      <c r="K618" t="n">
        <v>0</v>
      </c>
      <c r="L618" t="n">
        <v>0</v>
      </c>
      <c r="M618" t="n">
        <v>0</v>
      </c>
      <c r="N618" t="n">
        <v>0</v>
      </c>
      <c r="O618" t="n">
        <v>0</v>
      </c>
      <c r="P618" t="n">
        <v>0</v>
      </c>
      <c r="Q618" t="n">
        <v>0</v>
      </c>
      <c r="R618" s="2" t="inlineStr"/>
    </row>
    <row r="619" ht="15" customHeight="1">
      <c r="A619" t="inlineStr">
        <is>
          <t>A 33149-2022</t>
        </is>
      </c>
      <c r="B619" s="1" t="n">
        <v>44785</v>
      </c>
      <c r="C619" s="1" t="n">
        <v>45940</v>
      </c>
      <c r="D619" t="inlineStr">
        <is>
          <t>STOCKHOLMS LÄN</t>
        </is>
      </c>
      <c r="E619" t="inlineStr">
        <is>
          <t>NORRTÄLJE</t>
        </is>
      </c>
      <c r="F619" t="inlineStr">
        <is>
          <t>Holmen skog AB</t>
        </is>
      </c>
      <c r="G619" t="n">
        <v>4.4</v>
      </c>
      <c r="H619" t="n">
        <v>0</v>
      </c>
      <c r="I619" t="n">
        <v>0</v>
      </c>
      <c r="J619" t="n">
        <v>0</v>
      </c>
      <c r="K619" t="n">
        <v>0</v>
      </c>
      <c r="L619" t="n">
        <v>0</v>
      </c>
      <c r="M619" t="n">
        <v>0</v>
      </c>
      <c r="N619" t="n">
        <v>0</v>
      </c>
      <c r="O619" t="n">
        <v>0</v>
      </c>
      <c r="P619" t="n">
        <v>0</v>
      </c>
      <c r="Q619" t="n">
        <v>0</v>
      </c>
      <c r="R619" s="2" t="inlineStr"/>
    </row>
    <row r="620" ht="15" customHeight="1">
      <c r="A620" t="inlineStr">
        <is>
          <t>A 32857-2021</t>
        </is>
      </c>
      <c r="B620" s="1" t="n">
        <v>44375</v>
      </c>
      <c r="C620" s="1" t="n">
        <v>45940</v>
      </c>
      <c r="D620" t="inlineStr">
        <is>
          <t>STOCKHOLMS LÄN</t>
        </is>
      </c>
      <c r="E620" t="inlineStr">
        <is>
          <t>NORRTÄLJE</t>
        </is>
      </c>
      <c r="G620" t="n">
        <v>2.9</v>
      </c>
      <c r="H620" t="n">
        <v>0</v>
      </c>
      <c r="I620" t="n">
        <v>0</v>
      </c>
      <c r="J620" t="n">
        <v>0</v>
      </c>
      <c r="K620" t="n">
        <v>0</v>
      </c>
      <c r="L620" t="n">
        <v>0</v>
      </c>
      <c r="M620" t="n">
        <v>0</v>
      </c>
      <c r="N620" t="n">
        <v>0</v>
      </c>
      <c r="O620" t="n">
        <v>0</v>
      </c>
      <c r="P620" t="n">
        <v>0</v>
      </c>
      <c r="Q620" t="n">
        <v>0</v>
      </c>
      <c r="R620" s="2" t="inlineStr"/>
    </row>
    <row r="621" ht="15" customHeight="1">
      <c r="A621" t="inlineStr">
        <is>
          <t>A 29714-2023</t>
        </is>
      </c>
      <c r="B621" s="1" t="n">
        <v>45107.42538194444</v>
      </c>
      <c r="C621" s="1" t="n">
        <v>45940</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23271-2023</t>
        </is>
      </c>
      <c r="B622" s="1" t="n">
        <v>45075.91362268518</v>
      </c>
      <c r="C622" s="1" t="n">
        <v>45940</v>
      </c>
      <c r="D622" t="inlineStr">
        <is>
          <t>STOCKHOLMS LÄN</t>
        </is>
      </c>
      <c r="E622" t="inlineStr">
        <is>
          <t>NORRTÄLJE</t>
        </is>
      </c>
      <c r="G622" t="n">
        <v>5.1</v>
      </c>
      <c r="H622" t="n">
        <v>0</v>
      </c>
      <c r="I622" t="n">
        <v>0</v>
      </c>
      <c r="J622" t="n">
        <v>0</v>
      </c>
      <c r="K622" t="n">
        <v>0</v>
      </c>
      <c r="L622" t="n">
        <v>0</v>
      </c>
      <c r="M622" t="n">
        <v>0</v>
      </c>
      <c r="N622" t="n">
        <v>0</v>
      </c>
      <c r="O622" t="n">
        <v>0</v>
      </c>
      <c r="P622" t="n">
        <v>0</v>
      </c>
      <c r="Q622" t="n">
        <v>0</v>
      </c>
      <c r="R622" s="2" t="inlineStr"/>
    </row>
    <row r="623" ht="15" customHeight="1">
      <c r="A623" t="inlineStr">
        <is>
          <t>A 23273-2023</t>
        </is>
      </c>
      <c r="B623" s="1" t="n">
        <v>45075.91971064815</v>
      </c>
      <c r="C623" s="1" t="n">
        <v>45940</v>
      </c>
      <c r="D623" t="inlineStr">
        <is>
          <t>STOCKHOLMS LÄN</t>
        </is>
      </c>
      <c r="E623" t="inlineStr">
        <is>
          <t>NORRTÄLJE</t>
        </is>
      </c>
      <c r="G623" t="n">
        <v>7.5</v>
      </c>
      <c r="H623" t="n">
        <v>0</v>
      </c>
      <c r="I623" t="n">
        <v>0</v>
      </c>
      <c r="J623" t="n">
        <v>0</v>
      </c>
      <c r="K623" t="n">
        <v>0</v>
      </c>
      <c r="L623" t="n">
        <v>0</v>
      </c>
      <c r="M623" t="n">
        <v>0</v>
      </c>
      <c r="N623" t="n">
        <v>0</v>
      </c>
      <c r="O623" t="n">
        <v>0</v>
      </c>
      <c r="P623" t="n">
        <v>0</v>
      </c>
      <c r="Q623" t="n">
        <v>0</v>
      </c>
      <c r="R623" s="2" t="inlineStr"/>
    </row>
    <row r="624" ht="15" customHeight="1">
      <c r="A624" t="inlineStr">
        <is>
          <t>A 26675-2025</t>
        </is>
      </c>
      <c r="B624" s="1" t="n">
        <v>45810.42393518519</v>
      </c>
      <c r="C624" s="1" t="n">
        <v>45940</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27554-2025</t>
        </is>
      </c>
      <c r="B625" s="1" t="n">
        <v>45813.4709375</v>
      </c>
      <c r="C625" s="1" t="n">
        <v>45940</v>
      </c>
      <c r="D625" t="inlineStr">
        <is>
          <t>STOCKHOLMS LÄN</t>
        </is>
      </c>
      <c r="E625" t="inlineStr">
        <is>
          <t>NORRTÄLJE</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27700-2025</t>
        </is>
      </c>
      <c r="B626" s="1" t="n">
        <v>45813.6799537037</v>
      </c>
      <c r="C626" s="1" t="n">
        <v>45940</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6537-2024</t>
        </is>
      </c>
      <c r="B627" s="1" t="n">
        <v>45341.39853009259</v>
      </c>
      <c r="C627" s="1" t="n">
        <v>45940</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40175-2024</t>
        </is>
      </c>
      <c r="B628" s="1" t="n">
        <v>45554.55707175926</v>
      </c>
      <c r="C628" s="1" t="n">
        <v>45940</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27697-2025</t>
        </is>
      </c>
      <c r="B629" s="1" t="n">
        <v>45813.66961805556</v>
      </c>
      <c r="C629" s="1" t="n">
        <v>45940</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54558-2024</t>
        </is>
      </c>
      <c r="B630" s="1" t="n">
        <v>45617.62358796296</v>
      </c>
      <c r="C630" s="1" t="n">
        <v>45940</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23056-2023</t>
        </is>
      </c>
      <c r="B631" s="1" t="n">
        <v>45075</v>
      </c>
      <c r="C631" s="1" t="n">
        <v>45940</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67393-2020</t>
        </is>
      </c>
      <c r="B632" s="1" t="n">
        <v>44181</v>
      </c>
      <c r="C632" s="1" t="n">
        <v>45940</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47431-2023</t>
        </is>
      </c>
      <c r="B633" s="1" t="n">
        <v>45202</v>
      </c>
      <c r="C633" s="1" t="n">
        <v>45940</v>
      </c>
      <c r="D633" t="inlineStr">
        <is>
          <t>STOCKHOLMS LÄN</t>
        </is>
      </c>
      <c r="E633" t="inlineStr">
        <is>
          <t>NORRTÄLJE</t>
        </is>
      </c>
      <c r="F633" t="inlineStr">
        <is>
          <t>Naturvårdsverket</t>
        </is>
      </c>
      <c r="G633" t="n">
        <v>1.2</v>
      </c>
      <c r="H633" t="n">
        <v>0</v>
      </c>
      <c r="I633" t="n">
        <v>0</v>
      </c>
      <c r="J633" t="n">
        <v>0</v>
      </c>
      <c r="K633" t="n">
        <v>0</v>
      </c>
      <c r="L633" t="n">
        <v>0</v>
      </c>
      <c r="M633" t="n">
        <v>0</v>
      </c>
      <c r="N633" t="n">
        <v>0</v>
      </c>
      <c r="O633" t="n">
        <v>0</v>
      </c>
      <c r="P633" t="n">
        <v>0</v>
      </c>
      <c r="Q633" t="n">
        <v>0</v>
      </c>
      <c r="R633" s="2" t="inlineStr"/>
    </row>
    <row r="634" ht="15" customHeight="1">
      <c r="A634" t="inlineStr">
        <is>
          <t>A 27802-2025</t>
        </is>
      </c>
      <c r="B634" s="1" t="n">
        <v>45817.2565625</v>
      </c>
      <c r="C634" s="1" t="n">
        <v>45940</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27806-2025</t>
        </is>
      </c>
      <c r="B635" s="1" t="n">
        <v>45817.30329861111</v>
      </c>
      <c r="C635" s="1" t="n">
        <v>45940</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27808-2025</t>
        </is>
      </c>
      <c r="B636" s="1" t="n">
        <v>45817.31085648148</v>
      </c>
      <c r="C636" s="1" t="n">
        <v>45940</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27810-2025</t>
        </is>
      </c>
      <c r="B637" s="1" t="n">
        <v>45817.31708333334</v>
      </c>
      <c r="C637" s="1" t="n">
        <v>45940</v>
      </c>
      <c r="D637" t="inlineStr">
        <is>
          <t>STOCKHOLMS LÄN</t>
        </is>
      </c>
      <c r="E637" t="inlineStr">
        <is>
          <t>NORRTÄLJE</t>
        </is>
      </c>
      <c r="G637" t="n">
        <v>3.9</v>
      </c>
      <c r="H637" t="n">
        <v>0</v>
      </c>
      <c r="I637" t="n">
        <v>0</v>
      </c>
      <c r="J637" t="n">
        <v>0</v>
      </c>
      <c r="K637" t="n">
        <v>0</v>
      </c>
      <c r="L637" t="n">
        <v>0</v>
      </c>
      <c r="M637" t="n">
        <v>0</v>
      </c>
      <c r="N637" t="n">
        <v>0</v>
      </c>
      <c r="O637" t="n">
        <v>0</v>
      </c>
      <c r="P637" t="n">
        <v>0</v>
      </c>
      <c r="Q637" t="n">
        <v>0</v>
      </c>
      <c r="R637" s="2" t="inlineStr"/>
    </row>
    <row r="638" ht="15" customHeight="1">
      <c r="A638" t="inlineStr">
        <is>
          <t>A 27811-2025</t>
        </is>
      </c>
      <c r="B638" s="1" t="n">
        <v>45817.31986111111</v>
      </c>
      <c r="C638" s="1" t="n">
        <v>45940</v>
      </c>
      <c r="D638" t="inlineStr">
        <is>
          <t>STOCKHOLMS LÄN</t>
        </is>
      </c>
      <c r="E638" t="inlineStr">
        <is>
          <t>NORRTÄLJE</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27818-2025</t>
        </is>
      </c>
      <c r="B639" s="1" t="n">
        <v>45817.33503472222</v>
      </c>
      <c r="C639" s="1" t="n">
        <v>45940</v>
      </c>
      <c r="D639" t="inlineStr">
        <is>
          <t>STOCKHOLMS LÄN</t>
        </is>
      </c>
      <c r="E639" t="inlineStr">
        <is>
          <t>NORRTÄLJE</t>
        </is>
      </c>
      <c r="F639" t="inlineStr">
        <is>
          <t>Sveaskog</t>
        </is>
      </c>
      <c r="G639" t="n">
        <v>0.3</v>
      </c>
      <c r="H639" t="n">
        <v>0</v>
      </c>
      <c r="I639" t="n">
        <v>0</v>
      </c>
      <c r="J639" t="n">
        <v>0</v>
      </c>
      <c r="K639" t="n">
        <v>0</v>
      </c>
      <c r="L639" t="n">
        <v>0</v>
      </c>
      <c r="M639" t="n">
        <v>0</v>
      </c>
      <c r="N639" t="n">
        <v>0</v>
      </c>
      <c r="O639" t="n">
        <v>0</v>
      </c>
      <c r="P639" t="n">
        <v>0</v>
      </c>
      <c r="Q639" t="n">
        <v>0</v>
      </c>
      <c r="R639" s="2" t="inlineStr"/>
    </row>
    <row r="640" ht="15" customHeight="1">
      <c r="A640" t="inlineStr">
        <is>
          <t>A 59499-2023</t>
        </is>
      </c>
      <c r="B640" s="1" t="n">
        <v>45254</v>
      </c>
      <c r="C640" s="1" t="n">
        <v>45940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59468-2023</t>
        </is>
      </c>
      <c r="B641" s="1" t="n">
        <v>45254.41509259259</v>
      </c>
      <c r="C641" s="1" t="n">
        <v>45940</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12532-2025</t>
        </is>
      </c>
      <c r="B642" s="1" t="n">
        <v>45730.69143518519</v>
      </c>
      <c r="C642" s="1" t="n">
        <v>45940</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5732-2023</t>
        </is>
      </c>
      <c r="B643" s="1" t="n">
        <v>44962</v>
      </c>
      <c r="C643" s="1" t="n">
        <v>45940</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10653-2022</t>
        </is>
      </c>
      <c r="B644" s="1" t="n">
        <v>44624.59434027778</v>
      </c>
      <c r="C644" s="1" t="n">
        <v>45940</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7603-2025</t>
        </is>
      </c>
      <c r="B645" s="1" t="n">
        <v>45705.66126157407</v>
      </c>
      <c r="C645" s="1" t="n">
        <v>45940</v>
      </c>
      <c r="D645" t="inlineStr">
        <is>
          <t>STOCKHOLMS LÄN</t>
        </is>
      </c>
      <c r="E645" t="inlineStr">
        <is>
          <t>NORRTÄLJE</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21729-2024</t>
        </is>
      </c>
      <c r="B646" s="1" t="n">
        <v>45442</v>
      </c>
      <c r="C646" s="1" t="n">
        <v>45940</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27801-2025</t>
        </is>
      </c>
      <c r="B647" s="1" t="n">
        <v>45817.25471064815</v>
      </c>
      <c r="C647" s="1" t="n">
        <v>45940</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11854-2025</t>
        </is>
      </c>
      <c r="B648" s="1" t="n">
        <v>45728.38924768518</v>
      </c>
      <c r="C648" s="1" t="n">
        <v>45940</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14762-2024</t>
        </is>
      </c>
      <c r="B649" s="1" t="n">
        <v>45397</v>
      </c>
      <c r="C649" s="1" t="n">
        <v>45940</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27803-2025</t>
        </is>
      </c>
      <c r="B650" s="1" t="n">
        <v>45817.291875</v>
      </c>
      <c r="C650" s="1" t="n">
        <v>45940</v>
      </c>
      <c r="D650" t="inlineStr">
        <is>
          <t>STOCKHOLMS LÄN</t>
        </is>
      </c>
      <c r="E650" t="inlineStr">
        <is>
          <t>NORRTÄLJE</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27813-2025</t>
        </is>
      </c>
      <c r="B651" s="1" t="n">
        <v>45817.32538194444</v>
      </c>
      <c r="C651" s="1" t="n">
        <v>45940</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30802-2022</t>
        </is>
      </c>
      <c r="B652" s="1" t="n">
        <v>44764</v>
      </c>
      <c r="C652" s="1" t="n">
        <v>45940</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27821-2025</t>
        </is>
      </c>
      <c r="B653" s="1" t="n">
        <v>45817.34083333334</v>
      </c>
      <c r="C653" s="1" t="n">
        <v>45940</v>
      </c>
      <c r="D653" t="inlineStr">
        <is>
          <t>STOCKHOLMS LÄN</t>
        </is>
      </c>
      <c r="E653" t="inlineStr">
        <is>
          <t>NORRTÄLJE</t>
        </is>
      </c>
      <c r="G653" t="n">
        <v>3.2</v>
      </c>
      <c r="H653" t="n">
        <v>0</v>
      </c>
      <c r="I653" t="n">
        <v>0</v>
      </c>
      <c r="J653" t="n">
        <v>0</v>
      </c>
      <c r="K653" t="n">
        <v>0</v>
      </c>
      <c r="L653" t="n">
        <v>0</v>
      </c>
      <c r="M653" t="n">
        <v>0</v>
      </c>
      <c r="N653" t="n">
        <v>0</v>
      </c>
      <c r="O653" t="n">
        <v>0</v>
      </c>
      <c r="P653" t="n">
        <v>0</v>
      </c>
      <c r="Q653" t="n">
        <v>0</v>
      </c>
      <c r="R653" s="2" t="inlineStr"/>
    </row>
    <row r="654" ht="15" customHeight="1">
      <c r="A654" t="inlineStr">
        <is>
          <t>A 67921-2021</t>
        </is>
      </c>
      <c r="B654" s="1" t="n">
        <v>44525</v>
      </c>
      <c r="C654" s="1" t="n">
        <v>45940</v>
      </c>
      <c r="D654" t="inlineStr">
        <is>
          <t>STOCKHOLMS LÄN</t>
        </is>
      </c>
      <c r="E654" t="inlineStr">
        <is>
          <t>NORRTÄLJE</t>
        </is>
      </c>
      <c r="G654" t="n">
        <v>6.3</v>
      </c>
      <c r="H654" t="n">
        <v>0</v>
      </c>
      <c r="I654" t="n">
        <v>0</v>
      </c>
      <c r="J654" t="n">
        <v>0</v>
      </c>
      <c r="K654" t="n">
        <v>0</v>
      </c>
      <c r="L654" t="n">
        <v>0</v>
      </c>
      <c r="M654" t="n">
        <v>0</v>
      </c>
      <c r="N654" t="n">
        <v>0</v>
      </c>
      <c r="O654" t="n">
        <v>0</v>
      </c>
      <c r="P654" t="n">
        <v>0</v>
      </c>
      <c r="Q654" t="n">
        <v>0</v>
      </c>
      <c r="R654" s="2" t="inlineStr"/>
    </row>
    <row r="655" ht="15" customHeight="1">
      <c r="A655" t="inlineStr">
        <is>
          <t>A 55369-2023</t>
        </is>
      </c>
      <c r="B655" s="1" t="n">
        <v>45238</v>
      </c>
      <c r="C655" s="1" t="n">
        <v>45940</v>
      </c>
      <c r="D655" t="inlineStr">
        <is>
          <t>STOCKHOLMS LÄN</t>
        </is>
      </c>
      <c r="E655" t="inlineStr">
        <is>
          <t>NORRTÄLJE</t>
        </is>
      </c>
      <c r="G655" t="n">
        <v>0.4</v>
      </c>
      <c r="H655" t="n">
        <v>0</v>
      </c>
      <c r="I655" t="n">
        <v>0</v>
      </c>
      <c r="J655" t="n">
        <v>0</v>
      </c>
      <c r="K655" t="n">
        <v>0</v>
      </c>
      <c r="L655" t="n">
        <v>0</v>
      </c>
      <c r="M655" t="n">
        <v>0</v>
      </c>
      <c r="N655" t="n">
        <v>0</v>
      </c>
      <c r="O655" t="n">
        <v>0</v>
      </c>
      <c r="P655" t="n">
        <v>0</v>
      </c>
      <c r="Q655" t="n">
        <v>0</v>
      </c>
      <c r="R655" s="2" t="inlineStr"/>
    </row>
    <row r="656" ht="15" customHeight="1">
      <c r="A656" t="inlineStr">
        <is>
          <t>A 15528-2025</t>
        </is>
      </c>
      <c r="B656" s="1" t="n">
        <v>45747.63471064815</v>
      </c>
      <c r="C656" s="1" t="n">
        <v>45940</v>
      </c>
      <c r="D656" t="inlineStr">
        <is>
          <t>STOCKHOLMS LÄN</t>
        </is>
      </c>
      <c r="E656" t="inlineStr">
        <is>
          <t>NORRTÄLJE</t>
        </is>
      </c>
      <c r="G656" t="n">
        <v>10</v>
      </c>
      <c r="H656" t="n">
        <v>0</v>
      </c>
      <c r="I656" t="n">
        <v>0</v>
      </c>
      <c r="J656" t="n">
        <v>0</v>
      </c>
      <c r="K656" t="n">
        <v>0</v>
      </c>
      <c r="L656" t="n">
        <v>0</v>
      </c>
      <c r="M656" t="n">
        <v>0</v>
      </c>
      <c r="N656" t="n">
        <v>0</v>
      </c>
      <c r="O656" t="n">
        <v>0</v>
      </c>
      <c r="P656" t="n">
        <v>0</v>
      </c>
      <c r="Q656" t="n">
        <v>0</v>
      </c>
      <c r="R656" s="2" t="inlineStr"/>
    </row>
    <row r="657" ht="15" customHeight="1">
      <c r="A657" t="inlineStr">
        <is>
          <t>A 61113-2023</t>
        </is>
      </c>
      <c r="B657" s="1" t="n">
        <v>45261</v>
      </c>
      <c r="C657" s="1" t="n">
        <v>45940</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3283-2025</t>
        </is>
      </c>
      <c r="B658" s="1" t="n">
        <v>45679</v>
      </c>
      <c r="C658" s="1" t="n">
        <v>45940</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34295-2024</t>
        </is>
      </c>
      <c r="B659" s="1" t="n">
        <v>45524</v>
      </c>
      <c r="C659" s="1" t="n">
        <v>45940</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59712-2024</t>
        </is>
      </c>
      <c r="B660" s="1" t="n">
        <v>45639.45166666667</v>
      </c>
      <c r="C660" s="1" t="n">
        <v>45940</v>
      </c>
      <c r="D660" t="inlineStr">
        <is>
          <t>STOCKHOLMS LÄN</t>
        </is>
      </c>
      <c r="E660" t="inlineStr">
        <is>
          <t>NORRTÄLJE</t>
        </is>
      </c>
      <c r="G660" t="n">
        <v>4.4</v>
      </c>
      <c r="H660" t="n">
        <v>0</v>
      </c>
      <c r="I660" t="n">
        <v>0</v>
      </c>
      <c r="J660" t="n">
        <v>0</v>
      </c>
      <c r="K660" t="n">
        <v>0</v>
      </c>
      <c r="L660" t="n">
        <v>0</v>
      </c>
      <c r="M660" t="n">
        <v>0</v>
      </c>
      <c r="N660" t="n">
        <v>0</v>
      </c>
      <c r="O660" t="n">
        <v>0</v>
      </c>
      <c r="P660" t="n">
        <v>0</v>
      </c>
      <c r="Q660" t="n">
        <v>0</v>
      </c>
      <c r="R660" s="2" t="inlineStr"/>
    </row>
    <row r="661" ht="15" customHeight="1">
      <c r="A661" t="inlineStr">
        <is>
          <t>A 58311-2023</t>
        </is>
      </c>
      <c r="B661" s="1" t="n">
        <v>45245</v>
      </c>
      <c r="C661" s="1" t="n">
        <v>45940</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11901-2024</t>
        </is>
      </c>
      <c r="B662" s="1" t="n">
        <v>45376.55638888889</v>
      </c>
      <c r="C662" s="1" t="n">
        <v>45940</v>
      </c>
      <c r="D662" t="inlineStr">
        <is>
          <t>STOCKHOLMS LÄN</t>
        </is>
      </c>
      <c r="E662" t="inlineStr">
        <is>
          <t>NORRTÄLJE</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23692-2024</t>
        </is>
      </c>
      <c r="B663" s="1" t="n">
        <v>45454.65774305556</v>
      </c>
      <c r="C663" s="1" t="n">
        <v>45940</v>
      </c>
      <c r="D663" t="inlineStr">
        <is>
          <t>STOCKHOLMS LÄN</t>
        </is>
      </c>
      <c r="E663" t="inlineStr">
        <is>
          <t>NORRTÄLJE</t>
        </is>
      </c>
      <c r="G663" t="n">
        <v>3.7</v>
      </c>
      <c r="H663" t="n">
        <v>0</v>
      </c>
      <c r="I663" t="n">
        <v>0</v>
      </c>
      <c r="J663" t="n">
        <v>0</v>
      </c>
      <c r="K663" t="n">
        <v>0</v>
      </c>
      <c r="L663" t="n">
        <v>0</v>
      </c>
      <c r="M663" t="n">
        <v>0</v>
      </c>
      <c r="N663" t="n">
        <v>0</v>
      </c>
      <c r="O663" t="n">
        <v>0</v>
      </c>
      <c r="P663" t="n">
        <v>0</v>
      </c>
      <c r="Q663" t="n">
        <v>0</v>
      </c>
      <c r="R663" s="2" t="inlineStr"/>
    </row>
    <row r="664" ht="15" customHeight="1">
      <c r="A664" t="inlineStr">
        <is>
          <t>A 20473-2021</t>
        </is>
      </c>
      <c r="B664" s="1" t="n">
        <v>44315</v>
      </c>
      <c r="C664" s="1" t="n">
        <v>45940</v>
      </c>
      <c r="D664" t="inlineStr">
        <is>
          <t>STOCKHOLMS LÄN</t>
        </is>
      </c>
      <c r="E664" t="inlineStr">
        <is>
          <t>NORRTÄLJE</t>
        </is>
      </c>
      <c r="F664" t="inlineStr">
        <is>
          <t>Övriga Aktiebolag</t>
        </is>
      </c>
      <c r="G664" t="n">
        <v>3.6</v>
      </c>
      <c r="H664" t="n">
        <v>0</v>
      </c>
      <c r="I664" t="n">
        <v>0</v>
      </c>
      <c r="J664" t="n">
        <v>0</v>
      </c>
      <c r="K664" t="n">
        <v>0</v>
      </c>
      <c r="L664" t="n">
        <v>0</v>
      </c>
      <c r="M664" t="n">
        <v>0</v>
      </c>
      <c r="N664" t="n">
        <v>0</v>
      </c>
      <c r="O664" t="n">
        <v>0</v>
      </c>
      <c r="P664" t="n">
        <v>0</v>
      </c>
      <c r="Q664" t="n">
        <v>0</v>
      </c>
      <c r="R664" s="2" t="inlineStr"/>
    </row>
    <row r="665" ht="15" customHeight="1">
      <c r="A665" t="inlineStr">
        <is>
          <t>A 53652-2020</t>
        </is>
      </c>
      <c r="B665" s="1" t="n">
        <v>44124</v>
      </c>
      <c r="C665" s="1" t="n">
        <v>45940</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54273-2021</t>
        </is>
      </c>
      <c r="B666" s="1" t="n">
        <v>44470.72987268519</v>
      </c>
      <c r="C666" s="1" t="n">
        <v>45940</v>
      </c>
      <c r="D666" t="inlineStr">
        <is>
          <t>STOCKHOLMS LÄN</t>
        </is>
      </c>
      <c r="E666" t="inlineStr">
        <is>
          <t>NORRTÄLJE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35127-2023</t>
        </is>
      </c>
      <c r="B667" s="1" t="n">
        <v>45145.51</v>
      </c>
      <c r="C667" s="1" t="n">
        <v>45940</v>
      </c>
      <c r="D667" t="inlineStr">
        <is>
          <t>STOCKHOLMS LÄN</t>
        </is>
      </c>
      <c r="E667" t="inlineStr">
        <is>
          <t>NORRTÄLJE</t>
        </is>
      </c>
      <c r="G667" t="n">
        <v>4.7</v>
      </c>
      <c r="H667" t="n">
        <v>0</v>
      </c>
      <c r="I667" t="n">
        <v>0</v>
      </c>
      <c r="J667" t="n">
        <v>0</v>
      </c>
      <c r="K667" t="n">
        <v>0</v>
      </c>
      <c r="L667" t="n">
        <v>0</v>
      </c>
      <c r="M667" t="n">
        <v>0</v>
      </c>
      <c r="N667" t="n">
        <v>0</v>
      </c>
      <c r="O667" t="n">
        <v>0</v>
      </c>
      <c r="P667" t="n">
        <v>0</v>
      </c>
      <c r="Q667" t="n">
        <v>0</v>
      </c>
      <c r="R667" s="2" t="inlineStr"/>
    </row>
    <row r="668" ht="15" customHeight="1">
      <c r="A668" t="inlineStr">
        <is>
          <t>A 7806-2025</t>
        </is>
      </c>
      <c r="B668" s="1" t="n">
        <v>45706.61178240741</v>
      </c>
      <c r="C668" s="1" t="n">
        <v>45940</v>
      </c>
      <c r="D668" t="inlineStr">
        <is>
          <t>STOCKHOLMS LÄN</t>
        </is>
      </c>
      <c r="E668" t="inlineStr">
        <is>
          <t>NORRTÄLJE</t>
        </is>
      </c>
      <c r="F668" t="inlineStr">
        <is>
          <t>Holmen skog AB</t>
        </is>
      </c>
      <c r="G668" t="n">
        <v>3.5</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45940</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45255-2022</t>
        </is>
      </c>
      <c r="B670" s="1" t="n">
        <v>44840</v>
      </c>
      <c r="C670" s="1" t="n">
        <v>45940</v>
      </c>
      <c r="D670" t="inlineStr">
        <is>
          <t>STOCKHOLMS LÄN</t>
        </is>
      </c>
      <c r="E670" t="inlineStr">
        <is>
          <t>NORRTÄLJE</t>
        </is>
      </c>
      <c r="G670" t="n">
        <v>4.1</v>
      </c>
      <c r="H670" t="n">
        <v>0</v>
      </c>
      <c r="I670" t="n">
        <v>0</v>
      </c>
      <c r="J670" t="n">
        <v>0</v>
      </c>
      <c r="K670" t="n">
        <v>0</v>
      </c>
      <c r="L670" t="n">
        <v>0</v>
      </c>
      <c r="M670" t="n">
        <v>0</v>
      </c>
      <c r="N670" t="n">
        <v>0</v>
      </c>
      <c r="O670" t="n">
        <v>0</v>
      </c>
      <c r="P670" t="n">
        <v>0</v>
      </c>
      <c r="Q670" t="n">
        <v>0</v>
      </c>
      <c r="R670" s="2" t="inlineStr"/>
    </row>
    <row r="671" ht="15" customHeight="1">
      <c r="A671" t="inlineStr">
        <is>
          <t>A 53792-2023</t>
        </is>
      </c>
      <c r="B671" s="1" t="n">
        <v>45231.34144675926</v>
      </c>
      <c r="C671" s="1" t="n">
        <v>45940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21329-2022</t>
        </is>
      </c>
      <c r="B672" s="1" t="n">
        <v>44705.60626157407</v>
      </c>
      <c r="C672" s="1" t="n">
        <v>45940</v>
      </c>
      <c r="D672" t="inlineStr">
        <is>
          <t>STOCKHOLMS LÄN</t>
        </is>
      </c>
      <c r="E672" t="inlineStr">
        <is>
          <t>NORRTÄLJE</t>
        </is>
      </c>
      <c r="G672" t="n">
        <v>4.1</v>
      </c>
      <c r="H672" t="n">
        <v>0</v>
      </c>
      <c r="I672" t="n">
        <v>0</v>
      </c>
      <c r="J672" t="n">
        <v>0</v>
      </c>
      <c r="K672" t="n">
        <v>0</v>
      </c>
      <c r="L672" t="n">
        <v>0</v>
      </c>
      <c r="M672" t="n">
        <v>0</v>
      </c>
      <c r="N672" t="n">
        <v>0</v>
      </c>
      <c r="O672" t="n">
        <v>0</v>
      </c>
      <c r="P672" t="n">
        <v>0</v>
      </c>
      <c r="Q672" t="n">
        <v>0</v>
      </c>
      <c r="R672" s="2" t="inlineStr"/>
    </row>
    <row r="673" ht="15" customHeight="1">
      <c r="A673" t="inlineStr">
        <is>
          <t>A 50569-2022</t>
        </is>
      </c>
      <c r="B673" s="1" t="n">
        <v>44866.63775462963</v>
      </c>
      <c r="C673" s="1" t="n">
        <v>45940</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59893-2022</t>
        </is>
      </c>
      <c r="B674" s="1" t="n">
        <v>44908.77368055555</v>
      </c>
      <c r="C674" s="1" t="n">
        <v>45940</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24501-2023</t>
        </is>
      </c>
      <c r="B675" s="1" t="n">
        <v>45082</v>
      </c>
      <c r="C675" s="1" t="n">
        <v>45940</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24520-2023</t>
        </is>
      </c>
      <c r="B676" s="1" t="n">
        <v>45082.68922453704</v>
      </c>
      <c r="C676" s="1" t="n">
        <v>45940</v>
      </c>
      <c r="D676" t="inlineStr">
        <is>
          <t>STOCKHOLMS LÄN</t>
        </is>
      </c>
      <c r="E676" t="inlineStr">
        <is>
          <t>NORRTÄLJE</t>
        </is>
      </c>
      <c r="G676" t="n">
        <v>4.3</v>
      </c>
      <c r="H676" t="n">
        <v>0</v>
      </c>
      <c r="I676" t="n">
        <v>0</v>
      </c>
      <c r="J676" t="n">
        <v>0</v>
      </c>
      <c r="K676" t="n">
        <v>0</v>
      </c>
      <c r="L676" t="n">
        <v>0</v>
      </c>
      <c r="M676" t="n">
        <v>0</v>
      </c>
      <c r="N676" t="n">
        <v>0</v>
      </c>
      <c r="O676" t="n">
        <v>0</v>
      </c>
      <c r="P676" t="n">
        <v>0</v>
      </c>
      <c r="Q676" t="n">
        <v>0</v>
      </c>
      <c r="R676" s="2" t="inlineStr"/>
    </row>
    <row r="677" ht="15" customHeight="1">
      <c r="A677" t="inlineStr">
        <is>
          <t>A 60654-2023</t>
        </is>
      </c>
      <c r="B677" s="1" t="n">
        <v>45260.43225694444</v>
      </c>
      <c r="C677" s="1" t="n">
        <v>45940</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60656-2023</t>
        </is>
      </c>
      <c r="B678" s="1" t="n">
        <v>45260.4333449074</v>
      </c>
      <c r="C678" s="1" t="n">
        <v>45940</v>
      </c>
      <c r="D678" t="inlineStr">
        <is>
          <t>STOCKHOLMS LÄN</t>
        </is>
      </c>
      <c r="E678" t="inlineStr">
        <is>
          <t>NORRTÄLJE</t>
        </is>
      </c>
      <c r="G678" t="n">
        <v>4.8</v>
      </c>
      <c r="H678" t="n">
        <v>0</v>
      </c>
      <c r="I678" t="n">
        <v>0</v>
      </c>
      <c r="J678" t="n">
        <v>0</v>
      </c>
      <c r="K678" t="n">
        <v>0</v>
      </c>
      <c r="L678" t="n">
        <v>0</v>
      </c>
      <c r="M678" t="n">
        <v>0</v>
      </c>
      <c r="N678" t="n">
        <v>0</v>
      </c>
      <c r="O678" t="n">
        <v>0</v>
      </c>
      <c r="P678" t="n">
        <v>0</v>
      </c>
      <c r="Q678" t="n">
        <v>0</v>
      </c>
      <c r="R678" s="2" t="inlineStr"/>
    </row>
    <row r="679" ht="15" customHeight="1">
      <c r="A679" t="inlineStr">
        <is>
          <t>A 39905-2023</t>
        </is>
      </c>
      <c r="B679" s="1" t="n">
        <v>45168.44489583333</v>
      </c>
      <c r="C679" s="1" t="n">
        <v>45940</v>
      </c>
      <c r="D679" t="inlineStr">
        <is>
          <t>STOCKHOLMS LÄN</t>
        </is>
      </c>
      <c r="E679" t="inlineStr">
        <is>
          <t>NORRTÄLJE</t>
        </is>
      </c>
      <c r="F679" t="inlineStr">
        <is>
          <t>Holmen skog AB</t>
        </is>
      </c>
      <c r="G679" t="n">
        <v>1.5</v>
      </c>
      <c r="H679" t="n">
        <v>0</v>
      </c>
      <c r="I679" t="n">
        <v>0</v>
      </c>
      <c r="J679" t="n">
        <v>0</v>
      </c>
      <c r="K679" t="n">
        <v>0</v>
      </c>
      <c r="L679" t="n">
        <v>0</v>
      </c>
      <c r="M679" t="n">
        <v>0</v>
      </c>
      <c r="N679" t="n">
        <v>0</v>
      </c>
      <c r="O679" t="n">
        <v>0</v>
      </c>
      <c r="P679" t="n">
        <v>0</v>
      </c>
      <c r="Q679" t="n">
        <v>0</v>
      </c>
      <c r="R679" s="2" t="inlineStr"/>
    </row>
    <row r="680" ht="15" customHeight="1">
      <c r="A680" t="inlineStr">
        <is>
          <t>A 5645-2023</t>
        </is>
      </c>
      <c r="B680" s="1" t="n">
        <v>44960.60469907407</v>
      </c>
      <c r="C680" s="1" t="n">
        <v>45940</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68361-2021</t>
        </is>
      </c>
      <c r="B681" s="1" t="n">
        <v>44528.91494212963</v>
      </c>
      <c r="C681" s="1" t="n">
        <v>45940</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44075-2023</t>
        </is>
      </c>
      <c r="B682" s="1" t="n">
        <v>45188.41637731482</v>
      </c>
      <c r="C682" s="1" t="n">
        <v>45940</v>
      </c>
      <c r="D682" t="inlineStr">
        <is>
          <t>STOCKHOLMS LÄN</t>
        </is>
      </c>
      <c r="E682" t="inlineStr">
        <is>
          <t>NORRTÄLJE</t>
        </is>
      </c>
      <c r="F682" t="inlineStr">
        <is>
          <t>Holmen skog AB</t>
        </is>
      </c>
      <c r="G682" t="n">
        <v>2.4</v>
      </c>
      <c r="H682" t="n">
        <v>0</v>
      </c>
      <c r="I682" t="n">
        <v>0</v>
      </c>
      <c r="J682" t="n">
        <v>0</v>
      </c>
      <c r="K682" t="n">
        <v>0</v>
      </c>
      <c r="L682" t="n">
        <v>0</v>
      </c>
      <c r="M682" t="n">
        <v>0</v>
      </c>
      <c r="N682" t="n">
        <v>0</v>
      </c>
      <c r="O682" t="n">
        <v>0</v>
      </c>
      <c r="P682" t="n">
        <v>0</v>
      </c>
      <c r="Q682" t="n">
        <v>0</v>
      </c>
      <c r="R682" s="2" t="inlineStr"/>
    </row>
    <row r="683" ht="15" customHeight="1">
      <c r="A683" t="inlineStr">
        <is>
          <t>A 54496-2024</t>
        </is>
      </c>
      <c r="B683" s="1" t="n">
        <v>45617.57439814815</v>
      </c>
      <c r="C683" s="1" t="n">
        <v>45940</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60529-2023</t>
        </is>
      </c>
      <c r="B684" s="1" t="n">
        <v>45259</v>
      </c>
      <c r="C684" s="1" t="n">
        <v>45940</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21386-2023</t>
        </is>
      </c>
      <c r="B685" s="1" t="n">
        <v>45063.35880787037</v>
      </c>
      <c r="C685" s="1" t="n">
        <v>45940</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10642-2025</t>
        </is>
      </c>
      <c r="B686" s="1" t="n">
        <v>45721.65858796296</v>
      </c>
      <c r="C686" s="1" t="n">
        <v>45940</v>
      </c>
      <c r="D686" t="inlineStr">
        <is>
          <t>STOCKHOLMS LÄN</t>
        </is>
      </c>
      <c r="E686" t="inlineStr">
        <is>
          <t>NORRTÄLJE</t>
        </is>
      </c>
      <c r="G686" t="n">
        <v>2.6</v>
      </c>
      <c r="H686" t="n">
        <v>0</v>
      </c>
      <c r="I686" t="n">
        <v>0</v>
      </c>
      <c r="J686" t="n">
        <v>0</v>
      </c>
      <c r="K686" t="n">
        <v>0</v>
      </c>
      <c r="L686" t="n">
        <v>0</v>
      </c>
      <c r="M686" t="n">
        <v>0</v>
      </c>
      <c r="N686" t="n">
        <v>0</v>
      </c>
      <c r="O686" t="n">
        <v>0</v>
      </c>
      <c r="P686" t="n">
        <v>0</v>
      </c>
      <c r="Q686" t="n">
        <v>0</v>
      </c>
      <c r="R686" s="2" t="inlineStr"/>
    </row>
    <row r="687" ht="15" customHeight="1">
      <c r="A687" t="inlineStr">
        <is>
          <t>A 19706-2023</t>
        </is>
      </c>
      <c r="B687" s="1" t="n">
        <v>45051.455</v>
      </c>
      <c r="C687" s="1" t="n">
        <v>45940</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18539-2021</t>
        </is>
      </c>
      <c r="B688" s="1" t="n">
        <v>44306</v>
      </c>
      <c r="C688" s="1" t="n">
        <v>45940</v>
      </c>
      <c r="D688" t="inlineStr">
        <is>
          <t>STOCKHOLMS LÄN</t>
        </is>
      </c>
      <c r="E688" t="inlineStr">
        <is>
          <t>NORRTÄLJE</t>
        </is>
      </c>
      <c r="F688" t="inlineStr">
        <is>
          <t>Holmen skog AB</t>
        </is>
      </c>
      <c r="G688" t="n">
        <v>5.5</v>
      </c>
      <c r="H688" t="n">
        <v>0</v>
      </c>
      <c r="I688" t="n">
        <v>0</v>
      </c>
      <c r="J688" t="n">
        <v>0</v>
      </c>
      <c r="K688" t="n">
        <v>0</v>
      </c>
      <c r="L688" t="n">
        <v>0</v>
      </c>
      <c r="M688" t="n">
        <v>0</v>
      </c>
      <c r="N688" t="n">
        <v>0</v>
      </c>
      <c r="O688" t="n">
        <v>0</v>
      </c>
      <c r="P688" t="n">
        <v>0</v>
      </c>
      <c r="Q688" t="n">
        <v>0</v>
      </c>
      <c r="R688" s="2" t="inlineStr"/>
    </row>
    <row r="689" ht="15" customHeight="1">
      <c r="A689" t="inlineStr">
        <is>
          <t>A 17612-2022</t>
        </is>
      </c>
      <c r="B689" s="1" t="n">
        <v>44680</v>
      </c>
      <c r="C689" s="1" t="n">
        <v>45940</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16835-2022</t>
        </is>
      </c>
      <c r="B690" s="1" t="n">
        <v>44673</v>
      </c>
      <c r="C690" s="1" t="n">
        <v>45940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62765-2022</t>
        </is>
      </c>
      <c r="B691" s="1" t="n">
        <v>44637</v>
      </c>
      <c r="C691" s="1" t="n">
        <v>45940</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20144-2023</t>
        </is>
      </c>
      <c r="B692" s="1" t="n">
        <v>45055.43509259259</v>
      </c>
      <c r="C692" s="1" t="n">
        <v>45940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58404-2023</t>
        </is>
      </c>
      <c r="B693" s="1" t="n">
        <v>45245</v>
      </c>
      <c r="C693" s="1" t="n">
        <v>45940</v>
      </c>
      <c r="D693" t="inlineStr">
        <is>
          <t>STOCKHOLMS LÄN</t>
        </is>
      </c>
      <c r="E693" t="inlineStr">
        <is>
          <t>NORRTÄLJE</t>
        </is>
      </c>
      <c r="G693" t="n">
        <v>53.5</v>
      </c>
      <c r="H693" t="n">
        <v>0</v>
      </c>
      <c r="I693" t="n">
        <v>0</v>
      </c>
      <c r="J693" t="n">
        <v>0</v>
      </c>
      <c r="K693" t="n">
        <v>0</v>
      </c>
      <c r="L693" t="n">
        <v>0</v>
      </c>
      <c r="M693" t="n">
        <v>0</v>
      </c>
      <c r="N693" t="n">
        <v>0</v>
      </c>
      <c r="O693" t="n">
        <v>0</v>
      </c>
      <c r="P693" t="n">
        <v>0</v>
      </c>
      <c r="Q693" t="n">
        <v>0</v>
      </c>
      <c r="R693" s="2" t="inlineStr"/>
    </row>
    <row r="694" ht="15" customHeight="1">
      <c r="A694" t="inlineStr">
        <is>
          <t>A 53312-2024</t>
        </is>
      </c>
      <c r="B694" s="1" t="n">
        <v>45614.39627314815</v>
      </c>
      <c r="C694" s="1" t="n">
        <v>45940</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29250-2025</t>
        </is>
      </c>
      <c r="B695" s="1" t="n">
        <v>45824.37275462963</v>
      </c>
      <c r="C695" s="1" t="n">
        <v>45940</v>
      </c>
      <c r="D695" t="inlineStr">
        <is>
          <t>STOCKHOLMS LÄN</t>
        </is>
      </c>
      <c r="E695" t="inlineStr">
        <is>
          <t>NORRTÄLJE</t>
        </is>
      </c>
      <c r="F695" t="inlineStr">
        <is>
          <t>Sveaskog</t>
        </is>
      </c>
      <c r="G695" t="n">
        <v>6.4</v>
      </c>
      <c r="H695" t="n">
        <v>0</v>
      </c>
      <c r="I695" t="n">
        <v>0</v>
      </c>
      <c r="J695" t="n">
        <v>0</v>
      </c>
      <c r="K695" t="n">
        <v>0</v>
      </c>
      <c r="L695" t="n">
        <v>0</v>
      </c>
      <c r="M695" t="n">
        <v>0</v>
      </c>
      <c r="N695" t="n">
        <v>0</v>
      </c>
      <c r="O695" t="n">
        <v>0</v>
      </c>
      <c r="P695" t="n">
        <v>0</v>
      </c>
      <c r="Q695" t="n">
        <v>0</v>
      </c>
      <c r="R695" s="2" t="inlineStr"/>
    </row>
    <row r="696" ht="15" customHeight="1">
      <c r="A696" t="inlineStr">
        <is>
          <t>A 39202-2024</t>
        </is>
      </c>
      <c r="B696" s="1" t="n">
        <v>45548.72306712963</v>
      </c>
      <c r="C696" s="1" t="n">
        <v>45940</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8586-2023</t>
        </is>
      </c>
      <c r="B697" s="1" t="n">
        <v>44977</v>
      </c>
      <c r="C697" s="1" t="n">
        <v>45940</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16202-2022</t>
        </is>
      </c>
      <c r="B698" s="1" t="n">
        <v>44670</v>
      </c>
      <c r="C698" s="1" t="n">
        <v>45940</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22756-2022</t>
        </is>
      </c>
      <c r="B699" s="1" t="n">
        <v>44714.92253472222</v>
      </c>
      <c r="C699" s="1" t="n">
        <v>45940</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4581-2025</t>
        </is>
      </c>
      <c r="B700" s="1" t="n">
        <v>45687</v>
      </c>
      <c r="C700" s="1" t="n">
        <v>45940</v>
      </c>
      <c r="D700" t="inlineStr">
        <is>
          <t>STOCKHOLMS LÄN</t>
        </is>
      </c>
      <c r="E700" t="inlineStr">
        <is>
          <t>NORRTÄLJE</t>
        </is>
      </c>
      <c r="F700" t="inlineStr">
        <is>
          <t>Holmen skog AB</t>
        </is>
      </c>
      <c r="G700" t="n">
        <v>2.8</v>
      </c>
      <c r="H700" t="n">
        <v>0</v>
      </c>
      <c r="I700" t="n">
        <v>0</v>
      </c>
      <c r="J700" t="n">
        <v>0</v>
      </c>
      <c r="K700" t="n">
        <v>0</v>
      </c>
      <c r="L700" t="n">
        <v>0</v>
      </c>
      <c r="M700" t="n">
        <v>0</v>
      </c>
      <c r="N700" t="n">
        <v>0</v>
      </c>
      <c r="O700" t="n">
        <v>0</v>
      </c>
      <c r="P700" t="n">
        <v>0</v>
      </c>
      <c r="Q700" t="n">
        <v>0</v>
      </c>
      <c r="R700" s="2" t="inlineStr"/>
    </row>
    <row r="701" ht="15" customHeight="1">
      <c r="A701" t="inlineStr">
        <is>
          <t>A 55018-2024</t>
        </is>
      </c>
      <c r="B701" s="1" t="n">
        <v>45621.35712962963</v>
      </c>
      <c r="C701" s="1" t="n">
        <v>45940</v>
      </c>
      <c r="D701" t="inlineStr">
        <is>
          <t>STOCKHOLMS LÄN</t>
        </is>
      </c>
      <c r="E701" t="inlineStr">
        <is>
          <t>NORRTÄLJE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50136-2023</t>
        </is>
      </c>
      <c r="B702" s="1" t="n">
        <v>45215</v>
      </c>
      <c r="C702" s="1" t="n">
        <v>45940</v>
      </c>
      <c r="D702" t="inlineStr">
        <is>
          <t>STOCKHOLMS LÄN</t>
        </is>
      </c>
      <c r="E702" t="inlineStr">
        <is>
          <t>NORRTÄLJE</t>
        </is>
      </c>
      <c r="G702" t="n">
        <v>5.2</v>
      </c>
      <c r="H702" t="n">
        <v>0</v>
      </c>
      <c r="I702" t="n">
        <v>0</v>
      </c>
      <c r="J702" t="n">
        <v>0</v>
      </c>
      <c r="K702" t="n">
        <v>0</v>
      </c>
      <c r="L702" t="n">
        <v>0</v>
      </c>
      <c r="M702" t="n">
        <v>0</v>
      </c>
      <c r="N702" t="n">
        <v>0</v>
      </c>
      <c r="O702" t="n">
        <v>0</v>
      </c>
      <c r="P702" t="n">
        <v>0</v>
      </c>
      <c r="Q702" t="n">
        <v>0</v>
      </c>
      <c r="R702" s="2" t="inlineStr"/>
    </row>
    <row r="703" ht="15" customHeight="1">
      <c r="A703" t="inlineStr">
        <is>
          <t>A 25656-2023</t>
        </is>
      </c>
      <c r="B703" s="1" t="n">
        <v>45089</v>
      </c>
      <c r="C703" s="1" t="n">
        <v>45940</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6003-2025</t>
        </is>
      </c>
      <c r="B704" s="1" t="n">
        <v>45695.57881944445</v>
      </c>
      <c r="C704" s="1" t="n">
        <v>45940</v>
      </c>
      <c r="D704" t="inlineStr">
        <is>
          <t>STOCKHOLMS LÄN</t>
        </is>
      </c>
      <c r="E704" t="inlineStr">
        <is>
          <t>NORRTÄLJE</t>
        </is>
      </c>
      <c r="F704" t="inlineStr">
        <is>
          <t>Holmen skog AB</t>
        </is>
      </c>
      <c r="G704" t="n">
        <v>2.3</v>
      </c>
      <c r="H704" t="n">
        <v>0</v>
      </c>
      <c r="I704" t="n">
        <v>0</v>
      </c>
      <c r="J704" t="n">
        <v>0</v>
      </c>
      <c r="K704" t="n">
        <v>0</v>
      </c>
      <c r="L704" t="n">
        <v>0</v>
      </c>
      <c r="M704" t="n">
        <v>0</v>
      </c>
      <c r="N704" t="n">
        <v>0</v>
      </c>
      <c r="O704" t="n">
        <v>0</v>
      </c>
      <c r="P704" t="n">
        <v>0</v>
      </c>
      <c r="Q704" t="n">
        <v>0</v>
      </c>
      <c r="R704" s="2" t="inlineStr"/>
    </row>
    <row r="705" ht="15" customHeight="1">
      <c r="A705" t="inlineStr">
        <is>
          <t>A 11902-2024</t>
        </is>
      </c>
      <c r="B705" s="1" t="n">
        <v>45376.55704861111</v>
      </c>
      <c r="C705" s="1" t="n">
        <v>45940</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60765-2023</t>
        </is>
      </c>
      <c r="B706" s="1" t="n">
        <v>45260</v>
      </c>
      <c r="C706" s="1" t="n">
        <v>45940</v>
      </c>
      <c r="D706" t="inlineStr">
        <is>
          <t>STOCKHOLMS LÄN</t>
        </is>
      </c>
      <c r="E706" t="inlineStr">
        <is>
          <t>NORRTÄLJE</t>
        </is>
      </c>
      <c r="G706" t="n">
        <v>3.7</v>
      </c>
      <c r="H706" t="n">
        <v>0</v>
      </c>
      <c r="I706" t="n">
        <v>0</v>
      </c>
      <c r="J706" t="n">
        <v>0</v>
      </c>
      <c r="K706" t="n">
        <v>0</v>
      </c>
      <c r="L706" t="n">
        <v>0</v>
      </c>
      <c r="M706" t="n">
        <v>0</v>
      </c>
      <c r="N706" t="n">
        <v>0</v>
      </c>
      <c r="O706" t="n">
        <v>0</v>
      </c>
      <c r="P706" t="n">
        <v>0</v>
      </c>
      <c r="Q706" t="n">
        <v>0</v>
      </c>
      <c r="R706" s="2" t="inlineStr"/>
    </row>
    <row r="707" ht="15" customHeight="1">
      <c r="A707" t="inlineStr">
        <is>
          <t>A 38049-2023</t>
        </is>
      </c>
      <c r="B707" s="1" t="n">
        <v>45159</v>
      </c>
      <c r="C707" s="1" t="n">
        <v>45940</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59535-2024</t>
        </is>
      </c>
      <c r="B708" s="1" t="n">
        <v>45638.59979166667</v>
      </c>
      <c r="C708" s="1" t="n">
        <v>45940</v>
      </c>
      <c r="D708" t="inlineStr">
        <is>
          <t>STOCKHOLMS LÄN</t>
        </is>
      </c>
      <c r="E708" t="inlineStr">
        <is>
          <t>NORRTÄLJE</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23801-2022</t>
        </is>
      </c>
      <c r="B709" s="1" t="n">
        <v>44722</v>
      </c>
      <c r="C709" s="1" t="n">
        <v>45940</v>
      </c>
      <c r="D709" t="inlineStr">
        <is>
          <t>STOCKHOLMS LÄN</t>
        </is>
      </c>
      <c r="E709" t="inlineStr">
        <is>
          <t>NORRTÄLJE</t>
        </is>
      </c>
      <c r="G709" t="n">
        <v>6.8</v>
      </c>
      <c r="H709" t="n">
        <v>0</v>
      </c>
      <c r="I709" t="n">
        <v>0</v>
      </c>
      <c r="J709" t="n">
        <v>0</v>
      </c>
      <c r="K709" t="n">
        <v>0</v>
      </c>
      <c r="L709" t="n">
        <v>0</v>
      </c>
      <c r="M709" t="n">
        <v>0</v>
      </c>
      <c r="N709" t="n">
        <v>0</v>
      </c>
      <c r="O709" t="n">
        <v>0</v>
      </c>
      <c r="P709" t="n">
        <v>0</v>
      </c>
      <c r="Q709" t="n">
        <v>0</v>
      </c>
      <c r="R709" s="2" t="inlineStr"/>
    </row>
    <row r="710" ht="15" customHeight="1">
      <c r="A710" t="inlineStr">
        <is>
          <t>A 59276-2023</t>
        </is>
      </c>
      <c r="B710" s="1" t="n">
        <v>45253.55641203704</v>
      </c>
      <c r="C710" s="1" t="n">
        <v>45940</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46914-2022</t>
        </is>
      </c>
      <c r="B711" s="1" t="n">
        <v>44851</v>
      </c>
      <c r="C711" s="1" t="n">
        <v>45940</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53607-2020</t>
        </is>
      </c>
      <c r="B712" s="1" t="n">
        <v>44124</v>
      </c>
      <c r="C712" s="1" t="n">
        <v>45940</v>
      </c>
      <c r="D712" t="inlineStr">
        <is>
          <t>STOCKHOLMS LÄN</t>
        </is>
      </c>
      <c r="E712" t="inlineStr">
        <is>
          <t>NORRTÄLJE</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18541-2023</t>
        </is>
      </c>
      <c r="B713" s="1" t="n">
        <v>45042.74291666667</v>
      </c>
      <c r="C713" s="1" t="n">
        <v>45940</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45940</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26407-2024</t>
        </is>
      </c>
      <c r="B715" s="1" t="n">
        <v>45469</v>
      </c>
      <c r="C715" s="1" t="n">
        <v>45940</v>
      </c>
      <c r="D715" t="inlineStr">
        <is>
          <t>STOCKHOLMS LÄN</t>
        </is>
      </c>
      <c r="E715" t="inlineStr">
        <is>
          <t>NORRTÄLJE</t>
        </is>
      </c>
      <c r="G715" t="n">
        <v>3.5</v>
      </c>
      <c r="H715" t="n">
        <v>0</v>
      </c>
      <c r="I715" t="n">
        <v>0</v>
      </c>
      <c r="J715" t="n">
        <v>0</v>
      </c>
      <c r="K715" t="n">
        <v>0</v>
      </c>
      <c r="L715" t="n">
        <v>0</v>
      </c>
      <c r="M715" t="n">
        <v>0</v>
      </c>
      <c r="N715" t="n">
        <v>0</v>
      </c>
      <c r="O715" t="n">
        <v>0</v>
      </c>
      <c r="P715" t="n">
        <v>0</v>
      </c>
      <c r="Q715" t="n">
        <v>0</v>
      </c>
      <c r="R715" s="2" t="inlineStr"/>
    </row>
    <row r="716" ht="15" customHeight="1">
      <c r="A716" t="inlineStr">
        <is>
          <t>A 12890-2024</t>
        </is>
      </c>
      <c r="B716" s="1" t="n">
        <v>45385.36243055556</v>
      </c>
      <c r="C716" s="1" t="n">
        <v>45940</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4183-2025</t>
        </is>
      </c>
      <c r="B717" s="1" t="n">
        <v>45685.44592592592</v>
      </c>
      <c r="C717" s="1" t="n">
        <v>45940</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47419-2023</t>
        </is>
      </c>
      <c r="B718" s="1" t="n">
        <v>45202.65660879629</v>
      </c>
      <c r="C718" s="1" t="n">
        <v>45940</v>
      </c>
      <c r="D718" t="inlineStr">
        <is>
          <t>STOCKHOLMS LÄN</t>
        </is>
      </c>
      <c r="E718" t="inlineStr">
        <is>
          <t>NORRTÄLJE</t>
        </is>
      </c>
      <c r="G718" t="n">
        <v>11.4</v>
      </c>
      <c r="H718" t="n">
        <v>0</v>
      </c>
      <c r="I718" t="n">
        <v>0</v>
      </c>
      <c r="J718" t="n">
        <v>0</v>
      </c>
      <c r="K718" t="n">
        <v>0</v>
      </c>
      <c r="L718" t="n">
        <v>0</v>
      </c>
      <c r="M718" t="n">
        <v>0</v>
      </c>
      <c r="N718" t="n">
        <v>0</v>
      </c>
      <c r="O718" t="n">
        <v>0</v>
      </c>
      <c r="P718" t="n">
        <v>0</v>
      </c>
      <c r="Q718" t="n">
        <v>0</v>
      </c>
      <c r="R718" s="2" t="inlineStr"/>
    </row>
    <row r="719" ht="15" customHeight="1">
      <c r="A719" t="inlineStr">
        <is>
          <t>A 23070-2023</t>
        </is>
      </c>
      <c r="B719" s="1" t="n">
        <v>45075</v>
      </c>
      <c r="C719" s="1" t="n">
        <v>45940</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30699-2025</t>
        </is>
      </c>
      <c r="B720" s="1" t="n">
        <v>45831.54618055555</v>
      </c>
      <c r="C720" s="1" t="n">
        <v>45940</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27824-2022</t>
        </is>
      </c>
      <c r="B721" s="1" t="n">
        <v>44743.59331018518</v>
      </c>
      <c r="C721" s="1" t="n">
        <v>45940</v>
      </c>
      <c r="D721" t="inlineStr">
        <is>
          <t>STOCKHOLMS LÄN</t>
        </is>
      </c>
      <c r="E721" t="inlineStr">
        <is>
          <t>NORRTÄLJE</t>
        </is>
      </c>
      <c r="F721" t="inlineStr">
        <is>
          <t>Kommuner</t>
        </is>
      </c>
      <c r="G721" t="n">
        <v>3.1</v>
      </c>
      <c r="H721" t="n">
        <v>0</v>
      </c>
      <c r="I721" t="n">
        <v>0</v>
      </c>
      <c r="J721" t="n">
        <v>0</v>
      </c>
      <c r="K721" t="n">
        <v>0</v>
      </c>
      <c r="L721" t="n">
        <v>0</v>
      </c>
      <c r="M721" t="n">
        <v>0</v>
      </c>
      <c r="N721" t="n">
        <v>0</v>
      </c>
      <c r="O721" t="n">
        <v>0</v>
      </c>
      <c r="P721" t="n">
        <v>0</v>
      </c>
      <c r="Q721" t="n">
        <v>0</v>
      </c>
      <c r="R721" s="2" t="inlineStr"/>
    </row>
    <row r="722" ht="15" customHeight="1">
      <c r="A722" t="inlineStr">
        <is>
          <t>A 25619-2022</t>
        </is>
      </c>
      <c r="B722" s="1" t="n">
        <v>44732</v>
      </c>
      <c r="C722" s="1" t="n">
        <v>45940</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9480-2025</t>
        </is>
      </c>
      <c r="B723" s="1" t="n">
        <v>45715</v>
      </c>
      <c r="C723" s="1" t="n">
        <v>45940</v>
      </c>
      <c r="D723" t="inlineStr">
        <is>
          <t>STOCKHOLMS LÄN</t>
        </is>
      </c>
      <c r="E723" t="inlineStr">
        <is>
          <t>NORRTÄLJE</t>
        </is>
      </c>
      <c r="F723" t="inlineStr">
        <is>
          <t>Övriga Aktiebolag</t>
        </is>
      </c>
      <c r="G723" t="n">
        <v>3.9</v>
      </c>
      <c r="H723" t="n">
        <v>0</v>
      </c>
      <c r="I723" t="n">
        <v>0</v>
      </c>
      <c r="J723" t="n">
        <v>0</v>
      </c>
      <c r="K723" t="n">
        <v>0</v>
      </c>
      <c r="L723" t="n">
        <v>0</v>
      </c>
      <c r="M723" t="n">
        <v>0</v>
      </c>
      <c r="N723" t="n">
        <v>0</v>
      </c>
      <c r="O723" t="n">
        <v>0</v>
      </c>
      <c r="P723" t="n">
        <v>0</v>
      </c>
      <c r="Q723" t="n">
        <v>0</v>
      </c>
      <c r="R723" s="2" t="inlineStr"/>
    </row>
    <row r="724" ht="15" customHeight="1">
      <c r="A724" t="inlineStr">
        <is>
          <t>A 36246-2021</t>
        </is>
      </c>
      <c r="B724" s="1" t="n">
        <v>44390</v>
      </c>
      <c r="C724" s="1" t="n">
        <v>45940</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38720-2025</t>
        </is>
      </c>
      <c r="B725" s="1" t="n">
        <v>45886</v>
      </c>
      <c r="C725" s="1" t="n">
        <v>45940</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19952-2023</t>
        </is>
      </c>
      <c r="B726" s="1" t="n">
        <v>45054.54091435186</v>
      </c>
      <c r="C726" s="1" t="n">
        <v>45940</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19994-2023</t>
        </is>
      </c>
      <c r="B727" s="1" t="n">
        <v>45054</v>
      </c>
      <c r="C727" s="1" t="n">
        <v>45940</v>
      </c>
      <c r="D727" t="inlineStr">
        <is>
          <t>STOCKHOLMS LÄN</t>
        </is>
      </c>
      <c r="E727" t="inlineStr">
        <is>
          <t>NORRTÄLJE</t>
        </is>
      </c>
      <c r="G727" t="n">
        <v>4.3</v>
      </c>
      <c r="H727" t="n">
        <v>0</v>
      </c>
      <c r="I727" t="n">
        <v>0</v>
      </c>
      <c r="J727" t="n">
        <v>0</v>
      </c>
      <c r="K727" t="n">
        <v>0</v>
      </c>
      <c r="L727" t="n">
        <v>0</v>
      </c>
      <c r="M727" t="n">
        <v>0</v>
      </c>
      <c r="N727" t="n">
        <v>0</v>
      </c>
      <c r="O727" t="n">
        <v>0</v>
      </c>
      <c r="P727" t="n">
        <v>0</v>
      </c>
      <c r="Q727" t="n">
        <v>0</v>
      </c>
      <c r="R727" s="2" t="inlineStr"/>
    </row>
    <row r="728" ht="15" customHeight="1">
      <c r="A728" t="inlineStr">
        <is>
          <t>A 14130-2025</t>
        </is>
      </c>
      <c r="B728" s="1" t="n">
        <v>45740.47288194444</v>
      </c>
      <c r="C728" s="1" t="n">
        <v>45940</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46900-2025</t>
        </is>
      </c>
      <c r="B729" s="1" t="n">
        <v>45929.38712962963</v>
      </c>
      <c r="C729" s="1" t="n">
        <v>45940</v>
      </c>
      <c r="D729" t="inlineStr">
        <is>
          <t>STOCKHOLMS LÄN</t>
        </is>
      </c>
      <c r="E729" t="inlineStr">
        <is>
          <t>NORRTÄLJE</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30639-2025</t>
        </is>
      </c>
      <c r="B730" s="1" t="n">
        <v>45831.4844212963</v>
      </c>
      <c r="C730" s="1" t="n">
        <v>45940</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30668-2025</t>
        </is>
      </c>
      <c r="B731" s="1" t="n">
        <v>45831.51659722222</v>
      </c>
      <c r="C731" s="1" t="n">
        <v>45940</v>
      </c>
      <c r="D731" t="inlineStr">
        <is>
          <t>STOCKHOLMS LÄN</t>
        </is>
      </c>
      <c r="E731" t="inlineStr">
        <is>
          <t>NORRTÄLJE</t>
        </is>
      </c>
      <c r="G731" t="n">
        <v>4.9</v>
      </c>
      <c r="H731" t="n">
        <v>0</v>
      </c>
      <c r="I731" t="n">
        <v>0</v>
      </c>
      <c r="J731" t="n">
        <v>0</v>
      </c>
      <c r="K731" t="n">
        <v>0</v>
      </c>
      <c r="L731" t="n">
        <v>0</v>
      </c>
      <c r="M731" t="n">
        <v>0</v>
      </c>
      <c r="N731" t="n">
        <v>0</v>
      </c>
      <c r="O731" t="n">
        <v>0</v>
      </c>
      <c r="P731" t="n">
        <v>0</v>
      </c>
      <c r="Q731" t="n">
        <v>0</v>
      </c>
      <c r="R731" s="2" t="inlineStr"/>
    </row>
    <row r="732" ht="15" customHeight="1">
      <c r="A732" t="inlineStr">
        <is>
          <t>A 574-2023</t>
        </is>
      </c>
      <c r="B732" s="1" t="n">
        <v>44925</v>
      </c>
      <c r="C732" s="1" t="n">
        <v>45940</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30283-2022</t>
        </is>
      </c>
      <c r="B733" s="1" t="n">
        <v>44760</v>
      </c>
      <c r="C733" s="1" t="n">
        <v>45940</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30290-2022</t>
        </is>
      </c>
      <c r="B734" s="1" t="n">
        <v>44760</v>
      </c>
      <c r="C734" s="1" t="n">
        <v>45940</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3143-2021</t>
        </is>
      </c>
      <c r="B735" s="1" t="n">
        <v>44217.40149305556</v>
      </c>
      <c r="C735" s="1" t="n">
        <v>45940</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29684-2021</t>
        </is>
      </c>
      <c r="B736" s="1" t="n">
        <v>44362.37172453704</v>
      </c>
      <c r="C736" s="1" t="n">
        <v>45940</v>
      </c>
      <c r="D736" t="inlineStr">
        <is>
          <t>STOCKHOLMS LÄN</t>
        </is>
      </c>
      <c r="E736" t="inlineStr">
        <is>
          <t>NORRTÄLJE</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60884-2024</t>
        </is>
      </c>
      <c r="B737" s="1" t="n">
        <v>45644.90815972222</v>
      </c>
      <c r="C737" s="1" t="n">
        <v>45940</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38610-2022</t>
        </is>
      </c>
      <c r="B738" s="1" t="n">
        <v>44813.59915509259</v>
      </c>
      <c r="C738" s="1" t="n">
        <v>45940</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24522-2023</t>
        </is>
      </c>
      <c r="B739" s="1" t="n">
        <v>45082.69179398148</v>
      </c>
      <c r="C739" s="1" t="n">
        <v>45940</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25625-2023</t>
        </is>
      </c>
      <c r="B740" s="1" t="n">
        <v>45089</v>
      </c>
      <c r="C740" s="1" t="n">
        <v>45940</v>
      </c>
      <c r="D740" t="inlineStr">
        <is>
          <t>STOCKHOLMS LÄN</t>
        </is>
      </c>
      <c r="E740" t="inlineStr">
        <is>
          <t>NORRTÄLJE</t>
        </is>
      </c>
      <c r="G740" t="n">
        <v>5.5</v>
      </c>
      <c r="H740" t="n">
        <v>0</v>
      </c>
      <c r="I740" t="n">
        <v>0</v>
      </c>
      <c r="J740" t="n">
        <v>0</v>
      </c>
      <c r="K740" t="n">
        <v>0</v>
      </c>
      <c r="L740" t="n">
        <v>0</v>
      </c>
      <c r="M740" t="n">
        <v>0</v>
      </c>
      <c r="N740" t="n">
        <v>0</v>
      </c>
      <c r="O740" t="n">
        <v>0</v>
      </c>
      <c r="P740" t="n">
        <v>0</v>
      </c>
      <c r="Q740" t="n">
        <v>0</v>
      </c>
      <c r="R740" s="2" t="inlineStr"/>
    </row>
    <row r="741" ht="15" customHeight="1">
      <c r="A741" t="inlineStr">
        <is>
          <t>A 10090-2022</t>
        </is>
      </c>
      <c r="B741" s="1" t="n">
        <v>44621</v>
      </c>
      <c r="C741" s="1" t="n">
        <v>45940</v>
      </c>
      <c r="D741" t="inlineStr">
        <is>
          <t>STOCKHOLMS LÄN</t>
        </is>
      </c>
      <c r="E741" t="inlineStr">
        <is>
          <t>NORRTÄLJE</t>
        </is>
      </c>
      <c r="G741" t="n">
        <v>5.2</v>
      </c>
      <c r="H741" t="n">
        <v>0</v>
      </c>
      <c r="I741" t="n">
        <v>0</v>
      </c>
      <c r="J741" t="n">
        <v>0</v>
      </c>
      <c r="K741" t="n">
        <v>0</v>
      </c>
      <c r="L741" t="n">
        <v>0</v>
      </c>
      <c r="M741" t="n">
        <v>0</v>
      </c>
      <c r="N741" t="n">
        <v>0</v>
      </c>
      <c r="O741" t="n">
        <v>0</v>
      </c>
      <c r="P741" t="n">
        <v>0</v>
      </c>
      <c r="Q741" t="n">
        <v>0</v>
      </c>
      <c r="R741" s="2" t="inlineStr"/>
    </row>
    <row r="742" ht="15" customHeight="1">
      <c r="A742" t="inlineStr">
        <is>
          <t>A 37147-2023</t>
        </is>
      </c>
      <c r="B742" s="1" t="n">
        <v>45155</v>
      </c>
      <c r="C742" s="1" t="n">
        <v>45940</v>
      </c>
      <c r="D742" t="inlineStr">
        <is>
          <t>STOCKHOLMS LÄN</t>
        </is>
      </c>
      <c r="E742" t="inlineStr">
        <is>
          <t>NORRTÄLJE</t>
        </is>
      </c>
      <c r="G742" t="n">
        <v>8</v>
      </c>
      <c r="H742" t="n">
        <v>0</v>
      </c>
      <c r="I742" t="n">
        <v>0</v>
      </c>
      <c r="J742" t="n">
        <v>0</v>
      </c>
      <c r="K742" t="n">
        <v>0</v>
      </c>
      <c r="L742" t="n">
        <v>0</v>
      </c>
      <c r="M742" t="n">
        <v>0</v>
      </c>
      <c r="N742" t="n">
        <v>0</v>
      </c>
      <c r="O742" t="n">
        <v>0</v>
      </c>
      <c r="P742" t="n">
        <v>0</v>
      </c>
      <c r="Q742" t="n">
        <v>0</v>
      </c>
      <c r="R742" s="2" t="inlineStr"/>
    </row>
    <row r="743" ht="15" customHeight="1">
      <c r="A743" t="inlineStr">
        <is>
          <t>A 14724-2022</t>
        </is>
      </c>
      <c r="B743" s="1" t="n">
        <v>44656</v>
      </c>
      <c r="C743" s="1" t="n">
        <v>45940</v>
      </c>
      <c r="D743" t="inlineStr">
        <is>
          <t>STOCKHOLMS LÄN</t>
        </is>
      </c>
      <c r="E743" t="inlineStr">
        <is>
          <t>NORRTÄLJE</t>
        </is>
      </c>
      <c r="F743" t="inlineStr">
        <is>
          <t>Sveaskog</t>
        </is>
      </c>
      <c r="G743" t="n">
        <v>9</v>
      </c>
      <c r="H743" t="n">
        <v>0</v>
      </c>
      <c r="I743" t="n">
        <v>0</v>
      </c>
      <c r="J743" t="n">
        <v>0</v>
      </c>
      <c r="K743" t="n">
        <v>0</v>
      </c>
      <c r="L743" t="n">
        <v>0</v>
      </c>
      <c r="M743" t="n">
        <v>0</v>
      </c>
      <c r="N743" t="n">
        <v>0</v>
      </c>
      <c r="O743" t="n">
        <v>0</v>
      </c>
      <c r="P743" t="n">
        <v>0</v>
      </c>
      <c r="Q743" t="n">
        <v>0</v>
      </c>
      <c r="R743" s="2" t="inlineStr"/>
    </row>
    <row r="744" ht="15" customHeight="1">
      <c r="A744" t="inlineStr">
        <is>
          <t>A 7186-2024</t>
        </is>
      </c>
      <c r="B744" s="1" t="n">
        <v>45344</v>
      </c>
      <c r="C744" s="1" t="n">
        <v>45940</v>
      </c>
      <c r="D744" t="inlineStr">
        <is>
          <t>STOCKHOLMS LÄN</t>
        </is>
      </c>
      <c r="E744" t="inlineStr">
        <is>
          <t>NORRTÄLJE</t>
        </is>
      </c>
      <c r="G744" t="n">
        <v>4.9</v>
      </c>
      <c r="H744" t="n">
        <v>0</v>
      </c>
      <c r="I744" t="n">
        <v>0</v>
      </c>
      <c r="J744" t="n">
        <v>0</v>
      </c>
      <c r="K744" t="n">
        <v>0</v>
      </c>
      <c r="L744" t="n">
        <v>0</v>
      </c>
      <c r="M744" t="n">
        <v>0</v>
      </c>
      <c r="N744" t="n">
        <v>0</v>
      </c>
      <c r="O744" t="n">
        <v>0</v>
      </c>
      <c r="P744" t="n">
        <v>0</v>
      </c>
      <c r="Q744" t="n">
        <v>0</v>
      </c>
      <c r="R744" s="2" t="inlineStr"/>
    </row>
    <row r="745" ht="15" customHeight="1">
      <c r="A745" t="inlineStr">
        <is>
          <t>A 18846-2022</t>
        </is>
      </c>
      <c r="B745" s="1" t="n">
        <v>44690</v>
      </c>
      <c r="C745" s="1" t="n">
        <v>45940</v>
      </c>
      <c r="D745" t="inlineStr">
        <is>
          <t>STOCKHOLMS LÄN</t>
        </is>
      </c>
      <c r="E745" t="inlineStr">
        <is>
          <t>NORRTÄLJE</t>
        </is>
      </c>
      <c r="G745" t="n">
        <v>7</v>
      </c>
      <c r="H745" t="n">
        <v>0</v>
      </c>
      <c r="I745" t="n">
        <v>0</v>
      </c>
      <c r="J745" t="n">
        <v>0</v>
      </c>
      <c r="K745" t="n">
        <v>0</v>
      </c>
      <c r="L745" t="n">
        <v>0</v>
      </c>
      <c r="M745" t="n">
        <v>0</v>
      </c>
      <c r="N745" t="n">
        <v>0</v>
      </c>
      <c r="O745" t="n">
        <v>0</v>
      </c>
      <c r="P745" t="n">
        <v>0</v>
      </c>
      <c r="Q745" t="n">
        <v>0</v>
      </c>
      <c r="R745" s="2" t="inlineStr"/>
    </row>
    <row r="746" ht="15" customHeight="1">
      <c r="A746" t="inlineStr">
        <is>
          <t>A 43300-2023</t>
        </is>
      </c>
      <c r="B746" s="1" t="n">
        <v>45183</v>
      </c>
      <c r="C746" s="1" t="n">
        <v>45940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25654-2023</t>
        </is>
      </c>
      <c r="B747" s="1" t="n">
        <v>45089</v>
      </c>
      <c r="C747" s="1" t="n">
        <v>45940</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57602-2024</t>
        </is>
      </c>
      <c r="B748" s="1" t="n">
        <v>45630.52866898148</v>
      </c>
      <c r="C748" s="1" t="n">
        <v>45940</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64600-2021</t>
        </is>
      </c>
      <c r="B749" s="1" t="n">
        <v>44511.70518518519</v>
      </c>
      <c r="C749" s="1" t="n">
        <v>45940</v>
      </c>
      <c r="D749" t="inlineStr">
        <is>
          <t>STOCKHOLMS LÄN</t>
        </is>
      </c>
      <c r="E749" t="inlineStr">
        <is>
          <t>NORRTÄLJE</t>
        </is>
      </c>
      <c r="G749" t="n">
        <v>6.2</v>
      </c>
      <c r="H749" t="n">
        <v>0</v>
      </c>
      <c r="I749" t="n">
        <v>0</v>
      </c>
      <c r="J749" t="n">
        <v>0</v>
      </c>
      <c r="K749" t="n">
        <v>0</v>
      </c>
      <c r="L749" t="n">
        <v>0</v>
      </c>
      <c r="M749" t="n">
        <v>0</v>
      </c>
      <c r="N749" t="n">
        <v>0</v>
      </c>
      <c r="O749" t="n">
        <v>0</v>
      </c>
      <c r="P749" t="n">
        <v>0</v>
      </c>
      <c r="Q749" t="n">
        <v>0</v>
      </c>
      <c r="R749" s="2" t="inlineStr"/>
    </row>
    <row r="750" ht="15" customHeight="1">
      <c r="A750" t="inlineStr">
        <is>
          <t>A 50602-2021</t>
        </is>
      </c>
      <c r="B750" s="1" t="n">
        <v>44459</v>
      </c>
      <c r="C750" s="1" t="n">
        <v>45940</v>
      </c>
      <c r="D750" t="inlineStr">
        <is>
          <t>STOCKHOLMS LÄN</t>
        </is>
      </c>
      <c r="E750" t="inlineStr">
        <is>
          <t>NORRTÄLJE</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26365-2024</t>
        </is>
      </c>
      <c r="B751" s="1" t="n">
        <v>45469</v>
      </c>
      <c r="C751" s="1" t="n">
        <v>45940</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23125-2022</t>
        </is>
      </c>
      <c r="B752" s="1" t="n">
        <v>44719</v>
      </c>
      <c r="C752" s="1" t="n">
        <v>45940</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20121-2022</t>
        </is>
      </c>
      <c r="B753" s="1" t="n">
        <v>44698</v>
      </c>
      <c r="C753" s="1" t="n">
        <v>45940</v>
      </c>
      <c r="D753" t="inlineStr">
        <is>
          <t>STOCKHOLMS LÄN</t>
        </is>
      </c>
      <c r="E753" t="inlineStr">
        <is>
          <t>NORRTÄLJE</t>
        </is>
      </c>
      <c r="G753" t="n">
        <v>4.2</v>
      </c>
      <c r="H753" t="n">
        <v>0</v>
      </c>
      <c r="I753" t="n">
        <v>0</v>
      </c>
      <c r="J753" t="n">
        <v>0</v>
      </c>
      <c r="K753" t="n">
        <v>0</v>
      </c>
      <c r="L753" t="n">
        <v>0</v>
      </c>
      <c r="M753" t="n">
        <v>0</v>
      </c>
      <c r="N753" t="n">
        <v>0</v>
      </c>
      <c r="O753" t="n">
        <v>0</v>
      </c>
      <c r="P753" t="n">
        <v>0</v>
      </c>
      <c r="Q753" t="n">
        <v>0</v>
      </c>
      <c r="R753" s="2" t="inlineStr"/>
    </row>
    <row r="754" ht="15" customHeight="1">
      <c r="A754" t="inlineStr">
        <is>
          <t>A 31170-2025</t>
        </is>
      </c>
      <c r="B754" s="1" t="n">
        <v>45832.66385416667</v>
      </c>
      <c r="C754" s="1" t="n">
        <v>45940</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26640-2023</t>
        </is>
      </c>
      <c r="B755" s="1" t="n">
        <v>45092</v>
      </c>
      <c r="C755" s="1" t="n">
        <v>45940</v>
      </c>
      <c r="D755" t="inlineStr">
        <is>
          <t>STOCKHOLMS LÄN</t>
        </is>
      </c>
      <c r="E755" t="inlineStr">
        <is>
          <t>NORRTÄLJE</t>
        </is>
      </c>
      <c r="G755" t="n">
        <v>5.7</v>
      </c>
      <c r="H755" t="n">
        <v>0</v>
      </c>
      <c r="I755" t="n">
        <v>0</v>
      </c>
      <c r="J755" t="n">
        <v>0</v>
      </c>
      <c r="K755" t="n">
        <v>0</v>
      </c>
      <c r="L755" t="n">
        <v>0</v>
      </c>
      <c r="M755" t="n">
        <v>0</v>
      </c>
      <c r="N755" t="n">
        <v>0</v>
      </c>
      <c r="O755" t="n">
        <v>0</v>
      </c>
      <c r="P755" t="n">
        <v>0</v>
      </c>
      <c r="Q755" t="n">
        <v>0</v>
      </c>
      <c r="R755" s="2" t="inlineStr"/>
    </row>
    <row r="756" ht="15" customHeight="1">
      <c r="A756" t="inlineStr">
        <is>
          <t>A 31827-2023</t>
        </is>
      </c>
      <c r="B756" s="1" t="n">
        <v>45118</v>
      </c>
      <c r="C756" s="1" t="n">
        <v>45940</v>
      </c>
      <c r="D756" t="inlineStr">
        <is>
          <t>STOCKHOLMS LÄN</t>
        </is>
      </c>
      <c r="E756" t="inlineStr">
        <is>
          <t>NORRTÄLJE</t>
        </is>
      </c>
      <c r="F756" t="inlineStr">
        <is>
          <t>Kyrkan</t>
        </is>
      </c>
      <c r="G756" t="n">
        <v>4.9</v>
      </c>
      <c r="H756" t="n">
        <v>0</v>
      </c>
      <c r="I756" t="n">
        <v>0</v>
      </c>
      <c r="J756" t="n">
        <v>0</v>
      </c>
      <c r="K756" t="n">
        <v>0</v>
      </c>
      <c r="L756" t="n">
        <v>0</v>
      </c>
      <c r="M756" t="n">
        <v>0</v>
      </c>
      <c r="N756" t="n">
        <v>0</v>
      </c>
      <c r="O756" t="n">
        <v>0</v>
      </c>
      <c r="P756" t="n">
        <v>0</v>
      </c>
      <c r="Q756" t="n">
        <v>0</v>
      </c>
      <c r="R756" s="2" t="inlineStr"/>
    </row>
    <row r="757" ht="15" customHeight="1">
      <c r="A757" t="inlineStr">
        <is>
          <t>A 58993-2022</t>
        </is>
      </c>
      <c r="B757" s="1" t="n">
        <v>44903</v>
      </c>
      <c r="C757" s="1" t="n">
        <v>45940</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31880-2025</t>
        </is>
      </c>
      <c r="B758" s="1" t="n">
        <v>45834.65538194445</v>
      </c>
      <c r="C758" s="1" t="n">
        <v>45940</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28900-2022</t>
        </is>
      </c>
      <c r="B759" s="1" t="n">
        <v>44749.55258101852</v>
      </c>
      <c r="C759" s="1" t="n">
        <v>45940</v>
      </c>
      <c r="D759" t="inlineStr">
        <is>
          <t>STOCKHOLMS LÄN</t>
        </is>
      </c>
      <c r="E759" t="inlineStr">
        <is>
          <t>NORRTÄLJE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17574-2025</t>
        </is>
      </c>
      <c r="B760" s="1" t="n">
        <v>45757.65178240741</v>
      </c>
      <c r="C760" s="1" t="n">
        <v>45940</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32122-2025</t>
        </is>
      </c>
      <c r="B761" s="1" t="n">
        <v>45835.4928125</v>
      </c>
      <c r="C761" s="1" t="n">
        <v>45940</v>
      </c>
      <c r="D761" t="inlineStr">
        <is>
          <t>STOCKHOLMS LÄN</t>
        </is>
      </c>
      <c r="E761" t="inlineStr">
        <is>
          <t>NORRTÄLJE</t>
        </is>
      </c>
      <c r="F761" t="inlineStr">
        <is>
          <t>Holmen skog AB</t>
        </is>
      </c>
      <c r="G761" t="n">
        <v>1.9</v>
      </c>
      <c r="H761" t="n">
        <v>0</v>
      </c>
      <c r="I761" t="n">
        <v>0</v>
      </c>
      <c r="J761" t="n">
        <v>0</v>
      </c>
      <c r="K761" t="n">
        <v>0</v>
      </c>
      <c r="L761" t="n">
        <v>0</v>
      </c>
      <c r="M761" t="n">
        <v>0</v>
      </c>
      <c r="N761" t="n">
        <v>0</v>
      </c>
      <c r="O761" t="n">
        <v>0</v>
      </c>
      <c r="P761" t="n">
        <v>0</v>
      </c>
      <c r="Q761" t="n">
        <v>0</v>
      </c>
      <c r="R761" s="2" t="inlineStr"/>
    </row>
    <row r="762" ht="15" customHeight="1">
      <c r="A762" t="inlineStr">
        <is>
          <t>A 33385-2024</t>
        </is>
      </c>
      <c r="B762" s="1" t="n">
        <v>45519</v>
      </c>
      <c r="C762" s="1" t="n">
        <v>45940</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31868-2025</t>
        </is>
      </c>
      <c r="B763" s="1" t="n">
        <v>45834.6447337963</v>
      </c>
      <c r="C763" s="1" t="n">
        <v>45940</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6413-2025</t>
        </is>
      </c>
      <c r="B764" s="1" t="n">
        <v>45699.46283564815</v>
      </c>
      <c r="C764" s="1" t="n">
        <v>45940</v>
      </c>
      <c r="D764" t="inlineStr">
        <is>
          <t>STOCKHOLMS LÄN</t>
        </is>
      </c>
      <c r="E764" t="inlineStr">
        <is>
          <t>NORRTÄLJE</t>
        </is>
      </c>
      <c r="G764" t="n">
        <v>3.6</v>
      </c>
      <c r="H764" t="n">
        <v>0</v>
      </c>
      <c r="I764" t="n">
        <v>0</v>
      </c>
      <c r="J764" t="n">
        <v>0</v>
      </c>
      <c r="K764" t="n">
        <v>0</v>
      </c>
      <c r="L764" t="n">
        <v>0</v>
      </c>
      <c r="M764" t="n">
        <v>0</v>
      </c>
      <c r="N764" t="n">
        <v>0</v>
      </c>
      <c r="O764" t="n">
        <v>0</v>
      </c>
      <c r="P764" t="n">
        <v>0</v>
      </c>
      <c r="Q764" t="n">
        <v>0</v>
      </c>
      <c r="R764" s="2" t="inlineStr"/>
    </row>
    <row r="765" ht="15" customHeight="1">
      <c r="A765" t="inlineStr">
        <is>
          <t>A 41172-2023</t>
        </is>
      </c>
      <c r="B765" s="1" t="n">
        <v>45170</v>
      </c>
      <c r="C765" s="1" t="n">
        <v>45940</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32016-2025</t>
        </is>
      </c>
      <c r="B766" s="1" t="n">
        <v>45835</v>
      </c>
      <c r="C766" s="1" t="n">
        <v>45940</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73307-2021</t>
        </is>
      </c>
      <c r="B767" s="1" t="n">
        <v>44549</v>
      </c>
      <c r="C767" s="1" t="n">
        <v>45940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32283-2025</t>
        </is>
      </c>
      <c r="B768" s="1" t="n">
        <v>45835.68076388889</v>
      </c>
      <c r="C768" s="1" t="n">
        <v>45940</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50534-2024</t>
        </is>
      </c>
      <c r="B769" s="1" t="n">
        <v>45601.56726851852</v>
      </c>
      <c r="C769" s="1" t="n">
        <v>45940</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58297-2023</t>
        </is>
      </c>
      <c r="B770" s="1" t="n">
        <v>45245</v>
      </c>
      <c r="C770" s="1" t="n">
        <v>45940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20304-2023</t>
        </is>
      </c>
      <c r="B771" s="1" t="n">
        <v>45056</v>
      </c>
      <c r="C771" s="1" t="n">
        <v>45940</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12299-2025</t>
        </is>
      </c>
      <c r="B772" s="1" t="n">
        <v>45729.71065972222</v>
      </c>
      <c r="C772" s="1" t="n">
        <v>45940</v>
      </c>
      <c r="D772" t="inlineStr">
        <is>
          <t>STOCKHOLMS LÄN</t>
        </is>
      </c>
      <c r="E772" t="inlineStr">
        <is>
          <t>NORRTÄLJE</t>
        </is>
      </c>
      <c r="F772" t="inlineStr">
        <is>
          <t>Holmen skog AB</t>
        </is>
      </c>
      <c r="G772" t="n">
        <v>6.9</v>
      </c>
      <c r="H772" t="n">
        <v>0</v>
      </c>
      <c r="I772" t="n">
        <v>0</v>
      </c>
      <c r="J772" t="n">
        <v>0</v>
      </c>
      <c r="K772" t="n">
        <v>0</v>
      </c>
      <c r="L772" t="n">
        <v>0</v>
      </c>
      <c r="M772" t="n">
        <v>0</v>
      </c>
      <c r="N772" t="n">
        <v>0</v>
      </c>
      <c r="O772" t="n">
        <v>0</v>
      </c>
      <c r="P772" t="n">
        <v>0</v>
      </c>
      <c r="Q772" t="n">
        <v>0</v>
      </c>
      <c r="R772" s="2" t="inlineStr"/>
    </row>
    <row r="773" ht="15" customHeight="1">
      <c r="A773" t="inlineStr">
        <is>
          <t>A 31874-2025</t>
        </is>
      </c>
      <c r="B773" s="1" t="n">
        <v>45834</v>
      </c>
      <c r="C773" s="1" t="n">
        <v>45940</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22157-2023</t>
        </is>
      </c>
      <c r="B774" s="1" t="n">
        <v>45069</v>
      </c>
      <c r="C774" s="1" t="n">
        <v>45940</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c r="U774">
        <f>HYPERLINK("https://klasma.github.io/Logging_0188/knärot/A 22157-2023 karta knärot.png", "A 22157-2023")</f>
        <v/>
      </c>
      <c r="V774">
        <f>HYPERLINK("https://klasma.github.io/Logging_0188/klagomål/A 22157-2023 FSC-klagomål.docx", "A 22157-2023")</f>
        <v/>
      </c>
      <c r="W774">
        <f>HYPERLINK("https://klasma.github.io/Logging_0188/klagomålsmail/A 22157-2023 FSC-klagomål mail.docx", "A 22157-2023")</f>
        <v/>
      </c>
      <c r="X774">
        <f>HYPERLINK("https://klasma.github.io/Logging_0188/tillsyn/A 22157-2023 tillsynsbegäran.docx", "A 22157-2023")</f>
        <v/>
      </c>
      <c r="Y774">
        <f>HYPERLINK("https://klasma.github.io/Logging_0188/tillsynsmail/A 22157-2023 tillsynsbegäran mail.docx", "A 22157-2023")</f>
        <v/>
      </c>
    </row>
    <row r="775" ht="15" customHeight="1">
      <c r="A775" t="inlineStr">
        <is>
          <t>A 32094-2025</t>
        </is>
      </c>
      <c r="B775" s="1" t="n">
        <v>45835.46034722222</v>
      </c>
      <c r="C775" s="1" t="n">
        <v>45940</v>
      </c>
      <c r="D775" t="inlineStr">
        <is>
          <t>STOCKHOLMS LÄN</t>
        </is>
      </c>
      <c r="E775" t="inlineStr">
        <is>
          <t>NORRTÄLJE</t>
        </is>
      </c>
      <c r="F775" t="inlineStr">
        <is>
          <t>Holmen skog AB</t>
        </is>
      </c>
      <c r="G775" t="n">
        <v>2.9</v>
      </c>
      <c r="H775" t="n">
        <v>0</v>
      </c>
      <c r="I775" t="n">
        <v>0</v>
      </c>
      <c r="J775" t="n">
        <v>0</v>
      </c>
      <c r="K775" t="n">
        <v>0</v>
      </c>
      <c r="L775" t="n">
        <v>0</v>
      </c>
      <c r="M775" t="n">
        <v>0</v>
      </c>
      <c r="N775" t="n">
        <v>0</v>
      </c>
      <c r="O775" t="n">
        <v>0</v>
      </c>
      <c r="P775" t="n">
        <v>0</v>
      </c>
      <c r="Q775" t="n">
        <v>0</v>
      </c>
      <c r="R775" s="2" t="inlineStr"/>
    </row>
    <row r="776" ht="15" customHeight="1">
      <c r="A776" t="inlineStr">
        <is>
          <t>A 11988-2021</t>
        </is>
      </c>
      <c r="B776" s="1" t="n">
        <v>44266</v>
      </c>
      <c r="C776" s="1" t="n">
        <v>45940</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12132-2021</t>
        </is>
      </c>
      <c r="B777" s="1" t="n">
        <v>44266</v>
      </c>
      <c r="C777" s="1" t="n">
        <v>45940</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65499-2021</t>
        </is>
      </c>
      <c r="B778" s="1" t="n">
        <v>44516</v>
      </c>
      <c r="C778" s="1" t="n">
        <v>45940</v>
      </c>
      <c r="D778" t="inlineStr">
        <is>
          <t>STOCKHOLMS LÄN</t>
        </is>
      </c>
      <c r="E778" t="inlineStr">
        <is>
          <t>NORRTÄLJE</t>
        </is>
      </c>
      <c r="F778" t="inlineStr">
        <is>
          <t>Kommuner</t>
        </is>
      </c>
      <c r="G778" t="n">
        <v>5.2</v>
      </c>
      <c r="H778" t="n">
        <v>0</v>
      </c>
      <c r="I778" t="n">
        <v>0</v>
      </c>
      <c r="J778" t="n">
        <v>0</v>
      </c>
      <c r="K778" t="n">
        <v>0</v>
      </c>
      <c r="L778" t="n">
        <v>0</v>
      </c>
      <c r="M778" t="n">
        <v>0</v>
      </c>
      <c r="N778" t="n">
        <v>0</v>
      </c>
      <c r="O778" t="n">
        <v>0</v>
      </c>
      <c r="P778" t="n">
        <v>0</v>
      </c>
      <c r="Q778" t="n">
        <v>0</v>
      </c>
      <c r="R778" s="2" t="inlineStr"/>
    </row>
    <row r="779" ht="15" customHeight="1">
      <c r="A779" t="inlineStr">
        <is>
          <t>A 65511-2021</t>
        </is>
      </c>
      <c r="B779" s="1" t="n">
        <v>44516.40674768519</v>
      </c>
      <c r="C779" s="1" t="n">
        <v>45940</v>
      </c>
      <c r="D779" t="inlineStr">
        <is>
          <t>STOCKHOLMS LÄN</t>
        </is>
      </c>
      <c r="E779" t="inlineStr">
        <is>
          <t>NORRTÄLJE</t>
        </is>
      </c>
      <c r="F779" t="inlineStr">
        <is>
          <t>Kommuner</t>
        </is>
      </c>
      <c r="G779" t="n">
        <v>2.8</v>
      </c>
      <c r="H779" t="n">
        <v>0</v>
      </c>
      <c r="I779" t="n">
        <v>0</v>
      </c>
      <c r="J779" t="n">
        <v>0</v>
      </c>
      <c r="K779" t="n">
        <v>0</v>
      </c>
      <c r="L779" t="n">
        <v>0</v>
      </c>
      <c r="M779" t="n">
        <v>0</v>
      </c>
      <c r="N779" t="n">
        <v>0</v>
      </c>
      <c r="O779" t="n">
        <v>0</v>
      </c>
      <c r="P779" t="n">
        <v>0</v>
      </c>
      <c r="Q779" t="n">
        <v>0</v>
      </c>
      <c r="R779" s="2" t="inlineStr"/>
    </row>
    <row r="780" ht="15" customHeight="1">
      <c r="A780" t="inlineStr">
        <is>
          <t>A 32480-2025</t>
        </is>
      </c>
      <c r="B780" s="1" t="n">
        <v>45838.43261574074</v>
      </c>
      <c r="C780" s="1" t="n">
        <v>45940</v>
      </c>
      <c r="D780" t="inlineStr">
        <is>
          <t>STOCKHOLMS LÄN</t>
        </is>
      </c>
      <c r="E780" t="inlineStr">
        <is>
          <t>NORRTÄLJE</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11929-2024</t>
        </is>
      </c>
      <c r="B781" s="1" t="n">
        <v>45376.64532407407</v>
      </c>
      <c r="C781" s="1" t="n">
        <v>45940</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22833-2024</t>
        </is>
      </c>
      <c r="B782" s="1" t="n">
        <v>45448.56746527777</v>
      </c>
      <c r="C782" s="1" t="n">
        <v>45940</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32872-2025</t>
        </is>
      </c>
      <c r="B783" s="1" t="n">
        <v>45839</v>
      </c>
      <c r="C783" s="1" t="n">
        <v>45940</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32903-2025</t>
        </is>
      </c>
      <c r="B784" s="1" t="n">
        <v>45839.62398148148</v>
      </c>
      <c r="C784" s="1" t="n">
        <v>45940</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32395-2025</t>
        </is>
      </c>
      <c r="B785" s="1" t="n">
        <v>45837.93730324074</v>
      </c>
      <c r="C785" s="1" t="n">
        <v>45940</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32396-2025</t>
        </is>
      </c>
      <c r="B786" s="1" t="n">
        <v>45837</v>
      </c>
      <c r="C786" s="1" t="n">
        <v>45940</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32397-2025</t>
        </is>
      </c>
      <c r="B787" s="1" t="n">
        <v>45837.94081018519</v>
      </c>
      <c r="C787" s="1" t="n">
        <v>45940</v>
      </c>
      <c r="D787" t="inlineStr">
        <is>
          <t>STOCKHOLMS LÄN</t>
        </is>
      </c>
      <c r="E787" t="inlineStr">
        <is>
          <t>NORRTÄLJE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32514-2022</t>
        </is>
      </c>
      <c r="B788" s="1" t="n">
        <v>44782</v>
      </c>
      <c r="C788" s="1" t="n">
        <v>45940</v>
      </c>
      <c r="D788" t="inlineStr">
        <is>
          <t>STOCKHOLMS LÄN</t>
        </is>
      </c>
      <c r="E788" t="inlineStr">
        <is>
          <t>NORRTÄLJE</t>
        </is>
      </c>
      <c r="G788" t="n">
        <v>5.1</v>
      </c>
      <c r="H788" t="n">
        <v>0</v>
      </c>
      <c r="I788" t="n">
        <v>0</v>
      </c>
      <c r="J788" t="n">
        <v>0</v>
      </c>
      <c r="K788" t="n">
        <v>0</v>
      </c>
      <c r="L788" t="n">
        <v>0</v>
      </c>
      <c r="M788" t="n">
        <v>0</v>
      </c>
      <c r="N788" t="n">
        <v>0</v>
      </c>
      <c r="O788" t="n">
        <v>0</v>
      </c>
      <c r="P788" t="n">
        <v>0</v>
      </c>
      <c r="Q788" t="n">
        <v>0</v>
      </c>
      <c r="R788" s="2" t="inlineStr"/>
    </row>
    <row r="789" ht="15" customHeight="1">
      <c r="A789" t="inlineStr">
        <is>
          <t>A 29362-2022</t>
        </is>
      </c>
      <c r="B789" s="1" t="n">
        <v>44753</v>
      </c>
      <c r="C789" s="1" t="n">
        <v>45940</v>
      </c>
      <c r="D789" t="inlineStr">
        <is>
          <t>STOCKHOLMS LÄN</t>
        </is>
      </c>
      <c r="E789" t="inlineStr">
        <is>
          <t>NORRTÄLJE</t>
        </is>
      </c>
      <c r="G789" t="n">
        <v>3.8</v>
      </c>
      <c r="H789" t="n">
        <v>0</v>
      </c>
      <c r="I789" t="n">
        <v>0</v>
      </c>
      <c r="J789" t="n">
        <v>0</v>
      </c>
      <c r="K789" t="n">
        <v>0</v>
      </c>
      <c r="L789" t="n">
        <v>0</v>
      </c>
      <c r="M789" t="n">
        <v>0</v>
      </c>
      <c r="N789" t="n">
        <v>0</v>
      </c>
      <c r="O789" t="n">
        <v>0</v>
      </c>
      <c r="P789" t="n">
        <v>0</v>
      </c>
      <c r="Q789" t="n">
        <v>0</v>
      </c>
      <c r="R789" s="2" t="inlineStr"/>
    </row>
    <row r="790" ht="15" customHeight="1">
      <c r="A790" t="inlineStr">
        <is>
          <t>A 8296-2023</t>
        </is>
      </c>
      <c r="B790" s="1" t="n">
        <v>44974</v>
      </c>
      <c r="C790" s="1" t="n">
        <v>45940</v>
      </c>
      <c r="D790" t="inlineStr">
        <is>
          <t>STOCKHOLMS LÄN</t>
        </is>
      </c>
      <c r="E790" t="inlineStr">
        <is>
          <t>NORRTÄLJE</t>
        </is>
      </c>
      <c r="G790" t="n">
        <v>3.8</v>
      </c>
      <c r="H790" t="n">
        <v>0</v>
      </c>
      <c r="I790" t="n">
        <v>0</v>
      </c>
      <c r="J790" t="n">
        <v>0</v>
      </c>
      <c r="K790" t="n">
        <v>0</v>
      </c>
      <c r="L790" t="n">
        <v>0</v>
      </c>
      <c r="M790" t="n">
        <v>0</v>
      </c>
      <c r="N790" t="n">
        <v>0</v>
      </c>
      <c r="O790" t="n">
        <v>0</v>
      </c>
      <c r="P790" t="n">
        <v>0</v>
      </c>
      <c r="Q790" t="n">
        <v>0</v>
      </c>
      <c r="R790" s="2" t="inlineStr"/>
    </row>
    <row r="791" ht="15" customHeight="1">
      <c r="A791" t="inlineStr">
        <is>
          <t>A 24575-2024</t>
        </is>
      </c>
      <c r="B791" s="1" t="n">
        <v>45460.45523148148</v>
      </c>
      <c r="C791" s="1" t="n">
        <v>45940</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64899-2023</t>
        </is>
      </c>
      <c r="B792" s="1" t="n">
        <v>45282</v>
      </c>
      <c r="C792" s="1" t="n">
        <v>45940</v>
      </c>
      <c r="D792" t="inlineStr">
        <is>
          <t>STOCKHOLMS LÄN</t>
        </is>
      </c>
      <c r="E792" t="inlineStr">
        <is>
          <t>NORRTÄLJE</t>
        </is>
      </c>
      <c r="G792" t="n">
        <v>6.3</v>
      </c>
      <c r="H792" t="n">
        <v>0</v>
      </c>
      <c r="I792" t="n">
        <v>0</v>
      </c>
      <c r="J792" t="n">
        <v>0</v>
      </c>
      <c r="K792" t="n">
        <v>0</v>
      </c>
      <c r="L792" t="n">
        <v>0</v>
      </c>
      <c r="M792" t="n">
        <v>0</v>
      </c>
      <c r="N792" t="n">
        <v>0</v>
      </c>
      <c r="O792" t="n">
        <v>0</v>
      </c>
      <c r="P792" t="n">
        <v>0</v>
      </c>
      <c r="Q792" t="n">
        <v>0</v>
      </c>
      <c r="R792" s="2" t="inlineStr"/>
    </row>
    <row r="793" ht="15" customHeight="1">
      <c r="A793" t="inlineStr">
        <is>
          <t>A 52593-2024</t>
        </is>
      </c>
      <c r="B793" s="1" t="n">
        <v>45609.70778935185</v>
      </c>
      <c r="C793" s="1" t="n">
        <v>45940</v>
      </c>
      <c r="D793" t="inlineStr">
        <is>
          <t>STOCKHOLMS LÄN</t>
        </is>
      </c>
      <c r="E793" t="inlineStr">
        <is>
          <t>NORRTÄLJE</t>
        </is>
      </c>
      <c r="F793" t="inlineStr">
        <is>
          <t>Holmen skog AB</t>
        </is>
      </c>
      <c r="G793" t="n">
        <v>2.4</v>
      </c>
      <c r="H793" t="n">
        <v>0</v>
      </c>
      <c r="I793" t="n">
        <v>0</v>
      </c>
      <c r="J793" t="n">
        <v>0</v>
      </c>
      <c r="K793" t="n">
        <v>0</v>
      </c>
      <c r="L793" t="n">
        <v>0</v>
      </c>
      <c r="M793" t="n">
        <v>0</v>
      </c>
      <c r="N793" t="n">
        <v>0</v>
      </c>
      <c r="O793" t="n">
        <v>0</v>
      </c>
      <c r="P793" t="n">
        <v>0</v>
      </c>
      <c r="Q793" t="n">
        <v>0</v>
      </c>
      <c r="R793" s="2" t="inlineStr"/>
    </row>
    <row r="794" ht="15" customHeight="1">
      <c r="A794" t="inlineStr">
        <is>
          <t>A 52617-2024</t>
        </is>
      </c>
      <c r="B794" s="1" t="n">
        <v>45609.85146990741</v>
      </c>
      <c r="C794" s="1" t="n">
        <v>45940</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58492-2022</t>
        </is>
      </c>
      <c r="B795" s="1" t="n">
        <v>44902</v>
      </c>
      <c r="C795" s="1" t="n">
        <v>45940</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33702-2025</t>
        </is>
      </c>
      <c r="B796" s="1" t="n">
        <v>45841.74596064815</v>
      </c>
      <c r="C796" s="1" t="n">
        <v>45940</v>
      </c>
      <c r="D796" t="inlineStr">
        <is>
          <t>STOCKHOLMS LÄN</t>
        </is>
      </c>
      <c r="E796" t="inlineStr">
        <is>
          <t>NORRTÄLJE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60321-2020</t>
        </is>
      </c>
      <c r="B797" s="1" t="n">
        <v>44152</v>
      </c>
      <c r="C797" s="1" t="n">
        <v>45940</v>
      </c>
      <c r="D797" t="inlineStr">
        <is>
          <t>STOCKHOLMS LÄN</t>
        </is>
      </c>
      <c r="E797" t="inlineStr">
        <is>
          <t>NORRTÄLJE</t>
        </is>
      </c>
      <c r="F797" t="inlineStr">
        <is>
          <t>Holmen skog AB</t>
        </is>
      </c>
      <c r="G797" t="n">
        <v>3.4</v>
      </c>
      <c r="H797" t="n">
        <v>0</v>
      </c>
      <c r="I797" t="n">
        <v>0</v>
      </c>
      <c r="J797" t="n">
        <v>0</v>
      </c>
      <c r="K797" t="n">
        <v>0</v>
      </c>
      <c r="L797" t="n">
        <v>0</v>
      </c>
      <c r="M797" t="n">
        <v>0</v>
      </c>
      <c r="N797" t="n">
        <v>0</v>
      </c>
      <c r="O797" t="n">
        <v>0</v>
      </c>
      <c r="P797" t="n">
        <v>0</v>
      </c>
      <c r="Q797" t="n">
        <v>0</v>
      </c>
      <c r="R797" s="2" t="inlineStr"/>
    </row>
    <row r="798" ht="15" customHeight="1">
      <c r="A798" t="inlineStr">
        <is>
          <t>A 38593-2025</t>
        </is>
      </c>
      <c r="B798" s="1" t="n">
        <v>45884.48696759259</v>
      </c>
      <c r="C798" s="1" t="n">
        <v>45940</v>
      </c>
      <c r="D798" t="inlineStr">
        <is>
          <t>STOCKHOLMS LÄN</t>
        </is>
      </c>
      <c r="E798" t="inlineStr">
        <is>
          <t>NORRTÄLJE</t>
        </is>
      </c>
      <c r="G798" t="n">
        <v>3</v>
      </c>
      <c r="H798" t="n">
        <v>0</v>
      </c>
      <c r="I798" t="n">
        <v>0</v>
      </c>
      <c r="J798" t="n">
        <v>0</v>
      </c>
      <c r="K798" t="n">
        <v>0</v>
      </c>
      <c r="L798" t="n">
        <v>0</v>
      </c>
      <c r="M798" t="n">
        <v>0</v>
      </c>
      <c r="N798" t="n">
        <v>0</v>
      </c>
      <c r="O798" t="n">
        <v>0</v>
      </c>
      <c r="P798" t="n">
        <v>0</v>
      </c>
      <c r="Q798" t="n">
        <v>0</v>
      </c>
      <c r="R798" s="2" t="inlineStr"/>
    </row>
    <row r="799" ht="15" customHeight="1">
      <c r="A799" t="inlineStr">
        <is>
          <t>A 51315-2021</t>
        </is>
      </c>
      <c r="B799" s="1" t="n">
        <v>44461</v>
      </c>
      <c r="C799" s="1" t="n">
        <v>45940</v>
      </c>
      <c r="D799" t="inlineStr">
        <is>
          <t>STOCKHOLMS LÄN</t>
        </is>
      </c>
      <c r="E799" t="inlineStr">
        <is>
          <t>NORRTÄLJE</t>
        </is>
      </c>
      <c r="F799" t="inlineStr">
        <is>
          <t>Holmen skog AB</t>
        </is>
      </c>
      <c r="G799" t="n">
        <v>2.2</v>
      </c>
      <c r="H799" t="n">
        <v>0</v>
      </c>
      <c r="I799" t="n">
        <v>0</v>
      </c>
      <c r="J799" t="n">
        <v>0</v>
      </c>
      <c r="K799" t="n">
        <v>0</v>
      </c>
      <c r="L799" t="n">
        <v>0</v>
      </c>
      <c r="M799" t="n">
        <v>0</v>
      </c>
      <c r="N799" t="n">
        <v>0</v>
      </c>
      <c r="O799" t="n">
        <v>0</v>
      </c>
      <c r="P799" t="n">
        <v>0</v>
      </c>
      <c r="Q799" t="n">
        <v>0</v>
      </c>
      <c r="R799" s="2" t="inlineStr"/>
    </row>
    <row r="800" ht="15" customHeight="1">
      <c r="A800" t="inlineStr">
        <is>
          <t>A 33211-2025</t>
        </is>
      </c>
      <c r="B800" s="1" t="n">
        <v>45840.62755787037</v>
      </c>
      <c r="C800" s="1" t="n">
        <v>45940</v>
      </c>
      <c r="D800" t="inlineStr">
        <is>
          <t>STOCKHOLMS LÄN</t>
        </is>
      </c>
      <c r="E800" t="inlineStr">
        <is>
          <t>NORRTÄLJE</t>
        </is>
      </c>
      <c r="G800" t="n">
        <v>5.1</v>
      </c>
      <c r="H800" t="n">
        <v>0</v>
      </c>
      <c r="I800" t="n">
        <v>0</v>
      </c>
      <c r="J800" t="n">
        <v>0</v>
      </c>
      <c r="K800" t="n">
        <v>0</v>
      </c>
      <c r="L800" t="n">
        <v>0</v>
      </c>
      <c r="M800" t="n">
        <v>0</v>
      </c>
      <c r="N800" t="n">
        <v>0</v>
      </c>
      <c r="O800" t="n">
        <v>0</v>
      </c>
      <c r="P800" t="n">
        <v>0</v>
      </c>
      <c r="Q800" t="n">
        <v>0</v>
      </c>
      <c r="R800" s="2" t="inlineStr"/>
    </row>
    <row r="801" ht="15" customHeight="1">
      <c r="A801" t="inlineStr">
        <is>
          <t>A 33265-2025</t>
        </is>
      </c>
      <c r="B801" s="1" t="n">
        <v>45840.67829861111</v>
      </c>
      <c r="C801" s="1" t="n">
        <v>45940</v>
      </c>
      <c r="D801" t="inlineStr">
        <is>
          <t>STOCKHOLMS LÄN</t>
        </is>
      </c>
      <c r="E801" t="inlineStr">
        <is>
          <t>NORRTÄLJE</t>
        </is>
      </c>
      <c r="G801" t="n">
        <v>5.5</v>
      </c>
      <c r="H801" t="n">
        <v>0</v>
      </c>
      <c r="I801" t="n">
        <v>0</v>
      </c>
      <c r="J801" t="n">
        <v>0</v>
      </c>
      <c r="K801" t="n">
        <v>0</v>
      </c>
      <c r="L801" t="n">
        <v>0</v>
      </c>
      <c r="M801" t="n">
        <v>0</v>
      </c>
      <c r="N801" t="n">
        <v>0</v>
      </c>
      <c r="O801" t="n">
        <v>0</v>
      </c>
      <c r="P801" t="n">
        <v>0</v>
      </c>
      <c r="Q801" t="n">
        <v>0</v>
      </c>
      <c r="R801" s="2" t="inlineStr"/>
    </row>
    <row r="802" ht="15" customHeight="1">
      <c r="A802" t="inlineStr">
        <is>
          <t>A 22816-2021</t>
        </is>
      </c>
      <c r="B802" s="1" t="n">
        <v>44325</v>
      </c>
      <c r="C802" s="1" t="n">
        <v>45940</v>
      </c>
      <c r="D802" t="inlineStr">
        <is>
          <t>STOCKHOLMS LÄN</t>
        </is>
      </c>
      <c r="E802" t="inlineStr">
        <is>
          <t>NORRTÄLJE</t>
        </is>
      </c>
      <c r="G802" t="n">
        <v>4.5</v>
      </c>
      <c r="H802" t="n">
        <v>0</v>
      </c>
      <c r="I802" t="n">
        <v>0</v>
      </c>
      <c r="J802" t="n">
        <v>0</v>
      </c>
      <c r="K802" t="n">
        <v>0</v>
      </c>
      <c r="L802" t="n">
        <v>0</v>
      </c>
      <c r="M802" t="n">
        <v>0</v>
      </c>
      <c r="N802" t="n">
        <v>0</v>
      </c>
      <c r="O802" t="n">
        <v>0</v>
      </c>
      <c r="P802" t="n">
        <v>0</v>
      </c>
      <c r="Q802" t="n">
        <v>0</v>
      </c>
      <c r="R802" s="2" t="inlineStr"/>
    </row>
    <row r="803" ht="15" customHeight="1">
      <c r="A803" t="inlineStr">
        <is>
          <t>A 59904-2023</t>
        </is>
      </c>
      <c r="B803" s="1" t="n">
        <v>45257</v>
      </c>
      <c r="C803" s="1" t="n">
        <v>45940</v>
      </c>
      <c r="D803" t="inlineStr">
        <is>
          <t>STOCKHOLMS LÄN</t>
        </is>
      </c>
      <c r="E803" t="inlineStr">
        <is>
          <t>NORRTÄLJE</t>
        </is>
      </c>
      <c r="G803" t="n">
        <v>17.4</v>
      </c>
      <c r="H803" t="n">
        <v>0</v>
      </c>
      <c r="I803" t="n">
        <v>0</v>
      </c>
      <c r="J803" t="n">
        <v>0</v>
      </c>
      <c r="K803" t="n">
        <v>0</v>
      </c>
      <c r="L803" t="n">
        <v>0</v>
      </c>
      <c r="M803" t="n">
        <v>0</v>
      </c>
      <c r="N803" t="n">
        <v>0</v>
      </c>
      <c r="O803" t="n">
        <v>0</v>
      </c>
      <c r="P803" t="n">
        <v>0</v>
      </c>
      <c r="Q803" t="n">
        <v>0</v>
      </c>
      <c r="R803" s="2" t="inlineStr"/>
    </row>
    <row r="804" ht="15" customHeight="1">
      <c r="A804" t="inlineStr">
        <is>
          <t>A 9914-2023</t>
        </is>
      </c>
      <c r="B804" s="1" t="n">
        <v>44985</v>
      </c>
      <c r="C804" s="1" t="n">
        <v>45940</v>
      </c>
      <c r="D804" t="inlineStr">
        <is>
          <t>STOCKHOLMS LÄN</t>
        </is>
      </c>
      <c r="E804" t="inlineStr">
        <is>
          <t>NORRTÄLJE</t>
        </is>
      </c>
      <c r="G804" t="n">
        <v>4.2</v>
      </c>
      <c r="H804" t="n">
        <v>0</v>
      </c>
      <c r="I804" t="n">
        <v>0</v>
      </c>
      <c r="J804" t="n">
        <v>0</v>
      </c>
      <c r="K804" t="n">
        <v>0</v>
      </c>
      <c r="L804" t="n">
        <v>0</v>
      </c>
      <c r="M804" t="n">
        <v>0</v>
      </c>
      <c r="N804" t="n">
        <v>0</v>
      </c>
      <c r="O804" t="n">
        <v>0</v>
      </c>
      <c r="P804" t="n">
        <v>0</v>
      </c>
      <c r="Q804" t="n">
        <v>0</v>
      </c>
      <c r="R804" s="2" t="inlineStr"/>
    </row>
    <row r="805" ht="15" customHeight="1">
      <c r="A805" t="inlineStr">
        <is>
          <t>A 14873-2025</t>
        </is>
      </c>
      <c r="B805" s="1" t="n">
        <v>45743.44953703704</v>
      </c>
      <c r="C805" s="1" t="n">
        <v>45940</v>
      </c>
      <c r="D805" t="inlineStr">
        <is>
          <t>STOCKHOLMS LÄN</t>
        </is>
      </c>
      <c r="E805" t="inlineStr">
        <is>
          <t>NORRTÄLJE</t>
        </is>
      </c>
      <c r="G805" t="n">
        <v>10.2</v>
      </c>
      <c r="H805" t="n">
        <v>0</v>
      </c>
      <c r="I805" t="n">
        <v>0</v>
      </c>
      <c r="J805" t="n">
        <v>0</v>
      </c>
      <c r="K805" t="n">
        <v>0</v>
      </c>
      <c r="L805" t="n">
        <v>0</v>
      </c>
      <c r="M805" t="n">
        <v>0</v>
      </c>
      <c r="N805" t="n">
        <v>0</v>
      </c>
      <c r="O805" t="n">
        <v>0</v>
      </c>
      <c r="P805" t="n">
        <v>0</v>
      </c>
      <c r="Q805" t="n">
        <v>0</v>
      </c>
      <c r="R805" s="2" t="inlineStr"/>
    </row>
    <row r="806" ht="15" customHeight="1">
      <c r="A806" t="inlineStr">
        <is>
          <t>A 34773-2022</t>
        </is>
      </c>
      <c r="B806" s="1" t="n">
        <v>44795</v>
      </c>
      <c r="C806" s="1" t="n">
        <v>45940</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33173-2024</t>
        </is>
      </c>
      <c r="B807" s="1" t="n">
        <v>45518</v>
      </c>
      <c r="C807" s="1" t="n">
        <v>45940</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11062-2024</t>
        </is>
      </c>
      <c r="B808" s="1" t="n">
        <v>45370</v>
      </c>
      <c r="C808" s="1" t="n">
        <v>45940</v>
      </c>
      <c r="D808" t="inlineStr">
        <is>
          <t>STOCKHOLMS LÄN</t>
        </is>
      </c>
      <c r="E808" t="inlineStr">
        <is>
          <t>NORRTÄLJE</t>
        </is>
      </c>
      <c r="G808" t="n">
        <v>3.2</v>
      </c>
      <c r="H808" t="n">
        <v>0</v>
      </c>
      <c r="I808" t="n">
        <v>0</v>
      </c>
      <c r="J808" t="n">
        <v>0</v>
      </c>
      <c r="K808" t="n">
        <v>0</v>
      </c>
      <c r="L808" t="n">
        <v>0</v>
      </c>
      <c r="M808" t="n">
        <v>0</v>
      </c>
      <c r="N808" t="n">
        <v>0</v>
      </c>
      <c r="O808" t="n">
        <v>0</v>
      </c>
      <c r="P808" t="n">
        <v>0</v>
      </c>
      <c r="Q808" t="n">
        <v>0</v>
      </c>
      <c r="R808" s="2" t="inlineStr"/>
    </row>
    <row r="809" ht="15" customHeight="1">
      <c r="A809" t="inlineStr">
        <is>
          <t>A 33552-2025</t>
        </is>
      </c>
      <c r="B809" s="1" t="n">
        <v>45841.5737962963</v>
      </c>
      <c r="C809" s="1" t="n">
        <v>45940</v>
      </c>
      <c r="D809" t="inlineStr">
        <is>
          <t>STOCKHOLMS LÄN</t>
        </is>
      </c>
      <c r="E809" t="inlineStr">
        <is>
          <t>NORRTÄLJE</t>
        </is>
      </c>
      <c r="G809" t="n">
        <v>8.9</v>
      </c>
      <c r="H809" t="n">
        <v>0</v>
      </c>
      <c r="I809" t="n">
        <v>0</v>
      </c>
      <c r="J809" t="n">
        <v>0</v>
      </c>
      <c r="K809" t="n">
        <v>0</v>
      </c>
      <c r="L809" t="n">
        <v>0</v>
      </c>
      <c r="M809" t="n">
        <v>0</v>
      </c>
      <c r="N809" t="n">
        <v>0</v>
      </c>
      <c r="O809" t="n">
        <v>0</v>
      </c>
      <c r="P809" t="n">
        <v>0</v>
      </c>
      <c r="Q809" t="n">
        <v>0</v>
      </c>
      <c r="R809" s="2" t="inlineStr"/>
    </row>
    <row r="810" ht="15" customHeight="1">
      <c r="A810" t="inlineStr">
        <is>
          <t>A 33336-2025</t>
        </is>
      </c>
      <c r="B810" s="1" t="n">
        <v>45841.35611111111</v>
      </c>
      <c r="C810" s="1" t="n">
        <v>45940</v>
      </c>
      <c r="D810" t="inlineStr">
        <is>
          <t>STOCKHOLMS LÄN</t>
        </is>
      </c>
      <c r="E810" t="inlineStr">
        <is>
          <t>NORRTÄLJE</t>
        </is>
      </c>
      <c r="G810" t="n">
        <v>2.4</v>
      </c>
      <c r="H810" t="n">
        <v>0</v>
      </c>
      <c r="I810" t="n">
        <v>0</v>
      </c>
      <c r="J810" t="n">
        <v>0</v>
      </c>
      <c r="K810" t="n">
        <v>0</v>
      </c>
      <c r="L810" t="n">
        <v>0</v>
      </c>
      <c r="M810" t="n">
        <v>0</v>
      </c>
      <c r="N810" t="n">
        <v>0</v>
      </c>
      <c r="O810" t="n">
        <v>0</v>
      </c>
      <c r="P810" t="n">
        <v>0</v>
      </c>
      <c r="Q810" t="n">
        <v>0</v>
      </c>
      <c r="R810" s="2" t="inlineStr"/>
    </row>
    <row r="811" ht="15" customHeight="1">
      <c r="A811" t="inlineStr">
        <is>
          <t>A 33824-2025</t>
        </is>
      </c>
      <c r="B811" s="1" t="n">
        <v>45842.46885416667</v>
      </c>
      <c r="C811" s="1" t="n">
        <v>45940</v>
      </c>
      <c r="D811" t="inlineStr">
        <is>
          <t>STOCKHOLMS LÄN</t>
        </is>
      </c>
      <c r="E811" t="inlineStr">
        <is>
          <t>NORRTÄLJE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33569-2023</t>
        </is>
      </c>
      <c r="B812" s="1" t="n">
        <v>45131.666875</v>
      </c>
      <c r="C812" s="1" t="n">
        <v>45940</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15905-2023</t>
        </is>
      </c>
      <c r="B813" s="1" t="n">
        <v>45022</v>
      </c>
      <c r="C813" s="1" t="n">
        <v>45940</v>
      </c>
      <c r="D813" t="inlineStr">
        <is>
          <t>STOCKHOLMS LÄN</t>
        </is>
      </c>
      <c r="E813" t="inlineStr">
        <is>
          <t>NORRTÄLJE</t>
        </is>
      </c>
      <c r="G813" t="n">
        <v>3.2</v>
      </c>
      <c r="H813" t="n">
        <v>0</v>
      </c>
      <c r="I813" t="n">
        <v>0</v>
      </c>
      <c r="J813" t="n">
        <v>0</v>
      </c>
      <c r="K813" t="n">
        <v>0</v>
      </c>
      <c r="L813" t="n">
        <v>0</v>
      </c>
      <c r="M813" t="n">
        <v>0</v>
      </c>
      <c r="N813" t="n">
        <v>0</v>
      </c>
      <c r="O813" t="n">
        <v>0</v>
      </c>
      <c r="P813" t="n">
        <v>0</v>
      </c>
      <c r="Q813" t="n">
        <v>0</v>
      </c>
      <c r="R813" s="2" t="inlineStr"/>
    </row>
    <row r="814" ht="15" customHeight="1">
      <c r="A814" t="inlineStr">
        <is>
          <t>A 4484-2025</t>
        </is>
      </c>
      <c r="B814" s="1" t="n">
        <v>45686.65545138889</v>
      </c>
      <c r="C814" s="1" t="n">
        <v>45940</v>
      </c>
      <c r="D814" t="inlineStr">
        <is>
          <t>STOCKHOLMS LÄN</t>
        </is>
      </c>
      <c r="E814" t="inlineStr">
        <is>
          <t>NORRTÄLJE</t>
        </is>
      </c>
      <c r="G814" t="n">
        <v>1.9</v>
      </c>
      <c r="H814" t="n">
        <v>0</v>
      </c>
      <c r="I814" t="n">
        <v>0</v>
      </c>
      <c r="J814" t="n">
        <v>0</v>
      </c>
      <c r="K814" t="n">
        <v>0</v>
      </c>
      <c r="L814" t="n">
        <v>0</v>
      </c>
      <c r="M814" t="n">
        <v>0</v>
      </c>
      <c r="N814" t="n">
        <v>0</v>
      </c>
      <c r="O814" t="n">
        <v>0</v>
      </c>
      <c r="P814" t="n">
        <v>0</v>
      </c>
      <c r="Q814" t="n">
        <v>0</v>
      </c>
      <c r="R814" s="2" t="inlineStr"/>
    </row>
    <row r="815" ht="15" customHeight="1">
      <c r="A815" t="inlineStr">
        <is>
          <t>A 33878-2024</t>
        </is>
      </c>
      <c r="B815" s="1" t="n">
        <v>45522.44414351852</v>
      </c>
      <c r="C815" s="1" t="n">
        <v>45940</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9246-2024</t>
        </is>
      </c>
      <c r="B816" s="1" t="n">
        <v>45357</v>
      </c>
      <c r="C816" s="1" t="n">
        <v>45940</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35698-2023</t>
        </is>
      </c>
      <c r="B817" s="1" t="n">
        <v>45147</v>
      </c>
      <c r="C817" s="1" t="n">
        <v>45940</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62398-2022</t>
        </is>
      </c>
      <c r="B818" s="1" t="n">
        <v>44923.90159722222</v>
      </c>
      <c r="C818" s="1" t="n">
        <v>45940</v>
      </c>
      <c r="D818" t="inlineStr">
        <is>
          <t>STOCKHOLMS LÄN</t>
        </is>
      </c>
      <c r="E818" t="inlineStr">
        <is>
          <t>NORRTÄLJE</t>
        </is>
      </c>
      <c r="G818" t="n">
        <v>4</v>
      </c>
      <c r="H818" t="n">
        <v>0</v>
      </c>
      <c r="I818" t="n">
        <v>0</v>
      </c>
      <c r="J818" t="n">
        <v>0</v>
      </c>
      <c r="K818" t="n">
        <v>0</v>
      </c>
      <c r="L818" t="n">
        <v>0</v>
      </c>
      <c r="M818" t="n">
        <v>0</v>
      </c>
      <c r="N818" t="n">
        <v>0</v>
      </c>
      <c r="O818" t="n">
        <v>0</v>
      </c>
      <c r="P818" t="n">
        <v>0</v>
      </c>
      <c r="Q818" t="n">
        <v>0</v>
      </c>
      <c r="R818" s="2" t="inlineStr"/>
    </row>
    <row r="819" ht="15" customHeight="1">
      <c r="A819" t="inlineStr">
        <is>
          <t>A 49700-2023</t>
        </is>
      </c>
      <c r="B819" s="1" t="n">
        <v>45212</v>
      </c>
      <c r="C819" s="1" t="n">
        <v>45940</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15956-2023</t>
        </is>
      </c>
      <c r="B820" s="1" t="n">
        <v>45022.61003472222</v>
      </c>
      <c r="C820" s="1" t="n">
        <v>45940</v>
      </c>
      <c r="D820" t="inlineStr">
        <is>
          <t>STOCKHOLMS LÄN</t>
        </is>
      </c>
      <c r="E820" t="inlineStr">
        <is>
          <t>NORRTÄLJE</t>
        </is>
      </c>
      <c r="G820" t="n">
        <v>2.3</v>
      </c>
      <c r="H820" t="n">
        <v>0</v>
      </c>
      <c r="I820" t="n">
        <v>0</v>
      </c>
      <c r="J820" t="n">
        <v>0</v>
      </c>
      <c r="K820" t="n">
        <v>0</v>
      </c>
      <c r="L820" t="n">
        <v>0</v>
      </c>
      <c r="M820" t="n">
        <v>0</v>
      </c>
      <c r="N820" t="n">
        <v>0</v>
      </c>
      <c r="O820" t="n">
        <v>0</v>
      </c>
      <c r="P820" t="n">
        <v>0</v>
      </c>
      <c r="Q820" t="n">
        <v>0</v>
      </c>
      <c r="R820" s="2" t="inlineStr"/>
    </row>
    <row r="821" ht="15" customHeight="1">
      <c r="A821" t="inlineStr">
        <is>
          <t>A 34006-2025</t>
        </is>
      </c>
      <c r="B821" s="1" t="n">
        <v>45844.62609953704</v>
      </c>
      <c r="C821" s="1" t="n">
        <v>45940</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34139-2025</t>
        </is>
      </c>
      <c r="B822" s="1" t="n">
        <v>45845</v>
      </c>
      <c r="C822" s="1" t="n">
        <v>45940</v>
      </c>
      <c r="D822" t="inlineStr">
        <is>
          <t>STOCKHOLMS LÄN</t>
        </is>
      </c>
      <c r="E822" t="inlineStr">
        <is>
          <t>NORRTÄLJE</t>
        </is>
      </c>
      <c r="G822" t="n">
        <v>5.5</v>
      </c>
      <c r="H822" t="n">
        <v>0</v>
      </c>
      <c r="I822" t="n">
        <v>0</v>
      </c>
      <c r="J822" t="n">
        <v>0</v>
      </c>
      <c r="K822" t="n">
        <v>0</v>
      </c>
      <c r="L822" t="n">
        <v>0</v>
      </c>
      <c r="M822" t="n">
        <v>0</v>
      </c>
      <c r="N822" t="n">
        <v>0</v>
      </c>
      <c r="O822" t="n">
        <v>0</v>
      </c>
      <c r="P822" t="n">
        <v>0</v>
      </c>
      <c r="Q822" t="n">
        <v>0</v>
      </c>
      <c r="R822" s="2" t="inlineStr"/>
    </row>
    <row r="823" ht="15" customHeight="1">
      <c r="A823" t="inlineStr">
        <is>
          <t>A 32071-2023</t>
        </is>
      </c>
      <c r="B823" s="1" t="n">
        <v>45119.57728009259</v>
      </c>
      <c r="C823" s="1" t="n">
        <v>45940</v>
      </c>
      <c r="D823" t="inlineStr">
        <is>
          <t>STOCKHOLMS LÄN</t>
        </is>
      </c>
      <c r="E823" t="inlineStr">
        <is>
          <t>NORRTÄLJE</t>
        </is>
      </c>
      <c r="G823" t="n">
        <v>6.5</v>
      </c>
      <c r="H823" t="n">
        <v>0</v>
      </c>
      <c r="I823" t="n">
        <v>0</v>
      </c>
      <c r="J823" t="n">
        <v>0</v>
      </c>
      <c r="K823" t="n">
        <v>0</v>
      </c>
      <c r="L823" t="n">
        <v>0</v>
      </c>
      <c r="M823" t="n">
        <v>0</v>
      </c>
      <c r="N823" t="n">
        <v>0</v>
      </c>
      <c r="O823" t="n">
        <v>0</v>
      </c>
      <c r="P823" t="n">
        <v>0</v>
      </c>
      <c r="Q823" t="n">
        <v>0</v>
      </c>
      <c r="R823" s="2" t="inlineStr"/>
    </row>
    <row r="824" ht="15" customHeight="1">
      <c r="A824" t="inlineStr">
        <is>
          <t>A 1425-2025</t>
        </is>
      </c>
      <c r="B824" s="1" t="n">
        <v>45668.67446759259</v>
      </c>
      <c r="C824" s="1" t="n">
        <v>45940</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17775-2022</t>
        </is>
      </c>
      <c r="B825" s="1" t="n">
        <v>44682.78430555556</v>
      </c>
      <c r="C825" s="1" t="n">
        <v>45940</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34010-2025</t>
        </is>
      </c>
      <c r="B826" s="1" t="n">
        <v>45844.91234953704</v>
      </c>
      <c r="C826" s="1" t="n">
        <v>45940</v>
      </c>
      <c r="D826" t="inlineStr">
        <is>
          <t>STOCKHOLMS LÄN</t>
        </is>
      </c>
      <c r="E826" t="inlineStr">
        <is>
          <t>NORRTÄLJE</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47626-2022</t>
        </is>
      </c>
      <c r="B827" s="1" t="n">
        <v>44854</v>
      </c>
      <c r="C827" s="1" t="n">
        <v>45940</v>
      </c>
      <c r="D827" t="inlineStr">
        <is>
          <t>STOCKHOLMS LÄN</t>
        </is>
      </c>
      <c r="E827" t="inlineStr">
        <is>
          <t>NORRTÄLJE</t>
        </is>
      </c>
      <c r="G827" t="n">
        <v>2</v>
      </c>
      <c r="H827" t="n">
        <v>0</v>
      </c>
      <c r="I827" t="n">
        <v>0</v>
      </c>
      <c r="J827" t="n">
        <v>0</v>
      </c>
      <c r="K827" t="n">
        <v>0</v>
      </c>
      <c r="L827" t="n">
        <v>0</v>
      </c>
      <c r="M827" t="n">
        <v>0</v>
      </c>
      <c r="N827" t="n">
        <v>0</v>
      </c>
      <c r="O827" t="n">
        <v>0</v>
      </c>
      <c r="P827" t="n">
        <v>0</v>
      </c>
      <c r="Q827" t="n">
        <v>0</v>
      </c>
      <c r="R827" s="2" t="inlineStr"/>
    </row>
    <row r="828" ht="15" customHeight="1">
      <c r="A828" t="inlineStr">
        <is>
          <t>A 38720-2022</t>
        </is>
      </c>
      <c r="B828" s="1" t="n">
        <v>44815.74539351852</v>
      </c>
      <c r="C828" s="1" t="n">
        <v>45940</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10215-2023</t>
        </is>
      </c>
      <c r="B829" s="1" t="n">
        <v>44986.5887962963</v>
      </c>
      <c r="C829" s="1" t="n">
        <v>45940</v>
      </c>
      <c r="D829" t="inlineStr">
        <is>
          <t>STOCKHOLMS LÄN</t>
        </is>
      </c>
      <c r="E829" t="inlineStr">
        <is>
          <t>NORRTÄLJE</t>
        </is>
      </c>
      <c r="G829" t="n">
        <v>6.5</v>
      </c>
      <c r="H829" t="n">
        <v>0</v>
      </c>
      <c r="I829" t="n">
        <v>0</v>
      </c>
      <c r="J829" t="n">
        <v>0</v>
      </c>
      <c r="K829" t="n">
        <v>0</v>
      </c>
      <c r="L829" t="n">
        <v>0</v>
      </c>
      <c r="M829" t="n">
        <v>0</v>
      </c>
      <c r="N829" t="n">
        <v>0</v>
      </c>
      <c r="O829" t="n">
        <v>0</v>
      </c>
      <c r="P829" t="n">
        <v>0</v>
      </c>
      <c r="Q829" t="n">
        <v>0</v>
      </c>
      <c r="R829" s="2" t="inlineStr"/>
    </row>
    <row r="830" ht="15" customHeight="1">
      <c r="A830" t="inlineStr">
        <is>
          <t>A 62206-2022</t>
        </is>
      </c>
      <c r="B830" s="1" t="n">
        <v>44922</v>
      </c>
      <c r="C830" s="1" t="n">
        <v>45940</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36689-2023</t>
        </is>
      </c>
      <c r="B831" s="1" t="n">
        <v>45152</v>
      </c>
      <c r="C831" s="1" t="n">
        <v>45940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25609-2023</t>
        </is>
      </c>
      <c r="B832" s="1" t="n">
        <v>45089</v>
      </c>
      <c r="C832" s="1" t="n">
        <v>45940</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46073-2024</t>
        </is>
      </c>
      <c r="B833" s="1" t="n">
        <v>45581</v>
      </c>
      <c r="C833" s="1" t="n">
        <v>45940</v>
      </c>
      <c r="D833" t="inlineStr">
        <is>
          <t>STOCKHOLMS LÄN</t>
        </is>
      </c>
      <c r="E833" t="inlineStr">
        <is>
          <t>NORRTÄLJE</t>
        </is>
      </c>
      <c r="G833" t="n">
        <v>2</v>
      </c>
      <c r="H833" t="n">
        <v>0</v>
      </c>
      <c r="I833" t="n">
        <v>0</v>
      </c>
      <c r="J833" t="n">
        <v>0</v>
      </c>
      <c r="K833" t="n">
        <v>0</v>
      </c>
      <c r="L833" t="n">
        <v>0</v>
      </c>
      <c r="M833" t="n">
        <v>0</v>
      </c>
      <c r="N833" t="n">
        <v>0</v>
      </c>
      <c r="O833" t="n">
        <v>0</v>
      </c>
      <c r="P833" t="n">
        <v>0</v>
      </c>
      <c r="Q833" t="n">
        <v>0</v>
      </c>
      <c r="R833" s="2" t="inlineStr"/>
    </row>
    <row r="834" ht="15" customHeight="1">
      <c r="A834" t="inlineStr">
        <is>
          <t>A 20014-2025</t>
        </is>
      </c>
      <c r="B834" s="1" t="n">
        <v>45772.3078125</v>
      </c>
      <c r="C834" s="1" t="n">
        <v>45940</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20618-2022</t>
        </is>
      </c>
      <c r="B835" s="1" t="n">
        <v>44700.50659722222</v>
      </c>
      <c r="C835" s="1" t="n">
        <v>45940</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40192-2023</t>
        </is>
      </c>
      <c r="B836" s="1" t="n">
        <v>45169</v>
      </c>
      <c r="C836" s="1" t="n">
        <v>45940</v>
      </c>
      <c r="D836" t="inlineStr">
        <is>
          <t>STOCKHOLMS LÄN</t>
        </is>
      </c>
      <c r="E836" t="inlineStr">
        <is>
          <t>NORRTÄLJE</t>
        </is>
      </c>
      <c r="F836" t="inlineStr">
        <is>
          <t>Kyrkan</t>
        </is>
      </c>
      <c r="G836" t="n">
        <v>0.7</v>
      </c>
      <c r="H836" t="n">
        <v>0</v>
      </c>
      <c r="I836" t="n">
        <v>0</v>
      </c>
      <c r="J836" t="n">
        <v>0</v>
      </c>
      <c r="K836" t="n">
        <v>0</v>
      </c>
      <c r="L836" t="n">
        <v>0</v>
      </c>
      <c r="M836" t="n">
        <v>0</v>
      </c>
      <c r="N836" t="n">
        <v>0</v>
      </c>
      <c r="O836" t="n">
        <v>0</v>
      </c>
      <c r="P836" t="n">
        <v>0</v>
      </c>
      <c r="Q836" t="n">
        <v>0</v>
      </c>
      <c r="R836" s="2" t="inlineStr"/>
    </row>
    <row r="837" ht="15" customHeight="1">
      <c r="A837" t="inlineStr">
        <is>
          <t>A 20136-2025</t>
        </is>
      </c>
      <c r="B837" s="1" t="n">
        <v>45772.51127314815</v>
      </c>
      <c r="C837" s="1" t="n">
        <v>45940</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11900-2022</t>
        </is>
      </c>
      <c r="B838" s="1" t="n">
        <v>44635</v>
      </c>
      <c r="C838" s="1" t="n">
        <v>45940</v>
      </c>
      <c r="D838" t="inlineStr">
        <is>
          <t>STOCKHOLMS LÄN</t>
        </is>
      </c>
      <c r="E838" t="inlineStr">
        <is>
          <t>NORRTÄLJE</t>
        </is>
      </c>
      <c r="G838" t="n">
        <v>2.4</v>
      </c>
      <c r="H838" t="n">
        <v>0</v>
      </c>
      <c r="I838" t="n">
        <v>0</v>
      </c>
      <c r="J838" t="n">
        <v>0</v>
      </c>
      <c r="K838" t="n">
        <v>0</v>
      </c>
      <c r="L838" t="n">
        <v>0</v>
      </c>
      <c r="M838" t="n">
        <v>0</v>
      </c>
      <c r="N838" t="n">
        <v>0</v>
      </c>
      <c r="O838" t="n">
        <v>0</v>
      </c>
      <c r="P838" t="n">
        <v>0</v>
      </c>
      <c r="Q838" t="n">
        <v>0</v>
      </c>
      <c r="R838" s="2" t="inlineStr"/>
    </row>
    <row r="839" ht="15" customHeight="1">
      <c r="A839" t="inlineStr">
        <is>
          <t>A 10973-2025</t>
        </is>
      </c>
      <c r="B839" s="1" t="n">
        <v>45723</v>
      </c>
      <c r="C839" s="1" t="n">
        <v>45940</v>
      </c>
      <c r="D839" t="inlineStr">
        <is>
          <t>STOCKHOLMS LÄN</t>
        </is>
      </c>
      <c r="E839" t="inlineStr">
        <is>
          <t>NORRTÄLJE</t>
        </is>
      </c>
      <c r="F839" t="inlineStr">
        <is>
          <t>Övriga Aktiebolag</t>
        </is>
      </c>
      <c r="G839" t="n">
        <v>2.7</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44743.67418981482</v>
      </c>
      <c r="C840" s="1" t="n">
        <v>45940</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39610-2025</t>
        </is>
      </c>
      <c r="B841" s="1" t="n">
        <v>45890.56001157407</v>
      </c>
      <c r="C841" s="1" t="n">
        <v>45940</v>
      </c>
      <c r="D841" t="inlineStr">
        <is>
          <t>STOCKHOLMS LÄN</t>
        </is>
      </c>
      <c r="E841" t="inlineStr">
        <is>
          <t>NORRTÄLJE</t>
        </is>
      </c>
      <c r="G841" t="n">
        <v>28.6</v>
      </c>
      <c r="H841" t="n">
        <v>0</v>
      </c>
      <c r="I841" t="n">
        <v>0</v>
      </c>
      <c r="J841" t="n">
        <v>0</v>
      </c>
      <c r="K841" t="n">
        <v>0</v>
      </c>
      <c r="L841" t="n">
        <v>0</v>
      </c>
      <c r="M841" t="n">
        <v>0</v>
      </c>
      <c r="N841" t="n">
        <v>0</v>
      </c>
      <c r="O841" t="n">
        <v>0</v>
      </c>
      <c r="P841" t="n">
        <v>0</v>
      </c>
      <c r="Q841" t="n">
        <v>0</v>
      </c>
      <c r="R841" s="2" t="inlineStr"/>
    </row>
    <row r="842" ht="15" customHeight="1">
      <c r="A842" t="inlineStr">
        <is>
          <t>A 15733-2025</t>
        </is>
      </c>
      <c r="B842" s="1" t="n">
        <v>45748</v>
      </c>
      <c r="C842" s="1" t="n">
        <v>45940</v>
      </c>
      <c r="D842" t="inlineStr">
        <is>
          <t>STOCKHOLMS LÄN</t>
        </is>
      </c>
      <c r="E842" t="inlineStr">
        <is>
          <t>NORRTÄLJE</t>
        </is>
      </c>
      <c r="G842" t="n">
        <v>13.3</v>
      </c>
      <c r="H842" t="n">
        <v>0</v>
      </c>
      <c r="I842" t="n">
        <v>0</v>
      </c>
      <c r="J842" t="n">
        <v>0</v>
      </c>
      <c r="K842" t="n">
        <v>0</v>
      </c>
      <c r="L842" t="n">
        <v>0</v>
      </c>
      <c r="M842" t="n">
        <v>0</v>
      </c>
      <c r="N842" t="n">
        <v>0</v>
      </c>
      <c r="O842" t="n">
        <v>0</v>
      </c>
      <c r="P842" t="n">
        <v>0</v>
      </c>
      <c r="Q842" t="n">
        <v>0</v>
      </c>
      <c r="R842" s="2" t="inlineStr"/>
    </row>
    <row r="843" ht="15" customHeight="1">
      <c r="A843" t="inlineStr">
        <is>
          <t>A 2287-2024</t>
        </is>
      </c>
      <c r="B843" s="1" t="n">
        <v>45310</v>
      </c>
      <c r="C843" s="1" t="n">
        <v>45940</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13785-2024</t>
        </is>
      </c>
      <c r="B844" s="1" t="n">
        <v>45391.3395949074</v>
      </c>
      <c r="C844" s="1" t="n">
        <v>45940</v>
      </c>
      <c r="D844" t="inlineStr">
        <is>
          <t>STOCKHOLMS LÄN</t>
        </is>
      </c>
      <c r="E844" t="inlineStr">
        <is>
          <t>NORRTÄLJE</t>
        </is>
      </c>
      <c r="G844" t="n">
        <v>5</v>
      </c>
      <c r="H844" t="n">
        <v>0</v>
      </c>
      <c r="I844" t="n">
        <v>0</v>
      </c>
      <c r="J844" t="n">
        <v>0</v>
      </c>
      <c r="K844" t="n">
        <v>0</v>
      </c>
      <c r="L844" t="n">
        <v>0</v>
      </c>
      <c r="M844" t="n">
        <v>0</v>
      </c>
      <c r="N844" t="n">
        <v>0</v>
      </c>
      <c r="O844" t="n">
        <v>0</v>
      </c>
      <c r="P844" t="n">
        <v>0</v>
      </c>
      <c r="Q844" t="n">
        <v>0</v>
      </c>
      <c r="R844" s="2" t="inlineStr"/>
    </row>
    <row r="845" ht="15" customHeight="1">
      <c r="A845" t="inlineStr">
        <is>
          <t>A 50469-2022</t>
        </is>
      </c>
      <c r="B845" s="1" t="n">
        <v>44866.49827546296</v>
      </c>
      <c r="C845" s="1" t="n">
        <v>45940</v>
      </c>
      <c r="D845" t="inlineStr">
        <is>
          <t>STOCKHOLMS LÄN</t>
        </is>
      </c>
      <c r="E845" t="inlineStr">
        <is>
          <t>NORRTÄLJE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51116-2022</t>
        </is>
      </c>
      <c r="B846" s="1" t="n">
        <v>44868.45741898148</v>
      </c>
      <c r="C846" s="1" t="n">
        <v>45940</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60217-2021</t>
        </is>
      </c>
      <c r="B847" s="1" t="n">
        <v>44495.5893287037</v>
      </c>
      <c r="C847" s="1" t="n">
        <v>45940</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5839-2023</t>
        </is>
      </c>
      <c r="B848" s="1" t="n">
        <v>44963</v>
      </c>
      <c r="C848" s="1" t="n">
        <v>45940</v>
      </c>
      <c r="D848" t="inlineStr">
        <is>
          <t>STOCKHOLMS LÄN</t>
        </is>
      </c>
      <c r="E848" t="inlineStr">
        <is>
          <t>NORRTÄLJE</t>
        </is>
      </c>
      <c r="G848" t="n">
        <v>3.6</v>
      </c>
      <c r="H848" t="n">
        <v>0</v>
      </c>
      <c r="I848" t="n">
        <v>0</v>
      </c>
      <c r="J848" t="n">
        <v>0</v>
      </c>
      <c r="K848" t="n">
        <v>0</v>
      </c>
      <c r="L848" t="n">
        <v>0</v>
      </c>
      <c r="M848" t="n">
        <v>0</v>
      </c>
      <c r="N848" t="n">
        <v>0</v>
      </c>
      <c r="O848" t="n">
        <v>0</v>
      </c>
      <c r="P848" t="n">
        <v>0</v>
      </c>
      <c r="Q848" t="n">
        <v>0</v>
      </c>
      <c r="R848" s="2" t="inlineStr"/>
    </row>
    <row r="849" ht="15" customHeight="1">
      <c r="A849" t="inlineStr">
        <is>
          <t>A 27677-2025</t>
        </is>
      </c>
      <c r="B849" s="1" t="n">
        <v>45813.63650462963</v>
      </c>
      <c r="C849" s="1" t="n">
        <v>45940</v>
      </c>
      <c r="D849" t="inlineStr">
        <is>
          <t>STOCKHOLMS LÄN</t>
        </is>
      </c>
      <c r="E849" t="inlineStr">
        <is>
          <t>NORRTÄLJE</t>
        </is>
      </c>
      <c r="G849" t="n">
        <v>2</v>
      </c>
      <c r="H849" t="n">
        <v>0</v>
      </c>
      <c r="I849" t="n">
        <v>0</v>
      </c>
      <c r="J849" t="n">
        <v>0</v>
      </c>
      <c r="K849" t="n">
        <v>0</v>
      </c>
      <c r="L849" t="n">
        <v>0</v>
      </c>
      <c r="M849" t="n">
        <v>0</v>
      </c>
      <c r="N849" t="n">
        <v>0</v>
      </c>
      <c r="O849" t="n">
        <v>0</v>
      </c>
      <c r="P849" t="n">
        <v>0</v>
      </c>
      <c r="Q849" t="n">
        <v>0</v>
      </c>
      <c r="R849" s="2" t="inlineStr"/>
    </row>
    <row r="850" ht="15" customHeight="1">
      <c r="A850" t="inlineStr">
        <is>
          <t>A 47497-2025</t>
        </is>
      </c>
      <c r="B850" s="1" t="n">
        <v>45930.80217592593</v>
      </c>
      <c r="C850" s="1" t="n">
        <v>45940</v>
      </c>
      <c r="D850" t="inlineStr">
        <is>
          <t>STOCKHOLMS LÄN</t>
        </is>
      </c>
      <c r="E850" t="inlineStr">
        <is>
          <t>NORRTÄLJE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39152-2025</t>
        </is>
      </c>
      <c r="B851" s="1" t="n">
        <v>45888</v>
      </c>
      <c r="C851" s="1" t="n">
        <v>45940</v>
      </c>
      <c r="D851" t="inlineStr">
        <is>
          <t>STOCKHOLMS LÄN</t>
        </is>
      </c>
      <c r="E851" t="inlineStr">
        <is>
          <t>NORRTÄLJE</t>
        </is>
      </c>
      <c r="G851" t="n">
        <v>4.6</v>
      </c>
      <c r="H851" t="n">
        <v>0</v>
      </c>
      <c r="I851" t="n">
        <v>0</v>
      </c>
      <c r="J851" t="n">
        <v>0</v>
      </c>
      <c r="K851" t="n">
        <v>0</v>
      </c>
      <c r="L851" t="n">
        <v>0</v>
      </c>
      <c r="M851" t="n">
        <v>0</v>
      </c>
      <c r="N851" t="n">
        <v>0</v>
      </c>
      <c r="O851" t="n">
        <v>0</v>
      </c>
      <c r="P851" t="n">
        <v>0</v>
      </c>
      <c r="Q851" t="n">
        <v>0</v>
      </c>
      <c r="R851" s="2" t="inlineStr"/>
    </row>
    <row r="852" ht="15" customHeight="1">
      <c r="A852" t="inlineStr">
        <is>
          <t>A 47212-2025</t>
        </is>
      </c>
      <c r="B852" s="1" t="n">
        <v>45930</v>
      </c>
      <c r="C852" s="1" t="n">
        <v>45940</v>
      </c>
      <c r="D852" t="inlineStr">
        <is>
          <t>STOCKHOLMS LÄN</t>
        </is>
      </c>
      <c r="E852" t="inlineStr">
        <is>
          <t>NORRTÄLJE</t>
        </is>
      </c>
      <c r="G852" t="n">
        <v>5.5</v>
      </c>
      <c r="H852" t="n">
        <v>0</v>
      </c>
      <c r="I852" t="n">
        <v>0</v>
      </c>
      <c r="J852" t="n">
        <v>0</v>
      </c>
      <c r="K852" t="n">
        <v>0</v>
      </c>
      <c r="L852" t="n">
        <v>0</v>
      </c>
      <c r="M852" t="n">
        <v>0</v>
      </c>
      <c r="N852" t="n">
        <v>0</v>
      </c>
      <c r="O852" t="n">
        <v>0</v>
      </c>
      <c r="P852" t="n">
        <v>0</v>
      </c>
      <c r="Q852" t="n">
        <v>0</v>
      </c>
      <c r="R852" s="2" t="inlineStr"/>
    </row>
    <row r="853" ht="15" customHeight="1">
      <c r="A853" t="inlineStr">
        <is>
          <t>A 60224-2023</t>
        </is>
      </c>
      <c r="B853" s="1" t="n">
        <v>45257</v>
      </c>
      <c r="C853" s="1" t="n">
        <v>45940</v>
      </c>
      <c r="D853" t="inlineStr">
        <is>
          <t>STOCKHOLMS LÄN</t>
        </is>
      </c>
      <c r="E853" t="inlineStr">
        <is>
          <t>NORRTÄLJE</t>
        </is>
      </c>
      <c r="G853" t="n">
        <v>8.1</v>
      </c>
      <c r="H853" t="n">
        <v>0</v>
      </c>
      <c r="I853" t="n">
        <v>0</v>
      </c>
      <c r="J853" t="n">
        <v>0</v>
      </c>
      <c r="K853" t="n">
        <v>0</v>
      </c>
      <c r="L853" t="n">
        <v>0</v>
      </c>
      <c r="M853" t="n">
        <v>0</v>
      </c>
      <c r="N853" t="n">
        <v>0</v>
      </c>
      <c r="O853" t="n">
        <v>0</v>
      </c>
      <c r="P853" t="n">
        <v>0</v>
      </c>
      <c r="Q853" t="n">
        <v>0</v>
      </c>
      <c r="R853" s="2" t="inlineStr"/>
    </row>
    <row r="854" ht="15" customHeight="1">
      <c r="A854" t="inlineStr">
        <is>
          <t>A 38985-2022</t>
        </is>
      </c>
      <c r="B854" s="1" t="n">
        <v>44816</v>
      </c>
      <c r="C854" s="1" t="n">
        <v>45940</v>
      </c>
      <c r="D854" t="inlineStr">
        <is>
          <t>STOCKHOLMS LÄN</t>
        </is>
      </c>
      <c r="E854" t="inlineStr">
        <is>
          <t>NORRTÄLJE</t>
        </is>
      </c>
      <c r="G854" t="n">
        <v>10.1</v>
      </c>
      <c r="H854" t="n">
        <v>0</v>
      </c>
      <c r="I854" t="n">
        <v>0</v>
      </c>
      <c r="J854" t="n">
        <v>0</v>
      </c>
      <c r="K854" t="n">
        <v>0</v>
      </c>
      <c r="L854" t="n">
        <v>0</v>
      </c>
      <c r="M854" t="n">
        <v>0</v>
      </c>
      <c r="N854" t="n">
        <v>0</v>
      </c>
      <c r="O854" t="n">
        <v>0</v>
      </c>
      <c r="P854" t="n">
        <v>0</v>
      </c>
      <c r="Q854" t="n">
        <v>0</v>
      </c>
      <c r="R854" s="2" t="inlineStr"/>
    </row>
    <row r="855" ht="15" customHeight="1">
      <c r="A855" t="inlineStr">
        <is>
          <t>A 5158-2024</t>
        </is>
      </c>
      <c r="B855" s="1" t="n">
        <v>45330.50098379629</v>
      </c>
      <c r="C855" s="1" t="n">
        <v>45940</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35256-2025</t>
        </is>
      </c>
      <c r="B856" s="1" t="n">
        <v>45853</v>
      </c>
      <c r="C856" s="1" t="n">
        <v>45940</v>
      </c>
      <c r="D856" t="inlineStr">
        <is>
          <t>STOCKHOLMS LÄN</t>
        </is>
      </c>
      <c r="E856" t="inlineStr">
        <is>
          <t>NORRTÄLJE</t>
        </is>
      </c>
      <c r="G856" t="n">
        <v>6.4</v>
      </c>
      <c r="H856" t="n">
        <v>0</v>
      </c>
      <c r="I856" t="n">
        <v>0</v>
      </c>
      <c r="J856" t="n">
        <v>0</v>
      </c>
      <c r="K856" t="n">
        <v>0</v>
      </c>
      <c r="L856" t="n">
        <v>0</v>
      </c>
      <c r="M856" t="n">
        <v>0</v>
      </c>
      <c r="N856" t="n">
        <v>0</v>
      </c>
      <c r="O856" t="n">
        <v>0</v>
      </c>
      <c r="P856" t="n">
        <v>0</v>
      </c>
      <c r="Q856" t="n">
        <v>0</v>
      </c>
      <c r="R856" s="2" t="inlineStr"/>
    </row>
    <row r="857" ht="15" customHeight="1">
      <c r="A857" t="inlineStr">
        <is>
          <t>A 35110-2025</t>
        </is>
      </c>
      <c r="B857" s="1" t="n">
        <v>45852.58030092593</v>
      </c>
      <c r="C857" s="1" t="n">
        <v>45940</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35254-2025</t>
        </is>
      </c>
      <c r="B858" s="1" t="n">
        <v>45853</v>
      </c>
      <c r="C858" s="1" t="n">
        <v>45940</v>
      </c>
      <c r="D858" t="inlineStr">
        <is>
          <t>STOCKHOLMS LÄN</t>
        </is>
      </c>
      <c r="E858" t="inlineStr">
        <is>
          <t>NORRTÄLJE</t>
        </is>
      </c>
      <c r="G858" t="n">
        <v>6.5</v>
      </c>
      <c r="H858" t="n">
        <v>0</v>
      </c>
      <c r="I858" t="n">
        <v>0</v>
      </c>
      <c r="J858" t="n">
        <v>0</v>
      </c>
      <c r="K858" t="n">
        <v>0</v>
      </c>
      <c r="L858" t="n">
        <v>0</v>
      </c>
      <c r="M858" t="n">
        <v>0</v>
      </c>
      <c r="N858" t="n">
        <v>0</v>
      </c>
      <c r="O858" t="n">
        <v>0</v>
      </c>
      <c r="P858" t="n">
        <v>0</v>
      </c>
      <c r="Q858" t="n">
        <v>0</v>
      </c>
      <c r="R858" s="2" t="inlineStr"/>
    </row>
    <row r="859" ht="15" customHeight="1">
      <c r="A859" t="inlineStr">
        <is>
          <t>A 5665-2025</t>
        </is>
      </c>
      <c r="B859" s="1" t="n">
        <v>45693</v>
      </c>
      <c r="C859" s="1" t="n">
        <v>45940</v>
      </c>
      <c r="D859" t="inlineStr">
        <is>
          <t>STOCKHOLMS LÄN</t>
        </is>
      </c>
      <c r="E859" t="inlineStr">
        <is>
          <t>NORRTÄLJE</t>
        </is>
      </c>
      <c r="G859" t="n">
        <v>4</v>
      </c>
      <c r="H859" t="n">
        <v>0</v>
      </c>
      <c r="I859" t="n">
        <v>0</v>
      </c>
      <c r="J859" t="n">
        <v>0</v>
      </c>
      <c r="K859" t="n">
        <v>0</v>
      </c>
      <c r="L859" t="n">
        <v>0</v>
      </c>
      <c r="M859" t="n">
        <v>0</v>
      </c>
      <c r="N859" t="n">
        <v>0</v>
      </c>
      <c r="O859" t="n">
        <v>0</v>
      </c>
      <c r="P859" t="n">
        <v>0</v>
      </c>
      <c r="Q859" t="n">
        <v>0</v>
      </c>
      <c r="R859" s="2" t="inlineStr"/>
    </row>
    <row r="860" ht="15" customHeight="1">
      <c r="A860" t="inlineStr">
        <is>
          <t>A 9130-2025</t>
        </is>
      </c>
      <c r="B860" s="1" t="n">
        <v>45713.92623842593</v>
      </c>
      <c r="C860" s="1" t="n">
        <v>45940</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39149-2025</t>
        </is>
      </c>
      <c r="B861" s="1" t="n">
        <v>45888.60714120371</v>
      </c>
      <c r="C861" s="1" t="n">
        <v>45940</v>
      </c>
      <c r="D861" t="inlineStr">
        <is>
          <t>STOCKHOLMS LÄN</t>
        </is>
      </c>
      <c r="E861" t="inlineStr">
        <is>
          <t>NORRTÄLJE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3426-2025</t>
        </is>
      </c>
      <c r="B862" s="1" t="n">
        <v>45680.42665509259</v>
      </c>
      <c r="C862" s="1" t="n">
        <v>45940</v>
      </c>
      <c r="D862" t="inlineStr">
        <is>
          <t>STOCKHOLMS LÄN</t>
        </is>
      </c>
      <c r="E862" t="inlineStr">
        <is>
          <t>NORRTÄLJE</t>
        </is>
      </c>
      <c r="G862" t="n">
        <v>3.2</v>
      </c>
      <c r="H862" t="n">
        <v>0</v>
      </c>
      <c r="I862" t="n">
        <v>0</v>
      </c>
      <c r="J862" t="n">
        <v>0</v>
      </c>
      <c r="K862" t="n">
        <v>0</v>
      </c>
      <c r="L862" t="n">
        <v>0</v>
      </c>
      <c r="M862" t="n">
        <v>0</v>
      </c>
      <c r="N862" t="n">
        <v>0</v>
      </c>
      <c r="O862" t="n">
        <v>0</v>
      </c>
      <c r="P862" t="n">
        <v>0</v>
      </c>
      <c r="Q862" t="n">
        <v>0</v>
      </c>
      <c r="R862" s="2" t="inlineStr"/>
    </row>
    <row r="863" ht="15" customHeight="1">
      <c r="A863" t="inlineStr">
        <is>
          <t>A 17551-2025</t>
        </is>
      </c>
      <c r="B863" s="1" t="n">
        <v>45757.61421296297</v>
      </c>
      <c r="C863" s="1" t="n">
        <v>45940</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35479-2025</t>
        </is>
      </c>
      <c r="B864" s="1" t="n">
        <v>45855.69387731481</v>
      </c>
      <c r="C864" s="1" t="n">
        <v>45940</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35451-2025</t>
        </is>
      </c>
      <c r="B865" s="1" t="n">
        <v>45855.57033564815</v>
      </c>
      <c r="C865" s="1" t="n">
        <v>45940</v>
      </c>
      <c r="D865" t="inlineStr">
        <is>
          <t>STOCKHOLMS LÄN</t>
        </is>
      </c>
      <c r="E865" t="inlineStr">
        <is>
          <t>NORRTÄLJE</t>
        </is>
      </c>
      <c r="F865" t="inlineStr">
        <is>
          <t>Holmen skog AB</t>
        </is>
      </c>
      <c r="G865" t="n">
        <v>7.4</v>
      </c>
      <c r="H865" t="n">
        <v>0</v>
      </c>
      <c r="I865" t="n">
        <v>0</v>
      </c>
      <c r="J865" t="n">
        <v>0</v>
      </c>
      <c r="K865" t="n">
        <v>0</v>
      </c>
      <c r="L865" t="n">
        <v>0</v>
      </c>
      <c r="M865" t="n">
        <v>0</v>
      </c>
      <c r="N865" t="n">
        <v>0</v>
      </c>
      <c r="O865" t="n">
        <v>0</v>
      </c>
      <c r="P865" t="n">
        <v>0</v>
      </c>
      <c r="Q865" t="n">
        <v>0</v>
      </c>
      <c r="R865" s="2" t="inlineStr"/>
    </row>
    <row r="866" ht="15" customHeight="1">
      <c r="A866" t="inlineStr">
        <is>
          <t>A 35478-2025</t>
        </is>
      </c>
      <c r="B866" s="1" t="n">
        <v>45855.68413194444</v>
      </c>
      <c r="C866" s="1" t="n">
        <v>45940</v>
      </c>
      <c r="D866" t="inlineStr">
        <is>
          <t>STOCKHOLMS LÄN</t>
        </is>
      </c>
      <c r="E866" t="inlineStr">
        <is>
          <t>NORRTÄLJE</t>
        </is>
      </c>
      <c r="F866" t="inlineStr">
        <is>
          <t>Holmen skog AB</t>
        </is>
      </c>
      <c r="G866" t="n">
        <v>2.7</v>
      </c>
      <c r="H866" t="n">
        <v>0</v>
      </c>
      <c r="I866" t="n">
        <v>0</v>
      </c>
      <c r="J866" t="n">
        <v>0</v>
      </c>
      <c r="K866" t="n">
        <v>0</v>
      </c>
      <c r="L866" t="n">
        <v>0</v>
      </c>
      <c r="M866" t="n">
        <v>0</v>
      </c>
      <c r="N866" t="n">
        <v>0</v>
      </c>
      <c r="O866" t="n">
        <v>0</v>
      </c>
      <c r="P866" t="n">
        <v>0</v>
      </c>
      <c r="Q866" t="n">
        <v>0</v>
      </c>
      <c r="R866" s="2" t="inlineStr"/>
    </row>
    <row r="867" ht="15" customHeight="1">
      <c r="A867" t="inlineStr">
        <is>
          <t>A 55010-2024</t>
        </is>
      </c>
      <c r="B867" s="1" t="n">
        <v>45621.34425925926</v>
      </c>
      <c r="C867" s="1" t="n">
        <v>45940</v>
      </c>
      <c r="D867" t="inlineStr">
        <is>
          <t>STOCKHOLMS LÄN</t>
        </is>
      </c>
      <c r="E867" t="inlineStr">
        <is>
          <t>NORRTÄLJE</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31105-2022</t>
        </is>
      </c>
      <c r="B868" s="1" t="n">
        <v>44769.66039351852</v>
      </c>
      <c r="C868" s="1" t="n">
        <v>45940</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41174-2025</t>
        </is>
      </c>
      <c r="B869" s="1" t="n">
        <v>45898.54921296296</v>
      </c>
      <c r="C869" s="1" t="n">
        <v>45940</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41158-2025</t>
        </is>
      </c>
      <c r="B870" s="1" t="n">
        <v>45898.5315625</v>
      </c>
      <c r="C870" s="1" t="n">
        <v>45940</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41053-2025</t>
        </is>
      </c>
      <c r="B871" s="1" t="n">
        <v>45898.40480324074</v>
      </c>
      <c r="C871" s="1" t="n">
        <v>45940</v>
      </c>
      <c r="D871" t="inlineStr">
        <is>
          <t>STOCKHOLMS LÄN</t>
        </is>
      </c>
      <c r="E871" t="inlineStr">
        <is>
          <t>NORRTÄLJE</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58530-2024</t>
        </is>
      </c>
      <c r="B872" s="1" t="n">
        <v>45635.44788194444</v>
      </c>
      <c r="C872" s="1" t="n">
        <v>45940</v>
      </c>
      <c r="D872" t="inlineStr">
        <is>
          <t>STOCKHOLMS LÄN</t>
        </is>
      </c>
      <c r="E872" t="inlineStr">
        <is>
          <t>NORRTÄLJE</t>
        </is>
      </c>
      <c r="G872" t="n">
        <v>4.5</v>
      </c>
      <c r="H872" t="n">
        <v>0</v>
      </c>
      <c r="I872" t="n">
        <v>0</v>
      </c>
      <c r="J872" t="n">
        <v>0</v>
      </c>
      <c r="K872" t="n">
        <v>0</v>
      </c>
      <c r="L872" t="n">
        <v>0</v>
      </c>
      <c r="M872" t="n">
        <v>0</v>
      </c>
      <c r="N872" t="n">
        <v>0</v>
      </c>
      <c r="O872" t="n">
        <v>0</v>
      </c>
      <c r="P872" t="n">
        <v>0</v>
      </c>
      <c r="Q872" t="n">
        <v>0</v>
      </c>
      <c r="R872" s="2" t="inlineStr"/>
    </row>
    <row r="873" ht="15" customHeight="1">
      <c r="A873" t="inlineStr">
        <is>
          <t>A 22421-2021</t>
        </is>
      </c>
      <c r="B873" s="1" t="n">
        <v>44326</v>
      </c>
      <c r="C873" s="1" t="n">
        <v>45940</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47498-2025</t>
        </is>
      </c>
      <c r="B874" s="1" t="n">
        <v>45930.8134375</v>
      </c>
      <c r="C874" s="1" t="n">
        <v>45940</v>
      </c>
      <c r="D874" t="inlineStr">
        <is>
          <t>STOCKHOLMS LÄN</t>
        </is>
      </c>
      <c r="E874" t="inlineStr">
        <is>
          <t>NORRTÄLJE</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47460-2025</t>
        </is>
      </c>
      <c r="B875" s="1" t="n">
        <v>45930.66012731481</v>
      </c>
      <c r="C875" s="1" t="n">
        <v>45940</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47496-2025</t>
        </is>
      </c>
      <c r="B876" s="1" t="n">
        <v>45930.79252314815</v>
      </c>
      <c r="C876" s="1" t="n">
        <v>45940</v>
      </c>
      <c r="D876" t="inlineStr">
        <is>
          <t>STOCKHOLMS LÄN</t>
        </is>
      </c>
      <c r="E876" t="inlineStr">
        <is>
          <t>NORRTÄLJE</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40761-2024</t>
        </is>
      </c>
      <c r="B877" s="1" t="n">
        <v>45558.46283564815</v>
      </c>
      <c r="C877" s="1" t="n">
        <v>45940</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41301-2025</t>
        </is>
      </c>
      <c r="B878" s="1" t="n">
        <v>45898.68826388889</v>
      </c>
      <c r="C878" s="1" t="n">
        <v>45940</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41030-2025</t>
        </is>
      </c>
      <c r="B879" s="1" t="n">
        <v>45898.37636574074</v>
      </c>
      <c r="C879" s="1" t="n">
        <v>45940</v>
      </c>
      <c r="D879" t="inlineStr">
        <is>
          <t>STOCKHOLMS LÄN</t>
        </is>
      </c>
      <c r="E879" t="inlineStr">
        <is>
          <t>NORRTÄLJE</t>
        </is>
      </c>
      <c r="F879" t="inlineStr">
        <is>
          <t>Holmen skog AB</t>
        </is>
      </c>
      <c r="G879" t="n">
        <v>2.6</v>
      </c>
      <c r="H879" t="n">
        <v>0</v>
      </c>
      <c r="I879" t="n">
        <v>0</v>
      </c>
      <c r="J879" t="n">
        <v>0</v>
      </c>
      <c r="K879" t="n">
        <v>0</v>
      </c>
      <c r="L879" t="n">
        <v>0</v>
      </c>
      <c r="M879" t="n">
        <v>0</v>
      </c>
      <c r="N879" t="n">
        <v>0</v>
      </c>
      <c r="O879" t="n">
        <v>0</v>
      </c>
      <c r="P879" t="n">
        <v>0</v>
      </c>
      <c r="Q879" t="n">
        <v>0</v>
      </c>
      <c r="R879" s="2" t="inlineStr"/>
    </row>
    <row r="880" ht="15" customHeight="1">
      <c r="A880" t="inlineStr">
        <is>
          <t>A 30620-2022</t>
        </is>
      </c>
      <c r="B880" s="1" t="n">
        <v>44763.40914351852</v>
      </c>
      <c r="C880" s="1" t="n">
        <v>45940</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41275-2025</t>
        </is>
      </c>
      <c r="B881" s="1" t="n">
        <v>45898.62625</v>
      </c>
      <c r="C881" s="1" t="n">
        <v>45940</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50113-2024</t>
        </is>
      </c>
      <c r="B882" s="1" t="n">
        <v>45600.411875</v>
      </c>
      <c r="C882" s="1" t="n">
        <v>45940</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28365-2022</t>
        </is>
      </c>
      <c r="B883" s="1" t="n">
        <v>44747</v>
      </c>
      <c r="C883" s="1" t="n">
        <v>45940</v>
      </c>
      <c r="D883" t="inlineStr">
        <is>
          <t>STOCKHOLMS LÄN</t>
        </is>
      </c>
      <c r="E883" t="inlineStr">
        <is>
          <t>NORRTÄLJE</t>
        </is>
      </c>
      <c r="G883" t="n">
        <v>5.1</v>
      </c>
      <c r="H883" t="n">
        <v>0</v>
      </c>
      <c r="I883" t="n">
        <v>0</v>
      </c>
      <c r="J883" t="n">
        <v>0</v>
      </c>
      <c r="K883" t="n">
        <v>0</v>
      </c>
      <c r="L883" t="n">
        <v>0</v>
      </c>
      <c r="M883" t="n">
        <v>0</v>
      </c>
      <c r="N883" t="n">
        <v>0</v>
      </c>
      <c r="O883" t="n">
        <v>0</v>
      </c>
      <c r="P883" t="n">
        <v>0</v>
      </c>
      <c r="Q883" t="n">
        <v>0</v>
      </c>
      <c r="R883" s="2" t="inlineStr"/>
    </row>
    <row r="884" ht="15" customHeight="1">
      <c r="A884" t="inlineStr">
        <is>
          <t>A 41106-2025</t>
        </is>
      </c>
      <c r="B884" s="1" t="n">
        <v>45898.45636574074</v>
      </c>
      <c r="C884" s="1" t="n">
        <v>45940</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41036-2025</t>
        </is>
      </c>
      <c r="B885" s="1" t="n">
        <v>45898.38552083333</v>
      </c>
      <c r="C885" s="1" t="n">
        <v>45940</v>
      </c>
      <c r="D885" t="inlineStr">
        <is>
          <t>STOCKHOLMS LÄN</t>
        </is>
      </c>
      <c r="E885" t="inlineStr">
        <is>
          <t>NORRTÄLJE</t>
        </is>
      </c>
      <c r="F885" t="inlineStr">
        <is>
          <t>Holmen skog AB</t>
        </is>
      </c>
      <c r="G885" t="n">
        <v>2.7</v>
      </c>
      <c r="H885" t="n">
        <v>0</v>
      </c>
      <c r="I885" t="n">
        <v>0</v>
      </c>
      <c r="J885" t="n">
        <v>0</v>
      </c>
      <c r="K885" t="n">
        <v>0</v>
      </c>
      <c r="L885" t="n">
        <v>0</v>
      </c>
      <c r="M885" t="n">
        <v>0</v>
      </c>
      <c r="N885" t="n">
        <v>0</v>
      </c>
      <c r="O885" t="n">
        <v>0</v>
      </c>
      <c r="P885" t="n">
        <v>0</v>
      </c>
      <c r="Q885" t="n">
        <v>0</v>
      </c>
      <c r="R885" s="2" t="inlineStr"/>
    </row>
    <row r="886" ht="15" customHeight="1">
      <c r="A886" t="inlineStr">
        <is>
          <t>A 39692-2025</t>
        </is>
      </c>
      <c r="B886" s="1" t="n">
        <v>45890.68083333333</v>
      </c>
      <c r="C886" s="1" t="n">
        <v>45940</v>
      </c>
      <c r="D886" t="inlineStr">
        <is>
          <t>STOCKHOLMS LÄN</t>
        </is>
      </c>
      <c r="E886" t="inlineStr">
        <is>
          <t>NORRTÄLJE</t>
        </is>
      </c>
      <c r="G886" t="n">
        <v>10.5</v>
      </c>
      <c r="H886" t="n">
        <v>0</v>
      </c>
      <c r="I886" t="n">
        <v>0</v>
      </c>
      <c r="J886" t="n">
        <v>0</v>
      </c>
      <c r="K886" t="n">
        <v>0</v>
      </c>
      <c r="L886" t="n">
        <v>0</v>
      </c>
      <c r="M886" t="n">
        <v>0</v>
      </c>
      <c r="N886" t="n">
        <v>0</v>
      </c>
      <c r="O886" t="n">
        <v>0</v>
      </c>
      <c r="P886" t="n">
        <v>0</v>
      </c>
      <c r="Q886" t="n">
        <v>0</v>
      </c>
      <c r="R886" s="2" t="inlineStr"/>
    </row>
    <row r="887" ht="15" customHeight="1">
      <c r="A887" t="inlineStr">
        <is>
          <t>A 41110-2025</t>
        </is>
      </c>
      <c r="B887" s="1" t="n">
        <v>45898.45976851852</v>
      </c>
      <c r="C887" s="1" t="n">
        <v>45940</v>
      </c>
      <c r="D887" t="inlineStr">
        <is>
          <t>STOCKHOLMS LÄN</t>
        </is>
      </c>
      <c r="E887" t="inlineStr">
        <is>
          <t>NORRTÄLJE</t>
        </is>
      </c>
      <c r="F887" t="inlineStr">
        <is>
          <t>Holmen skog AB</t>
        </is>
      </c>
      <c r="G887" t="n">
        <v>6.7</v>
      </c>
      <c r="H887" t="n">
        <v>0</v>
      </c>
      <c r="I887" t="n">
        <v>0</v>
      </c>
      <c r="J887" t="n">
        <v>0</v>
      </c>
      <c r="K887" t="n">
        <v>0</v>
      </c>
      <c r="L887" t="n">
        <v>0</v>
      </c>
      <c r="M887" t="n">
        <v>0</v>
      </c>
      <c r="N887" t="n">
        <v>0</v>
      </c>
      <c r="O887" t="n">
        <v>0</v>
      </c>
      <c r="P887" t="n">
        <v>0</v>
      </c>
      <c r="Q887" t="n">
        <v>0</v>
      </c>
      <c r="R887" s="2" t="inlineStr"/>
    </row>
    <row r="888" ht="15" customHeight="1">
      <c r="A888" t="inlineStr">
        <is>
          <t>A 42955-2022</t>
        </is>
      </c>
      <c r="B888" s="1" t="n">
        <v>44833.40876157407</v>
      </c>
      <c r="C888" s="1" t="n">
        <v>45940</v>
      </c>
      <c r="D888" t="inlineStr">
        <is>
          <t>STOCKHOLMS LÄN</t>
        </is>
      </c>
      <c r="E888" t="inlineStr">
        <is>
          <t>NORRTÄLJE</t>
        </is>
      </c>
      <c r="G888" t="n">
        <v>13.1</v>
      </c>
      <c r="H888" t="n">
        <v>0</v>
      </c>
      <c r="I888" t="n">
        <v>0</v>
      </c>
      <c r="J888" t="n">
        <v>0</v>
      </c>
      <c r="K888" t="n">
        <v>0</v>
      </c>
      <c r="L888" t="n">
        <v>0</v>
      </c>
      <c r="M888" t="n">
        <v>0</v>
      </c>
      <c r="N888" t="n">
        <v>0</v>
      </c>
      <c r="O888" t="n">
        <v>0</v>
      </c>
      <c r="P888" t="n">
        <v>0</v>
      </c>
      <c r="Q888" t="n">
        <v>0</v>
      </c>
      <c r="R888" s="2" t="inlineStr"/>
    </row>
    <row r="889" ht="15" customHeight="1">
      <c r="A889" t="inlineStr">
        <is>
          <t>A 47951-2025</t>
        </is>
      </c>
      <c r="B889" s="1" t="n">
        <v>45932.58491898148</v>
      </c>
      <c r="C889" s="1" t="n">
        <v>45940</v>
      </c>
      <c r="D889" t="inlineStr">
        <is>
          <t>STOCKHOLMS LÄN</t>
        </is>
      </c>
      <c r="E889" t="inlineStr">
        <is>
          <t>NORRTÄLJE</t>
        </is>
      </c>
      <c r="G889" t="n">
        <v>21.4</v>
      </c>
      <c r="H889" t="n">
        <v>0</v>
      </c>
      <c r="I889" t="n">
        <v>0</v>
      </c>
      <c r="J889" t="n">
        <v>0</v>
      </c>
      <c r="K889" t="n">
        <v>0</v>
      </c>
      <c r="L889" t="n">
        <v>0</v>
      </c>
      <c r="M889" t="n">
        <v>0</v>
      </c>
      <c r="N889" t="n">
        <v>0</v>
      </c>
      <c r="O889" t="n">
        <v>0</v>
      </c>
      <c r="P889" t="n">
        <v>0</v>
      </c>
      <c r="Q889" t="n">
        <v>0</v>
      </c>
      <c r="R889" s="2" t="inlineStr"/>
    </row>
    <row r="890" ht="15" customHeight="1">
      <c r="A890" t="inlineStr">
        <is>
          <t>A 1283-2025</t>
        </is>
      </c>
      <c r="B890" s="1" t="n">
        <v>45667.49878472222</v>
      </c>
      <c r="C890" s="1" t="n">
        <v>45940</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41259-2025</t>
        </is>
      </c>
      <c r="B891" s="1" t="n">
        <v>45898.61054398148</v>
      </c>
      <c r="C891" s="1" t="n">
        <v>45940</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48370-2025</t>
        </is>
      </c>
      <c r="B892" s="1" t="n">
        <v>45933.67854166667</v>
      </c>
      <c r="C892" s="1" t="n">
        <v>45940</v>
      </c>
      <c r="D892" t="inlineStr">
        <is>
          <t>STOCKHOLMS LÄN</t>
        </is>
      </c>
      <c r="E892" t="inlineStr">
        <is>
          <t>NORRTÄLJE</t>
        </is>
      </c>
      <c r="G892" t="n">
        <v>4.5</v>
      </c>
      <c r="H892" t="n">
        <v>0</v>
      </c>
      <c r="I892" t="n">
        <v>0</v>
      </c>
      <c r="J892" t="n">
        <v>0</v>
      </c>
      <c r="K892" t="n">
        <v>0</v>
      </c>
      <c r="L892" t="n">
        <v>0</v>
      </c>
      <c r="M892" t="n">
        <v>0</v>
      </c>
      <c r="N892" t="n">
        <v>0</v>
      </c>
      <c r="O892" t="n">
        <v>0</v>
      </c>
      <c r="P892" t="n">
        <v>0</v>
      </c>
      <c r="Q892" t="n">
        <v>0</v>
      </c>
      <c r="R892" s="2" t="inlineStr"/>
    </row>
    <row r="893" ht="15" customHeight="1">
      <c r="A893" t="inlineStr">
        <is>
          <t>A 35639-2025</t>
        </is>
      </c>
      <c r="B893" s="1" t="n">
        <v>45859</v>
      </c>
      <c r="C893" s="1" t="n">
        <v>45940</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41272-2025</t>
        </is>
      </c>
      <c r="B894" s="1" t="n">
        <v>45898.62373842593</v>
      </c>
      <c r="C894" s="1" t="n">
        <v>45940</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48127-2025</t>
        </is>
      </c>
      <c r="B895" s="1" t="n">
        <v>45933.36621527778</v>
      </c>
      <c r="C895" s="1" t="n">
        <v>45940</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9703-2021</t>
        </is>
      </c>
      <c r="B896" s="1" t="n">
        <v>44252</v>
      </c>
      <c r="C896" s="1" t="n">
        <v>45940</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4553-2023</t>
        </is>
      </c>
      <c r="B897" s="1" t="n">
        <v>44956.65920138889</v>
      </c>
      <c r="C897" s="1" t="n">
        <v>45940</v>
      </c>
      <c r="D897" t="inlineStr">
        <is>
          <t>STOCKHOLMS LÄN</t>
        </is>
      </c>
      <c r="E897" t="inlineStr">
        <is>
          <t>NORRTÄLJE</t>
        </is>
      </c>
      <c r="G897" t="n">
        <v>7.5</v>
      </c>
      <c r="H897" t="n">
        <v>0</v>
      </c>
      <c r="I897" t="n">
        <v>0</v>
      </c>
      <c r="J897" t="n">
        <v>0</v>
      </c>
      <c r="K897" t="n">
        <v>0</v>
      </c>
      <c r="L897" t="n">
        <v>0</v>
      </c>
      <c r="M897" t="n">
        <v>0</v>
      </c>
      <c r="N897" t="n">
        <v>0</v>
      </c>
      <c r="O897" t="n">
        <v>0</v>
      </c>
      <c r="P897" t="n">
        <v>0</v>
      </c>
      <c r="Q897" t="n">
        <v>0</v>
      </c>
      <c r="R897" s="2" t="inlineStr"/>
    </row>
    <row r="898" ht="15" customHeight="1">
      <c r="A898" t="inlineStr">
        <is>
          <t>A 4593-2023</t>
        </is>
      </c>
      <c r="B898" s="1" t="n">
        <v>44956</v>
      </c>
      <c r="C898" s="1" t="n">
        <v>45940</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41966-2025</t>
        </is>
      </c>
      <c r="B899" s="1" t="n">
        <v>45903.47456018518</v>
      </c>
      <c r="C899" s="1" t="n">
        <v>45940</v>
      </c>
      <c r="D899" t="inlineStr">
        <is>
          <t>STOCKHOLMS LÄN</t>
        </is>
      </c>
      <c r="E899" t="inlineStr">
        <is>
          <t>NORRTÄLJE</t>
        </is>
      </c>
      <c r="F899" t="inlineStr">
        <is>
          <t>Sveaskog</t>
        </is>
      </c>
      <c r="G899" t="n">
        <v>3.7</v>
      </c>
      <c r="H899" t="n">
        <v>0</v>
      </c>
      <c r="I899" t="n">
        <v>0</v>
      </c>
      <c r="J899" t="n">
        <v>0</v>
      </c>
      <c r="K899" t="n">
        <v>0</v>
      </c>
      <c r="L899" t="n">
        <v>0</v>
      </c>
      <c r="M899" t="n">
        <v>0</v>
      </c>
      <c r="N899" t="n">
        <v>0</v>
      </c>
      <c r="O899" t="n">
        <v>0</v>
      </c>
      <c r="P899" t="n">
        <v>0</v>
      </c>
      <c r="Q899" t="n">
        <v>0</v>
      </c>
      <c r="R899" s="2" t="inlineStr"/>
    </row>
    <row r="900" ht="15" customHeight="1">
      <c r="A900" t="inlineStr">
        <is>
          <t>A 48179-2025</t>
        </is>
      </c>
      <c r="B900" s="1" t="n">
        <v>45933.44907407407</v>
      </c>
      <c r="C900" s="1" t="n">
        <v>45940</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13171-2025</t>
        </is>
      </c>
      <c r="B901" s="1" t="n">
        <v>45735.36594907408</v>
      </c>
      <c r="C901" s="1" t="n">
        <v>45940</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48360-2025</t>
        </is>
      </c>
      <c r="B902" s="1" t="n">
        <v>45933.66253472222</v>
      </c>
      <c r="C902" s="1" t="n">
        <v>45940</v>
      </c>
      <c r="D902" t="inlineStr">
        <is>
          <t>STOCKHOLMS LÄN</t>
        </is>
      </c>
      <c r="E902" t="inlineStr">
        <is>
          <t>NORRTÄLJE</t>
        </is>
      </c>
      <c r="G902" t="n">
        <v>4.1</v>
      </c>
      <c r="H902" t="n">
        <v>0</v>
      </c>
      <c r="I902" t="n">
        <v>0</v>
      </c>
      <c r="J902" t="n">
        <v>0</v>
      </c>
      <c r="K902" t="n">
        <v>0</v>
      </c>
      <c r="L902" t="n">
        <v>0</v>
      </c>
      <c r="M902" t="n">
        <v>0</v>
      </c>
      <c r="N902" t="n">
        <v>0</v>
      </c>
      <c r="O902" t="n">
        <v>0</v>
      </c>
      <c r="P902" t="n">
        <v>0</v>
      </c>
      <c r="Q902" t="n">
        <v>0</v>
      </c>
      <c r="R902" s="2" t="inlineStr"/>
    </row>
    <row r="903" ht="15" customHeight="1">
      <c r="A903" t="inlineStr">
        <is>
          <t>A 35636-2025</t>
        </is>
      </c>
      <c r="B903" s="1" t="n">
        <v>45859</v>
      </c>
      <c r="C903" s="1" t="n">
        <v>45940</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41964-2025</t>
        </is>
      </c>
      <c r="B904" s="1" t="n">
        <v>45903.47270833333</v>
      </c>
      <c r="C904" s="1" t="n">
        <v>45940</v>
      </c>
      <c r="D904" t="inlineStr">
        <is>
          <t>STOCKHOLMS LÄN</t>
        </is>
      </c>
      <c r="E904" t="inlineStr">
        <is>
          <t>NORRTÄLJE</t>
        </is>
      </c>
      <c r="F904" t="inlineStr">
        <is>
          <t>Sveaskog</t>
        </is>
      </c>
      <c r="G904" t="n">
        <v>4</v>
      </c>
      <c r="H904" t="n">
        <v>0</v>
      </c>
      <c r="I904" t="n">
        <v>0</v>
      </c>
      <c r="J904" t="n">
        <v>0</v>
      </c>
      <c r="K904" t="n">
        <v>0</v>
      </c>
      <c r="L904" t="n">
        <v>0</v>
      </c>
      <c r="M904" t="n">
        <v>0</v>
      </c>
      <c r="N904" t="n">
        <v>0</v>
      </c>
      <c r="O904" t="n">
        <v>0</v>
      </c>
      <c r="P904" t="n">
        <v>0</v>
      </c>
      <c r="Q904" t="n">
        <v>0</v>
      </c>
      <c r="R904" s="2" t="inlineStr"/>
    </row>
    <row r="905" ht="15" customHeight="1">
      <c r="A905" t="inlineStr">
        <is>
          <t>A 42038-2025</t>
        </is>
      </c>
      <c r="B905" s="1" t="n">
        <v>45903.61431712963</v>
      </c>
      <c r="C905" s="1" t="n">
        <v>45940</v>
      </c>
      <c r="D905" t="inlineStr">
        <is>
          <t>STOCKHOLMS LÄN</t>
        </is>
      </c>
      <c r="E905" t="inlineStr">
        <is>
          <t>NORRTÄLJE</t>
        </is>
      </c>
      <c r="F905" t="inlineStr">
        <is>
          <t>Sveaskog</t>
        </is>
      </c>
      <c r="G905" t="n">
        <v>6.4</v>
      </c>
      <c r="H905" t="n">
        <v>0</v>
      </c>
      <c r="I905" t="n">
        <v>0</v>
      </c>
      <c r="J905" t="n">
        <v>0</v>
      </c>
      <c r="K905" t="n">
        <v>0</v>
      </c>
      <c r="L905" t="n">
        <v>0</v>
      </c>
      <c r="M905" t="n">
        <v>0</v>
      </c>
      <c r="N905" t="n">
        <v>0</v>
      </c>
      <c r="O905" t="n">
        <v>0</v>
      </c>
      <c r="P905" t="n">
        <v>0</v>
      </c>
      <c r="Q905" t="n">
        <v>0</v>
      </c>
      <c r="R905" s="2" t="inlineStr"/>
    </row>
    <row r="906" ht="15" customHeight="1">
      <c r="A906" t="inlineStr">
        <is>
          <t>A 13767-2025</t>
        </is>
      </c>
      <c r="B906" s="1" t="n">
        <v>45737.43347222222</v>
      </c>
      <c r="C906" s="1" t="n">
        <v>45940</v>
      </c>
      <c r="D906" t="inlineStr">
        <is>
          <t>STOCKHOLMS LÄN</t>
        </is>
      </c>
      <c r="E906" t="inlineStr">
        <is>
          <t>NORRTÄLJE</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19058-2023</t>
        </is>
      </c>
      <c r="B907" s="1" t="n">
        <v>45048</v>
      </c>
      <c r="C907" s="1" t="n">
        <v>45940</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20013-2025</t>
        </is>
      </c>
      <c r="B908" s="1" t="n">
        <v>45772.30436342592</v>
      </c>
      <c r="C908" s="1" t="n">
        <v>45940</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48174-2025</t>
        </is>
      </c>
      <c r="B909" s="1" t="n">
        <v>45933.44230324074</v>
      </c>
      <c r="C909" s="1" t="n">
        <v>45940</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53362-2023</t>
        </is>
      </c>
      <c r="B910" s="1" t="n">
        <v>45223</v>
      </c>
      <c r="C910" s="1" t="n">
        <v>45940</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51978-2023</t>
        </is>
      </c>
      <c r="B911" s="1" t="n">
        <v>45223</v>
      </c>
      <c r="C911" s="1" t="n">
        <v>45940</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15422-2024</t>
        </is>
      </c>
      <c r="B912" s="1" t="n">
        <v>45401.3653125</v>
      </c>
      <c r="C912" s="1" t="n">
        <v>45940</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18092-2022</t>
        </is>
      </c>
      <c r="B913" s="1" t="n">
        <v>44684</v>
      </c>
      <c r="C913" s="1" t="n">
        <v>45940</v>
      </c>
      <c r="D913" t="inlineStr">
        <is>
          <t>STOCKHOLMS LÄN</t>
        </is>
      </c>
      <c r="E913" t="inlineStr">
        <is>
          <t>NORRTÄLJE</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48364-2025</t>
        </is>
      </c>
      <c r="B914" s="1" t="n">
        <v>45933.66796296297</v>
      </c>
      <c r="C914" s="1" t="n">
        <v>45940</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59310-2023</t>
        </is>
      </c>
      <c r="B915" s="1" t="n">
        <v>45253.61146990741</v>
      </c>
      <c r="C915" s="1" t="n">
        <v>45940</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30508-2023</t>
        </is>
      </c>
      <c r="B916" s="1" t="n">
        <v>45111</v>
      </c>
      <c r="C916" s="1" t="n">
        <v>45940</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9329-2023</t>
        </is>
      </c>
      <c r="B917" s="1" t="n">
        <v>44980</v>
      </c>
      <c r="C917" s="1" t="n">
        <v>45940</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48780-2025</t>
        </is>
      </c>
      <c r="B918" s="1" t="n">
        <v>45937.30377314815</v>
      </c>
      <c r="C918" s="1" t="n">
        <v>45940</v>
      </c>
      <c r="D918" t="inlineStr">
        <is>
          <t>STOCKHOLMS LÄN</t>
        </is>
      </c>
      <c r="E918" t="inlineStr">
        <is>
          <t>NORRTÄLJE</t>
        </is>
      </c>
      <c r="G918" t="n">
        <v>7.7</v>
      </c>
      <c r="H918" t="n">
        <v>0</v>
      </c>
      <c r="I918" t="n">
        <v>0</v>
      </c>
      <c r="J918" t="n">
        <v>0</v>
      </c>
      <c r="K918" t="n">
        <v>0</v>
      </c>
      <c r="L918" t="n">
        <v>0</v>
      </c>
      <c r="M918" t="n">
        <v>0</v>
      </c>
      <c r="N918" t="n">
        <v>0</v>
      </c>
      <c r="O918" t="n">
        <v>0</v>
      </c>
      <c r="P918" t="n">
        <v>0</v>
      </c>
      <c r="Q918" t="n">
        <v>0</v>
      </c>
      <c r="R918" s="2" t="inlineStr"/>
    </row>
    <row r="919" ht="15" customHeight="1">
      <c r="A919" t="inlineStr">
        <is>
          <t>A 48718-2025</t>
        </is>
      </c>
      <c r="B919" s="1" t="n">
        <v>45936</v>
      </c>
      <c r="C919" s="1" t="n">
        <v>45940</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59878-2024</t>
        </is>
      </c>
      <c r="B920" s="1" t="n">
        <v>45640.60240740741</v>
      </c>
      <c r="C920" s="1" t="n">
        <v>45940</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40172-2025</t>
        </is>
      </c>
      <c r="B921" s="1" t="n">
        <v>45894.6353125</v>
      </c>
      <c r="C921" s="1" t="n">
        <v>45940</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16008-2025</t>
        </is>
      </c>
      <c r="B922" s="1" t="n">
        <v>45749</v>
      </c>
      <c r="C922" s="1" t="n">
        <v>45940</v>
      </c>
      <c r="D922" t="inlineStr">
        <is>
          <t>STOCKHOLMS LÄN</t>
        </is>
      </c>
      <c r="E922" t="inlineStr">
        <is>
          <t>NORRTÄLJE</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40033-2025</t>
        </is>
      </c>
      <c r="B923" s="1" t="n">
        <v>45893</v>
      </c>
      <c r="C923" s="1" t="n">
        <v>45940</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40032-2025</t>
        </is>
      </c>
      <c r="B924" s="1" t="n">
        <v>45893</v>
      </c>
      <c r="C924" s="1" t="n">
        <v>45940</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21158-2022</t>
        </is>
      </c>
      <c r="B925" s="1" t="n">
        <v>44704</v>
      </c>
      <c r="C925" s="1" t="n">
        <v>45940</v>
      </c>
      <c r="D925" t="inlineStr">
        <is>
          <t>STOCKHOLMS LÄN</t>
        </is>
      </c>
      <c r="E925" t="inlineStr">
        <is>
          <t>NORRTÄLJE</t>
        </is>
      </c>
      <c r="G925" t="n">
        <v>17.8</v>
      </c>
      <c r="H925" t="n">
        <v>0</v>
      </c>
      <c r="I925" t="n">
        <v>0</v>
      </c>
      <c r="J925" t="n">
        <v>0</v>
      </c>
      <c r="K925" t="n">
        <v>0</v>
      </c>
      <c r="L925" t="n">
        <v>0</v>
      </c>
      <c r="M925" t="n">
        <v>0</v>
      </c>
      <c r="N925" t="n">
        <v>0</v>
      </c>
      <c r="O925" t="n">
        <v>0</v>
      </c>
      <c r="P925" t="n">
        <v>0</v>
      </c>
      <c r="Q925" t="n">
        <v>0</v>
      </c>
      <c r="R925" s="2" t="inlineStr"/>
    </row>
    <row r="926" ht="15" customHeight="1">
      <c r="A926" t="inlineStr">
        <is>
          <t>A 41335-2023</t>
        </is>
      </c>
      <c r="B926" s="1" t="n">
        <v>45174.68702546296</v>
      </c>
      <c r="C926" s="1" t="n">
        <v>45940</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33040-2021</t>
        </is>
      </c>
      <c r="B927" s="1" t="n">
        <v>44376.50728009259</v>
      </c>
      <c r="C927" s="1" t="n">
        <v>45940</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33053-2021</t>
        </is>
      </c>
      <c r="B928" s="1" t="n">
        <v>44376</v>
      </c>
      <c r="C928" s="1" t="n">
        <v>45940</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40292-2025</t>
        </is>
      </c>
      <c r="B929" s="1" t="n">
        <v>45895.3867824074</v>
      </c>
      <c r="C929" s="1" t="n">
        <v>45940</v>
      </c>
      <c r="D929" t="inlineStr">
        <is>
          <t>STOCKHOLMS LÄN</t>
        </is>
      </c>
      <c r="E929" t="inlineStr">
        <is>
          <t>NORRTÄLJE</t>
        </is>
      </c>
      <c r="G929" t="n">
        <v>3.5</v>
      </c>
      <c r="H929" t="n">
        <v>0</v>
      </c>
      <c r="I929" t="n">
        <v>0</v>
      </c>
      <c r="J929" t="n">
        <v>0</v>
      </c>
      <c r="K929" t="n">
        <v>0</v>
      </c>
      <c r="L929" t="n">
        <v>0</v>
      </c>
      <c r="M929" t="n">
        <v>0</v>
      </c>
      <c r="N929" t="n">
        <v>0</v>
      </c>
      <c r="O929" t="n">
        <v>0</v>
      </c>
      <c r="P929" t="n">
        <v>0</v>
      </c>
      <c r="Q929" t="n">
        <v>0</v>
      </c>
      <c r="R929" s="2" t="inlineStr"/>
    </row>
    <row r="930" ht="15" customHeight="1">
      <c r="A930" t="inlineStr">
        <is>
          <t>A 40294-2025</t>
        </is>
      </c>
      <c r="B930" s="1" t="n">
        <v>45895.38778935185</v>
      </c>
      <c r="C930" s="1" t="n">
        <v>45940</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40228-2025</t>
        </is>
      </c>
      <c r="B931" s="1" t="n">
        <v>45894.70854166667</v>
      </c>
      <c r="C931" s="1" t="n">
        <v>45940</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43150-2023</t>
        </is>
      </c>
      <c r="B932" s="1" t="n">
        <v>45183</v>
      </c>
      <c r="C932" s="1" t="n">
        <v>45940</v>
      </c>
      <c r="D932" t="inlineStr">
        <is>
          <t>STOCKHOLMS LÄN</t>
        </is>
      </c>
      <c r="E932" t="inlineStr">
        <is>
          <t>NORRTÄLJE</t>
        </is>
      </c>
      <c r="G932" t="n">
        <v>2.4</v>
      </c>
      <c r="H932" t="n">
        <v>0</v>
      </c>
      <c r="I932" t="n">
        <v>0</v>
      </c>
      <c r="J932" t="n">
        <v>0</v>
      </c>
      <c r="K932" t="n">
        <v>0</v>
      </c>
      <c r="L932" t="n">
        <v>0</v>
      </c>
      <c r="M932" t="n">
        <v>0</v>
      </c>
      <c r="N932" t="n">
        <v>0</v>
      </c>
      <c r="O932" t="n">
        <v>0</v>
      </c>
      <c r="P932" t="n">
        <v>0</v>
      </c>
      <c r="Q932" t="n">
        <v>0</v>
      </c>
      <c r="R932" s="2" t="inlineStr"/>
    </row>
    <row r="933" ht="15" customHeight="1">
      <c r="A933" t="inlineStr">
        <is>
          <t>A 5950-2021</t>
        </is>
      </c>
      <c r="B933" s="1" t="n">
        <v>44231</v>
      </c>
      <c r="C933" s="1" t="n">
        <v>45940</v>
      </c>
      <c r="D933" t="inlineStr">
        <is>
          <t>STOCKHOLMS LÄN</t>
        </is>
      </c>
      <c r="E933" t="inlineStr">
        <is>
          <t>NORRTÄLJE</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54259-2023</t>
        </is>
      </c>
      <c r="B934" s="1" t="n">
        <v>45232</v>
      </c>
      <c r="C934" s="1" t="n">
        <v>45940</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19057-2024</t>
        </is>
      </c>
      <c r="B935" s="1" t="n">
        <v>45427.88731481481</v>
      </c>
      <c r="C935" s="1" t="n">
        <v>45940</v>
      </c>
      <c r="D935" t="inlineStr">
        <is>
          <t>STOCKHOLMS LÄN</t>
        </is>
      </c>
      <c r="E935" t="inlineStr">
        <is>
          <t>NORRTÄLJE</t>
        </is>
      </c>
      <c r="G935" t="n">
        <v>3</v>
      </c>
      <c r="H935" t="n">
        <v>0</v>
      </c>
      <c r="I935" t="n">
        <v>0</v>
      </c>
      <c r="J935" t="n">
        <v>0</v>
      </c>
      <c r="K935" t="n">
        <v>0</v>
      </c>
      <c r="L935" t="n">
        <v>0</v>
      </c>
      <c r="M935" t="n">
        <v>0</v>
      </c>
      <c r="N935" t="n">
        <v>0</v>
      </c>
      <c r="O935" t="n">
        <v>0</v>
      </c>
      <c r="P935" t="n">
        <v>0</v>
      </c>
      <c r="Q935" t="n">
        <v>0</v>
      </c>
      <c r="R935" s="2" t="inlineStr"/>
    </row>
    <row r="936" ht="15" customHeight="1">
      <c r="A936" t="inlineStr">
        <is>
          <t>A 24835-2025</t>
        </is>
      </c>
      <c r="B936" s="1" t="n">
        <v>45799</v>
      </c>
      <c r="C936" s="1" t="n">
        <v>45940</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60822-2023</t>
        </is>
      </c>
      <c r="B937" s="1" t="n">
        <v>45259</v>
      </c>
      <c r="C937" s="1" t="n">
        <v>45940</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32101-2022</t>
        </is>
      </c>
      <c r="B938" s="1" t="n">
        <v>44778.69210648148</v>
      </c>
      <c r="C938" s="1" t="n">
        <v>45940</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48593-2025</t>
        </is>
      </c>
      <c r="B939" s="1" t="n">
        <v>45936.4627662037</v>
      </c>
      <c r="C939" s="1" t="n">
        <v>45940</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23150-2024</t>
        </is>
      </c>
      <c r="B940" s="1" t="n">
        <v>45450.64643518518</v>
      </c>
      <c r="C940" s="1" t="n">
        <v>45940</v>
      </c>
      <c r="D940" t="inlineStr">
        <is>
          <t>STOCKHOLMS LÄN</t>
        </is>
      </c>
      <c r="E940" t="inlineStr">
        <is>
          <t>NORRTÄLJE</t>
        </is>
      </c>
      <c r="F940" t="inlineStr">
        <is>
          <t>Kommuner</t>
        </is>
      </c>
      <c r="G940" t="n">
        <v>2.7</v>
      </c>
      <c r="H940" t="n">
        <v>0</v>
      </c>
      <c r="I940" t="n">
        <v>0</v>
      </c>
      <c r="J940" t="n">
        <v>0</v>
      </c>
      <c r="K940" t="n">
        <v>0</v>
      </c>
      <c r="L940" t="n">
        <v>0</v>
      </c>
      <c r="M940" t="n">
        <v>0</v>
      </c>
      <c r="N940" t="n">
        <v>0</v>
      </c>
      <c r="O940" t="n">
        <v>0</v>
      </c>
      <c r="P940" t="n">
        <v>0</v>
      </c>
      <c r="Q940" t="n">
        <v>0</v>
      </c>
      <c r="R940" s="2" t="inlineStr"/>
    </row>
    <row r="941" ht="15" customHeight="1">
      <c r="A941" t="inlineStr">
        <is>
          <t>A 24933-2023</t>
        </is>
      </c>
      <c r="B941" s="1" t="n">
        <v>45085.5309375</v>
      </c>
      <c r="C941" s="1" t="n">
        <v>45940</v>
      </c>
      <c r="D941" t="inlineStr">
        <is>
          <t>STOCKHOLMS LÄN</t>
        </is>
      </c>
      <c r="E941" t="inlineStr">
        <is>
          <t>NORRTÄLJE</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12031-2021</t>
        </is>
      </c>
      <c r="B942" s="1" t="n">
        <v>44266</v>
      </c>
      <c r="C942" s="1" t="n">
        <v>45940</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27381-2024</t>
        </is>
      </c>
      <c r="B943" s="1" t="n">
        <v>45473.94501157408</v>
      </c>
      <c r="C943" s="1" t="n">
        <v>45940</v>
      </c>
      <c r="D943" t="inlineStr">
        <is>
          <t>STOCKHOLMS LÄN</t>
        </is>
      </c>
      <c r="E943" t="inlineStr">
        <is>
          <t>NORRTÄLJE</t>
        </is>
      </c>
      <c r="G943" t="n">
        <v>4.5</v>
      </c>
      <c r="H943" t="n">
        <v>0</v>
      </c>
      <c r="I943" t="n">
        <v>0</v>
      </c>
      <c r="J943" t="n">
        <v>0</v>
      </c>
      <c r="K943" t="n">
        <v>0</v>
      </c>
      <c r="L943" t="n">
        <v>0</v>
      </c>
      <c r="M943" t="n">
        <v>0</v>
      </c>
      <c r="N943" t="n">
        <v>0</v>
      </c>
      <c r="O943" t="n">
        <v>0</v>
      </c>
      <c r="P943" t="n">
        <v>0</v>
      </c>
      <c r="Q943" t="n">
        <v>0</v>
      </c>
      <c r="R943" s="2" t="inlineStr"/>
    </row>
    <row r="944" ht="15" customHeight="1">
      <c r="A944" t="inlineStr">
        <is>
          <t>A 49129-2025</t>
        </is>
      </c>
      <c r="B944" s="1" t="n">
        <v>45937.89517361111</v>
      </c>
      <c r="C944" s="1" t="n">
        <v>45940</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56631-2024</t>
        </is>
      </c>
      <c r="B945" s="1" t="n">
        <v>45625</v>
      </c>
      <c r="C945" s="1" t="n">
        <v>45940</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48443-2025</t>
        </is>
      </c>
      <c r="B946" s="1" t="n">
        <v>45935.55326388889</v>
      </c>
      <c r="C946" s="1" t="n">
        <v>45940</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652-2025</t>
        </is>
      </c>
      <c r="B947" s="1" t="n">
        <v>45664</v>
      </c>
      <c r="C947" s="1" t="n">
        <v>45940</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34444-2024</t>
        </is>
      </c>
      <c r="B948" s="1" t="n">
        <v>45525</v>
      </c>
      <c r="C948" s="1" t="n">
        <v>45940</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20698-2025</t>
        </is>
      </c>
      <c r="B949" s="1" t="n">
        <v>45776.47122685185</v>
      </c>
      <c r="C949" s="1" t="n">
        <v>45940</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42856-2025</t>
        </is>
      </c>
      <c r="B950" s="1" t="n">
        <v>45908</v>
      </c>
      <c r="C950" s="1" t="n">
        <v>45940</v>
      </c>
      <c r="D950" t="inlineStr">
        <is>
          <t>STOCKHOLMS LÄN</t>
        </is>
      </c>
      <c r="E950" t="inlineStr">
        <is>
          <t>NORRTÄLJE</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40230-2025</t>
        </is>
      </c>
      <c r="B951" s="1" t="n">
        <v>45894.71101851852</v>
      </c>
      <c r="C951" s="1" t="n">
        <v>45940</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40217-2025</t>
        </is>
      </c>
      <c r="B952" s="1" t="n">
        <v>45894.68864583333</v>
      </c>
      <c r="C952" s="1" t="n">
        <v>45940</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23265-2023</t>
        </is>
      </c>
      <c r="B953" s="1" t="n">
        <v>45075.90703703704</v>
      </c>
      <c r="C953" s="1" t="n">
        <v>45940</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26117-2024</t>
        </is>
      </c>
      <c r="B954" s="1" t="n">
        <v>45468.45877314815</v>
      </c>
      <c r="C954" s="1" t="n">
        <v>45940</v>
      </c>
      <c r="D954" t="inlineStr">
        <is>
          <t>STOCKHOLMS LÄN</t>
        </is>
      </c>
      <c r="E954" t="inlineStr">
        <is>
          <t>NORRTÄLJE</t>
        </is>
      </c>
      <c r="G954" t="n">
        <v>2.4</v>
      </c>
      <c r="H954" t="n">
        <v>0</v>
      </c>
      <c r="I954" t="n">
        <v>0</v>
      </c>
      <c r="J954" t="n">
        <v>0</v>
      </c>
      <c r="K954" t="n">
        <v>0</v>
      </c>
      <c r="L954" t="n">
        <v>0</v>
      </c>
      <c r="M954" t="n">
        <v>0</v>
      </c>
      <c r="N954" t="n">
        <v>0</v>
      </c>
      <c r="O954" t="n">
        <v>0</v>
      </c>
      <c r="P954" t="n">
        <v>0</v>
      </c>
      <c r="Q954" t="n">
        <v>0</v>
      </c>
      <c r="R954" s="2" t="inlineStr"/>
    </row>
    <row r="955" ht="15" customHeight="1">
      <c r="A955" t="inlineStr">
        <is>
          <t>A 40097-2025</t>
        </is>
      </c>
      <c r="B955" s="1" t="n">
        <v>45894.48322916667</v>
      </c>
      <c r="C955" s="1" t="n">
        <v>45940</v>
      </c>
      <c r="D955" t="inlineStr">
        <is>
          <t>STOCKHOLMS LÄN</t>
        </is>
      </c>
      <c r="E955" t="inlineStr">
        <is>
          <t>NORRTÄLJE</t>
        </is>
      </c>
      <c r="G955" t="n">
        <v>3</v>
      </c>
      <c r="H955" t="n">
        <v>0</v>
      </c>
      <c r="I955" t="n">
        <v>0</v>
      </c>
      <c r="J955" t="n">
        <v>0</v>
      </c>
      <c r="K955" t="n">
        <v>0</v>
      </c>
      <c r="L955" t="n">
        <v>0</v>
      </c>
      <c r="M955" t="n">
        <v>0</v>
      </c>
      <c r="N955" t="n">
        <v>0</v>
      </c>
      <c r="O955" t="n">
        <v>0</v>
      </c>
      <c r="P955" t="n">
        <v>0</v>
      </c>
      <c r="Q955" t="n">
        <v>0</v>
      </c>
      <c r="R955" s="2" t="inlineStr"/>
    </row>
    <row r="956" ht="15" customHeight="1">
      <c r="A956" t="inlineStr">
        <is>
          <t>A 5389-2025</t>
        </is>
      </c>
      <c r="B956" s="1" t="n">
        <v>45692</v>
      </c>
      <c r="C956" s="1" t="n">
        <v>45940</v>
      </c>
      <c r="D956" t="inlineStr">
        <is>
          <t>STOCKHOLMS LÄN</t>
        </is>
      </c>
      <c r="E956" t="inlineStr">
        <is>
          <t>NORRTÄLJE</t>
        </is>
      </c>
      <c r="G956" t="n">
        <v>0.8</v>
      </c>
      <c r="H956" t="n">
        <v>0</v>
      </c>
      <c r="I956" t="n">
        <v>0</v>
      </c>
      <c r="J956" t="n">
        <v>0</v>
      </c>
      <c r="K956" t="n">
        <v>0</v>
      </c>
      <c r="L956" t="n">
        <v>0</v>
      </c>
      <c r="M956" t="n">
        <v>0</v>
      </c>
      <c r="N956" t="n">
        <v>0</v>
      </c>
      <c r="O956" t="n">
        <v>0</v>
      </c>
      <c r="P956" t="n">
        <v>0</v>
      </c>
      <c r="Q956" t="n">
        <v>0</v>
      </c>
      <c r="R956" s="2" t="inlineStr"/>
    </row>
    <row r="957" ht="15" customHeight="1">
      <c r="A957" t="inlineStr">
        <is>
          <t>A 40829-2025</t>
        </is>
      </c>
      <c r="B957" s="1" t="n">
        <v>45897.50802083333</v>
      </c>
      <c r="C957" s="1" t="n">
        <v>45940</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13051-2021</t>
        </is>
      </c>
      <c r="B958" s="1" t="n">
        <v>44272</v>
      </c>
      <c r="C958" s="1" t="n">
        <v>45940</v>
      </c>
      <c r="D958" t="inlineStr">
        <is>
          <t>STOCKHOLMS LÄN</t>
        </is>
      </c>
      <c r="E958" t="inlineStr">
        <is>
          <t>NORRTÄLJE</t>
        </is>
      </c>
      <c r="G958" t="n">
        <v>9.1</v>
      </c>
      <c r="H958" t="n">
        <v>0</v>
      </c>
      <c r="I958" t="n">
        <v>0</v>
      </c>
      <c r="J958" t="n">
        <v>0</v>
      </c>
      <c r="K958" t="n">
        <v>0</v>
      </c>
      <c r="L958" t="n">
        <v>0</v>
      </c>
      <c r="M958" t="n">
        <v>0</v>
      </c>
      <c r="N958" t="n">
        <v>0</v>
      </c>
      <c r="O958" t="n">
        <v>0</v>
      </c>
      <c r="P958" t="n">
        <v>0</v>
      </c>
      <c r="Q958" t="n">
        <v>0</v>
      </c>
      <c r="R958" s="2" t="inlineStr"/>
    </row>
    <row r="959" ht="15" customHeight="1">
      <c r="A959" t="inlineStr">
        <is>
          <t>A 40837-2025</t>
        </is>
      </c>
      <c r="B959" s="1" t="n">
        <v>45897.51328703704</v>
      </c>
      <c r="C959" s="1" t="n">
        <v>45940</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40529-2025</t>
        </is>
      </c>
      <c r="B960" s="1" t="n">
        <v>45896.38466435186</v>
      </c>
      <c r="C960" s="1" t="n">
        <v>45940</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40831-2025</t>
        </is>
      </c>
      <c r="B961" s="1" t="n">
        <v>45897.51077546296</v>
      </c>
      <c r="C961" s="1" t="n">
        <v>45940</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22232-2024</t>
        </is>
      </c>
      <c r="B962" s="1" t="n">
        <v>45446.4287962963</v>
      </c>
      <c r="C962" s="1" t="n">
        <v>45940</v>
      </c>
      <c r="D962" t="inlineStr">
        <is>
          <t>STOCKHOLMS LÄN</t>
        </is>
      </c>
      <c r="E962" t="inlineStr">
        <is>
          <t>NORRTÄLJE</t>
        </is>
      </c>
      <c r="G962" t="n">
        <v>12.8</v>
      </c>
      <c r="H962" t="n">
        <v>0</v>
      </c>
      <c r="I962" t="n">
        <v>0</v>
      </c>
      <c r="J962" t="n">
        <v>0</v>
      </c>
      <c r="K962" t="n">
        <v>0</v>
      </c>
      <c r="L962" t="n">
        <v>0</v>
      </c>
      <c r="M962" t="n">
        <v>0</v>
      </c>
      <c r="N962" t="n">
        <v>0</v>
      </c>
      <c r="O962" t="n">
        <v>0</v>
      </c>
      <c r="P962" t="n">
        <v>0</v>
      </c>
      <c r="Q962" t="n">
        <v>0</v>
      </c>
      <c r="R962" s="2" t="inlineStr"/>
    </row>
    <row r="963" ht="15" customHeight="1">
      <c r="A963" t="inlineStr">
        <is>
          <t>A 43269-2025</t>
        </is>
      </c>
      <c r="B963" s="1" t="n">
        <v>45910.5819212963</v>
      </c>
      <c r="C963" s="1" t="n">
        <v>45940</v>
      </c>
      <c r="D963" t="inlineStr">
        <is>
          <t>STOCKHOLMS LÄN</t>
        </is>
      </c>
      <c r="E963" t="inlineStr">
        <is>
          <t>NORRTÄLJE</t>
        </is>
      </c>
      <c r="G963" t="n">
        <v>3.7</v>
      </c>
      <c r="H963" t="n">
        <v>0</v>
      </c>
      <c r="I963" t="n">
        <v>0</v>
      </c>
      <c r="J963" t="n">
        <v>0</v>
      </c>
      <c r="K963" t="n">
        <v>0</v>
      </c>
      <c r="L963" t="n">
        <v>0</v>
      </c>
      <c r="M963" t="n">
        <v>0</v>
      </c>
      <c r="N963" t="n">
        <v>0</v>
      </c>
      <c r="O963" t="n">
        <v>0</v>
      </c>
      <c r="P963" t="n">
        <v>0</v>
      </c>
      <c r="Q963" t="n">
        <v>0</v>
      </c>
      <c r="R963" s="2" t="inlineStr"/>
    </row>
    <row r="964" ht="15" customHeight="1">
      <c r="A964" t="inlineStr">
        <is>
          <t>A 43169-2025</t>
        </is>
      </c>
      <c r="B964" s="1" t="n">
        <v>45910</v>
      </c>
      <c r="C964" s="1" t="n">
        <v>45940</v>
      </c>
      <c r="D964" t="inlineStr">
        <is>
          <t>STOCKHOLMS LÄN</t>
        </is>
      </c>
      <c r="E964" t="inlineStr">
        <is>
          <t>NORRTÄLJE</t>
        </is>
      </c>
      <c r="G964" t="n">
        <v>6.9</v>
      </c>
      <c r="H964" t="n">
        <v>0</v>
      </c>
      <c r="I964" t="n">
        <v>0</v>
      </c>
      <c r="J964" t="n">
        <v>0</v>
      </c>
      <c r="K964" t="n">
        <v>0</v>
      </c>
      <c r="L964" t="n">
        <v>0</v>
      </c>
      <c r="M964" t="n">
        <v>0</v>
      </c>
      <c r="N964" t="n">
        <v>0</v>
      </c>
      <c r="O964" t="n">
        <v>0</v>
      </c>
      <c r="P964" t="n">
        <v>0</v>
      </c>
      <c r="Q964" t="n">
        <v>0</v>
      </c>
      <c r="R964" s="2" t="inlineStr"/>
    </row>
    <row r="965" ht="15" customHeight="1">
      <c r="A965" t="inlineStr">
        <is>
          <t>A 36396-2025</t>
        </is>
      </c>
      <c r="B965" s="1" t="n">
        <v>45868.62267361111</v>
      </c>
      <c r="C965" s="1" t="n">
        <v>45940</v>
      </c>
      <c r="D965" t="inlineStr">
        <is>
          <t>STOCKHOLMS LÄN</t>
        </is>
      </c>
      <c r="E965" t="inlineStr">
        <is>
          <t>NORRTÄLJE</t>
        </is>
      </c>
      <c r="G965" t="n">
        <v>4.1</v>
      </c>
      <c r="H965" t="n">
        <v>0</v>
      </c>
      <c r="I965" t="n">
        <v>0</v>
      </c>
      <c r="J965" t="n">
        <v>0</v>
      </c>
      <c r="K965" t="n">
        <v>0</v>
      </c>
      <c r="L965" t="n">
        <v>0</v>
      </c>
      <c r="M965" t="n">
        <v>0</v>
      </c>
      <c r="N965" t="n">
        <v>0</v>
      </c>
      <c r="O965" t="n">
        <v>0</v>
      </c>
      <c r="P965" t="n">
        <v>0</v>
      </c>
      <c r="Q965" t="n">
        <v>0</v>
      </c>
      <c r="R965" s="2" t="inlineStr"/>
    </row>
    <row r="966" ht="15" customHeight="1">
      <c r="A966" t="inlineStr">
        <is>
          <t>A 20336-2024</t>
        </is>
      </c>
      <c r="B966" s="1" t="n">
        <v>45435.43123842592</v>
      </c>
      <c r="C966" s="1" t="n">
        <v>45940</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11499-2023</t>
        </is>
      </c>
      <c r="B967" s="1" t="n">
        <v>44993.66707175926</v>
      </c>
      <c r="C967" s="1" t="n">
        <v>45940</v>
      </c>
      <c r="D967" t="inlineStr">
        <is>
          <t>STOCKHOLMS LÄN</t>
        </is>
      </c>
      <c r="E967" t="inlineStr">
        <is>
          <t>NORRTÄLJE</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1847-2023</t>
        </is>
      </c>
      <c r="B968" s="1" t="n">
        <v>44938</v>
      </c>
      <c r="C968" s="1" t="n">
        <v>45940</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576-2023</t>
        </is>
      </c>
      <c r="B969" s="1" t="n">
        <v>44925</v>
      </c>
      <c r="C969" s="1" t="n">
        <v>45940</v>
      </c>
      <c r="D969" t="inlineStr">
        <is>
          <t>STOCKHOLMS LÄN</t>
        </is>
      </c>
      <c r="E969" t="inlineStr">
        <is>
          <t>NORRTÄLJE</t>
        </is>
      </c>
      <c r="G969" t="n">
        <v>7.2</v>
      </c>
      <c r="H969" t="n">
        <v>0</v>
      </c>
      <c r="I969" t="n">
        <v>0</v>
      </c>
      <c r="J969" t="n">
        <v>0</v>
      </c>
      <c r="K969" t="n">
        <v>0</v>
      </c>
      <c r="L969" t="n">
        <v>0</v>
      </c>
      <c r="M969" t="n">
        <v>0</v>
      </c>
      <c r="N969" t="n">
        <v>0</v>
      </c>
      <c r="O969" t="n">
        <v>0</v>
      </c>
      <c r="P969" t="n">
        <v>0</v>
      </c>
      <c r="Q969" t="n">
        <v>0</v>
      </c>
      <c r="R969" s="2" t="inlineStr"/>
    </row>
    <row r="970" ht="15" customHeight="1">
      <c r="A970" t="inlineStr">
        <is>
          <t>A 43916-2025</t>
        </is>
      </c>
      <c r="B970" s="1" t="n">
        <v>45914.78884259259</v>
      </c>
      <c r="C970" s="1" t="n">
        <v>45940</v>
      </c>
      <c r="D970" t="inlineStr">
        <is>
          <t>STOCKHOLMS LÄN</t>
        </is>
      </c>
      <c r="E970" t="inlineStr">
        <is>
          <t>NORRTÄLJE</t>
        </is>
      </c>
      <c r="G970" t="n">
        <v>1.5</v>
      </c>
      <c r="H970" t="n">
        <v>0</v>
      </c>
      <c r="I970" t="n">
        <v>0</v>
      </c>
      <c r="J970" t="n">
        <v>0</v>
      </c>
      <c r="K970" t="n">
        <v>0</v>
      </c>
      <c r="L970" t="n">
        <v>0</v>
      </c>
      <c r="M970" t="n">
        <v>0</v>
      </c>
      <c r="N970" t="n">
        <v>0</v>
      </c>
      <c r="O970" t="n">
        <v>0</v>
      </c>
      <c r="P970" t="n">
        <v>0</v>
      </c>
      <c r="Q970" t="n">
        <v>0</v>
      </c>
      <c r="R970" s="2" t="inlineStr"/>
    </row>
    <row r="971" ht="15" customHeight="1">
      <c r="A971" t="inlineStr">
        <is>
          <t>A 10678-2025</t>
        </is>
      </c>
      <c r="B971" s="1" t="n">
        <v>45721.89123842592</v>
      </c>
      <c r="C971" s="1" t="n">
        <v>45940</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31936-2022</t>
        </is>
      </c>
      <c r="B972" s="1" t="n">
        <v>44777</v>
      </c>
      <c r="C972" s="1" t="n">
        <v>45940</v>
      </c>
      <c r="D972" t="inlineStr">
        <is>
          <t>STOCKHOLMS LÄN</t>
        </is>
      </c>
      <c r="E972" t="inlineStr">
        <is>
          <t>NORRTÄLJE</t>
        </is>
      </c>
      <c r="G972" t="n">
        <v>5.2</v>
      </c>
      <c r="H972" t="n">
        <v>0</v>
      </c>
      <c r="I972" t="n">
        <v>0</v>
      </c>
      <c r="J972" t="n">
        <v>0</v>
      </c>
      <c r="K972" t="n">
        <v>0</v>
      </c>
      <c r="L972" t="n">
        <v>0</v>
      </c>
      <c r="M972" t="n">
        <v>0</v>
      </c>
      <c r="N972" t="n">
        <v>0</v>
      </c>
      <c r="O972" t="n">
        <v>0</v>
      </c>
      <c r="P972" t="n">
        <v>0</v>
      </c>
      <c r="Q972" t="n">
        <v>0</v>
      </c>
      <c r="R972" s="2" t="inlineStr"/>
    </row>
    <row r="973" ht="15" customHeight="1">
      <c r="A973" t="inlineStr">
        <is>
          <t>A 59873-2024</t>
        </is>
      </c>
      <c r="B973" s="1" t="n">
        <v>45640.57305555556</v>
      </c>
      <c r="C973" s="1" t="n">
        <v>45940</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35916-2024</t>
        </is>
      </c>
      <c r="B974" s="1" t="n">
        <v>45533</v>
      </c>
      <c r="C974" s="1" t="n">
        <v>45940</v>
      </c>
      <c r="D974" t="inlineStr">
        <is>
          <t>STOCKHOLMS LÄN</t>
        </is>
      </c>
      <c r="E974" t="inlineStr">
        <is>
          <t>NORRTÄLJE</t>
        </is>
      </c>
      <c r="G974" t="n">
        <v>0.5</v>
      </c>
      <c r="H974" t="n">
        <v>0</v>
      </c>
      <c r="I974" t="n">
        <v>0</v>
      </c>
      <c r="J974" t="n">
        <v>0</v>
      </c>
      <c r="K974" t="n">
        <v>0</v>
      </c>
      <c r="L974" t="n">
        <v>0</v>
      </c>
      <c r="M974" t="n">
        <v>0</v>
      </c>
      <c r="N974" t="n">
        <v>0</v>
      </c>
      <c r="O974" t="n">
        <v>0</v>
      </c>
      <c r="P974" t="n">
        <v>0</v>
      </c>
      <c r="Q974" t="n">
        <v>0</v>
      </c>
      <c r="R974" s="2" t="inlineStr"/>
    </row>
    <row r="975" ht="15" customHeight="1">
      <c r="A975" t="inlineStr">
        <is>
          <t>A 10098-2022</t>
        </is>
      </c>
      <c r="B975" s="1" t="n">
        <v>44621</v>
      </c>
      <c r="C975" s="1" t="n">
        <v>45940</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63161-2023</t>
        </is>
      </c>
      <c r="B976" s="1" t="n">
        <v>45273</v>
      </c>
      <c r="C976" s="1" t="n">
        <v>45940</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59721-2024</t>
        </is>
      </c>
      <c r="B977" s="1" t="n">
        <v>45639.47385416667</v>
      </c>
      <c r="C977" s="1" t="n">
        <v>45940</v>
      </c>
      <c r="D977" t="inlineStr">
        <is>
          <t>STOCKHOLMS LÄN</t>
        </is>
      </c>
      <c r="E977" t="inlineStr">
        <is>
          <t>NORRTÄLJE</t>
        </is>
      </c>
      <c r="G977" t="n">
        <v>4.6</v>
      </c>
      <c r="H977" t="n">
        <v>0</v>
      </c>
      <c r="I977" t="n">
        <v>0</v>
      </c>
      <c r="J977" t="n">
        <v>0</v>
      </c>
      <c r="K977" t="n">
        <v>0</v>
      </c>
      <c r="L977" t="n">
        <v>0</v>
      </c>
      <c r="M977" t="n">
        <v>0</v>
      </c>
      <c r="N977" t="n">
        <v>0</v>
      </c>
      <c r="O977" t="n">
        <v>0</v>
      </c>
      <c r="P977" t="n">
        <v>0</v>
      </c>
      <c r="Q977" t="n">
        <v>0</v>
      </c>
      <c r="R977" s="2" t="inlineStr"/>
    </row>
    <row r="978" ht="15" customHeight="1">
      <c r="A978" t="inlineStr">
        <is>
          <t>A 7796-2025</t>
        </is>
      </c>
      <c r="B978" s="1" t="n">
        <v>45706.60130787037</v>
      </c>
      <c r="C978" s="1" t="n">
        <v>45940</v>
      </c>
      <c r="D978" t="inlineStr">
        <is>
          <t>STOCKHOLMS LÄN</t>
        </is>
      </c>
      <c r="E978" t="inlineStr">
        <is>
          <t>NORRTÄLJE</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15552-2021</t>
        </is>
      </c>
      <c r="B979" s="1" t="n">
        <v>44285</v>
      </c>
      <c r="C979" s="1" t="n">
        <v>45940</v>
      </c>
      <c r="D979" t="inlineStr">
        <is>
          <t>STOCKHOLMS LÄN</t>
        </is>
      </c>
      <c r="E979" t="inlineStr">
        <is>
          <t>NORRTÄLJE</t>
        </is>
      </c>
      <c r="G979" t="n">
        <v>10</v>
      </c>
      <c r="H979" t="n">
        <v>0</v>
      </c>
      <c r="I979" t="n">
        <v>0</v>
      </c>
      <c r="J979" t="n">
        <v>0</v>
      </c>
      <c r="K979" t="n">
        <v>0</v>
      </c>
      <c r="L979" t="n">
        <v>0</v>
      </c>
      <c r="M979" t="n">
        <v>0</v>
      </c>
      <c r="N979" t="n">
        <v>0</v>
      </c>
      <c r="O979" t="n">
        <v>0</v>
      </c>
      <c r="P979" t="n">
        <v>0</v>
      </c>
      <c r="Q979" t="n">
        <v>0</v>
      </c>
      <c r="R979" s="2" t="inlineStr"/>
    </row>
    <row r="980" ht="15" customHeight="1">
      <c r="A980" t="inlineStr">
        <is>
          <t>A 58040-2024</t>
        </is>
      </c>
      <c r="B980" s="1" t="n">
        <v>45631.73952546297</v>
      </c>
      <c r="C980" s="1" t="n">
        <v>45940</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58041-2024</t>
        </is>
      </c>
      <c r="B981" s="1" t="n">
        <v>45631.74673611111</v>
      </c>
      <c r="C981" s="1" t="n">
        <v>45940</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30268-2024</t>
        </is>
      </c>
      <c r="B982" s="1" t="n">
        <v>45490.60572916667</v>
      </c>
      <c r="C982" s="1" t="n">
        <v>45940</v>
      </c>
      <c r="D982" t="inlineStr">
        <is>
          <t>STOCKHOLMS LÄN</t>
        </is>
      </c>
      <c r="E982" t="inlineStr">
        <is>
          <t>NORRTÄLJE</t>
        </is>
      </c>
      <c r="G982" t="n">
        <v>5.6</v>
      </c>
      <c r="H982" t="n">
        <v>0</v>
      </c>
      <c r="I982" t="n">
        <v>0</v>
      </c>
      <c r="J982" t="n">
        <v>0</v>
      </c>
      <c r="K982" t="n">
        <v>0</v>
      </c>
      <c r="L982" t="n">
        <v>0</v>
      </c>
      <c r="M982" t="n">
        <v>0</v>
      </c>
      <c r="N982" t="n">
        <v>0</v>
      </c>
      <c r="O982" t="n">
        <v>0</v>
      </c>
      <c r="P982" t="n">
        <v>0</v>
      </c>
      <c r="Q982" t="n">
        <v>0</v>
      </c>
      <c r="R982" s="2" t="inlineStr"/>
    </row>
    <row r="983" ht="15" customHeight="1">
      <c r="A983" t="inlineStr">
        <is>
          <t>A 12407-2025</t>
        </is>
      </c>
      <c r="B983" s="1" t="n">
        <v>45730.42851851852</v>
      </c>
      <c r="C983" s="1" t="n">
        <v>45940</v>
      </c>
      <c r="D983" t="inlineStr">
        <is>
          <t>STOCKHOLMS LÄN</t>
        </is>
      </c>
      <c r="E983" t="inlineStr">
        <is>
          <t>NORRTÄLJE</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19025-2025</t>
        </is>
      </c>
      <c r="B984" s="1" t="n">
        <v>45764.6359837963</v>
      </c>
      <c r="C984" s="1" t="n">
        <v>45940</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37010-2022</t>
        </is>
      </c>
      <c r="B985" s="1" t="n">
        <v>44806.41576388889</v>
      </c>
      <c r="C985" s="1" t="n">
        <v>45940</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54276-2021</t>
        </is>
      </c>
      <c r="B986" s="1" t="n">
        <v>44470</v>
      </c>
      <c r="C986" s="1" t="n">
        <v>45940</v>
      </c>
      <c r="D986" t="inlineStr">
        <is>
          <t>STOCKHOLMS LÄN</t>
        </is>
      </c>
      <c r="E986" t="inlineStr">
        <is>
          <t>NORRTÄLJE</t>
        </is>
      </c>
      <c r="G986" t="n">
        <v>7.3</v>
      </c>
      <c r="H986" t="n">
        <v>0</v>
      </c>
      <c r="I986" t="n">
        <v>0</v>
      </c>
      <c r="J986" t="n">
        <v>0</v>
      </c>
      <c r="K986" t="n">
        <v>0</v>
      </c>
      <c r="L986" t="n">
        <v>0</v>
      </c>
      <c r="M986" t="n">
        <v>0</v>
      </c>
      <c r="N986" t="n">
        <v>0</v>
      </c>
      <c r="O986" t="n">
        <v>0</v>
      </c>
      <c r="P986" t="n">
        <v>0</v>
      </c>
      <c r="Q986" t="n">
        <v>0</v>
      </c>
      <c r="R986" s="2" t="inlineStr"/>
    </row>
    <row r="987" ht="15" customHeight="1">
      <c r="A987" t="inlineStr">
        <is>
          <t>A 4316-2023</t>
        </is>
      </c>
      <c r="B987" s="1" t="n">
        <v>44953.67443287037</v>
      </c>
      <c r="C987" s="1" t="n">
        <v>45940</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41587-2023</t>
        </is>
      </c>
      <c r="B988" s="1" t="n">
        <v>45175</v>
      </c>
      <c r="C988" s="1" t="n">
        <v>45940</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951-2023</t>
        </is>
      </c>
      <c r="B989" s="1" t="n">
        <v>44934</v>
      </c>
      <c r="C989" s="1" t="n">
        <v>45940</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44349-2025</t>
        </is>
      </c>
      <c r="B990" s="1" t="n">
        <v>45916.43929398148</v>
      </c>
      <c r="C990" s="1" t="n">
        <v>45940</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22359-2025</t>
        </is>
      </c>
      <c r="B991" s="1" t="n">
        <v>45786</v>
      </c>
      <c r="C991" s="1" t="n">
        <v>45940</v>
      </c>
      <c r="D991" t="inlineStr">
        <is>
          <t>STOCKHOLMS LÄN</t>
        </is>
      </c>
      <c r="E991" t="inlineStr">
        <is>
          <t>NORRTÄLJE</t>
        </is>
      </c>
      <c r="G991" t="n">
        <v>5</v>
      </c>
      <c r="H991" t="n">
        <v>0</v>
      </c>
      <c r="I991" t="n">
        <v>0</v>
      </c>
      <c r="J991" t="n">
        <v>0</v>
      </c>
      <c r="K991" t="n">
        <v>0</v>
      </c>
      <c r="L991" t="n">
        <v>0</v>
      </c>
      <c r="M991" t="n">
        <v>0</v>
      </c>
      <c r="N991" t="n">
        <v>0</v>
      </c>
      <c r="O991" t="n">
        <v>0</v>
      </c>
      <c r="P991" t="n">
        <v>0</v>
      </c>
      <c r="Q991" t="n">
        <v>0</v>
      </c>
      <c r="R991" s="2" t="inlineStr"/>
    </row>
    <row r="992" ht="15" customHeight="1">
      <c r="A992" t="inlineStr">
        <is>
          <t>A 61363-2020</t>
        </is>
      </c>
      <c r="B992" s="1" t="n">
        <v>44155.69458333333</v>
      </c>
      <c r="C992" s="1" t="n">
        <v>45940</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44354-2025</t>
        </is>
      </c>
      <c r="B993" s="1" t="n">
        <v>45916.44655092592</v>
      </c>
      <c r="C993" s="1" t="n">
        <v>45940</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17304-2024</t>
        </is>
      </c>
      <c r="B994" s="1" t="n">
        <v>45414</v>
      </c>
      <c r="C994" s="1" t="n">
        <v>45940</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5423-2023</t>
        </is>
      </c>
      <c r="B995" s="1" t="n">
        <v>44959.74533564815</v>
      </c>
      <c r="C995" s="1" t="n">
        <v>45940</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50182-2024</t>
        </is>
      </c>
      <c r="B996" s="1" t="n">
        <v>45600.47275462963</v>
      </c>
      <c r="C996" s="1" t="n">
        <v>45940</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44343-2025</t>
        </is>
      </c>
      <c r="B997" s="1" t="n">
        <v>45916.43378472222</v>
      </c>
      <c r="C997" s="1" t="n">
        <v>45940</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11280-2023</t>
        </is>
      </c>
      <c r="B998" s="1" t="n">
        <v>44992</v>
      </c>
      <c r="C998" s="1" t="n">
        <v>45940</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44333-2025</t>
        </is>
      </c>
      <c r="B999" s="1" t="n">
        <v>45916.42293981482</v>
      </c>
      <c r="C999" s="1" t="n">
        <v>45940</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44306-2025</t>
        </is>
      </c>
      <c r="B1000" s="1" t="n">
        <v>45916.37736111111</v>
      </c>
      <c r="C1000" s="1" t="n">
        <v>45940</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44311-2025</t>
        </is>
      </c>
      <c r="B1001" s="1" t="n">
        <v>45916.38394675926</v>
      </c>
      <c r="C1001" s="1" t="n">
        <v>45940</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12629-2024</t>
        </is>
      </c>
      <c r="B1002" s="1" t="n">
        <v>45383</v>
      </c>
      <c r="C1002" s="1" t="n">
        <v>45940</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37261-2025</t>
        </is>
      </c>
      <c r="B1003" s="1" t="n">
        <v>45876.45253472222</v>
      </c>
      <c r="C1003" s="1" t="n">
        <v>45940</v>
      </c>
      <c r="D1003" t="inlineStr">
        <is>
          <t>STOCKHOLMS LÄN</t>
        </is>
      </c>
      <c r="E1003" t="inlineStr">
        <is>
          <t>NORRTÄLJE</t>
        </is>
      </c>
      <c r="F1003" t="inlineStr">
        <is>
          <t>Kommuner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26668-2024</t>
        </is>
      </c>
      <c r="B1004" s="1" t="n">
        <v>45469</v>
      </c>
      <c r="C1004" s="1" t="n">
        <v>45940</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35708-2022</t>
        </is>
      </c>
      <c r="B1005" s="1" t="n">
        <v>44799.65013888889</v>
      </c>
      <c r="C1005" s="1" t="n">
        <v>45940</v>
      </c>
      <c r="D1005" t="inlineStr">
        <is>
          <t>STOCKHOLMS LÄN</t>
        </is>
      </c>
      <c r="E1005" t="inlineStr">
        <is>
          <t>NORRTÄLJE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31926-2022</t>
        </is>
      </c>
      <c r="B1006" s="1" t="n">
        <v>44777</v>
      </c>
      <c r="C1006" s="1" t="n">
        <v>45940</v>
      </c>
      <c r="D1006" t="inlineStr">
        <is>
          <t>STOCKHOLMS LÄN</t>
        </is>
      </c>
      <c r="E1006" t="inlineStr">
        <is>
          <t>NORRTÄLJE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45220-2024</t>
        </is>
      </c>
      <c r="B1007" s="1" t="n">
        <v>45575</v>
      </c>
      <c r="C1007" s="1" t="n">
        <v>45940</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21731-2023</t>
        </is>
      </c>
      <c r="B1008" s="1" t="n">
        <v>45063</v>
      </c>
      <c r="C1008" s="1" t="n">
        <v>45940</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23266-2023</t>
        </is>
      </c>
      <c r="B1009" s="1" t="n">
        <v>45075.90817129629</v>
      </c>
      <c r="C1009" s="1" t="n">
        <v>45940</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21480-2022</t>
        </is>
      </c>
      <c r="B1010" s="1" t="n">
        <v>44704</v>
      </c>
      <c r="C1010" s="1" t="n">
        <v>45940</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44937-2025</t>
        </is>
      </c>
      <c r="B1011" s="1" t="n">
        <v>45918.58224537037</v>
      </c>
      <c r="C1011" s="1" t="n">
        <v>45940</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11041-2025</t>
        </is>
      </c>
      <c r="B1012" s="1" t="n">
        <v>45723</v>
      </c>
      <c r="C1012" s="1" t="n">
        <v>45940</v>
      </c>
      <c r="D1012" t="inlineStr">
        <is>
          <t>STOCKHOLMS LÄN</t>
        </is>
      </c>
      <c r="E1012" t="inlineStr">
        <is>
          <t>NORRTÄLJE</t>
        </is>
      </c>
      <c r="F1012" t="inlineStr">
        <is>
          <t>Övriga Aktiebolag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9469-2021</t>
        </is>
      </c>
      <c r="B1013" s="1" t="n">
        <v>44251</v>
      </c>
      <c r="C1013" s="1" t="n">
        <v>45940</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47521-2024</t>
        </is>
      </c>
      <c r="B1014" s="1" t="n">
        <v>45587.62565972222</v>
      </c>
      <c r="C1014" s="1" t="n">
        <v>45940</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24024-2024</t>
        </is>
      </c>
      <c r="B1015" s="1" t="n">
        <v>45456</v>
      </c>
      <c r="C1015" s="1" t="n">
        <v>45940</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58260-2023</t>
        </is>
      </c>
      <c r="B1016" s="1" t="n">
        <v>45245</v>
      </c>
      <c r="C1016" s="1" t="n">
        <v>45940</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58261-2023</t>
        </is>
      </c>
      <c r="B1017" s="1" t="n">
        <v>45245</v>
      </c>
      <c r="C1017" s="1" t="n">
        <v>45940</v>
      </c>
      <c r="D1017" t="inlineStr">
        <is>
          <t>STOCKHOLMS LÄN</t>
        </is>
      </c>
      <c r="E1017" t="inlineStr">
        <is>
          <t>NORRTÄLJE</t>
        </is>
      </c>
      <c r="G1017" t="n">
        <v>53.5</v>
      </c>
      <c r="H1017" t="n">
        <v>0</v>
      </c>
      <c r="I1017" t="n">
        <v>0</v>
      </c>
      <c r="J1017" t="n">
        <v>0</v>
      </c>
      <c r="K1017" t="n">
        <v>0</v>
      </c>
      <c r="L1017" t="n">
        <v>0</v>
      </c>
      <c r="M1017" t="n">
        <v>0</v>
      </c>
      <c r="N1017" t="n">
        <v>0</v>
      </c>
      <c r="O1017" t="n">
        <v>0</v>
      </c>
      <c r="P1017" t="n">
        <v>0</v>
      </c>
      <c r="Q1017" t="n">
        <v>0</v>
      </c>
      <c r="R1017" s="2" t="inlineStr"/>
    </row>
    <row r="1018" ht="15" customHeight="1">
      <c r="A1018" t="inlineStr">
        <is>
          <t>A 28809-2023</t>
        </is>
      </c>
      <c r="B1018" s="1" t="n">
        <v>45104</v>
      </c>
      <c r="C1018" s="1" t="n">
        <v>45940</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28813-2023</t>
        </is>
      </c>
      <c r="B1019" s="1" t="n">
        <v>45104</v>
      </c>
      <c r="C1019" s="1" t="n">
        <v>45940</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40656-2022</t>
        </is>
      </c>
      <c r="B1020" s="1" t="n">
        <v>44824.36069444445</v>
      </c>
      <c r="C1020" s="1" t="n">
        <v>45940</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37628-2025</t>
        </is>
      </c>
      <c r="B1021" s="1" t="n">
        <v>45880.46189814815</v>
      </c>
      <c r="C1021" s="1" t="n">
        <v>45940</v>
      </c>
      <c r="D1021" t="inlineStr">
        <is>
          <t>STOCKHOLMS LÄN</t>
        </is>
      </c>
      <c r="E1021" t="inlineStr">
        <is>
          <t>NORRTÄLJE</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29369-2024</t>
        </is>
      </c>
      <c r="B1022" s="1" t="n">
        <v>45483.57244212963</v>
      </c>
      <c r="C1022" s="1" t="n">
        <v>45940</v>
      </c>
      <c r="D1022" t="inlineStr">
        <is>
          <t>STOCKHOLMS LÄN</t>
        </is>
      </c>
      <c r="E1022" t="inlineStr">
        <is>
          <t>NORRTÄLJE</t>
        </is>
      </c>
      <c r="G1022" t="n">
        <v>15.9</v>
      </c>
      <c r="H1022" t="n">
        <v>0</v>
      </c>
      <c r="I1022" t="n">
        <v>0</v>
      </c>
      <c r="J1022" t="n">
        <v>0</v>
      </c>
      <c r="K1022" t="n">
        <v>0</v>
      </c>
      <c r="L1022" t="n">
        <v>0</v>
      </c>
      <c r="M1022" t="n">
        <v>0</v>
      </c>
      <c r="N1022" t="n">
        <v>0</v>
      </c>
      <c r="O1022" t="n">
        <v>0</v>
      </c>
      <c r="P1022" t="n">
        <v>0</v>
      </c>
      <c r="Q1022" t="n">
        <v>0</v>
      </c>
      <c r="R1022" s="2" t="inlineStr"/>
    </row>
    <row r="1023" ht="15" customHeight="1">
      <c r="A1023" t="inlineStr">
        <is>
          <t>A 37632-2025</t>
        </is>
      </c>
      <c r="B1023" s="1" t="n">
        <v>45880.46524305556</v>
      </c>
      <c r="C1023" s="1" t="n">
        <v>45940</v>
      </c>
      <c r="D1023" t="inlineStr">
        <is>
          <t>STOCKHOLMS LÄN</t>
        </is>
      </c>
      <c r="E1023" t="inlineStr">
        <is>
          <t>NORRTÄLJE</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29841-2024</t>
        </is>
      </c>
      <c r="B1024" s="1" t="n">
        <v>45485.60261574074</v>
      </c>
      <c r="C1024" s="1" t="n">
        <v>45940</v>
      </c>
      <c r="D1024" t="inlineStr">
        <is>
          <t>STOCKHOLMS LÄN</t>
        </is>
      </c>
      <c r="E1024" t="inlineStr">
        <is>
          <t>NORRTÄLJE</t>
        </is>
      </c>
      <c r="G1024" t="n">
        <v>15.9</v>
      </c>
      <c r="H1024" t="n">
        <v>0</v>
      </c>
      <c r="I1024" t="n">
        <v>0</v>
      </c>
      <c r="J1024" t="n">
        <v>0</v>
      </c>
      <c r="K1024" t="n">
        <v>0</v>
      </c>
      <c r="L1024" t="n">
        <v>0</v>
      </c>
      <c r="M1024" t="n">
        <v>0</v>
      </c>
      <c r="N1024" t="n">
        <v>0</v>
      </c>
      <c r="O1024" t="n">
        <v>0</v>
      </c>
      <c r="P1024" t="n">
        <v>0</v>
      </c>
      <c r="Q1024" t="n">
        <v>0</v>
      </c>
      <c r="R1024" s="2" t="inlineStr"/>
    </row>
    <row r="1025" ht="15" customHeight="1">
      <c r="A1025" t="inlineStr">
        <is>
          <t>A 60694-2024</t>
        </is>
      </c>
      <c r="B1025" s="1" t="n">
        <v>45644.47878472223</v>
      </c>
      <c r="C1025" s="1" t="n">
        <v>45940</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20692-2025</t>
        </is>
      </c>
      <c r="B1026" s="1" t="n">
        <v>45776.46369212963</v>
      </c>
      <c r="C1026" s="1" t="n">
        <v>45940</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37630-2025</t>
        </is>
      </c>
      <c r="B1027" s="1" t="n">
        <v>45880.46372685185</v>
      </c>
      <c r="C1027" s="1" t="n">
        <v>45940</v>
      </c>
      <c r="D1027" t="inlineStr">
        <is>
          <t>STOCKHOLMS LÄN</t>
        </is>
      </c>
      <c r="E1027" t="inlineStr">
        <is>
          <t>NORRTÄLJE</t>
        </is>
      </c>
      <c r="F1027" t="inlineStr">
        <is>
          <t>Sveaskog</t>
        </is>
      </c>
      <c r="G1027" t="n">
        <v>12.9</v>
      </c>
      <c r="H1027" t="n">
        <v>0</v>
      </c>
      <c r="I1027" t="n">
        <v>0</v>
      </c>
      <c r="J1027" t="n">
        <v>0</v>
      </c>
      <c r="K1027" t="n">
        <v>0</v>
      </c>
      <c r="L1027" t="n">
        <v>0</v>
      </c>
      <c r="M1027" t="n">
        <v>0</v>
      </c>
      <c r="N1027" t="n">
        <v>0</v>
      </c>
      <c r="O1027" t="n">
        <v>0</v>
      </c>
      <c r="P1027" t="n">
        <v>0</v>
      </c>
      <c r="Q1027" t="n">
        <v>0</v>
      </c>
      <c r="R1027" s="2" t="inlineStr"/>
    </row>
    <row r="1028" ht="15" customHeight="1">
      <c r="A1028" t="inlineStr">
        <is>
          <t>A 20011-2025</t>
        </is>
      </c>
      <c r="B1028" s="1" t="n">
        <v>45772.29622685185</v>
      </c>
      <c r="C1028" s="1" t="n">
        <v>45940</v>
      </c>
      <c r="D1028" t="inlineStr">
        <is>
          <t>STOCKHOLMS LÄN</t>
        </is>
      </c>
      <c r="E1028" t="inlineStr">
        <is>
          <t>NORRTÄLJE</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19450-2025</t>
        </is>
      </c>
      <c r="B1029" s="1" t="n">
        <v>45770</v>
      </c>
      <c r="C1029" s="1" t="n">
        <v>45940</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45697-2025</t>
        </is>
      </c>
      <c r="B1030" s="1" t="n">
        <v>45923.39877314815</v>
      </c>
      <c r="C1030" s="1" t="n">
        <v>45940</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46071-2024</t>
        </is>
      </c>
      <c r="B1031" s="1" t="n">
        <v>45581</v>
      </c>
      <c r="C1031" s="1" t="n">
        <v>45940</v>
      </c>
      <c r="D1031" t="inlineStr">
        <is>
          <t>STOCKHOLMS LÄN</t>
        </is>
      </c>
      <c r="E1031" t="inlineStr">
        <is>
          <t>NORRTÄLJE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29266-2022</t>
        </is>
      </c>
      <c r="B1032" s="1" t="n">
        <v>44750.66068287037</v>
      </c>
      <c r="C1032" s="1" t="n">
        <v>45940</v>
      </c>
      <c r="D1032" t="inlineStr">
        <is>
          <t>STOCKHOLMS LÄN</t>
        </is>
      </c>
      <c r="E1032" t="inlineStr">
        <is>
          <t>NORRTÄLJE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29278-2022</t>
        </is>
      </c>
      <c r="B1033" s="1" t="n">
        <v>44750</v>
      </c>
      <c r="C1033" s="1" t="n">
        <v>45940</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37273-2024</t>
        </is>
      </c>
      <c r="B1034" s="1" t="n">
        <v>45540</v>
      </c>
      <c r="C1034" s="1" t="n">
        <v>45940</v>
      </c>
      <c r="D1034" t="inlineStr">
        <is>
          <t>STOCKHOLMS LÄN</t>
        </is>
      </c>
      <c r="E1034" t="inlineStr">
        <is>
          <t>NORRTÄLJE</t>
        </is>
      </c>
      <c r="F1034" t="inlineStr">
        <is>
          <t>Sveaskog</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12908-2025</t>
        </is>
      </c>
      <c r="B1035" s="1" t="n">
        <v>45733.82105324074</v>
      </c>
      <c r="C1035" s="1" t="n">
        <v>45940</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46415-2025</t>
        </is>
      </c>
      <c r="B1036" s="1" t="n">
        <v>45925.58636574074</v>
      </c>
      <c r="C1036" s="1" t="n">
        <v>45940</v>
      </c>
      <c r="D1036" t="inlineStr">
        <is>
          <t>STOCKHOLMS LÄN</t>
        </is>
      </c>
      <c r="E1036" t="inlineStr">
        <is>
          <t>NORRTÄLJE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13137-2024</t>
        </is>
      </c>
      <c r="B1037" s="1" t="n">
        <v>45386.34175925926</v>
      </c>
      <c r="C1037" s="1" t="n">
        <v>45940</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33353-2023</t>
        </is>
      </c>
      <c r="B1038" s="1" t="n">
        <v>45128</v>
      </c>
      <c r="C1038" s="1" t="n">
        <v>45940</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23060-2023</t>
        </is>
      </c>
      <c r="B1039" s="1" t="n">
        <v>45075</v>
      </c>
      <c r="C1039" s="1" t="n">
        <v>45940</v>
      </c>
      <c r="D1039" t="inlineStr">
        <is>
          <t>STOCKHOLMS LÄN</t>
        </is>
      </c>
      <c r="E1039" t="inlineStr">
        <is>
          <t>NORRTÄLJE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3966-2024</t>
        </is>
      </c>
      <c r="B1040" s="1" t="n">
        <v>45322</v>
      </c>
      <c r="C1040" s="1" t="n">
        <v>45940</v>
      </c>
      <c r="D1040" t="inlineStr">
        <is>
          <t>STOCKHOLMS LÄN</t>
        </is>
      </c>
      <c r="E1040" t="inlineStr">
        <is>
          <t>NORRTÄLJE</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24350-2025</t>
        </is>
      </c>
      <c r="B1041" s="1" t="n">
        <v>45797.58350694444</v>
      </c>
      <c r="C1041" s="1" t="n">
        <v>45940</v>
      </c>
      <c r="D1041" t="inlineStr">
        <is>
          <t>STOCKHOLMS LÄN</t>
        </is>
      </c>
      <c r="E1041" t="inlineStr">
        <is>
          <t>NORRTÄLJE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26703-2025</t>
        </is>
      </c>
      <c r="B1042" s="1" t="n">
        <v>45810.45263888889</v>
      </c>
      <c r="C1042" s="1" t="n">
        <v>45940</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38153-2025</t>
        </is>
      </c>
      <c r="B1043" s="1" t="n">
        <v>45882.59722222222</v>
      </c>
      <c r="C1043" s="1" t="n">
        <v>45940</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32103-2022</t>
        </is>
      </c>
      <c r="B1044" s="1" t="n">
        <v>44778</v>
      </c>
      <c r="C1044" s="1" t="n">
        <v>45940</v>
      </c>
      <c r="D1044" t="inlineStr">
        <is>
          <t>STOCKHOLMS LÄN</t>
        </is>
      </c>
      <c r="E1044" t="inlineStr">
        <is>
          <t>NORRTÄLJE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6401-2024</t>
        </is>
      </c>
      <c r="B1045" s="1" t="n">
        <v>45338</v>
      </c>
      <c r="C1045" s="1" t="n">
        <v>45940</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23262-2023</t>
        </is>
      </c>
      <c r="B1046" s="1" t="n">
        <v>45075.90270833333</v>
      </c>
      <c r="C1046" s="1" t="n">
        <v>45940</v>
      </c>
      <c r="D1046" t="inlineStr">
        <is>
          <t>STOCKHOLMS LÄN</t>
        </is>
      </c>
      <c r="E1046" t="inlineStr">
        <is>
          <t>NORRTÄLJE</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23268-2023</t>
        </is>
      </c>
      <c r="B1047" s="1" t="n">
        <v>45075.91042824074</v>
      </c>
      <c r="C1047" s="1" t="n">
        <v>45940</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23270-2023</t>
        </is>
      </c>
      <c r="B1048" s="1" t="n">
        <v>45075.91265046296</v>
      </c>
      <c r="C1048" s="1" t="n">
        <v>45940</v>
      </c>
      <c r="D1048" t="inlineStr">
        <is>
          <t>STOCKHOLMS LÄN</t>
        </is>
      </c>
      <c r="E1048" t="inlineStr">
        <is>
          <t>NORRTÄLJE</t>
        </is>
      </c>
      <c r="G1048" t="n">
        <v>12.3</v>
      </c>
      <c r="H1048" t="n">
        <v>0</v>
      </c>
      <c r="I1048" t="n">
        <v>0</v>
      </c>
      <c r="J1048" t="n">
        <v>0</v>
      </c>
      <c r="K1048" t="n">
        <v>0</v>
      </c>
      <c r="L1048" t="n">
        <v>0</v>
      </c>
      <c r="M1048" t="n">
        <v>0</v>
      </c>
      <c r="N1048" t="n">
        <v>0</v>
      </c>
      <c r="O1048" t="n">
        <v>0</v>
      </c>
      <c r="P1048" t="n">
        <v>0</v>
      </c>
      <c r="Q1048" t="n">
        <v>0</v>
      </c>
      <c r="R1048" s="2" t="inlineStr"/>
    </row>
    <row r="1049" ht="15" customHeight="1">
      <c r="A1049" t="inlineStr">
        <is>
          <t>A 23274-2023</t>
        </is>
      </c>
      <c r="B1049" s="1" t="n">
        <v>45075.92153935185</v>
      </c>
      <c r="C1049" s="1" t="n">
        <v>45940</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59504-2023</t>
        </is>
      </c>
      <c r="B1050" s="1" t="n">
        <v>45254</v>
      </c>
      <c r="C1050" s="1" t="n">
        <v>45940</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17843-2024</t>
        </is>
      </c>
      <c r="B1051" s="1" t="n">
        <v>45418</v>
      </c>
      <c r="C1051" s="1" t="n">
        <v>45940</v>
      </c>
      <c r="D1051" t="inlineStr">
        <is>
          <t>STOCKHOLMS LÄN</t>
        </is>
      </c>
      <c r="E1051" t="inlineStr">
        <is>
          <t>NORRTÄLJE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19058-2024</t>
        </is>
      </c>
      <c r="B1052" s="1" t="n">
        <v>45427.89121527778</v>
      </c>
      <c r="C1052" s="1" t="n">
        <v>45940</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26636-2023</t>
        </is>
      </c>
      <c r="B1053" s="1" t="n">
        <v>45092</v>
      </c>
      <c r="C1053" s="1" t="n">
        <v>45940</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26637-2023</t>
        </is>
      </c>
      <c r="B1054" s="1" t="n">
        <v>45092</v>
      </c>
      <c r="C1054" s="1" t="n">
        <v>45940</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52321-2024</t>
        </is>
      </c>
      <c r="B1055" s="1" t="n">
        <v>45608</v>
      </c>
      <c r="C1055" s="1" t="n">
        <v>45940</v>
      </c>
      <c r="D1055" t="inlineStr">
        <is>
          <t>STOCKHOLMS LÄN</t>
        </is>
      </c>
      <c r="E1055" t="inlineStr">
        <is>
          <t>NORRTÄLJE</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48151-2024</t>
        </is>
      </c>
      <c r="B1056" s="1" t="n">
        <v>45589.68289351852</v>
      </c>
      <c r="C1056" s="1" t="n">
        <v>45940</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22816-2021</t>
        </is>
      </c>
      <c r="B1057" s="1" t="n">
        <v>44325</v>
      </c>
      <c r="C1057" s="1" t="n">
        <v>45940</v>
      </c>
      <c r="D1057" t="inlineStr">
        <is>
          <t>STOCKHOLMS LÄN</t>
        </is>
      </c>
      <c r="E1057" t="inlineStr">
        <is>
          <t>NORRTÄLJE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20370-2025</t>
        </is>
      </c>
      <c r="B1058" s="1" t="n">
        <v>45775.41451388889</v>
      </c>
      <c r="C1058" s="1" t="n">
        <v>45940</v>
      </c>
      <c r="D1058" t="inlineStr">
        <is>
          <t>STOCKHOLMS LÄN</t>
        </is>
      </c>
      <c r="E1058" t="inlineStr">
        <is>
          <t>NORRTÄLJE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19580-2022</t>
        </is>
      </c>
      <c r="B1059" s="1" t="n">
        <v>44693</v>
      </c>
      <c r="C1059" s="1" t="n">
        <v>45940</v>
      </c>
      <c r="D1059" t="inlineStr">
        <is>
          <t>STOCKHOLMS LÄN</t>
        </is>
      </c>
      <c r="E1059" t="inlineStr">
        <is>
          <t>NORRTÄLJE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30731-2023</t>
        </is>
      </c>
      <c r="B1060" s="1" t="n">
        <v>45112</v>
      </c>
      <c r="C1060" s="1" t="n">
        <v>45940</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4580-2025</t>
        </is>
      </c>
      <c r="B1061" s="1" t="n">
        <v>45687.5038425926</v>
      </c>
      <c r="C1061" s="1" t="n">
        <v>45940</v>
      </c>
      <c r="D1061" t="inlineStr">
        <is>
          <t>STOCKHOLMS LÄN</t>
        </is>
      </c>
      <c r="E1061" t="inlineStr">
        <is>
          <t>NORRTÄLJE</t>
        </is>
      </c>
      <c r="F1061" t="inlineStr">
        <is>
          <t>Holmen skog AB</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31057-2022</t>
        </is>
      </c>
      <c r="B1062" s="1" t="n">
        <v>44769</v>
      </c>
      <c r="C1062" s="1" t="n">
        <v>45940</v>
      </c>
      <c r="D1062" t="inlineStr">
        <is>
          <t>STOCKHOLMS LÄN</t>
        </is>
      </c>
      <c r="E1062" t="inlineStr">
        <is>
          <t>NORRTÄLJE</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31140-2023</t>
        </is>
      </c>
      <c r="B1063" s="1" t="n">
        <v>45113</v>
      </c>
      <c r="C1063" s="1" t="n">
        <v>45940</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31149-2023</t>
        </is>
      </c>
      <c r="B1064" s="1" t="n">
        <v>45113</v>
      </c>
      <c r="C1064" s="1" t="n">
        <v>45940</v>
      </c>
      <c r="D1064" t="inlineStr">
        <is>
          <t>STOCKHOLMS LÄN</t>
        </is>
      </c>
      <c r="E1064" t="inlineStr">
        <is>
          <t>NORRTÄLJE</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4658-2024</t>
        </is>
      </c>
      <c r="B1065" s="1" t="n">
        <v>45328.46336805556</v>
      </c>
      <c r="C1065" s="1" t="n">
        <v>45940</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c r="A1066" t="inlineStr">
        <is>
          <t>A 19131-2025</t>
        </is>
      </c>
      <c r="B1066" s="1" t="n">
        <v>45769</v>
      </c>
      <c r="C1066" s="1" t="n">
        <v>45940</v>
      </c>
      <c r="D1066" t="inlineStr">
        <is>
          <t>STOCKHOLMS LÄN</t>
        </is>
      </c>
      <c r="E1066" t="inlineStr">
        <is>
          <t>NORRTÄLJE</t>
        </is>
      </c>
      <c r="G1066" t="n">
        <v>1.6</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2025-10-10T12:36:35Z</dcterms:created>
  <dcterms:modified xmlns:dcterms="http://purl.org/dc/terms/" xmlns:xsi="http://www.w3.org/2001/XMLSchema-instance" xsi:type="dcterms:W3CDTF">2025-10-10T12:36:36Z</dcterms:modified>
</cp:coreProperties>
</file>